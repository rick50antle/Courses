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45.xml" ContentType="application/vnd.openxmlformats-officedocument.spreadsheetml.table+xml"/>
  <Override PartName="/xl/drawings/drawing2.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comments2.xml" ContentType="application/vnd.openxmlformats-officedocument.spreadsheetml.comments+xml"/>
  <Override PartName="/xl/tables/table76.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Teaching and Learning Resources/Problems/Accounting-Identity-For-Profit/"/>
    </mc:Choice>
  </mc:AlternateContent>
  <xr:revisionPtr revIDLastSave="457" documentId="8_{2EC69437-CB5A-45A5-BD34-5F78294D5F00}" xr6:coauthVersionLast="47" xr6:coauthVersionMax="47" xr10:uidLastSave="{BD44F915-772E-4F9A-8D4D-D11CD893DA35}"/>
  <bookViews>
    <workbookView xWindow="2472" yWindow="2472" windowWidth="34560" windowHeight="13560" firstSheet="7" activeTab="7" xr2:uid="{288CF4A7-31D3-42FA-8EF2-1C545A097540}"/>
  </bookViews>
  <sheets>
    <sheet name="Tables and Columns" sheetId="18" state="hidden" r:id="rId1"/>
    <sheet name="FSFormattingCodes" sheetId="23" state="hidden" r:id="rId2"/>
    <sheet name="MasterData" sheetId="1" state="hidden" r:id="rId3"/>
    <sheet name="ProblemData" sheetId="2" state="hidden" r:id="rId4"/>
    <sheet name="JournalAnswer" sheetId="15" state="hidden" r:id="rId5"/>
    <sheet name="FSAnswers" sheetId="35" state="hidden" r:id="rId6"/>
    <sheet name="FSData" sheetId="27" state="hidden" r:id="rId7"/>
    <sheet name="Instructions" sheetId="9" r:id="rId8"/>
    <sheet name="Journal" sheetId="3" state="hidden" r:id="rId9"/>
    <sheet name="FSConstruction" sheetId="40" state="hidden" r:id="rId10"/>
    <sheet name="Financial_Statement_Builder" sheetId="38" state="hidden" r:id="rId11"/>
    <sheet name="Financial_Statements_Auto" sheetId="30" state="hidden" r:id="rId12"/>
    <sheet name="Notes_to_FSs" sheetId="36" state="hidden" r:id="rId13"/>
    <sheet name="Analysis_Help" sheetId="13" r:id="rId14"/>
    <sheet name="Tools" sheetId="14" state="hidden" r:id="rId15"/>
    <sheet name="Reconciliation_Tool" sheetId="20" state="hidden" r:id="rId16"/>
  </sheets>
  <definedNames>
    <definedName name="AccountTypesUsed" comment="List of account types used.">_xlfn.ANCHORARRAY(MasterData!$L$5)</definedName>
    <definedName name="AssetUsed" comment="List of Asset accounts used in the problem, followed by zeroes.">_xlfn.ANCHORARRAY(MasterData!$L$56)</definedName>
    <definedName name="BB_Inbalance">Financial_Statement_Builder!$E$559</definedName>
    <definedName name="BegDate">ProblemData!$E$64</definedName>
    <definedName name="Begin" localSheetId="10">MasterData!$F$669:$F$688</definedName>
    <definedName name="Begin" localSheetId="2">MasterData!$F$669:$F$688</definedName>
    <definedName name="CFO_NI_Recon_NI" localSheetId="9">FSConstruction!$BA$7:$BE$7</definedName>
    <definedName name="DeprMethod">ProblemData!$E$72</definedName>
    <definedName name="End" localSheetId="10">MasterData!$G$669:$G$688</definedName>
    <definedName name="End" localSheetId="2">MasterData!$G$669:$G$688</definedName>
    <definedName name="EndDate">ProblemData!$E$65</definedName>
    <definedName name="Entity">ProblemData!$E$61</definedName>
    <definedName name="EntityActivity">ProblemData!$E$63</definedName>
    <definedName name="EntityType">ProblemData!$E$62</definedName>
    <definedName name="EquityUsed" comment="List of Equity Accounts used in the problem followed by zeroes.">_xlfn.ANCHORARRAY(MasterData!$L$116)</definedName>
    <definedName name="ExpenseUsed">_xlfn.ANCHORARRAY(MasterData!$L$149)</definedName>
    <definedName name="FS_IssueDate">ProblemData!$E$66</definedName>
    <definedName name="GainUsed" comment="List of Gain accounts used in the problem followed by zeroes.">_xlfn.ANCHORARRAY(MasterData!$L$171)</definedName>
    <definedName name="InventoryMethod">ProblemData!$E$73</definedName>
    <definedName name="Issue_Date">ProblemData!$E$66</definedName>
    <definedName name="LiabilityUsed" comment="List of liability account used in the problem followed by zeroes.">_xlfn.ANCHORARRAY(MasterData!$L$83)</definedName>
    <definedName name="LossUsed" comment="List of Loss accounts used in the problem followed by zeroes.">_xlfn.ANCHORARRAY(MasterData!$L$185)</definedName>
    <definedName name="ParValue">ProblemData!$E$70</definedName>
    <definedName name="Period">ProblemData!$E$67</definedName>
    <definedName name="PurposesUsed">_xlfn.ANCHORARRAY(MasterData!$F$512)</definedName>
    <definedName name="RevenueUsed" comment="List of Revenue accounts used the in problem followed by zeroes.">_xlfn.ANCHORARRAY(MasterData!$L$135)</definedName>
    <definedName name="RevRec">ProblemData!$E$74</definedName>
    <definedName name="ShrsOut">ProblemData!$E$69</definedName>
    <definedName name="TreasShrs">ProblemData!$E$71</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3" i="1" l="1"/>
  <c r="D514" i="1"/>
  <c r="D515" i="1"/>
  <c r="D516" i="1"/>
  <c r="D517" i="1"/>
  <c r="D518" i="1"/>
  <c r="D519" i="1"/>
  <c r="D520" i="1"/>
  <c r="D521" i="1"/>
  <c r="D522" i="1"/>
  <c r="D523" i="1"/>
  <c r="D524" i="1"/>
  <c r="D525" i="1"/>
  <c r="D526" i="1"/>
  <c r="D527" i="1"/>
  <c r="D528" i="1"/>
  <c r="D529" i="1"/>
  <c r="D530" i="1"/>
  <c r="D531" i="1"/>
  <c r="D512" i="1"/>
  <c r="E851" i="2"/>
  <c r="E853" i="2" s="1" a="1"/>
  <c r="E853" i="2" s="1"/>
  <c r="F512" i="1" l="1" a="1"/>
  <c r="F512" i="1" s="1"/>
  <c r="G182" i="2"/>
  <c r="G183" i="2"/>
  <c r="G184" i="2"/>
  <c r="G185" i="2"/>
  <c r="G186" i="2"/>
  <c r="W164" i="38" l="1"/>
  <c r="W163" i="38"/>
  <c r="W188" i="38"/>
  <c r="W187" i="38"/>
  <c r="W220" i="38"/>
  <c r="W221" i="38"/>
  <c r="W222" i="38"/>
  <c r="W223" i="38"/>
  <c r="W224" i="38"/>
  <c r="W225" i="38"/>
  <c r="W226" i="38"/>
  <c r="W227" i="38"/>
  <c r="W228" i="38"/>
  <c r="W230" i="38"/>
  <c r="T488" i="38"/>
  <c r="T487" i="38"/>
  <c r="T486" i="38"/>
  <c r="T485" i="38"/>
  <c r="T484" i="38"/>
  <c r="T483" i="38"/>
  <c r="T482" i="38"/>
  <c r="T481" i="38"/>
  <c r="T480" i="38"/>
  <c r="T479" i="38"/>
  <c r="T478" i="38"/>
  <c r="T477" i="38"/>
  <c r="T476" i="38"/>
  <c r="T475" i="38"/>
  <c r="T474" i="38"/>
  <c r="T473" i="38"/>
  <c r="T472" i="38"/>
  <c r="T471" i="38"/>
  <c r="T470" i="38"/>
  <c r="T469" i="38"/>
  <c r="T468" i="38"/>
  <c r="T467" i="38"/>
  <c r="T466" i="38"/>
  <c r="T465" i="38"/>
  <c r="T464" i="38"/>
  <c r="T463" i="38"/>
  <c r="T462" i="38"/>
  <c r="T461" i="38"/>
  <c r="T460" i="38"/>
  <c r="T459" i="38"/>
  <c r="T458" i="38"/>
  <c r="T457" i="38"/>
  <c r="T456" i="38"/>
  <c r="T455" i="38"/>
  <c r="T454" i="38"/>
  <c r="T453" i="38"/>
  <c r="T452" i="38"/>
  <c r="T451" i="38"/>
  <c r="T450" i="38"/>
  <c r="T449" i="38"/>
  <c r="T448" i="38"/>
  <c r="T447" i="38"/>
  <c r="T446" i="38"/>
  <c r="T445" i="38"/>
  <c r="T444" i="38"/>
  <c r="T443" i="38"/>
  <c r="T442" i="38"/>
  <c r="T441" i="38"/>
  <c r="T440" i="38"/>
  <c r="T439" i="38"/>
  <c r="T438" i="38"/>
  <c r="T437" i="38"/>
  <c r="T436" i="38"/>
  <c r="T435" i="38"/>
  <c r="T434" i="38"/>
  <c r="T433" i="38"/>
  <c r="T432" i="38"/>
  <c r="T431" i="38"/>
  <c r="T430" i="38"/>
  <c r="T429" i="38"/>
  <c r="O316" i="35" a="1"/>
  <c r="O316" i="35" s="1"/>
  <c r="O336" i="35" a="1"/>
  <c r="O336" i="35" s="1"/>
  <c r="O351" i="35" a="1"/>
  <c r="O351" i="35" s="1"/>
  <c r="V230" i="38"/>
  <c r="V229" i="38"/>
  <c r="W229" i="38" s="1"/>
  <c r="V228" i="38"/>
  <c r="V227" i="38"/>
  <c r="V226" i="38"/>
  <c r="V225" i="38"/>
  <c r="V224" i="38"/>
  <c r="V223" i="38"/>
  <c r="V222" i="38"/>
  <c r="V221" i="38"/>
  <c r="V220" i="38"/>
  <c r="V219" i="38"/>
  <c r="W219" i="38" s="1"/>
  <c r="V218" i="38"/>
  <c r="W218" i="38" s="1"/>
  <c r="V217" i="38"/>
  <c r="W217" i="38" s="1"/>
  <c r="V216" i="38"/>
  <c r="W216" i="38" s="1"/>
  <c r="V215" i="38"/>
  <c r="W215" i="38" s="1"/>
  <c r="V214" i="38"/>
  <c r="W214" i="38" s="1"/>
  <c r="V213" i="38"/>
  <c r="W213" i="38" s="1"/>
  <c r="V204" i="38"/>
  <c r="W204" i="38" s="1"/>
  <c r="V203" i="38"/>
  <c r="W203" i="38" s="1"/>
  <c r="V202" i="38"/>
  <c r="W202" i="38" s="1"/>
  <c r="V201" i="38"/>
  <c r="W201" i="38" s="1"/>
  <c r="V200" i="38"/>
  <c r="W200" i="38" s="1"/>
  <c r="V199" i="38"/>
  <c r="W199" i="38" s="1"/>
  <c r="V198" i="38"/>
  <c r="W198" i="38" s="1"/>
  <c r="V197" i="38"/>
  <c r="W197" i="38" s="1"/>
  <c r="V196" i="38"/>
  <c r="W196" i="38" s="1"/>
  <c r="V195" i="38"/>
  <c r="W195" i="38" s="1"/>
  <c r="V194" i="38"/>
  <c r="W194" i="38" s="1"/>
  <c r="V193" i="38"/>
  <c r="W193" i="38" s="1"/>
  <c r="V192" i="38"/>
  <c r="W192" i="38" s="1"/>
  <c r="V191" i="38"/>
  <c r="W191" i="38" s="1"/>
  <c r="V190" i="38"/>
  <c r="W190" i="38" s="1"/>
  <c r="V189" i="38"/>
  <c r="W189" i="38" s="1"/>
  <c r="V188" i="38"/>
  <c r="V187" i="38"/>
  <c r="V162" i="38"/>
  <c r="W162" i="38" s="1"/>
  <c r="V163" i="38"/>
  <c r="V164" i="38"/>
  <c r="V165" i="38"/>
  <c r="W165" i="38" s="1"/>
  <c r="V166" i="38"/>
  <c r="W166" i="38" s="1"/>
  <c r="V167" i="38"/>
  <c r="W167" i="38" s="1"/>
  <c r="V168" i="38"/>
  <c r="W168" i="38" s="1"/>
  <c r="V169" i="38"/>
  <c r="W169" i="38" s="1"/>
  <c r="V170" i="38"/>
  <c r="W170" i="38" s="1"/>
  <c r="V171" i="38"/>
  <c r="W171" i="38" s="1"/>
  <c r="V172" i="38"/>
  <c r="W172" i="38" s="1"/>
  <c r="V173" i="38"/>
  <c r="W173" i="38" s="1"/>
  <c r="V174" i="38"/>
  <c r="W174" i="38" s="1"/>
  <c r="V175" i="38"/>
  <c r="W175" i="38" s="1"/>
  <c r="V176" i="38"/>
  <c r="W176" i="38" s="1"/>
  <c r="V177" i="38"/>
  <c r="W177" i="38" s="1"/>
  <c r="V178" i="38"/>
  <c r="W178" i="38" s="1"/>
  <c r="Q488" i="38"/>
  <c r="Q487" i="38"/>
  <c r="Q486" i="38"/>
  <c r="Q485" i="38"/>
  <c r="Q484" i="38"/>
  <c r="Q483" i="38"/>
  <c r="Q482" i="38"/>
  <c r="Q481" i="38"/>
  <c r="Q480" i="38"/>
  <c r="Q479" i="38"/>
  <c r="Q478" i="38"/>
  <c r="Q477" i="38"/>
  <c r="Q476" i="38"/>
  <c r="Q475" i="38"/>
  <c r="Q474" i="38"/>
  <c r="Q473" i="38"/>
  <c r="Q472" i="38"/>
  <c r="Q471" i="38"/>
  <c r="Q470" i="38"/>
  <c r="Q469" i="38"/>
  <c r="Q468" i="38"/>
  <c r="Q467" i="38"/>
  <c r="Q466" i="38"/>
  <c r="Q465" i="38"/>
  <c r="Q464" i="38"/>
  <c r="Q463" i="38"/>
  <c r="Q462" i="38"/>
  <c r="Q461" i="38"/>
  <c r="Q460" i="38"/>
  <c r="Q459" i="38"/>
  <c r="Q458" i="38"/>
  <c r="Q457" i="38"/>
  <c r="Q456" i="38"/>
  <c r="Q455" i="38"/>
  <c r="Q454" i="38"/>
  <c r="Q453" i="38"/>
  <c r="Q452" i="38"/>
  <c r="Q451" i="38"/>
  <c r="Q450" i="38"/>
  <c r="Q449" i="38"/>
  <c r="Q448" i="38"/>
  <c r="Q447" i="38"/>
  <c r="Q446" i="38"/>
  <c r="Q445" i="38"/>
  <c r="Q444" i="38"/>
  <c r="Q443" i="38"/>
  <c r="Q442" i="38"/>
  <c r="Q441" i="38"/>
  <c r="Q440" i="38"/>
  <c r="Q439" i="38"/>
  <c r="Q438" i="38"/>
  <c r="Q437" i="38"/>
  <c r="Q436" i="38"/>
  <c r="Q435" i="38"/>
  <c r="Q434" i="38"/>
  <c r="Q433" i="38"/>
  <c r="Q432" i="38"/>
  <c r="Q431" i="38"/>
  <c r="Q430" i="38"/>
  <c r="Q429" i="38"/>
  <c r="Q428" i="38"/>
  <c r="Q427" i="38"/>
  <c r="Q426" i="38"/>
  <c r="Q425" i="38"/>
  <c r="Q424" i="38"/>
  <c r="Q423" i="38"/>
  <c r="Q422" i="38"/>
  <c r="Q421" i="38"/>
  <c r="Q420" i="38"/>
  <c r="Q419" i="38"/>
  <c r="Q418" i="38"/>
  <c r="V209" i="35"/>
  <c r="V208" i="35"/>
  <c r="V207" i="35"/>
  <c r="V206" i="35"/>
  <c r="V205" i="35"/>
  <c r="V204" i="35"/>
  <c r="V203" i="35"/>
  <c r="V202" i="35"/>
  <c r="V199" i="35"/>
  <c r="V198" i="35"/>
  <c r="V197" i="35"/>
  <c r="V196" i="35"/>
  <c r="V195" i="35"/>
  <c r="V194" i="35"/>
  <c r="V193" i="35"/>
  <c r="V192" i="35"/>
  <c r="V189" i="35"/>
  <c r="V188" i="35"/>
  <c r="V187" i="35"/>
  <c r="V186" i="35"/>
  <c r="V185" i="35"/>
  <c r="V184" i="35"/>
  <c r="V179" i="35"/>
  <c r="V178" i="35"/>
  <c r="V177" i="35"/>
  <c r="V176" i="35"/>
  <c r="V175" i="35"/>
  <c r="V174" i="35"/>
  <c r="V173" i="35"/>
  <c r="V172" i="35"/>
  <c r="V169" i="35"/>
  <c r="V168" i="35"/>
  <c r="V167" i="35"/>
  <c r="V166" i="35"/>
  <c r="V165" i="35"/>
  <c r="V164" i="35"/>
  <c r="V163" i="35"/>
  <c r="M416" i="38"/>
  <c r="M417" i="38"/>
  <c r="M418" i="38"/>
  <c r="M419" i="38"/>
  <c r="M420" i="38"/>
  <c r="M421" i="38"/>
  <c r="M422" i="38"/>
  <c r="M423" i="38"/>
  <c r="M424" i="38"/>
  <c r="M425" i="38"/>
  <c r="M426" i="38"/>
  <c r="M427" i="38"/>
  <c r="M428" i="38"/>
  <c r="M429" i="38"/>
  <c r="M430" i="38"/>
  <c r="M431" i="38"/>
  <c r="M432" i="38"/>
  <c r="M433" i="38"/>
  <c r="M434" i="38"/>
  <c r="M435" i="38"/>
  <c r="M436" i="38"/>
  <c r="M437" i="38"/>
  <c r="M438" i="38"/>
  <c r="M439" i="38"/>
  <c r="M440" i="38"/>
  <c r="M441" i="38"/>
  <c r="M442" i="38"/>
  <c r="M443" i="38"/>
  <c r="M444" i="38"/>
  <c r="M445" i="38"/>
  <c r="M446" i="38"/>
  <c r="M447" i="38"/>
  <c r="M448" i="38"/>
  <c r="M449" i="38"/>
  <c r="M450" i="38"/>
  <c r="M451" i="38"/>
  <c r="M452" i="38"/>
  <c r="M453" i="38"/>
  <c r="M454" i="38"/>
  <c r="M455" i="38"/>
  <c r="M456" i="38"/>
  <c r="M457" i="38"/>
  <c r="M458" i="38"/>
  <c r="M459" i="38"/>
  <c r="M460" i="38"/>
  <c r="M461" i="38"/>
  <c r="M462" i="38"/>
  <c r="M463" i="38"/>
  <c r="M464" i="38"/>
  <c r="M465" i="38"/>
  <c r="M466" i="38"/>
  <c r="M467" i="38"/>
  <c r="M468" i="38"/>
  <c r="M469" i="38"/>
  <c r="M470" i="38"/>
  <c r="M471" i="38"/>
  <c r="M472" i="38"/>
  <c r="M473" i="38"/>
  <c r="M474" i="38"/>
  <c r="M475" i="38"/>
  <c r="M476" i="38"/>
  <c r="M477" i="38"/>
  <c r="M478" i="38"/>
  <c r="M479" i="38"/>
  <c r="M480" i="38"/>
  <c r="M481" i="38"/>
  <c r="M482" i="38"/>
  <c r="M483" i="38"/>
  <c r="M484" i="38"/>
  <c r="M485" i="38"/>
  <c r="M486" i="38"/>
  <c r="M123" i="38"/>
  <c r="M122" i="38"/>
  <c r="M121" i="38"/>
  <c r="M120" i="38"/>
  <c r="M119" i="38"/>
  <c r="M118" i="38"/>
  <c r="M111" i="38"/>
  <c r="M110" i="38"/>
  <c r="M109" i="38"/>
  <c r="M108" i="38"/>
  <c r="M107" i="38"/>
  <c r="M106" i="38"/>
  <c r="E163" i="35"/>
  <c r="E164" i="35"/>
  <c r="E165" i="35"/>
  <c r="E166" i="35"/>
  <c r="E167" i="35"/>
  <c r="E168" i="35"/>
  <c r="E169" i="35"/>
  <c r="E172" i="35"/>
  <c r="E173" i="35"/>
  <c r="E174" i="35"/>
  <c r="E175" i="35"/>
  <c r="E176" i="35"/>
  <c r="E177" i="35"/>
  <c r="E178" i="35"/>
  <c r="E179" i="35"/>
  <c r="E184" i="35"/>
  <c r="E185" i="35"/>
  <c r="E186" i="35"/>
  <c r="E187" i="35"/>
  <c r="E188" i="35"/>
  <c r="E189" i="35"/>
  <c r="E192" i="35"/>
  <c r="E193" i="35"/>
  <c r="E194" i="35"/>
  <c r="E195" i="35"/>
  <c r="E196" i="35"/>
  <c r="E197" i="35"/>
  <c r="E198" i="35"/>
  <c r="E199" i="35"/>
  <c r="E202" i="35"/>
  <c r="E203" i="35"/>
  <c r="E204" i="35"/>
  <c r="E205" i="35"/>
  <c r="E206" i="35"/>
  <c r="E207" i="35"/>
  <c r="E208" i="35"/>
  <c r="E209" i="35"/>
  <c r="E210" i="35"/>
  <c r="E211" i="35"/>
  <c r="U403" i="38"/>
  <c r="N403" i="38"/>
  <c r="AA553" i="38" a="1"/>
  <c r="AA553" i="38" s="1"/>
  <c r="E62" i="38"/>
  <c r="Y464" i="38"/>
  <c r="Y470" i="38"/>
  <c r="X487" i="38"/>
  <c r="Y487" i="38" s="1"/>
  <c r="X486" i="38"/>
  <c r="Y486" i="38" s="1"/>
  <c r="X485" i="38"/>
  <c r="Y485" i="38" s="1"/>
  <c r="X484" i="38"/>
  <c r="Y484" i="38" s="1"/>
  <c r="X483" i="38"/>
  <c r="Y483" i="38" s="1"/>
  <c r="X482" i="38"/>
  <c r="Y482" i="38" s="1"/>
  <c r="X481" i="38"/>
  <c r="Y481" i="38" s="1"/>
  <c r="X480" i="38"/>
  <c r="Y480" i="38" s="1"/>
  <c r="X479" i="38"/>
  <c r="Y479" i="38" s="1"/>
  <c r="X478" i="38"/>
  <c r="Y478" i="38" s="1"/>
  <c r="X477" i="38"/>
  <c r="Y477" i="38" s="1"/>
  <c r="X476" i="38"/>
  <c r="Y476" i="38" s="1"/>
  <c r="X475" i="38"/>
  <c r="Y475" i="38" s="1"/>
  <c r="X474" i="38"/>
  <c r="Y474" i="38" s="1"/>
  <c r="X473" i="38"/>
  <c r="Y473" i="38" s="1"/>
  <c r="X472" i="38"/>
  <c r="Y472" i="38" s="1"/>
  <c r="X471" i="38"/>
  <c r="Y471" i="38" s="1"/>
  <c r="X470" i="38"/>
  <c r="X469" i="38"/>
  <c r="Y469" i="38" s="1"/>
  <c r="X468" i="38"/>
  <c r="Y468" i="38" s="1"/>
  <c r="X467" i="38"/>
  <c r="Y467" i="38" s="1"/>
  <c r="X466" i="38"/>
  <c r="Y466" i="38" s="1"/>
  <c r="X465" i="38"/>
  <c r="Y465" i="38" s="1"/>
  <c r="X464" i="38"/>
  <c r="X463" i="38"/>
  <c r="Y463" i="38" s="1"/>
  <c r="X462" i="38"/>
  <c r="Y462" i="38" s="1"/>
  <c r="X461" i="38"/>
  <c r="Y461" i="38" s="1"/>
  <c r="X460" i="38"/>
  <c r="Y460" i="38" s="1"/>
  <c r="X459" i="38"/>
  <c r="Y459" i="38" s="1"/>
  <c r="X458" i="38"/>
  <c r="Y458" i="38" s="1"/>
  <c r="X457" i="38"/>
  <c r="Y457" i="38" s="1"/>
  <c r="X456" i="38"/>
  <c r="Y456" i="38" s="1"/>
  <c r="X455" i="38"/>
  <c r="Y455" i="38" s="1"/>
  <c r="X454" i="38"/>
  <c r="Y454" i="38" s="1"/>
  <c r="X453" i="38"/>
  <c r="Y453" i="38" s="1"/>
  <c r="X452" i="38"/>
  <c r="Y452" i="38" s="1"/>
  <c r="X451" i="38"/>
  <c r="Y451" i="38" s="1"/>
  <c r="X450" i="38"/>
  <c r="Y450" i="38" s="1"/>
  <c r="X449" i="38"/>
  <c r="Y449" i="38" s="1"/>
  <c r="X448" i="38"/>
  <c r="Y448" i="38" s="1"/>
  <c r="X447" i="38"/>
  <c r="Y447" i="38" s="1"/>
  <c r="X446" i="38"/>
  <c r="Y446" i="38" s="1"/>
  <c r="X445" i="38"/>
  <c r="Y445" i="38" s="1"/>
  <c r="X444" i="38"/>
  <c r="Y444" i="38" s="1"/>
  <c r="X443" i="38"/>
  <c r="Y443" i="38" s="1"/>
  <c r="X442" i="38"/>
  <c r="Y442" i="38" s="1"/>
  <c r="X441" i="38"/>
  <c r="Y441" i="38" s="1"/>
  <c r="X440" i="38"/>
  <c r="Y440" i="38" s="1"/>
  <c r="X439" i="38"/>
  <c r="Y439" i="38" s="1"/>
  <c r="AD217" i="38"/>
  <c r="AD216" i="38"/>
  <c r="AD215" i="38"/>
  <c r="AD214" i="38"/>
  <c r="AD213" i="38"/>
  <c r="AD212" i="38"/>
  <c r="AD211" i="38"/>
  <c r="AD205" i="38"/>
  <c r="AD204" i="38"/>
  <c r="AD203" i="38"/>
  <c r="AD202" i="38"/>
  <c r="AD201" i="38"/>
  <c r="AD200" i="38"/>
  <c r="AD199" i="38"/>
  <c r="AD198" i="38"/>
  <c r="AD193" i="38"/>
  <c r="AD192" i="38"/>
  <c r="AD191" i="38"/>
  <c r="AD190" i="38"/>
  <c r="AD189" i="38"/>
  <c r="AD188" i="38"/>
  <c r="AD181" i="38"/>
  <c r="AD180" i="38"/>
  <c r="AD179" i="38"/>
  <c r="AD178" i="38"/>
  <c r="AD177" i="38"/>
  <c r="AD176" i="38"/>
  <c r="AD175" i="38"/>
  <c r="AD174" i="38"/>
  <c r="AD169" i="38"/>
  <c r="AD168" i="38"/>
  <c r="AD167" i="38"/>
  <c r="AD166" i="38"/>
  <c r="AD165" i="38"/>
  <c r="AD164" i="38"/>
  <c r="AD163" i="38"/>
  <c r="AA564" i="38" a="1"/>
  <c r="AA564" i="38" s="1"/>
  <c r="AA563" i="38" a="1"/>
  <c r="AA563" i="38" s="1"/>
  <c r="AA562" i="38" a="1"/>
  <c r="AA562" i="38" s="1"/>
  <c r="AA561" i="38" a="1"/>
  <c r="AA561" i="38" s="1"/>
  <c r="AA552" i="38" a="1"/>
  <c r="AA552" i="38" s="1"/>
  <c r="AA551" i="38" a="1"/>
  <c r="AA551" i="38" s="1"/>
  <c r="K454" i="38"/>
  <c r="K478" i="38"/>
  <c r="K479" i="38"/>
  <c r="J439" i="38"/>
  <c r="K439" i="38" s="1"/>
  <c r="J440" i="38"/>
  <c r="K440" i="38" s="1"/>
  <c r="J441" i="38"/>
  <c r="K441" i="38" s="1"/>
  <c r="J442" i="38"/>
  <c r="K442" i="38" s="1"/>
  <c r="J443" i="38"/>
  <c r="K443" i="38" s="1"/>
  <c r="J444" i="38"/>
  <c r="K444" i="38" s="1"/>
  <c r="J445" i="38"/>
  <c r="K445" i="38" s="1"/>
  <c r="J446" i="38"/>
  <c r="K446" i="38" s="1"/>
  <c r="J447" i="38"/>
  <c r="K447" i="38" s="1"/>
  <c r="J448" i="38"/>
  <c r="K448" i="38" s="1"/>
  <c r="J449" i="38"/>
  <c r="K449" i="38" s="1"/>
  <c r="J450" i="38"/>
  <c r="K450" i="38" s="1"/>
  <c r="J451" i="38"/>
  <c r="K451" i="38" s="1"/>
  <c r="J452" i="38"/>
  <c r="K452" i="38" s="1"/>
  <c r="J453" i="38"/>
  <c r="K453" i="38" s="1"/>
  <c r="J454" i="38"/>
  <c r="J455" i="38"/>
  <c r="K455" i="38" s="1"/>
  <c r="J456" i="38"/>
  <c r="K456" i="38" s="1"/>
  <c r="J457" i="38"/>
  <c r="K457" i="38" s="1"/>
  <c r="J458" i="38"/>
  <c r="K458" i="38" s="1"/>
  <c r="J459" i="38"/>
  <c r="K459" i="38" s="1"/>
  <c r="J460" i="38"/>
  <c r="K460" i="38" s="1"/>
  <c r="J461" i="38"/>
  <c r="K461" i="38" s="1"/>
  <c r="J462" i="38"/>
  <c r="K462" i="38" s="1"/>
  <c r="J463" i="38"/>
  <c r="K463" i="38" s="1"/>
  <c r="J464" i="38"/>
  <c r="K464" i="38" s="1"/>
  <c r="J465" i="38"/>
  <c r="K465" i="38" s="1"/>
  <c r="J466" i="38"/>
  <c r="K466" i="38" s="1"/>
  <c r="J467" i="38"/>
  <c r="K467" i="38" s="1"/>
  <c r="J468" i="38"/>
  <c r="K468" i="38" s="1"/>
  <c r="J469" i="38"/>
  <c r="K469" i="38" s="1"/>
  <c r="J470" i="38"/>
  <c r="K470" i="38" s="1"/>
  <c r="J471" i="38"/>
  <c r="K471" i="38" s="1"/>
  <c r="J472" i="38"/>
  <c r="K472" i="38" s="1"/>
  <c r="J473" i="38"/>
  <c r="K473" i="38" s="1"/>
  <c r="J474" i="38"/>
  <c r="K474" i="38" s="1"/>
  <c r="J475" i="38"/>
  <c r="K475" i="38" s="1"/>
  <c r="J476" i="38"/>
  <c r="K476" i="38" s="1"/>
  <c r="J477" i="38"/>
  <c r="K477" i="38" s="1"/>
  <c r="J478" i="38"/>
  <c r="J479" i="38"/>
  <c r="J480" i="38"/>
  <c r="K480" i="38" s="1"/>
  <c r="J481" i="38"/>
  <c r="K481" i="38" s="1"/>
  <c r="J482" i="38"/>
  <c r="K482" i="38" s="1"/>
  <c r="J483" i="38"/>
  <c r="K483" i="38" s="1"/>
  <c r="J484" i="38"/>
  <c r="K484" i="38" s="1"/>
  <c r="J485" i="38"/>
  <c r="K485" i="38" s="1"/>
  <c r="J486" i="38"/>
  <c r="K486" i="38" s="1"/>
  <c r="J487" i="38"/>
  <c r="K487" i="38" s="1"/>
  <c r="J488" i="38"/>
  <c r="K488" i="38" s="1"/>
  <c r="B562" i="38" l="1" a="1"/>
  <c r="B562" i="38" s="1"/>
  <c r="I554" i="38" a="1"/>
  <c r="I554" i="38" s="1"/>
  <c r="I553" i="38" a="1"/>
  <c r="I553" i="38" s="1"/>
  <c r="I552" i="38" a="1"/>
  <c r="I552" i="38" s="1"/>
  <c r="I551" i="38" a="1"/>
  <c r="I551" i="38" s="1"/>
  <c r="B561" i="38" a="1"/>
  <c r="B561" i="38" s="1"/>
  <c r="B564" i="38" a="1"/>
  <c r="B564" i="38" s="1"/>
  <c r="B563" i="38" a="1"/>
  <c r="B563" i="38" s="1"/>
  <c r="B552" i="38" a="1"/>
  <c r="B552" i="38" s="1"/>
  <c r="B551" i="38" a="1"/>
  <c r="B551" i="38" s="1"/>
  <c r="E217" i="38"/>
  <c r="E216" i="38"/>
  <c r="E215" i="38"/>
  <c r="E214" i="38"/>
  <c r="E213" i="38"/>
  <c r="E212" i="38"/>
  <c r="E211" i="38"/>
  <c r="E210" i="38"/>
  <c r="E205" i="38"/>
  <c r="E204" i="38"/>
  <c r="E203" i="38"/>
  <c r="E202" i="38"/>
  <c r="E201" i="38"/>
  <c r="E200" i="38"/>
  <c r="E199" i="38"/>
  <c r="E198" i="38"/>
  <c r="E193" i="38"/>
  <c r="E192" i="38"/>
  <c r="E191" i="38"/>
  <c r="E190" i="38"/>
  <c r="E189" i="38"/>
  <c r="E188" i="38"/>
  <c r="E174" i="38"/>
  <c r="E175" i="38"/>
  <c r="E176" i="38"/>
  <c r="E177" i="38"/>
  <c r="E178" i="38"/>
  <c r="E179" i="38"/>
  <c r="E180" i="38"/>
  <c r="E181" i="38"/>
  <c r="E163" i="38"/>
  <c r="E164" i="38"/>
  <c r="E165" i="38"/>
  <c r="E166" i="38"/>
  <c r="E167" i="38"/>
  <c r="E168" i="38"/>
  <c r="E169" i="38"/>
  <c r="E56" i="38"/>
  <c r="E57" i="38"/>
  <c r="E58" i="38"/>
  <c r="E59" i="38"/>
  <c r="E60" i="38"/>
  <c r="E61" i="38"/>
  <c r="E63" i="38"/>
  <c r="E64" i="38"/>
  <c r="E65" i="38"/>
  <c r="E66" i="38"/>
  <c r="E67" i="38"/>
  <c r="E68" i="38"/>
  <c r="E69" i="38"/>
  <c r="E70" i="38"/>
  <c r="E71" i="38"/>
  <c r="E72" i="38"/>
  <c r="E73" i="38"/>
  <c r="E74" i="38"/>
  <c r="E75" i="38"/>
  <c r="E76" i="38"/>
  <c r="E77" i="38"/>
  <c r="E78" i="38"/>
  <c r="E79" i="38"/>
  <c r="E80" i="38"/>
  <c r="E81" i="38"/>
  <c r="E82" i="38"/>
  <c r="E83" i="38"/>
  <c r="E84" i="38"/>
  <c r="E85" i="38"/>
  <c r="E86" i="38"/>
  <c r="E87" i="38"/>
  <c r="E88" i="38"/>
  <c r="E89" i="38"/>
  <c r="E90" i="38"/>
  <c r="E91" i="38"/>
  <c r="L208" i="38"/>
  <c r="L196" i="38"/>
  <c r="L172" i="38"/>
  <c r="L160" i="38"/>
  <c r="H20" i="9" l="1" a="1"/>
  <c r="H20" i="9" s="1"/>
  <c r="D20" i="9" a="1"/>
  <c r="D20" i="9" s="1"/>
  <c r="C20" i="9" a="1"/>
  <c r="C20" i="9" s="1"/>
  <c r="C14" i="38" a="1"/>
  <c r="C14" i="38" s="1"/>
  <c r="J1" i="38"/>
  <c r="S809" i="38" a="1"/>
  <c r="S809" i="38" s="1"/>
  <c r="M202" i="35" a="1"/>
  <c r="M202" i="35" s="1"/>
  <c r="M197" i="35" a="1"/>
  <c r="M197" i="35" s="1"/>
  <c r="M191" i="35" a="1"/>
  <c r="M191" i="35" s="1"/>
  <c r="M184" i="35" a="1"/>
  <c r="M184" i="35" s="1"/>
  <c r="M177" i="35" a="1"/>
  <c r="M177" i="35" s="1"/>
  <c r="M172" i="35" a="1"/>
  <c r="M172" i="35" s="1"/>
  <c r="O337" i="35" a="1"/>
  <c r="O337" i="35" s="1"/>
  <c r="Q313" i="35"/>
  <c r="O350" i="35" s="1" a="1"/>
  <c r="O350" i="35" s="1"/>
  <c r="D98" i="38"/>
  <c r="C98" i="38"/>
  <c r="G280" i="35" a="1"/>
  <c r="G280" i="35" s="1"/>
  <c r="G270" i="35" a="1"/>
  <c r="G270" i="35" s="1"/>
  <c r="G246" i="35" a="1"/>
  <c r="G246" i="35" s="1"/>
  <c r="G235" i="35" a="1"/>
  <c r="G235" i="35" s="1"/>
  <c r="J47" i="15"/>
  <c r="E47" i="15" s="1"/>
  <c r="G47" i="15" s="1"/>
  <c r="J48" i="15"/>
  <c r="E48" i="15" s="1"/>
  <c r="G48" i="15" s="1"/>
  <c r="J49" i="15"/>
  <c r="E49" i="15" s="1"/>
  <c r="G49" i="15" s="1"/>
  <c r="J50" i="15"/>
  <c r="E50" i="15" s="1"/>
  <c r="G50" i="15" s="1"/>
  <c r="J51" i="15"/>
  <c r="F51" i="15" s="1"/>
  <c r="H51" i="15" s="1"/>
  <c r="J52" i="15"/>
  <c r="D52" i="15" s="1"/>
  <c r="J53" i="15"/>
  <c r="D53" i="15" s="1"/>
  <c r="J54" i="15"/>
  <c r="E54" i="15" s="1"/>
  <c r="G54" i="15" s="1"/>
  <c r="J55" i="15"/>
  <c r="D55" i="15" s="1"/>
  <c r="J56" i="15"/>
  <c r="D56" i="15" s="1"/>
  <c r="J57" i="15"/>
  <c r="D57" i="15" s="1"/>
  <c r="J58" i="15"/>
  <c r="D58" i="15" s="1"/>
  <c r="J59" i="15"/>
  <c r="D59" i="15" s="1"/>
  <c r="J60" i="15"/>
  <c r="D60" i="15" s="1"/>
  <c r="J61" i="15"/>
  <c r="E61" i="15" s="1"/>
  <c r="J62" i="15"/>
  <c r="E62" i="15" s="1"/>
  <c r="G62" i="15" s="1"/>
  <c r="J63" i="15"/>
  <c r="E63" i="15" s="1"/>
  <c r="G63" i="15" s="1"/>
  <c r="J64" i="15"/>
  <c r="E64" i="15" s="1"/>
  <c r="G64" i="15" s="1"/>
  <c r="J65" i="15"/>
  <c r="E65" i="15" s="1"/>
  <c r="G65" i="15" s="1"/>
  <c r="J66" i="15"/>
  <c r="E66" i="15" s="1"/>
  <c r="G66" i="15" s="1"/>
  <c r="J67" i="15"/>
  <c r="E67" i="15" s="1"/>
  <c r="G67" i="15" s="1"/>
  <c r="J68" i="15"/>
  <c r="D68" i="15" s="1"/>
  <c r="J69" i="15"/>
  <c r="D69" i="15" s="1"/>
  <c r="J70" i="15"/>
  <c r="E70" i="15" s="1"/>
  <c r="G70" i="15" s="1"/>
  <c r="J71" i="15"/>
  <c r="D71" i="15" s="1"/>
  <c r="J72" i="15"/>
  <c r="D72" i="15" s="1"/>
  <c r="J73" i="15"/>
  <c r="D73" i="15" s="1"/>
  <c r="J74" i="15"/>
  <c r="D74" i="15" s="1"/>
  <c r="J75" i="15"/>
  <c r="D75" i="15" s="1"/>
  <c r="J76" i="15"/>
  <c r="D76" i="15" s="1"/>
  <c r="J77" i="15"/>
  <c r="D77" i="15" s="1"/>
  <c r="J78" i="15"/>
  <c r="E78" i="15" s="1"/>
  <c r="G78" i="15" s="1"/>
  <c r="J79" i="15"/>
  <c r="E79" i="15" s="1"/>
  <c r="G79" i="15" s="1"/>
  <c r="J80" i="15"/>
  <c r="E80" i="15" s="1"/>
  <c r="G80" i="15" s="1"/>
  <c r="J81" i="15"/>
  <c r="E81" i="15" s="1"/>
  <c r="G81" i="15" s="1"/>
  <c r="J82" i="15"/>
  <c r="E82" i="15" s="1"/>
  <c r="G82" i="15" s="1"/>
  <c r="J83" i="15"/>
  <c r="E83" i="15" s="1"/>
  <c r="J84" i="15"/>
  <c r="D84" i="15" s="1"/>
  <c r="J85" i="15"/>
  <c r="D85" i="15" s="1"/>
  <c r="J86" i="15"/>
  <c r="E86" i="15" s="1"/>
  <c r="G86" i="15" s="1"/>
  <c r="J87" i="15"/>
  <c r="D87" i="15" s="1"/>
  <c r="J88" i="15"/>
  <c r="D88" i="15" s="1"/>
  <c r="J89" i="15"/>
  <c r="D89" i="15" s="1"/>
  <c r="J90" i="15"/>
  <c r="D90" i="15" s="1"/>
  <c r="J91" i="15"/>
  <c r="D91" i="15" s="1"/>
  <c r="J92" i="15"/>
  <c r="D92" i="15" s="1"/>
  <c r="J93" i="15"/>
  <c r="E93" i="15" s="1"/>
  <c r="J94" i="15"/>
  <c r="E94" i="15" s="1"/>
  <c r="G94" i="15" s="1"/>
  <c r="J95" i="15"/>
  <c r="E95" i="15" s="1"/>
  <c r="G95" i="15" s="1"/>
  <c r="J96" i="15"/>
  <c r="E96" i="15" s="1"/>
  <c r="G96" i="15" s="1"/>
  <c r="J97" i="15"/>
  <c r="E97" i="15" s="1"/>
  <c r="G97" i="15" s="1"/>
  <c r="J98" i="15"/>
  <c r="E98" i="15" s="1"/>
  <c r="G98" i="15" s="1"/>
  <c r="J99" i="15"/>
  <c r="D99" i="15" s="1"/>
  <c r="J100" i="15"/>
  <c r="D100" i="15" s="1"/>
  <c r="J101" i="15"/>
  <c r="D101" i="15" s="1"/>
  <c r="J102" i="15"/>
  <c r="E102" i="15" s="1"/>
  <c r="G102" i="15" s="1"/>
  <c r="J103" i="15"/>
  <c r="D103" i="15" s="1"/>
  <c r="J104" i="15"/>
  <c r="D104" i="15" s="1"/>
  <c r="J105" i="15"/>
  <c r="D105" i="15" s="1"/>
  <c r="J106" i="15"/>
  <c r="D106" i="15" s="1"/>
  <c r="J107" i="15"/>
  <c r="D107" i="15" s="1"/>
  <c r="J108" i="15"/>
  <c r="D108" i="15" s="1"/>
  <c r="J109" i="15"/>
  <c r="E109" i="15" s="1"/>
  <c r="J110" i="15"/>
  <c r="E110" i="15" s="1"/>
  <c r="G110" i="15" s="1"/>
  <c r="J111" i="15"/>
  <c r="E111" i="15" s="1"/>
  <c r="G111" i="15" s="1"/>
  <c r="J112" i="15"/>
  <c r="E112" i="15" s="1"/>
  <c r="G112" i="15" s="1"/>
  <c r="J113" i="15"/>
  <c r="E113" i="15" s="1"/>
  <c r="J114" i="15"/>
  <c r="E114" i="15" s="1"/>
  <c r="J115" i="15"/>
  <c r="E115" i="15" s="1"/>
  <c r="J116" i="15"/>
  <c r="D116" i="15" s="1"/>
  <c r="J117" i="15"/>
  <c r="D117" i="15" s="1"/>
  <c r="J118" i="15"/>
  <c r="E118" i="15" s="1"/>
  <c r="J119" i="15"/>
  <c r="D119" i="15" s="1"/>
  <c r="J120" i="15"/>
  <c r="D120" i="15" s="1"/>
  <c r="J121" i="15"/>
  <c r="D121" i="15" s="1"/>
  <c r="J122" i="15"/>
  <c r="D122" i="15" s="1"/>
  <c r="J123" i="15"/>
  <c r="D123" i="15" s="1"/>
  <c r="J124" i="15"/>
  <c r="D124" i="15" s="1"/>
  <c r="J125" i="15"/>
  <c r="D125" i="15" s="1"/>
  <c r="J126" i="15"/>
  <c r="E126" i="15" s="1"/>
  <c r="G126" i="15" s="1"/>
  <c r="J127" i="15"/>
  <c r="E127" i="15" s="1"/>
  <c r="G127" i="15" s="1"/>
  <c r="J128" i="15"/>
  <c r="E128" i="15" s="1"/>
  <c r="J129" i="15"/>
  <c r="E129" i="15" s="1"/>
  <c r="G129" i="15" s="1"/>
  <c r="J130" i="15"/>
  <c r="E130" i="15" s="1"/>
  <c r="G130" i="15" s="1"/>
  <c r="J131" i="15"/>
  <c r="E131" i="15" s="1"/>
  <c r="J132" i="15"/>
  <c r="D132" i="15" s="1"/>
  <c r="J133" i="15"/>
  <c r="D133" i="15" s="1"/>
  <c r="J134" i="15"/>
  <c r="E134" i="15" s="1"/>
  <c r="G134" i="15" s="1"/>
  <c r="J135" i="15"/>
  <c r="D135" i="15" s="1"/>
  <c r="J136" i="15"/>
  <c r="D136" i="15" s="1"/>
  <c r="J137" i="15"/>
  <c r="D137" i="15" s="1"/>
  <c r="J138" i="15"/>
  <c r="D138" i="15" s="1"/>
  <c r="J139" i="15"/>
  <c r="D139" i="15" s="1"/>
  <c r="J140" i="15"/>
  <c r="D140" i="15" s="1"/>
  <c r="J141" i="15"/>
  <c r="F141" i="15" s="1"/>
  <c r="H141" i="15" s="1"/>
  <c r="J142" i="15"/>
  <c r="E142" i="15" s="1"/>
  <c r="G142" i="15" s="1"/>
  <c r="J143" i="15"/>
  <c r="E143" i="15" s="1"/>
  <c r="G143" i="15" s="1"/>
  <c r="J144" i="15"/>
  <c r="E144" i="15" s="1"/>
  <c r="G144" i="15" s="1"/>
  <c r="J145" i="15"/>
  <c r="E145" i="15" s="1"/>
  <c r="J146" i="15"/>
  <c r="E146" i="15" s="1"/>
  <c r="G146" i="15" s="1"/>
  <c r="J147" i="15"/>
  <c r="D147" i="15" s="1"/>
  <c r="J148" i="15"/>
  <c r="D148" i="15" s="1"/>
  <c r="J149" i="15"/>
  <c r="D149" i="15" s="1"/>
  <c r="J150" i="15"/>
  <c r="E150" i="15" s="1"/>
  <c r="J151" i="15"/>
  <c r="D151" i="15" s="1"/>
  <c r="J152" i="15"/>
  <c r="D152" i="15" s="1"/>
  <c r="J153" i="15"/>
  <c r="D153" i="15" s="1"/>
  <c r="J154" i="15"/>
  <c r="D154" i="15" s="1"/>
  <c r="J155" i="15"/>
  <c r="D155" i="15" s="1"/>
  <c r="J156" i="15"/>
  <c r="D156" i="15" s="1"/>
  <c r="J157" i="15"/>
  <c r="F157" i="15" s="1"/>
  <c r="H157" i="15" s="1"/>
  <c r="J158" i="15"/>
  <c r="E158" i="15" s="1"/>
  <c r="J159" i="15"/>
  <c r="E159" i="15" s="1"/>
  <c r="G159" i="15" s="1"/>
  <c r="J160" i="15"/>
  <c r="E160" i="15" s="1"/>
  <c r="J161" i="15"/>
  <c r="E161" i="15" s="1"/>
  <c r="J162" i="15"/>
  <c r="E162" i="15" s="1"/>
  <c r="G162" i="15" s="1"/>
  <c r="J163" i="15"/>
  <c r="E163" i="15" s="1"/>
  <c r="J164" i="15"/>
  <c r="D164" i="15" s="1"/>
  <c r="J165" i="15"/>
  <c r="D165" i="15" s="1"/>
  <c r="J166" i="15"/>
  <c r="E166" i="15" s="1"/>
  <c r="J167" i="15"/>
  <c r="D167" i="15" s="1"/>
  <c r="J168" i="15"/>
  <c r="D168" i="15" s="1"/>
  <c r="J169" i="15"/>
  <c r="D169" i="15" s="1"/>
  <c r="J170" i="15"/>
  <c r="D170" i="15" s="1"/>
  <c r="J171" i="15"/>
  <c r="D171" i="15" s="1"/>
  <c r="J172" i="15"/>
  <c r="D172" i="15" s="1"/>
  <c r="J173" i="15"/>
  <c r="D173" i="15" s="1"/>
  <c r="J174" i="15"/>
  <c r="E174" i="15" s="1"/>
  <c r="G174" i="15" s="1"/>
  <c r="J175" i="15"/>
  <c r="E175" i="15" s="1"/>
  <c r="G175" i="15" s="1"/>
  <c r="J176" i="15"/>
  <c r="E176" i="15" s="1"/>
  <c r="J177" i="15"/>
  <c r="E177" i="15" s="1"/>
  <c r="J178" i="15"/>
  <c r="E178" i="15" s="1"/>
  <c r="J179" i="15"/>
  <c r="F179" i="15" s="1"/>
  <c r="H179" i="15" s="1"/>
  <c r="J180" i="15"/>
  <c r="D180" i="15" s="1"/>
  <c r="J181" i="15"/>
  <c r="D181" i="15" s="1"/>
  <c r="J182" i="15"/>
  <c r="E182" i="15" s="1"/>
  <c r="J183" i="15"/>
  <c r="D183" i="15" s="1"/>
  <c r="J184" i="15"/>
  <c r="D184" i="15" s="1"/>
  <c r="J185" i="15"/>
  <c r="D185" i="15" s="1"/>
  <c r="J186" i="15"/>
  <c r="D186" i="15" s="1"/>
  <c r="J187" i="15"/>
  <c r="D187" i="15" s="1"/>
  <c r="J188" i="15"/>
  <c r="D188" i="15" s="1"/>
  <c r="J189" i="15"/>
  <c r="E189" i="15" s="1"/>
  <c r="G189" i="15" s="1"/>
  <c r="J190" i="15"/>
  <c r="E190" i="15" s="1"/>
  <c r="G190" i="15" s="1"/>
  <c r="J191" i="15"/>
  <c r="E191" i="15" s="1"/>
  <c r="J192" i="15"/>
  <c r="E192" i="15" s="1"/>
  <c r="J193" i="15"/>
  <c r="E193" i="15" s="1"/>
  <c r="J194" i="15"/>
  <c r="E194" i="15" s="1"/>
  <c r="G194" i="15" s="1"/>
  <c r="J195" i="15"/>
  <c r="E195" i="15" s="1"/>
  <c r="G195" i="15" s="1"/>
  <c r="J196" i="15"/>
  <c r="D196" i="15" s="1"/>
  <c r="J197" i="15"/>
  <c r="D197" i="15" s="1"/>
  <c r="L47" i="15" a="1"/>
  <c r="L47" i="15" s="1"/>
  <c r="L48" i="15" a="1"/>
  <c r="L48" i="15" s="1"/>
  <c r="L49" i="15" a="1"/>
  <c r="L49" i="15" s="1"/>
  <c r="L50" i="15" a="1"/>
  <c r="L50" i="15" s="1"/>
  <c r="L51" i="15" a="1"/>
  <c r="L51" i="15" s="1"/>
  <c r="L52" i="15" a="1"/>
  <c r="L52" i="15" s="1"/>
  <c r="M52" i="15" s="1"/>
  <c r="L53" i="15" a="1"/>
  <c r="L53" i="15" s="1"/>
  <c r="L54" i="15" a="1"/>
  <c r="L54" i="15" s="1"/>
  <c r="L55" i="15" a="1"/>
  <c r="L55" i="15" s="1"/>
  <c r="L56" i="15" a="1"/>
  <c r="L56" i="15" s="1"/>
  <c r="L57" i="15" a="1"/>
  <c r="L57" i="15" s="1"/>
  <c r="L58" i="15" a="1"/>
  <c r="L58" i="15" s="1"/>
  <c r="N58" i="15" s="1"/>
  <c r="L59" i="15" a="1"/>
  <c r="L59" i="15" s="1"/>
  <c r="L60" i="15" a="1"/>
  <c r="L60" i="15" s="1"/>
  <c r="N60" i="15" s="1"/>
  <c r="L61" i="15" a="1"/>
  <c r="L61" i="15" s="1"/>
  <c r="N61" i="15" s="1"/>
  <c r="L62" i="15" a="1"/>
  <c r="L62" i="15" s="1"/>
  <c r="L63" i="15" a="1"/>
  <c r="L63" i="15" s="1"/>
  <c r="L64" i="15" a="1"/>
  <c r="L64" i="15" s="1"/>
  <c r="M64" i="15" s="1"/>
  <c r="L65" i="15" a="1"/>
  <c r="L65" i="15" s="1"/>
  <c r="N65" i="15" s="1"/>
  <c r="L66" i="15" a="1"/>
  <c r="L66" i="15" s="1"/>
  <c r="L67" i="15" a="1"/>
  <c r="L67" i="15" s="1"/>
  <c r="L68" i="15" a="1"/>
  <c r="L68" i="15" s="1"/>
  <c r="L69" i="15" a="1"/>
  <c r="L69" i="15" s="1"/>
  <c r="L70" i="15" a="1"/>
  <c r="L70" i="15" s="1"/>
  <c r="L71" i="15" a="1"/>
  <c r="L71" i="15" s="1"/>
  <c r="L72" i="15" a="1"/>
  <c r="L72" i="15" s="1"/>
  <c r="L73" i="15" a="1"/>
  <c r="L73" i="15" s="1"/>
  <c r="L74" i="15" a="1"/>
  <c r="L74" i="15" s="1"/>
  <c r="L75" i="15" a="1"/>
  <c r="L75" i="15" s="1"/>
  <c r="L76" i="15" a="1"/>
  <c r="L76" i="15" s="1"/>
  <c r="L77" i="15" a="1"/>
  <c r="L77" i="15" s="1"/>
  <c r="L78" i="15" a="1"/>
  <c r="L78" i="15" s="1"/>
  <c r="L79" i="15" a="1"/>
  <c r="L79" i="15" s="1"/>
  <c r="L80" i="15" a="1"/>
  <c r="L80" i="15" s="1"/>
  <c r="L81" i="15" a="1"/>
  <c r="L81" i="15" s="1"/>
  <c r="L82" i="15" a="1"/>
  <c r="L82" i="15" s="1"/>
  <c r="L83" i="15" a="1"/>
  <c r="L83" i="15" s="1"/>
  <c r="L84" i="15" a="1"/>
  <c r="L84" i="15" s="1"/>
  <c r="N84" i="15" s="1"/>
  <c r="L85" i="15" a="1"/>
  <c r="L85" i="15" s="1"/>
  <c r="L86" i="15" a="1"/>
  <c r="L86" i="15" s="1"/>
  <c r="L87" i="15" a="1"/>
  <c r="L87" i="15" s="1"/>
  <c r="L88" i="15" a="1"/>
  <c r="L88" i="15" s="1"/>
  <c r="L89" i="15" a="1"/>
  <c r="L89" i="15" s="1"/>
  <c r="M89" i="15" s="1"/>
  <c r="L90" i="15" a="1"/>
  <c r="L90" i="15" s="1"/>
  <c r="N90" i="15" s="1"/>
  <c r="L91" i="15" a="1"/>
  <c r="L91" i="15" s="1"/>
  <c r="L92" i="15" a="1"/>
  <c r="L92" i="15" s="1"/>
  <c r="M92" i="15" s="1"/>
  <c r="L93" i="15" a="1"/>
  <c r="L93" i="15" s="1"/>
  <c r="M93" i="15" s="1"/>
  <c r="L94" i="15" a="1"/>
  <c r="L94" i="15" s="1"/>
  <c r="M94" i="15" s="1"/>
  <c r="L95" i="15" a="1"/>
  <c r="L95" i="15" s="1"/>
  <c r="L96" i="15" a="1"/>
  <c r="L96" i="15" s="1"/>
  <c r="N96" i="15" s="1"/>
  <c r="L97" i="15" a="1"/>
  <c r="L97" i="15" s="1"/>
  <c r="M97" i="15" s="1"/>
  <c r="L98" i="15" a="1"/>
  <c r="L98" i="15" s="1"/>
  <c r="N98" i="15" s="1"/>
  <c r="L99" i="15" a="1"/>
  <c r="L99" i="15" s="1"/>
  <c r="M99" i="15" s="1"/>
  <c r="L100" i="15" a="1"/>
  <c r="L100" i="15" s="1"/>
  <c r="M100" i="15" s="1"/>
  <c r="L101" i="15" a="1"/>
  <c r="L101" i="15" s="1"/>
  <c r="N101" i="15" s="1"/>
  <c r="L102" i="15" a="1"/>
  <c r="L102" i="15" s="1"/>
  <c r="M102" i="15" s="1"/>
  <c r="L103" i="15" a="1"/>
  <c r="L103" i="15" s="1"/>
  <c r="L104" i="15" a="1"/>
  <c r="L104" i="15" s="1"/>
  <c r="L105" i="15" a="1"/>
  <c r="L105" i="15" s="1"/>
  <c r="L106" i="15" a="1"/>
  <c r="L106" i="15" s="1"/>
  <c r="L107" i="15" a="1"/>
  <c r="L107" i="15" s="1"/>
  <c r="N107" i="15" s="1"/>
  <c r="L108" i="15" a="1"/>
  <c r="L108" i="15" s="1"/>
  <c r="N108" i="15" s="1"/>
  <c r="L109" i="15" a="1"/>
  <c r="L109" i="15" s="1"/>
  <c r="M109" i="15" s="1"/>
  <c r="L110" i="15" a="1"/>
  <c r="L110" i="15" s="1"/>
  <c r="N110" i="15" s="1"/>
  <c r="L111" i="15" a="1"/>
  <c r="L111" i="15" s="1"/>
  <c r="M111" i="15" s="1"/>
  <c r="L112" i="15" a="1"/>
  <c r="L112" i="15" s="1"/>
  <c r="L113" i="15" a="1"/>
  <c r="L113" i="15" s="1"/>
  <c r="M113" i="15" s="1"/>
  <c r="L114" i="15" a="1"/>
  <c r="L114" i="15" s="1"/>
  <c r="L115" i="15" a="1"/>
  <c r="L115" i="15" s="1"/>
  <c r="L116" i="15" a="1"/>
  <c r="L116" i="15" s="1"/>
  <c r="L117" i="15" a="1"/>
  <c r="L117" i="15" s="1"/>
  <c r="L118" i="15" a="1"/>
  <c r="L118" i="15" s="1"/>
  <c r="L119" i="15" a="1"/>
  <c r="L119" i="15" s="1"/>
  <c r="L120" i="15" a="1"/>
  <c r="L120" i="15" s="1"/>
  <c r="M120" i="15" s="1"/>
  <c r="L121" i="15" a="1"/>
  <c r="L121" i="15" s="1"/>
  <c r="N121" i="15" s="1"/>
  <c r="L122" i="15" a="1"/>
  <c r="L122" i="15" s="1"/>
  <c r="M122" i="15" s="1"/>
  <c r="L123" i="15" a="1"/>
  <c r="L123" i="15" s="1"/>
  <c r="M123" i="15" s="1"/>
  <c r="L124" i="15" a="1"/>
  <c r="L124" i="15" s="1"/>
  <c r="N124" i="15" s="1"/>
  <c r="L125" i="15" a="1"/>
  <c r="L125" i="15" s="1"/>
  <c r="M125" i="15" s="1"/>
  <c r="L126" i="15" a="1"/>
  <c r="L126" i="15" s="1"/>
  <c r="M126" i="15" s="1"/>
  <c r="L127" i="15" a="1"/>
  <c r="L127" i="15" s="1"/>
  <c r="L128" i="15" a="1"/>
  <c r="L128" i="15" s="1"/>
  <c r="M128" i="15" s="1"/>
  <c r="L129" i="15" a="1"/>
  <c r="L129" i="15" s="1"/>
  <c r="L130" i="15" a="1"/>
  <c r="L130" i="15" s="1"/>
  <c r="L131" i="15" a="1"/>
  <c r="L131" i="15" s="1"/>
  <c r="M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M141" i="15" s="1"/>
  <c r="L142" i="15" a="1"/>
  <c r="L142" i="15" s="1"/>
  <c r="M142" i="15" s="1"/>
  <c r="L143" i="15" a="1"/>
  <c r="L143" i="15" s="1"/>
  <c r="L144" i="15" a="1"/>
  <c r="L144" i="15" s="1"/>
  <c r="M144" i="15" s="1"/>
  <c r="L145" i="15" a="1"/>
  <c r="L145" i="15" s="1"/>
  <c r="M145" i="15" s="1"/>
  <c r="L146" i="15" a="1"/>
  <c r="L146" i="15" s="1"/>
  <c r="M146" i="15" s="1"/>
  <c r="L147" i="15" a="1"/>
  <c r="L147" i="15" s="1"/>
  <c r="N147" i="15" s="1"/>
  <c r="L148" i="15" a="1"/>
  <c r="L148" i="15" s="1"/>
  <c r="M148" i="15" s="1"/>
  <c r="L149" i="15" a="1"/>
  <c r="L149" i="15" s="1"/>
  <c r="M149" i="15" s="1"/>
  <c r="L150" i="15" a="1"/>
  <c r="L150" i="15" s="1"/>
  <c r="M150" i="15" s="1"/>
  <c r="L151" i="15" a="1"/>
  <c r="L151" i="15" s="1"/>
  <c r="L152" i="15" a="1"/>
  <c r="L152" i="15" s="1"/>
  <c r="L153" i="15" a="1"/>
  <c r="L153" i="15" s="1"/>
  <c r="M153" i="15" s="1"/>
  <c r="L154" i="15" a="1"/>
  <c r="L154" i="15" s="1"/>
  <c r="M154" i="15" s="1"/>
  <c r="L155" i="15" a="1"/>
  <c r="L155" i="15" s="1"/>
  <c r="M155" i="15" s="1"/>
  <c r="L156" i="15" a="1"/>
  <c r="L156" i="15" s="1"/>
  <c r="N156" i="15" s="1"/>
  <c r="L157" i="15" a="1"/>
  <c r="L157" i="15" s="1"/>
  <c r="M157" i="15" s="1"/>
  <c r="L158" i="15" a="1"/>
  <c r="L158" i="15" s="1"/>
  <c r="M158" i="15" s="1"/>
  <c r="L159" i="15" a="1"/>
  <c r="L159" i="15" s="1"/>
  <c r="M159" i="15" s="1"/>
  <c r="L160" i="15" a="1"/>
  <c r="L160" i="15" s="1"/>
  <c r="L161" i="15" a="1"/>
  <c r="L161" i="15" s="1"/>
  <c r="M161" i="15" s="1"/>
  <c r="L162" i="15" a="1"/>
  <c r="L162" i="15" s="1"/>
  <c r="M162" i="15" s="1"/>
  <c r="L163" i="15" a="1"/>
  <c r="L163" i="15" s="1"/>
  <c r="N163" i="15" s="1"/>
  <c r="L164" i="15" a="1"/>
  <c r="L164" i="15" s="1"/>
  <c r="L165" i="15" a="1"/>
  <c r="L165" i="15" s="1"/>
  <c r="M165" i="15" s="1"/>
  <c r="L166" i="15" a="1"/>
  <c r="L166" i="15" s="1"/>
  <c r="N166" i="15" s="1"/>
  <c r="L167" i="15" a="1"/>
  <c r="L167" i="15" s="1"/>
  <c r="M167" i="15" s="1"/>
  <c r="L168" i="15" a="1"/>
  <c r="L168" i="15" s="1"/>
  <c r="M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M179" i="15" s="1"/>
  <c r="L180" i="15" a="1"/>
  <c r="L180" i="15" s="1"/>
  <c r="L181" i="15" a="1"/>
  <c r="L181" i="15" s="1"/>
  <c r="M181" i="15" s="1"/>
  <c r="L182" i="15" a="1"/>
  <c r="L182" i="15" s="1"/>
  <c r="M182" i="15" s="1"/>
  <c r="L183" i="15" a="1"/>
  <c r="L183" i="15" s="1"/>
  <c r="L184" i="15" a="1"/>
  <c r="L184" i="15" s="1"/>
  <c r="N184" i="15" s="1"/>
  <c r="L185" i="15" a="1"/>
  <c r="L185" i="15" s="1"/>
  <c r="L186" i="15" a="1"/>
  <c r="L186" i="15" s="1"/>
  <c r="M186" i="15" s="1"/>
  <c r="L187" i="15" a="1"/>
  <c r="L187" i="15" s="1"/>
  <c r="M187" i="15" s="1"/>
  <c r="L188" i="15" a="1"/>
  <c r="L188" i="15" s="1"/>
  <c r="M188" i="15" s="1"/>
  <c r="L189" i="15" a="1"/>
  <c r="L189" i="15" s="1"/>
  <c r="M189" i="15" s="1"/>
  <c r="L190" i="15" a="1"/>
  <c r="L190" i="15" s="1"/>
  <c r="M190" i="15" s="1"/>
  <c r="L191" i="15" a="1"/>
  <c r="L191" i="15" s="1"/>
  <c r="M191" i="15" s="1"/>
  <c r="L192" i="15" a="1"/>
  <c r="L192" i="15" s="1"/>
  <c r="L193" i="15" a="1"/>
  <c r="L193" i="15" s="1"/>
  <c r="M193" i="15" s="1"/>
  <c r="L194" i="15" a="1"/>
  <c r="L194" i="15" s="1"/>
  <c r="M194" i="15" s="1"/>
  <c r="L195" i="15" a="1"/>
  <c r="L195" i="15" s="1"/>
  <c r="M195" i="15" s="1"/>
  <c r="L196" i="15" a="1"/>
  <c r="L196" i="15" s="1"/>
  <c r="L197" i="15" a="1"/>
  <c r="L197" i="15" s="1"/>
  <c r="S282" i="35" a="1"/>
  <c r="S282" i="35" s="1"/>
  <c r="S258" i="35" a="1"/>
  <c r="S258" i="35" s="1"/>
  <c r="S235" i="35" a="1"/>
  <c r="S235" i="35" s="1"/>
  <c r="B258" i="35" a="1"/>
  <c r="B258" i="35" s="1"/>
  <c r="B235" i="35" a="1"/>
  <c r="B235" i="35" s="1"/>
  <c r="B282" i="35" a="1"/>
  <c r="B282" i="35" s="1"/>
  <c r="BP10" i="40"/>
  <c r="BR56" i="40" a="1"/>
  <c r="BR56" i="40" s="1"/>
  <c r="BR70" i="40" a="1"/>
  <c r="BR70" i="40" s="1"/>
  <c r="BR32" i="40" a="1"/>
  <c r="BR32" i="40" s="1"/>
  <c r="BR33" i="40" a="1"/>
  <c r="BR33" i="40" s="1"/>
  <c r="BR18" i="40" a="1"/>
  <c r="BR18" i="40" s="1"/>
  <c r="BR19" i="40" a="1"/>
  <c r="BR19" i="40" s="1"/>
  <c r="BG70" i="40" a="1"/>
  <c r="BG70" i="40" s="1"/>
  <c r="BJ70" i="40" s="1"/>
  <c r="BG71" i="40" a="1"/>
  <c r="BG71" i="40" s="1"/>
  <c r="BJ71" i="40" s="1"/>
  <c r="BG72" i="40" a="1"/>
  <c r="BG72" i="40" s="1"/>
  <c r="BJ72" i="40" s="1"/>
  <c r="BG46" i="40" a="1"/>
  <c r="BG46" i="40" s="1"/>
  <c r="BJ46" i="40" s="1"/>
  <c r="BG47" i="40" a="1"/>
  <c r="BG47" i="40" s="1"/>
  <c r="BJ47" i="40" s="1"/>
  <c r="BG48" i="40" a="1"/>
  <c r="BG48" i="40" s="1"/>
  <c r="BJ48" i="40" s="1"/>
  <c r="BG49" i="40" a="1"/>
  <c r="BG49" i="40" s="1"/>
  <c r="BJ49" i="40" s="1"/>
  <c r="BG50" i="40" a="1"/>
  <c r="BG50" i="40" s="1"/>
  <c r="BJ50" i="40" s="1"/>
  <c r="BG33" i="40" a="1"/>
  <c r="BG33" i="40" s="1"/>
  <c r="BJ33" i="40" s="1"/>
  <c r="BG34" i="40" a="1"/>
  <c r="BG34" i="40" s="1"/>
  <c r="BJ34" i="40" s="1"/>
  <c r="BG25" i="40" a="1"/>
  <c r="BG25" i="40" s="1"/>
  <c r="BJ25" i="40" s="1"/>
  <c r="BG26" i="40" a="1"/>
  <c r="BG26" i="40" s="1"/>
  <c r="BJ26" i="40" s="1"/>
  <c r="BG16" i="40" a="1"/>
  <c r="BG16" i="40" s="1"/>
  <c r="BJ16" i="40" s="1"/>
  <c r="BG17" i="40" a="1"/>
  <c r="BG17" i="40" s="1"/>
  <c r="BJ17" i="40" s="1"/>
  <c r="AX60" i="40"/>
  <c r="AP60" i="40" s="1" a="1"/>
  <c r="AP60" i="40" s="1"/>
  <c r="AY60" i="40"/>
  <c r="AX61" i="40"/>
  <c r="AP61" i="40" s="1" a="1"/>
  <c r="AP61" i="40" s="1"/>
  <c r="AY61" i="40"/>
  <c r="AX62" i="40"/>
  <c r="AP62" i="40" s="1" a="1"/>
  <c r="AP62" i="40" s="1"/>
  <c r="AY62" i="40"/>
  <c r="AW60" i="40"/>
  <c r="AW61" i="40"/>
  <c r="AW62" i="40"/>
  <c r="BP12" i="40"/>
  <c r="BP25" i="40"/>
  <c r="BP30" i="40"/>
  <c r="Y11" i="40" a="1"/>
  <c r="Y11" i="40" s="1"/>
  <c r="AB11" i="40" s="1"/>
  <c r="Y12" i="40" a="1"/>
  <c r="Y12" i="40" s="1"/>
  <c r="AB12" i="40" s="1"/>
  <c r="Y13" i="40" a="1"/>
  <c r="Y13" i="40" s="1"/>
  <c r="AB13" i="40" s="1"/>
  <c r="Y14" i="40" a="1"/>
  <c r="Y14" i="40" s="1"/>
  <c r="AB14" i="40" s="1"/>
  <c r="Y15" i="40" a="1"/>
  <c r="Y15" i="40" s="1"/>
  <c r="AB15" i="40" s="1"/>
  <c r="Y16" i="40" a="1"/>
  <c r="Y16" i="40" s="1"/>
  <c r="AB16" i="40" s="1"/>
  <c r="Y17" i="40" a="1"/>
  <c r="Y17" i="40" s="1"/>
  <c r="AB17" i="40" s="1"/>
  <c r="Y18" i="40" a="1"/>
  <c r="Y18" i="40" s="1"/>
  <c r="AB18" i="40" s="1"/>
  <c r="Y19" i="40" a="1"/>
  <c r="Y19" i="40" s="1"/>
  <c r="AB19" i="40" s="1"/>
  <c r="N51" i="40" a="1"/>
  <c r="N51" i="40" s="1"/>
  <c r="N41" i="40" a="1"/>
  <c r="N41" i="40" s="1"/>
  <c r="N31" i="40" a="1"/>
  <c r="N31" i="40" s="1"/>
  <c r="N30" i="40" a="1"/>
  <c r="N30" i="40" s="1"/>
  <c r="N14" i="40" a="1"/>
  <c r="N14" i="40" s="1"/>
  <c r="L11" i="40"/>
  <c r="L12" i="40"/>
  <c r="L13" i="40"/>
  <c r="L14" i="40"/>
  <c r="H91" i="38"/>
  <c r="H56" i="38"/>
  <c r="H57" i="38"/>
  <c r="H58" i="38"/>
  <c r="H59" i="38"/>
  <c r="H60" i="38"/>
  <c r="H61" i="38"/>
  <c r="H62" i="38"/>
  <c r="H63" i="38"/>
  <c r="H64" i="38"/>
  <c r="H65" i="38"/>
  <c r="H66" i="38"/>
  <c r="H67" i="38"/>
  <c r="H68" i="38"/>
  <c r="H69" i="38"/>
  <c r="H70" i="38"/>
  <c r="H71" i="38"/>
  <c r="H72" i="38"/>
  <c r="H73" i="38"/>
  <c r="H74" i="38"/>
  <c r="H75" i="38"/>
  <c r="H76" i="38"/>
  <c r="H77" i="38"/>
  <c r="H78" i="38"/>
  <c r="H79" i="38"/>
  <c r="H80" i="38"/>
  <c r="H81" i="38"/>
  <c r="H82" i="38"/>
  <c r="H83" i="38"/>
  <c r="H84" i="38"/>
  <c r="H85" i="38"/>
  <c r="H86" i="38"/>
  <c r="H87" i="38"/>
  <c r="H88" i="38"/>
  <c r="H89" i="38"/>
  <c r="H90" i="38"/>
  <c r="BE94" i="40"/>
  <c r="BH94" i="40" s="1"/>
  <c r="BE93" i="40"/>
  <c r="BC93" i="40" s="1"/>
  <c r="BA93" i="40" s="1"/>
  <c r="BE92" i="40"/>
  <c r="BC92" i="40" s="1"/>
  <c r="BA92" i="40" s="1"/>
  <c r="BE91" i="40"/>
  <c r="BH91" i="40" s="1"/>
  <c r="BE90" i="40"/>
  <c r="BH90" i="40" s="1"/>
  <c r="BE89" i="40"/>
  <c r="BC89" i="40" s="1"/>
  <c r="BA89" i="40" s="1"/>
  <c r="BE88" i="40"/>
  <c r="BC88" i="40" s="1"/>
  <c r="BA88" i="40" s="1"/>
  <c r="BE87" i="40"/>
  <c r="BC87" i="40" s="1"/>
  <c r="BA87" i="40" s="1"/>
  <c r="BE86" i="40"/>
  <c r="BC86" i="40" s="1"/>
  <c r="BA86" i="40" s="1"/>
  <c r="BE85" i="40"/>
  <c r="BC85" i="40" s="1"/>
  <c r="BA85" i="40" s="1"/>
  <c r="BE83" i="40"/>
  <c r="BC83" i="40" s="1"/>
  <c r="BA83" i="40" s="1"/>
  <c r="BP82" i="40"/>
  <c r="BE82" i="40"/>
  <c r="BC82" i="40" s="1"/>
  <c r="F83" i="40"/>
  <c r="F82" i="40"/>
  <c r="BP80" i="40"/>
  <c r="F81" i="40"/>
  <c r="BP79" i="40"/>
  <c r="F80" i="40"/>
  <c r="BP78" i="40"/>
  <c r="F79" i="40"/>
  <c r="BP77" i="40"/>
  <c r="F78" i="40"/>
  <c r="BP76" i="40"/>
  <c r="F77" i="40"/>
  <c r="BE72" i="40"/>
  <c r="BC72" i="40" s="1"/>
  <c r="BP70" i="40"/>
  <c r="BE71" i="40"/>
  <c r="BC71" i="40" s="1"/>
  <c r="F71" i="40"/>
  <c r="BP69" i="40"/>
  <c r="BE70" i="40"/>
  <c r="BC70" i="40" s="1"/>
  <c r="F70" i="40"/>
  <c r="BP68" i="40"/>
  <c r="BE69" i="40"/>
  <c r="BC69" i="40" s="1"/>
  <c r="BA69" i="40" s="1"/>
  <c r="F69" i="40"/>
  <c r="BP67" i="40"/>
  <c r="BE68" i="40"/>
  <c r="BC68" i="40" s="1"/>
  <c r="F68" i="40"/>
  <c r="BP66" i="40"/>
  <c r="BE67" i="40"/>
  <c r="BC67" i="40" s="1"/>
  <c r="F67" i="40"/>
  <c r="BP65" i="40"/>
  <c r="BE66" i="40"/>
  <c r="BC66" i="40" s="1"/>
  <c r="F66" i="40"/>
  <c r="BP64" i="40"/>
  <c r="BE65" i="40"/>
  <c r="BC65" i="40" s="1"/>
  <c r="BA65" i="40" s="1"/>
  <c r="F65" i="40"/>
  <c r="BP63" i="40"/>
  <c r="BE64" i="40"/>
  <c r="BH64" i="40" s="1"/>
  <c r="F64" i="40"/>
  <c r="BP62" i="40"/>
  <c r="BE63" i="40"/>
  <c r="BC63" i="40" s="1"/>
  <c r="BA63" i="40" s="1"/>
  <c r="F63" i="40"/>
  <c r="BP61" i="40"/>
  <c r="AR62" i="40"/>
  <c r="AS62" i="40" s="1"/>
  <c r="F62" i="40"/>
  <c r="BE61" i="40"/>
  <c r="BC61" i="40" s="1"/>
  <c r="AR61" i="40"/>
  <c r="AS61" i="40" s="1"/>
  <c r="BE60" i="40"/>
  <c r="BC60" i="40" s="1"/>
  <c r="AR60" i="40"/>
  <c r="AS60" i="40" s="1"/>
  <c r="BE59" i="40"/>
  <c r="BH59" i="40" s="1"/>
  <c r="BE58" i="40"/>
  <c r="BC58" i="40" s="1"/>
  <c r="BP56" i="40"/>
  <c r="F57" i="40"/>
  <c r="BP55" i="40"/>
  <c r="F56" i="40"/>
  <c r="BP54" i="40"/>
  <c r="F55" i="40"/>
  <c r="BP53" i="40"/>
  <c r="F54" i="40"/>
  <c r="BP52" i="40"/>
  <c r="F53" i="40"/>
  <c r="BP51" i="40"/>
  <c r="L51" i="40"/>
  <c r="F52" i="40"/>
  <c r="BP50" i="40"/>
  <c r="BE50" i="40"/>
  <c r="BC50" i="40" s="1"/>
  <c r="BA50" i="40" s="1"/>
  <c r="L50" i="40"/>
  <c r="F51" i="40"/>
  <c r="BP49" i="40"/>
  <c r="BE49" i="40"/>
  <c r="BC49" i="40" s="1"/>
  <c r="BA49" i="40" s="1"/>
  <c r="L49" i="40"/>
  <c r="F50" i="40"/>
  <c r="BP48" i="40"/>
  <c r="BE48" i="40"/>
  <c r="BH48" i="40" s="1"/>
  <c r="L48" i="40"/>
  <c r="F49" i="40"/>
  <c r="BP47" i="40"/>
  <c r="BE47" i="40"/>
  <c r="BC47" i="40" s="1"/>
  <c r="BA47" i="40" s="1"/>
  <c r="L47" i="40"/>
  <c r="F48" i="40"/>
  <c r="BP46" i="40"/>
  <c r="BE46" i="40"/>
  <c r="BC46" i="40" s="1"/>
  <c r="BA46" i="40" s="1"/>
  <c r="L46" i="40"/>
  <c r="F47" i="40"/>
  <c r="BP45" i="40"/>
  <c r="BE45" i="40"/>
  <c r="BC45" i="40" s="1"/>
  <c r="BA45" i="40" s="1"/>
  <c r="F46" i="40"/>
  <c r="BP44" i="40"/>
  <c r="BE44" i="40"/>
  <c r="BC44" i="40" s="1"/>
  <c r="BA44" i="40" s="1"/>
  <c r="F45" i="40"/>
  <c r="BP43" i="40"/>
  <c r="BE43" i="40"/>
  <c r="BH43" i="40" s="1"/>
  <c r="F44" i="40"/>
  <c r="BP42" i="40"/>
  <c r="BE42" i="40"/>
  <c r="BC42" i="40" s="1"/>
  <c r="BA42" i="40" s="1"/>
  <c r="F43" i="40"/>
  <c r="BP41" i="40"/>
  <c r="L41" i="40"/>
  <c r="F42" i="40"/>
  <c r="BP40" i="40"/>
  <c r="BE40" i="40"/>
  <c r="BC40" i="40" s="1"/>
  <c r="BA40" i="40" s="1"/>
  <c r="L40" i="40"/>
  <c r="F41" i="40"/>
  <c r="L39" i="40"/>
  <c r="L38" i="40"/>
  <c r="L37" i="40"/>
  <c r="L36" i="40"/>
  <c r="BP33" i="40"/>
  <c r="F34" i="40"/>
  <c r="BP32" i="40"/>
  <c r="F33" i="40"/>
  <c r="BP31" i="40"/>
  <c r="BE31" i="40"/>
  <c r="BC31" i="40" s="1"/>
  <c r="BA31" i="40" s="1"/>
  <c r="L31" i="40"/>
  <c r="F32" i="40"/>
  <c r="BE30" i="40"/>
  <c r="BC30" i="40" s="1"/>
  <c r="L30" i="40"/>
  <c r="F31" i="40"/>
  <c r="BP29" i="40"/>
  <c r="L29" i="40"/>
  <c r="F30" i="40"/>
  <c r="BP28" i="40"/>
  <c r="L28" i="40"/>
  <c r="F29" i="40"/>
  <c r="BP27" i="40"/>
  <c r="L27" i="40"/>
  <c r="F28" i="40"/>
  <c r="BP26" i="40"/>
  <c r="BE26" i="40"/>
  <c r="BC26" i="40" s="1"/>
  <c r="BA26" i="40" s="1"/>
  <c r="L26" i="40"/>
  <c r="F27" i="40"/>
  <c r="BE25" i="40"/>
  <c r="BC25" i="40" s="1"/>
  <c r="BA25" i="40" s="1"/>
  <c r="L25" i="40"/>
  <c r="F26" i="40"/>
  <c r="BP24" i="40"/>
  <c r="BE24" i="40"/>
  <c r="BC24" i="40" s="1"/>
  <c r="BA24" i="40" s="1"/>
  <c r="L24" i="40"/>
  <c r="F25" i="40"/>
  <c r="BE23" i="40"/>
  <c r="BH23" i="40" s="1"/>
  <c r="L23" i="40"/>
  <c r="BE22" i="40"/>
  <c r="BH22" i="40" s="1"/>
  <c r="L22" i="40"/>
  <c r="BE21" i="40"/>
  <c r="BC21" i="40" s="1"/>
  <c r="BA21" i="40" s="1"/>
  <c r="L21" i="40"/>
  <c r="BE20" i="40"/>
  <c r="BC20" i="40" s="1"/>
  <c r="BP19" i="40"/>
  <c r="F20" i="40"/>
  <c r="BP18" i="40"/>
  <c r="F19" i="40"/>
  <c r="BP17" i="40"/>
  <c r="BE17" i="40"/>
  <c r="BC17" i="40" s="1"/>
  <c r="F18" i="40"/>
  <c r="BP16" i="40"/>
  <c r="BE16" i="40"/>
  <c r="BC16" i="40" s="1"/>
  <c r="F17" i="40"/>
  <c r="BP15" i="40"/>
  <c r="BE15" i="40"/>
  <c r="BC15" i="40" s="1"/>
  <c r="BA15" i="40" s="1"/>
  <c r="F16" i="40"/>
  <c r="BP14" i="40"/>
  <c r="BE14" i="40"/>
  <c r="BC14" i="40" s="1"/>
  <c r="BA14" i="40" s="1"/>
  <c r="F15" i="40"/>
  <c r="BP13" i="40"/>
  <c r="BE13" i="40"/>
  <c r="BC13" i="40" s="1"/>
  <c r="F14" i="40"/>
  <c r="BE12" i="40"/>
  <c r="BC12" i="40" s="1"/>
  <c r="BA12" i="40" s="1"/>
  <c r="F13" i="40"/>
  <c r="BP11" i="40"/>
  <c r="BE11" i="40"/>
  <c r="BC11" i="40" s="1"/>
  <c r="F12" i="40"/>
  <c r="F11" i="40"/>
  <c r="AV53" i="40" s="1"/>
  <c r="BL4" i="40"/>
  <c r="B4" i="40"/>
  <c r="BL3" i="40"/>
  <c r="B3" i="40"/>
  <c r="A1" i="40"/>
  <c r="O2" i="38"/>
  <c r="O1" i="38"/>
  <c r="BH93" i="40"/>
  <c r="C129" i="40"/>
  <c r="C125" i="40"/>
  <c r="C13" i="9"/>
  <c r="C14" i="9"/>
  <c r="C2" i="35"/>
  <c r="C640" i="1"/>
  <c r="C6" i="9"/>
  <c r="E241" i="2"/>
  <c r="I174" i="1" s="1"/>
  <c r="J38" i="40" s="1"/>
  <c r="K38" i="40" s="1"/>
  <c r="AS139" i="30" a="1"/>
  <c r="AS139" i="30" s="1"/>
  <c r="AS138" i="30" a="1"/>
  <c r="AS138" i="30" s="1"/>
  <c r="AS137" i="30" a="1"/>
  <c r="AS137" i="30" s="1"/>
  <c r="AS136" i="30" a="1"/>
  <c r="AS136" i="30" s="1"/>
  <c r="C1" i="36"/>
  <c r="H648" i="1"/>
  <c r="C135" i="40" s="1"/>
  <c r="H649" i="1"/>
  <c r="H650" i="1"/>
  <c r="H651" i="1"/>
  <c r="H652" i="1"/>
  <c r="H653" i="1"/>
  <c r="H654" i="1"/>
  <c r="H655" i="1"/>
  <c r="H656" i="1"/>
  <c r="H657" i="1"/>
  <c r="H658" i="1"/>
  <c r="H659" i="1"/>
  <c r="H660" i="1"/>
  <c r="H661" i="1"/>
  <c r="H662" i="1"/>
  <c r="H663" i="1"/>
  <c r="H664" i="1"/>
  <c r="H665" i="1"/>
  <c r="H666" i="1"/>
  <c r="P430" i="35"/>
  <c r="Q430" i="35" s="1"/>
  <c r="P429" i="35"/>
  <c r="Q429" i="35" s="1"/>
  <c r="P428" i="35"/>
  <c r="Q428" i="35" s="1"/>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T143" i="35"/>
  <c r="P143" i="35"/>
  <c r="L143" i="35"/>
  <c r="H143" i="35"/>
  <c r="C143" i="35"/>
  <c r="T142" i="35"/>
  <c r="P142" i="35"/>
  <c r="L142" i="35"/>
  <c r="H142" i="35"/>
  <c r="C142" i="35"/>
  <c r="T141" i="35"/>
  <c r="P141" i="35"/>
  <c r="L141" i="35"/>
  <c r="H141" i="35"/>
  <c r="C141" i="35"/>
  <c r="T140" i="35"/>
  <c r="P140" i="35"/>
  <c r="L140" i="35"/>
  <c r="H140" i="35"/>
  <c r="C140" i="35"/>
  <c r="T139" i="35"/>
  <c r="P139" i="35"/>
  <c r="L139" i="35"/>
  <c r="H139" i="35"/>
  <c r="C139" i="35"/>
  <c r="T138" i="35"/>
  <c r="P138" i="35"/>
  <c r="L138" i="35"/>
  <c r="H138" i="35"/>
  <c r="C138" i="35"/>
  <c r="T137" i="35"/>
  <c r="P137" i="35"/>
  <c r="L137" i="35"/>
  <c r="H137" i="35"/>
  <c r="C137" i="35"/>
  <c r="T136" i="35"/>
  <c r="P136" i="35"/>
  <c r="L136" i="35"/>
  <c r="H136" i="35"/>
  <c r="C136" i="35"/>
  <c r="T135" i="35"/>
  <c r="P135" i="35"/>
  <c r="L135" i="35"/>
  <c r="H135" i="35"/>
  <c r="C135" i="35"/>
  <c r="P134" i="35"/>
  <c r="L134" i="35"/>
  <c r="H134" i="35"/>
  <c r="C134" i="35"/>
  <c r="P133" i="35"/>
  <c r="L133" i="35"/>
  <c r="H133" i="35"/>
  <c r="C133" i="35"/>
  <c r="P132" i="35"/>
  <c r="L132" i="35"/>
  <c r="H132" i="35"/>
  <c r="C132" i="35"/>
  <c r="P131" i="35"/>
  <c r="L131" i="35"/>
  <c r="H131" i="35"/>
  <c r="C131" i="35"/>
  <c r="P130" i="35"/>
  <c r="L130" i="35"/>
  <c r="H130" i="35"/>
  <c r="P129" i="35"/>
  <c r="L129" i="35"/>
  <c r="H129" i="35"/>
  <c r="P128" i="35"/>
  <c r="L128" i="35"/>
  <c r="H128" i="35"/>
  <c r="P127" i="35"/>
  <c r="L127" i="35"/>
  <c r="H127" i="35"/>
  <c r="L126" i="35"/>
  <c r="H126" i="35"/>
  <c r="L125" i="35"/>
  <c r="L124" i="35"/>
  <c r="L123" i="35"/>
  <c r="H123" i="35"/>
  <c r="L122" i="35"/>
  <c r="H122" i="35"/>
  <c r="L121" i="35"/>
  <c r="H121" i="35"/>
  <c r="L120" i="35"/>
  <c r="H120" i="35"/>
  <c r="L119" i="35"/>
  <c r="H119" i="35"/>
  <c r="H118" i="35"/>
  <c r="H117"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Q23" i="20"/>
  <c r="I17" i="13"/>
  <c r="C21" i="13" s="1" a="1"/>
  <c r="C21" i="13" s="1"/>
  <c r="F85" i="2" a="1"/>
  <c r="F85" i="2" s="1"/>
  <c r="G85" i="2" a="1"/>
  <c r="G85" i="2" s="1"/>
  <c r="H85" i="2" a="1"/>
  <c r="H85" i="2" s="1"/>
  <c r="I85" i="2" a="1"/>
  <c r="I85" i="2" s="1"/>
  <c r="J85" i="2" a="1"/>
  <c r="J85" i="2" s="1"/>
  <c r="K85" i="2" a="1"/>
  <c r="K85" i="2" s="1"/>
  <c r="L85" i="2" a="1"/>
  <c r="L85" i="2" s="1"/>
  <c r="M85" i="2" a="1"/>
  <c r="M85" i="2" s="1"/>
  <c r="N85" i="2" a="1"/>
  <c r="N85" i="2" s="1"/>
  <c r="O85" i="2" a="1"/>
  <c r="O85" i="2" s="1"/>
  <c r="P85" i="2" a="1"/>
  <c r="P85" i="2" s="1"/>
  <c r="Q85" i="2" a="1"/>
  <c r="Q85" i="2" s="1"/>
  <c r="R85" i="2" a="1"/>
  <c r="R85" i="2" s="1"/>
  <c r="S85" i="2" a="1"/>
  <c r="S85" i="2" s="1"/>
  <c r="T85" i="2" a="1"/>
  <c r="T85" i="2" s="1"/>
  <c r="U85" i="2" a="1"/>
  <c r="U85" i="2" s="1"/>
  <c r="V85" i="2" a="1"/>
  <c r="V85" i="2" s="1"/>
  <c r="W85" i="2" a="1"/>
  <c r="W85" i="2" s="1"/>
  <c r="X85" i="2" a="1"/>
  <c r="X85" i="2" s="1"/>
  <c r="Y85" i="2" a="1"/>
  <c r="Y85" i="2" s="1"/>
  <c r="Z85" i="2" a="1"/>
  <c r="Z85" i="2" s="1"/>
  <c r="AA85" i="2" a="1"/>
  <c r="AA85" i="2" s="1"/>
  <c r="AB85" i="2" a="1"/>
  <c r="AB85" i="2" s="1"/>
  <c r="AC85" i="2" a="1"/>
  <c r="AC85" i="2" s="1"/>
  <c r="AD85" i="2" a="1"/>
  <c r="AD85" i="2" s="1"/>
  <c r="AE85" i="2" a="1"/>
  <c r="AE85" i="2" s="1"/>
  <c r="AF85" i="2" a="1"/>
  <c r="AF85" i="2" s="1"/>
  <c r="AG85" i="2" a="1"/>
  <c r="AG85" i="2" s="1"/>
  <c r="AH85" i="2" a="1"/>
  <c r="AH85" i="2" s="1"/>
  <c r="AI85" i="2" a="1"/>
  <c r="AI85" i="2" s="1"/>
  <c r="AJ85" i="2" a="1"/>
  <c r="AJ85" i="2" s="1"/>
  <c r="AK85" i="2" a="1"/>
  <c r="AK85" i="2" s="1"/>
  <c r="E85" i="2" a="1"/>
  <c r="E85" i="2" s="1"/>
  <c r="O138" i="14"/>
  <c r="O139" i="14"/>
  <c r="O140" i="14"/>
  <c r="O141" i="14"/>
  <c r="O142" i="14"/>
  <c r="O104" i="14"/>
  <c r="O105" i="14"/>
  <c r="O106" i="14"/>
  <c r="O107" i="14"/>
  <c r="O112" i="14"/>
  <c r="O113" i="14"/>
  <c r="O114" i="14"/>
  <c r="O115" i="14"/>
  <c r="O116" i="14"/>
  <c r="O117" i="14"/>
  <c r="O118" i="14"/>
  <c r="O119" i="14"/>
  <c r="M120" i="14" a="1"/>
  <c r="M120" i="14"/>
  <c r="L120" i="14" a="1"/>
  <c r="L120" i="14"/>
  <c r="K120" i="14" a="1"/>
  <c r="K120" i="14"/>
  <c r="O120" i="14"/>
  <c r="J120" i="14" a="1"/>
  <c r="J120" i="14"/>
  <c r="I120" i="14" a="1"/>
  <c r="I120" i="14"/>
  <c r="M119" i="14"/>
  <c r="M119" i="14" a="1"/>
  <c r="L119" i="14" a="1"/>
  <c r="L119" i="14"/>
  <c r="K119" i="14"/>
  <c r="K119" i="14" a="1"/>
  <c r="J119" i="14" a="1"/>
  <c r="J119" i="14"/>
  <c r="I119" i="14" a="1"/>
  <c r="I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c r="L116" i="14" a="1"/>
  <c r="K116" i="14" a="1"/>
  <c r="K116" i="14"/>
  <c r="J116" i="14"/>
  <c r="J116" i="14" a="1"/>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c r="K113" i="14" a="1"/>
  <c r="J113" i="14" a="1"/>
  <c r="J113" i="14"/>
  <c r="I113" i="14"/>
  <c r="I113" i="14" a="1"/>
  <c r="M112" i="14" a="1"/>
  <c r="M112" i="14"/>
  <c r="L112" i="14" a="1"/>
  <c r="L112" i="14"/>
  <c r="K112" i="14" a="1"/>
  <c r="K112" i="14"/>
  <c r="J112" i="14" a="1"/>
  <c r="J112" i="14"/>
  <c r="I112" i="14" a="1"/>
  <c r="I112" i="14"/>
  <c r="M111" i="14" a="1"/>
  <c r="M111" i="14"/>
  <c r="L111" i="14" a="1"/>
  <c r="L111" i="14"/>
  <c r="K111" i="14" a="1"/>
  <c r="K111" i="14"/>
  <c r="O111" i="14"/>
  <c r="J111" i="14" a="1"/>
  <c r="J111" i="14"/>
  <c r="I111" i="14" a="1"/>
  <c r="I111" i="14"/>
  <c r="M110" i="14" a="1"/>
  <c r="M110" i="14"/>
  <c r="L110" i="14" a="1"/>
  <c r="L110" i="14"/>
  <c r="K110" i="14" a="1"/>
  <c r="K110" i="14"/>
  <c r="O110" i="14"/>
  <c r="J110" i="14"/>
  <c r="J110" i="14" a="1"/>
  <c r="I110" i="14" a="1"/>
  <c r="I110" i="14"/>
  <c r="M109" i="14"/>
  <c r="M109" i="14" a="1"/>
  <c r="L109" i="14" a="1"/>
  <c r="L109" i="14"/>
  <c r="K109" i="14" a="1"/>
  <c r="K109" i="14"/>
  <c r="O109" i="14"/>
  <c r="J109" i="14" a="1"/>
  <c r="J109" i="14"/>
  <c r="I109" i="14" a="1"/>
  <c r="I109" i="14"/>
  <c r="M108" i="14" a="1"/>
  <c r="M108" i="14"/>
  <c r="L108" i="14" a="1"/>
  <c r="L108" i="14"/>
  <c r="K108" i="14" a="1"/>
  <c r="K108" i="14"/>
  <c r="O108" i="14"/>
  <c r="J108" i="14" a="1"/>
  <c r="J108" i="14"/>
  <c r="I108" i="14" a="1"/>
  <c r="I108" i="14"/>
  <c r="M107" i="14" a="1"/>
  <c r="M107" i="14"/>
  <c r="L107" i="14" a="1"/>
  <c r="L107" i="14"/>
  <c r="K107" i="14" a="1"/>
  <c r="K107" i="14"/>
  <c r="J107" i="14" a="1"/>
  <c r="J107" i="14"/>
  <c r="I107" i="14"/>
  <c r="I107" i="14" a="1"/>
  <c r="M106" i="14" a="1"/>
  <c r="M106" i="14"/>
  <c r="L106" i="14"/>
  <c r="L106" i="14" a="1"/>
  <c r="K106" i="14" a="1"/>
  <c r="K106" i="14"/>
  <c r="J106" i="14" a="1"/>
  <c r="J106" i="14"/>
  <c r="I106" i="14" a="1"/>
  <c r="I106" i="14"/>
  <c r="M105" i="14" a="1"/>
  <c r="M105" i="14"/>
  <c r="L105" i="14" a="1"/>
  <c r="L105" i="14"/>
  <c r="K105" i="14" a="1"/>
  <c r="K105" i="14"/>
  <c r="J105" i="14" a="1"/>
  <c r="J105" i="14"/>
  <c r="I105" i="14" a="1"/>
  <c r="I105" i="14"/>
  <c r="M104" i="14" a="1"/>
  <c r="M104" i="14"/>
  <c r="L104" i="14" a="1"/>
  <c r="L104" i="14"/>
  <c r="K104" i="14" a="1"/>
  <c r="K104" i="14"/>
  <c r="J104" i="14" a="1"/>
  <c r="J104" i="14"/>
  <c r="I104" i="14" a="1"/>
  <c r="I104" i="14"/>
  <c r="M103" i="14" a="1"/>
  <c r="M103" i="14"/>
  <c r="L103" i="14" a="1"/>
  <c r="L103" i="14"/>
  <c r="K103" i="14" a="1"/>
  <c r="K103" i="14"/>
  <c r="J103" i="14" a="1"/>
  <c r="J103" i="14"/>
  <c r="I103" i="14" a="1"/>
  <c r="I103" i="14"/>
  <c r="AC449" i="1" a="1"/>
  <c r="AC449" i="1" s="1"/>
  <c r="I6" i="14" a="1"/>
  <c r="I6" i="14" s="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1" i="1"/>
  <c r="AA510" i="1"/>
  <c r="AA509" i="1"/>
  <c r="E165" i="13"/>
  <c r="AG464" i="1" a="1"/>
  <c r="AG464" i="1" s="1"/>
  <c r="AF464" i="1" a="1"/>
  <c r="AF464" i="1" s="1"/>
  <c r="AE464" i="1" a="1"/>
  <c r="AE464" i="1" s="1"/>
  <c r="AD464" i="1" a="1"/>
  <c r="AD464" i="1" s="1"/>
  <c r="AC464" i="1" a="1"/>
  <c r="AC464" i="1" s="1"/>
  <c r="AG463" i="1" a="1"/>
  <c r="AG463" i="1" s="1"/>
  <c r="AF463" i="1" a="1"/>
  <c r="AF463" i="1" s="1"/>
  <c r="AE463" i="1" a="1"/>
  <c r="AE463" i="1" s="1"/>
  <c r="AD463" i="1" a="1"/>
  <c r="AD463" i="1" s="1"/>
  <c r="AC463" i="1" a="1"/>
  <c r="AC463" i="1" s="1"/>
  <c r="AG462" i="1" a="1"/>
  <c r="AG462" i="1" s="1"/>
  <c r="AF462" i="1" a="1"/>
  <c r="AF462" i="1" s="1"/>
  <c r="AE462" i="1" a="1"/>
  <c r="AE462" i="1" s="1"/>
  <c r="AD462" i="1" a="1"/>
  <c r="AD462" i="1" s="1"/>
  <c r="AC462" i="1" a="1"/>
  <c r="AC462" i="1" s="1"/>
  <c r="AG461" i="1" a="1"/>
  <c r="AG461" i="1" s="1"/>
  <c r="AF461" i="1" a="1"/>
  <c r="AF461" i="1" s="1"/>
  <c r="AE461" i="1" a="1"/>
  <c r="AE461" i="1" s="1"/>
  <c r="AD461" i="1" a="1"/>
  <c r="AD461" i="1" s="1"/>
  <c r="AC461" i="1" a="1"/>
  <c r="AC461" i="1" s="1"/>
  <c r="AG460" i="1" a="1"/>
  <c r="AG460" i="1" s="1"/>
  <c r="AF460" i="1" a="1"/>
  <c r="AF460" i="1" s="1"/>
  <c r="AE460" i="1" a="1"/>
  <c r="AE460" i="1" s="1"/>
  <c r="AD460" i="1" a="1"/>
  <c r="AD460" i="1" s="1"/>
  <c r="AC460" i="1" a="1"/>
  <c r="AC460" i="1" s="1"/>
  <c r="AG459" i="1" a="1"/>
  <c r="AG459" i="1" s="1"/>
  <c r="AF459" i="1" a="1"/>
  <c r="AF459" i="1" s="1"/>
  <c r="AE459" i="1" a="1"/>
  <c r="AE459" i="1" s="1"/>
  <c r="AD459" i="1" a="1"/>
  <c r="AD459" i="1" s="1"/>
  <c r="AC459" i="1" a="1"/>
  <c r="AC459" i="1" s="1"/>
  <c r="AG458" i="1" a="1"/>
  <c r="AG458" i="1" s="1"/>
  <c r="AF458" i="1" a="1"/>
  <c r="AF458" i="1" s="1"/>
  <c r="AE458" i="1" a="1"/>
  <c r="AE458" i="1" s="1"/>
  <c r="AD458" i="1" a="1"/>
  <c r="AD458" i="1" s="1"/>
  <c r="AC458" i="1" a="1"/>
  <c r="AC458" i="1" s="1"/>
  <c r="AG457" i="1" a="1"/>
  <c r="AG457" i="1" s="1"/>
  <c r="AF457" i="1" a="1"/>
  <c r="AF457" i="1" s="1"/>
  <c r="AE457" i="1" a="1"/>
  <c r="AE457" i="1" s="1"/>
  <c r="AD457" i="1" a="1"/>
  <c r="AD457" i="1" s="1"/>
  <c r="AC457" i="1" a="1"/>
  <c r="AC457" i="1" s="1"/>
  <c r="AG456" i="1" a="1"/>
  <c r="AG456" i="1" s="1"/>
  <c r="AF456" i="1" a="1"/>
  <c r="AF456" i="1" s="1"/>
  <c r="AE456" i="1" a="1"/>
  <c r="AE456" i="1" s="1"/>
  <c r="AD456" i="1" a="1"/>
  <c r="AD456" i="1" s="1"/>
  <c r="AC456" i="1" a="1"/>
  <c r="AC456" i="1" s="1"/>
  <c r="AG455" i="1" a="1"/>
  <c r="AG455" i="1" s="1"/>
  <c r="AF455" i="1" a="1"/>
  <c r="AF455" i="1" s="1"/>
  <c r="AE455" i="1" a="1"/>
  <c r="AE455" i="1" s="1"/>
  <c r="AD455" i="1" a="1"/>
  <c r="AD455" i="1" s="1"/>
  <c r="AC455" i="1" a="1"/>
  <c r="AC455" i="1" s="1"/>
  <c r="AG454" i="1" a="1"/>
  <c r="AG454" i="1" s="1"/>
  <c r="AF454" i="1" a="1"/>
  <c r="AF454" i="1" s="1"/>
  <c r="AE454" i="1" a="1"/>
  <c r="AE454" i="1" s="1"/>
  <c r="AD454" i="1" a="1"/>
  <c r="AD454" i="1" s="1"/>
  <c r="AC454" i="1" a="1"/>
  <c r="AC454" i="1" s="1"/>
  <c r="AG453" i="1" a="1"/>
  <c r="AG453" i="1" s="1"/>
  <c r="AF453" i="1" a="1"/>
  <c r="AF453" i="1" s="1"/>
  <c r="AE453" i="1" a="1"/>
  <c r="AE453" i="1" s="1"/>
  <c r="AD453" i="1" a="1"/>
  <c r="AD453" i="1" s="1"/>
  <c r="AC453" i="1" a="1"/>
  <c r="AC453" i="1" s="1"/>
  <c r="AG452" i="1" a="1"/>
  <c r="AG452" i="1" s="1"/>
  <c r="AF452" i="1" a="1"/>
  <c r="AF452" i="1" s="1"/>
  <c r="AE452" i="1" a="1"/>
  <c r="AE452" i="1" s="1"/>
  <c r="AD452" i="1" a="1"/>
  <c r="AD452" i="1" s="1"/>
  <c r="AC452" i="1" a="1"/>
  <c r="AC452" i="1" s="1"/>
  <c r="AG451" i="1" a="1"/>
  <c r="AG451" i="1" s="1"/>
  <c r="AF451" i="1" a="1"/>
  <c r="AF451" i="1" s="1"/>
  <c r="AE451" i="1" a="1"/>
  <c r="AE451" i="1" s="1"/>
  <c r="AD451" i="1" a="1"/>
  <c r="AD451" i="1" s="1"/>
  <c r="AC451" i="1" a="1"/>
  <c r="AC451" i="1" s="1"/>
  <c r="AG450" i="1" a="1"/>
  <c r="AG450" i="1" s="1"/>
  <c r="AF450" i="1" a="1"/>
  <c r="AF450" i="1" s="1"/>
  <c r="AE450" i="1" a="1"/>
  <c r="AE450" i="1" s="1"/>
  <c r="AD450" i="1" a="1"/>
  <c r="AD450" i="1" s="1"/>
  <c r="AC450" i="1" a="1"/>
  <c r="AC450" i="1" s="1"/>
  <c r="AG449" i="1" a="1"/>
  <c r="AG449" i="1" s="1"/>
  <c r="AF449" i="1" a="1"/>
  <c r="AF449" i="1" s="1"/>
  <c r="AE449" i="1" a="1"/>
  <c r="AE449" i="1" s="1"/>
  <c r="AD449" i="1" a="1"/>
  <c r="AD449" i="1" s="1"/>
  <c r="AI506" i="1"/>
  <c r="AI505" i="1"/>
  <c r="AI504" i="1"/>
  <c r="AI503" i="1"/>
  <c r="AI502" i="1"/>
  <c r="AI501" i="1"/>
  <c r="AI500" i="1"/>
  <c r="AI499" i="1"/>
  <c r="AI498" i="1"/>
  <c r="AI497" i="1"/>
  <c r="AI496" i="1"/>
  <c r="AI495" i="1"/>
  <c r="AI494" i="1"/>
  <c r="AB447" i="1"/>
  <c r="H417" i="1" a="1"/>
  <c r="H417" i="1" s="1"/>
  <c r="D64" i="13" a="1"/>
  <c r="D64" i="13" s="1"/>
  <c r="Q61" i="13"/>
  <c r="O103" i="14"/>
  <c r="C65" i="9" a="1"/>
  <c r="C65" i="9" s="1"/>
  <c r="I74" i="13"/>
  <c r="I75" i="13"/>
  <c r="E70" i="13"/>
  <c r="U121" i="27"/>
  <c r="U122" i="27"/>
  <c r="U123" i="27"/>
  <c r="U124" i="27"/>
  <c r="U125" i="27"/>
  <c r="U126" i="27"/>
  <c r="U127" i="27"/>
  <c r="U128" i="27"/>
  <c r="U129" i="27"/>
  <c r="U130" i="27"/>
  <c r="U131" i="27"/>
  <c r="U132" i="27"/>
  <c r="U149" i="27"/>
  <c r="U150" i="27"/>
  <c r="U151" i="27"/>
  <c r="U152" i="27"/>
  <c r="U153" i="27"/>
  <c r="U154" i="27"/>
  <c r="U155" i="27"/>
  <c r="U156" i="27"/>
  <c r="U157" i="27"/>
  <c r="U158" i="27"/>
  <c r="U159" i="27"/>
  <c r="U160" i="27"/>
  <c r="U161" i="27"/>
  <c r="U162" i="27"/>
  <c r="U163" i="27"/>
  <c r="U137" i="27"/>
  <c r="U138" i="27"/>
  <c r="U139" i="27"/>
  <c r="U140" i="27"/>
  <c r="U141" i="27"/>
  <c r="U142" i="27"/>
  <c r="U143" i="27"/>
  <c r="U144" i="27"/>
  <c r="U145" i="27"/>
  <c r="U146" i="27"/>
  <c r="U147" i="27"/>
  <c r="U148" i="27"/>
  <c r="U133" i="27"/>
  <c r="U134" i="27"/>
  <c r="U135" i="27"/>
  <c r="U136" i="27"/>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U347" i="30"/>
  <c r="V347" i="30"/>
  <c r="U348" i="30"/>
  <c r="V348" i="30"/>
  <c r="U349" i="30"/>
  <c r="V349" i="30"/>
  <c r="V350" i="30"/>
  <c r="F158" i="30"/>
  <c r="AT32" i="30" a="1"/>
  <c r="AT32" i="30"/>
  <c r="AM100" i="30"/>
  <c r="AM101" i="30" s="1"/>
  <c r="AM102" i="30" s="1" a="1"/>
  <c r="AM102" i="30" s="1"/>
  <c r="AL100" i="30"/>
  <c r="AL101" i="30" s="1"/>
  <c r="AL102" i="30" s="1" a="1"/>
  <c r="AL102" i="30" s="1"/>
  <c r="C102" i="14"/>
  <c r="C100" i="14" a="1"/>
  <c r="C100" i="14"/>
  <c r="J144" i="30"/>
  <c r="C1" i="30"/>
  <c r="F156" i="30"/>
  <c r="F155" i="30"/>
  <c r="Y154" i="30"/>
  <c r="J154" i="30"/>
  <c r="F154" i="30"/>
  <c r="C154" i="30"/>
  <c r="Y153" i="30"/>
  <c r="J153" i="30"/>
  <c r="F153" i="30"/>
  <c r="C153" i="30"/>
  <c r="Y152" i="30"/>
  <c r="J152" i="30"/>
  <c r="F152" i="30"/>
  <c r="C152" i="30"/>
  <c r="Y151" i="30"/>
  <c r="J151" i="30"/>
  <c r="F151" i="30"/>
  <c r="C151" i="30"/>
  <c r="Y150" i="30"/>
  <c r="J150" i="30"/>
  <c r="F150" i="30"/>
  <c r="C150" i="30"/>
  <c r="Y149" i="30"/>
  <c r="J149" i="30"/>
  <c r="F149" i="30"/>
  <c r="C149" i="30"/>
  <c r="Y148" i="30"/>
  <c r="J148" i="30"/>
  <c r="F148" i="30"/>
  <c r="C148" i="30"/>
  <c r="Y147" i="30"/>
  <c r="J147" i="30"/>
  <c r="F147" i="30"/>
  <c r="C147" i="30"/>
  <c r="Y146" i="30"/>
  <c r="J146" i="30"/>
  <c r="F146" i="30"/>
  <c r="C146" i="30"/>
  <c r="Y145" i="30"/>
  <c r="J145" i="30"/>
  <c r="F145" i="30"/>
  <c r="C145" i="30"/>
  <c r="Y144" i="30"/>
  <c r="F144" i="30"/>
  <c r="C144" i="30"/>
  <c r="Y143" i="30"/>
  <c r="J143" i="30"/>
  <c r="F143" i="30"/>
  <c r="Y142" i="30"/>
  <c r="J142" i="30"/>
  <c r="F142" i="30"/>
  <c r="Y141" i="30"/>
  <c r="J141" i="30"/>
  <c r="F141" i="30"/>
  <c r="J140" i="30"/>
  <c r="F140" i="30"/>
  <c r="J139" i="30"/>
  <c r="F139" i="30"/>
  <c r="J138" i="30"/>
  <c r="F138" i="30"/>
  <c r="J137" i="30"/>
  <c r="F137" i="30"/>
  <c r="J136" i="30"/>
  <c r="F136" i="30"/>
  <c r="J135" i="30"/>
  <c r="F135" i="30"/>
  <c r="J134" i="30"/>
  <c r="F134" i="30"/>
  <c r="J133" i="30"/>
  <c r="F133" i="30"/>
  <c r="J132" i="30"/>
  <c r="F132" i="30"/>
  <c r="J131" i="30"/>
  <c r="F131" i="30"/>
  <c r="J130" i="30"/>
  <c r="J129" i="30"/>
  <c r="J128" i="30"/>
  <c r="J127" i="30"/>
  <c r="J126" i="30"/>
  <c r="J125" i="30"/>
  <c r="J124" i="30"/>
  <c r="J123" i="30"/>
  <c r="J122" i="30"/>
  <c r="J121" i="30"/>
  <c r="J120" i="30"/>
  <c r="J119" i="30"/>
  <c r="J118" i="30"/>
  <c r="J117" i="30"/>
  <c r="J116" i="30"/>
  <c r="J115" i="30"/>
  <c r="J114" i="30"/>
  <c r="J113" i="30"/>
  <c r="J112" i="30"/>
  <c r="J111" i="30"/>
  <c r="J110" i="30"/>
  <c r="J109" i="30"/>
  <c r="J108" i="30"/>
  <c r="AI238" i="2"/>
  <c r="AJ238" i="2"/>
  <c r="AK238" i="2"/>
  <c r="AL238" i="2"/>
  <c r="AM238" i="2"/>
  <c r="AL85" i="2" a="1"/>
  <c r="AL85" i="2" s="1"/>
  <c r="AM85" i="2" a="1"/>
  <c r="AM85" i="2" s="1"/>
  <c r="AV34" i="30" a="1"/>
  <c r="AV34" i="30" s="1"/>
  <c r="AU34" i="30" a="1"/>
  <c r="AU34" i="30" s="1"/>
  <c r="AT34" i="30" a="1"/>
  <c r="AT34" i="30" s="1"/>
  <c r="AS34" i="30" a="1"/>
  <c r="AS34" i="30" s="1"/>
  <c r="T280" i="30" a="1"/>
  <c r="T280" i="30"/>
  <c r="T270" i="30" a="1"/>
  <c r="T270" i="30"/>
  <c r="V153" i="27"/>
  <c r="V152" i="27"/>
  <c r="V151" i="27"/>
  <c r="V150" i="27"/>
  <c r="V149" i="27"/>
  <c r="V148" i="27"/>
  <c r="V147" i="27"/>
  <c r="V146" i="27"/>
  <c r="V145" i="27"/>
  <c r="V144" i="27"/>
  <c r="V143" i="27"/>
  <c r="V142" i="27"/>
  <c r="V141" i="27"/>
  <c r="V140" i="27"/>
  <c r="V139" i="27"/>
  <c r="V138" i="27"/>
  <c r="V137" i="27"/>
  <c r="V136" i="27"/>
  <c r="V135" i="27"/>
  <c r="V134" i="27"/>
  <c r="V133" i="27"/>
  <c r="V132" i="27"/>
  <c r="V131" i="27"/>
  <c r="V130" i="27"/>
  <c r="V129" i="27"/>
  <c r="V128" i="27"/>
  <c r="V127" i="27"/>
  <c r="V122" i="27"/>
  <c r="V121" i="27"/>
  <c r="S152" i="27"/>
  <c r="S153" i="27"/>
  <c r="S148" i="27"/>
  <c r="S149" i="27"/>
  <c r="S150" i="27"/>
  <c r="S151" i="27"/>
  <c r="S121" i="27"/>
  <c r="S122" i="27"/>
  <c r="S123" i="27"/>
  <c r="S124" i="27"/>
  <c r="S125" i="27"/>
  <c r="S126" i="27"/>
  <c r="S127" i="27"/>
  <c r="S128" i="27"/>
  <c r="S129" i="27"/>
  <c r="S130" i="27"/>
  <c r="S131" i="27"/>
  <c r="S132" i="27"/>
  <c r="S133" i="27"/>
  <c r="S134" i="27"/>
  <c r="S135" i="27"/>
  <c r="S136" i="27"/>
  <c r="S137" i="27"/>
  <c r="S138" i="27"/>
  <c r="S139" i="27"/>
  <c r="S140" i="27"/>
  <c r="S141" i="27"/>
  <c r="S142" i="27"/>
  <c r="S143" i="27"/>
  <c r="S144" i="27"/>
  <c r="S145" i="27"/>
  <c r="S146" i="27"/>
  <c r="S147" i="27"/>
  <c r="I144" i="27"/>
  <c r="I145" i="27"/>
  <c r="I146" i="27"/>
  <c r="I147" i="27"/>
  <c r="I148" i="27"/>
  <c r="I149" i="27"/>
  <c r="I150" i="27"/>
  <c r="I151" i="27"/>
  <c r="I152" i="27"/>
  <c r="I153" i="27"/>
  <c r="I141" i="27"/>
  <c r="I142" i="27"/>
  <c r="I143" i="27"/>
  <c r="I121" i="27"/>
  <c r="I122" i="27"/>
  <c r="I123" i="27"/>
  <c r="I124" i="27"/>
  <c r="I125" i="27"/>
  <c r="I126" i="27"/>
  <c r="I127" i="27"/>
  <c r="I128" i="27"/>
  <c r="I129" i="27"/>
  <c r="I130" i="27"/>
  <c r="I131" i="27"/>
  <c r="I132" i="27"/>
  <c r="I133" i="27"/>
  <c r="I134" i="27"/>
  <c r="I135" i="27"/>
  <c r="I136" i="27"/>
  <c r="I137" i="27"/>
  <c r="I138" i="27"/>
  <c r="I139" i="27"/>
  <c r="I140" i="27"/>
  <c r="F121" i="27"/>
  <c r="F122" i="27"/>
  <c r="F123" i="27"/>
  <c r="F124" i="27"/>
  <c r="F125" i="27"/>
  <c r="F126" i="27"/>
  <c r="F127" i="27"/>
  <c r="F128" i="27"/>
  <c r="F129" i="27"/>
  <c r="F130" i="27"/>
  <c r="F131" i="27"/>
  <c r="F132" i="27"/>
  <c r="F133" i="27"/>
  <c r="F134" i="27"/>
  <c r="F135" i="27"/>
  <c r="F136" i="27"/>
  <c r="F137" i="27"/>
  <c r="F138" i="27"/>
  <c r="F139" i="27"/>
  <c r="F140" i="27"/>
  <c r="F141" i="27"/>
  <c r="F142" i="27"/>
  <c r="F143" i="27"/>
  <c r="F144" i="27"/>
  <c r="F145" i="27"/>
  <c r="F146" i="27"/>
  <c r="F147" i="27"/>
  <c r="F148" i="27"/>
  <c r="F149" i="27"/>
  <c r="F150" i="27"/>
  <c r="F151" i="27"/>
  <c r="F152" i="27"/>
  <c r="F153"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L84" i="3" a="1"/>
  <c r="L84" i="3" s="1"/>
  <c r="N84" i="3" s="1"/>
  <c r="L87" i="3" a="1"/>
  <c r="L87" i="3" s="1"/>
  <c r="N87" i="3" s="1"/>
  <c r="L92" i="3" a="1"/>
  <c r="L92" i="3" s="1"/>
  <c r="L98" i="3" a="1"/>
  <c r="L98" i="3" s="1"/>
  <c r="M98" i="3" s="1"/>
  <c r="L115" i="3" a="1"/>
  <c r="L115" i="3" s="1"/>
  <c r="M115" i="3" s="1"/>
  <c r="L116" i="3" a="1"/>
  <c r="L116" i="3" s="1"/>
  <c r="L117" i="3" a="1"/>
  <c r="L117" i="3" s="1"/>
  <c r="L118" i="3" a="1"/>
  <c r="L118" i="3" s="1"/>
  <c r="L119" i="3" a="1"/>
  <c r="L119" i="3" s="1"/>
  <c r="L120" i="3" a="1"/>
  <c r="L120" i="3" s="1"/>
  <c r="L121" i="3" a="1"/>
  <c r="L121" i="3" s="1"/>
  <c r="L122" i="3" a="1"/>
  <c r="L122" i="3" s="1"/>
  <c r="M122" i="3" s="1"/>
  <c r="L123" i="3" a="1"/>
  <c r="L123" i="3" s="1"/>
  <c r="L124" i="3" a="1"/>
  <c r="L124" i="3" s="1"/>
  <c r="M124" i="3" s="1"/>
  <c r="L125" i="3" a="1"/>
  <c r="L125" i="3" s="1"/>
  <c r="M125" i="3" s="1"/>
  <c r="L126" i="3" a="1"/>
  <c r="L126" i="3" s="1"/>
  <c r="L127" i="3" a="1"/>
  <c r="L127" i="3" s="1"/>
  <c r="M127" i="3" s="1"/>
  <c r="L128" i="3" a="1"/>
  <c r="L128" i="3" s="1"/>
  <c r="M128" i="3" s="1"/>
  <c r="L129" i="3" a="1"/>
  <c r="L129" i="3" s="1"/>
  <c r="L130" i="3" a="1"/>
  <c r="L130" i="3" s="1"/>
  <c r="M130" i="3" s="1"/>
  <c r="L131" i="3" a="1"/>
  <c r="L131" i="3" s="1"/>
  <c r="L132" i="3" a="1"/>
  <c r="L132" i="3" s="1"/>
  <c r="L133" i="3" a="1"/>
  <c r="L133" i="3" s="1"/>
  <c r="L134" i="3" a="1"/>
  <c r="L134" i="3" s="1"/>
  <c r="L135" i="3" a="1"/>
  <c r="L135" i="3" s="1"/>
  <c r="L136" i="3" a="1"/>
  <c r="L136" i="3" s="1"/>
  <c r="L137" i="3" a="1"/>
  <c r="L137" i="3" s="1"/>
  <c r="L138" i="3" a="1"/>
  <c r="L138" i="3" s="1"/>
  <c r="N138" i="3" s="1"/>
  <c r="L139" i="3" a="1"/>
  <c r="L139" i="3" s="1"/>
  <c r="L153" i="3" a="1"/>
  <c r="L153" i="3" s="1"/>
  <c r="M153" i="3" s="1"/>
  <c r="L154" i="3" a="1"/>
  <c r="L154" i="3" s="1"/>
  <c r="L155" i="3" a="1"/>
  <c r="L155" i="3" s="1"/>
  <c r="L156" i="3" a="1"/>
  <c r="L156" i="3" s="1"/>
  <c r="M156" i="3" s="1"/>
  <c r="L157" i="3" a="1"/>
  <c r="L157" i="3" s="1"/>
  <c r="M157" i="3" s="1"/>
  <c r="L158" i="3" a="1"/>
  <c r="L158" i="3" s="1"/>
  <c r="L159" i="3" a="1"/>
  <c r="L159" i="3" s="1"/>
  <c r="M159" i="3" s="1"/>
  <c r="L160" i="3" a="1"/>
  <c r="L160" i="3" s="1"/>
  <c r="L161" i="3" a="1"/>
  <c r="L161" i="3" s="1"/>
  <c r="L162" i="3" a="1"/>
  <c r="L162" i="3" s="1"/>
  <c r="L163" i="3" a="1"/>
  <c r="L163" i="3" s="1"/>
  <c r="L164" i="3" a="1"/>
  <c r="L164" i="3" s="1"/>
  <c r="L165" i="3" a="1"/>
  <c r="L165" i="3" s="1"/>
  <c r="L166" i="3" a="1"/>
  <c r="L166" i="3" s="1"/>
  <c r="L167" i="3" a="1"/>
  <c r="L167" i="3" s="1"/>
  <c r="N167" i="3" s="1"/>
  <c r="L168" i="3" a="1"/>
  <c r="L168" i="3" s="1"/>
  <c r="L169" i="3" a="1"/>
  <c r="L169" i="3" s="1"/>
  <c r="L170" i="3" a="1"/>
  <c r="L170" i="3" s="1"/>
  <c r="N170" i="3" s="1"/>
  <c r="L171" i="3" a="1"/>
  <c r="L171" i="3" s="1"/>
  <c r="L172" i="3" a="1"/>
  <c r="L172" i="3" s="1"/>
  <c r="L173" i="3" a="1"/>
  <c r="L173" i="3" s="1"/>
  <c r="M173" i="3" s="1"/>
  <c r="L174" i="3" a="1"/>
  <c r="L174" i="3" s="1"/>
  <c r="L175" i="3" a="1"/>
  <c r="L175" i="3" s="1"/>
  <c r="M175" i="3" s="1"/>
  <c r="L176" i="3" a="1"/>
  <c r="L176" i="3" s="1"/>
  <c r="M176" i="3" s="1"/>
  <c r="L177" i="3" a="1"/>
  <c r="L177" i="3" s="1"/>
  <c r="L178" i="3" a="1"/>
  <c r="L178" i="3" s="1"/>
  <c r="L179" i="3" a="1"/>
  <c r="L179" i="3" s="1"/>
  <c r="L195" i="3" a="1"/>
  <c r="L195" i="3" s="1"/>
  <c r="M195" i="3" s="1"/>
  <c r="L196" i="3" a="1"/>
  <c r="L196" i="3" s="1"/>
  <c r="L197" i="3" a="1"/>
  <c r="L197" i="3" s="1"/>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2" i="3"/>
  <c r="J98" i="3"/>
  <c r="K98" i="3" a="1"/>
  <c r="K98" i="3" s="1"/>
  <c r="J203" i="2"/>
  <c r="J202" i="2"/>
  <c r="J201" i="2"/>
  <c r="J200" i="2"/>
  <c r="J199" i="2"/>
  <c r="J198" i="2"/>
  <c r="J197" i="2"/>
  <c r="J196" i="2"/>
  <c r="J195" i="2"/>
  <c r="J194" i="2"/>
  <c r="J193" i="2"/>
  <c r="J192" i="2"/>
  <c r="J191" i="2"/>
  <c r="J190" i="2"/>
  <c r="J189" i="2"/>
  <c r="J188" i="2"/>
  <c r="J187" i="2"/>
  <c r="J186" i="2"/>
  <c r="J185" i="2"/>
  <c r="J184" i="2"/>
  <c r="J183" i="2"/>
  <c r="J182" i="2"/>
  <c r="J176" i="2"/>
  <c r="J175" i="2"/>
  <c r="J174" i="2"/>
  <c r="J173" i="2"/>
  <c r="J172" i="2"/>
  <c r="J171" i="2"/>
  <c r="J170" i="2"/>
  <c r="J169" i="2"/>
  <c r="J168" i="2"/>
  <c r="J167" i="2"/>
  <c r="J166" i="2"/>
  <c r="J165" i="2"/>
  <c r="J164" i="2"/>
  <c r="J163" i="2"/>
  <c r="J162" i="2"/>
  <c r="J161" i="2"/>
  <c r="J160" i="2"/>
  <c r="J159" i="2"/>
  <c r="J158" i="2"/>
  <c r="J157" i="2"/>
  <c r="J156" i="2"/>
  <c r="J155" i="2"/>
  <c r="AG49" i="20" a="1"/>
  <c r="AG49" i="20" s="1"/>
  <c r="AG50" i="20" a="1"/>
  <c r="AG50" i="20" s="1"/>
  <c r="AG51" i="20" a="1"/>
  <c r="AG51" i="20" s="1"/>
  <c r="AG52" i="20" a="1"/>
  <c r="AG52" i="20" s="1"/>
  <c r="AG53" i="20" a="1"/>
  <c r="AG53" i="20" s="1"/>
  <c r="AG54" i="20" a="1"/>
  <c r="AG54" i="20" s="1"/>
  <c r="AG55" i="20" a="1"/>
  <c r="AG55" i="20" s="1"/>
  <c r="AG56" i="20" a="1"/>
  <c r="AG56" i="20" s="1"/>
  <c r="AG57" i="20" a="1"/>
  <c r="AG57" i="20" s="1"/>
  <c r="AG58" i="20" a="1"/>
  <c r="AG58" i="20" s="1"/>
  <c r="AG59" i="20" a="1"/>
  <c r="AG59" i="20" s="1"/>
  <c r="AH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G72" i="20" a="1"/>
  <c r="AG72" i="20" s="1"/>
  <c r="AG73" i="20" a="1"/>
  <c r="AG73" i="20" s="1"/>
  <c r="AI73" i="20" s="1"/>
  <c r="AG74" i="20" a="1"/>
  <c r="AG74" i="20" s="1"/>
  <c r="AG75" i="20" a="1"/>
  <c r="AG75" i="20" s="1"/>
  <c r="AG76" i="20" a="1"/>
  <c r="AG76" i="20" s="1"/>
  <c r="AG77" i="20" a="1"/>
  <c r="AG77" i="20" s="1"/>
  <c r="AG78" i="20" a="1"/>
  <c r="AG78" i="20" s="1"/>
  <c r="AM78" i="20" s="1" a="1"/>
  <c r="AM78" i="20" s="1"/>
  <c r="AG79" i="20" a="1"/>
  <c r="AG79" i="20" s="1"/>
  <c r="AG80" i="20" a="1"/>
  <c r="AG80" i="20" s="1"/>
  <c r="AL80" i="20" s="1"/>
  <c r="AG81" i="20" a="1"/>
  <c r="AG81" i="20" s="1"/>
  <c r="AG82" i="20" a="1"/>
  <c r="AG82" i="20" s="1"/>
  <c r="AG83" i="20" a="1"/>
  <c r="AG83" i="20" s="1"/>
  <c r="AG84" i="20" a="1"/>
  <c r="AG84" i="20" s="1"/>
  <c r="AM84" i="20" s="1" a="1"/>
  <c r="AM84" i="20" s="1"/>
  <c r="AG85" i="20" a="1"/>
  <c r="AG85" i="20" s="1"/>
  <c r="AG86" i="20" a="1"/>
  <c r="AG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M105" i="20" s="1" a="1"/>
  <c r="AM105" i="20" s="1"/>
  <c r="AG106" i="20" a="1"/>
  <c r="AG106" i="20" s="1"/>
  <c r="AG107" i="20" a="1"/>
  <c r="AG107" i="20" s="1"/>
  <c r="AJ107" i="20" s="1"/>
  <c r="AG108" i="20" a="1"/>
  <c r="AG108"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C104" i="14"/>
  <c r="D100" i="14" a="1"/>
  <c r="D100" i="14"/>
  <c r="C107" i="14"/>
  <c r="D106" i="14"/>
  <c r="D107" i="14"/>
  <c r="C103" i="14"/>
  <c r="C106" i="14"/>
  <c r="I210" i="2"/>
  <c r="I211" i="2"/>
  <c r="I212" i="2"/>
  <c r="I213" i="2"/>
  <c r="I214" i="2"/>
  <c r="I215" i="2"/>
  <c r="I216" i="2"/>
  <c r="I217" i="2"/>
  <c r="I218" i="2"/>
  <c r="I219" i="2"/>
  <c r="I209" i="2"/>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D101" i="14" a="1"/>
  <c r="D101" i="14"/>
  <c r="C101" i="14" a="1"/>
  <c r="C101" i="14"/>
  <c r="C28" i="14"/>
  <c r="C7" i="14"/>
  <c r="G156" i="13"/>
  <c r="F156" i="13"/>
  <c r="E156" i="13"/>
  <c r="D156" i="13"/>
  <c r="I138" i="13"/>
  <c r="C119" i="13"/>
  <c r="D113" i="13"/>
  <c r="E112" i="13" a="1"/>
  <c r="E112" i="13" s="1"/>
  <c r="E111" i="13" a="1"/>
  <c r="E111" i="13" s="1"/>
  <c r="E110" i="13" a="1"/>
  <c r="E110" i="13" s="1"/>
  <c r="E109" i="13" a="1"/>
  <c r="E109" i="13" s="1"/>
  <c r="E108" i="13" a="1"/>
  <c r="E108" i="13" s="1"/>
  <c r="E107" i="13" a="1"/>
  <c r="E107" i="13" s="1"/>
  <c r="E106" i="13" a="1"/>
  <c r="E106" i="13" s="1"/>
  <c r="E105" i="13" a="1"/>
  <c r="E105" i="13" s="1"/>
  <c r="D101" i="13"/>
  <c r="E101" i="13" s="1" a="1"/>
  <c r="E101" i="13" s="1"/>
  <c r="D100" i="13"/>
  <c r="E100" i="13" s="1" a="1"/>
  <c r="E100" i="13" s="1"/>
  <c r="D99" i="13"/>
  <c r="E99" i="13" s="1" a="1"/>
  <c r="E99" i="13" s="1"/>
  <c r="D98" i="13"/>
  <c r="E98" i="13" s="1" a="1"/>
  <c r="E98" i="13" s="1"/>
  <c r="D97" i="13"/>
  <c r="E97" i="13" s="1" a="1"/>
  <c r="E97" i="13" s="1"/>
  <c r="D96" i="13"/>
  <c r="E96" i="13" s="1" a="1"/>
  <c r="E96" i="13" s="1"/>
  <c r="D95" i="13"/>
  <c r="E95" i="13" s="1" a="1"/>
  <c r="E95" i="13" s="1"/>
  <c r="D94" i="13"/>
  <c r="E94" i="13" s="1" a="1"/>
  <c r="E94" i="13" s="1"/>
  <c r="D90" i="13"/>
  <c r="D89" i="13"/>
  <c r="D88" i="13"/>
  <c r="D87" i="13"/>
  <c r="D86" i="13"/>
  <c r="D85" i="13"/>
  <c r="D84" i="13"/>
  <c r="E84" i="13" s="1" a="1"/>
  <c r="E84" i="13" s="1"/>
  <c r="D83" i="13"/>
  <c r="E83" i="13" s="1" a="1"/>
  <c r="E83" i="13" s="1"/>
  <c r="D46" i="13"/>
  <c r="C46" i="13"/>
  <c r="AI237" i="2"/>
  <c r="AI84" i="2" s="1"/>
  <c r="AJ237" i="2"/>
  <c r="AJ84" i="2" s="1"/>
  <c r="AK237" i="2"/>
  <c r="AK84" i="2" s="1"/>
  <c r="AL237" i="2"/>
  <c r="AL84" i="2" s="1"/>
  <c r="AM237" i="2"/>
  <c r="AM84" i="2" s="1"/>
  <c r="L193" i="3" a="1"/>
  <c r="L193" i="3" s="1"/>
  <c r="M193" i="3" s="1"/>
  <c r="L194" i="3" a="1"/>
  <c r="L194" i="3" s="1"/>
  <c r="L182" i="3" a="1"/>
  <c r="L182" i="3" s="1"/>
  <c r="L185" i="3" a="1"/>
  <c r="L185" i="3" s="1"/>
  <c r="N185" i="3" s="1"/>
  <c r="L186" i="3" a="1"/>
  <c r="L186" i="3" s="1"/>
  <c r="L187" i="3" a="1"/>
  <c r="L187" i="3" s="1"/>
  <c r="M187" i="3" s="1"/>
  <c r="L188" i="3" a="1"/>
  <c r="L188" i="3" s="1"/>
  <c r="L180" i="3" a="1"/>
  <c r="L180" i="3" s="1"/>
  <c r="L181" i="3" a="1"/>
  <c r="L181" i="3" s="1"/>
  <c r="L192" i="3" a="1"/>
  <c r="L192" i="3" s="1"/>
  <c r="M192" i="3" s="1"/>
  <c r="L183" i="3" a="1"/>
  <c r="L183" i="3" s="1"/>
  <c r="L184" i="3" a="1"/>
  <c r="L184" i="3" s="1"/>
  <c r="N184" i="3" s="1"/>
  <c r="L189" i="3" a="1"/>
  <c r="L189" i="3" s="1"/>
  <c r="L190" i="3" a="1"/>
  <c r="L190" i="3" s="1"/>
  <c r="L191" i="3" a="1"/>
  <c r="L191" i="3" s="1"/>
  <c r="L114" i="3" a="1"/>
  <c r="L114" i="3" s="1"/>
  <c r="L113" i="3" a="1"/>
  <c r="L113" i="3" s="1"/>
  <c r="L149" i="3" a="1"/>
  <c r="L149" i="3" s="1"/>
  <c r="L141" i="3" a="1"/>
  <c r="L141" i="3" s="1"/>
  <c r="L150" i="3" a="1"/>
  <c r="L150" i="3" s="1"/>
  <c r="N150" i="3" s="1"/>
  <c r="L146" i="3" a="1"/>
  <c r="L146" i="3" s="1"/>
  <c r="N146" i="3" s="1"/>
  <c r="L151" i="3" a="1"/>
  <c r="L151" i="3" s="1"/>
  <c r="N151" i="3" s="1"/>
  <c r="L142" i="3" a="1"/>
  <c r="L142" i="3" s="1"/>
  <c r="M142" i="3" s="1"/>
  <c r="L145" i="3" a="1"/>
  <c r="L145" i="3" s="1"/>
  <c r="L152" i="3" a="1"/>
  <c r="L152" i="3" s="1"/>
  <c r="N152" i="3" s="1"/>
  <c r="L143" i="3" a="1"/>
  <c r="L143" i="3" s="1"/>
  <c r="N143" i="3" s="1"/>
  <c r="L147" i="3" a="1"/>
  <c r="L147" i="3" s="1"/>
  <c r="L140" i="3" a="1"/>
  <c r="L140" i="3" s="1"/>
  <c r="M140" i="3" s="1"/>
  <c r="L144" i="3" a="1"/>
  <c r="L144" i="3" s="1"/>
  <c r="M144" i="3" s="1"/>
  <c r="L148" i="3" a="1"/>
  <c r="L148" i="3" s="1"/>
  <c r="L112" i="3" a="1"/>
  <c r="L112" i="3" s="1"/>
  <c r="L105" i="3" a="1"/>
  <c r="L105" i="3" s="1"/>
  <c r="L109" i="3" a="1"/>
  <c r="L109" i="3" s="1"/>
  <c r="I166" i="1"/>
  <c r="I165" i="1"/>
  <c r="I164" i="1"/>
  <c r="G209" i="2"/>
  <c r="G210" i="2"/>
  <c r="G211" i="2"/>
  <c r="G212" i="2"/>
  <c r="G213" i="2"/>
  <c r="G214" i="2"/>
  <c r="G215" i="2"/>
  <c r="G216" i="2"/>
  <c r="G217" i="2"/>
  <c r="G218" i="2"/>
  <c r="G219" i="2"/>
  <c r="G187" i="2"/>
  <c r="G188" i="2"/>
  <c r="G189" i="2"/>
  <c r="G190" i="2"/>
  <c r="G191" i="2"/>
  <c r="G192" i="2"/>
  <c r="G193" i="2"/>
  <c r="G194" i="2"/>
  <c r="G195" i="2"/>
  <c r="G196" i="2"/>
  <c r="G197" i="2"/>
  <c r="G198" i="2"/>
  <c r="G199" i="2"/>
  <c r="G200" i="2"/>
  <c r="G201" i="2"/>
  <c r="G202" i="2"/>
  <c r="G203" i="2"/>
  <c r="G155" i="2"/>
  <c r="C3" i="20" s="1"/>
  <c r="G156" i="2"/>
  <c r="G157" i="2"/>
  <c r="G158" i="2"/>
  <c r="G159" i="2"/>
  <c r="G160" i="2"/>
  <c r="G161" i="2"/>
  <c r="G162" i="2"/>
  <c r="G163" i="2"/>
  <c r="G164" i="2"/>
  <c r="G165" i="2"/>
  <c r="G166" i="2"/>
  <c r="G167" i="2"/>
  <c r="G168" i="2"/>
  <c r="G169" i="2"/>
  <c r="G170" i="2"/>
  <c r="G171" i="2"/>
  <c r="G172" i="2"/>
  <c r="G173" i="2"/>
  <c r="G174" i="2"/>
  <c r="G175" i="2"/>
  <c r="G176" i="2"/>
  <c r="I155" i="2"/>
  <c r="I182" i="2"/>
  <c r="I183" i="2"/>
  <c r="I184" i="2"/>
  <c r="I185" i="2"/>
  <c r="I186" i="2"/>
  <c r="I187" i="2"/>
  <c r="I188" i="2"/>
  <c r="I189" i="2"/>
  <c r="I190" i="2"/>
  <c r="I191" i="2"/>
  <c r="I192" i="2"/>
  <c r="I193" i="2"/>
  <c r="I194" i="2"/>
  <c r="I195" i="2"/>
  <c r="I196" i="2"/>
  <c r="I197" i="2"/>
  <c r="I198" i="2"/>
  <c r="I199" i="2"/>
  <c r="I200" i="2"/>
  <c r="I201" i="2"/>
  <c r="I202" i="2"/>
  <c r="I203" i="2"/>
  <c r="I156" i="2"/>
  <c r="I157" i="2"/>
  <c r="I158" i="2"/>
  <c r="I159" i="2"/>
  <c r="I160" i="2"/>
  <c r="I161" i="2"/>
  <c r="I162" i="2"/>
  <c r="I163" i="2"/>
  <c r="I164" i="2"/>
  <c r="I165" i="2"/>
  <c r="I166" i="2"/>
  <c r="I167" i="2"/>
  <c r="I168" i="2"/>
  <c r="I169" i="2"/>
  <c r="I170" i="2"/>
  <c r="I171" i="2"/>
  <c r="I172" i="2"/>
  <c r="I173" i="2"/>
  <c r="I174" i="2"/>
  <c r="I175" i="2"/>
  <c r="I176" i="2"/>
  <c r="E238" i="2"/>
  <c r="F238" i="2"/>
  <c r="G238" i="2"/>
  <c r="H238" i="2"/>
  <c r="I238" i="2"/>
  <c r="J238" i="2"/>
  <c r="K238" i="2"/>
  <c r="L238" i="2"/>
  <c r="M238" i="2"/>
  <c r="N238" i="2"/>
  <c r="O238" i="2"/>
  <c r="P238" i="2"/>
  <c r="Q238" i="2"/>
  <c r="R238" i="2"/>
  <c r="S238" i="2"/>
  <c r="T238" i="2"/>
  <c r="U238" i="2"/>
  <c r="V238" i="2"/>
  <c r="W238" i="2"/>
  <c r="X238" i="2"/>
  <c r="Y238" i="2"/>
  <c r="Z238" i="2"/>
  <c r="AA238" i="2"/>
  <c r="AB238" i="2"/>
  <c r="AC238" i="2"/>
  <c r="AD238" i="2"/>
  <c r="AE238" i="2"/>
  <c r="AF238" i="2"/>
  <c r="AG238" i="2"/>
  <c r="AH238" i="2"/>
  <c r="L57" i="3" a="1"/>
  <c r="L57" i="3" s="1"/>
  <c r="L78" i="3" a="1"/>
  <c r="L78" i="3" s="1"/>
  <c r="L72" i="3" a="1"/>
  <c r="L72" i="3" s="1"/>
  <c r="L75" i="3" a="1"/>
  <c r="L75" i="3" s="1"/>
  <c r="L69" i="3" a="1"/>
  <c r="L69" i="3" s="1"/>
  <c r="N69" i="3" s="1"/>
  <c r="L81" i="3" a="1"/>
  <c r="L81" i="3" s="1"/>
  <c r="L63" i="3" a="1"/>
  <c r="L63" i="3" s="1"/>
  <c r="M63" i="3" s="1"/>
  <c r="L66" i="3" a="1"/>
  <c r="L66" i="3" s="1"/>
  <c r="N66" i="3" s="1"/>
  <c r="L60" i="3" a="1"/>
  <c r="L60" i="3" s="1"/>
  <c r="L54" i="3" a="1"/>
  <c r="L54" i="3" s="1"/>
  <c r="L51" i="3" a="1"/>
  <c r="L51" i="3" s="1"/>
  <c r="L48" i="3" a="1"/>
  <c r="L48" i="3" s="1"/>
  <c r="L111" i="3" a="1"/>
  <c r="L111" i="3" s="1"/>
  <c r="L110" i="3" a="1"/>
  <c r="L110" i="3" s="1"/>
  <c r="M110" i="3" s="1"/>
  <c r="L108" i="3" a="1"/>
  <c r="L108" i="3" s="1"/>
  <c r="L107" i="3" a="1"/>
  <c r="L107" i="3" s="1"/>
  <c r="L106" i="3" a="1"/>
  <c r="L106" i="3" s="1"/>
  <c r="N106" i="3" s="1"/>
  <c r="L104" i="3" a="1"/>
  <c r="L104" i="3" s="1"/>
  <c r="M104" i="3" s="1"/>
  <c r="L103" i="3" a="1"/>
  <c r="L103" i="3" s="1"/>
  <c r="L102" i="3" a="1"/>
  <c r="L102" i="3" s="1"/>
  <c r="L101" i="3" a="1"/>
  <c r="L101" i="3" s="1"/>
  <c r="L100" i="3" a="1"/>
  <c r="L100" i="3" s="1"/>
  <c r="L99" i="3" a="1"/>
  <c r="L99" i="3" s="1"/>
  <c r="L97" i="3" a="1"/>
  <c r="L97" i="3" s="1"/>
  <c r="L96" i="3" a="1"/>
  <c r="L96" i="3" s="1"/>
  <c r="M96" i="3" s="1"/>
  <c r="L95" i="3" a="1"/>
  <c r="L95" i="3" s="1"/>
  <c r="L94" i="3" a="1"/>
  <c r="L94" i="3" s="1"/>
  <c r="L93" i="3" a="1"/>
  <c r="L93" i="3" s="1"/>
  <c r="L91" i="3" a="1"/>
  <c r="L91" i="3" s="1"/>
  <c r="L90" i="3" a="1"/>
  <c r="L90" i="3" s="1"/>
  <c r="L89" i="3" a="1"/>
  <c r="L89" i="3" s="1"/>
  <c r="L88" i="3" a="1"/>
  <c r="L88" i="3" s="1"/>
  <c r="L86" i="3" a="1"/>
  <c r="L86" i="3" s="1"/>
  <c r="N86" i="3" s="1"/>
  <c r="L85" i="3" a="1"/>
  <c r="L85" i="3" s="1"/>
  <c r="L83" i="3" a="1"/>
  <c r="L83" i="3" s="1"/>
  <c r="L82" i="3" a="1"/>
  <c r="L82" i="3" s="1"/>
  <c r="L80" i="3" a="1"/>
  <c r="L80" i="3" s="1"/>
  <c r="L79" i="3" a="1"/>
  <c r="L79" i="3" s="1"/>
  <c r="L77" i="3" a="1"/>
  <c r="L77" i="3" s="1"/>
  <c r="L76" i="3" a="1"/>
  <c r="L76" i="3" s="1"/>
  <c r="L74" i="3" a="1"/>
  <c r="L74" i="3" s="1"/>
  <c r="M74" i="3" s="1"/>
  <c r="L73" i="3" a="1"/>
  <c r="L73" i="3" s="1"/>
  <c r="N73" i="3" s="1"/>
  <c r="L71" i="3" a="1"/>
  <c r="L71" i="3" s="1"/>
  <c r="N71" i="3" s="1"/>
  <c r="L70" i="3" a="1"/>
  <c r="L70" i="3" s="1"/>
  <c r="N70" i="3" s="1"/>
  <c r="L68" i="3" a="1"/>
  <c r="L68" i="3" s="1"/>
  <c r="L67" i="3" a="1"/>
  <c r="L67" i="3" s="1"/>
  <c r="L65" i="3" a="1"/>
  <c r="L65" i="3" s="1"/>
  <c r="L64" i="3" a="1"/>
  <c r="L64" i="3" s="1"/>
  <c r="L62" i="3" a="1"/>
  <c r="L62" i="3" s="1"/>
  <c r="M62" i="3" s="1"/>
  <c r="L61" i="3" a="1"/>
  <c r="L61" i="3" s="1"/>
  <c r="N61" i="3" s="1"/>
  <c r="L59" i="3" a="1"/>
  <c r="L59" i="3" s="1"/>
  <c r="L58" i="3" a="1"/>
  <c r="L58" i="3" s="1"/>
  <c r="L56" i="3" a="1"/>
  <c r="L56" i="3" s="1"/>
  <c r="L55" i="3" a="1"/>
  <c r="L55" i="3" s="1"/>
  <c r="L53" i="3" a="1"/>
  <c r="L53" i="3" s="1"/>
  <c r="L52" i="3" a="1"/>
  <c r="L52" i="3" s="1"/>
  <c r="L50" i="3" a="1"/>
  <c r="L50" i="3" s="1"/>
  <c r="L49" i="3" a="1"/>
  <c r="L49" i="3" s="1"/>
  <c r="L47" i="3" a="1"/>
  <c r="L47" i="3" s="1"/>
  <c r="N47" i="3" s="1"/>
  <c r="E200" i="30" a="1"/>
  <c r="E200" i="30" s="1"/>
  <c r="T260" i="30" a="1"/>
  <c r="T260" i="30"/>
  <c r="E199" i="1"/>
  <c r="F4" i="1"/>
  <c r="T240" i="30" a="1"/>
  <c r="T240" i="30"/>
  <c r="V310" i="30"/>
  <c r="T200" i="30" a="1"/>
  <c r="C4" i="9"/>
  <c r="T180" i="30" a="1"/>
  <c r="T180" i="30"/>
  <c r="T160" i="30" a="1"/>
  <c r="T160" i="30"/>
  <c r="T200" i="30"/>
  <c r="I185" i="1"/>
  <c r="I191" i="1"/>
  <c r="I192" i="1"/>
  <c r="I193" i="1"/>
  <c r="I194" i="1"/>
  <c r="I171" i="1"/>
  <c r="J41" i="40" s="1"/>
  <c r="K41" i="40" s="1"/>
  <c r="I177" i="1"/>
  <c r="I178" i="1"/>
  <c r="I179" i="1"/>
  <c r="I180" i="1"/>
  <c r="I149" i="1"/>
  <c r="I161" i="1"/>
  <c r="I162" i="1"/>
  <c r="I163" i="1"/>
  <c r="I108" i="1"/>
  <c r="D57" i="40" s="1"/>
  <c r="E57" i="40" s="1"/>
  <c r="I109" i="1"/>
  <c r="I110" i="1"/>
  <c r="I111" i="1"/>
  <c r="I124" i="1"/>
  <c r="I125" i="1"/>
  <c r="I126" i="1"/>
  <c r="I127" i="1"/>
  <c r="I128" i="1"/>
  <c r="I135" i="1"/>
  <c r="J14" i="40" s="1"/>
  <c r="I140" i="1"/>
  <c r="I141" i="1"/>
  <c r="I142" i="1"/>
  <c r="I143" i="1"/>
  <c r="I144" i="1"/>
  <c r="I56" i="1"/>
  <c r="I73" i="1"/>
  <c r="I74" i="1"/>
  <c r="I75" i="1"/>
  <c r="I76" i="1"/>
  <c r="I77" i="1"/>
  <c r="I78" i="1"/>
  <c r="F128" i="30"/>
  <c r="F130" i="30"/>
  <c r="F129" i="30"/>
  <c r="E190" i="30" a="1"/>
  <c r="E190" i="30" s="1"/>
  <c r="X190" i="30" a="1"/>
  <c r="X190" i="30"/>
  <c r="J200" i="30" a="1"/>
  <c r="J200" i="30"/>
  <c r="X170" i="30" a="1"/>
  <c r="X170" i="30"/>
  <c r="R18" i="14" a="1"/>
  <c r="R18" i="14" s="1"/>
  <c r="R19" i="14" a="1"/>
  <c r="R19" i="14" s="1"/>
  <c r="R9" i="14" a="1"/>
  <c r="R9" i="14" s="1"/>
  <c r="R10" i="14" a="1"/>
  <c r="R10" i="14" s="1"/>
  <c r="R11" i="14" a="1"/>
  <c r="R11" i="14" s="1"/>
  <c r="R12" i="14" a="1"/>
  <c r="R12" i="14" s="1"/>
  <c r="R13" i="14" a="1"/>
  <c r="R13" i="14" s="1"/>
  <c r="R14" i="14" a="1"/>
  <c r="R14" i="14" s="1"/>
  <c r="R15" i="14" a="1"/>
  <c r="R15" i="14" s="1"/>
  <c r="R16" i="14" a="1"/>
  <c r="R16" i="14" s="1"/>
  <c r="R17" i="14" a="1"/>
  <c r="R17" i="14" s="1"/>
  <c r="E170" i="30" a="1"/>
  <c r="E170" i="30"/>
  <c r="X160" i="30" a="1"/>
  <c r="X160" i="30"/>
  <c r="AG48" i="20" a="1"/>
  <c r="AG48" i="20" s="1"/>
  <c r="AG46" i="20" a="1"/>
  <c r="AG46" i="20" s="1"/>
  <c r="AG45" i="20" a="1"/>
  <c r="AG45" i="20" s="1"/>
  <c r="AJ45" i="20" s="1"/>
  <c r="AG47" i="20" a="1"/>
  <c r="AG47" i="20" s="1"/>
  <c r="AL47" i="20" s="1"/>
  <c r="AG43" i="20" a="1"/>
  <c r="AG43" i="20" s="1"/>
  <c r="AG44" i="20" a="1"/>
  <c r="AG44" i="20" s="1"/>
  <c r="AH44" i="20" s="1"/>
  <c r="AG42" i="20" a="1"/>
  <c r="AG42" i="20" s="1"/>
  <c r="AJ42" i="20" s="1"/>
  <c r="C4" i="3" a="1"/>
  <c r="C4" i="3" s="1"/>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86" i="2"/>
  <c r="E240" i="2"/>
  <c r="E237" i="2"/>
  <c r="E84" i="2" s="1"/>
  <c r="J114" i="3"/>
  <c r="J118" i="3"/>
  <c r="J120" i="3"/>
  <c r="J122" i="3"/>
  <c r="J128" i="3"/>
  <c r="J129" i="3"/>
  <c r="J130" i="3"/>
  <c r="J135" i="3"/>
  <c r="J136" i="3"/>
  <c r="J138" i="3"/>
  <c r="J154" i="3"/>
  <c r="J158" i="3"/>
  <c r="J159" i="3"/>
  <c r="J160" i="3"/>
  <c r="J161" i="3"/>
  <c r="J162" i="3"/>
  <c r="J167" i="3"/>
  <c r="J168" i="3"/>
  <c r="J169" i="3"/>
  <c r="J170" i="3"/>
  <c r="J174" i="3"/>
  <c r="J176" i="3"/>
  <c r="J178" i="3"/>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12" i="2"/>
  <c r="D313" i="2"/>
  <c r="D299" i="2"/>
  <c r="D314" i="2" s="1"/>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F237" i="2"/>
  <c r="F84" i="2" s="1"/>
  <c r="G237" i="2"/>
  <c r="G84" i="2" s="1"/>
  <c r="H237" i="2"/>
  <c r="H84" i="2" s="1"/>
  <c r="I237" i="2"/>
  <c r="I84" i="2" s="1"/>
  <c r="J237" i="2"/>
  <c r="J84" i="2" s="1"/>
  <c r="K237" i="2"/>
  <c r="K84" i="2" s="1"/>
  <c r="L237" i="2"/>
  <c r="L84" i="2" s="1"/>
  <c r="M237" i="2"/>
  <c r="M84" i="2" s="1"/>
  <c r="N237" i="2"/>
  <c r="N84" i="2" s="1"/>
  <c r="O237" i="2"/>
  <c r="O84" i="2" s="1"/>
  <c r="P237" i="2"/>
  <c r="P84" i="2" s="1"/>
  <c r="Q237" i="2"/>
  <c r="Q84" i="2" s="1"/>
  <c r="R237" i="2"/>
  <c r="R84" i="2" s="1"/>
  <c r="S237" i="2"/>
  <c r="S84" i="2" s="1"/>
  <c r="T237" i="2"/>
  <c r="T84" i="2" s="1"/>
  <c r="U237" i="2"/>
  <c r="U84" i="2" s="1"/>
  <c r="V237" i="2"/>
  <c r="V84" i="2" s="1"/>
  <c r="W237" i="2"/>
  <c r="W84" i="2" s="1"/>
  <c r="X237" i="2"/>
  <c r="X84" i="2" s="1"/>
  <c r="Y237" i="2"/>
  <c r="Y84" i="2" s="1"/>
  <c r="Z237" i="2"/>
  <c r="Z84" i="2" s="1"/>
  <c r="AA237" i="2"/>
  <c r="AA84" i="2" s="1"/>
  <c r="AB237" i="2"/>
  <c r="AB84" i="2" s="1"/>
  <c r="AC237" i="2"/>
  <c r="AC84" i="2" s="1"/>
  <c r="AD237" i="2"/>
  <c r="AD84" i="2" s="1"/>
  <c r="AE237" i="2"/>
  <c r="AE84" i="2" s="1"/>
  <c r="AF237" i="2"/>
  <c r="AF84" i="2" s="1"/>
  <c r="AG237" i="2"/>
  <c r="AG84" i="2" s="1"/>
  <c r="AH237" i="2"/>
  <c r="AH84" i="2" s="1"/>
  <c r="X180" i="30" a="1"/>
  <c r="X180" i="30"/>
  <c r="X200" i="30" a="1"/>
  <c r="X200" i="30"/>
  <c r="E160" i="30" a="1"/>
  <c r="E160" i="30"/>
  <c r="D328" i="2"/>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27" i="2"/>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9" i="2"/>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26" i="2"/>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J166" i="3"/>
  <c r="J134" i="3"/>
  <c r="J126" i="3"/>
  <c r="J197" i="3"/>
  <c r="J165" i="3"/>
  <c r="J133" i="3"/>
  <c r="J117" i="3"/>
  <c r="J196" i="3"/>
  <c r="J180" i="3"/>
  <c r="J172" i="3"/>
  <c r="J164" i="3"/>
  <c r="J156" i="3"/>
  <c r="J140" i="3"/>
  <c r="J132" i="3"/>
  <c r="J124" i="3"/>
  <c r="J116" i="3"/>
  <c r="J173" i="3"/>
  <c r="J157" i="3"/>
  <c r="J141" i="3"/>
  <c r="J125" i="3"/>
  <c r="J195" i="3"/>
  <c r="J179" i="3"/>
  <c r="J171" i="3"/>
  <c r="J163" i="3"/>
  <c r="J155" i="3"/>
  <c r="J139" i="3"/>
  <c r="J131" i="3"/>
  <c r="J123" i="3"/>
  <c r="J115" i="3"/>
  <c r="J177" i="3"/>
  <c r="J153" i="3"/>
  <c r="J137" i="3"/>
  <c r="J121" i="3"/>
  <c r="J113" i="3"/>
  <c r="J175" i="3"/>
  <c r="J127" i="3"/>
  <c r="J119" i="3"/>
  <c r="J181" i="3"/>
  <c r="J142" i="3"/>
  <c r="J143" i="3"/>
  <c r="J182" i="3"/>
  <c r="J144" i="3"/>
  <c r="C141" i="30"/>
  <c r="C143" i="30"/>
  <c r="C142" i="30"/>
  <c r="C139" i="30"/>
  <c r="C140" i="30"/>
  <c r="C127" i="30"/>
  <c r="C138" i="30"/>
  <c r="C137" i="30"/>
  <c r="C130" i="30"/>
  <c r="C133" i="30"/>
  <c r="C135" i="30"/>
  <c r="C124" i="30"/>
  <c r="C136" i="30"/>
  <c r="C122" i="30"/>
  <c r="C128" i="30"/>
  <c r="C131" i="30"/>
  <c r="C126" i="30"/>
  <c r="C129" i="30"/>
  <c r="C132" i="30"/>
  <c r="C134" i="30"/>
  <c r="C125" i="30"/>
  <c r="C123" i="30"/>
  <c r="J183" i="3"/>
  <c r="J145" i="3"/>
  <c r="J184" i="3"/>
  <c r="J146" i="3"/>
  <c r="J185" i="3"/>
  <c r="J147" i="3"/>
  <c r="J186" i="3"/>
  <c r="J148" i="3"/>
  <c r="J187" i="3"/>
  <c r="J149" i="3"/>
  <c r="J188" i="3"/>
  <c r="J150" i="3"/>
  <c r="J189" i="3"/>
  <c r="J151" i="3"/>
  <c r="J190" i="3"/>
  <c r="J152" i="3"/>
  <c r="J191" i="3"/>
  <c r="J192" i="3"/>
  <c r="J193" i="3"/>
  <c r="J194" i="3"/>
  <c r="C110" i="15"/>
  <c r="C73" i="15"/>
  <c r="C111" i="15"/>
  <c r="C94" i="15"/>
  <c r="C99" i="15"/>
  <c r="C100" i="15"/>
  <c r="C59" i="15"/>
  <c r="C97" i="15"/>
  <c r="C101" i="15"/>
  <c r="C54" i="15"/>
  <c r="C87" i="15"/>
  <c r="C49" i="15"/>
  <c r="C66" i="15"/>
  <c r="C68" i="15"/>
  <c r="C78" i="15"/>
  <c r="C85" i="15"/>
  <c r="C98" i="15"/>
  <c r="C102" i="15"/>
  <c r="C86" i="15"/>
  <c r="C64" i="15"/>
  <c r="C80" i="15"/>
  <c r="C51" i="15"/>
  <c r="C83" i="15"/>
  <c r="C96" i="15"/>
  <c r="C95" i="15"/>
  <c r="C60" i="15"/>
  <c r="C58" i="15"/>
  <c r="C103" i="15"/>
  <c r="C104" i="15"/>
  <c r="C82" i="15"/>
  <c r="C55" i="15"/>
  <c r="C65" i="15"/>
  <c r="C56" i="15"/>
  <c r="N56" i="15"/>
  <c r="C69" i="15"/>
  <c r="C79" i="15"/>
  <c r="C62" i="15"/>
  <c r="N62" i="15"/>
  <c r="C84" i="15"/>
  <c r="C89" i="15"/>
  <c r="C105" i="15"/>
  <c r="C50" i="15"/>
  <c r="C57" i="15"/>
  <c r="N57" i="15"/>
  <c r="C47" i="15"/>
  <c r="C93" i="15"/>
  <c r="C108" i="15"/>
  <c r="C61" i="15"/>
  <c r="C106" i="15"/>
  <c r="C88" i="15"/>
  <c r="N88" i="15"/>
  <c r="C52" i="15"/>
  <c r="C67" i="15"/>
  <c r="C63" i="15"/>
  <c r="C76" i="15"/>
  <c r="C53" i="15"/>
  <c r="C72" i="15"/>
  <c r="C70" i="15"/>
  <c r="C107" i="15"/>
  <c r="C74" i="15"/>
  <c r="C77" i="15"/>
  <c r="C48" i="15"/>
  <c r="C90" i="15"/>
  <c r="C109" i="15"/>
  <c r="C92" i="15"/>
  <c r="C81" i="15"/>
  <c r="C75" i="15"/>
  <c r="C91" i="15"/>
  <c r="C71" i="15"/>
  <c r="N93" i="15"/>
  <c r="J12" i="3"/>
  <c r="J13" i="3" s="1"/>
  <c r="AI493" i="1"/>
  <c r="T290" i="30" a="1"/>
  <c r="T290" i="30"/>
  <c r="J14" i="3"/>
  <c r="J15" i="3" s="1"/>
  <c r="K12" i="3" a="1"/>
  <c r="K12" i="3" s="1"/>
  <c r="K13" i="3" a="1"/>
  <c r="K13" i="3" s="1"/>
  <c r="J16" i="3"/>
  <c r="K14" i="3" a="1"/>
  <c r="K14" i="3" s="1"/>
  <c r="J17" i="3"/>
  <c r="K15" i="3" a="1"/>
  <c r="K15" i="3" s="1"/>
  <c r="K16" i="3" a="1"/>
  <c r="K16" i="3" s="1"/>
  <c r="J18" i="3"/>
  <c r="J19" i="3"/>
  <c r="K17" i="3" a="1"/>
  <c r="K17" i="3" s="1"/>
  <c r="K18" i="3" a="1"/>
  <c r="K18" i="3" s="1"/>
  <c r="J20" i="3"/>
  <c r="J21" i="3" s="1"/>
  <c r="K19" i="3" a="1"/>
  <c r="K19" i="3" s="1"/>
  <c r="J22" i="3"/>
  <c r="K20" i="3" a="1"/>
  <c r="K20" i="3" s="1"/>
  <c r="J29" i="3"/>
  <c r="J30" i="3" s="1"/>
  <c r="J23" i="3"/>
  <c r="K21" i="3" a="1"/>
  <c r="K21" i="3" s="1"/>
  <c r="J24" i="3"/>
  <c r="K22" i="3" a="1"/>
  <c r="K22" i="3" s="1"/>
  <c r="J31" i="3"/>
  <c r="K29" i="3" a="1"/>
  <c r="K29" i="3" s="1"/>
  <c r="K23" i="3" a="1"/>
  <c r="K23" i="3" s="1"/>
  <c r="J25" i="3"/>
  <c r="J32" i="3"/>
  <c r="K30" i="3" a="1"/>
  <c r="K30" i="3" s="1"/>
  <c r="K24" i="3" a="1"/>
  <c r="K24" i="3" s="1"/>
  <c r="J26" i="3"/>
  <c r="J27" i="3" s="1"/>
  <c r="K31" i="3" a="1"/>
  <c r="K31" i="3" s="1"/>
  <c r="J33" i="3"/>
  <c r="J28" i="3"/>
  <c r="K25" i="3" a="1"/>
  <c r="K25" i="3" s="1"/>
  <c r="K32" i="3" a="1"/>
  <c r="K32" i="3" s="1"/>
  <c r="J34" i="3"/>
  <c r="K27" i="3" a="1"/>
  <c r="K27" i="3" s="1"/>
  <c r="K26" i="3" a="1"/>
  <c r="K26" i="3" s="1"/>
  <c r="K33" i="3" a="1"/>
  <c r="K33" i="3" s="1"/>
  <c r="J35" i="3"/>
  <c r="J36" i="3" s="1"/>
  <c r="K28" i="3" a="1"/>
  <c r="K28" i="3" s="1"/>
  <c r="K34" i="3" a="1"/>
  <c r="K34" i="3" s="1"/>
  <c r="J37" i="3"/>
  <c r="K35" i="3" a="1"/>
  <c r="K35" i="3" s="1"/>
  <c r="J38" i="3"/>
  <c r="J47" i="3"/>
  <c r="K36" i="3" a="1"/>
  <c r="K36" i="3" s="1"/>
  <c r="J39" i="3"/>
  <c r="J40" i="3" s="1"/>
  <c r="K37" i="3" a="1"/>
  <c r="K37" i="3" s="1"/>
  <c r="J48" i="3"/>
  <c r="J49" i="3"/>
  <c r="J50" i="3"/>
  <c r="K47" i="3" a="1"/>
  <c r="K47" i="3" s="1"/>
  <c r="K38" i="3" a="1"/>
  <c r="K38" i="3" s="1"/>
  <c r="J41" i="3"/>
  <c r="J42" i="3" s="1"/>
  <c r="K49" i="3" a="1"/>
  <c r="K49" i="3" s="1"/>
  <c r="J51" i="3"/>
  <c r="K48" i="3" a="1"/>
  <c r="K48" i="3" s="1"/>
  <c r="K39" i="3" a="1"/>
  <c r="K39" i="3" s="1"/>
  <c r="K40" i="3" a="1"/>
  <c r="K40" i="3" s="1"/>
  <c r="J52" i="3"/>
  <c r="K50" i="3" a="1"/>
  <c r="K50" i="3" s="1"/>
  <c r="J43" i="3"/>
  <c r="K41" i="3" a="1"/>
  <c r="K41" i="3" s="1"/>
  <c r="J53" i="3"/>
  <c r="K51" i="3" a="1"/>
  <c r="K51" i="3" s="1"/>
  <c r="J44" i="3"/>
  <c r="J45" i="3"/>
  <c r="J54" i="3"/>
  <c r="K42" i="3" a="1"/>
  <c r="K42" i="3" s="1"/>
  <c r="J46" i="3"/>
  <c r="K52" i="3" a="1"/>
  <c r="K52" i="3" s="1"/>
  <c r="K43" i="3" a="1"/>
  <c r="K43" i="3" s="1"/>
  <c r="K53" i="3" a="1"/>
  <c r="K53" i="3" s="1"/>
  <c r="J55" i="3"/>
  <c r="K45" i="3" a="1"/>
  <c r="K45" i="3" s="1"/>
  <c r="K54" i="3" a="1"/>
  <c r="K54" i="3" s="1"/>
  <c r="J56" i="3"/>
  <c r="K44" i="3" a="1"/>
  <c r="K44" i="3" s="1"/>
  <c r="K46" i="3" a="1"/>
  <c r="K46" i="3" s="1"/>
  <c r="J57" i="3"/>
  <c r="K56" i="3" a="1"/>
  <c r="K56" i="3" s="1"/>
  <c r="K55" i="3" a="1"/>
  <c r="K55" i="3" s="1"/>
  <c r="J58" i="3"/>
  <c r="K57" i="3" a="1"/>
  <c r="K57" i="3" s="1"/>
  <c r="J59" i="3"/>
  <c r="J72" i="3"/>
  <c r="J60" i="3"/>
  <c r="K58" i="3" a="1"/>
  <c r="K58" i="3" s="1"/>
  <c r="J73" i="3"/>
  <c r="J74" i="3"/>
  <c r="J61" i="3"/>
  <c r="J62" i="3"/>
  <c r="J63" i="3"/>
  <c r="J64" i="3"/>
  <c r="K59" i="3" a="1"/>
  <c r="K59" i="3" s="1"/>
  <c r="J65" i="3"/>
  <c r="J75" i="3"/>
  <c r="K64" i="3" a="1"/>
  <c r="K64" i="3" s="1"/>
  <c r="J66" i="3"/>
  <c r="K60" i="3" a="1"/>
  <c r="K60" i="3" s="1"/>
  <c r="J76" i="3"/>
  <c r="J77" i="3"/>
  <c r="J78" i="3"/>
  <c r="M56" i="15"/>
  <c r="K63" i="3" a="1"/>
  <c r="K63" i="3" s="1"/>
  <c r="K62" i="3" a="1"/>
  <c r="K62" i="3" s="1"/>
  <c r="K65" i="3" a="1"/>
  <c r="K65" i="3" s="1"/>
  <c r="J67" i="3"/>
  <c r="K61" i="3" a="1"/>
  <c r="K61" i="3" s="1"/>
  <c r="M57" i="15"/>
  <c r="J79" i="3"/>
  <c r="K72" i="3" a="1"/>
  <c r="K72" i="3" s="1"/>
  <c r="K66" i="3" a="1"/>
  <c r="K66" i="3" s="1"/>
  <c r="J68" i="3"/>
  <c r="M62" i="15"/>
  <c r="J80" i="3"/>
  <c r="K73" i="3" a="1"/>
  <c r="K73" i="3" s="1"/>
  <c r="J69" i="3"/>
  <c r="J81" i="3"/>
  <c r="K74" i="3" a="1"/>
  <c r="K74" i="3" s="1"/>
  <c r="K67" i="3" a="1"/>
  <c r="K67" i="3" s="1"/>
  <c r="J70" i="3"/>
  <c r="K68" i="3" a="1"/>
  <c r="K68" i="3" s="1"/>
  <c r="J82" i="3"/>
  <c r="K75" i="3" a="1"/>
  <c r="K75" i="3" s="1"/>
  <c r="J71" i="3"/>
  <c r="K69" i="3" a="1"/>
  <c r="K69" i="3" s="1"/>
  <c r="J83" i="3"/>
  <c r="J84" i="3"/>
  <c r="K76" i="3" a="1"/>
  <c r="K76" i="3" s="1"/>
  <c r="K70" i="3" a="1"/>
  <c r="K70" i="3" s="1"/>
  <c r="J85" i="3"/>
  <c r="K77" i="3" a="1"/>
  <c r="K77" i="3" s="1"/>
  <c r="K71" i="3" a="1"/>
  <c r="K71" i="3" s="1"/>
  <c r="J86" i="3"/>
  <c r="K78" i="3" a="1"/>
  <c r="K78" i="3" s="1"/>
  <c r="J87" i="3"/>
  <c r="K79" i="3" a="1"/>
  <c r="K79" i="3" s="1"/>
  <c r="J88" i="3"/>
  <c r="J89" i="3"/>
  <c r="K80" i="3" a="1"/>
  <c r="K80" i="3" s="1"/>
  <c r="J90" i="3"/>
  <c r="K81" i="3" a="1"/>
  <c r="K81" i="3" s="1"/>
  <c r="J91" i="3"/>
  <c r="K82" i="3" a="1"/>
  <c r="K82" i="3" s="1"/>
  <c r="J92" i="3"/>
  <c r="J93" i="3"/>
  <c r="K83" i="3" a="1"/>
  <c r="K83" i="3" s="1"/>
  <c r="J94" i="3"/>
  <c r="K84" i="3" a="1"/>
  <c r="K84" i="3" s="1"/>
  <c r="J95" i="3"/>
  <c r="J96" i="3"/>
  <c r="K85" i="3" a="1"/>
  <c r="K85" i="3" s="1"/>
  <c r="J97" i="3"/>
  <c r="K86" i="3" a="1"/>
  <c r="K86" i="3" s="1"/>
  <c r="K87" i="3" a="1"/>
  <c r="K87" i="3" s="1"/>
  <c r="J99" i="3"/>
  <c r="J100" i="3"/>
  <c r="K88" i="3" a="1"/>
  <c r="K88" i="3" s="1"/>
  <c r="J101" i="3"/>
  <c r="K89" i="3" a="1"/>
  <c r="K89" i="3" s="1"/>
  <c r="J102" i="3"/>
  <c r="K90" i="3" a="1"/>
  <c r="K90" i="3" s="1"/>
  <c r="J103" i="3"/>
  <c r="K91" i="3" a="1"/>
  <c r="K91" i="3" s="1"/>
  <c r="J104" i="3"/>
  <c r="K92" i="3" a="1"/>
  <c r="K92" i="3" s="1"/>
  <c r="M88" i="15"/>
  <c r="J105" i="3"/>
  <c r="K93" i="3" a="1"/>
  <c r="K93" i="3" s="1"/>
  <c r="J106" i="3"/>
  <c r="K94" i="3" a="1"/>
  <c r="K94" i="3" s="1"/>
  <c r="M90" i="15"/>
  <c r="J107" i="3"/>
  <c r="K95" i="3" a="1"/>
  <c r="K95" i="3" s="1"/>
  <c r="J108" i="3"/>
  <c r="K96" i="3" a="1"/>
  <c r="K96" i="3" s="1"/>
  <c r="J109" i="3"/>
  <c r="K97" i="3" a="1"/>
  <c r="K97" i="3" s="1"/>
  <c r="J110" i="3"/>
  <c r="J111" i="3"/>
  <c r="J112" i="3"/>
  <c r="K99" i="3" a="1"/>
  <c r="K99" i="3" s="1"/>
  <c r="AB3" i="20"/>
  <c r="H23" i="20"/>
  <c r="R23" i="20"/>
  <c r="M23" i="20"/>
  <c r="L23" i="20"/>
  <c r="G23" i="20"/>
  <c r="AA3" i="20"/>
  <c r="M96" i="15"/>
  <c r="Q112" i="14"/>
  <c r="Q17" i="14" s="1"/>
  <c r="Q130" i="14"/>
  <c r="Q35" i="14" s="1"/>
  <c r="Q129" i="14"/>
  <c r="Q34" i="14" s="1"/>
  <c r="B9" i="14" a="1"/>
  <c r="B9" i="14" s="1"/>
  <c r="B29" i="14" a="1"/>
  <c r="B29" i="14" s="1"/>
  <c r="Q108" i="14"/>
  <c r="Q13" i="14" s="1"/>
  <c r="Q10" i="14"/>
  <c r="Q128" i="14"/>
  <c r="Q33" i="14" s="1"/>
  <c r="Q111" i="14"/>
  <c r="Q16" i="14" s="1"/>
  <c r="Q127" i="14"/>
  <c r="Q32" i="14" s="1"/>
  <c r="Q109" i="14"/>
  <c r="Q14" i="14" s="1"/>
  <c r="Q110" i="14"/>
  <c r="Q15" i="14" s="1"/>
  <c r="C9" i="14" a="1"/>
  <c r="C9" i="14" s="1"/>
  <c r="Q115" i="14"/>
  <c r="Q20" i="14" s="1"/>
  <c r="Q114" i="14"/>
  <c r="Q19" i="14" s="1"/>
  <c r="Q116" i="14"/>
  <c r="Q21" i="14" s="1"/>
  <c r="Q113" i="14"/>
  <c r="Q18" i="14" s="1"/>
  <c r="E29" i="14" a="1"/>
  <c r="E29" i="14" s="1"/>
  <c r="Q121" i="14"/>
  <c r="Q26" i="14" s="1"/>
  <c r="Q122" i="14"/>
  <c r="Q27" i="14" s="1"/>
  <c r="Q103" i="14"/>
  <c r="Q120" i="14"/>
  <c r="Q25" i="14" s="1"/>
  <c r="D9" i="14" a="1"/>
  <c r="D9" i="14" s="1"/>
  <c r="Q104" i="14"/>
  <c r="Q9" i="14" s="1"/>
  <c r="Q123" i="14"/>
  <c r="Q28" i="14" s="1"/>
  <c r="E9" i="14" a="1"/>
  <c r="E9" i="14" s="1"/>
  <c r="D29" i="14" a="1"/>
  <c r="D29" i="14" s="1"/>
  <c r="K100" i="3" a="1"/>
  <c r="K100" i="3" s="1"/>
  <c r="U44" i="20"/>
  <c r="V44" i="20"/>
  <c r="K101" i="3" a="1"/>
  <c r="K101" i="3" s="1"/>
  <c r="K102" i="3" a="1"/>
  <c r="K102" i="3" s="1"/>
  <c r="K103" i="3" a="1"/>
  <c r="K103" i="3" s="1"/>
  <c r="K104" i="3" a="1"/>
  <c r="K104" i="3" s="1"/>
  <c r="K105" i="3" a="1"/>
  <c r="K105" i="3" s="1"/>
  <c r="K106" i="3" a="1"/>
  <c r="K106" i="3" s="1"/>
  <c r="K107" i="3" a="1"/>
  <c r="K107" i="3" s="1"/>
  <c r="K108" i="3" a="1"/>
  <c r="K108" i="3" s="1"/>
  <c r="K109" i="3" a="1"/>
  <c r="K109" i="3" s="1"/>
  <c r="K110" i="3" a="1"/>
  <c r="K110" i="3" s="1"/>
  <c r="K112" i="3" a="1"/>
  <c r="K112" i="3" s="1"/>
  <c r="O125" i="14"/>
  <c r="O132" i="14"/>
  <c r="O135" i="14"/>
  <c r="O131" i="14"/>
  <c r="O129" i="14"/>
  <c r="O126" i="14"/>
  <c r="O134" i="14"/>
  <c r="O128" i="14"/>
  <c r="O127" i="14"/>
  <c r="O133" i="14"/>
  <c r="O136" i="14"/>
  <c r="O137" i="14"/>
  <c r="O130" i="14"/>
  <c r="K113" i="3" a="1"/>
  <c r="K113" i="3" s="1"/>
  <c r="K114" i="3" a="1"/>
  <c r="K114" i="3" s="1"/>
  <c r="K115" i="3" a="1"/>
  <c r="K115" i="3" s="1"/>
  <c r="Q4" i="20"/>
  <c r="R4" i="20"/>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K195" i="3" a="1"/>
  <c r="K195" i="3" s="1"/>
  <c r="K196" i="3" a="1"/>
  <c r="K196" i="3" s="1"/>
  <c r="K197" i="3" a="1"/>
  <c r="K197" i="3" s="1"/>
  <c r="G187" i="1"/>
  <c r="G188" i="1" s="1"/>
  <c r="G189" i="1" s="1"/>
  <c r="G190" i="1" s="1"/>
  <c r="G191" i="1" s="1"/>
  <c r="G192" i="1" s="1"/>
  <c r="G193" i="1" s="1"/>
  <c r="G194" i="1" s="1"/>
  <c r="G173" i="1"/>
  <c r="G174" i="1" s="1"/>
  <c r="G175" i="1" s="1"/>
  <c r="G176" i="1" s="1"/>
  <c r="G177" i="1" s="1"/>
  <c r="G178" i="1" s="1"/>
  <c r="G179" i="1" s="1"/>
  <c r="G180" i="1" s="1"/>
  <c r="G151" i="1"/>
  <c r="G152" i="1" s="1"/>
  <c r="G153" i="1" s="1"/>
  <c r="G154" i="1" s="1"/>
  <c r="G155" i="1" s="1"/>
  <c r="G156" i="1" s="1"/>
  <c r="G157" i="1" s="1"/>
  <c r="G158" i="1" s="1"/>
  <c r="G159" i="1" s="1"/>
  <c r="G160" i="1" s="1"/>
  <c r="G161" i="1" s="1"/>
  <c r="G162" i="1" s="1"/>
  <c r="G163" i="1" s="1"/>
  <c r="G164" i="1" s="1"/>
  <c r="G165" i="1" s="1"/>
  <c r="G166" i="1" s="1"/>
  <c r="G137" i="1"/>
  <c r="G138" i="1" s="1"/>
  <c r="G139" i="1" s="1"/>
  <c r="G140" i="1" s="1"/>
  <c r="G141" i="1" s="1"/>
  <c r="G142" i="1" s="1"/>
  <c r="G143" i="1" s="1"/>
  <c r="G144" i="1" s="1"/>
  <c r="G118" i="1"/>
  <c r="G119" i="1" s="1"/>
  <c r="G120" i="1" s="1"/>
  <c r="G121" i="1" s="1"/>
  <c r="G122" i="1" s="1"/>
  <c r="G123" i="1" s="1"/>
  <c r="G124" i="1" s="1"/>
  <c r="G125" i="1" s="1"/>
  <c r="G126" i="1" s="1"/>
  <c r="G127" i="1" s="1"/>
  <c r="G128" i="1" s="1"/>
  <c r="G84" i="1"/>
  <c r="G85" i="1" s="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G58" i="1"/>
  <c r="G59" i="1" s="1"/>
  <c r="G60" i="1" s="1"/>
  <c r="G61" i="1" s="1"/>
  <c r="G62" i="1" s="1"/>
  <c r="G63" i="1" s="1"/>
  <c r="G64" i="1" s="1"/>
  <c r="G65" i="1" s="1"/>
  <c r="G66" i="1" s="1"/>
  <c r="G67" i="1" s="1"/>
  <c r="G68" i="1" s="1"/>
  <c r="G69" i="1" s="1"/>
  <c r="G70" i="1" s="1"/>
  <c r="G71" i="1" s="1"/>
  <c r="G72" i="1" s="1"/>
  <c r="G73" i="1" s="1"/>
  <c r="G74" i="1" s="1"/>
  <c r="G75" i="1" s="1"/>
  <c r="G76" i="1" s="1"/>
  <c r="G77" i="1" s="1"/>
  <c r="G78" i="1" s="1"/>
  <c r="Q102" i="14"/>
  <c r="C29" i="14" a="1"/>
  <c r="C29" i="14" s="1"/>
  <c r="K111" i="3" a="1"/>
  <c r="K111" i="3" s="1"/>
  <c r="I10" i="3"/>
  <c r="E211" i="30" a="1"/>
  <c r="E211" i="30" s="1"/>
  <c r="H33" i="30"/>
  <c r="H34" i="30"/>
  <c r="F127" i="30"/>
  <c r="F126" i="30"/>
  <c r="H27" i="30"/>
  <c r="H29" i="30"/>
  <c r="H26" i="30"/>
  <c r="H28" i="30"/>
  <c r="H23" i="30"/>
  <c r="H30" i="30"/>
  <c r="H31" i="30"/>
  <c r="H25" i="30"/>
  <c r="H32" i="30"/>
  <c r="H22" i="30"/>
  <c r="H24" i="30"/>
  <c r="F124" i="30"/>
  <c r="F125" i="30"/>
  <c r="F123" i="30"/>
  <c r="F122" i="30"/>
  <c r="H20" i="30"/>
  <c r="H21" i="30"/>
  <c r="H7" i="30"/>
  <c r="H8" i="30"/>
  <c r="H9" i="30"/>
  <c r="H10" i="30"/>
  <c r="H11" i="30"/>
  <c r="H12" i="30"/>
  <c r="H13" i="30"/>
  <c r="H14" i="30"/>
  <c r="H15" i="30"/>
  <c r="H16" i="30"/>
  <c r="H17" i="30"/>
  <c r="H18" i="30"/>
  <c r="H19" i="30"/>
  <c r="F121" i="30"/>
  <c r="F119" i="30"/>
  <c r="F120" i="30"/>
  <c r="T300" i="30" a="1"/>
  <c r="T300" i="30"/>
  <c r="T390" i="30" a="1"/>
  <c r="T390" i="30"/>
  <c r="F118" i="30"/>
  <c r="F117" i="30"/>
  <c r="F105" i="30"/>
  <c r="F116" i="30"/>
  <c r="F101" i="30"/>
  <c r="F107" i="30"/>
  <c r="F110" i="30"/>
  <c r="F103" i="30"/>
  <c r="F112" i="30"/>
  <c r="F111" i="30"/>
  <c r="F106" i="30"/>
  <c r="F113" i="30"/>
  <c r="F102" i="30"/>
  <c r="F109" i="30"/>
  <c r="F114" i="30"/>
  <c r="F100" i="30"/>
  <c r="F115" i="30"/>
  <c r="F108" i="30"/>
  <c r="F104" i="30"/>
  <c r="T320" i="30" a="1"/>
  <c r="T320" i="30"/>
  <c r="I7" i="30" a="1"/>
  <c r="J107" i="30"/>
  <c r="K133" i="30"/>
  <c r="K136" i="30"/>
  <c r="K138" i="30"/>
  <c r="K149" i="30"/>
  <c r="K152" i="30"/>
  <c r="K124" i="30"/>
  <c r="K130" i="30"/>
  <c r="K134" i="30"/>
  <c r="K137" i="30"/>
  <c r="K147" i="30"/>
  <c r="K118" i="30"/>
  <c r="K121" i="30"/>
  <c r="K126" i="30"/>
  <c r="K135" i="30"/>
  <c r="K107" i="30"/>
  <c r="K139" i="30"/>
  <c r="K143" i="30"/>
  <c r="K116" i="30"/>
  <c r="K151" i="30"/>
  <c r="K122" i="30"/>
  <c r="K127" i="30"/>
  <c r="K108" i="30"/>
  <c r="K140" i="30"/>
  <c r="K144" i="30"/>
  <c r="K117" i="30"/>
  <c r="K120" i="30"/>
  <c r="K154" i="30"/>
  <c r="K128" i="30"/>
  <c r="K109" i="30"/>
  <c r="K141" i="30"/>
  <c r="K142" i="30"/>
  <c r="K115" i="30"/>
  <c r="K150" i="30"/>
  <c r="K153" i="30"/>
  <c r="K125" i="30"/>
  <c r="K131" i="30"/>
  <c r="K110" i="30"/>
  <c r="K111" i="30"/>
  <c r="K112" i="30"/>
  <c r="K113" i="30"/>
  <c r="K145" i="30"/>
  <c r="K146" i="30"/>
  <c r="K148" i="30"/>
  <c r="K119" i="30"/>
  <c r="K123" i="30"/>
  <c r="K129" i="30"/>
  <c r="K114" i="30"/>
  <c r="K132" i="30"/>
  <c r="I7" i="30"/>
  <c r="J106" i="30"/>
  <c r="K106" i="30"/>
  <c r="J102" i="30"/>
  <c r="K102" i="30"/>
  <c r="J101" i="30"/>
  <c r="K101" i="30"/>
  <c r="J100" i="30"/>
  <c r="K100" i="30"/>
  <c r="J105" i="30"/>
  <c r="K105" i="30"/>
  <c r="J104" i="30"/>
  <c r="K104" i="30"/>
  <c r="J103" i="30"/>
  <c r="K103" i="30"/>
  <c r="T220" i="30" a="1"/>
  <c r="T220" i="30"/>
  <c r="T7" i="30" a="1"/>
  <c r="T7" i="30"/>
  <c r="Y138" i="30"/>
  <c r="Y136" i="30"/>
  <c r="Y140" i="30"/>
  <c r="Y137" i="30"/>
  <c r="Y135" i="30"/>
  <c r="Y139" i="30"/>
  <c r="U138" i="30"/>
  <c r="V138" i="30"/>
  <c r="U137" i="30"/>
  <c r="V137" i="30"/>
  <c r="U139" i="30"/>
  <c r="V139" i="30"/>
  <c r="U136" i="30"/>
  <c r="V136" i="30"/>
  <c r="U140" i="30"/>
  <c r="V140" i="30"/>
  <c r="U149" i="30"/>
  <c r="V149" i="30"/>
  <c r="U141" i="30"/>
  <c r="V141" i="30"/>
  <c r="U146" i="30"/>
  <c r="V146" i="30"/>
  <c r="U142" i="30"/>
  <c r="V142" i="30"/>
  <c r="U154" i="30"/>
  <c r="V154" i="30"/>
  <c r="U143" i="30"/>
  <c r="V143" i="30"/>
  <c r="U145" i="30"/>
  <c r="V145" i="30"/>
  <c r="U148" i="30"/>
  <c r="V148" i="30"/>
  <c r="U150" i="30"/>
  <c r="V150" i="30"/>
  <c r="U153" i="30"/>
  <c r="V153" i="30"/>
  <c r="U152" i="30"/>
  <c r="V152" i="30"/>
  <c r="U151" i="30"/>
  <c r="V151" i="30"/>
  <c r="U144" i="30"/>
  <c r="V144" i="30"/>
  <c r="U147" i="30"/>
  <c r="V147" i="30"/>
  <c r="U135" i="30"/>
  <c r="V135" i="30"/>
  <c r="U122" i="30"/>
  <c r="V122" i="30"/>
  <c r="U132" i="30"/>
  <c r="V132" i="30"/>
  <c r="U127" i="30"/>
  <c r="V127" i="30"/>
  <c r="U124" i="30"/>
  <c r="V124" i="30"/>
  <c r="U126" i="30"/>
  <c r="V126" i="30"/>
  <c r="U131" i="30"/>
  <c r="V131" i="30"/>
  <c r="U125" i="30"/>
  <c r="V125" i="30"/>
  <c r="U110" i="30"/>
  <c r="V110" i="30"/>
  <c r="U123" i="30"/>
  <c r="V123" i="30"/>
  <c r="U128" i="30"/>
  <c r="V128" i="30"/>
  <c r="U133" i="30"/>
  <c r="V133" i="30"/>
  <c r="U130" i="30"/>
  <c r="V130" i="30"/>
  <c r="U129" i="30"/>
  <c r="V129" i="30"/>
  <c r="U121" i="30"/>
  <c r="V121" i="30"/>
  <c r="U134" i="30"/>
  <c r="V134" i="30"/>
  <c r="U104" i="30"/>
  <c r="V104" i="30"/>
  <c r="U111" i="30"/>
  <c r="V111" i="30"/>
  <c r="U120" i="30"/>
  <c r="V120" i="30"/>
  <c r="U119" i="30"/>
  <c r="V119" i="30"/>
  <c r="U118" i="30"/>
  <c r="V118" i="30"/>
  <c r="U109" i="30"/>
  <c r="V109" i="30"/>
  <c r="U105" i="30"/>
  <c r="V105" i="30"/>
  <c r="U114" i="30"/>
  <c r="V114" i="30"/>
  <c r="U100" i="30"/>
  <c r="V100" i="30"/>
  <c r="U113" i="30"/>
  <c r="V113" i="30"/>
  <c r="U103" i="30"/>
  <c r="V103" i="30"/>
  <c r="U102" i="30"/>
  <c r="V102" i="30"/>
  <c r="U107" i="30"/>
  <c r="V107" i="30"/>
  <c r="U117" i="30"/>
  <c r="V117" i="30"/>
  <c r="U106" i="30"/>
  <c r="V106" i="30"/>
  <c r="U108" i="30"/>
  <c r="V108" i="30"/>
  <c r="U116" i="30"/>
  <c r="V116" i="30"/>
  <c r="U115" i="30"/>
  <c r="V115" i="30"/>
  <c r="U112" i="30"/>
  <c r="V112" i="30"/>
  <c r="U101" i="30"/>
  <c r="V101" i="30"/>
  <c r="X7" i="30" a="1"/>
  <c r="Y111" i="30"/>
  <c r="Y134" i="30"/>
  <c r="Y108" i="30"/>
  <c r="Y118" i="30"/>
  <c r="Y115" i="30"/>
  <c r="Y100" i="30"/>
  <c r="Y131" i="30"/>
  <c r="Y119" i="30"/>
  <c r="Y129" i="30"/>
  <c r="Y114" i="30"/>
  <c r="Y126" i="30"/>
  <c r="Y123" i="30"/>
  <c r="Y110" i="30"/>
  <c r="Y133" i="30"/>
  <c r="Y132" i="30"/>
  <c r="Y124" i="30"/>
  <c r="Y121" i="30"/>
  <c r="Y122" i="30"/>
  <c r="Y120" i="30"/>
  <c r="Y116" i="30"/>
  <c r="Y130" i="30"/>
  <c r="Y117" i="30"/>
  <c r="Y109" i="30"/>
  <c r="Y127" i="30"/>
  <c r="Y107" i="30"/>
  <c r="Y106" i="30"/>
  <c r="Y113" i="30"/>
  <c r="Y104" i="30"/>
  <c r="Y103" i="30"/>
  <c r="Y125" i="30"/>
  <c r="Y128" i="30"/>
  <c r="Y112" i="30"/>
  <c r="X7" i="30"/>
  <c r="Y102" i="30"/>
  <c r="Y105" i="30"/>
  <c r="Y101" i="30"/>
  <c r="Z112" i="30"/>
  <c r="Z128" i="30"/>
  <c r="Z125" i="30"/>
  <c r="Z113" i="30"/>
  <c r="Z103" i="30"/>
  <c r="Z104" i="30"/>
  <c r="Z107" i="30"/>
  <c r="Z130" i="30"/>
  <c r="Z121" i="30"/>
  <c r="Z106" i="30"/>
  <c r="Z132" i="30"/>
  <c r="Z133" i="30"/>
  <c r="Z109" i="30"/>
  <c r="Z114" i="30"/>
  <c r="Z117" i="30"/>
  <c r="Z131" i="30"/>
  <c r="Z127" i="30"/>
  <c r="Z129" i="30"/>
  <c r="Z116" i="30"/>
  <c r="Z119" i="30"/>
  <c r="Z122" i="30"/>
  <c r="Z110" i="30"/>
  <c r="Z101" i="30"/>
  <c r="Z120" i="30"/>
  <c r="Z126" i="30"/>
  <c r="Z105" i="30"/>
  <c r="Z124" i="30"/>
  <c r="Z123" i="30"/>
  <c r="Z102" i="30"/>
  <c r="Z100" i="30"/>
  <c r="Z115" i="30"/>
  <c r="Z118" i="30"/>
  <c r="Z108" i="30"/>
  <c r="Z134" i="30"/>
  <c r="Z151" i="30"/>
  <c r="Z139" i="30"/>
  <c r="Z143" i="30"/>
  <c r="Z137" i="30"/>
  <c r="Z150" i="30"/>
  <c r="Z141" i="30"/>
  <c r="Z152" i="30"/>
  <c r="Z138" i="30"/>
  <c r="Z153" i="30"/>
  <c r="Z148" i="30"/>
  <c r="Z144" i="30"/>
  <c r="Z149" i="30"/>
  <c r="Z135" i="30"/>
  <c r="Z145" i="30"/>
  <c r="Z142" i="30"/>
  <c r="Z140" i="30"/>
  <c r="Z154" i="30"/>
  <c r="Z136" i="30"/>
  <c r="Z147" i="30"/>
  <c r="Z146" i="30"/>
  <c r="Z111" i="30"/>
  <c r="H124" i="35"/>
  <c r="H125" i="35"/>
  <c r="J31" i="35"/>
  <c r="J32" i="35"/>
  <c r="H116" i="35"/>
  <c r="H115" i="35"/>
  <c r="H114" i="35"/>
  <c r="H111" i="35"/>
  <c r="H112" i="35"/>
  <c r="H113" i="35"/>
  <c r="P125" i="35"/>
  <c r="P126" i="35"/>
  <c r="P124" i="35"/>
  <c r="P122" i="35"/>
  <c r="P123" i="35"/>
  <c r="P120" i="35"/>
  <c r="P121" i="35"/>
  <c r="P118" i="35"/>
  <c r="P119" i="35"/>
  <c r="C121" i="30"/>
  <c r="C120" i="30"/>
  <c r="R239" i="2"/>
  <c r="AI239" i="2"/>
  <c r="C73" i="13" a="1"/>
  <c r="Y239" i="2"/>
  <c r="E109" i="14" a="1"/>
  <c r="P239" i="2"/>
  <c r="J239" i="2"/>
  <c r="K239" i="2"/>
  <c r="I76" i="13" a="1"/>
  <c r="L239" i="2"/>
  <c r="G239" i="2"/>
  <c r="Q239" i="2"/>
  <c r="Z239" i="2"/>
  <c r="N239" i="2"/>
  <c r="O239" i="2"/>
  <c r="AL239" i="2"/>
  <c r="AD54" i="1" a="1"/>
  <c r="AD239" i="2"/>
  <c r="AA239" i="2"/>
  <c r="F239" i="2"/>
  <c r="T239" i="2"/>
  <c r="M239" i="2"/>
  <c r="S239" i="2"/>
  <c r="AE239" i="2"/>
  <c r="U239" i="2"/>
  <c r="Q62" i="13"/>
  <c r="X239" i="2"/>
  <c r="W239" i="2"/>
  <c r="V239" i="2"/>
  <c r="AM239" i="2"/>
  <c r="AJ239" i="2"/>
  <c r="AK239" i="2"/>
  <c r="H239" i="2"/>
  <c r="AC239" i="2"/>
  <c r="AB239" i="2"/>
  <c r="E239" i="2"/>
  <c r="AG239" i="2"/>
  <c r="I239" i="2"/>
  <c r="AH239" i="2"/>
  <c r="AF239" i="2"/>
  <c r="D109" i="14" a="1"/>
  <c r="E46" i="13" l="1"/>
  <c r="D114" i="13" s="1"/>
  <c r="AL43" i="20"/>
  <c r="AP43" i="20"/>
  <c r="AQ43" i="20" s="1" a="1"/>
  <c r="AQ43" i="20" s="1"/>
  <c r="AI43" i="20"/>
  <c r="AH108" i="20"/>
  <c r="AJ108" i="20"/>
  <c r="AI453" i="1"/>
  <c r="AI459" i="1"/>
  <c r="AH459" i="1" s="1" a="1"/>
  <c r="AH459" i="1" s="1"/>
  <c r="AI461" i="1"/>
  <c r="AH461" i="1" s="1" a="1"/>
  <c r="AH461" i="1" s="1"/>
  <c r="AI456" i="1"/>
  <c r="AH456" i="1" s="1" a="1"/>
  <c r="AH456" i="1" s="1"/>
  <c r="L14" i="3" a="1"/>
  <c r="L14" i="3" s="1"/>
  <c r="L45" i="3" a="1"/>
  <c r="L45" i="3" s="1"/>
  <c r="M45" i="3" s="1"/>
  <c r="L46" i="3" a="1"/>
  <c r="L46" i="3" s="1"/>
  <c r="N46" i="3" s="1"/>
  <c r="L36" i="3" a="1"/>
  <c r="L36" i="3" s="1"/>
  <c r="N36" i="3" s="1"/>
  <c r="L35" i="3" a="1"/>
  <c r="L35" i="3" s="1"/>
  <c r="M35" i="3" s="1"/>
  <c r="L17" i="3" a="1"/>
  <c r="L17" i="3" s="1"/>
  <c r="N17" i="3" s="1"/>
  <c r="L38" i="3" a="1"/>
  <c r="L38" i="3" s="1"/>
  <c r="N38" i="3" s="1"/>
  <c r="L37" i="3" a="1"/>
  <c r="L37" i="3" s="1"/>
  <c r="N37" i="3" s="1"/>
  <c r="L44" i="3" a="1"/>
  <c r="L44" i="3" s="1"/>
  <c r="M44" i="3" s="1"/>
  <c r="L43" i="3" a="1"/>
  <c r="L43" i="3" s="1"/>
  <c r="N43" i="3" s="1"/>
  <c r="L20" i="3" a="1"/>
  <c r="L20" i="3" s="1"/>
  <c r="M20" i="3" s="1"/>
  <c r="L33" i="3" a="1"/>
  <c r="L33" i="3" s="1"/>
  <c r="N33" i="3" s="1"/>
  <c r="L34" i="3" a="1"/>
  <c r="L34" i="3" s="1"/>
  <c r="N34" i="3" s="1"/>
  <c r="BE62" i="40" s="1"/>
  <c r="BH62" i="40" s="1"/>
  <c r="L27" i="3" a="1"/>
  <c r="L27" i="3" s="1"/>
  <c r="N27" i="3" s="1"/>
  <c r="L26" i="3" a="1"/>
  <c r="L26" i="3" s="1"/>
  <c r="N26" i="3" s="1"/>
  <c r="L39" i="3" a="1"/>
  <c r="L39" i="3" s="1"/>
  <c r="N39" i="3" s="1"/>
  <c r="L40" i="3" a="1"/>
  <c r="L40" i="3" s="1"/>
  <c r="M40" i="3" s="1"/>
  <c r="L31" i="3" a="1"/>
  <c r="L31" i="3" s="1"/>
  <c r="M31" i="3" s="1"/>
  <c r="L32" i="3" a="1"/>
  <c r="L32" i="3" s="1"/>
  <c r="M32" i="3" s="1"/>
  <c r="L25" i="3" a="1"/>
  <c r="L25" i="3" s="1"/>
  <c r="N25" i="3" s="1"/>
  <c r="L24" i="3" a="1"/>
  <c r="L24" i="3" s="1"/>
  <c r="M24" i="3" s="1"/>
  <c r="L42" i="3" a="1"/>
  <c r="L42" i="3" s="1"/>
  <c r="M42" i="3" s="1"/>
  <c r="L41" i="3" a="1"/>
  <c r="L41" i="3" s="1"/>
  <c r="M41" i="3" s="1"/>
  <c r="L30" i="3" a="1"/>
  <c r="L30" i="3" s="1"/>
  <c r="N30" i="3" s="1"/>
  <c r="L28" i="3" a="1"/>
  <c r="L28" i="3" s="1"/>
  <c r="N28" i="3" s="1"/>
  <c r="L29" i="3" a="1"/>
  <c r="L29" i="3" s="1"/>
  <c r="N29" i="3" s="1"/>
  <c r="AI449" i="1"/>
  <c r="AI464" i="1"/>
  <c r="AH464" i="1" s="1" a="1"/>
  <c r="AH464" i="1" s="1"/>
  <c r="AI460" i="1"/>
  <c r="AH460" i="1" s="1" a="1"/>
  <c r="AH460" i="1" s="1"/>
  <c r="AI452" i="1"/>
  <c r="AI457" i="1"/>
  <c r="AH457" i="1" s="1" a="1"/>
  <c r="AH457" i="1" s="1"/>
  <c r="AI462" i="1"/>
  <c r="AH462" i="1" s="1" a="1"/>
  <c r="AH462" i="1" s="1"/>
  <c r="AI458" i="1"/>
  <c r="AH458" i="1" s="1" a="1"/>
  <c r="AH458" i="1" s="1"/>
  <c r="D115" i="13"/>
  <c r="AI455" i="1"/>
  <c r="AH455" i="1" s="1" a="1"/>
  <c r="AH455" i="1" s="1"/>
  <c r="AI451" i="1"/>
  <c r="AH451" i="1" s="1" a="1"/>
  <c r="AH451" i="1" s="1"/>
  <c r="AI454" i="1"/>
  <c r="AH454" i="1" s="1" a="1"/>
  <c r="AH454" i="1" s="1"/>
  <c r="AI450" i="1"/>
  <c r="AI463" i="1"/>
  <c r="AH463" i="1" s="1" a="1"/>
  <c r="AH463" i="1" s="1"/>
  <c r="AI63" i="20"/>
  <c r="AH63" i="20"/>
  <c r="AH53" i="20"/>
  <c r="AJ53" i="20"/>
  <c r="L202" i="35"/>
  <c r="T232" i="38"/>
  <c r="L212" i="35"/>
  <c r="Q195" i="38"/>
  <c r="T233" i="38"/>
  <c r="L213" i="35"/>
  <c r="Q196" i="38"/>
  <c r="B21" i="14"/>
  <c r="AH452" i="1" a="1"/>
  <c r="AH452" i="1" s="1"/>
  <c r="AH453" i="1" a="1"/>
  <c r="AH453" i="1" s="1"/>
  <c r="BC23" i="40"/>
  <c r="BA23" i="40" s="1"/>
  <c r="BH14" i="40"/>
  <c r="BC22" i="40"/>
  <c r="BA22" i="40" s="1"/>
  <c r="AC157" i="38"/>
  <c r="E105" i="38"/>
  <c r="R129" i="38" s="1"/>
  <c r="K116" i="38"/>
  <c r="U111" i="38" s="1"/>
  <c r="K118" i="38"/>
  <c r="K125" i="38"/>
  <c r="K117" i="38"/>
  <c r="K120" i="38"/>
  <c r="K124" i="38"/>
  <c r="K119" i="38"/>
  <c r="K122" i="38"/>
  <c r="K123" i="38"/>
  <c r="K127" i="38"/>
  <c r="AC148" i="38" s="1"/>
  <c r="K121" i="38"/>
  <c r="Q14" i="40" s="1"/>
  <c r="K126" i="38"/>
  <c r="AC139" i="38" s="1"/>
  <c r="E103" i="38"/>
  <c r="E102" i="38"/>
  <c r="E101" i="38"/>
  <c r="D157" i="38" s="1"/>
  <c r="E106" i="38"/>
  <c r="E104" i="38"/>
  <c r="E107" i="38"/>
  <c r="R135" i="38" s="1"/>
  <c r="E108" i="38"/>
  <c r="D104" i="38"/>
  <c r="R123" i="38" s="1"/>
  <c r="D102" i="38"/>
  <c r="R109" i="38" s="1"/>
  <c r="D103" i="38"/>
  <c r="D105" i="38"/>
  <c r="D106" i="38"/>
  <c r="D107" i="38"/>
  <c r="D108" i="38"/>
  <c r="D101" i="38"/>
  <c r="R104" i="38" s="1"/>
  <c r="N89" i="15"/>
  <c r="X4" i="38"/>
  <c r="J4" i="38"/>
  <c r="J2" i="38"/>
  <c r="N125" i="15"/>
  <c r="M121" i="15"/>
  <c r="F67" i="15"/>
  <c r="H67" i="15" s="1"/>
  <c r="K67" i="15" s="1" a="1"/>
  <c r="K67" i="15" s="1"/>
  <c r="F65" i="15"/>
  <c r="H65" i="15" s="1"/>
  <c r="K65" i="15" s="1" a="1"/>
  <c r="K65" i="15" s="1"/>
  <c r="C2" i="30"/>
  <c r="C111" i="38"/>
  <c r="AT53" i="40"/>
  <c r="AR53" i="40" s="1"/>
  <c r="E38" i="14"/>
  <c r="B38" i="14"/>
  <c r="H5" i="40"/>
  <c r="S5" i="40"/>
  <c r="B5" i="40"/>
  <c r="E68" i="15"/>
  <c r="G68" i="15" s="1"/>
  <c r="Q185" i="38"/>
  <c r="Q190" i="38"/>
  <c r="C118" i="40"/>
  <c r="B5" i="36" s="1" a="1"/>
  <c r="B5" i="36" s="1"/>
  <c r="C4" i="30"/>
  <c r="Y4" i="30"/>
  <c r="I18" i="13" a="1"/>
  <c r="I18" i="13" s="1"/>
  <c r="C19" i="13" s="1"/>
  <c r="M184" i="15"/>
  <c r="C5" i="9"/>
  <c r="C4" i="35"/>
  <c r="C8" i="9"/>
  <c r="T4" i="35"/>
  <c r="C10" i="9"/>
  <c r="C644" i="1"/>
  <c r="AP5" i="40"/>
  <c r="C9" i="9"/>
  <c r="E8" i="14"/>
  <c r="B6" i="40"/>
  <c r="F165" i="15"/>
  <c r="H165" i="15" s="1"/>
  <c r="C12" i="9"/>
  <c r="B8" i="14"/>
  <c r="H6" i="40"/>
  <c r="F162" i="15"/>
  <c r="H162" i="15" s="1"/>
  <c r="S6" i="40"/>
  <c r="F98" i="15"/>
  <c r="H98" i="15" s="1"/>
  <c r="AE3" i="40"/>
  <c r="F68" i="15"/>
  <c r="H68" i="15" s="1"/>
  <c r="F35" i="40"/>
  <c r="L205" i="35"/>
  <c r="C112" i="38"/>
  <c r="AE5" i="40"/>
  <c r="F4" i="30"/>
  <c r="BL6" i="40"/>
  <c r="Q160" i="38"/>
  <c r="H4" i="40"/>
  <c r="Q165" i="38"/>
  <c r="M124" i="15"/>
  <c r="S4" i="40"/>
  <c r="Q172" i="38"/>
  <c r="C2" i="36"/>
  <c r="AP3" i="40"/>
  <c r="Q179" i="38"/>
  <c r="Q162" i="38"/>
  <c r="Q169" i="38"/>
  <c r="AE4" i="40"/>
  <c r="Q176" i="38"/>
  <c r="BL5" i="40"/>
  <c r="Q182" i="38"/>
  <c r="F164" i="15"/>
  <c r="H164" i="15" s="1"/>
  <c r="Q187" i="38"/>
  <c r="AQ54" i="40"/>
  <c r="F163" i="15"/>
  <c r="H163" i="15" s="1"/>
  <c r="Q193" i="38"/>
  <c r="AP4" i="40"/>
  <c r="L172" i="35"/>
  <c r="C110" i="38"/>
  <c r="F161" i="15"/>
  <c r="H161" i="15" s="1"/>
  <c r="L174" i="35"/>
  <c r="N92" i="15"/>
  <c r="F101" i="15"/>
  <c r="H101" i="15" s="1"/>
  <c r="L177" i="35"/>
  <c r="F100" i="15"/>
  <c r="H100" i="15" s="1"/>
  <c r="L181" i="35"/>
  <c r="AQ53" i="40"/>
  <c r="F99" i="15"/>
  <c r="H99" i="15" s="1"/>
  <c r="L184" i="35"/>
  <c r="L188" i="35"/>
  <c r="C645" i="1"/>
  <c r="C9" i="3"/>
  <c r="F97" i="15"/>
  <c r="L191" i="35"/>
  <c r="F96" i="15"/>
  <c r="H96" i="15" s="1"/>
  <c r="L194" i="35"/>
  <c r="F72" i="40"/>
  <c r="F92" i="15"/>
  <c r="H92" i="15" s="1"/>
  <c r="L197" i="35"/>
  <c r="F70" i="15"/>
  <c r="H70" i="15" s="1"/>
  <c r="K70" i="15" s="1" a="1"/>
  <c r="K70" i="15" s="1"/>
  <c r="L199" i="35"/>
  <c r="E21" i="14"/>
  <c r="F69" i="15"/>
  <c r="H69" i="15" s="1"/>
  <c r="BH15" i="40"/>
  <c r="BH87" i="40"/>
  <c r="BH86" i="40"/>
  <c r="BH85" i="40"/>
  <c r="BH26" i="40"/>
  <c r="E7" i="30" a="1"/>
  <c r="E7" i="30" s="1"/>
  <c r="G134" i="30" s="1"/>
  <c r="L23" i="3" a="1"/>
  <c r="L23" i="3" s="1"/>
  <c r="N23" i="3" s="1"/>
  <c r="L22" i="3" a="1"/>
  <c r="L22" i="3" s="1"/>
  <c r="M22" i="3" s="1"/>
  <c r="M94" i="3"/>
  <c r="N94" i="3"/>
  <c r="L21" i="3" a="1"/>
  <c r="L21" i="3" s="1"/>
  <c r="N21" i="3" s="1"/>
  <c r="N128" i="3"/>
  <c r="BC91" i="40"/>
  <c r="BA91" i="40" s="1"/>
  <c r="BH25" i="40"/>
  <c r="BC90" i="40"/>
  <c r="BA90" i="40" s="1"/>
  <c r="BH24" i="40"/>
  <c r="L22" i="20" a="1"/>
  <c r="L22" i="20" s="1"/>
  <c r="M22" i="20" a="1"/>
  <c r="M22" i="20" s="1"/>
  <c r="BH11" i="40"/>
  <c r="L19" i="3" a="1"/>
  <c r="L19" i="3" s="1"/>
  <c r="N19" i="3" s="1"/>
  <c r="M71" i="3"/>
  <c r="M47" i="3"/>
  <c r="L18" i="3" a="1"/>
  <c r="L18" i="3" s="1"/>
  <c r="M135" i="3"/>
  <c r="N135" i="3"/>
  <c r="N119" i="3"/>
  <c r="M119" i="3"/>
  <c r="N78" i="3"/>
  <c r="M78" i="3"/>
  <c r="N193" i="3"/>
  <c r="M84" i="3"/>
  <c r="R22" i="20" a="1"/>
  <c r="R22" i="20" s="1"/>
  <c r="BH88" i="40"/>
  <c r="G22" i="20" a="1"/>
  <c r="G22" i="20" s="1"/>
  <c r="BH12" i="40"/>
  <c r="BD12" i="40"/>
  <c r="BD11" i="40"/>
  <c r="BA11" i="40"/>
  <c r="BD14" i="40"/>
  <c r="BA13" i="40"/>
  <c r="BD13" i="40"/>
  <c r="BH89" i="40"/>
  <c r="AT101" i="30" a="1"/>
  <c r="BP71" i="40"/>
  <c r="H22" i="20" a="1"/>
  <c r="H22" i="20" s="1"/>
  <c r="C38" i="14"/>
  <c r="BD88" i="40"/>
  <c r="BC59" i="40"/>
  <c r="BA59" i="40" s="1"/>
  <c r="BH13" i="40"/>
  <c r="BD15" i="40"/>
  <c r="BD21" i="40"/>
  <c r="BA20" i="40"/>
  <c r="BD20" i="40"/>
  <c r="D38" i="14"/>
  <c r="BP34" i="40"/>
  <c r="BC94" i="40"/>
  <c r="BA94" i="40" s="1"/>
  <c r="BH21" i="40"/>
  <c r="BH20" i="40"/>
  <c r="BH92" i="40"/>
  <c r="Q22" i="20" a="1"/>
  <c r="Q22" i="20" s="1"/>
  <c r="L16" i="3" a="1"/>
  <c r="L16" i="3" s="1"/>
  <c r="M90" i="3"/>
  <c r="N90" i="3"/>
  <c r="M93" i="3"/>
  <c r="N93" i="3"/>
  <c r="M95" i="3"/>
  <c r="N95" i="3"/>
  <c r="N172" i="3"/>
  <c r="M172" i="3"/>
  <c r="M131" i="3"/>
  <c r="N131" i="3"/>
  <c r="M169" i="3"/>
  <c r="N169" i="3"/>
  <c r="N65" i="3"/>
  <c r="M65" i="3"/>
  <c r="M164" i="3"/>
  <c r="N164" i="3"/>
  <c r="M189" i="3"/>
  <c r="N189" i="3"/>
  <c r="N67" i="3"/>
  <c r="M67" i="3"/>
  <c r="N108" i="3"/>
  <c r="M108" i="3"/>
  <c r="N181" i="3"/>
  <c r="M181" i="3"/>
  <c r="N160" i="3"/>
  <c r="M160" i="3"/>
  <c r="N188" i="3"/>
  <c r="M188" i="3"/>
  <c r="M72" i="3"/>
  <c r="N72" i="3"/>
  <c r="M186" i="3"/>
  <c r="N186" i="3"/>
  <c r="M85" i="3"/>
  <c r="N85" i="3"/>
  <c r="M154" i="3"/>
  <c r="N154" i="3"/>
  <c r="N49" i="3"/>
  <c r="M49" i="3"/>
  <c r="M50" i="3"/>
  <c r="N50" i="3"/>
  <c r="M89" i="3"/>
  <c r="N89" i="3"/>
  <c r="M61" i="3"/>
  <c r="M73" i="3"/>
  <c r="M167" i="3"/>
  <c r="N74" i="3"/>
  <c r="M185" i="3"/>
  <c r="N195" i="3"/>
  <c r="N144" i="3"/>
  <c r="BH31" i="40"/>
  <c r="N187" i="3"/>
  <c r="N96" i="3"/>
  <c r="L42" i="40"/>
  <c r="N125" i="3"/>
  <c r="M150" i="3"/>
  <c r="L52" i="40"/>
  <c r="L15" i="3" a="1"/>
  <c r="L15" i="3" s="1"/>
  <c r="M58" i="3"/>
  <c r="N58" i="3"/>
  <c r="M112" i="3"/>
  <c r="N112" i="3"/>
  <c r="M132" i="3"/>
  <c r="N132" i="3"/>
  <c r="N59" i="3"/>
  <c r="M59" i="3"/>
  <c r="M148" i="3"/>
  <c r="N148" i="3"/>
  <c r="N166" i="3"/>
  <c r="M166" i="3"/>
  <c r="M91" i="3"/>
  <c r="N91" i="3"/>
  <c r="M180" i="3"/>
  <c r="N180" i="3"/>
  <c r="M165" i="3"/>
  <c r="N165" i="3"/>
  <c r="M48" i="3"/>
  <c r="N48" i="3"/>
  <c r="N129" i="3"/>
  <c r="M129" i="3"/>
  <c r="M64" i="3"/>
  <c r="N64" i="3"/>
  <c r="N51" i="3"/>
  <c r="M51" i="3"/>
  <c r="M147" i="3"/>
  <c r="N147" i="3"/>
  <c r="M163" i="3"/>
  <c r="N163" i="3"/>
  <c r="N14" i="3"/>
  <c r="M14" i="3"/>
  <c r="N162" i="3"/>
  <c r="M162" i="3"/>
  <c r="M34" i="3"/>
  <c r="N35" i="3"/>
  <c r="M54" i="3"/>
  <c r="N54" i="3"/>
  <c r="M161" i="3"/>
  <c r="N161" i="3"/>
  <c r="M60" i="3"/>
  <c r="N60" i="3"/>
  <c r="M197" i="3"/>
  <c r="N197" i="3"/>
  <c r="N126" i="3"/>
  <c r="M126" i="3"/>
  <c r="N68" i="3"/>
  <c r="M68" i="3"/>
  <c r="M145" i="3"/>
  <c r="N145" i="3"/>
  <c r="M196" i="3"/>
  <c r="N196" i="3"/>
  <c r="N97" i="3"/>
  <c r="M97" i="3"/>
  <c r="N182" i="3"/>
  <c r="M182" i="3"/>
  <c r="N99" i="3"/>
  <c r="M99" i="3"/>
  <c r="M194" i="3"/>
  <c r="N194" i="3"/>
  <c r="N158" i="3"/>
  <c r="M158" i="3"/>
  <c r="M100" i="3"/>
  <c r="N100" i="3"/>
  <c r="N81" i="3"/>
  <c r="M81" i="3"/>
  <c r="M179" i="3"/>
  <c r="N179" i="3"/>
  <c r="N101" i="3"/>
  <c r="M101" i="3"/>
  <c r="M178" i="3"/>
  <c r="N178" i="3"/>
  <c r="M123" i="3"/>
  <c r="N123" i="3"/>
  <c r="M177" i="3"/>
  <c r="N177" i="3"/>
  <c r="BA82" i="40"/>
  <c r="BD82" i="40"/>
  <c r="BD83" i="40"/>
  <c r="M155" i="3"/>
  <c r="N155" i="3"/>
  <c r="N121" i="3"/>
  <c r="M121" i="3"/>
  <c r="N75" i="3"/>
  <c r="M75" i="3"/>
  <c r="M120" i="3"/>
  <c r="N120" i="3"/>
  <c r="BA16" i="40"/>
  <c r="BD16" i="40"/>
  <c r="N76" i="3"/>
  <c r="M76" i="3"/>
  <c r="M141" i="3"/>
  <c r="N141" i="3"/>
  <c r="M36" i="3"/>
  <c r="N77" i="3"/>
  <c r="M77" i="3"/>
  <c r="M149" i="3"/>
  <c r="N149" i="3"/>
  <c r="M174" i="3"/>
  <c r="N174" i="3"/>
  <c r="N102" i="3"/>
  <c r="M102" i="3"/>
  <c r="N79" i="3"/>
  <c r="M79" i="3"/>
  <c r="N107" i="3"/>
  <c r="M107" i="3"/>
  <c r="M113" i="3"/>
  <c r="N113" i="3"/>
  <c r="M118" i="3"/>
  <c r="N118" i="3"/>
  <c r="BA17" i="40"/>
  <c r="BD17" i="40"/>
  <c r="M80" i="3"/>
  <c r="N80" i="3"/>
  <c r="M114" i="3"/>
  <c r="N114" i="3"/>
  <c r="M139" i="3"/>
  <c r="N139" i="3"/>
  <c r="N117" i="3"/>
  <c r="M117" i="3"/>
  <c r="BA30" i="40"/>
  <c r="BD30" i="40"/>
  <c r="BD31" i="40"/>
  <c r="M82" i="3"/>
  <c r="N82" i="3"/>
  <c r="M191" i="3"/>
  <c r="N191" i="3"/>
  <c r="N116" i="3"/>
  <c r="M116" i="3"/>
  <c r="M83" i="3"/>
  <c r="N83" i="3"/>
  <c r="N190" i="3"/>
  <c r="M190" i="3"/>
  <c r="N103" i="3"/>
  <c r="M103" i="3"/>
  <c r="N171" i="3"/>
  <c r="M171" i="3"/>
  <c r="M137" i="3"/>
  <c r="N137" i="3"/>
  <c r="N111" i="3"/>
  <c r="M111" i="3"/>
  <c r="N57" i="3"/>
  <c r="M57" i="3"/>
  <c r="M136" i="3"/>
  <c r="N136" i="3"/>
  <c r="M52" i="3"/>
  <c r="N52" i="3"/>
  <c r="N53" i="3"/>
  <c r="M53" i="3"/>
  <c r="M92" i="3"/>
  <c r="N92" i="3"/>
  <c r="M55" i="3"/>
  <c r="N55" i="3"/>
  <c r="M109" i="3"/>
  <c r="N109" i="3"/>
  <c r="N183" i="3"/>
  <c r="M183" i="3"/>
  <c r="M134" i="3"/>
  <c r="N134" i="3"/>
  <c r="N88" i="3"/>
  <c r="M88" i="3"/>
  <c r="M56" i="3"/>
  <c r="N56" i="3"/>
  <c r="M105" i="3"/>
  <c r="N105" i="3"/>
  <c r="N168" i="3"/>
  <c r="M168" i="3"/>
  <c r="M133" i="3"/>
  <c r="N133" i="3"/>
  <c r="M170" i="3"/>
  <c r="M143" i="3"/>
  <c r="N142" i="3"/>
  <c r="BH83" i="40"/>
  <c r="N98" i="3"/>
  <c r="M70" i="3"/>
  <c r="N173" i="3"/>
  <c r="M106" i="3"/>
  <c r="M151" i="3"/>
  <c r="N159" i="3"/>
  <c r="N156" i="3"/>
  <c r="N124" i="3"/>
  <c r="M152" i="3"/>
  <c r="N192" i="3"/>
  <c r="M66" i="3"/>
  <c r="M46" i="3"/>
  <c r="M184" i="3"/>
  <c r="N62" i="3"/>
  <c r="N115" i="3"/>
  <c r="BH30" i="40"/>
  <c r="BC43" i="40"/>
  <c r="BA43" i="40" s="1"/>
  <c r="N175" i="3"/>
  <c r="M87" i="3"/>
  <c r="M138" i="3"/>
  <c r="N153" i="3"/>
  <c r="N176" i="3"/>
  <c r="N130" i="3"/>
  <c r="N104" i="3"/>
  <c r="BH82" i="40"/>
  <c r="M86" i="3"/>
  <c r="M69" i="3"/>
  <c r="N127" i="3"/>
  <c r="N157" i="3"/>
  <c r="N110" i="3"/>
  <c r="BH17" i="40"/>
  <c r="N140" i="3"/>
  <c r="M146" i="3"/>
  <c r="N122" i="3"/>
  <c r="BH49" i="40"/>
  <c r="BH16" i="40"/>
  <c r="N63" i="3"/>
  <c r="BC48" i="40"/>
  <c r="BA48" i="40" s="1"/>
  <c r="M212" i="35"/>
  <c r="BC64" i="40"/>
  <c r="BA64" i="40" s="1"/>
  <c r="BH40" i="40"/>
  <c r="BH66" i="40"/>
  <c r="AM98" i="20" a="1"/>
  <c r="AM98" i="20" s="1"/>
  <c r="AJ98" i="20"/>
  <c r="AH98" i="20"/>
  <c r="AM48" i="20" a="1"/>
  <c r="AM48" i="20" s="1"/>
  <c r="AJ48" i="20"/>
  <c r="AI48" i="20"/>
  <c r="AH48" i="20"/>
  <c r="AP48" i="20"/>
  <c r="AQ48" i="20" s="1" a="1"/>
  <c r="AQ48" i="20" s="1"/>
  <c r="AL48" i="20"/>
  <c r="AM89" i="20" a="1"/>
  <c r="AM89" i="20" s="1"/>
  <c r="AI89" i="20"/>
  <c r="AJ55" i="20"/>
  <c r="AM55" i="20" a="1"/>
  <c r="AM55" i="20" s="1"/>
  <c r="AH55" i="20"/>
  <c r="AM79" i="20" a="1"/>
  <c r="AM79" i="20" s="1"/>
  <c r="AL79" i="20"/>
  <c r="AP79" i="20"/>
  <c r="AQ79" i="20" s="1" a="1"/>
  <c r="AQ79" i="20" s="1"/>
  <c r="AM103" i="20" a="1"/>
  <c r="AM103" i="20" s="1"/>
  <c r="AI103" i="20"/>
  <c r="AJ103" i="20"/>
  <c r="AH103" i="20"/>
  <c r="AP103" i="20"/>
  <c r="AQ103" i="20" s="1" a="1"/>
  <c r="AQ103" i="20" s="1"/>
  <c r="AH42" i="20"/>
  <c r="AH84" i="20"/>
  <c r="BH67" i="40"/>
  <c r="BH69" i="40"/>
  <c r="BH50" i="40"/>
  <c r="BH58" i="40"/>
  <c r="BH63" i="40"/>
  <c r="BH44" i="40"/>
  <c r="BH65" i="40"/>
  <c r="BH42" i="40"/>
  <c r="AM46" i="20" a="1"/>
  <c r="AM46" i="20" s="1"/>
  <c r="AH46" i="20"/>
  <c r="AL46" i="20"/>
  <c r="AJ46" i="20"/>
  <c r="AP46" i="20"/>
  <c r="AQ46" i="20" s="1" a="1"/>
  <c r="AQ46" i="20" s="1"/>
  <c r="AH74" i="20"/>
  <c r="AI74" i="20"/>
  <c r="AM74" i="20" a="1"/>
  <c r="AM74" i="20" s="1"/>
  <c r="AP74" i="20"/>
  <c r="AQ74" i="20" s="1" a="1"/>
  <c r="AQ74" i="20" s="1"/>
  <c r="AJ74" i="20"/>
  <c r="AL74" i="20"/>
  <c r="AP101" i="20"/>
  <c r="AQ101" i="20" s="1" a="1"/>
  <c r="AQ101" i="20" s="1"/>
  <c r="AM101" i="20" a="1"/>
  <c r="AM101" i="20" s="1"/>
  <c r="AH101" i="20"/>
  <c r="AJ101" i="20"/>
  <c r="AI101" i="20"/>
  <c r="AL101" i="20"/>
  <c r="AP69" i="20"/>
  <c r="AQ69" i="20" s="1" a="1"/>
  <c r="AQ69" i="20" s="1"/>
  <c r="AM69" i="20" a="1"/>
  <c r="AM69" i="20" s="1"/>
  <c r="AL97" i="20"/>
  <c r="AJ97" i="20"/>
  <c r="AP97" i="20"/>
  <c r="AQ97" i="20" s="1" a="1"/>
  <c r="AQ97" i="20" s="1"/>
  <c r="AJ67" i="20"/>
  <c r="AP67" i="20"/>
  <c r="AQ67" i="20" s="1" a="1"/>
  <c r="AQ67" i="20" s="1"/>
  <c r="AH67" i="20"/>
  <c r="AI66" i="20"/>
  <c r="AP66" i="20"/>
  <c r="AQ66" i="20" s="1" a="1"/>
  <c r="AQ66" i="20" s="1"/>
  <c r="AH66" i="20"/>
  <c r="AL66" i="20"/>
  <c r="AM66" i="20" a="1"/>
  <c r="AM66" i="20" s="1"/>
  <c r="AJ66" i="20"/>
  <c r="AI94" i="20"/>
  <c r="AM94" i="20" a="1"/>
  <c r="AM94" i="20" s="1"/>
  <c r="AJ94" i="20"/>
  <c r="AP94" i="20"/>
  <c r="AQ94" i="20" s="1" a="1"/>
  <c r="AQ94" i="20" s="1"/>
  <c r="AH94" i="20"/>
  <c r="AH92" i="20"/>
  <c r="AM92" i="20" a="1"/>
  <c r="AM92" i="20" s="1"/>
  <c r="AJ92" i="20"/>
  <c r="AP92" i="20"/>
  <c r="AQ92" i="20" s="1" a="1"/>
  <c r="AQ92" i="20" s="1"/>
  <c r="AL92" i="20"/>
  <c r="AI92" i="20"/>
  <c r="AP54" i="20"/>
  <c r="AQ54" i="20" s="1" a="1"/>
  <c r="AQ54" i="20" s="1"/>
  <c r="AH54" i="20"/>
  <c r="AM54" i="20" a="1"/>
  <c r="AM54" i="20" s="1"/>
  <c r="AL54" i="20"/>
  <c r="AJ79" i="20"/>
  <c r="AL44" i="20"/>
  <c r="AM44" i="20" a="1"/>
  <c r="AM44" i="20" s="1"/>
  <c r="AH89" i="20"/>
  <c r="AP105" i="20"/>
  <c r="AQ105" i="20" s="1" a="1"/>
  <c r="AQ105" i="20" s="1"/>
  <c r="AI84" i="20"/>
  <c r="AI108" i="20"/>
  <c r="AL108" i="20"/>
  <c r="AJ63" i="20"/>
  <c r="AL63" i="20"/>
  <c r="AJ89" i="20"/>
  <c r="AP108" i="20"/>
  <c r="AQ108" i="20" s="1" a="1"/>
  <c r="AQ108" i="20" s="1"/>
  <c r="AH107" i="20"/>
  <c r="AM43" i="20" a="1"/>
  <c r="AM43" i="20" s="1"/>
  <c r="AL103" i="20"/>
  <c r="AH43" i="20"/>
  <c r="AM59" i="20" a="1"/>
  <c r="AM59" i="20" s="1"/>
  <c r="AL98" i="20"/>
  <c r="AI98" i="20"/>
  <c r="AM63" i="20" a="1"/>
  <c r="AM63" i="20" s="1"/>
  <c r="AJ43" i="20"/>
  <c r="AP89" i="20"/>
  <c r="AQ89" i="20" s="1" a="1"/>
  <c r="AQ89" i="20" s="1"/>
  <c r="AP63" i="20"/>
  <c r="AQ63" i="20" s="1" a="1"/>
  <c r="AQ63" i="20" s="1"/>
  <c r="AP53" i="20"/>
  <c r="AQ53" i="20" s="1" a="1"/>
  <c r="AQ53" i="20" s="1"/>
  <c r="AL107" i="20"/>
  <c r="F95" i="15"/>
  <c r="H95" i="15" s="1"/>
  <c r="F63" i="15"/>
  <c r="I63" i="15" s="1" a="1"/>
  <c r="I63" i="15" s="1"/>
  <c r="F62" i="15"/>
  <c r="H62" i="15" s="1"/>
  <c r="F60" i="15"/>
  <c r="H60" i="15" s="1"/>
  <c r="E245" i="2" a="1"/>
  <c r="F271" i="2" s="1"/>
  <c r="F674" i="2" s="1" a="1"/>
  <c r="F674" i="2" s="1"/>
  <c r="G674" i="2" s="1"/>
  <c r="M58" i="15"/>
  <c r="F191" i="15"/>
  <c r="H191" i="15" s="1"/>
  <c r="F190" i="15"/>
  <c r="H190" i="15" s="1"/>
  <c r="N52" i="15"/>
  <c r="D189" i="15"/>
  <c r="F93" i="15"/>
  <c r="H93" i="15" s="1"/>
  <c r="N148" i="15"/>
  <c r="F61" i="15"/>
  <c r="H61" i="15" s="1"/>
  <c r="F49" i="15"/>
  <c r="I49" i="15" s="1" a="1"/>
  <c r="I49" i="15" s="1"/>
  <c r="F189" i="15"/>
  <c r="H189" i="15" s="1"/>
  <c r="F188" i="15"/>
  <c r="H188" i="15" s="1"/>
  <c r="E188" i="15"/>
  <c r="G188" i="15" s="1"/>
  <c r="E92" i="15"/>
  <c r="G92" i="15" s="1"/>
  <c r="E72" i="15"/>
  <c r="G72" i="15" s="1"/>
  <c r="F127" i="15"/>
  <c r="H127" i="15" s="1"/>
  <c r="K127" i="15" s="1" a="1"/>
  <c r="K127" i="15" s="1"/>
  <c r="F126" i="15"/>
  <c r="H126" i="15" s="1"/>
  <c r="F125" i="15"/>
  <c r="H125" i="15" s="1"/>
  <c r="F124" i="15"/>
  <c r="H124" i="15" s="1"/>
  <c r="F84" i="40"/>
  <c r="F58" i="40"/>
  <c r="BP20" i="40"/>
  <c r="BP57" i="40"/>
  <c r="AU53" i="40"/>
  <c r="AX53" i="40" s="1"/>
  <c r="F21" i="40"/>
  <c r="AD3" i="20"/>
  <c r="V3" i="20" s="1"/>
  <c r="AC3" i="20"/>
  <c r="U3" i="20" s="1"/>
  <c r="E51" i="15"/>
  <c r="G51" i="15" s="1"/>
  <c r="N97" i="15"/>
  <c r="M65" i="15"/>
  <c r="N161" i="15"/>
  <c r="N191" i="15"/>
  <c r="M196" i="15"/>
  <c r="N196" i="15"/>
  <c r="F59" i="15"/>
  <c r="H59" i="15" s="1"/>
  <c r="E187" i="15"/>
  <c r="G187" i="15" s="1"/>
  <c r="E155" i="15"/>
  <c r="G155" i="15" s="1"/>
  <c r="E121" i="15"/>
  <c r="G121" i="15" s="1"/>
  <c r="F91" i="15"/>
  <c r="H91" i="15" s="1"/>
  <c r="F89" i="15"/>
  <c r="H89" i="15" s="1"/>
  <c r="M67" i="15"/>
  <c r="N67" i="15"/>
  <c r="M63" i="15"/>
  <c r="N63" i="15"/>
  <c r="F48" i="15"/>
  <c r="I48" i="15" s="1" a="1"/>
  <c r="I48" i="15" s="1"/>
  <c r="F152" i="15"/>
  <c r="H152" i="15" s="1"/>
  <c r="D51" i="15"/>
  <c r="F122" i="15"/>
  <c r="H122" i="15" s="1"/>
  <c r="E119" i="15"/>
  <c r="G119" i="15" s="1"/>
  <c r="D166" i="15"/>
  <c r="M60" i="15"/>
  <c r="M61" i="15"/>
  <c r="M156" i="15"/>
  <c r="N122" i="15"/>
  <c r="N153" i="15"/>
  <c r="N128" i="15"/>
  <c r="N193" i="15"/>
  <c r="F55" i="15"/>
  <c r="H55" i="15" s="1"/>
  <c r="M132" i="15"/>
  <c r="N132" i="15"/>
  <c r="M68" i="15"/>
  <c r="N68" i="15"/>
  <c r="M130" i="15"/>
  <c r="N130" i="15"/>
  <c r="N66" i="15"/>
  <c r="M66" i="15"/>
  <c r="M55" i="15"/>
  <c r="N55" i="15"/>
  <c r="D86" i="15"/>
  <c r="E53" i="15"/>
  <c r="G53" i="15" s="1"/>
  <c r="F87" i="15"/>
  <c r="H87" i="15" s="1"/>
  <c r="E52" i="15"/>
  <c r="D141" i="15"/>
  <c r="F150" i="15"/>
  <c r="H150" i="15" s="1"/>
  <c r="F138" i="15"/>
  <c r="H138" i="15" s="1"/>
  <c r="F136" i="15"/>
  <c r="H136" i="15" s="1"/>
  <c r="F135" i="15"/>
  <c r="H135" i="15" s="1"/>
  <c r="F134" i="15"/>
  <c r="H134" i="15" s="1"/>
  <c r="F54" i="15"/>
  <c r="H54" i="15" s="1"/>
  <c r="K54" i="15" s="1" a="1"/>
  <c r="K54" i="15" s="1"/>
  <c r="N123" i="15"/>
  <c r="F52" i="15"/>
  <c r="H52" i="15" s="1"/>
  <c r="F50" i="15"/>
  <c r="H50" i="15" s="1"/>
  <c r="K50" i="15" s="1" a="1"/>
  <c r="K50" i="15" s="1"/>
  <c r="N195" i="15"/>
  <c r="F121" i="15"/>
  <c r="H121" i="15" s="1"/>
  <c r="F117" i="15"/>
  <c r="H117" i="15" s="1"/>
  <c r="N194" i="15"/>
  <c r="F106" i="15"/>
  <c r="H106" i="15" s="1"/>
  <c r="F102" i="15"/>
  <c r="H102" i="15" s="1"/>
  <c r="M164" i="15"/>
  <c r="N164" i="15"/>
  <c r="F137" i="15"/>
  <c r="H137" i="15" s="1"/>
  <c r="E117" i="15"/>
  <c r="G117" i="15" s="1"/>
  <c r="D179" i="15"/>
  <c r="D54" i="15"/>
  <c r="F53" i="15"/>
  <c r="H53" i="15" s="1"/>
  <c r="D195" i="15"/>
  <c r="F195" i="15"/>
  <c r="I195" i="15" s="1" a="1"/>
  <c r="I195" i="15" s="1"/>
  <c r="E186" i="15"/>
  <c r="G186" i="15" s="1"/>
  <c r="E173" i="15"/>
  <c r="G173" i="15" s="1"/>
  <c r="E171" i="15"/>
  <c r="G171" i="15" s="1"/>
  <c r="F88" i="15"/>
  <c r="H88" i="15" s="1"/>
  <c r="E169" i="15"/>
  <c r="G169" i="15" s="1"/>
  <c r="E156" i="15"/>
  <c r="G156" i="15" s="1"/>
  <c r="F86" i="15"/>
  <c r="H86" i="15" s="1"/>
  <c r="E154" i="15"/>
  <c r="G154" i="15" s="1"/>
  <c r="N131" i="15"/>
  <c r="F151" i="15"/>
  <c r="H151" i="15" s="1"/>
  <c r="E137" i="15"/>
  <c r="G137" i="15" s="1"/>
  <c r="M107" i="15"/>
  <c r="E135" i="15"/>
  <c r="G135" i="15" s="1"/>
  <c r="F139" i="15"/>
  <c r="H139" i="15" s="1"/>
  <c r="M127" i="15"/>
  <c r="N127" i="15"/>
  <c r="I62" i="1"/>
  <c r="BN15" i="40" s="1"/>
  <c r="BO15" i="40" s="1"/>
  <c r="I69" i="1"/>
  <c r="N64" i="15"/>
  <c r="I173" i="1"/>
  <c r="J37" i="40" s="1"/>
  <c r="O37" i="40" s="1"/>
  <c r="F105" i="15"/>
  <c r="H105" i="15" s="1"/>
  <c r="E71" i="15"/>
  <c r="I158" i="1"/>
  <c r="J27" i="40" s="1"/>
  <c r="K27" i="40" s="1"/>
  <c r="E168" i="15"/>
  <c r="G168" i="15" s="1"/>
  <c r="F146" i="15"/>
  <c r="H146" i="15" s="1"/>
  <c r="F145" i="15"/>
  <c r="H145" i="15" s="1"/>
  <c r="F56" i="15"/>
  <c r="H56" i="15" s="1"/>
  <c r="D47" i="15"/>
  <c r="F197" i="15"/>
  <c r="H197" i="15" s="1"/>
  <c r="E116" i="15"/>
  <c r="G116" i="15" s="1"/>
  <c r="F196" i="15"/>
  <c r="H196" i="15" s="1"/>
  <c r="F85" i="15"/>
  <c r="H85" i="15" s="1"/>
  <c r="E107" i="15"/>
  <c r="G107" i="15" s="1"/>
  <c r="I102" i="1"/>
  <c r="I98" i="1"/>
  <c r="BN61" i="40" s="1"/>
  <c r="BO61" i="40" s="1"/>
  <c r="BL61" i="40" s="1" a="1"/>
  <c r="BL61" i="40" s="1"/>
  <c r="I153" i="1"/>
  <c r="J22" i="40" s="1"/>
  <c r="F194" i="15"/>
  <c r="H194" i="15" s="1"/>
  <c r="F84" i="15"/>
  <c r="H84" i="15" s="1"/>
  <c r="F47" i="15"/>
  <c r="E106" i="15"/>
  <c r="G106" i="15" s="1"/>
  <c r="I70" i="1"/>
  <c r="BN29" i="40" s="1"/>
  <c r="BO29" i="40" s="1"/>
  <c r="BL29" i="40" s="1" a="1"/>
  <c r="BL29" i="40" s="1"/>
  <c r="I152" i="1"/>
  <c r="J21" i="40" s="1"/>
  <c r="O21" i="40" s="1"/>
  <c r="I65" i="1"/>
  <c r="BN24" i="40" s="1"/>
  <c r="BO24" i="40" s="1"/>
  <c r="I59" i="1"/>
  <c r="D13" i="40" s="1"/>
  <c r="E13" i="40" s="1"/>
  <c r="B13" i="40" s="1" a="1"/>
  <c r="B13" i="40" s="1"/>
  <c r="I94" i="1"/>
  <c r="D52" i="40" s="1"/>
  <c r="E52" i="40" s="1"/>
  <c r="B52" i="40" s="1" a="1"/>
  <c r="B52" i="40" s="1"/>
  <c r="N157" i="15"/>
  <c r="F193" i="15"/>
  <c r="H193" i="15" s="1"/>
  <c r="E105" i="15"/>
  <c r="I92" i="1"/>
  <c r="D50" i="40" s="1"/>
  <c r="E50" i="40" s="1"/>
  <c r="B50" i="40" s="1" a="1"/>
  <c r="B50" i="40" s="1"/>
  <c r="I154" i="1"/>
  <c r="J23" i="40" s="1"/>
  <c r="K23" i="40" s="1"/>
  <c r="H23" i="40" s="1" a="1"/>
  <c r="H23" i="40" s="1"/>
  <c r="I150" i="1"/>
  <c r="J19" i="40" s="1"/>
  <c r="K19" i="40" s="1"/>
  <c r="H19" i="40" s="1" a="1"/>
  <c r="H19" i="40" s="1"/>
  <c r="I122" i="1"/>
  <c r="BN81" i="40" s="1"/>
  <c r="F83" i="15"/>
  <c r="H83" i="15" s="1"/>
  <c r="E104" i="15"/>
  <c r="G104" i="15" s="1"/>
  <c r="I190" i="1"/>
  <c r="J50" i="40" s="1"/>
  <c r="O50" i="40" s="1"/>
  <c r="N190" i="15"/>
  <c r="I188" i="1"/>
  <c r="J48" i="40" s="1"/>
  <c r="K48" i="40" s="1"/>
  <c r="H48" i="40" s="1" a="1"/>
  <c r="H48" i="40" s="1"/>
  <c r="D5" i="1"/>
  <c r="N189" i="15"/>
  <c r="F81" i="15"/>
  <c r="E103" i="15"/>
  <c r="G103" i="15" s="1"/>
  <c r="I172" i="1"/>
  <c r="J36" i="40" s="1"/>
  <c r="I160" i="1"/>
  <c r="J29" i="40" s="1"/>
  <c r="K29" i="40" s="1"/>
  <c r="H29" i="40" s="1" a="1"/>
  <c r="H29" i="40" s="1"/>
  <c r="F118" i="15"/>
  <c r="H118" i="15" s="1"/>
  <c r="F80" i="15"/>
  <c r="E101" i="15"/>
  <c r="G101" i="15" s="1"/>
  <c r="I101" i="1"/>
  <c r="D65" i="40" s="1"/>
  <c r="E65" i="40" s="1"/>
  <c r="B65" i="40" s="1" a="1"/>
  <c r="B65" i="40" s="1"/>
  <c r="I156" i="1"/>
  <c r="J25" i="40" s="1"/>
  <c r="K25" i="40" s="1"/>
  <c r="H25" i="40" s="1" a="1"/>
  <c r="H25" i="40" s="1"/>
  <c r="M163" i="15"/>
  <c r="F79" i="15"/>
  <c r="E100" i="15"/>
  <c r="G100" i="15" s="1"/>
  <c r="N158" i="15"/>
  <c r="I121" i="1"/>
  <c r="BN80" i="40" s="1"/>
  <c r="BS80" i="40" s="1"/>
  <c r="F116" i="15"/>
  <c r="H116" i="15" s="1"/>
  <c r="F77" i="15"/>
  <c r="H77" i="15" s="1"/>
  <c r="E99" i="15"/>
  <c r="G99" i="15" s="1"/>
  <c r="I90" i="1"/>
  <c r="D48" i="40" s="1"/>
  <c r="E48" i="40" s="1"/>
  <c r="B48" i="40" s="1" a="1"/>
  <c r="B48" i="40" s="1"/>
  <c r="I96" i="1"/>
  <c r="BN53" i="40" s="1"/>
  <c r="BO53" i="40" s="1"/>
  <c r="BL53" i="40" s="1" a="1"/>
  <c r="BL53" i="40" s="1"/>
  <c r="I99" i="1"/>
  <c r="BN62" i="40" s="1"/>
  <c r="BO62" i="40" s="1"/>
  <c r="BL62" i="40" s="1" a="1"/>
  <c r="BL62" i="40" s="1"/>
  <c r="F175" i="15"/>
  <c r="I175" i="15" s="1" a="1"/>
  <c r="I175" i="15" s="1"/>
  <c r="F76" i="15"/>
  <c r="H76" i="15" s="1"/>
  <c r="D61" i="15"/>
  <c r="I66" i="1"/>
  <c r="I95" i="1"/>
  <c r="D53" i="40" s="1"/>
  <c r="N188" i="15"/>
  <c r="F174" i="15"/>
  <c r="H174" i="15" s="1"/>
  <c r="F115" i="15"/>
  <c r="H115" i="15" s="1"/>
  <c r="F75" i="15"/>
  <c r="H75" i="15" s="1"/>
  <c r="E77" i="15"/>
  <c r="I91" i="1"/>
  <c r="D49" i="40" s="1"/>
  <c r="E49" i="40" s="1"/>
  <c r="B49" i="40" s="1" a="1"/>
  <c r="B49" i="40" s="1"/>
  <c r="F169" i="15"/>
  <c r="H169" i="15" s="1"/>
  <c r="F110" i="15"/>
  <c r="H110" i="15" s="1"/>
  <c r="K110" i="15" s="1" a="1"/>
  <c r="K110" i="15" s="1"/>
  <c r="F74" i="15"/>
  <c r="H74" i="15" s="1"/>
  <c r="E76" i="15"/>
  <c r="I84" i="1"/>
  <c r="I118" i="1"/>
  <c r="BN77" i="40" s="1"/>
  <c r="BS77" i="40" s="1"/>
  <c r="N126" i="15"/>
  <c r="I123" i="1"/>
  <c r="I137" i="1"/>
  <c r="J11" i="40" s="1"/>
  <c r="F168" i="15"/>
  <c r="H168" i="15" s="1"/>
  <c r="F109" i="15"/>
  <c r="H109" i="15" s="1"/>
  <c r="F73" i="15"/>
  <c r="H73" i="15" s="1"/>
  <c r="E197" i="15"/>
  <c r="G197" i="15" s="1"/>
  <c r="E75" i="15"/>
  <c r="I86" i="1"/>
  <c r="D44" i="40" s="1"/>
  <c r="I87" i="1"/>
  <c r="I117" i="1"/>
  <c r="D77" i="40" s="1"/>
  <c r="F167" i="15"/>
  <c r="H167" i="15" s="1"/>
  <c r="F108" i="15"/>
  <c r="H108" i="15" s="1"/>
  <c r="F72" i="15"/>
  <c r="E196" i="15"/>
  <c r="G196" i="15" s="1"/>
  <c r="E74" i="15"/>
  <c r="I139" i="1"/>
  <c r="J13" i="40" s="1"/>
  <c r="N94" i="15"/>
  <c r="I61" i="1"/>
  <c r="F166" i="15"/>
  <c r="H166" i="15" s="1"/>
  <c r="F107" i="15"/>
  <c r="H107" i="15" s="1"/>
  <c r="F71" i="15"/>
  <c r="H71" i="15" s="1"/>
  <c r="E73" i="15"/>
  <c r="M54" i="15"/>
  <c r="N54" i="15"/>
  <c r="N53" i="15"/>
  <c r="M53" i="15"/>
  <c r="M115" i="15"/>
  <c r="N115" i="15"/>
  <c r="M51" i="15"/>
  <c r="N51" i="15"/>
  <c r="M114" i="15"/>
  <c r="N114" i="15"/>
  <c r="N50" i="15"/>
  <c r="M50" i="15"/>
  <c r="M112" i="15"/>
  <c r="N112" i="15"/>
  <c r="M143" i="15"/>
  <c r="N143" i="15"/>
  <c r="M172" i="15"/>
  <c r="N172" i="15"/>
  <c r="M140" i="15"/>
  <c r="N140" i="15"/>
  <c r="M170" i="15"/>
  <c r="N170" i="15"/>
  <c r="M138" i="15"/>
  <c r="N138" i="15"/>
  <c r="N106" i="15"/>
  <c r="M106" i="15"/>
  <c r="N74" i="15"/>
  <c r="M74" i="15"/>
  <c r="M169" i="15"/>
  <c r="N169" i="15"/>
  <c r="M137" i="15"/>
  <c r="N137" i="15"/>
  <c r="N105" i="15"/>
  <c r="M105" i="15"/>
  <c r="N73" i="15"/>
  <c r="M73" i="15"/>
  <c r="M136" i="15"/>
  <c r="N136" i="15"/>
  <c r="M104" i="15"/>
  <c r="N104" i="15"/>
  <c r="M72" i="15"/>
  <c r="N72" i="15"/>
  <c r="M135" i="15"/>
  <c r="N135" i="15"/>
  <c r="N103" i="15"/>
  <c r="M103" i="15"/>
  <c r="M71" i="15"/>
  <c r="N71" i="15"/>
  <c r="G93" i="15"/>
  <c r="M134" i="15"/>
  <c r="N134" i="15"/>
  <c r="M70" i="15"/>
  <c r="N70" i="15"/>
  <c r="M197" i="15"/>
  <c r="N197" i="15"/>
  <c r="M133" i="15"/>
  <c r="N133" i="15"/>
  <c r="N69" i="15"/>
  <c r="M69" i="15"/>
  <c r="F171" i="15"/>
  <c r="H171" i="15" s="1"/>
  <c r="E123" i="15"/>
  <c r="D182" i="15"/>
  <c r="D67" i="15"/>
  <c r="M108" i="15"/>
  <c r="F170" i="15"/>
  <c r="H170" i="15" s="1"/>
  <c r="F66" i="15"/>
  <c r="H66" i="15" s="1"/>
  <c r="K66" i="15" s="1" a="1"/>
  <c r="K66" i="15" s="1"/>
  <c r="E122" i="15"/>
  <c r="D93" i="15"/>
  <c r="F94" i="15"/>
  <c r="H94" i="15" s="1"/>
  <c r="K94" i="15" s="1" a="1"/>
  <c r="K94" i="15" s="1"/>
  <c r="D63" i="15"/>
  <c r="D118" i="15"/>
  <c r="M84" i="15"/>
  <c r="F120" i="15"/>
  <c r="H120" i="15" s="1"/>
  <c r="F58" i="15"/>
  <c r="H58" i="15" s="1"/>
  <c r="F123" i="15"/>
  <c r="H123" i="15" s="1"/>
  <c r="N111" i="15"/>
  <c r="F119" i="15"/>
  <c r="H119" i="15" s="1"/>
  <c r="F57" i="15"/>
  <c r="H57" i="15" s="1"/>
  <c r="E179" i="15"/>
  <c r="D115" i="15"/>
  <c r="F153" i="15"/>
  <c r="H153" i="15" s="1"/>
  <c r="F149" i="15"/>
  <c r="H149" i="15" s="1"/>
  <c r="N100" i="15"/>
  <c r="N99" i="15"/>
  <c r="N145" i="15"/>
  <c r="F148" i="15"/>
  <c r="H148" i="15" s="1"/>
  <c r="F114" i="15"/>
  <c r="H114" i="15" s="1"/>
  <c r="K114" i="15" s="1" a="1"/>
  <c r="K114" i="15" s="1"/>
  <c r="F82" i="15"/>
  <c r="E91" i="15"/>
  <c r="G91" i="15" s="1"/>
  <c r="F147" i="15"/>
  <c r="H147" i="15" s="1"/>
  <c r="F113" i="15"/>
  <c r="H113" i="15" s="1"/>
  <c r="E153" i="15"/>
  <c r="G153" i="15" s="1"/>
  <c r="F112" i="15"/>
  <c r="H112" i="15" s="1"/>
  <c r="E152" i="15"/>
  <c r="M98" i="15"/>
  <c r="F111" i="15"/>
  <c r="I111" i="15" s="1" a="1"/>
  <c r="I111" i="15" s="1"/>
  <c r="E151" i="15"/>
  <c r="N109" i="15"/>
  <c r="F144" i="15"/>
  <c r="E149" i="15"/>
  <c r="D191" i="15"/>
  <c r="N102" i="15"/>
  <c r="N162" i="15"/>
  <c r="E148" i="15"/>
  <c r="G148" i="15" s="1"/>
  <c r="D163" i="15"/>
  <c r="F143" i="15"/>
  <c r="E147" i="15"/>
  <c r="G147" i="15" s="1"/>
  <c r="F142" i="15"/>
  <c r="H142" i="15" s="1"/>
  <c r="E141" i="15"/>
  <c r="N168" i="15"/>
  <c r="F178" i="15"/>
  <c r="H178" i="15" s="1"/>
  <c r="E140" i="15"/>
  <c r="G140" i="15" s="1"/>
  <c r="D131" i="15"/>
  <c r="D102" i="15"/>
  <c r="F177" i="15"/>
  <c r="H177" i="15" s="1"/>
  <c r="K177" i="15" s="1" a="1"/>
  <c r="K177" i="15" s="1"/>
  <c r="F176" i="15"/>
  <c r="H176" i="15" s="1"/>
  <c r="F140" i="15"/>
  <c r="H140" i="15" s="1"/>
  <c r="E139" i="15"/>
  <c r="E59" i="15"/>
  <c r="M110" i="15"/>
  <c r="E58" i="15"/>
  <c r="E57" i="15"/>
  <c r="D157" i="15"/>
  <c r="M101" i="15"/>
  <c r="M166" i="15"/>
  <c r="F173" i="15"/>
  <c r="E125" i="15"/>
  <c r="G125" i="15" s="1"/>
  <c r="E56" i="15"/>
  <c r="F172" i="15"/>
  <c r="H172" i="15" s="1"/>
  <c r="E124" i="15"/>
  <c r="E55" i="15"/>
  <c r="M151" i="15"/>
  <c r="N151" i="15"/>
  <c r="M183" i="15"/>
  <c r="N183" i="15"/>
  <c r="M119" i="15"/>
  <c r="N119" i="15"/>
  <c r="N87" i="15"/>
  <c r="M87" i="15"/>
  <c r="M118" i="15"/>
  <c r="N118" i="15"/>
  <c r="M86" i="15"/>
  <c r="N86" i="15"/>
  <c r="M117" i="15"/>
  <c r="N117" i="15"/>
  <c r="M85" i="15"/>
  <c r="N85" i="15"/>
  <c r="N83" i="15"/>
  <c r="M83" i="15"/>
  <c r="M178" i="15"/>
  <c r="N178" i="15"/>
  <c r="M82" i="15"/>
  <c r="N82" i="15"/>
  <c r="M177" i="15"/>
  <c r="N177" i="15"/>
  <c r="M81" i="15"/>
  <c r="N81" i="15"/>
  <c r="M49" i="15"/>
  <c r="N49" i="15"/>
  <c r="M176" i="15"/>
  <c r="N176" i="15"/>
  <c r="M80" i="15"/>
  <c r="N80" i="15"/>
  <c r="N48" i="15"/>
  <c r="M48" i="15"/>
  <c r="M175" i="15"/>
  <c r="N175" i="15"/>
  <c r="N79" i="15"/>
  <c r="M79" i="15"/>
  <c r="M47" i="15"/>
  <c r="N47" i="15"/>
  <c r="M174" i="15"/>
  <c r="N174" i="15"/>
  <c r="M78" i="15"/>
  <c r="N78" i="15"/>
  <c r="G61" i="15"/>
  <c r="M173" i="15"/>
  <c r="N173" i="15"/>
  <c r="M77" i="15"/>
  <c r="N77" i="15"/>
  <c r="N76" i="15"/>
  <c r="M76" i="15"/>
  <c r="M171" i="15"/>
  <c r="N171" i="15"/>
  <c r="M139" i="15"/>
  <c r="N139" i="15"/>
  <c r="M75" i="15"/>
  <c r="N75" i="15"/>
  <c r="G115" i="15"/>
  <c r="G83" i="15"/>
  <c r="G109" i="15"/>
  <c r="G163" i="15"/>
  <c r="M95" i="15"/>
  <c r="N95" i="15"/>
  <c r="G131" i="15"/>
  <c r="M91" i="15"/>
  <c r="N91" i="15"/>
  <c r="M59" i="15"/>
  <c r="N59" i="15"/>
  <c r="M147" i="15"/>
  <c r="E157" i="15"/>
  <c r="E108" i="15"/>
  <c r="E60" i="15"/>
  <c r="F64" i="15"/>
  <c r="H64" i="15" s="1"/>
  <c r="F90" i="15"/>
  <c r="H90" i="15" s="1"/>
  <c r="D111" i="15"/>
  <c r="D134" i="15"/>
  <c r="D109" i="15"/>
  <c r="D83" i="15"/>
  <c r="D159" i="15"/>
  <c r="F192" i="15"/>
  <c r="H192" i="15" s="1"/>
  <c r="E90" i="15"/>
  <c r="G90" i="15" s="1"/>
  <c r="E138" i="15"/>
  <c r="E89" i="15"/>
  <c r="D79" i="15"/>
  <c r="E185" i="15"/>
  <c r="E88" i="15"/>
  <c r="F133" i="15"/>
  <c r="H133" i="15" s="1"/>
  <c r="E184" i="15"/>
  <c r="G184" i="15" s="1"/>
  <c r="E136" i="15"/>
  <c r="G136" i="15" s="1"/>
  <c r="E87" i="15"/>
  <c r="E183" i="15"/>
  <c r="G183" i="15" s="1"/>
  <c r="E85" i="15"/>
  <c r="I119" i="1"/>
  <c r="I85" i="1"/>
  <c r="D43" i="40" s="1"/>
  <c r="I106" i="1"/>
  <c r="BN55" i="40" s="1"/>
  <c r="BS55" i="40" s="1"/>
  <c r="N165" i="15"/>
  <c r="N149" i="15"/>
  <c r="F187" i="15"/>
  <c r="F160" i="15"/>
  <c r="I160" i="15" s="1" a="1"/>
  <c r="I160" i="15" s="1"/>
  <c r="F132" i="15"/>
  <c r="H132" i="15" s="1"/>
  <c r="F104" i="15"/>
  <c r="E181" i="15"/>
  <c r="E133" i="15"/>
  <c r="G133" i="15" s="1"/>
  <c r="E84" i="15"/>
  <c r="D127" i="15"/>
  <c r="F186" i="15"/>
  <c r="F159" i="15"/>
  <c r="H159" i="15" s="1"/>
  <c r="F131" i="15"/>
  <c r="H131" i="15" s="1"/>
  <c r="K131" i="15" s="1" a="1"/>
  <c r="K131" i="15" s="1"/>
  <c r="F103" i="15"/>
  <c r="F78" i="15"/>
  <c r="E180" i="15"/>
  <c r="E132" i="15"/>
  <c r="F185" i="15"/>
  <c r="H185" i="15" s="1"/>
  <c r="F158" i="15"/>
  <c r="H158" i="15" s="1"/>
  <c r="F130" i="15"/>
  <c r="H130" i="15" s="1"/>
  <c r="I89" i="1"/>
  <c r="BN46" i="40" s="1"/>
  <c r="BS46" i="40" s="1"/>
  <c r="I83" i="1"/>
  <c r="D41" i="40" s="1"/>
  <c r="F184" i="15"/>
  <c r="H184" i="15" s="1"/>
  <c r="F129" i="15"/>
  <c r="H129" i="15" s="1"/>
  <c r="K129" i="15" s="1" a="1"/>
  <c r="K129" i="15" s="1"/>
  <c r="D150" i="15"/>
  <c r="I93" i="1"/>
  <c r="BN50" i="40" s="1"/>
  <c r="BS50" i="40" s="1"/>
  <c r="I63" i="1"/>
  <c r="N144" i="15"/>
  <c r="N159" i="15"/>
  <c r="F183" i="15"/>
  <c r="H183" i="15" s="1"/>
  <c r="F128" i="15"/>
  <c r="H128" i="15" s="1"/>
  <c r="K128" i="15" s="1" a="1"/>
  <c r="K128" i="15" s="1"/>
  <c r="E172" i="15"/>
  <c r="G172" i="15" s="1"/>
  <c r="D175" i="15"/>
  <c r="I120" i="1"/>
  <c r="BN79" i="40" s="1"/>
  <c r="BS79" i="40" s="1"/>
  <c r="I71" i="1"/>
  <c r="BN30" i="40" s="1"/>
  <c r="BO30" i="40" s="1"/>
  <c r="BL30" i="40" s="1" a="1"/>
  <c r="BL30" i="40" s="1"/>
  <c r="N155" i="15"/>
  <c r="F156" i="15"/>
  <c r="H156" i="15" s="1"/>
  <c r="I175" i="1"/>
  <c r="J39" i="40" s="1"/>
  <c r="K39" i="40" s="1"/>
  <c r="H39" i="40" s="1" a="1"/>
  <c r="H39" i="40" s="1"/>
  <c r="D11" i="1"/>
  <c r="N113" i="15"/>
  <c r="N154" i="15"/>
  <c r="I57" i="1"/>
  <c r="D11" i="40" s="1"/>
  <c r="E11" i="40" s="1"/>
  <c r="B11" i="40" s="1" a="1"/>
  <c r="B11" i="40" s="1"/>
  <c r="F182" i="15"/>
  <c r="I182" i="15" s="1" a="1"/>
  <c r="I182" i="15" s="1"/>
  <c r="F155" i="15"/>
  <c r="H155" i="15" s="1"/>
  <c r="I67" i="1"/>
  <c r="BN26" i="40" s="1"/>
  <c r="BS26" i="40" s="1"/>
  <c r="I151" i="1"/>
  <c r="J20" i="40" s="1"/>
  <c r="O20" i="40" s="1"/>
  <c r="D10" i="1"/>
  <c r="N141" i="15"/>
  <c r="F181" i="15"/>
  <c r="H181" i="15" s="1"/>
  <c r="F154" i="15"/>
  <c r="E170" i="15"/>
  <c r="G170" i="15" s="1"/>
  <c r="D70" i="15"/>
  <c r="I155" i="1"/>
  <c r="J24" i="40" s="1"/>
  <c r="K24" i="40" s="1"/>
  <c r="H24" i="40" s="1" a="1"/>
  <c r="H24" i="40" s="1"/>
  <c r="I159" i="1"/>
  <c r="J28" i="40" s="1"/>
  <c r="K28" i="40" s="1"/>
  <c r="D7" i="1"/>
  <c r="N120" i="15"/>
  <c r="N150" i="15"/>
  <c r="N187" i="15"/>
  <c r="F180" i="15"/>
  <c r="H180" i="15" s="1"/>
  <c r="E120" i="15"/>
  <c r="D95" i="15"/>
  <c r="D8" i="1"/>
  <c r="N186" i="15"/>
  <c r="D9" i="1"/>
  <c r="N167" i="15"/>
  <c r="E167" i="15"/>
  <c r="E69" i="15"/>
  <c r="N142" i="15"/>
  <c r="E165" i="15"/>
  <c r="K165" i="15" s="1" a="1"/>
  <c r="K165" i="15" s="1"/>
  <c r="I60" i="1"/>
  <c r="BN13" i="40" s="1"/>
  <c r="I64" i="1"/>
  <c r="BN17" i="40" s="1"/>
  <c r="BO17" i="40" s="1"/>
  <c r="BL17" i="40" s="1" a="1"/>
  <c r="BL17" i="40" s="1"/>
  <c r="N146" i="15"/>
  <c r="E164" i="15"/>
  <c r="K164" i="15" s="1" a="1"/>
  <c r="K164" i="15" s="1"/>
  <c r="D143" i="15"/>
  <c r="B57" i="40" a="1"/>
  <c r="B57" i="40" s="1"/>
  <c r="I68" i="1"/>
  <c r="D28" i="40" s="1"/>
  <c r="E28" i="40" s="1"/>
  <c r="I72" i="1"/>
  <c r="E827" i="2"/>
  <c r="F250" i="2"/>
  <c r="F275" i="2"/>
  <c r="F734" i="2" s="1" a="1"/>
  <c r="F734" i="2" s="1"/>
  <c r="G734" i="2" s="1"/>
  <c r="E816" i="2"/>
  <c r="E824" i="2"/>
  <c r="E832" i="2"/>
  <c r="E820" i="2"/>
  <c r="E817" i="2"/>
  <c r="E833" i="2"/>
  <c r="E844" i="2"/>
  <c r="F261" i="2"/>
  <c r="F262" i="2"/>
  <c r="M180" i="15"/>
  <c r="N180" i="15"/>
  <c r="M116" i="15"/>
  <c r="N116" i="15"/>
  <c r="G193" i="15"/>
  <c r="G192" i="15"/>
  <c r="G166" i="15"/>
  <c r="G191" i="15"/>
  <c r="G114" i="15"/>
  <c r="G113" i="15"/>
  <c r="BN18" i="40"/>
  <c r="BU18" i="40" s="1"/>
  <c r="G161" i="15"/>
  <c r="I161" i="15" a="1"/>
  <c r="I161" i="15" s="1"/>
  <c r="G160" i="15"/>
  <c r="G158" i="15"/>
  <c r="G182" i="15"/>
  <c r="G128" i="15"/>
  <c r="M129" i="15"/>
  <c r="N129" i="15"/>
  <c r="G178" i="15"/>
  <c r="M192" i="15"/>
  <c r="N192" i="15"/>
  <c r="M160" i="15"/>
  <c r="N160" i="15"/>
  <c r="G177" i="15"/>
  <c r="G176" i="15"/>
  <c r="G150" i="15"/>
  <c r="J31" i="40"/>
  <c r="N181" i="15"/>
  <c r="N182" i="15"/>
  <c r="M185" i="15"/>
  <c r="N185" i="15"/>
  <c r="D19" i="40"/>
  <c r="E19" i="40" s="1"/>
  <c r="M152" i="15"/>
  <c r="N152" i="15"/>
  <c r="G145" i="15"/>
  <c r="D71" i="40"/>
  <c r="N179" i="15"/>
  <c r="G118" i="15"/>
  <c r="I187" i="1"/>
  <c r="J47" i="40" s="1"/>
  <c r="O47" i="40" s="1"/>
  <c r="I103" i="1"/>
  <c r="D6" i="1"/>
  <c r="D194" i="15"/>
  <c r="D178" i="15"/>
  <c r="D162" i="15"/>
  <c r="D146" i="15"/>
  <c r="D130" i="15"/>
  <c r="D114" i="15"/>
  <c r="D98" i="15"/>
  <c r="D82" i="15"/>
  <c r="D66" i="15"/>
  <c r="D50" i="15"/>
  <c r="D193" i="15"/>
  <c r="D177" i="15"/>
  <c r="D161" i="15"/>
  <c r="D145" i="15"/>
  <c r="D129" i="15"/>
  <c r="D113" i="15"/>
  <c r="D97" i="15"/>
  <c r="D81" i="15"/>
  <c r="D65" i="15"/>
  <c r="D49" i="15"/>
  <c r="D192" i="15"/>
  <c r="D176" i="15"/>
  <c r="D160" i="15"/>
  <c r="D144" i="15"/>
  <c r="D128" i="15"/>
  <c r="D112" i="15"/>
  <c r="D96" i="15"/>
  <c r="D80" i="15"/>
  <c r="D64" i="15"/>
  <c r="D48" i="15"/>
  <c r="D190" i="15"/>
  <c r="D174" i="15"/>
  <c r="D158" i="15"/>
  <c r="D142" i="15"/>
  <c r="D126" i="15"/>
  <c r="D110" i="15"/>
  <c r="D94" i="15"/>
  <c r="D78" i="15"/>
  <c r="D62" i="15"/>
  <c r="I88" i="1"/>
  <c r="BN45" i="40" s="1"/>
  <c r="BO45" i="40" s="1"/>
  <c r="I189" i="1"/>
  <c r="J49" i="40" s="1"/>
  <c r="O49" i="40" s="1"/>
  <c r="I104" i="1"/>
  <c r="I97" i="1"/>
  <c r="BN54" i="40" s="1"/>
  <c r="BS54" i="40" s="1"/>
  <c r="I157" i="1"/>
  <c r="J26" i="40" s="1"/>
  <c r="O26" i="40" s="1"/>
  <c r="I176" i="1"/>
  <c r="J40" i="40" s="1"/>
  <c r="O40" i="40" s="1"/>
  <c r="I58" i="1"/>
  <c r="BN11" i="40" s="1"/>
  <c r="I100" i="1"/>
  <c r="I136" i="1"/>
  <c r="I186" i="1"/>
  <c r="I138" i="1"/>
  <c r="J12" i="40" s="1"/>
  <c r="K12" i="40" s="1"/>
  <c r="H12" i="40" s="1" a="1"/>
  <c r="H12" i="40" s="1"/>
  <c r="I107" i="1"/>
  <c r="I105" i="1"/>
  <c r="BA66" i="40"/>
  <c r="BA67" i="40"/>
  <c r="BA68" i="40"/>
  <c r="BA58" i="40"/>
  <c r="BA70" i="40"/>
  <c r="BA60" i="40"/>
  <c r="BA71" i="40"/>
  <c r="BA61" i="40"/>
  <c r="BA72" i="40"/>
  <c r="BH70" i="40"/>
  <c r="E242" i="2"/>
  <c r="BH45" i="40"/>
  <c r="BH61" i="40"/>
  <c r="BH46" i="40"/>
  <c r="BH72" i="40"/>
  <c r="BH47" i="40"/>
  <c r="BH68" i="40"/>
  <c r="BH60" i="40"/>
  <c r="BH71" i="40"/>
  <c r="AH93" i="20"/>
  <c r="AL93" i="20"/>
  <c r="AP93" i="20"/>
  <c r="AQ93" i="20" s="1" a="1"/>
  <c r="AQ93" i="20" s="1"/>
  <c r="AI93" i="20"/>
  <c r="AJ93" i="20"/>
  <c r="AM93" i="20" a="1"/>
  <c r="AM93" i="20" s="1"/>
  <c r="AH70" i="20"/>
  <c r="AM70" i="20" a="1"/>
  <c r="AM70" i="20" s="1"/>
  <c r="AI70" i="20"/>
  <c r="AL70" i="20"/>
  <c r="AJ70" i="20"/>
  <c r="AP70" i="20"/>
  <c r="AQ70" i="20" s="1" a="1"/>
  <c r="AQ70" i="20" s="1"/>
  <c r="AP47" i="20"/>
  <c r="AQ47" i="20" s="1" a="1"/>
  <c r="AQ47" i="20" s="1"/>
  <c r="AM47" i="20" a="1"/>
  <c r="AM47" i="20" s="1"/>
  <c r="AJ47" i="20"/>
  <c r="AH47" i="20"/>
  <c r="AI47" i="20"/>
  <c r="AM91" i="20" a="1"/>
  <c r="AM91" i="20" s="1"/>
  <c r="AJ91" i="20"/>
  <c r="AH91" i="20"/>
  <c r="AP91" i="20"/>
  <c r="AQ91" i="20" s="1" a="1"/>
  <c r="AQ91" i="20" s="1"/>
  <c r="AL91" i="20"/>
  <c r="AI91" i="20"/>
  <c r="AI68" i="20"/>
  <c r="AL68" i="20"/>
  <c r="AM68" i="20" a="1"/>
  <c r="AM68" i="20" s="1"/>
  <c r="AP68" i="20"/>
  <c r="AQ68" i="20" s="1" a="1"/>
  <c r="AQ68" i="20" s="1"/>
  <c r="AJ68" i="20"/>
  <c r="AH68" i="20"/>
  <c r="AL90" i="20"/>
  <c r="AM90" i="20" a="1"/>
  <c r="AM90" i="20" s="1"/>
  <c r="AJ90" i="20"/>
  <c r="AI90" i="20"/>
  <c r="AP90" i="20"/>
  <c r="AQ90" i="20" s="1" a="1"/>
  <c r="AQ90" i="20" s="1"/>
  <c r="AH90" i="20"/>
  <c r="K14" i="40"/>
  <c r="H14" i="40" s="1" a="1"/>
  <c r="H14" i="40" s="1"/>
  <c r="O14" i="40"/>
  <c r="AJ88" i="20"/>
  <c r="AP88" i="20"/>
  <c r="AQ88" i="20" s="1" a="1"/>
  <c r="AQ88" i="20" s="1"/>
  <c r="AM88" i="20" a="1"/>
  <c r="AM88" i="20" s="1"/>
  <c r="AH88" i="20"/>
  <c r="AL88" i="20"/>
  <c r="AI88" i="20"/>
  <c r="AJ87" i="20"/>
  <c r="AM87" i="20" a="1"/>
  <c r="AM87" i="20" s="1"/>
  <c r="AI87" i="20"/>
  <c r="AP87" i="20"/>
  <c r="AQ87" i="20" s="1" a="1"/>
  <c r="AQ87" i="20" s="1"/>
  <c r="AL87" i="20"/>
  <c r="AH87" i="20"/>
  <c r="AL65" i="20"/>
  <c r="AI65" i="20"/>
  <c r="AM65" i="20" a="1"/>
  <c r="AM65" i="20" s="1"/>
  <c r="AH65" i="20"/>
  <c r="AJ65" i="20"/>
  <c r="AP65" i="20"/>
  <c r="AQ65" i="20" s="1" a="1"/>
  <c r="AQ65" i="20" s="1"/>
  <c r="AL86" i="20"/>
  <c r="AM86" i="20" a="1"/>
  <c r="AM86" i="20" s="1"/>
  <c r="AJ86" i="20"/>
  <c r="AI86" i="20"/>
  <c r="AP86" i="20"/>
  <c r="AQ86" i="20" s="1" a="1"/>
  <c r="AQ86" i="20" s="1"/>
  <c r="AH86" i="20"/>
  <c r="AJ64" i="20"/>
  <c r="AL64" i="20"/>
  <c r="AP64" i="20"/>
  <c r="AQ64" i="20" s="1" a="1"/>
  <c r="AQ64" i="20" s="1"/>
  <c r="AH64" i="20"/>
  <c r="AI64" i="20"/>
  <c r="AM64" i="20" a="1"/>
  <c r="AM64" i="20" s="1"/>
  <c r="AH85" i="20"/>
  <c r="AL85" i="20"/>
  <c r="AM85" i="20" a="1"/>
  <c r="AM85" i="20" s="1"/>
  <c r="AP85" i="20"/>
  <c r="AQ85" i="20" s="1" a="1"/>
  <c r="AQ85" i="20" s="1"/>
  <c r="AJ85" i="20"/>
  <c r="AI85" i="20"/>
  <c r="AL106" i="20"/>
  <c r="AJ106" i="20"/>
  <c r="AH106" i="20"/>
  <c r="AI106" i="20"/>
  <c r="AP106" i="20"/>
  <c r="AQ106" i="20" s="1" a="1"/>
  <c r="AQ106" i="20" s="1"/>
  <c r="AM106" i="20" a="1"/>
  <c r="AM106" i="20" s="1"/>
  <c r="AI62" i="20"/>
  <c r="AJ62" i="20"/>
  <c r="AL62" i="20"/>
  <c r="AM62" i="20" a="1"/>
  <c r="AM62" i="20" s="1"/>
  <c r="AH62" i="20"/>
  <c r="AP62" i="20"/>
  <c r="AQ62" i="20" s="1" a="1"/>
  <c r="AQ62" i="20" s="1"/>
  <c r="AL83" i="20"/>
  <c r="AI83" i="20"/>
  <c r="AM83" i="20" a="1"/>
  <c r="AM83" i="20" s="1"/>
  <c r="AH83" i="20"/>
  <c r="AP83" i="20"/>
  <c r="AQ83" i="20" s="1" a="1"/>
  <c r="AQ83" i="20" s="1"/>
  <c r="AJ83" i="20"/>
  <c r="AP61" i="20"/>
  <c r="AQ61" i="20" s="1" a="1"/>
  <c r="AQ61" i="20" s="1"/>
  <c r="AH61" i="20"/>
  <c r="AI61" i="20"/>
  <c r="AJ61" i="20"/>
  <c r="AL61" i="20"/>
  <c r="AM61" i="20" a="1"/>
  <c r="AM61" i="20" s="1"/>
  <c r="AL104" i="20"/>
  <c r="AI104" i="20"/>
  <c r="AH104" i="20"/>
  <c r="AM104" i="20" a="1"/>
  <c r="AM104" i="20" s="1"/>
  <c r="AP104" i="20"/>
  <c r="AQ104" i="20" s="1" a="1"/>
  <c r="AQ104" i="20" s="1"/>
  <c r="AJ104" i="20"/>
  <c r="AP82" i="20"/>
  <c r="AQ82" i="20" s="1" a="1"/>
  <c r="AQ82" i="20" s="1"/>
  <c r="AJ82" i="20"/>
  <c r="AH82" i="20"/>
  <c r="AM82" i="20" a="1"/>
  <c r="AM82" i="20" s="1"/>
  <c r="AL82" i="20"/>
  <c r="AI82" i="20"/>
  <c r="AP60" i="20"/>
  <c r="AQ60" i="20" s="1" a="1"/>
  <c r="AQ60" i="20" s="1"/>
  <c r="AH60" i="20"/>
  <c r="AM60" i="20" a="1"/>
  <c r="AM60" i="20" s="1"/>
  <c r="AJ60" i="20"/>
  <c r="AL60" i="20"/>
  <c r="AI60" i="20"/>
  <c r="AM81" i="20" a="1"/>
  <c r="AM81" i="20" s="1"/>
  <c r="AH81" i="20"/>
  <c r="AJ81" i="20"/>
  <c r="AP81" i="20"/>
  <c r="AQ81" i="20" s="1" a="1"/>
  <c r="AQ81" i="20" s="1"/>
  <c r="AL81" i="20"/>
  <c r="AI81" i="20"/>
  <c r="AH102" i="20"/>
  <c r="AI102" i="20"/>
  <c r="AM102" i="20" a="1"/>
  <c r="AM102" i="20" s="1"/>
  <c r="AL102" i="20"/>
  <c r="AP102" i="20"/>
  <c r="AQ102" i="20" s="1" a="1"/>
  <c r="AQ102" i="20" s="1"/>
  <c r="AJ102" i="20"/>
  <c r="AJ58" i="20"/>
  <c r="AH58" i="20"/>
  <c r="AM58" i="20" a="1"/>
  <c r="AM58" i="20" s="1"/>
  <c r="AI58" i="20"/>
  <c r="AL58" i="20"/>
  <c r="AP58" i="20"/>
  <c r="AQ58" i="20" s="1" a="1"/>
  <c r="AQ58" i="20" s="1"/>
  <c r="AM57" i="20" a="1"/>
  <c r="AM57" i="20" s="1"/>
  <c r="AJ57" i="20"/>
  <c r="AL57" i="20"/>
  <c r="AI57" i="20"/>
  <c r="AH57" i="20"/>
  <c r="AP57" i="20"/>
  <c r="AQ57" i="20" s="1" a="1"/>
  <c r="AQ57" i="20" s="1"/>
  <c r="H38" i="40" a="1"/>
  <c r="H38" i="40" s="1"/>
  <c r="O38" i="40"/>
  <c r="AP56" i="20"/>
  <c r="AQ56" i="20" s="1" a="1"/>
  <c r="AQ56" i="20" s="1"/>
  <c r="AL56" i="20"/>
  <c r="AM56" i="20" a="1"/>
  <c r="AM56" i="20" s="1"/>
  <c r="AI56" i="20"/>
  <c r="AH56" i="20"/>
  <c r="AJ56" i="20"/>
  <c r="AM42" i="20" a="1"/>
  <c r="AM42" i="20" s="1"/>
  <c r="AI42" i="20"/>
  <c r="AL42" i="20"/>
  <c r="AI100" i="20"/>
  <c r="AM100" i="20" a="1"/>
  <c r="AM100" i="20" s="1"/>
  <c r="AP100" i="20"/>
  <c r="AQ100" i="20" s="1" a="1"/>
  <c r="AQ100" i="20" s="1"/>
  <c r="AL100" i="20"/>
  <c r="AJ100" i="20"/>
  <c r="AH100" i="20"/>
  <c r="AP42" i="20"/>
  <c r="AQ42" i="20" s="1" a="1"/>
  <c r="AQ42" i="20" s="1"/>
  <c r="AJ99" i="20"/>
  <c r="AH99" i="20"/>
  <c r="AM99" i="20" a="1"/>
  <c r="AM99" i="20" s="1"/>
  <c r="AP99" i="20"/>
  <c r="AQ99" i="20" s="1" a="1"/>
  <c r="AQ99" i="20" s="1"/>
  <c r="AL99" i="20"/>
  <c r="AI99" i="20"/>
  <c r="AP77" i="20"/>
  <c r="AQ77" i="20" s="1" a="1"/>
  <c r="AQ77" i="20" s="1"/>
  <c r="AM77" i="20" a="1"/>
  <c r="AM77" i="20" s="1"/>
  <c r="AJ77" i="20"/>
  <c r="AL77" i="20"/>
  <c r="AI77" i="20"/>
  <c r="AH77" i="20"/>
  <c r="AM76" i="20" a="1"/>
  <c r="AM76" i="20" s="1"/>
  <c r="AI76" i="20"/>
  <c r="AJ76" i="20"/>
  <c r="AP76" i="20"/>
  <c r="AQ76" i="20" s="1" a="1"/>
  <c r="AQ76" i="20" s="1"/>
  <c r="AH76" i="20"/>
  <c r="AL76" i="20"/>
  <c r="AP75" i="20"/>
  <c r="AQ75" i="20" s="1" a="1"/>
  <c r="AQ75" i="20" s="1"/>
  <c r="AH75" i="20"/>
  <c r="AI75" i="20"/>
  <c r="AM75" i="20" a="1"/>
  <c r="AM75" i="20" s="1"/>
  <c r="AL75" i="20"/>
  <c r="AJ75" i="20"/>
  <c r="H41" i="40" a="1"/>
  <c r="H41" i="40" s="1"/>
  <c r="O41" i="40"/>
  <c r="AM52" i="20" a="1"/>
  <c r="AM52" i="20" s="1"/>
  <c r="AL52" i="20"/>
  <c r="AP52" i="20"/>
  <c r="AQ52" i="20" s="1" a="1"/>
  <c r="AQ52" i="20" s="1"/>
  <c r="AJ52" i="20"/>
  <c r="AH52" i="20"/>
  <c r="AI52" i="20"/>
  <c r="AH51" i="20"/>
  <c r="AI51" i="20"/>
  <c r="AP51" i="20"/>
  <c r="AQ51" i="20" s="1" a="1"/>
  <c r="AQ51" i="20" s="1"/>
  <c r="AM51" i="20" a="1"/>
  <c r="AM51" i="20" s="1"/>
  <c r="AL51" i="20"/>
  <c r="AJ51" i="20"/>
  <c r="AL50" i="20"/>
  <c r="AM50" i="20" a="1"/>
  <c r="AM50" i="20" s="1"/>
  <c r="AJ50" i="20"/>
  <c r="AI50" i="20"/>
  <c r="AH50" i="20"/>
  <c r="AP50" i="20"/>
  <c r="AQ50" i="20" s="1" a="1"/>
  <c r="AQ50" i="20" s="1"/>
  <c r="AH95" i="20"/>
  <c r="AI95" i="20"/>
  <c r="AP95" i="20"/>
  <c r="AQ95" i="20" s="1" a="1"/>
  <c r="AQ95" i="20" s="1"/>
  <c r="AL95" i="20"/>
  <c r="AJ95" i="20"/>
  <c r="AM95" i="20" a="1"/>
  <c r="AM95" i="20" s="1"/>
  <c r="AH49" i="20"/>
  <c r="AP49" i="20"/>
  <c r="AQ49" i="20" s="1" a="1"/>
  <c r="AQ49" i="20" s="1"/>
  <c r="AM49" i="20" a="1"/>
  <c r="AM49" i="20" s="1"/>
  <c r="AL49" i="20"/>
  <c r="AI49" i="20"/>
  <c r="AJ49" i="20"/>
  <c r="AM72" i="20" a="1"/>
  <c r="AM72" i="20" s="1"/>
  <c r="AH72" i="20"/>
  <c r="AL72" i="20"/>
  <c r="AP72" i="20"/>
  <c r="AQ72" i="20" s="1" a="1"/>
  <c r="AQ72" i="20" s="1"/>
  <c r="AI72" i="20"/>
  <c r="AJ72" i="20"/>
  <c r="AH96" i="20"/>
  <c r="AJ96" i="20"/>
  <c r="AP96" i="20"/>
  <c r="AQ96" i="20" s="1" a="1"/>
  <c r="AQ96" i="20" s="1"/>
  <c r="AL96" i="20"/>
  <c r="AI96" i="20"/>
  <c r="AM96" i="20" a="1"/>
  <c r="AM96" i="20" s="1"/>
  <c r="AH71" i="20"/>
  <c r="AJ71" i="20"/>
  <c r="AP71" i="20"/>
  <c r="AQ71" i="20" s="1" a="1"/>
  <c r="AQ71" i="20" s="1"/>
  <c r="AL71" i="20"/>
  <c r="AI71" i="20"/>
  <c r="AM71" i="20" a="1"/>
  <c r="AM71" i="20" s="1"/>
  <c r="AP55" i="20"/>
  <c r="AQ55" i="20" s="1" a="1"/>
  <c r="AQ55" i="20" s="1"/>
  <c r="AP78" i="20"/>
  <c r="AQ78" i="20" s="1" a="1"/>
  <c r="AQ78" i="20" s="1"/>
  <c r="AJ54" i="20"/>
  <c r="AL89" i="20"/>
  <c r="J51" i="40"/>
  <c r="AI44" i="20"/>
  <c r="AM67" i="20" a="1"/>
  <c r="AM67" i="20" s="1"/>
  <c r="AL55" i="20"/>
  <c r="AP80" i="20"/>
  <c r="AQ80" i="20" s="1" a="1"/>
  <c r="AQ80" i="20" s="1"/>
  <c r="AP44" i="20"/>
  <c r="AQ44" i="20" s="1" a="1"/>
  <c r="AQ44" i="20" s="1"/>
  <c r="AJ105" i="20"/>
  <c r="AL59" i="20"/>
  <c r="AI55" i="20"/>
  <c r="AI54" i="20"/>
  <c r="AI97" i="20"/>
  <c r="AL94" i="20"/>
  <c r="AI59" i="20"/>
  <c r="AJ44" i="20"/>
  <c r="AP45" i="20"/>
  <c r="AQ45" i="20" s="1" a="1"/>
  <c r="AQ45" i="20" s="1"/>
  <c r="AI45" i="20"/>
  <c r="AJ73" i="20"/>
  <c r="AL53" i="20"/>
  <c r="AP84" i="20"/>
  <c r="AQ84" i="20" s="1" a="1"/>
  <c r="AQ84" i="20" s="1"/>
  <c r="AJ59" i="20"/>
  <c r="AM45" i="20" a="1"/>
  <c r="AM45" i="20" s="1"/>
  <c r="AI107" i="20"/>
  <c r="AI69" i="20"/>
  <c r="AH97" i="20"/>
  <c r="AP73" i="20"/>
  <c r="AQ73" i="20" s="1" a="1"/>
  <c r="AQ73" i="20" s="1"/>
  <c r="AP59" i="20"/>
  <c r="AQ59" i="20" s="1" a="1"/>
  <c r="AQ59" i="20" s="1"/>
  <c r="AL67" i="20"/>
  <c r="D34" i="40"/>
  <c r="AP107" i="20"/>
  <c r="AQ107" i="20" s="1" a="1"/>
  <c r="AQ107" i="20" s="1"/>
  <c r="AI105" i="20"/>
  <c r="AI67" i="20"/>
  <c r="BN70" i="40"/>
  <c r="BU70" i="40" s="1"/>
  <c r="D20" i="40"/>
  <c r="AM97" i="20" a="1"/>
  <c r="AM97" i="20" s="1"/>
  <c r="BN33" i="40"/>
  <c r="BU33" i="40" s="1"/>
  <c r="AH80" i="20"/>
  <c r="AP98" i="20"/>
  <c r="AQ98" i="20" s="1" a="1"/>
  <c r="AQ98" i="20" s="1"/>
  <c r="BN32" i="40"/>
  <c r="BU32" i="40" s="1"/>
  <c r="AJ80" i="20"/>
  <c r="AJ69" i="20"/>
  <c r="AL105" i="20"/>
  <c r="AI46" i="20"/>
  <c r="AJ84" i="20"/>
  <c r="D33" i="40"/>
  <c r="AI78" i="20"/>
  <c r="AH45" i="20"/>
  <c r="AJ78" i="20"/>
  <c r="AL84" i="20"/>
  <c r="AM73" i="20" a="1"/>
  <c r="AM73" i="20" s="1"/>
  <c r="AH105" i="20"/>
  <c r="AI79" i="20"/>
  <c r="J30" i="40"/>
  <c r="AH73" i="20"/>
  <c r="AM108" i="20" a="1"/>
  <c r="AM108" i="20" s="1"/>
  <c r="AH79" i="20"/>
  <c r="AH69" i="20"/>
  <c r="AH78" i="20"/>
  <c r="AL78" i="20"/>
  <c r="AM107" i="20" a="1"/>
  <c r="AM107" i="20" s="1"/>
  <c r="AL69" i="20"/>
  <c r="AL45" i="20"/>
  <c r="AM80" i="20" a="1"/>
  <c r="AM80" i="20" s="1"/>
  <c r="AL73" i="20"/>
  <c r="AI53" i="20"/>
  <c r="BN56" i="40"/>
  <c r="AM53" i="20" a="1"/>
  <c r="AM53" i="20" s="1"/>
  <c r="AI80" i="20"/>
  <c r="BN19" i="40"/>
  <c r="I102" i="14" a="1"/>
  <c r="I102" i="14" s="1"/>
  <c r="M101" i="14" a="1"/>
  <c r="M101" i="14" s="1"/>
  <c r="L101" i="14" a="1"/>
  <c r="L101" i="14" s="1"/>
  <c r="Q431" i="35"/>
  <c r="C73" i="13"/>
  <c r="D109" i="14"/>
  <c r="AD54" i="1"/>
  <c r="E109" i="14"/>
  <c r="L12" i="3" a="1"/>
  <c r="L12" i="3" s="1"/>
  <c r="L13" i="3" a="1"/>
  <c r="L13" i="3" s="1"/>
  <c r="I76" i="13"/>
  <c r="I101" i="14" a="1"/>
  <c r="I101" i="14" s="1"/>
  <c r="L102" i="14" a="1"/>
  <c r="L102" i="14" s="1"/>
  <c r="K102" i="14" a="1"/>
  <c r="K102" i="14" s="1"/>
  <c r="J102" i="14" a="1"/>
  <c r="J102" i="14" s="1"/>
  <c r="K101" i="14" a="1"/>
  <c r="K101" i="14" s="1"/>
  <c r="J101" i="14" a="1"/>
  <c r="J101" i="14" s="1"/>
  <c r="M102" i="14" a="1"/>
  <c r="M102" i="14" s="1"/>
  <c r="AK42" i="20" a="1"/>
  <c r="AK76" i="20" a="1"/>
  <c r="AK94" i="20" a="1"/>
  <c r="AK47" i="20" a="1"/>
  <c r="AK52" i="20" a="1"/>
  <c r="AK54" i="20" a="1"/>
  <c r="AK78" i="20" a="1"/>
  <c r="AK58" i="20" a="1"/>
  <c r="AK60" i="20" a="1"/>
  <c r="AK93" i="20" a="1"/>
  <c r="AK53" i="20" a="1"/>
  <c r="AK51" i="20" a="1"/>
  <c r="AK91" i="20" a="1"/>
  <c r="AK95" i="20" a="1"/>
  <c r="AK107" i="20" a="1"/>
  <c r="AK105" i="20" a="1"/>
  <c r="AK84" i="20" a="1"/>
  <c r="AK65" i="20" a="1"/>
  <c r="AK48" i="20" a="1"/>
  <c r="AK75" i="20" a="1"/>
  <c r="AK99" i="20" a="1"/>
  <c r="AK98" i="20" a="1"/>
  <c r="AK81" i="20" a="1"/>
  <c r="AK74" i="20" a="1"/>
  <c r="AK63" i="20" a="1"/>
  <c r="AK70" i="20" a="1"/>
  <c r="AK64" i="20" a="1"/>
  <c r="AK57" i="20" a="1"/>
  <c r="AK80" i="20" a="1"/>
  <c r="C109" i="14" a="1"/>
  <c r="AK85" i="20" a="1"/>
  <c r="AK69" i="20" a="1"/>
  <c r="AK43" i="20" a="1"/>
  <c r="AK100" i="20" a="1"/>
  <c r="AK83" i="20" a="1"/>
  <c r="AK68" i="20" a="1"/>
  <c r="AK108" i="20" a="1"/>
  <c r="AK102" i="20" a="1"/>
  <c r="AK82" i="20" a="1"/>
  <c r="AK97" i="20" a="1"/>
  <c r="AK101" i="20" a="1"/>
  <c r="AK59" i="20" a="1"/>
  <c r="AK87" i="20" a="1"/>
  <c r="AK86" i="20" a="1"/>
  <c r="AK66" i="20" a="1"/>
  <c r="AK106" i="20" a="1"/>
  <c r="AK46" i="20" a="1"/>
  <c r="AK79" i="20" a="1"/>
  <c r="AK44" i="20" a="1"/>
  <c r="AK45" i="20" a="1"/>
  <c r="AK103" i="20" a="1"/>
  <c r="AK71" i="20" a="1"/>
  <c r="AK72" i="20" a="1"/>
  <c r="AK77" i="20" a="1"/>
  <c r="AK55" i="20" a="1"/>
  <c r="AK88" i="20" a="1"/>
  <c r="AK104" i="20" a="1"/>
  <c r="AK92" i="20" a="1"/>
  <c r="AK61" i="20" a="1"/>
  <c r="AK73" i="20" a="1"/>
  <c r="C134" i="14" a="1"/>
  <c r="AK89" i="20" a="1"/>
  <c r="AK96" i="20" a="1"/>
  <c r="AK56" i="20" a="1"/>
  <c r="AK90" i="20" a="1"/>
  <c r="AK50" i="20" a="1"/>
  <c r="AK62" i="20" a="1"/>
  <c r="AK67" i="20" a="1"/>
  <c r="AK49" i="20" a="1"/>
  <c r="F251" i="2" l="1"/>
  <c r="F374" i="2" s="1" a="1"/>
  <c r="F374" i="2" s="1"/>
  <c r="G374" i="2" s="1"/>
  <c r="F256" i="2"/>
  <c r="E839" i="2"/>
  <c r="F265" i="2"/>
  <c r="G265" i="2" s="1"/>
  <c r="F585" i="2" s="1" a="1"/>
  <c r="F585" i="2" s="1"/>
  <c r="G585" i="2" s="1"/>
  <c r="F254" i="2"/>
  <c r="G254" i="2" s="1"/>
  <c r="E830" i="2"/>
  <c r="E842" i="2"/>
  <c r="E845" i="2"/>
  <c r="F268" i="2"/>
  <c r="F629" i="2" s="1" a="1"/>
  <c r="F629" i="2" s="1"/>
  <c r="G629" i="2" s="1"/>
  <c r="E813" i="2"/>
  <c r="E836" i="2"/>
  <c r="F252" i="2"/>
  <c r="F389" i="2" s="1" a="1"/>
  <c r="F389" i="2" s="1"/>
  <c r="G389" i="2" s="1"/>
  <c r="E835" i="2"/>
  <c r="E814" i="2"/>
  <c r="E819" i="2"/>
  <c r="F259" i="2"/>
  <c r="G259" i="2" s="1"/>
  <c r="F495" i="2" s="1" a="1"/>
  <c r="F495" i="2" s="1"/>
  <c r="G495" i="2" s="1"/>
  <c r="F272" i="2"/>
  <c r="F689" i="2" s="1" a="1"/>
  <c r="F689" i="2" s="1"/>
  <c r="G689" i="2" s="1"/>
  <c r="G271" i="2"/>
  <c r="E837" i="2"/>
  <c r="F274" i="2"/>
  <c r="N20" i="3"/>
  <c r="M17" i="3"/>
  <c r="M26" i="3"/>
  <c r="I96" i="15" a="1"/>
  <c r="I96" i="15" s="1"/>
  <c r="F267" i="2"/>
  <c r="M38" i="3"/>
  <c r="N44" i="3"/>
  <c r="I61" i="15" a="1"/>
  <c r="I61" i="15" s="1"/>
  <c r="K61" i="15" a="1"/>
  <c r="K61" i="15" s="1"/>
  <c r="E826" i="2"/>
  <c r="K96" i="15" a="1"/>
  <c r="K96" i="15" s="1"/>
  <c r="M27" i="3"/>
  <c r="C51" i="13" a="1"/>
  <c r="C51" i="13" s="1"/>
  <c r="AS111" i="30" a="1"/>
  <c r="AS111" i="30" s="1"/>
  <c r="AU111" i="30" s="1"/>
  <c r="AS110" i="30" a="1"/>
  <c r="AS110" i="30" s="1"/>
  <c r="AU110" i="30" s="1"/>
  <c r="AS135" i="30" a="1"/>
  <c r="AS135" i="30" s="1"/>
  <c r="AS129" i="30" a="1"/>
  <c r="AS129" i="30" s="1"/>
  <c r="AS134" i="30" a="1"/>
  <c r="AS134" i="30" s="1"/>
  <c r="AS133" i="30" a="1"/>
  <c r="AS133" i="30" s="1"/>
  <c r="AS132" i="30" a="1"/>
  <c r="AS132" i="30" s="1"/>
  <c r="AS131" i="30" a="1"/>
  <c r="AS131" i="30" s="1"/>
  <c r="AS130" i="30" a="1"/>
  <c r="AS130" i="30" s="1"/>
  <c r="AS128" i="30" a="1"/>
  <c r="AS128" i="30" s="1"/>
  <c r="AS127" i="30" a="1"/>
  <c r="AS127" i="30" s="1"/>
  <c r="AS126" i="30" a="1"/>
  <c r="AS126" i="30" s="1"/>
  <c r="AS125" i="30" a="1"/>
  <c r="AS125" i="30" s="1"/>
  <c r="AS124" i="30" a="1"/>
  <c r="AS124" i="30" s="1"/>
  <c r="AS123" i="30" a="1"/>
  <c r="AS123" i="30" s="1"/>
  <c r="AS122" i="30" a="1"/>
  <c r="AS122" i="30" s="1"/>
  <c r="AS121" i="30" a="1"/>
  <c r="AS121" i="30" s="1"/>
  <c r="AS120" i="30" a="1"/>
  <c r="AS120" i="30" s="1"/>
  <c r="AS119" i="30" a="1"/>
  <c r="AS119" i="30" s="1"/>
  <c r="AS118" i="30" a="1"/>
  <c r="AS118" i="30" s="1"/>
  <c r="AU118" i="30" s="1"/>
  <c r="AS117" i="30" a="1"/>
  <c r="AS117" i="30" s="1"/>
  <c r="AU117" i="30" s="1"/>
  <c r="AS116" i="30" a="1"/>
  <c r="AS116" i="30" s="1"/>
  <c r="AU116" i="30" s="1"/>
  <c r="AS115" i="30" a="1"/>
  <c r="AS115" i="30" s="1"/>
  <c r="AU115" i="30" s="1"/>
  <c r="AS114" i="30" a="1"/>
  <c r="AS114" i="30" s="1"/>
  <c r="AU114" i="30" s="1"/>
  <c r="AS113" i="30" a="1"/>
  <c r="AS113" i="30" s="1"/>
  <c r="AU113" i="30" s="1"/>
  <c r="AS112" i="30" a="1"/>
  <c r="AS112" i="30" s="1"/>
  <c r="AU112" i="30" s="1"/>
  <c r="M33" i="3"/>
  <c r="N45" i="3"/>
  <c r="BC62" i="40"/>
  <c r="BA62" i="40" s="1"/>
  <c r="N40" i="3"/>
  <c r="M28" i="3"/>
  <c r="M39" i="3"/>
  <c r="N32" i="3"/>
  <c r="M25" i="3"/>
  <c r="M37" i="3"/>
  <c r="M43" i="3"/>
  <c r="BE57" i="40"/>
  <c r="N31" i="3"/>
  <c r="N41" i="3"/>
  <c r="N42" i="3"/>
  <c r="BE39" i="40" s="1"/>
  <c r="M30" i="3"/>
  <c r="BE84" i="40"/>
  <c r="BE33" i="40"/>
  <c r="BE34" i="40"/>
  <c r="BE32" i="40"/>
  <c r="AT47" i="40"/>
  <c r="N24" i="3"/>
  <c r="M29" i="3"/>
  <c r="K68" i="15" a="1"/>
  <c r="K68" i="15" s="1"/>
  <c r="K191" i="15" a="1"/>
  <c r="K191" i="15" s="1"/>
  <c r="K162" i="15" a="1"/>
  <c r="K162" i="15" s="1"/>
  <c r="I93" i="15" a="1"/>
  <c r="I93" i="15" s="1"/>
  <c r="E846" i="2"/>
  <c r="E829" i="2"/>
  <c r="E834" i="2"/>
  <c r="F253" i="2"/>
  <c r="F404" i="2" s="1" a="1"/>
  <c r="F404" i="2" s="1"/>
  <c r="G404" i="2" s="1"/>
  <c r="E815" i="2"/>
  <c r="F277" i="2"/>
  <c r="G277" i="2" s="1"/>
  <c r="F765" i="2" s="1" a="1"/>
  <c r="F765" i="2" s="1"/>
  <c r="G765" i="2" s="1"/>
  <c r="E822" i="2"/>
  <c r="F273" i="2"/>
  <c r="F704" i="2" s="1" a="1"/>
  <c r="F704" i="2" s="1"/>
  <c r="G704" i="2" s="1"/>
  <c r="E821" i="2"/>
  <c r="F278" i="2"/>
  <c r="F779" i="2" s="1" a="1"/>
  <c r="F779" i="2" s="1"/>
  <c r="G779" i="2" s="1"/>
  <c r="E838" i="2"/>
  <c r="F255" i="2"/>
  <c r="F434" i="2" s="1" a="1"/>
  <c r="F434" i="2" s="1"/>
  <c r="G434" i="2" s="1"/>
  <c r="E843" i="2"/>
  <c r="F276" i="2"/>
  <c r="F749" i="2" s="1" a="1"/>
  <c r="F749" i="2" s="1"/>
  <c r="G749" i="2" s="1"/>
  <c r="F269" i="2"/>
  <c r="F644" i="2" s="1" a="1"/>
  <c r="F644" i="2" s="1"/>
  <c r="G644" i="2" s="1"/>
  <c r="F263" i="2"/>
  <c r="G263" i="2" s="1"/>
  <c r="F555" i="2" s="1" a="1"/>
  <c r="F555" i="2" s="1"/>
  <c r="G555" i="2" s="1"/>
  <c r="F258" i="2"/>
  <c r="G258" i="2" s="1"/>
  <c r="F480" i="2" s="1" a="1"/>
  <c r="F480" i="2" s="1"/>
  <c r="G480" i="2" s="1"/>
  <c r="F260" i="2"/>
  <c r="G260" i="2" s="1"/>
  <c r="F510" i="2" s="1" a="1"/>
  <c r="F510" i="2" s="1"/>
  <c r="G510" i="2" s="1"/>
  <c r="F248" i="2"/>
  <c r="G248" i="2" s="1"/>
  <c r="F330" i="2" s="1" a="1"/>
  <c r="F330" i="2" s="1"/>
  <c r="G330" i="2" s="1"/>
  <c r="F279" i="2"/>
  <c r="G279" i="2" s="1"/>
  <c r="E831" i="2"/>
  <c r="E825" i="2"/>
  <c r="F247" i="2"/>
  <c r="F270" i="2"/>
  <c r="F659" i="2" s="1" a="1"/>
  <c r="F659" i="2" s="1"/>
  <c r="G659" i="2" s="1"/>
  <c r="E818" i="2"/>
  <c r="F264" i="2"/>
  <c r="F569" i="2" s="1" a="1"/>
  <c r="F569" i="2" s="1"/>
  <c r="G569" i="2" s="1"/>
  <c r="E823" i="2"/>
  <c r="F249" i="2"/>
  <c r="G249" i="2" s="1"/>
  <c r="F345" i="2" s="1" a="1"/>
  <c r="F345" i="2" s="1"/>
  <c r="G345" i="2" s="1"/>
  <c r="F257" i="2"/>
  <c r="G257" i="2" s="1"/>
  <c r="F465" i="2" s="1" a="1"/>
  <c r="F465" i="2" s="1"/>
  <c r="G465" i="2" s="1"/>
  <c r="E840" i="2"/>
  <c r="F266" i="2"/>
  <c r="F599" i="2" s="1" a="1"/>
  <c r="F599" i="2" s="1"/>
  <c r="G599" i="2" s="1"/>
  <c r="E828" i="2"/>
  <c r="F246" i="2"/>
  <c r="F36" i="40"/>
  <c r="AW53" i="40"/>
  <c r="G132" i="30"/>
  <c r="G133" i="30"/>
  <c r="I191" i="15" a="1"/>
  <c r="I191" i="15" s="1"/>
  <c r="I65" i="15" a="1"/>
  <c r="I65" i="15" s="1"/>
  <c r="I67" i="15" a="1"/>
  <c r="I67" i="15" s="1"/>
  <c r="K98" i="15" a="1"/>
  <c r="K98" i="15" s="1"/>
  <c r="I162" i="15" a="1"/>
  <c r="I162" i="15" s="1"/>
  <c r="I163" i="15" a="1"/>
  <c r="I163" i="15" s="1"/>
  <c r="I95" i="15" a="1"/>
  <c r="I95" i="15" s="1"/>
  <c r="K134" i="15" a="1"/>
  <c r="K134" i="15" s="1"/>
  <c r="I127" i="15" a="1"/>
  <c r="I127" i="15" s="1"/>
  <c r="H195" i="15"/>
  <c r="K195" i="15" s="1" a="1"/>
  <c r="K195" i="15" s="1"/>
  <c r="I68" i="15" a="1"/>
  <c r="I68" i="15" s="1"/>
  <c r="H49" i="15"/>
  <c r="K49" i="15" s="1" a="1"/>
  <c r="K49" i="15" s="1"/>
  <c r="K163" i="15" a="1"/>
  <c r="K163" i="15" s="1"/>
  <c r="K119" i="15" a="1"/>
  <c r="K119" i="15" s="1"/>
  <c r="I98" i="15" a="1"/>
  <c r="I98" i="15" s="1"/>
  <c r="I70" i="15" a="1"/>
  <c r="I70" i="15" s="1"/>
  <c r="Y137" i="38"/>
  <c r="R157" i="38"/>
  <c r="R108" i="38"/>
  <c r="K157" i="38"/>
  <c r="G103" i="30"/>
  <c r="G153" i="30"/>
  <c r="G141" i="30"/>
  <c r="G112" i="30"/>
  <c r="BD24" i="40"/>
  <c r="G148" i="30"/>
  <c r="G121" i="30"/>
  <c r="G111" i="30"/>
  <c r="BD23" i="40"/>
  <c r="BD22" i="40"/>
  <c r="BD25" i="40"/>
  <c r="BD26" i="40"/>
  <c r="G129" i="30"/>
  <c r="G123" i="30"/>
  <c r="G136" i="30"/>
  <c r="G118" i="30"/>
  <c r="G106" i="30"/>
  <c r="G154" i="30"/>
  <c r="G119" i="30"/>
  <c r="G145" i="30"/>
  <c r="G150" i="30"/>
  <c r="G126" i="30"/>
  <c r="G125" i="30"/>
  <c r="G131" i="30"/>
  <c r="G151" i="30"/>
  <c r="G101" i="30"/>
  <c r="G138" i="30"/>
  <c r="G152" i="30"/>
  <c r="G115" i="30"/>
  <c r="G142" i="30"/>
  <c r="G135" i="30"/>
  <c r="G107" i="30"/>
  <c r="G137" i="30"/>
  <c r="G146" i="30"/>
  <c r="G110" i="30"/>
  <c r="G144" i="30"/>
  <c r="G122" i="30"/>
  <c r="G116" i="30"/>
  <c r="O25" i="40"/>
  <c r="K36" i="40"/>
  <c r="H36" i="40" s="1" a="1"/>
  <c r="H36" i="40" s="1"/>
  <c r="J42" i="40"/>
  <c r="AF20" i="40"/>
  <c r="AF19" i="40"/>
  <c r="AF18" i="40"/>
  <c r="AF17" i="40"/>
  <c r="AF15" i="40"/>
  <c r="AF14" i="40"/>
  <c r="AF12" i="40"/>
  <c r="AF11" i="40"/>
  <c r="AF10" i="40"/>
  <c r="AF9" i="40"/>
  <c r="F73" i="40"/>
  <c r="AC137" i="38"/>
  <c r="AC146" i="38"/>
  <c r="AC130" i="38"/>
  <c r="AC114" i="38"/>
  <c r="AC122" i="38"/>
  <c r="AC106" i="38"/>
  <c r="AC115" i="38"/>
  <c r="AC107" i="38"/>
  <c r="AC123" i="38"/>
  <c r="AC113" i="38"/>
  <c r="AC121" i="38"/>
  <c r="AC105" i="38"/>
  <c r="R122" i="38"/>
  <c r="AC128" i="38"/>
  <c r="AC119" i="38"/>
  <c r="AC103" i="38"/>
  <c r="AC111" i="38"/>
  <c r="R115" i="38"/>
  <c r="Y130" i="38"/>
  <c r="R144" i="38"/>
  <c r="R136" i="38"/>
  <c r="R137" i="38" s="1"/>
  <c r="Q41" i="40"/>
  <c r="Y118" i="38"/>
  <c r="Y110" i="38"/>
  <c r="U132" i="38"/>
  <c r="U126" i="38"/>
  <c r="Q51" i="40"/>
  <c r="Y120" i="38"/>
  <c r="Y112" i="38"/>
  <c r="Y138" i="38"/>
  <c r="Y132" i="38"/>
  <c r="U112" i="38"/>
  <c r="U118" i="38"/>
  <c r="U125" i="38"/>
  <c r="U131" i="38"/>
  <c r="R145" i="38"/>
  <c r="R130" i="38"/>
  <c r="R131" i="38" s="1"/>
  <c r="R103" i="38"/>
  <c r="R105" i="38" s="1"/>
  <c r="X6" i="38"/>
  <c r="AD552" i="38"/>
  <c r="AA649" i="38" s="1" a="1"/>
  <c r="AA649" i="38" s="1"/>
  <c r="AD553" i="38"/>
  <c r="AA729" i="38" s="1" a="1"/>
  <c r="AA729" i="38" s="1"/>
  <c r="AD551" i="38"/>
  <c r="AA574" i="38" s="1" a="1"/>
  <c r="AA574" i="38" s="1"/>
  <c r="L554" i="38"/>
  <c r="L553" i="38"/>
  <c r="I620" i="38" s="1" a="1"/>
  <c r="L552" i="38"/>
  <c r="L551" i="38"/>
  <c r="I574" i="38" s="1" a="1"/>
  <c r="I574" i="38" s="1"/>
  <c r="Q30" i="40"/>
  <c r="Q31" i="40"/>
  <c r="J6" i="38"/>
  <c r="L562" i="38"/>
  <c r="E553" i="38"/>
  <c r="E552" i="38"/>
  <c r="B649" i="38" s="1" a="1"/>
  <c r="B649" i="38" s="1"/>
  <c r="E551" i="38"/>
  <c r="B574" i="38" s="1" a="1"/>
  <c r="B574" i="38" s="1"/>
  <c r="B553" i="38" a="1"/>
  <c r="B553" i="38" s="1"/>
  <c r="M4" i="38"/>
  <c r="D11" i="38"/>
  <c r="D10" i="38"/>
  <c r="D9" i="38"/>
  <c r="K93" i="15" a="1"/>
  <c r="K93" i="15" s="1"/>
  <c r="E245" i="2"/>
  <c r="E812" i="2" s="1"/>
  <c r="E841" i="2"/>
  <c r="I189" i="15" a="1"/>
  <c r="I189" i="15" s="1"/>
  <c r="H63" i="15"/>
  <c r="K63" i="15" s="1" a="1"/>
  <c r="K63" i="15" s="1"/>
  <c r="K161" i="15" a="1"/>
  <c r="K161" i="15" s="1"/>
  <c r="K189" i="15" a="1"/>
  <c r="K189" i="15" s="1"/>
  <c r="I190" i="15" a="1"/>
  <c r="I190" i="15" s="1"/>
  <c r="F85" i="40"/>
  <c r="I62" i="15" a="1"/>
  <c r="I62" i="15" s="1"/>
  <c r="K188" i="15" a="1"/>
  <c r="K188" i="15" s="1"/>
  <c r="I188" i="15" a="1"/>
  <c r="I188" i="15" s="1"/>
  <c r="K190" i="15" a="1"/>
  <c r="K190" i="15" s="1"/>
  <c r="K62" i="15" a="1"/>
  <c r="K62" i="15" s="1"/>
  <c r="H97" i="15"/>
  <c r="K97" i="15" s="1" a="1"/>
  <c r="K97" i="15" s="1"/>
  <c r="I97" i="15" a="1"/>
  <c r="I97" i="15" s="1"/>
  <c r="K95" i="15" a="1"/>
  <c r="K95" i="15" s="1"/>
  <c r="I126" i="15" a="1"/>
  <c r="I126" i="15" s="1"/>
  <c r="G130" i="30"/>
  <c r="G105" i="30"/>
  <c r="G127" i="30"/>
  <c r="G117" i="30"/>
  <c r="G124" i="30"/>
  <c r="G143" i="30"/>
  <c r="G139" i="30"/>
  <c r="G100" i="30"/>
  <c r="G128" i="30"/>
  <c r="G108" i="30"/>
  <c r="G114" i="30"/>
  <c r="G109" i="30"/>
  <c r="G140" i="30"/>
  <c r="G102" i="30"/>
  <c r="N22" i="3"/>
  <c r="G104" i="30"/>
  <c r="G149" i="30"/>
  <c r="G147" i="30"/>
  <c r="G113" i="30"/>
  <c r="G120" i="30"/>
  <c r="M21" i="3"/>
  <c r="M23" i="3"/>
  <c r="N18" i="3"/>
  <c r="L19" i="40"/>
  <c r="L32" i="40" s="1"/>
  <c r="BP35" i="40"/>
  <c r="M19" i="3"/>
  <c r="C39" i="14"/>
  <c r="BP72" i="40"/>
  <c r="M18" i="3"/>
  <c r="AT101" i="30"/>
  <c r="M16" i="3"/>
  <c r="L10" i="40"/>
  <c r="L15" i="40" s="1"/>
  <c r="N16" i="3"/>
  <c r="O101" i="14"/>
  <c r="N15" i="3"/>
  <c r="M15" i="3"/>
  <c r="AK103" i="20"/>
  <c r="AN103" i="20" s="1" a="1"/>
  <c r="AN103" i="20" s="1"/>
  <c r="AK48" i="20"/>
  <c r="AN48" i="20" s="1" a="1"/>
  <c r="AN48" i="20" s="1"/>
  <c r="K37" i="40"/>
  <c r="H37" i="40" s="1" a="1"/>
  <c r="H37" i="40" s="1"/>
  <c r="D30" i="40"/>
  <c r="E30" i="40" s="1"/>
  <c r="AK94" i="20"/>
  <c r="AO94" i="20" s="1" a="1"/>
  <c r="AO94" i="20" s="1"/>
  <c r="AK89" i="20"/>
  <c r="AO89" i="20" s="1" a="1"/>
  <c r="AO89" i="20" s="1"/>
  <c r="AK63" i="20"/>
  <c r="AN63" i="20" s="1" a="1"/>
  <c r="AN63" i="20" s="1"/>
  <c r="AK108" i="20"/>
  <c r="AN108" i="20" s="1" a="1"/>
  <c r="AN108" i="20" s="1"/>
  <c r="AK66" i="20"/>
  <c r="AN66" i="20" s="1" a="1"/>
  <c r="AN66" i="20" s="1"/>
  <c r="AK101" i="20"/>
  <c r="AO101" i="20" s="1" a="1"/>
  <c r="AO101" i="20" s="1"/>
  <c r="AK92" i="20"/>
  <c r="AO92" i="20" s="1" a="1"/>
  <c r="AO92" i="20" s="1"/>
  <c r="AK43" i="20"/>
  <c r="AN43" i="20" s="1" a="1"/>
  <c r="AN43" i="20" s="1"/>
  <c r="AK74" i="20"/>
  <c r="AO74" i="20" s="1" a="1"/>
  <c r="AO74" i="20" s="1"/>
  <c r="AK98" i="20"/>
  <c r="AN98" i="20" s="1" a="1"/>
  <c r="AN98" i="20" s="1"/>
  <c r="BN51" i="40"/>
  <c r="BO51" i="40" s="1"/>
  <c r="BL51" i="40" s="1" a="1"/>
  <c r="BL51" i="40" s="1"/>
  <c r="BN49" i="40"/>
  <c r="BS49" i="40" s="1"/>
  <c r="K126" i="15" a="1"/>
  <c r="K126" i="15" s="1"/>
  <c r="K92" i="15" a="1"/>
  <c r="K92" i="15" s="1"/>
  <c r="I176" i="15" a="1"/>
  <c r="I176" i="15" s="1"/>
  <c r="K176" i="15" a="1"/>
  <c r="K176" i="15" s="1"/>
  <c r="I92" i="15" a="1"/>
  <c r="I92" i="15" s="1"/>
  <c r="K171" i="15" a="1"/>
  <c r="K171" i="15" s="1"/>
  <c r="K193" i="15" a="1"/>
  <c r="K193" i="15" s="1"/>
  <c r="K145" i="15" a="1"/>
  <c r="K145" i="15" s="1"/>
  <c r="K155" i="15" a="1"/>
  <c r="K155" i="15" s="1"/>
  <c r="I105" i="15" a="1"/>
  <c r="I105" i="15" s="1"/>
  <c r="K159" i="15" a="1"/>
  <c r="K159" i="15" s="1"/>
  <c r="K51" i="15" a="1"/>
  <c r="K51" i="15" s="1"/>
  <c r="K168" i="15" a="1"/>
  <c r="K168" i="15" s="1"/>
  <c r="H175" i="15"/>
  <c r="K175" i="15" s="1" a="1"/>
  <c r="K175" i="15" s="1"/>
  <c r="I51" i="15" a="1"/>
  <c r="I51" i="15" s="1"/>
  <c r="K86" i="15" a="1"/>
  <c r="K86" i="15" s="1"/>
  <c r="I121" i="15" a="1"/>
  <c r="I121" i="15" s="1"/>
  <c r="K135" i="15" a="1"/>
  <c r="K135" i="15" s="1"/>
  <c r="K99" i="15" a="1"/>
  <c r="K99" i="15" s="1"/>
  <c r="BS62" i="40"/>
  <c r="D82" i="40"/>
  <c r="E82" i="40" s="1"/>
  <c r="B82" i="40" s="1" a="1"/>
  <c r="B82" i="40" s="1"/>
  <c r="BN43" i="40"/>
  <c r="D63" i="40"/>
  <c r="E63" i="40" s="1"/>
  <c r="B63" i="40" s="1" a="1"/>
  <c r="B63" i="40" s="1"/>
  <c r="O23" i="40"/>
  <c r="O48" i="40"/>
  <c r="BN47" i="40"/>
  <c r="BS47" i="40" s="1"/>
  <c r="BS53" i="40"/>
  <c r="O27" i="40"/>
  <c r="H27" i="40" a="1"/>
  <c r="H27" i="40" s="1"/>
  <c r="K52" i="15" a="1"/>
  <c r="K52" i="15" s="1"/>
  <c r="K137" i="15" a="1"/>
  <c r="K137" i="15" s="1"/>
  <c r="K150" i="15" a="1"/>
  <c r="K150" i="15" s="1"/>
  <c r="K59" i="15" a="1"/>
  <c r="K59" i="15" s="1"/>
  <c r="K50" i="40"/>
  <c r="H50" i="40" s="1" a="1"/>
  <c r="H50" i="40" s="1"/>
  <c r="I146" i="15" a="1"/>
  <c r="I146" i="15" s="1"/>
  <c r="I113" i="15" a="1"/>
  <c r="I113" i="15" s="1"/>
  <c r="I150" i="15" a="1"/>
  <c r="I150" i="15" s="1"/>
  <c r="K113" i="15" a="1"/>
  <c r="K113" i="15" s="1"/>
  <c r="BS24" i="40"/>
  <c r="BN12" i="40"/>
  <c r="BS12" i="40" s="1"/>
  <c r="D81" i="40"/>
  <c r="BN40" i="40"/>
  <c r="BS40" i="40" s="1"/>
  <c r="I128" i="15" a="1"/>
  <c r="I128" i="15" s="1"/>
  <c r="I54" i="15" a="1"/>
  <c r="I54" i="15" s="1"/>
  <c r="I109" i="15" a="1"/>
  <c r="I109" i="15" s="1"/>
  <c r="BS61" i="40"/>
  <c r="K117" i="15" a="1"/>
  <c r="K117" i="15" s="1"/>
  <c r="BN42" i="40"/>
  <c r="I86" i="15" a="1"/>
  <c r="I86" i="15" s="1"/>
  <c r="I168" i="15" a="1"/>
  <c r="I168" i="15" s="1"/>
  <c r="I134" i="15" a="1"/>
  <c r="I134" i="15" s="1"/>
  <c r="BN64" i="40"/>
  <c r="BO64" i="40" s="1"/>
  <c r="BL64" i="40" s="1" a="1"/>
  <c r="BL64" i="40" s="1"/>
  <c r="I117" i="15" a="1"/>
  <c r="I117" i="15" s="1"/>
  <c r="K21" i="40"/>
  <c r="H21" i="40" s="1" a="1"/>
  <c r="H21" i="40" s="1"/>
  <c r="I118" i="15" a="1"/>
  <c r="I118" i="15" s="1"/>
  <c r="K169" i="15" a="1"/>
  <c r="K169" i="15" s="1"/>
  <c r="K118" i="15" a="1"/>
  <c r="K118" i="15" s="1"/>
  <c r="BS15" i="40"/>
  <c r="BL15" i="40" a="1"/>
  <c r="BL15" i="40" s="1"/>
  <c r="D62" i="40"/>
  <c r="E62" i="40" s="1"/>
  <c r="B62" i="40" s="1" a="1"/>
  <c r="B62" i="40" s="1"/>
  <c r="I135" i="15" a="1"/>
  <c r="I135" i="15" s="1"/>
  <c r="K102" i="15" a="1"/>
  <c r="K102" i="15" s="1"/>
  <c r="I140" i="15" a="1"/>
  <c r="I140" i="15" s="1"/>
  <c r="BN27" i="40"/>
  <c r="BS27" i="40" s="1"/>
  <c r="BN76" i="40"/>
  <c r="BO77" i="40" s="1"/>
  <c r="BL77" i="40" s="1" a="1"/>
  <c r="BL77" i="40" s="1"/>
  <c r="I193" i="15" a="1"/>
  <c r="I193" i="15" s="1"/>
  <c r="O28" i="40"/>
  <c r="I102" i="15" a="1"/>
  <c r="I102" i="15" s="1"/>
  <c r="D47" i="40"/>
  <c r="K53" i="15" a="1"/>
  <c r="K53" i="15" s="1"/>
  <c r="K146" i="15" a="1"/>
  <c r="K146" i="15" s="1"/>
  <c r="I196" i="15" a="1"/>
  <c r="I196" i="15" s="1"/>
  <c r="I99" i="15" a="1"/>
  <c r="I99" i="15" s="1"/>
  <c r="I159" i="15" a="1"/>
  <c r="I159" i="15" s="1"/>
  <c r="I53" i="15" a="1"/>
  <c r="I53" i="15" s="1"/>
  <c r="H48" i="15"/>
  <c r="K48" i="15" s="1" a="1"/>
  <c r="K48" i="15" s="1"/>
  <c r="K112" i="15" a="1"/>
  <c r="K112" i="15" s="1"/>
  <c r="C50" i="9" a="1"/>
  <c r="C50" i="9" s="1"/>
  <c r="BS30" i="40"/>
  <c r="D46" i="40"/>
  <c r="E46" i="40" s="1"/>
  <c r="B46" i="40" s="1" a="1"/>
  <c r="B46" i="40" s="1"/>
  <c r="I110" i="15" a="1"/>
  <c r="I110" i="15" s="1"/>
  <c r="K142" i="15" a="1"/>
  <c r="K142" i="15" s="1"/>
  <c r="D16" i="40"/>
  <c r="E16" i="40" s="1"/>
  <c r="K107" i="15" a="1"/>
  <c r="K107" i="15" s="1"/>
  <c r="K75" i="15" a="1"/>
  <c r="K75" i="15" s="1"/>
  <c r="G52" i="15"/>
  <c r="I52" i="15" a="1"/>
  <c r="I52" i="15" s="1"/>
  <c r="BO18" i="40"/>
  <c r="BL18" i="40" s="1" a="1"/>
  <c r="BL18" i="40" s="1"/>
  <c r="I101" i="15" a="1"/>
  <c r="I101" i="15" s="1"/>
  <c r="I50" i="15" a="1"/>
  <c r="I50" i="15" s="1"/>
  <c r="D31" i="40"/>
  <c r="E31" i="40" s="1"/>
  <c r="B31" i="40" s="1" a="1"/>
  <c r="B31" i="40" s="1"/>
  <c r="O39" i="40"/>
  <c r="BO79" i="40"/>
  <c r="BL79" i="40" s="1" a="1"/>
  <c r="BL79" i="40" s="1"/>
  <c r="K121" i="15" a="1"/>
  <c r="K121" i="15" s="1"/>
  <c r="K20" i="40"/>
  <c r="H20" i="40" s="1" a="1"/>
  <c r="H20" i="40" s="1"/>
  <c r="L116" i="1" a="1"/>
  <c r="L116" i="1" s="1"/>
  <c r="D27" i="40"/>
  <c r="E27" i="40" s="1"/>
  <c r="D54" i="40"/>
  <c r="E54" i="40" s="1"/>
  <c r="B54" i="40" s="1" a="1"/>
  <c r="B54" i="40" s="1"/>
  <c r="I83" i="15" a="1"/>
  <c r="I83" i="15" s="1"/>
  <c r="I106" i="15" a="1"/>
  <c r="I106" i="15" s="1"/>
  <c r="G252" i="2"/>
  <c r="F390" i="2" s="1" a="1"/>
  <c r="F390" i="2" s="1"/>
  <c r="G390" i="2" s="1"/>
  <c r="D14" i="40"/>
  <c r="E14" i="40" s="1"/>
  <c r="I66" i="15" a="1"/>
  <c r="I66" i="15" s="1"/>
  <c r="BN48" i="40"/>
  <c r="BO48" i="40" s="1"/>
  <c r="BL48" i="40" s="1" a="1"/>
  <c r="BL48" i="40" s="1"/>
  <c r="K172" i="15" a="1"/>
  <c r="K172" i="15" s="1"/>
  <c r="D80" i="40"/>
  <c r="E80" i="40" s="1"/>
  <c r="B80" i="40" s="1" a="1"/>
  <c r="B80" i="40" s="1"/>
  <c r="BO50" i="40"/>
  <c r="BL50" i="40" s="1" a="1"/>
  <c r="BL50" i="40" s="1"/>
  <c r="K100" i="15" a="1"/>
  <c r="K100" i="15" s="1"/>
  <c r="K148" i="15" a="1"/>
  <c r="K148" i="15" s="1"/>
  <c r="BO13" i="40"/>
  <c r="BL13" i="40" s="1" a="1"/>
  <c r="BL13" i="40" s="1"/>
  <c r="O36" i="40"/>
  <c r="BS13" i="40"/>
  <c r="G251" i="2"/>
  <c r="F375" i="2" s="1" a="1"/>
  <c r="F375" i="2" s="1"/>
  <c r="G375" i="2" s="1"/>
  <c r="K139" i="15" a="1"/>
  <c r="K139" i="15" s="1"/>
  <c r="O31" i="40"/>
  <c r="H31" i="40" a="1"/>
  <c r="H31" i="40" s="1"/>
  <c r="I114" i="15" a="1"/>
  <c r="I114" i="15" s="1"/>
  <c r="K156" i="15" a="1"/>
  <c r="K156" i="15" s="1"/>
  <c r="K64" i="15" a="1"/>
  <c r="K64" i="15" s="1"/>
  <c r="I137" i="15" a="1"/>
  <c r="I137" i="15" s="1"/>
  <c r="L5" i="1" a="1"/>
  <c r="L5" i="1" s="1"/>
  <c r="I156" i="15" a="1"/>
  <c r="I156" i="15" s="1"/>
  <c r="K109" i="15" a="1"/>
  <c r="K109" i="15" s="1"/>
  <c r="K185" i="15" a="1"/>
  <c r="K185" i="15" s="1"/>
  <c r="K130" i="15" a="1"/>
  <c r="K130" i="15" s="1"/>
  <c r="I183" i="15" a="1"/>
  <c r="I183" i="15" s="1"/>
  <c r="K106" i="15" a="1"/>
  <c r="K106" i="15" s="1"/>
  <c r="I194" i="15" a="1"/>
  <c r="I194" i="15" s="1"/>
  <c r="K174" i="15" a="1"/>
  <c r="K174" i="15" s="1"/>
  <c r="K147" i="15" a="1"/>
  <c r="K147" i="15" s="1"/>
  <c r="I107" i="15" a="1"/>
  <c r="I107" i="15" s="1"/>
  <c r="K116" i="15" a="1"/>
  <c r="K116" i="15" s="1"/>
  <c r="E53" i="40"/>
  <c r="B53" i="40" s="1" a="1"/>
  <c r="B53" i="40" s="1"/>
  <c r="BN82" i="40"/>
  <c r="D83" i="40"/>
  <c r="E83" i="40" s="1"/>
  <c r="B83" i="40" s="1" a="1"/>
  <c r="B83" i="40" s="1"/>
  <c r="H79" i="15"/>
  <c r="K79" i="15" s="1" a="1"/>
  <c r="K79" i="15" s="1"/>
  <c r="I79" i="15" a="1"/>
  <c r="I79" i="15" s="1"/>
  <c r="D18" i="40"/>
  <c r="E18" i="40" s="1"/>
  <c r="B18" i="40" s="1" a="1"/>
  <c r="B18" i="40" s="1"/>
  <c r="BO26" i="40"/>
  <c r="BL26" i="40" s="1" a="1"/>
  <c r="BL26" i="40" s="1"/>
  <c r="K140" i="15" a="1"/>
  <c r="K140" i="15" s="1"/>
  <c r="K196" i="15" a="1"/>
  <c r="K196" i="15" s="1"/>
  <c r="I155" i="15" a="1"/>
  <c r="I155" i="15" s="1"/>
  <c r="K125" i="15" a="1"/>
  <c r="K125" i="15" s="1"/>
  <c r="BN41" i="40"/>
  <c r="BS41" i="40" s="1"/>
  <c r="D42" i="40"/>
  <c r="E42" i="40" s="1"/>
  <c r="B42" i="40" s="1" a="1"/>
  <c r="B42" i="40" s="1"/>
  <c r="H47" i="15"/>
  <c r="K47" i="15" s="1" a="1"/>
  <c r="K47" i="15" s="1"/>
  <c r="I47" i="15" a="1"/>
  <c r="I47" i="15" s="1"/>
  <c r="G76" i="15"/>
  <c r="I76" i="15" a="1"/>
  <c r="I76" i="15" s="1"/>
  <c r="K76" i="15" a="1"/>
  <c r="K76" i="15" s="1"/>
  <c r="H80" i="15"/>
  <c r="K80" i="15" s="1" a="1"/>
  <c r="K80" i="15" s="1"/>
  <c r="I80" i="15" a="1"/>
  <c r="I80" i="15" s="1"/>
  <c r="I158" i="15" a="1"/>
  <c r="I158" i="15" s="1"/>
  <c r="BN65" i="40"/>
  <c r="D66" i="40"/>
  <c r="G73" i="15"/>
  <c r="I73" i="15" a="1"/>
  <c r="I73" i="15" s="1"/>
  <c r="K73" i="15" a="1"/>
  <c r="K73" i="15" s="1"/>
  <c r="G77" i="15"/>
  <c r="I77" i="15" a="1"/>
  <c r="I77" i="15" s="1"/>
  <c r="H81" i="15"/>
  <c r="K81" i="15" s="1" a="1"/>
  <c r="K81" i="15" s="1"/>
  <c r="I81" i="15" a="1"/>
  <c r="I81" i="15" s="1"/>
  <c r="BN14" i="40"/>
  <c r="BS14" i="40" s="1"/>
  <c r="D15" i="40"/>
  <c r="BL24" i="40" a="1"/>
  <c r="BL24" i="40" s="1"/>
  <c r="G278" i="2"/>
  <c r="F780" i="2" s="1" a="1"/>
  <c r="F780" i="2" s="1"/>
  <c r="G780" i="2" s="1"/>
  <c r="I197" i="15" a="1"/>
  <c r="I197" i="15" s="1"/>
  <c r="I169" i="15" a="1"/>
  <c r="I169" i="15" s="1"/>
  <c r="G74" i="15"/>
  <c r="I74" i="15" a="1"/>
  <c r="I74" i="15" s="1"/>
  <c r="K74" i="15" a="1"/>
  <c r="K74" i="15" s="1"/>
  <c r="BN25" i="40"/>
  <c r="D26" i="40"/>
  <c r="O24" i="40"/>
  <c r="H72" i="15"/>
  <c r="K72" i="15" s="1" a="1"/>
  <c r="K72" i="15" s="1"/>
  <c r="I72" i="15" a="1"/>
  <c r="I72" i="15" s="1"/>
  <c r="I112" i="15" a="1"/>
  <c r="I112" i="15" s="1"/>
  <c r="I94" i="15" a="1"/>
  <c r="I94" i="15" s="1"/>
  <c r="K101" i="15" a="1"/>
  <c r="K101" i="15" s="1"/>
  <c r="K166" i="15" a="1"/>
  <c r="K166" i="15" s="1"/>
  <c r="I116" i="15" a="1"/>
  <c r="I116" i="15" s="1"/>
  <c r="G71" i="15"/>
  <c r="K71" i="15" a="1"/>
  <c r="K71" i="15" s="1"/>
  <c r="I71" i="15" a="1"/>
  <c r="I71" i="15" s="1"/>
  <c r="BS17" i="40"/>
  <c r="I145" i="15" a="1"/>
  <c r="I145" i="15" s="1"/>
  <c r="I166" i="15" a="1"/>
  <c r="I166" i="15" s="1"/>
  <c r="I174" i="15" a="1"/>
  <c r="I174" i="15" s="1"/>
  <c r="K83" i="15" a="1"/>
  <c r="K83" i="15" s="1"/>
  <c r="BN44" i="40"/>
  <c r="D45" i="40"/>
  <c r="E45" i="40" s="1"/>
  <c r="B45" i="40" s="1" a="1"/>
  <c r="B45" i="40" s="1"/>
  <c r="D51" i="40"/>
  <c r="E51" i="40" s="1"/>
  <c r="B51" i="40" s="1" a="1"/>
  <c r="B51" i="40" s="1"/>
  <c r="BN52" i="40"/>
  <c r="I119" i="15" a="1"/>
  <c r="I119" i="15" s="1"/>
  <c r="G75" i="15"/>
  <c r="I75" i="15" a="1"/>
  <c r="I75" i="15" s="1"/>
  <c r="G105" i="15"/>
  <c r="K105" i="15" a="1"/>
  <c r="K105" i="15" s="1"/>
  <c r="K149" i="15" a="1"/>
  <c r="K149" i="15" s="1"/>
  <c r="I115" i="15" a="1"/>
  <c r="I115" i="15" s="1"/>
  <c r="B28" i="40" a="1"/>
  <c r="B28" i="40" s="1"/>
  <c r="L135" i="1" a="1"/>
  <c r="L135" i="1" s="1"/>
  <c r="BS29" i="40"/>
  <c r="D78" i="40"/>
  <c r="E78" i="40" s="1"/>
  <c r="B78" i="40" s="1" a="1"/>
  <c r="B78" i="40" s="1"/>
  <c r="BN28" i="40"/>
  <c r="D29" i="40"/>
  <c r="G276" i="2"/>
  <c r="F750" i="2" s="1" a="1"/>
  <c r="F750" i="2" s="1"/>
  <c r="G750" i="2" s="1"/>
  <c r="D56" i="40"/>
  <c r="BN10" i="40"/>
  <c r="BS10" i="40" s="1"/>
  <c r="O29" i="40"/>
  <c r="D25" i="40"/>
  <c r="I100" i="15" a="1"/>
  <c r="I100" i="15" s="1"/>
  <c r="K77" i="15" a="1"/>
  <c r="K77" i="15" s="1"/>
  <c r="K197" i="15" a="1"/>
  <c r="K197" i="15" s="1"/>
  <c r="K153" i="15" a="1"/>
  <c r="K153" i="15" s="1"/>
  <c r="K115" i="15" a="1"/>
  <c r="K115" i="15" s="1"/>
  <c r="I129" i="15" a="1"/>
  <c r="I129" i="15" s="1"/>
  <c r="I148" i="15" a="1"/>
  <c r="I148" i="15" s="1"/>
  <c r="K194" i="15" a="1"/>
  <c r="K194" i="15" s="1"/>
  <c r="I147" i="15" a="1"/>
  <c r="I147" i="15" s="1"/>
  <c r="I171" i="15" a="1"/>
  <c r="I171" i="15" s="1"/>
  <c r="H144" i="15"/>
  <c r="K144" i="15" s="1" a="1"/>
  <c r="K144" i="15" s="1"/>
  <c r="I90" i="15" a="1"/>
  <c r="I90" i="15" s="1"/>
  <c r="G151" i="15"/>
  <c r="K151" i="15" a="1"/>
  <c r="K151" i="15" s="1"/>
  <c r="I151" i="15" a="1"/>
  <c r="I151" i="15" s="1"/>
  <c r="G179" i="15"/>
  <c r="K179" i="15" a="1"/>
  <c r="K179" i="15" s="1"/>
  <c r="I179" i="15" a="1"/>
  <c r="I179" i="15" s="1"/>
  <c r="I170" i="15" a="1"/>
  <c r="I170" i="15" s="1"/>
  <c r="G123" i="15"/>
  <c r="I123" i="15" a="1"/>
  <c r="I123" i="15" s="1"/>
  <c r="G55" i="15"/>
  <c r="K55" i="15" a="1"/>
  <c r="K55" i="15" s="1"/>
  <c r="I55" i="15" a="1"/>
  <c r="I55" i="15" s="1"/>
  <c r="G124" i="15"/>
  <c r="K124" i="15" a="1"/>
  <c r="K124" i="15" s="1"/>
  <c r="I124" i="15" a="1"/>
  <c r="I124" i="15" s="1"/>
  <c r="G152" i="15"/>
  <c r="K152" i="15" a="1"/>
  <c r="K152" i="15" s="1"/>
  <c r="I152" i="15" a="1"/>
  <c r="I152" i="15" s="1"/>
  <c r="I144" i="15" a="1"/>
  <c r="I144" i="15" s="1"/>
  <c r="K123" i="15" a="1"/>
  <c r="K123" i="15" s="1"/>
  <c r="G56" i="15"/>
  <c r="K56" i="15" a="1"/>
  <c r="K56" i="15" s="1"/>
  <c r="I56" i="15" a="1"/>
  <c r="I56" i="15" s="1"/>
  <c r="G141" i="15"/>
  <c r="I141" i="15" a="1"/>
  <c r="I141" i="15" s="1"/>
  <c r="H173" i="15"/>
  <c r="K173" i="15" s="1" a="1"/>
  <c r="K173" i="15" s="1"/>
  <c r="I173" i="15" a="1"/>
  <c r="I173" i="15" s="1"/>
  <c r="K184" i="15" a="1"/>
  <c r="K184" i="15" s="1"/>
  <c r="I142" i="15" a="1"/>
  <c r="I142" i="15" s="1"/>
  <c r="K136" i="15" a="1"/>
  <c r="K136" i="15" s="1"/>
  <c r="H82" i="15"/>
  <c r="K82" i="15" s="1" a="1"/>
  <c r="K82" i="15" s="1"/>
  <c r="I82" i="15" a="1"/>
  <c r="I82" i="15" s="1"/>
  <c r="I91" i="15" a="1"/>
  <c r="I91" i="15" s="1"/>
  <c r="I184" i="15" a="1"/>
  <c r="I184" i="15" s="1"/>
  <c r="I177" i="15" a="1"/>
  <c r="I177" i="15" s="1"/>
  <c r="K158" i="15" a="1"/>
  <c r="K158" i="15" s="1"/>
  <c r="H111" i="15"/>
  <c r="K111" i="15" s="1" a="1"/>
  <c r="K111" i="15" s="1"/>
  <c r="K180" i="15" a="1"/>
  <c r="K180" i="15" s="1"/>
  <c r="G57" i="15"/>
  <c r="I57" i="15" a="1"/>
  <c r="I57" i="15" s="1"/>
  <c r="K57" i="15" a="1"/>
  <c r="K57" i="15" s="1"/>
  <c r="H143" i="15"/>
  <c r="K143" i="15" s="1" a="1"/>
  <c r="K143" i="15" s="1"/>
  <c r="I143" i="15" a="1"/>
  <c r="I143" i="15" s="1"/>
  <c r="K90" i="15" a="1"/>
  <c r="K90" i="15" s="1"/>
  <c r="K91" i="15" a="1"/>
  <c r="K91" i="15" s="1"/>
  <c r="G58" i="15"/>
  <c r="I58" i="15" a="1"/>
  <c r="I58" i="15" s="1"/>
  <c r="K58" i="15" a="1"/>
  <c r="K58" i="15" s="1"/>
  <c r="I125" i="15" a="1"/>
  <c r="I125" i="15" s="1"/>
  <c r="K192" i="15" a="1"/>
  <c r="K192" i="15" s="1"/>
  <c r="I172" i="15" a="1"/>
  <c r="I172" i="15" s="1"/>
  <c r="I136" i="15" a="1"/>
  <c r="I136" i="15" s="1"/>
  <c r="G122" i="15"/>
  <c r="I122" i="15" a="1"/>
  <c r="I122" i="15" s="1"/>
  <c r="K122" i="15" a="1"/>
  <c r="K122" i="15" s="1"/>
  <c r="K178" i="15" a="1"/>
  <c r="K178" i="15" s="1"/>
  <c r="I192" i="15" a="1"/>
  <c r="I192" i="15" s="1"/>
  <c r="I178" i="15" a="1"/>
  <c r="I178" i="15" s="1"/>
  <c r="I130" i="15" a="1"/>
  <c r="I130" i="15" s="1"/>
  <c r="I64" i="15" a="1"/>
  <c r="I64" i="15" s="1"/>
  <c r="G59" i="15"/>
  <c r="I59" i="15" a="1"/>
  <c r="I59" i="15" s="1"/>
  <c r="G139" i="15"/>
  <c r="I139" i="15" a="1"/>
  <c r="I139" i="15" s="1"/>
  <c r="I153" i="15" a="1"/>
  <c r="I153" i="15" s="1"/>
  <c r="K141" i="15" a="1"/>
  <c r="K141" i="15" s="1"/>
  <c r="G149" i="15"/>
  <c r="I149" i="15" a="1"/>
  <c r="I149" i="15" s="1"/>
  <c r="F420" i="2" a="1"/>
  <c r="F420" i="2" s="1"/>
  <c r="G420" i="2" s="1"/>
  <c r="H254" i="2"/>
  <c r="F421" i="2" s="1" a="1"/>
  <c r="F421" i="2" s="1"/>
  <c r="G421" i="2" s="1"/>
  <c r="G132" i="15"/>
  <c r="I132" i="15" a="1"/>
  <c r="I132" i="15" s="1"/>
  <c r="G60" i="15"/>
  <c r="K60" i="15" a="1"/>
  <c r="K60" i="15" s="1"/>
  <c r="I60" i="15" a="1"/>
  <c r="I60" i="15" s="1"/>
  <c r="G69" i="15"/>
  <c r="K69" i="15" a="1"/>
  <c r="K69" i="15" s="1"/>
  <c r="I69" i="15" a="1"/>
  <c r="I69" i="15" s="1"/>
  <c r="G180" i="15"/>
  <c r="I180" i="15" a="1"/>
  <c r="I180" i="15" s="1"/>
  <c r="G108" i="15"/>
  <c r="I108" i="15" a="1"/>
  <c r="I108" i="15" s="1"/>
  <c r="K108" i="15" a="1"/>
  <c r="K108" i="15" s="1"/>
  <c r="G167" i="15"/>
  <c r="I167" i="15" a="1"/>
  <c r="I167" i="15" s="1"/>
  <c r="K167" i="15" a="1"/>
  <c r="K167" i="15" s="1"/>
  <c r="I78" i="15" a="1"/>
  <c r="I78" i="15" s="1"/>
  <c r="H78" i="15"/>
  <c r="K78" i="15" s="1" a="1"/>
  <c r="K78" i="15" s="1"/>
  <c r="G88" i="15"/>
  <c r="I88" i="15" a="1"/>
  <c r="I88" i="15" s="1"/>
  <c r="K88" i="15" a="1"/>
  <c r="K88" i="15" s="1"/>
  <c r="G157" i="15"/>
  <c r="I157" i="15" a="1"/>
  <c r="I157" i="15" s="1"/>
  <c r="K157" i="15" a="1"/>
  <c r="K157" i="15" s="1"/>
  <c r="G36" i="9" a="1"/>
  <c r="G36" i="9" s="1"/>
  <c r="H103" i="15"/>
  <c r="K103" i="15" s="1" a="1"/>
  <c r="K103" i="15" s="1"/>
  <c r="I103" i="15" a="1"/>
  <c r="I103" i="15" s="1"/>
  <c r="G185" i="15"/>
  <c r="I185" i="15" a="1"/>
  <c r="I185" i="15" s="1"/>
  <c r="H186" i="15"/>
  <c r="K186" i="15" s="1" a="1"/>
  <c r="K186" i="15" s="1"/>
  <c r="I186" i="15" a="1"/>
  <c r="I186" i="15" s="1"/>
  <c r="G89" i="15"/>
  <c r="I89" i="15" a="1"/>
  <c r="I89" i="15" s="1"/>
  <c r="K89" i="15" a="1"/>
  <c r="K89" i="15" s="1"/>
  <c r="G138" i="15"/>
  <c r="I138" i="15" a="1"/>
  <c r="I138" i="15" s="1"/>
  <c r="K138" i="15" a="1"/>
  <c r="K138" i="15" s="1"/>
  <c r="G120" i="15"/>
  <c r="I120" i="15" a="1"/>
  <c r="I120" i="15" s="1"/>
  <c r="G84" i="15"/>
  <c r="K84" i="15" a="1"/>
  <c r="K84" i="15" s="1"/>
  <c r="G181" i="15"/>
  <c r="K181" i="15" a="1"/>
  <c r="K181" i="15" s="1"/>
  <c r="I181" i="15" a="1"/>
  <c r="I181" i="15" s="1"/>
  <c r="I131" i="15" a="1"/>
  <c r="I131" i="15" s="1"/>
  <c r="H104" i="15"/>
  <c r="K104" i="15" s="1" a="1"/>
  <c r="K104" i="15" s="1"/>
  <c r="I104" i="15" a="1"/>
  <c r="I104" i="15" s="1"/>
  <c r="I84" i="15" a="1"/>
  <c r="I84" i="15" s="1"/>
  <c r="G273" i="2"/>
  <c r="F705" i="2" s="1" a="1"/>
  <c r="F705" i="2" s="1"/>
  <c r="G705" i="2" s="1"/>
  <c r="K132" i="15" a="1"/>
  <c r="K132" i="15" s="1"/>
  <c r="H160" i="15"/>
  <c r="K160" i="15" s="1" a="1"/>
  <c r="K160" i="15" s="1"/>
  <c r="H187" i="15"/>
  <c r="K187" i="15" s="1" a="1"/>
  <c r="K187" i="15" s="1"/>
  <c r="I187" i="15" a="1"/>
  <c r="I187" i="15" s="1"/>
  <c r="G268" i="2"/>
  <c r="F630" i="2" s="1" a="1"/>
  <c r="F630" i="2" s="1"/>
  <c r="G630" i="2" s="1"/>
  <c r="K133" i="15" a="1"/>
  <c r="K133" i="15" s="1"/>
  <c r="K120" i="15" a="1"/>
  <c r="K120" i="15" s="1"/>
  <c r="BN16" i="40"/>
  <c r="D17" i="40"/>
  <c r="BN31" i="40"/>
  <c r="BS31" i="40" s="1"/>
  <c r="D32" i="40"/>
  <c r="H154" i="15"/>
  <c r="K154" i="15" s="1" a="1"/>
  <c r="K154" i="15" s="1"/>
  <c r="I154" i="15" a="1"/>
  <c r="I154" i="15" s="1"/>
  <c r="BN78" i="40"/>
  <c r="D79" i="40"/>
  <c r="I133" i="15" a="1"/>
  <c r="I133" i="15" s="1"/>
  <c r="H28" i="40" a="1"/>
  <c r="H28" i="40" s="1"/>
  <c r="G164" i="15"/>
  <c r="I164" i="15" a="1"/>
  <c r="I164" i="15" s="1"/>
  <c r="G85" i="15"/>
  <c r="K85" i="15" a="1"/>
  <c r="K85" i="15" s="1"/>
  <c r="I85" i="15" a="1"/>
  <c r="I85" i="15" s="1"/>
  <c r="K170" i="15" a="1"/>
  <c r="K170" i="15" s="1"/>
  <c r="G275" i="2"/>
  <c r="F735" i="2" s="1" a="1"/>
  <c r="F735" i="2" s="1"/>
  <c r="G735" i="2" s="1"/>
  <c r="G269" i="2"/>
  <c r="F645" i="2" s="1" a="1"/>
  <c r="F645" i="2" s="1"/>
  <c r="G645" i="2" s="1"/>
  <c r="G87" i="15"/>
  <c r="K87" i="15" a="1"/>
  <c r="K87" i="15" s="1"/>
  <c r="I87" i="15" a="1"/>
  <c r="I87" i="15" s="1"/>
  <c r="H263" i="2"/>
  <c r="F556" i="2" s="1" a="1"/>
  <c r="F556" i="2" s="1"/>
  <c r="G556" i="2" s="1"/>
  <c r="G165" i="15"/>
  <c r="I165" i="15" a="1"/>
  <c r="I165" i="15" s="1"/>
  <c r="H182" i="15"/>
  <c r="K182" i="15" s="1" a="1"/>
  <c r="K182" i="15" s="1"/>
  <c r="K183" i="15" a="1"/>
  <c r="K183" i="15" s="1"/>
  <c r="C134" i="14"/>
  <c r="B134" i="14" s="1"/>
  <c r="C109" i="14"/>
  <c r="B109" i="14" s="1"/>
  <c r="BS18" i="40"/>
  <c r="K40" i="40"/>
  <c r="H40" i="40" s="1" a="1"/>
  <c r="H40" i="40" s="1"/>
  <c r="K26" i="40"/>
  <c r="H26" i="40" s="1" a="1"/>
  <c r="H26" i="40" s="1"/>
  <c r="K47" i="40"/>
  <c r="H47" i="40" s="1" a="1"/>
  <c r="H47" i="40" s="1"/>
  <c r="BO54" i="40"/>
  <c r="BL54" i="40" s="1" a="1"/>
  <c r="BL54" i="40" s="1"/>
  <c r="K49" i="40"/>
  <c r="H49" i="40" s="1" a="1"/>
  <c r="H49" i="40" s="1"/>
  <c r="B19" i="40" a="1"/>
  <c r="B19" i="40" s="1"/>
  <c r="D55" i="40"/>
  <c r="E77" i="40"/>
  <c r="B77" i="40" s="1" a="1"/>
  <c r="B77" i="40" s="1"/>
  <c r="BS45" i="40"/>
  <c r="BN66" i="40"/>
  <c r="D67" i="40"/>
  <c r="P119" i="14" a="1"/>
  <c r="P119" i="14" s="1"/>
  <c r="F524" i="2" a="1"/>
  <c r="F524" i="2" s="1"/>
  <c r="G524" i="2" s="1"/>
  <c r="H260" i="2"/>
  <c r="I260" i="2" s="1"/>
  <c r="F512" i="2" s="1" a="1"/>
  <c r="F512" i="2" s="1"/>
  <c r="G512" i="2" s="1"/>
  <c r="BL45" i="40" a="1"/>
  <c r="BL45" i="40" s="1"/>
  <c r="E41" i="40"/>
  <c r="B41" i="40" s="1" a="1"/>
  <c r="B41" i="40" s="1"/>
  <c r="G267" i="2"/>
  <c r="F329" i="2" a="1"/>
  <c r="F329" i="2" s="1"/>
  <c r="G329" i="2" s="1"/>
  <c r="G50" i="9" a="1"/>
  <c r="G50" i="9" s="1"/>
  <c r="BN68" i="40"/>
  <c r="D69" i="40"/>
  <c r="E69" i="40" s="1"/>
  <c r="B69" i="40" s="1" a="1"/>
  <c r="B69" i="40" s="1"/>
  <c r="H257" i="2"/>
  <c r="BN69" i="40"/>
  <c r="D70" i="40"/>
  <c r="J46" i="40"/>
  <c r="J52" i="40" s="1"/>
  <c r="P126" i="14" a="1"/>
  <c r="P126" i="14" s="1"/>
  <c r="G255" i="2"/>
  <c r="H255" i="2" s="1"/>
  <c r="F436" i="2" s="1" a="1"/>
  <c r="F436" i="2" s="1"/>
  <c r="G436" i="2" s="1"/>
  <c r="G261" i="2"/>
  <c r="J10" i="40"/>
  <c r="BN63" i="40"/>
  <c r="D64" i="40"/>
  <c r="F614" i="2" a="1"/>
  <c r="F614" i="2" s="1"/>
  <c r="G614" i="2" s="1"/>
  <c r="F359" i="2" a="1"/>
  <c r="F359" i="2" s="1"/>
  <c r="G359" i="2" s="1"/>
  <c r="E71" i="40"/>
  <c r="B71" i="40" s="1" a="1"/>
  <c r="B71" i="40" s="1"/>
  <c r="F449" i="2" a="1"/>
  <c r="F449" i="2" s="1"/>
  <c r="G449" i="2" s="1"/>
  <c r="L171" i="1" a="1"/>
  <c r="L171" i="1" s="1"/>
  <c r="AF27" i="20" a="1"/>
  <c r="D12" i="40"/>
  <c r="C36" i="9" a="1"/>
  <c r="C36" i="9" s="1"/>
  <c r="L56" i="1" a="1"/>
  <c r="L56" i="1" s="1"/>
  <c r="F719" i="2" a="1"/>
  <c r="F719" i="2" s="1"/>
  <c r="G719" i="2" s="1"/>
  <c r="O12" i="40"/>
  <c r="E36" i="9" a="1"/>
  <c r="E36" i="9" s="1"/>
  <c r="BN67" i="40"/>
  <c r="D68" i="40"/>
  <c r="E68" i="40" s="1"/>
  <c r="B68" i="40" s="1" a="1"/>
  <c r="B68" i="40" s="1"/>
  <c r="G274" i="2"/>
  <c r="AZ19" i="30"/>
  <c r="F539" i="2" a="1"/>
  <c r="F539" i="2" s="1"/>
  <c r="G539" i="2" s="1"/>
  <c r="F419" i="2" a="1"/>
  <c r="F419" i="2" s="1"/>
  <c r="G419" i="2" s="1"/>
  <c r="H259" i="2"/>
  <c r="F496" i="2" s="1" a="1"/>
  <c r="F496" i="2" s="1"/>
  <c r="G496" i="2" s="1"/>
  <c r="F314" i="2" a="1"/>
  <c r="F314" i="2" s="1"/>
  <c r="G314" i="2" s="1"/>
  <c r="F675" i="2" a="1"/>
  <c r="F675" i="2" s="1"/>
  <c r="G675" i="2" s="1"/>
  <c r="F299" i="2" a="1"/>
  <c r="F299" i="2" s="1"/>
  <c r="G299" i="2" s="1"/>
  <c r="L185" i="1" a="1"/>
  <c r="L185" i="1" s="1"/>
  <c r="BO81" i="40"/>
  <c r="BL81" i="40" s="1" a="1"/>
  <c r="BL81" i="40" s="1"/>
  <c r="P101" i="14" a="1"/>
  <c r="P101" i="14" s="1"/>
  <c r="Q101" i="14" s="1"/>
  <c r="H271" i="2"/>
  <c r="I50" i="9" a="1"/>
  <c r="I50" i="9" s="1"/>
  <c r="P107" i="14" a="1"/>
  <c r="P107" i="14" s="1"/>
  <c r="G264" i="2"/>
  <c r="H264" i="2" s="1"/>
  <c r="F571" i="2" s="1" a="1"/>
  <c r="F571" i="2" s="1"/>
  <c r="G571" i="2" s="1"/>
  <c r="L149" i="1" a="1"/>
  <c r="L149" i="1" s="1"/>
  <c r="F464" i="2" a="1"/>
  <c r="F464" i="2" s="1"/>
  <c r="G464" i="2" s="1"/>
  <c r="G256" i="2"/>
  <c r="F450" i="2" s="1" a="1"/>
  <c r="F450" i="2" s="1"/>
  <c r="G450" i="2" s="1"/>
  <c r="F584" i="2" a="1"/>
  <c r="F584" i="2" s="1"/>
  <c r="G584" i="2" s="1"/>
  <c r="F494" i="2" a="1"/>
  <c r="F494" i="2" s="1"/>
  <c r="G494" i="2" s="1"/>
  <c r="H248" i="2"/>
  <c r="I248" i="2" s="1"/>
  <c r="F332" i="2" s="1" a="1"/>
  <c r="F332" i="2" s="1"/>
  <c r="G332" i="2" s="1"/>
  <c r="F764" i="2" a="1"/>
  <c r="F764" i="2" s="1"/>
  <c r="G764" i="2" s="1"/>
  <c r="H265" i="2"/>
  <c r="P5" i="14" a="1"/>
  <c r="P5" i="14" s="1"/>
  <c r="E50" i="9" a="1"/>
  <c r="E50" i="9" s="1"/>
  <c r="H277" i="2"/>
  <c r="G246" i="2"/>
  <c r="H246" i="2" s="1"/>
  <c r="F301" i="2" s="1" a="1"/>
  <c r="F301" i="2" s="1"/>
  <c r="G301" i="2" s="1"/>
  <c r="F554" i="2" a="1"/>
  <c r="F554" i="2" s="1"/>
  <c r="G554" i="2" s="1"/>
  <c r="F479" i="2" a="1"/>
  <c r="F479" i="2" s="1"/>
  <c r="G479" i="2" s="1"/>
  <c r="H258" i="2"/>
  <c r="L83" i="1" a="1"/>
  <c r="L83" i="1" s="1"/>
  <c r="K181" i="2" s="1" a="1"/>
  <c r="K181" i="2" s="1"/>
  <c r="G262" i="2"/>
  <c r="H262" i="2" s="1"/>
  <c r="F541" i="2" s="1" a="1"/>
  <c r="F541" i="2" s="1"/>
  <c r="G541" i="2" s="1"/>
  <c r="G247" i="2"/>
  <c r="G272" i="2"/>
  <c r="G250" i="2"/>
  <c r="F509" i="2" a="1"/>
  <c r="F509" i="2" s="1"/>
  <c r="G509" i="2" s="1"/>
  <c r="G270" i="2"/>
  <c r="D16" i="1"/>
  <c r="D17" i="1"/>
  <c r="D15" i="1"/>
  <c r="D20" i="1"/>
  <c r="D19" i="1"/>
  <c r="D18" i="1"/>
  <c r="AK46" i="20"/>
  <c r="AO46" i="20" s="1" a="1"/>
  <c r="AO46" i="20" s="1"/>
  <c r="AK82" i="20"/>
  <c r="AO82" i="20" s="1" a="1"/>
  <c r="AO82" i="20" s="1"/>
  <c r="AK83" i="20"/>
  <c r="AO83" i="20" s="1" a="1"/>
  <c r="AO83" i="20" s="1"/>
  <c r="AK87" i="20"/>
  <c r="AN87" i="20" s="1" a="1"/>
  <c r="AN87" i="20" s="1"/>
  <c r="AK53" i="20"/>
  <c r="AO53" i="20" s="1" a="1"/>
  <c r="AO53" i="20" s="1"/>
  <c r="AK100" i="20"/>
  <c r="AN100" i="20" s="1" a="1"/>
  <c r="AN100" i="20" s="1"/>
  <c r="AK97" i="20"/>
  <c r="AN97" i="20" s="1" a="1"/>
  <c r="AN97" i="20" s="1"/>
  <c r="AK55" i="20"/>
  <c r="AO55" i="20" s="1" a="1"/>
  <c r="AO55" i="20" s="1"/>
  <c r="AK71" i="20"/>
  <c r="AN71" i="20" s="1" a="1"/>
  <c r="AN71" i="20" s="1"/>
  <c r="AK86" i="20"/>
  <c r="AN86" i="20" s="1" a="1"/>
  <c r="AN86" i="20" s="1"/>
  <c r="AK68" i="20"/>
  <c r="AN68" i="20" s="1" a="1"/>
  <c r="AN68" i="20" s="1"/>
  <c r="AK78" i="20"/>
  <c r="AN78" i="20" s="1" a="1"/>
  <c r="AN78" i="20" s="1"/>
  <c r="AK77" i="20"/>
  <c r="AO77" i="20" s="1" a="1"/>
  <c r="AO77" i="20" s="1"/>
  <c r="AK91" i="20"/>
  <c r="AO91" i="20" s="1" a="1"/>
  <c r="AO91" i="20" s="1"/>
  <c r="AK49" i="20"/>
  <c r="AO49" i="20" s="1" a="1"/>
  <c r="AO49" i="20" s="1"/>
  <c r="AK84" i="20"/>
  <c r="AN84" i="20" s="1" a="1"/>
  <c r="AN84" i="20" s="1"/>
  <c r="AK75" i="20"/>
  <c r="AN75" i="20" s="1" a="1"/>
  <c r="AN75" i="20" s="1"/>
  <c r="AK81" i="20"/>
  <c r="AO81" i="20" s="1" a="1"/>
  <c r="AO81" i="20" s="1"/>
  <c r="AK104" i="20"/>
  <c r="AN104" i="20" s="1" a="1"/>
  <c r="AN104" i="20" s="1"/>
  <c r="AK69" i="20"/>
  <c r="AO69" i="20" s="1" a="1"/>
  <c r="AO69" i="20" s="1"/>
  <c r="AK99" i="20"/>
  <c r="AO99" i="20" s="1" a="1"/>
  <c r="AO99" i="20" s="1"/>
  <c r="AK58" i="20"/>
  <c r="AN58" i="20" s="1" a="1"/>
  <c r="AN58" i="20" s="1"/>
  <c r="AK107" i="20"/>
  <c r="AO107" i="20" s="1" a="1"/>
  <c r="AO107" i="20" s="1"/>
  <c r="AK95" i="20"/>
  <c r="AO95" i="20" s="1" a="1"/>
  <c r="AO95" i="20" s="1"/>
  <c r="AK42" i="20"/>
  <c r="AN42" i="20" s="1" a="1"/>
  <c r="AN42" i="20" s="1"/>
  <c r="AK88" i="20"/>
  <c r="AO88" i="20" s="1" a="1"/>
  <c r="AO88" i="20" s="1"/>
  <c r="AK54" i="20"/>
  <c r="AN54" i="20" s="1" a="1"/>
  <c r="AN54" i="20" s="1"/>
  <c r="AK85" i="20"/>
  <c r="AO85" i="20" s="1" a="1"/>
  <c r="AO85" i="20" s="1"/>
  <c r="AK70" i="20"/>
  <c r="AN70" i="20" s="1" a="1"/>
  <c r="AN70" i="20" s="1"/>
  <c r="AK52" i="20"/>
  <c r="AO52" i="20" s="1" a="1"/>
  <c r="AO52" i="20" s="1"/>
  <c r="AK96" i="20"/>
  <c r="AO96" i="20" s="1" a="1"/>
  <c r="AO96" i="20" s="1"/>
  <c r="AK90" i="20"/>
  <c r="AN90" i="20" s="1" a="1"/>
  <c r="AN90" i="20" s="1"/>
  <c r="AK56" i="20"/>
  <c r="AO56" i="20" s="1" a="1"/>
  <c r="AO56" i="20" s="1"/>
  <c r="AK62" i="20"/>
  <c r="AO62" i="20" s="1" a="1"/>
  <c r="AO62" i="20" s="1"/>
  <c r="AK47" i="20"/>
  <c r="AN47" i="20" s="1" a="1"/>
  <c r="AN47" i="20" s="1"/>
  <c r="AK93" i="20"/>
  <c r="AN93" i="20" s="1" a="1"/>
  <c r="AN93" i="20" s="1"/>
  <c r="AK102" i="20"/>
  <c r="AO102" i="20" s="1" a="1"/>
  <c r="AO102" i="20" s="1"/>
  <c r="AK72" i="20"/>
  <c r="AO72" i="20" s="1" a="1"/>
  <c r="AO72" i="20" s="1"/>
  <c r="AK76" i="20"/>
  <c r="AN76" i="20" s="1" a="1"/>
  <c r="AN76" i="20" s="1"/>
  <c r="AK44" i="20"/>
  <c r="AO44" i="20" s="1" a="1"/>
  <c r="AO44" i="20" s="1"/>
  <c r="AK67" i="20"/>
  <c r="AN67" i="20" s="1" a="1"/>
  <c r="AN67" i="20" s="1"/>
  <c r="AK61" i="20"/>
  <c r="AN61" i="20" s="1" a="1"/>
  <c r="AN61" i="20" s="1"/>
  <c r="AK105" i="20"/>
  <c r="AO105" i="20" s="1" a="1"/>
  <c r="AO105" i="20" s="1"/>
  <c r="AK45" i="20"/>
  <c r="AN45" i="20" s="1" a="1"/>
  <c r="AN45" i="20" s="1"/>
  <c r="AK50" i="20"/>
  <c r="AN50" i="20" s="1" a="1"/>
  <c r="AN50" i="20" s="1"/>
  <c r="AK60" i="20"/>
  <c r="AO60" i="20" s="1" a="1"/>
  <c r="AO60" i="20" s="1"/>
  <c r="AK65" i="20"/>
  <c r="AN65" i="20" s="1" a="1"/>
  <c r="AN65" i="20" s="1"/>
  <c r="AK51" i="20"/>
  <c r="AN51" i="20" s="1" a="1"/>
  <c r="AN51" i="20" s="1"/>
  <c r="AK73" i="20"/>
  <c r="AN73" i="20" s="1" a="1"/>
  <c r="AN73" i="20" s="1"/>
  <c r="AK80" i="20"/>
  <c r="AO80" i="20" s="1" a="1"/>
  <c r="AO80" i="20" s="1"/>
  <c r="AK57" i="20"/>
  <c r="AO57" i="20" s="1" a="1"/>
  <c r="AO57" i="20" s="1"/>
  <c r="AK79" i="20"/>
  <c r="AN79" i="20" s="1" a="1"/>
  <c r="AN79" i="20" s="1"/>
  <c r="AK59" i="20"/>
  <c r="AO59" i="20" s="1" a="1"/>
  <c r="AO59" i="20" s="1"/>
  <c r="AK64" i="20"/>
  <c r="AO64" i="20" s="1" a="1"/>
  <c r="AO64" i="20" s="1"/>
  <c r="AK106" i="20"/>
  <c r="AO106" i="20" s="1" a="1"/>
  <c r="AO106" i="20" s="1"/>
  <c r="BO56" i="40"/>
  <c r="BL56" i="40" s="1" a="1"/>
  <c r="BL56" i="40" s="1"/>
  <c r="BS56" i="40"/>
  <c r="BU56" i="40"/>
  <c r="E43" i="40"/>
  <c r="B43" i="40" s="1" a="1"/>
  <c r="B43" i="40" s="1"/>
  <c r="K13" i="40"/>
  <c r="H13" i="40" s="1" a="1"/>
  <c r="H13" i="40" s="1"/>
  <c r="O13" i="40"/>
  <c r="BS11" i="40"/>
  <c r="BS42" i="40"/>
  <c r="BO42" i="40"/>
  <c r="BL42" i="40" s="1" a="1"/>
  <c r="BL42" i="40" s="1"/>
  <c r="E33" i="40"/>
  <c r="B33" i="40" s="1" a="1"/>
  <c r="B33" i="40" s="1"/>
  <c r="BS32" i="40"/>
  <c r="BO32" i="40"/>
  <c r="BL32" i="40" s="1" a="1"/>
  <c r="BL32" i="40" s="1"/>
  <c r="K30" i="40"/>
  <c r="H30" i="40" s="1" a="1"/>
  <c r="H30" i="40" s="1"/>
  <c r="O30" i="40"/>
  <c r="E20" i="40"/>
  <c r="B20" i="40" s="1" a="1"/>
  <c r="B20" i="40" s="1"/>
  <c r="BS70" i="40"/>
  <c r="BO70" i="40"/>
  <c r="BL70" i="40" s="1" a="1"/>
  <c r="BL70" i="40" s="1"/>
  <c r="BO12" i="40"/>
  <c r="BL12" i="40" s="1" a="1"/>
  <c r="BL12" i="40" s="1"/>
  <c r="K51" i="40"/>
  <c r="H51" i="40" s="1" a="1"/>
  <c r="H51" i="40" s="1"/>
  <c r="O51" i="40"/>
  <c r="BS33" i="40"/>
  <c r="BO33" i="40"/>
  <c r="BL33" i="40" s="1" a="1"/>
  <c r="BL33" i="40" s="1"/>
  <c r="BO19" i="40"/>
  <c r="BL19" i="40" s="1" a="1"/>
  <c r="BL19" i="40" s="1"/>
  <c r="BS19" i="40"/>
  <c r="E34" i="40"/>
  <c r="B34" i="40" s="1" a="1"/>
  <c r="B34" i="40" s="1"/>
  <c r="O22" i="40"/>
  <c r="K22" i="40"/>
  <c r="H22" i="40" s="1" a="1"/>
  <c r="H22" i="40" s="1"/>
  <c r="K11" i="40"/>
  <c r="H11" i="40" s="1" a="1"/>
  <c r="H11" i="40" s="1"/>
  <c r="O11" i="40"/>
  <c r="BU19" i="40"/>
  <c r="O102" i="14"/>
  <c r="N13" i="3"/>
  <c r="M13" i="3"/>
  <c r="W15" i="40"/>
  <c r="Z15" i="40" s="1"/>
  <c r="AT22" i="40"/>
  <c r="AT14" i="40"/>
  <c r="AT36" i="40"/>
  <c r="AT10" i="40"/>
  <c r="AT24" i="40"/>
  <c r="AT59" i="40"/>
  <c r="AT46" i="40"/>
  <c r="AT12" i="40"/>
  <c r="AT20" i="40"/>
  <c r="AT39" i="40"/>
  <c r="AT28" i="40"/>
  <c r="AT37" i="40"/>
  <c r="AT21" i="40"/>
  <c r="AT43" i="40"/>
  <c r="AT58" i="40"/>
  <c r="BE77" i="40"/>
  <c r="AT9" i="40"/>
  <c r="AT38" i="40"/>
  <c r="AT34" i="40"/>
  <c r="W16" i="40"/>
  <c r="Z16" i="40" s="1"/>
  <c r="AT41" i="40"/>
  <c r="W10" i="40"/>
  <c r="AT11" i="40"/>
  <c r="W19" i="40"/>
  <c r="Z19" i="40" s="1"/>
  <c r="AT13" i="40"/>
  <c r="AT25" i="40"/>
  <c r="AT27" i="40"/>
  <c r="W17" i="40"/>
  <c r="Z17" i="40" s="1"/>
  <c r="AT45" i="40"/>
  <c r="AT15" i="40"/>
  <c r="W11" i="40"/>
  <c r="Z11" i="40" s="1"/>
  <c r="AT23" i="40"/>
  <c r="W12" i="40"/>
  <c r="Z12" i="40" s="1"/>
  <c r="AT42" i="40"/>
  <c r="AT35" i="40"/>
  <c r="W18" i="40"/>
  <c r="Z18" i="40" s="1"/>
  <c r="AT44" i="40"/>
  <c r="AT26" i="40"/>
  <c r="W13" i="40"/>
  <c r="Z13" i="40" s="1"/>
  <c r="BE78" i="40"/>
  <c r="Q132" i="14"/>
  <c r="P4" i="14" s="1"/>
  <c r="AT40" i="40"/>
  <c r="W14" i="40"/>
  <c r="Z14" i="40" s="1"/>
  <c r="AT29" i="40"/>
  <c r="M12" i="3"/>
  <c r="N12" i="3"/>
  <c r="F245" i="2" l="1"/>
  <c r="F284" i="2" s="1" a="1"/>
  <c r="F284" i="2" s="1"/>
  <c r="G284" i="2" s="1"/>
  <c r="F812" i="2" a="1"/>
  <c r="F812" i="2" s="1"/>
  <c r="G266" i="2"/>
  <c r="H266" i="2" s="1"/>
  <c r="F601" i="2" s="1" a="1"/>
  <c r="F601" i="2" s="1"/>
  <c r="G601" i="2" s="1"/>
  <c r="F794" i="2" a="1"/>
  <c r="F794" i="2" s="1"/>
  <c r="G794" i="2" s="1"/>
  <c r="G253" i="2"/>
  <c r="F344" i="2" a="1"/>
  <c r="F344" i="2" s="1"/>
  <c r="G344" i="2" s="1"/>
  <c r="H249" i="2"/>
  <c r="I249" i="2" s="1"/>
  <c r="F347" i="2" s="1" a="1"/>
  <c r="F347" i="2" s="1"/>
  <c r="G347" i="2" s="1"/>
  <c r="BS51" i="40"/>
  <c r="BE41" i="40"/>
  <c r="AT48" i="40"/>
  <c r="AW47" i="40"/>
  <c r="AR47" i="40"/>
  <c r="AS47" i="40" s="1"/>
  <c r="AP47" i="40" s="1" a="1"/>
  <c r="AP47" i="40" s="1"/>
  <c r="BC32" i="40"/>
  <c r="BH32" i="40"/>
  <c r="BC34" i="40"/>
  <c r="BH34" i="40"/>
  <c r="BH33" i="40"/>
  <c r="BC33" i="40"/>
  <c r="BC84" i="40"/>
  <c r="BH84" i="40"/>
  <c r="BC39" i="40"/>
  <c r="BH39" i="40"/>
  <c r="BC57" i="40"/>
  <c r="BH57" i="40"/>
  <c r="BO11" i="40"/>
  <c r="BL11" i="40" s="1" a="1"/>
  <c r="BL11" i="40" s="1"/>
  <c r="BO47" i="40"/>
  <c r="BL47" i="40" s="1" a="1"/>
  <c r="BL47" i="40" s="1"/>
  <c r="BO46" i="40"/>
  <c r="BL46" i="40" s="1" a="1"/>
  <c r="BL46" i="40" s="1"/>
  <c r="AG38" i="20" a="1"/>
  <c r="AG38" i="20" s="1"/>
  <c r="AG39" i="20" a="1"/>
  <c r="AG39" i="20" s="1"/>
  <c r="AG41" i="20" a="1"/>
  <c r="AG41" i="20" s="1"/>
  <c r="AG36" i="20" a="1"/>
  <c r="AG36" i="20" s="1"/>
  <c r="AG40" i="20" a="1"/>
  <c r="AG40" i="20" s="1"/>
  <c r="AG37" i="20" a="1"/>
  <c r="AG37" i="20" s="1"/>
  <c r="E67" i="40"/>
  <c r="B67" i="40" s="1" a="1"/>
  <c r="B67" i="40" s="1"/>
  <c r="BO43" i="40"/>
  <c r="BL43" i="40" s="1" a="1"/>
  <c r="BL43" i="40" s="1"/>
  <c r="BO49" i="40"/>
  <c r="BL49" i="40" s="1" a="1"/>
  <c r="BL49" i="40" s="1"/>
  <c r="E47" i="40"/>
  <c r="B47" i="40" s="1" a="1"/>
  <c r="B47" i="40" s="1"/>
  <c r="E44" i="40"/>
  <c r="B44" i="40" s="1" a="1"/>
  <c r="B44" i="40" s="1"/>
  <c r="R149" i="38"/>
  <c r="R117" i="38" s="1"/>
  <c r="Y111" i="38"/>
  <c r="Y119" i="38"/>
  <c r="Y117" i="38"/>
  <c r="Y109" i="38"/>
  <c r="BS64" i="40"/>
  <c r="U124" i="38"/>
  <c r="U127" i="38" s="1"/>
  <c r="U117" i="38"/>
  <c r="U119" i="38" s="1"/>
  <c r="U120" i="38" s="1"/>
  <c r="U130" i="38"/>
  <c r="U133" i="38" s="1"/>
  <c r="U110" i="38"/>
  <c r="U113" i="38" s="1"/>
  <c r="U105" i="38"/>
  <c r="U106" i="38"/>
  <c r="U104" i="38"/>
  <c r="B729" i="38" a="1"/>
  <c r="B729" i="38" s="1"/>
  <c r="I635" i="38" a="1"/>
  <c r="I634" i="38" a="1"/>
  <c r="I634" i="38" s="1"/>
  <c r="I620" i="38"/>
  <c r="K559" i="38"/>
  <c r="L559" i="38" s="1"/>
  <c r="I584" i="38" a="1"/>
  <c r="I584" i="38" s="1"/>
  <c r="I619" i="38" a="1"/>
  <c r="I619" i="38" s="1"/>
  <c r="BS76" i="40"/>
  <c r="BO76" i="40"/>
  <c r="BL76" i="40" s="1" a="1"/>
  <c r="BL76" i="40" s="1"/>
  <c r="BO27" i="40"/>
  <c r="BL27" i="40" s="1" a="1"/>
  <c r="BL27" i="40" s="1"/>
  <c r="AS104" i="30" a="1"/>
  <c r="AS104" i="30" s="1"/>
  <c r="AS107" i="30" a="1"/>
  <c r="AS107" i="30" s="1"/>
  <c r="AS106" i="30" a="1"/>
  <c r="AS106" i="30" s="1"/>
  <c r="AS105" i="30" a="1"/>
  <c r="AS105" i="30" s="1"/>
  <c r="E25" i="40"/>
  <c r="B25" i="40" s="1" a="1"/>
  <c r="B25" i="40" s="1"/>
  <c r="AS109" i="30" a="1"/>
  <c r="AS109" i="30" s="1"/>
  <c r="AS103" i="30" a="1"/>
  <c r="AS103" i="30" s="1"/>
  <c r="AS108" i="30" a="1"/>
  <c r="AS108" i="30" s="1"/>
  <c r="O19" i="40"/>
  <c r="L54" i="40"/>
  <c r="AO103" i="20" a="1"/>
  <c r="AO103" i="20" s="1"/>
  <c r="AO66" i="20" a="1"/>
  <c r="AO66" i="20" s="1"/>
  <c r="AO108" i="20" a="1"/>
  <c r="AO108" i="20" s="1"/>
  <c r="AN94" i="20" a="1"/>
  <c r="AN94" i="20" s="1"/>
  <c r="AN74" i="20" a="1"/>
  <c r="AN74" i="20" s="1"/>
  <c r="AO63" i="20" a="1"/>
  <c r="AO63" i="20" s="1"/>
  <c r="AN92" i="20" a="1"/>
  <c r="AN92" i="20" s="1"/>
  <c r="AN89" i="20" a="1"/>
  <c r="AN89" i="20" s="1"/>
  <c r="AO43" i="20" a="1"/>
  <c r="AO43" i="20" s="1"/>
  <c r="AO48" i="20" a="1"/>
  <c r="AO48" i="20" s="1"/>
  <c r="AN101" i="20" a="1"/>
  <c r="AN101" i="20" s="1"/>
  <c r="AO98" i="20" a="1"/>
  <c r="AO98" i="20" s="1"/>
  <c r="BS48" i="40"/>
  <c r="B30" i="40" a="1"/>
  <c r="B30" i="40" s="1"/>
  <c r="BO40" i="40"/>
  <c r="BL40" i="40" s="1" a="1"/>
  <c r="BL40" i="40" s="1"/>
  <c r="H251" i="2"/>
  <c r="I251" i="2" s="1"/>
  <c r="F377" i="2" s="1" a="1"/>
  <c r="F377" i="2" s="1"/>
  <c r="G377" i="2" s="1"/>
  <c r="BS43" i="40"/>
  <c r="H268" i="2"/>
  <c r="I268" i="2" s="1"/>
  <c r="BO55" i="40"/>
  <c r="BL55" i="40" s="1" a="1"/>
  <c r="BL55" i="40" s="1"/>
  <c r="C200" i="35" a="1"/>
  <c r="C180" i="35" a="1"/>
  <c r="B14" i="40" a="1"/>
  <c r="B14" i="40" s="1"/>
  <c r="B16" i="40" a="1"/>
  <c r="B16" i="40" s="1"/>
  <c r="H278" i="2"/>
  <c r="F781" i="2" s="1" a="1"/>
  <c r="F781" i="2" s="1"/>
  <c r="G781" i="2" s="1"/>
  <c r="H252" i="2"/>
  <c r="F391" i="2" s="1" a="1"/>
  <c r="F391" i="2" s="1"/>
  <c r="G391" i="2" s="1"/>
  <c r="C170" i="35" a="1"/>
  <c r="D108" i="14"/>
  <c r="N116" i="1" a="1"/>
  <c r="N116" i="1" s="1"/>
  <c r="BO10" i="40"/>
  <c r="BL10" i="40" s="1" a="1"/>
  <c r="BL10" i="40" s="1"/>
  <c r="E81" i="40"/>
  <c r="B81" i="40" s="1" a="1"/>
  <c r="B81" i="40" s="1"/>
  <c r="B200" i="30" s="1" a="1"/>
  <c r="AT33" i="30" s="1"/>
  <c r="E70" i="40"/>
  <c r="B70" i="40" s="1" a="1"/>
  <c r="B70" i="40" s="1"/>
  <c r="BO41" i="40"/>
  <c r="BL41" i="40" s="1" a="1"/>
  <c r="BL41" i="40" s="1"/>
  <c r="BO14" i="40"/>
  <c r="BL14" i="40" s="1" a="1"/>
  <c r="BL14" i="40" s="1"/>
  <c r="E56" i="40"/>
  <c r="B56" i="40" s="1" a="1"/>
  <c r="B56" i="40" s="1"/>
  <c r="AN52" i="20" a="1"/>
  <c r="AN52" i="20" s="1"/>
  <c r="B27" i="40" a="1"/>
  <c r="B27" i="40" s="1"/>
  <c r="C160" i="35" a="1"/>
  <c r="E162" i="35" s="1"/>
  <c r="E55" i="40"/>
  <c r="B55" i="40" s="1" a="1"/>
  <c r="B55" i="40" s="1"/>
  <c r="BO31" i="40"/>
  <c r="BL31" i="40" s="1" a="1"/>
  <c r="BL31" i="40" s="1"/>
  <c r="I254" i="2"/>
  <c r="J254" i="2" s="1"/>
  <c r="F423" i="2" s="1" a="1"/>
  <c r="F423" i="2" s="1"/>
  <c r="G423" i="2" s="1"/>
  <c r="BO69" i="40"/>
  <c r="BL69" i="40" s="1" a="1"/>
  <c r="BL69" i="40" s="1"/>
  <c r="AN107" i="20" a="1"/>
  <c r="AN107" i="20" s="1"/>
  <c r="I263" i="2"/>
  <c r="J263" i="2" s="1"/>
  <c r="F558" i="2" s="1" a="1"/>
  <c r="F558" i="2" s="1"/>
  <c r="G558" i="2" s="1"/>
  <c r="E66" i="40"/>
  <c r="B66" i="40" s="1" a="1"/>
  <c r="B66" i="40" s="1"/>
  <c r="E29" i="40"/>
  <c r="B29" i="40" s="1" a="1"/>
  <c r="B29" i="40" s="1"/>
  <c r="BS65" i="40"/>
  <c r="BO65" i="40"/>
  <c r="BL65" i="40" s="1" a="1"/>
  <c r="BL65" i="40" s="1"/>
  <c r="H276" i="2"/>
  <c r="F751" i="2" s="1" a="1"/>
  <c r="F751" i="2" s="1"/>
  <c r="G751" i="2" s="1"/>
  <c r="BO28" i="40"/>
  <c r="BL28" i="40" s="1" a="1"/>
  <c r="BL28" i="40" s="1"/>
  <c r="BS28" i="40"/>
  <c r="E26" i="40"/>
  <c r="B26" i="40" s="1" a="1"/>
  <c r="B26" i="40" s="1"/>
  <c r="R8" i="14" a="1"/>
  <c r="R8" i="14" s="1"/>
  <c r="BO25" i="40"/>
  <c r="BL25" i="40" s="1" a="1"/>
  <c r="BL25" i="40" s="1"/>
  <c r="BS25" i="40"/>
  <c r="C88" i="40" a="1"/>
  <c r="C88" i="40" s="1"/>
  <c r="BS52" i="40"/>
  <c r="BO52" i="40"/>
  <c r="BL52" i="40" s="1" a="1"/>
  <c r="BL52" i="40" s="1"/>
  <c r="R6" i="14" a="1"/>
  <c r="R6" i="14" s="1"/>
  <c r="BO44" i="40"/>
  <c r="BL44" i="40" s="1" a="1"/>
  <c r="BL44" i="40" s="1"/>
  <c r="BS44" i="40"/>
  <c r="BO82" i="40"/>
  <c r="BL82" i="40" s="1" a="1"/>
  <c r="BL82" i="40" s="1"/>
  <c r="BS82" i="40"/>
  <c r="E32" i="40"/>
  <c r="B32" i="40" s="1" a="1"/>
  <c r="B32" i="40" s="1"/>
  <c r="C108" i="14"/>
  <c r="AN96" i="20" a="1"/>
  <c r="AN96" i="20" s="1"/>
  <c r="AO87" i="20" a="1"/>
  <c r="AO87" i="20" s="1"/>
  <c r="AN82" i="20" a="1"/>
  <c r="AN82" i="20" s="1"/>
  <c r="I255" i="2"/>
  <c r="F437" i="2" s="1" a="1"/>
  <c r="F437" i="2" s="1"/>
  <c r="G437" i="2" s="1"/>
  <c r="R7" i="14" a="1"/>
  <c r="R7" i="14" s="1"/>
  <c r="H275" i="2"/>
  <c r="E79" i="40"/>
  <c r="B79" i="40" s="1" a="1"/>
  <c r="B79" i="40" s="1"/>
  <c r="BO78" i="40"/>
  <c r="BL78" i="40" s="1" a="1"/>
  <c r="BL78" i="40" s="1"/>
  <c r="BS78" i="40"/>
  <c r="Q6" i="14"/>
  <c r="AN59" i="20" a="1"/>
  <c r="AN59" i="20" s="1"/>
  <c r="K212" i="2" a="1"/>
  <c r="K212" i="2" s="1"/>
  <c r="F405" i="2" a="1"/>
  <c r="F405" i="2" s="1"/>
  <c r="G405" i="2" s="1"/>
  <c r="H253" i="2"/>
  <c r="H273" i="2"/>
  <c r="H269" i="2"/>
  <c r="I269" i="2" s="1"/>
  <c r="F647" i="2" s="1" a="1"/>
  <c r="F647" i="2" s="1"/>
  <c r="G647" i="2" s="1"/>
  <c r="E17" i="40"/>
  <c r="B17" i="40" s="1" a="1"/>
  <c r="B17" i="40" s="1"/>
  <c r="BS16" i="40"/>
  <c r="BO16" i="40"/>
  <c r="BL16" i="40" s="1" a="1"/>
  <c r="BL16" i="40" s="1"/>
  <c r="BO80" i="40"/>
  <c r="BL80" i="40" s="1" a="1"/>
  <c r="BL80" i="40" s="1"/>
  <c r="AN77" i="20" a="1"/>
  <c r="AN77" i="20" s="1"/>
  <c r="AN44" i="20" a="1"/>
  <c r="AN44" i="20" s="1"/>
  <c r="F676" i="2" a="1"/>
  <c r="F676" i="2" s="1"/>
  <c r="G676" i="2" s="1"/>
  <c r="I271" i="2"/>
  <c r="J271" i="2" s="1"/>
  <c r="F678" i="2" s="1" a="1"/>
  <c r="F678" i="2" s="1"/>
  <c r="G678" i="2" s="1"/>
  <c r="Q126" i="14"/>
  <c r="Q31" i="14"/>
  <c r="Q30" i="14"/>
  <c r="F315" i="2" a="1"/>
  <c r="F315" i="2" s="1"/>
  <c r="G315" i="2" s="1"/>
  <c r="F586" i="2" a="1"/>
  <c r="F586" i="2" s="1"/>
  <c r="G586" i="2" s="1"/>
  <c r="H247" i="2"/>
  <c r="F316" i="2" s="1" a="1"/>
  <c r="F316" i="2" s="1"/>
  <c r="G316" i="2" s="1"/>
  <c r="K46" i="40"/>
  <c r="H46" i="40" s="1" a="1"/>
  <c r="H46" i="40" s="1"/>
  <c r="O46" i="40"/>
  <c r="F615" i="2" a="1"/>
  <c r="F615" i="2" s="1"/>
  <c r="G615" i="2" s="1"/>
  <c r="BS67" i="40"/>
  <c r="BO67" i="40"/>
  <c r="BL67" i="40" s="1" a="1"/>
  <c r="BL67" i="40" s="1"/>
  <c r="I265" i="2"/>
  <c r="H267" i="2"/>
  <c r="I267" i="2" s="1"/>
  <c r="F617" i="2" s="1" a="1"/>
  <c r="F617" i="2" s="1"/>
  <c r="G617" i="2" s="1"/>
  <c r="BS66" i="40"/>
  <c r="BO66" i="40"/>
  <c r="BL66" i="40" s="1" a="1"/>
  <c r="BL66" i="40" s="1"/>
  <c r="F660" i="2" a="1"/>
  <c r="F660" i="2" s="1"/>
  <c r="G660" i="2" s="1"/>
  <c r="I266" i="2"/>
  <c r="J266" i="2" s="1"/>
  <c r="G245" i="2"/>
  <c r="F285" i="2" s="1" a="1"/>
  <c r="F285" i="2" s="1"/>
  <c r="G285" i="2" s="1"/>
  <c r="E64" i="40"/>
  <c r="B64" i="40" s="1" a="1"/>
  <c r="B64" i="40" s="1"/>
  <c r="BO63" i="40"/>
  <c r="BL63" i="40" s="1" a="1"/>
  <c r="BL63" i="40" s="1"/>
  <c r="BS63" i="40"/>
  <c r="K10" i="40"/>
  <c r="H10" i="40" s="1" a="1"/>
  <c r="H10" i="40" s="1"/>
  <c r="O10" i="40"/>
  <c r="F540" i="2" a="1"/>
  <c r="F540" i="2" s="1"/>
  <c r="G540" i="2" s="1"/>
  <c r="I262" i="2"/>
  <c r="H270" i="2"/>
  <c r="I88" i="40" a="1"/>
  <c r="I88" i="40" s="1"/>
  <c r="F360" i="2" a="1"/>
  <c r="F360" i="2" s="1"/>
  <c r="G360" i="2" s="1"/>
  <c r="BS69" i="40"/>
  <c r="F690" i="2" a="1"/>
  <c r="F690" i="2" s="1"/>
  <c r="G690" i="2" s="1"/>
  <c r="H272" i="2"/>
  <c r="F691" i="2" s="1" a="1"/>
  <c r="F691" i="2" s="1"/>
  <c r="G691" i="2" s="1"/>
  <c r="F300" i="2" a="1"/>
  <c r="F300" i="2" s="1"/>
  <c r="G300" i="2" s="1"/>
  <c r="I246" i="2"/>
  <c r="J246" i="2" s="1"/>
  <c r="F303" i="2" s="1" a="1"/>
  <c r="F303" i="2" s="1"/>
  <c r="G303" i="2" s="1"/>
  <c r="Q7" i="14"/>
  <c r="J260" i="2"/>
  <c r="K260" i="2" s="1"/>
  <c r="F514" i="2" s="1" a="1"/>
  <c r="F514" i="2" s="1"/>
  <c r="G514" i="2" s="1"/>
  <c r="F525" i="2" a="1"/>
  <c r="F525" i="2" s="1"/>
  <c r="G525" i="2" s="1"/>
  <c r="H261" i="2"/>
  <c r="F570" i="2" a="1"/>
  <c r="F570" i="2" s="1"/>
  <c r="G570" i="2" s="1"/>
  <c r="I264" i="2"/>
  <c r="F572" i="2" s="1" a="1"/>
  <c r="F572" i="2" s="1"/>
  <c r="G572" i="2" s="1"/>
  <c r="F466" i="2" a="1"/>
  <c r="F466" i="2" s="1"/>
  <c r="G466" i="2" s="1"/>
  <c r="I258" i="2"/>
  <c r="C190" i="35" a="1"/>
  <c r="F346" i="2" a="1"/>
  <c r="F346" i="2" s="1"/>
  <c r="G346" i="2" s="1"/>
  <c r="J249" i="2"/>
  <c r="Q107" i="14"/>
  <c r="Q8" i="14" s="1"/>
  <c r="Q12" i="14"/>
  <c r="Q11" i="14"/>
  <c r="N56" i="1" a="1"/>
  <c r="N56" i="1" s="1"/>
  <c r="O56" i="1" s="1" a="1"/>
  <c r="O56" i="1" s="1"/>
  <c r="K154" i="2" a="1"/>
  <c r="K154" i="2" s="1"/>
  <c r="AS101" i="30" a="1"/>
  <c r="AS101" i="30" s="1"/>
  <c r="BO68" i="40"/>
  <c r="BL68" i="40" s="1" a="1"/>
  <c r="BL68" i="40" s="1"/>
  <c r="BS68" i="40"/>
  <c r="F511" i="2" a="1"/>
  <c r="F511" i="2" s="1"/>
  <c r="G511" i="2" s="1"/>
  <c r="E15" i="40"/>
  <c r="B15" i="40" s="1" a="1"/>
  <c r="B15" i="40" s="1"/>
  <c r="E12" i="40"/>
  <c r="B12" i="40" s="1" a="1"/>
  <c r="B12" i="40" s="1"/>
  <c r="F766" i="2" a="1"/>
  <c r="F766" i="2" s="1"/>
  <c r="G766" i="2" s="1"/>
  <c r="F795" i="2" a="1"/>
  <c r="F795" i="2" s="1"/>
  <c r="G795" i="2" s="1"/>
  <c r="H279" i="2"/>
  <c r="AG35" i="20" a="1"/>
  <c r="AG35" i="20" s="1"/>
  <c r="AG30" i="20" a="1"/>
  <c r="AG30" i="20" s="1"/>
  <c r="AG34" i="20" a="1"/>
  <c r="AG34" i="20" s="1"/>
  <c r="AF27" i="20"/>
  <c r="AG31" i="20" a="1"/>
  <c r="AG31" i="20" s="1"/>
  <c r="AG33" i="20" a="1"/>
  <c r="AG33" i="20" s="1"/>
  <c r="AG28" i="20" a="1"/>
  <c r="AG28" i="20" s="1"/>
  <c r="AG32" i="20" a="1"/>
  <c r="AG32" i="20" s="1"/>
  <c r="AH32" i="20" s="1"/>
  <c r="AP32" i="20" s="1"/>
  <c r="AG29" i="20" a="1"/>
  <c r="AG29" i="20" s="1"/>
  <c r="AE24" i="20"/>
  <c r="AE25" i="20" s="1"/>
  <c r="AS102" i="30" a="1"/>
  <c r="AS102" i="30" s="1"/>
  <c r="H256" i="2"/>
  <c r="F331" i="2" a="1"/>
  <c r="F331" i="2" s="1"/>
  <c r="G331" i="2" s="1"/>
  <c r="I259" i="2"/>
  <c r="I257" i="2"/>
  <c r="F481" i="2" a="1"/>
  <c r="F481" i="2" s="1"/>
  <c r="G481" i="2" s="1"/>
  <c r="I277" i="2"/>
  <c r="J248" i="2"/>
  <c r="F720" i="2" a="1"/>
  <c r="F720" i="2" s="1"/>
  <c r="G720" i="2" s="1"/>
  <c r="F435" i="2" a="1"/>
  <c r="F435" i="2" s="1"/>
  <c r="G435" i="2" s="1"/>
  <c r="H274" i="2"/>
  <c r="F600" i="2" a="1"/>
  <c r="F600" i="2" s="1"/>
  <c r="G600" i="2" s="1"/>
  <c r="Q119" i="14"/>
  <c r="Q23" i="14"/>
  <c r="Q24" i="14"/>
  <c r="H250" i="2"/>
  <c r="I250" i="2" s="1"/>
  <c r="F362" i="2" s="1" a="1"/>
  <c r="F362" i="2" s="1"/>
  <c r="G362" i="2" s="1"/>
  <c r="AO100" i="20" a="1"/>
  <c r="AO100" i="20" s="1"/>
  <c r="AN56" i="20" a="1"/>
  <c r="AN56" i="20" s="1"/>
  <c r="AN55" i="20" a="1"/>
  <c r="AN55" i="20" s="1"/>
  <c r="AO54" i="20" a="1"/>
  <c r="AO54" i="20" s="1"/>
  <c r="AO97" i="20" a="1"/>
  <c r="AO97" i="20" s="1"/>
  <c r="AN62" i="20" a="1"/>
  <c r="AN62" i="20" s="1"/>
  <c r="AN88" i="20" a="1"/>
  <c r="AN88" i="20" s="1"/>
  <c r="AN85" i="20" a="1"/>
  <c r="AN85" i="20" s="1"/>
  <c r="AO47" i="20" a="1"/>
  <c r="AO47" i="20" s="1"/>
  <c r="AO93" i="20" a="1"/>
  <c r="AO93" i="20" s="1"/>
  <c r="AN106" i="20" a="1"/>
  <c r="AN106" i="20" s="1"/>
  <c r="AO70" i="20" a="1"/>
  <c r="AO70" i="20" s="1"/>
  <c r="AN46" i="20" a="1"/>
  <c r="AN46" i="20" s="1"/>
  <c r="AN83" i="20" a="1"/>
  <c r="AN83" i="20" s="1"/>
  <c r="AN95" i="20" a="1"/>
  <c r="AN95" i="20" s="1"/>
  <c r="AO75" i="20" a="1"/>
  <c r="AO75" i="20" s="1"/>
  <c r="AO71" i="20" a="1"/>
  <c r="AO71" i="20" s="1"/>
  <c r="AO86" i="20" a="1"/>
  <c r="AO86" i="20" s="1"/>
  <c r="AN64" i="20" a="1"/>
  <c r="AN64" i="20" s="1"/>
  <c r="AO50" i="20" a="1"/>
  <c r="AO50" i="20" s="1"/>
  <c r="AO84" i="20" a="1"/>
  <c r="AO84" i="20" s="1"/>
  <c r="AN91" i="20" a="1"/>
  <c r="AN91" i="20" s="1"/>
  <c r="AO68" i="20" a="1"/>
  <c r="AO68" i="20" s="1"/>
  <c r="AN49" i="20" a="1"/>
  <c r="AN49" i="20" s="1"/>
  <c r="AN105" i="20" a="1"/>
  <c r="AN105" i="20" s="1"/>
  <c r="AN57" i="20" a="1"/>
  <c r="AN57" i="20" s="1"/>
  <c r="AO65" i="20" a="1"/>
  <c r="AO65" i="20" s="1"/>
  <c r="AO90" i="20" a="1"/>
  <c r="AO90" i="20" s="1"/>
  <c r="AN69" i="20" a="1"/>
  <c r="AN69" i="20" s="1"/>
  <c r="AN72" i="20" a="1"/>
  <c r="AN72" i="20" s="1"/>
  <c r="AO67" i="20" a="1"/>
  <c r="AO67" i="20" s="1"/>
  <c r="AO45" i="20" a="1"/>
  <c r="AO45" i="20" s="1"/>
  <c r="AO76" i="20" a="1"/>
  <c r="AO76" i="20" s="1"/>
  <c r="AO79" i="20" a="1"/>
  <c r="AO79" i="20" s="1"/>
  <c r="AN53" i="20" a="1"/>
  <c r="AN53" i="20" s="1"/>
  <c r="AO58" i="20" a="1"/>
  <c r="AO58" i="20" s="1"/>
  <c r="AO104" i="20" a="1"/>
  <c r="AO104" i="20" s="1"/>
  <c r="AN102" i="20" a="1"/>
  <c r="AN102" i="20" s="1"/>
  <c r="AO42" i="20" a="1"/>
  <c r="AO42" i="20" s="1"/>
  <c r="AO51" i="20" a="1"/>
  <c r="AO51" i="20" s="1"/>
  <c r="AO73" i="20" a="1"/>
  <c r="AO73" i="20" s="1"/>
  <c r="AN80" i="20" a="1"/>
  <c r="AN80" i="20" s="1"/>
  <c r="AO61" i="20" a="1"/>
  <c r="AO61" i="20" s="1"/>
  <c r="AN81" i="20" a="1"/>
  <c r="AN81" i="20" s="1"/>
  <c r="AN60" i="20" a="1"/>
  <c r="AN60" i="20" s="1"/>
  <c r="AO78" i="20" a="1"/>
  <c r="AO78" i="20" s="1"/>
  <c r="AN99" i="20" a="1"/>
  <c r="AN99" i="20" s="1"/>
  <c r="K15" i="1" a="1"/>
  <c r="K15" i="1" s="1"/>
  <c r="L15" i="1" a="1"/>
  <c r="L15" i="1" s="1"/>
  <c r="AR39" i="40"/>
  <c r="AW39" i="40"/>
  <c r="AW20" i="40"/>
  <c r="AT30" i="40"/>
  <c r="AR20" i="40"/>
  <c r="AR42" i="40"/>
  <c r="AW42" i="40"/>
  <c r="AW59" i="40"/>
  <c r="AR59" i="40"/>
  <c r="AS59" i="40" s="1"/>
  <c r="AR40" i="40"/>
  <c r="AW40" i="40"/>
  <c r="AR46" i="40"/>
  <c r="AW46" i="40"/>
  <c r="AR23" i="40"/>
  <c r="AW23" i="40"/>
  <c r="AR27" i="40"/>
  <c r="AW27" i="40"/>
  <c r="AR14" i="40"/>
  <c r="AW14" i="40"/>
  <c r="AR12" i="40"/>
  <c r="AW12" i="40"/>
  <c r="AR25" i="40"/>
  <c r="AW25" i="40"/>
  <c r="AR22" i="40"/>
  <c r="AW22" i="40"/>
  <c r="AW44" i="40"/>
  <c r="AR44" i="40"/>
  <c r="AR45" i="40"/>
  <c r="AW45" i="40"/>
  <c r="AR13" i="40"/>
  <c r="AW13" i="40"/>
  <c r="AR35" i="40"/>
  <c r="AW35" i="40"/>
  <c r="AW21" i="40"/>
  <c r="AR21" i="40"/>
  <c r="BC78" i="40"/>
  <c r="BA78" i="40" s="1"/>
  <c r="BH78" i="40"/>
  <c r="AR11" i="40"/>
  <c r="AW11" i="40"/>
  <c r="AR10" i="40"/>
  <c r="AW10" i="40"/>
  <c r="AR41" i="40"/>
  <c r="AW41" i="40"/>
  <c r="AR28" i="40"/>
  <c r="AW28" i="40"/>
  <c r="U10" i="40"/>
  <c r="AR26" i="40"/>
  <c r="AW26" i="40"/>
  <c r="AR24" i="40"/>
  <c r="AW24" i="40"/>
  <c r="AR15" i="40"/>
  <c r="AW15" i="40"/>
  <c r="AW34" i="40"/>
  <c r="AR34" i="40"/>
  <c r="AR38" i="40"/>
  <c r="AW38" i="40"/>
  <c r="BH41" i="40"/>
  <c r="BC41" i="40"/>
  <c r="AW9" i="40"/>
  <c r="AT16" i="40"/>
  <c r="AR36" i="40"/>
  <c r="AW36" i="40"/>
  <c r="AR37" i="40"/>
  <c r="AW37" i="40"/>
  <c r="BC77" i="40"/>
  <c r="BH77" i="40"/>
  <c r="AW58" i="40"/>
  <c r="AR58" i="40"/>
  <c r="AS58" i="40" s="1"/>
  <c r="AR29" i="40"/>
  <c r="AW29" i="40"/>
  <c r="AR43" i="40"/>
  <c r="AW43" i="40"/>
  <c r="AE28" i="20" a="1"/>
  <c r="B170" i="30" l="1" a="1"/>
  <c r="B170" i="30" s="1"/>
  <c r="B190" i="30" a="1"/>
  <c r="B190" i="30" s="1"/>
  <c r="B180" i="30" a="1"/>
  <c r="B180" i="30" s="1"/>
  <c r="BA57" i="40"/>
  <c r="BD58" i="40"/>
  <c r="BE106" i="40" s="1"/>
  <c r="BD57" i="40"/>
  <c r="BE105" i="40" s="1"/>
  <c r="BD59" i="40"/>
  <c r="BE107" i="40" s="1"/>
  <c r="BD69" i="40"/>
  <c r="BE117" i="40" s="1"/>
  <c r="BD64" i="40"/>
  <c r="BE112" i="40" s="1"/>
  <c r="BD66" i="40"/>
  <c r="BE114" i="40" s="1"/>
  <c r="BD61" i="40"/>
  <c r="BE109" i="40" s="1"/>
  <c r="BD71" i="40"/>
  <c r="BD60" i="40"/>
  <c r="BE108" i="40" s="1"/>
  <c r="BD70" i="40"/>
  <c r="BD72" i="40"/>
  <c r="BD65" i="40"/>
  <c r="BE113" i="40" s="1"/>
  <c r="BD62" i="40"/>
  <c r="BE110" i="40" s="1"/>
  <c r="BD63" i="40"/>
  <c r="BE111" i="40" s="1"/>
  <c r="BD68" i="40"/>
  <c r="BE116" i="40" s="1"/>
  <c r="BD67" i="40"/>
  <c r="BE115" i="40" s="1"/>
  <c r="BA39" i="40"/>
  <c r="BD39" i="40"/>
  <c r="BE98" i="40" s="1"/>
  <c r="BD40" i="40"/>
  <c r="BE99" i="40" s="1"/>
  <c r="BD84" i="40"/>
  <c r="BA84" i="40"/>
  <c r="BD87" i="40"/>
  <c r="BD85" i="40"/>
  <c r="BD86" i="40"/>
  <c r="BD89" i="40"/>
  <c r="BD92" i="40"/>
  <c r="BD90" i="40"/>
  <c r="BD93" i="40"/>
  <c r="BD94" i="40"/>
  <c r="BD91" i="40"/>
  <c r="BD33" i="40"/>
  <c r="BA33" i="40"/>
  <c r="BA34" i="40"/>
  <c r="BD34" i="40"/>
  <c r="BA32" i="40"/>
  <c r="BD32" i="40"/>
  <c r="E170" i="35"/>
  <c r="E171" i="35"/>
  <c r="E180" i="35"/>
  <c r="E182" i="35"/>
  <c r="E181" i="35"/>
  <c r="E183" i="35"/>
  <c r="B160" i="30" a="1"/>
  <c r="B160" i="30" s="1"/>
  <c r="AH37" i="20"/>
  <c r="AJ37" i="20" s="1"/>
  <c r="AH40" i="20"/>
  <c r="AL40" i="20" s="1"/>
  <c r="AJ40" i="20"/>
  <c r="AI40" i="20"/>
  <c r="AH36" i="20"/>
  <c r="AJ36" i="20" s="1"/>
  <c r="AH41" i="20"/>
  <c r="AI41" i="20" s="1"/>
  <c r="AL41" i="20"/>
  <c r="AP41" i="20"/>
  <c r="AH39" i="20"/>
  <c r="AI39" i="20" s="1"/>
  <c r="AH38" i="20"/>
  <c r="AI38" i="20" s="1"/>
  <c r="E190" i="35"/>
  <c r="E191" i="35"/>
  <c r="F631" i="2" a="1"/>
  <c r="F631" i="2" s="1"/>
  <c r="G631" i="2" s="1"/>
  <c r="K254" i="2"/>
  <c r="F424" i="2" s="1" a="1"/>
  <c r="F424" i="2" s="1"/>
  <c r="G424" i="2" s="1"/>
  <c r="R125" i="38"/>
  <c r="R110" i="38"/>
  <c r="R111" i="38" s="1"/>
  <c r="Y104" i="38" s="1"/>
  <c r="BE7" i="40"/>
  <c r="BE73" i="40" s="1"/>
  <c r="W22" i="40"/>
  <c r="AF13" i="40"/>
  <c r="C200" i="35"/>
  <c r="B284" i="35" s="1" a="1"/>
  <c r="B284" i="35" s="1"/>
  <c r="E200" i="35"/>
  <c r="E201" i="35"/>
  <c r="E160" i="35"/>
  <c r="E161" i="35"/>
  <c r="C180" i="35"/>
  <c r="C170" i="35"/>
  <c r="C160" i="35"/>
  <c r="C190" i="35"/>
  <c r="I635" i="38"/>
  <c r="K560" i="38"/>
  <c r="L560" i="38" s="1"/>
  <c r="F422" i="2" a="1"/>
  <c r="F422" i="2" s="1"/>
  <c r="G422" i="2" s="1"/>
  <c r="J251" i="2"/>
  <c r="F378" i="2" s="1" a="1"/>
  <c r="F378" i="2" s="1"/>
  <c r="G378" i="2" s="1"/>
  <c r="F376" i="2" a="1"/>
  <c r="F376" i="2" s="1"/>
  <c r="G376" i="2" s="1"/>
  <c r="I278" i="2"/>
  <c r="F782" i="2" s="1" a="1"/>
  <c r="F782" i="2" s="1"/>
  <c r="G782" i="2" s="1"/>
  <c r="I252" i="2"/>
  <c r="J252" i="2" s="1"/>
  <c r="F393" i="2" s="1" a="1"/>
  <c r="F393" i="2" s="1"/>
  <c r="G393" i="2" s="1"/>
  <c r="AU109" i="30"/>
  <c r="AU107" i="30"/>
  <c r="AU108" i="30"/>
  <c r="AU105" i="30"/>
  <c r="AU106" i="30"/>
  <c r="W21" i="40"/>
  <c r="AU103" i="30"/>
  <c r="AU104" i="30"/>
  <c r="O15" i="40"/>
  <c r="C8" i="14"/>
  <c r="D218" i="35"/>
  <c r="D213" i="35"/>
  <c r="B200" i="30"/>
  <c r="AU33" i="30"/>
  <c r="AU40" i="30" s="1"/>
  <c r="D215" i="35"/>
  <c r="E215" i="35" s="1"/>
  <c r="J255" i="2"/>
  <c r="K255" i="2" s="1"/>
  <c r="F557" i="2" a="1"/>
  <c r="F557" i="2" s="1"/>
  <c r="G557" i="2" s="1"/>
  <c r="I276" i="2"/>
  <c r="F752" i="2" s="1" a="1"/>
  <c r="F752" i="2" s="1"/>
  <c r="G752" i="2" s="1"/>
  <c r="C115" i="38" a="1"/>
  <c r="C115" i="38" s="1"/>
  <c r="D212" i="35"/>
  <c r="E212" i="35" s="1"/>
  <c r="J269" i="2"/>
  <c r="F648" i="2" s="1" a="1"/>
  <c r="F648" i="2" s="1"/>
  <c r="G648" i="2" s="1"/>
  <c r="F646" i="2" a="1"/>
  <c r="F646" i="2" s="1"/>
  <c r="G646" i="2" s="1"/>
  <c r="I272" i="2"/>
  <c r="F692" i="2" s="1" a="1"/>
  <c r="F692" i="2" s="1"/>
  <c r="G692" i="2" s="1"/>
  <c r="D8" i="14"/>
  <c r="AU102" i="30"/>
  <c r="K263" i="2"/>
  <c r="F559" i="2" s="1" a="1"/>
  <c r="F559" i="2" s="1"/>
  <c r="G559" i="2" s="1"/>
  <c r="F603" i="2" a="1"/>
  <c r="F603" i="2" s="1"/>
  <c r="G603" i="2" s="1"/>
  <c r="K266" i="2"/>
  <c r="F604" i="2" s="1" a="1"/>
  <c r="F604" i="2" s="1"/>
  <c r="G604" i="2" s="1"/>
  <c r="AI32" i="20"/>
  <c r="J267" i="2"/>
  <c r="F618" i="2" s="1" a="1"/>
  <c r="F618" i="2" s="1"/>
  <c r="G618" i="2" s="1"/>
  <c r="I270" i="2"/>
  <c r="F662" i="2" s="1" a="1"/>
  <c r="F662" i="2" s="1"/>
  <c r="G662" i="2" s="1"/>
  <c r="F706" i="2" a="1"/>
  <c r="F706" i="2" s="1"/>
  <c r="G706" i="2" s="1"/>
  <c r="I273" i="2"/>
  <c r="F406" i="2" a="1"/>
  <c r="F406" i="2" s="1"/>
  <c r="G406" i="2" s="1"/>
  <c r="I253" i="2"/>
  <c r="J265" i="2"/>
  <c r="F588" i="2" s="1" a="1"/>
  <c r="F588" i="2" s="1"/>
  <c r="G588" i="2" s="1"/>
  <c r="F736" i="2" a="1"/>
  <c r="F736" i="2" s="1"/>
  <c r="G736" i="2" s="1"/>
  <c r="I275" i="2"/>
  <c r="D216" i="35"/>
  <c r="E216" i="35" s="1"/>
  <c r="H245" i="2"/>
  <c r="F286" i="2" s="1" a="1"/>
  <c r="F286" i="2" s="1"/>
  <c r="G286" i="2" s="1"/>
  <c r="AJ32" i="20"/>
  <c r="AL32" i="20"/>
  <c r="AE28" i="20"/>
  <c r="AH35" i="20"/>
  <c r="AL35" i="20" s="1"/>
  <c r="F796" i="2" a="1"/>
  <c r="F796" i="2" s="1"/>
  <c r="G796" i="2" s="1"/>
  <c r="I279" i="2"/>
  <c r="J279" i="2" s="1"/>
  <c r="F798" i="2" s="1" a="1"/>
  <c r="F798" i="2" s="1"/>
  <c r="G798" i="2" s="1"/>
  <c r="F333" i="2" a="1"/>
  <c r="F333" i="2" s="1"/>
  <c r="G333" i="2" s="1"/>
  <c r="K248" i="2"/>
  <c r="AR101" i="30" a="1"/>
  <c r="AR101" i="30" s="1"/>
  <c r="F767" i="2" a="1"/>
  <c r="F767" i="2" s="1"/>
  <c r="G767" i="2" s="1"/>
  <c r="J277" i="2"/>
  <c r="F542" i="2" a="1"/>
  <c r="F542" i="2" s="1"/>
  <c r="G542" i="2" s="1"/>
  <c r="F513" i="2" a="1"/>
  <c r="F513" i="2" s="1"/>
  <c r="G513" i="2" s="1"/>
  <c r="L260" i="2"/>
  <c r="F451" i="2" a="1"/>
  <c r="F451" i="2" s="1"/>
  <c r="G451" i="2" s="1"/>
  <c r="I256" i="2"/>
  <c r="F452" i="2" s="1" a="1"/>
  <c r="F452" i="2" s="1"/>
  <c r="G452" i="2" s="1"/>
  <c r="J264" i="2"/>
  <c r="F573" i="2" s="1" a="1"/>
  <c r="F573" i="2" s="1"/>
  <c r="G573" i="2" s="1"/>
  <c r="F467" i="2" a="1"/>
  <c r="F467" i="2" s="1"/>
  <c r="G467" i="2" s="1"/>
  <c r="F348" i="2" a="1"/>
  <c r="F348" i="2" s="1"/>
  <c r="G348" i="2" s="1"/>
  <c r="K249" i="2"/>
  <c r="F349" i="2" s="1" a="1"/>
  <c r="F349" i="2" s="1"/>
  <c r="G349" i="2" s="1"/>
  <c r="F616" i="2" a="1"/>
  <c r="F616" i="2" s="1"/>
  <c r="G616" i="2" s="1"/>
  <c r="I247" i="2"/>
  <c r="K271" i="2"/>
  <c r="L271" i="2" s="1"/>
  <c r="F677" i="2" a="1"/>
  <c r="F677" i="2" s="1"/>
  <c r="G677" i="2" s="1"/>
  <c r="J259" i="2"/>
  <c r="F721" i="2" a="1"/>
  <c r="F721" i="2" s="1"/>
  <c r="G721" i="2" s="1"/>
  <c r="I274" i="2"/>
  <c r="J274" i="2" s="1"/>
  <c r="F723" i="2" s="1" a="1"/>
  <c r="F723" i="2" s="1"/>
  <c r="G723" i="2" s="1"/>
  <c r="F482" i="2" a="1"/>
  <c r="F482" i="2" s="1"/>
  <c r="G482" i="2" s="1"/>
  <c r="K246" i="2"/>
  <c r="F361" i="2" a="1"/>
  <c r="F361" i="2" s="1"/>
  <c r="G361" i="2" s="1"/>
  <c r="AH29" i="20"/>
  <c r="AP29" i="20" s="1"/>
  <c r="F302" i="2" a="1"/>
  <c r="F302" i="2" s="1"/>
  <c r="G302" i="2" s="1"/>
  <c r="F587" i="2" a="1"/>
  <c r="F587" i="2" s="1"/>
  <c r="G587" i="2" s="1"/>
  <c r="AH28" i="20"/>
  <c r="AL28" i="20" s="1"/>
  <c r="J250" i="2"/>
  <c r="K250" i="2" s="1"/>
  <c r="F602" i="2" a="1"/>
  <c r="F602" i="2" s="1"/>
  <c r="G602" i="2" s="1"/>
  <c r="J257" i="2"/>
  <c r="F468" i="2" s="1" a="1"/>
  <c r="F468" i="2" s="1"/>
  <c r="G468" i="2" s="1"/>
  <c r="F497" i="2" a="1"/>
  <c r="F497" i="2" s="1"/>
  <c r="G497" i="2" s="1"/>
  <c r="AH33" i="20"/>
  <c r="AI33" i="20" s="1"/>
  <c r="J262" i="2"/>
  <c r="AH31" i="20"/>
  <c r="AP31" i="20" s="1"/>
  <c r="F632" i="2" a="1"/>
  <c r="F632" i="2" s="1"/>
  <c r="G632" i="2" s="1"/>
  <c r="J268" i="2"/>
  <c r="K268" i="2" s="1"/>
  <c r="F634" i="2" s="1" a="1"/>
  <c r="F634" i="2" s="1"/>
  <c r="G634" i="2" s="1"/>
  <c r="J258" i="2"/>
  <c r="AH34" i="20"/>
  <c r="AI34" i="20" s="1"/>
  <c r="F526" i="2" a="1"/>
  <c r="F526" i="2" s="1"/>
  <c r="G526" i="2" s="1"/>
  <c r="I261" i="2"/>
  <c r="AH30" i="20"/>
  <c r="AI30" i="20" s="1"/>
  <c r="F661" i="2" a="1"/>
  <c r="F661" i="2" s="1"/>
  <c r="G661" i="2" s="1"/>
  <c r="AS28" i="40"/>
  <c r="AP28" i="40" s="1" a="1"/>
  <c r="AP28" i="40" s="1"/>
  <c r="AS20" i="40"/>
  <c r="AP20" i="40" s="1" a="1"/>
  <c r="AP20" i="40" s="1"/>
  <c r="AS40" i="40"/>
  <c r="AP40" i="40" s="1" a="1"/>
  <c r="AP40" i="40" s="1"/>
  <c r="AS43" i="40"/>
  <c r="AP43" i="40" s="1" a="1"/>
  <c r="AP43" i="40" s="1"/>
  <c r="AS46" i="40"/>
  <c r="AP46" i="40" s="1" a="1"/>
  <c r="AP46" i="40" s="1"/>
  <c r="AS11" i="40"/>
  <c r="AP11" i="40" s="1" a="1"/>
  <c r="AP11" i="40" s="1"/>
  <c r="AS45" i="40"/>
  <c r="AP45" i="40" s="1" a="1"/>
  <c r="AP45" i="40" s="1"/>
  <c r="AS27" i="40"/>
  <c r="AP27" i="40" s="1" a="1"/>
  <c r="AP27" i="40" s="1"/>
  <c r="AS41" i="40"/>
  <c r="AP41" i="40" s="1" a="1"/>
  <c r="AP41" i="40" s="1"/>
  <c r="AS44" i="40"/>
  <c r="AP44" i="40" s="1" a="1"/>
  <c r="AP44" i="40" s="1"/>
  <c r="AS13" i="40"/>
  <c r="AP13" i="40" s="1" a="1"/>
  <c r="AP13" i="40" s="1"/>
  <c r="AS21" i="40"/>
  <c r="AP21" i="40" s="1" a="1"/>
  <c r="AP21" i="40" s="1"/>
  <c r="AS38" i="40"/>
  <c r="AP38" i="40" s="1" a="1"/>
  <c r="AP38" i="40" s="1"/>
  <c r="AS34" i="40"/>
  <c r="AP34" i="40" s="1" a="1"/>
  <c r="AP34" i="40" s="1"/>
  <c r="AS29" i="40"/>
  <c r="AP29" i="40" s="1" a="1"/>
  <c r="AP29" i="40" s="1"/>
  <c r="AS42" i="40"/>
  <c r="AP42" i="40" s="1" a="1"/>
  <c r="AP42" i="40" s="1"/>
  <c r="AS26" i="40"/>
  <c r="AP26" i="40" s="1" a="1"/>
  <c r="AP26" i="40" s="1"/>
  <c r="AS23" i="40"/>
  <c r="AP23" i="40" s="1" a="1"/>
  <c r="AP23" i="40" s="1"/>
  <c r="BA77" i="40"/>
  <c r="BD77" i="40"/>
  <c r="BD78" i="40"/>
  <c r="AS24" i="40"/>
  <c r="AP24" i="40" s="1" a="1"/>
  <c r="AP24" i="40" s="1"/>
  <c r="AS22" i="40"/>
  <c r="AP22" i="40" s="1" a="1"/>
  <c r="AP22" i="40" s="1"/>
  <c r="AS14" i="40"/>
  <c r="AP14" i="40" s="1" a="1"/>
  <c r="AP14" i="40" s="1"/>
  <c r="AS15" i="40"/>
  <c r="AP15" i="40" s="1" a="1"/>
  <c r="AP15" i="40" s="1"/>
  <c r="AS25" i="40"/>
  <c r="AP25" i="40" s="1" a="1"/>
  <c r="AP25" i="40" s="1"/>
  <c r="AS35" i="40"/>
  <c r="AP35" i="40" s="1" a="1"/>
  <c r="AP35" i="40" s="1"/>
  <c r="AS39" i="40"/>
  <c r="AP39" i="40" s="1" a="1"/>
  <c r="AP39" i="40" s="1"/>
  <c r="BD46" i="40"/>
  <c r="BD50" i="40"/>
  <c r="BD41" i="40"/>
  <c r="BE100" i="40" s="1"/>
  <c r="BD42" i="40"/>
  <c r="BE101" i="40" s="1"/>
  <c r="BD49" i="40"/>
  <c r="BD45" i="40"/>
  <c r="BE104" i="40" s="1"/>
  <c r="BD43" i="40"/>
  <c r="BE102" i="40" s="1"/>
  <c r="BD44" i="40"/>
  <c r="BE103" i="40" s="1"/>
  <c r="BD47" i="40"/>
  <c r="BA41" i="40"/>
  <c r="BD48" i="40"/>
  <c r="AS37" i="40"/>
  <c r="AP37" i="40" s="1" a="1"/>
  <c r="AP37" i="40" s="1"/>
  <c r="Z10" i="40"/>
  <c r="AT52" i="40"/>
  <c r="AP48" i="40"/>
  <c r="AS36" i="40"/>
  <c r="AP36" i="40" s="1" a="1"/>
  <c r="AP36" i="40" s="1"/>
  <c r="AS12" i="40"/>
  <c r="AP12" i="40" s="1" a="1"/>
  <c r="AP12" i="40" s="1"/>
  <c r="AM40" i="20" a="1"/>
  <c r="AM41" i="20" a="1"/>
  <c r="AQ41" i="20" a="1"/>
  <c r="AQ32" i="20" a="1"/>
  <c r="AM32" i="20" a="1"/>
  <c r="AK40" i="20" a="1"/>
  <c r="AK32" i="20" a="1"/>
  <c r="Y108" i="38" l="1"/>
  <c r="Y113" i="38" s="1"/>
  <c r="Y116" i="38"/>
  <c r="Y121" i="38" s="1"/>
  <c r="Y105" i="38"/>
  <c r="M6" i="38"/>
  <c r="BH99" i="40"/>
  <c r="BC99" i="40"/>
  <c r="BC98" i="40"/>
  <c r="BD98" i="40" s="1"/>
  <c r="BA98" i="40" s="1"/>
  <c r="BH98" i="40"/>
  <c r="BH115" i="40"/>
  <c r="BC115" i="40"/>
  <c r="BC116" i="40"/>
  <c r="BH116" i="40"/>
  <c r="BC111" i="40"/>
  <c r="BH111" i="40"/>
  <c r="BH110" i="40"/>
  <c r="BC110" i="40"/>
  <c r="BC113" i="40"/>
  <c r="BH113" i="40"/>
  <c r="BH108" i="40"/>
  <c r="BC108" i="40"/>
  <c r="BH109" i="40"/>
  <c r="BC109" i="40"/>
  <c r="BC114" i="40"/>
  <c r="BH114" i="40"/>
  <c r="BH112" i="40"/>
  <c r="BC112" i="40"/>
  <c r="BC117" i="40"/>
  <c r="BH117" i="40"/>
  <c r="BH107" i="40"/>
  <c r="BC107" i="40"/>
  <c r="BC105" i="40"/>
  <c r="BH105" i="40"/>
  <c r="BC106" i="40"/>
  <c r="BH106" i="40"/>
  <c r="F392" i="2" a="1"/>
  <c r="F392" i="2" s="1"/>
  <c r="G392" i="2" s="1"/>
  <c r="K252" i="2"/>
  <c r="AI36" i="20"/>
  <c r="AL36" i="20"/>
  <c r="AP36" i="20"/>
  <c r="AL39" i="20"/>
  <c r="AP39" i="20"/>
  <c r="AJ39" i="20"/>
  <c r="AP33" i="20"/>
  <c r="AJ33" i="20"/>
  <c r="AI37" i="20"/>
  <c r="AP37" i="20"/>
  <c r="AL37" i="20"/>
  <c r="AL33" i="20"/>
  <c r="B7" i="30" a="1"/>
  <c r="C101" i="30" s="1"/>
  <c r="F170" i="35"/>
  <c r="B246" i="35" s="1" a="1"/>
  <c r="B246" i="35" s="1"/>
  <c r="AQ41" i="20"/>
  <c r="AM41" i="20"/>
  <c r="AK40" i="20"/>
  <c r="AM40" i="20"/>
  <c r="AL38" i="20"/>
  <c r="AJ38" i="20"/>
  <c r="AJ41" i="20"/>
  <c r="AP40" i="20"/>
  <c r="L254" i="2"/>
  <c r="M254" i="2" s="1"/>
  <c r="F426" i="2" s="1" a="1"/>
  <c r="F426" i="2" s="1"/>
  <c r="G426" i="2" s="1"/>
  <c r="F190" i="35"/>
  <c r="B270" i="35" s="1" a="1"/>
  <c r="B270" i="35" s="1"/>
  <c r="F180" i="35"/>
  <c r="AP38" i="20"/>
  <c r="AP30" i="20"/>
  <c r="AJ30" i="20"/>
  <c r="AL30" i="20"/>
  <c r="K251" i="2"/>
  <c r="L251" i="2" s="1"/>
  <c r="F380" i="2" s="1" a="1"/>
  <c r="F380" i="2" s="1"/>
  <c r="G380" i="2" s="1"/>
  <c r="W23" i="40"/>
  <c r="AF16" i="40" s="1"/>
  <c r="B255" i="35" a="1"/>
  <c r="B255" i="35" s="1"/>
  <c r="E213" i="35"/>
  <c r="B290" i="35" a="1"/>
  <c r="B290" i="35" s="1"/>
  <c r="E218" i="35"/>
  <c r="F160" i="35"/>
  <c r="B236" i="35" s="1" a="1"/>
  <c r="B236" i="35" s="1"/>
  <c r="F200" i="35"/>
  <c r="AT22" i="30" a="1"/>
  <c r="AT22" i="30" s="1"/>
  <c r="AT23" i="30" s="1"/>
  <c r="D214" i="35"/>
  <c r="L565" i="38"/>
  <c r="I704" i="38" a="1"/>
  <c r="I704" i="38" s="1"/>
  <c r="L564" i="38"/>
  <c r="L566" i="38"/>
  <c r="L567" i="38"/>
  <c r="D21" i="14"/>
  <c r="J278" i="2"/>
  <c r="K278" i="2" s="1"/>
  <c r="F784" i="2" s="1" a="1"/>
  <c r="F784" i="2" s="1"/>
  <c r="G784" i="2" s="1"/>
  <c r="J276" i="2"/>
  <c r="F753" i="2" s="1" a="1"/>
  <c r="F753" i="2" s="1"/>
  <c r="G753" i="2" s="1"/>
  <c r="AT40" i="30"/>
  <c r="F379" i="2" a="1"/>
  <c r="F379" i="2" s="1"/>
  <c r="G379" i="2" s="1"/>
  <c r="F438" i="2" a="1"/>
  <c r="F438" i="2" s="1"/>
  <c r="G438" i="2" s="1"/>
  <c r="K269" i="2"/>
  <c r="F649" i="2" s="1" a="1"/>
  <c r="F649" i="2" s="1"/>
  <c r="G649" i="2" s="1"/>
  <c r="J272" i="2"/>
  <c r="F693" i="2" s="1" a="1"/>
  <c r="F693" i="2" s="1"/>
  <c r="G693" i="2" s="1"/>
  <c r="D217" i="35"/>
  <c r="E217" i="35" s="1"/>
  <c r="K267" i="2"/>
  <c r="L267" i="2" s="1"/>
  <c r="M267" i="2" s="1"/>
  <c r="F621" i="2" s="1" a="1"/>
  <c r="F621" i="2" s="1"/>
  <c r="G621" i="2" s="1"/>
  <c r="L266" i="2"/>
  <c r="M266" i="2" s="1"/>
  <c r="F606" i="2" s="1" a="1"/>
  <c r="F606" i="2" s="1"/>
  <c r="G606" i="2" s="1"/>
  <c r="C21" i="14"/>
  <c r="AH6" i="30" a="1"/>
  <c r="AH6" i="30" s="1"/>
  <c r="AH7" i="30" s="1"/>
  <c r="AD6" i="30" a="1"/>
  <c r="AD6" i="30" s="1"/>
  <c r="AF8" i="30" s="1" a="1"/>
  <c r="AF8" i="30" s="1"/>
  <c r="AD22" i="30" a="1"/>
  <c r="AD22" i="30" s="1"/>
  <c r="AD24" i="30" s="1" a="1"/>
  <c r="AD24" i="30" s="1"/>
  <c r="AH22" i="30" a="1"/>
  <c r="AH22" i="30" s="1"/>
  <c r="AI24" i="30" s="1" a="1"/>
  <c r="AI24" i="30" s="1"/>
  <c r="AP6" i="30" a="1"/>
  <c r="AP6" i="30" s="1"/>
  <c r="AQ7" i="30" s="1"/>
  <c r="AP22" i="30" a="1"/>
  <c r="AP22" i="30" s="1"/>
  <c r="AP24" i="30" s="1" a="1"/>
  <c r="AP24" i="30" s="1"/>
  <c r="AL22" i="30" a="1"/>
  <c r="AL22" i="30" s="1"/>
  <c r="AN24" i="30" s="1" a="1"/>
  <c r="AN24" i="30" s="1"/>
  <c r="AT6" i="30" a="1"/>
  <c r="AT6" i="30" s="1"/>
  <c r="AS8" i="30" s="1" a="1"/>
  <c r="AS8" i="30" s="1"/>
  <c r="AP32" i="30" a="1"/>
  <c r="AP32" i="30" s="1"/>
  <c r="AQ33" i="30" s="1"/>
  <c r="AL6" i="30" a="1"/>
  <c r="AL6" i="30" s="1"/>
  <c r="AM8" i="30" s="1" a="1"/>
  <c r="AM8" i="30" s="1"/>
  <c r="L263" i="2"/>
  <c r="M263" i="2" s="1"/>
  <c r="N263" i="2" s="1"/>
  <c r="F562" i="2" s="1" a="1"/>
  <c r="F562" i="2" s="1"/>
  <c r="G562" i="2" s="1"/>
  <c r="K264" i="2"/>
  <c r="F574" i="2" s="1" a="1"/>
  <c r="F574" i="2" s="1"/>
  <c r="G574" i="2" s="1"/>
  <c r="I245" i="2"/>
  <c r="F287" i="2" s="1" a="1"/>
  <c r="F287" i="2" s="1"/>
  <c r="G287" i="2" s="1"/>
  <c r="L268" i="2"/>
  <c r="F635" i="2" s="1" a="1"/>
  <c r="F635" i="2" s="1"/>
  <c r="G635" i="2" s="1"/>
  <c r="AQ32" i="20"/>
  <c r="AM32" i="20"/>
  <c r="AK32" i="20"/>
  <c r="F364" i="2" a="1"/>
  <c r="F364" i="2" s="1"/>
  <c r="G364" i="2" s="1"/>
  <c r="L250" i="2"/>
  <c r="F365" i="2" s="1" a="1"/>
  <c r="F365" i="2" s="1"/>
  <c r="G365" i="2" s="1"/>
  <c r="F680" i="2" a="1"/>
  <c r="F680" i="2" s="1"/>
  <c r="G680" i="2" s="1"/>
  <c r="M271" i="2"/>
  <c r="F681" i="2" s="1" a="1"/>
  <c r="F681" i="2" s="1"/>
  <c r="G681" i="2" s="1"/>
  <c r="F737" i="2" a="1"/>
  <c r="F737" i="2" s="1"/>
  <c r="G737" i="2" s="1"/>
  <c r="J275" i="2"/>
  <c r="K275" i="2" s="1"/>
  <c r="F739" i="2" s="1" a="1"/>
  <c r="F739" i="2" s="1"/>
  <c r="G739" i="2" s="1"/>
  <c r="F407" i="2" a="1"/>
  <c r="F407" i="2" s="1"/>
  <c r="G407" i="2" s="1"/>
  <c r="J253" i="2"/>
  <c r="L255" i="2"/>
  <c r="F440" i="2" s="1" a="1"/>
  <c r="F440" i="2" s="1"/>
  <c r="G440" i="2" s="1"/>
  <c r="F707" i="2" a="1"/>
  <c r="F707" i="2" s="1"/>
  <c r="G707" i="2" s="1"/>
  <c r="J273" i="2"/>
  <c r="F394" i="2" a="1"/>
  <c r="F394" i="2" s="1"/>
  <c r="G394" i="2" s="1"/>
  <c r="L252" i="2"/>
  <c r="K265" i="2"/>
  <c r="J270" i="2"/>
  <c r="F527" i="2" a="1"/>
  <c r="F527" i="2" s="1"/>
  <c r="G527" i="2" s="1"/>
  <c r="F515" i="2" a="1"/>
  <c r="F515" i="2" s="1"/>
  <c r="G515" i="2" s="1"/>
  <c r="F543" i="2" a="1"/>
  <c r="F543" i="2" s="1"/>
  <c r="G543" i="2" s="1"/>
  <c r="AP34" i="20"/>
  <c r="AJ34" i="20"/>
  <c r="AL34" i="20"/>
  <c r="F304" i="2" a="1"/>
  <c r="F304" i="2" s="1"/>
  <c r="G304" i="2" s="1"/>
  <c r="F498" i="2" a="1"/>
  <c r="F498" i="2" s="1"/>
  <c r="G498" i="2" s="1"/>
  <c r="F334" i="2" a="1"/>
  <c r="F334" i="2" s="1"/>
  <c r="G334" i="2" s="1"/>
  <c r="F483" i="2" a="1"/>
  <c r="F483" i="2" s="1"/>
  <c r="G483" i="2" s="1"/>
  <c r="K258" i="2"/>
  <c r="L258" i="2" s="1"/>
  <c r="F485" i="2" s="1" a="1"/>
  <c r="F485" i="2" s="1"/>
  <c r="G485" i="2" s="1"/>
  <c r="L249" i="2"/>
  <c r="F350" i="2" s="1" a="1"/>
  <c r="F350" i="2" s="1"/>
  <c r="G350" i="2" s="1"/>
  <c r="L248" i="2"/>
  <c r="M248" i="2" s="1"/>
  <c r="L246" i="2"/>
  <c r="F305" i="2" s="1" a="1"/>
  <c r="F305" i="2" s="1"/>
  <c r="G305" i="2" s="1"/>
  <c r="AP35" i="20"/>
  <c r="AJ35" i="20"/>
  <c r="AI35" i="20"/>
  <c r="F363" i="2" a="1"/>
  <c r="F363" i="2" s="1"/>
  <c r="G363" i="2" s="1"/>
  <c r="AJ29" i="20"/>
  <c r="AL29" i="20"/>
  <c r="N254" i="2"/>
  <c r="O254" i="2" s="1"/>
  <c r="F428" i="2" s="1" a="1"/>
  <c r="F428" i="2" s="1"/>
  <c r="G428" i="2" s="1"/>
  <c r="AI29" i="20"/>
  <c r="K259" i="2"/>
  <c r="L259" i="2" s="1"/>
  <c r="F500" i="2" s="1" a="1"/>
  <c r="F500" i="2" s="1"/>
  <c r="G500" i="2" s="1"/>
  <c r="F633" i="2" a="1"/>
  <c r="F633" i="2" s="1"/>
  <c r="G633" i="2" s="1"/>
  <c r="J261" i="2"/>
  <c r="M260" i="2"/>
  <c r="F679" i="2" a="1"/>
  <c r="F679" i="2" s="1"/>
  <c r="G679" i="2" s="1"/>
  <c r="AP28" i="20"/>
  <c r="F317" i="2" a="1"/>
  <c r="F317" i="2" s="1"/>
  <c r="G317" i="2" s="1"/>
  <c r="J247" i="2"/>
  <c r="K257" i="2"/>
  <c r="F469" i="2" s="1" a="1"/>
  <c r="F469" i="2" s="1"/>
  <c r="G469" i="2" s="1"/>
  <c r="AI28" i="20"/>
  <c r="AJ28" i="20"/>
  <c r="F797" i="2" a="1"/>
  <c r="F797" i="2" s="1"/>
  <c r="G797" i="2" s="1"/>
  <c r="K279" i="2"/>
  <c r="F799" i="2" s="1" a="1"/>
  <c r="F799" i="2" s="1"/>
  <c r="G799" i="2" s="1"/>
  <c r="F722" i="2" a="1"/>
  <c r="F722" i="2" s="1"/>
  <c r="G722" i="2" s="1"/>
  <c r="AI31" i="20"/>
  <c r="AH42" i="30" a="1"/>
  <c r="AH42" i="30" s="1"/>
  <c r="AD32" i="30" a="1"/>
  <c r="AD32" i="30" s="1"/>
  <c r="AL42" i="30" a="1"/>
  <c r="AL42" i="30" s="1"/>
  <c r="AP42" i="30" a="1"/>
  <c r="AP42" i="30" s="1"/>
  <c r="AT52" i="30" a="1"/>
  <c r="AT52" i="30" s="1"/>
  <c r="AH52" i="30" a="1"/>
  <c r="AH52" i="30" s="1"/>
  <c r="AD52" i="30" a="1"/>
  <c r="AD52" i="30" s="1"/>
  <c r="AD42" i="30" a="1"/>
  <c r="AD42" i="30" s="1"/>
  <c r="AT42" i="30" a="1"/>
  <c r="AT42" i="30" s="1"/>
  <c r="AL52" i="30" a="1"/>
  <c r="AL52" i="30" s="1"/>
  <c r="AP52" i="30" a="1"/>
  <c r="AP52" i="30" s="1"/>
  <c r="AL31" i="20"/>
  <c r="F439" i="2" a="1"/>
  <c r="F439" i="2" s="1"/>
  <c r="G439" i="2" s="1"/>
  <c r="J256" i="2"/>
  <c r="F768" i="2" a="1"/>
  <c r="F768" i="2" s="1"/>
  <c r="G768" i="2" s="1"/>
  <c r="K277" i="2"/>
  <c r="K262" i="2"/>
  <c r="F544" i="2" s="1" a="1"/>
  <c r="F544" i="2" s="1"/>
  <c r="G544" i="2" s="1"/>
  <c r="AJ31" i="20"/>
  <c r="K274" i="2"/>
  <c r="B113" i="20"/>
  <c r="B199" i="20"/>
  <c r="B133" i="20"/>
  <c r="B151" i="20"/>
  <c r="B122" i="20"/>
  <c r="B70" i="20"/>
  <c r="B195" i="20"/>
  <c r="B149" i="20"/>
  <c r="B136" i="20"/>
  <c r="B137" i="20"/>
  <c r="B58" i="20"/>
  <c r="B138" i="20"/>
  <c r="B197" i="20"/>
  <c r="B96" i="20"/>
  <c r="B104" i="20"/>
  <c r="B164" i="20"/>
  <c r="B38" i="20"/>
  <c r="B130" i="20"/>
  <c r="B172" i="20"/>
  <c r="B85" i="20"/>
  <c r="B174" i="20"/>
  <c r="B64" i="20"/>
  <c r="B208" i="20"/>
  <c r="B92" i="20"/>
  <c r="B84" i="20"/>
  <c r="B140" i="20"/>
  <c r="B45" i="20"/>
  <c r="B73" i="20"/>
  <c r="B63" i="20"/>
  <c r="B180" i="20"/>
  <c r="B87" i="20"/>
  <c r="B95" i="20"/>
  <c r="B127" i="20"/>
  <c r="B170" i="20"/>
  <c r="B159" i="20"/>
  <c r="B161" i="20"/>
  <c r="B111" i="20"/>
  <c r="B52" i="20"/>
  <c r="B204" i="20"/>
  <c r="B103" i="20"/>
  <c r="B165" i="20"/>
  <c r="B121" i="20"/>
  <c r="B154" i="20"/>
  <c r="B132" i="20"/>
  <c r="B81" i="20"/>
  <c r="B75" i="20"/>
  <c r="B125" i="20"/>
  <c r="B78" i="20"/>
  <c r="B86" i="20"/>
  <c r="B76" i="20"/>
  <c r="B143" i="20"/>
  <c r="B198" i="20"/>
  <c r="B176" i="20"/>
  <c r="B134" i="20"/>
  <c r="B207" i="20"/>
  <c r="B41" i="20"/>
  <c r="B102" i="20"/>
  <c r="B49" i="20"/>
  <c r="B109" i="20"/>
  <c r="B173" i="20"/>
  <c r="B100" i="20"/>
  <c r="B163" i="20"/>
  <c r="B34" i="20"/>
  <c r="B142" i="20"/>
  <c r="B190" i="20"/>
  <c r="B79" i="20"/>
  <c r="B33" i="20"/>
  <c r="B55" i="20"/>
  <c r="B150" i="20"/>
  <c r="B71" i="20"/>
  <c r="B97" i="20"/>
  <c r="B185" i="20"/>
  <c r="B187" i="20"/>
  <c r="B182" i="20"/>
  <c r="B201" i="20"/>
  <c r="B51" i="20"/>
  <c r="B72" i="20"/>
  <c r="B116" i="20"/>
  <c r="B135" i="20"/>
  <c r="B200" i="20"/>
  <c r="B126" i="20"/>
  <c r="B162" i="20"/>
  <c r="B124" i="20"/>
  <c r="B146" i="20"/>
  <c r="B93" i="20"/>
  <c r="B53" i="20"/>
  <c r="B175" i="20"/>
  <c r="B66" i="20"/>
  <c r="B28" i="20"/>
  <c r="B29" i="20"/>
  <c r="B147" i="20"/>
  <c r="B83" i="20"/>
  <c r="B155" i="20"/>
  <c r="B47" i="20"/>
  <c r="B206" i="20"/>
  <c r="B211" i="20"/>
  <c r="B42" i="20"/>
  <c r="B32" i="20"/>
  <c r="B214" i="20"/>
  <c r="B112" i="20"/>
  <c r="B50" i="20"/>
  <c r="B39" i="20"/>
  <c r="B44" i="20"/>
  <c r="B59" i="20"/>
  <c r="B186" i="20"/>
  <c r="B156" i="20"/>
  <c r="B153" i="20"/>
  <c r="B62" i="20"/>
  <c r="B193" i="20"/>
  <c r="B145" i="20"/>
  <c r="B141" i="20"/>
  <c r="B191" i="20"/>
  <c r="B43" i="20"/>
  <c r="B77" i="20"/>
  <c r="B80" i="20"/>
  <c r="B177" i="20"/>
  <c r="B188" i="20"/>
  <c r="B178" i="20"/>
  <c r="B169" i="20"/>
  <c r="B213" i="20"/>
  <c r="B99" i="20"/>
  <c r="B128" i="20"/>
  <c r="B157" i="20"/>
  <c r="B35" i="20"/>
  <c r="B69" i="20"/>
  <c r="B118" i="20"/>
  <c r="B40" i="20"/>
  <c r="B168" i="20"/>
  <c r="B90" i="20"/>
  <c r="B60" i="20"/>
  <c r="B120" i="20"/>
  <c r="B74" i="20"/>
  <c r="B212" i="20"/>
  <c r="B196" i="20"/>
  <c r="B56" i="20"/>
  <c r="B131" i="20"/>
  <c r="B82" i="20"/>
  <c r="B179" i="20"/>
  <c r="B107" i="20"/>
  <c r="B106" i="20"/>
  <c r="B158" i="20"/>
  <c r="B205" i="20"/>
  <c r="B202" i="20"/>
  <c r="B166" i="20"/>
  <c r="B94" i="20"/>
  <c r="B31" i="20"/>
  <c r="B36" i="20"/>
  <c r="B144" i="20"/>
  <c r="B91" i="20"/>
  <c r="B139" i="20"/>
  <c r="B194" i="20"/>
  <c r="B152" i="20"/>
  <c r="B123" i="20"/>
  <c r="B89" i="20"/>
  <c r="B98" i="20"/>
  <c r="B61" i="20"/>
  <c r="B210" i="20"/>
  <c r="B119" i="20"/>
  <c r="B88" i="20"/>
  <c r="B148" i="20"/>
  <c r="B101" i="20"/>
  <c r="B65" i="20"/>
  <c r="B108" i="20"/>
  <c r="B209" i="20"/>
  <c r="B57" i="20"/>
  <c r="B105" i="20"/>
  <c r="B37" i="20"/>
  <c r="B203" i="20"/>
  <c r="B110" i="20"/>
  <c r="B160" i="20"/>
  <c r="B215" i="20"/>
  <c r="B115" i="20"/>
  <c r="B54" i="20"/>
  <c r="B129" i="20"/>
  <c r="B114" i="20"/>
  <c r="B183" i="20"/>
  <c r="B67" i="20"/>
  <c r="B68" i="20"/>
  <c r="B167" i="20"/>
  <c r="B192" i="20"/>
  <c r="B46" i="20"/>
  <c r="B189" i="20"/>
  <c r="B30" i="20"/>
  <c r="B184" i="20"/>
  <c r="B48" i="20"/>
  <c r="B171" i="20"/>
  <c r="B181" i="20"/>
  <c r="B117" i="20"/>
  <c r="AR52" i="40"/>
  <c r="AT54" i="40"/>
  <c r="AW52" i="40"/>
  <c r="BH101" i="40"/>
  <c r="BC101" i="40"/>
  <c r="BH103" i="40"/>
  <c r="BC103" i="40"/>
  <c r="BC102" i="40"/>
  <c r="BH102" i="40"/>
  <c r="BC104" i="40"/>
  <c r="BH104" i="40"/>
  <c r="BC100" i="40"/>
  <c r="BH100" i="40"/>
  <c r="BE118" i="40"/>
  <c r="AM37" i="20" a="1"/>
  <c r="AQ37" i="20" a="1"/>
  <c r="AQ40" i="20" a="1"/>
  <c r="AK28" i="20" a="1"/>
  <c r="AK35" i="20" a="1"/>
  <c r="AK36" i="20" a="1"/>
  <c r="AQ33" i="20" a="1"/>
  <c r="AQ30" i="20" a="1"/>
  <c r="AK33" i="20" a="1"/>
  <c r="AM29" i="20" a="1"/>
  <c r="AM34" i="20" a="1"/>
  <c r="AM33" i="20" a="1"/>
  <c r="AQ34" i="20" a="1"/>
  <c r="AM39" i="20" a="1"/>
  <c r="AK29" i="20" a="1"/>
  <c r="AK38" i="20" a="1"/>
  <c r="AK30" i="20" a="1"/>
  <c r="AM36" i="20" a="1"/>
  <c r="AK37" i="20" a="1"/>
  <c r="AQ29" i="20" a="1"/>
  <c r="AM28" i="20" a="1"/>
  <c r="AK31" i="20" a="1"/>
  <c r="AM35" i="20" a="1"/>
  <c r="AM31" i="20" a="1"/>
  <c r="AK39" i="20" a="1"/>
  <c r="AQ35" i="20" a="1"/>
  <c r="AK34" i="20" a="1"/>
  <c r="AQ38" i="20" a="1"/>
  <c r="AM30" i="20" a="1"/>
  <c r="AQ31" i="20" a="1"/>
  <c r="AK41" i="20" a="1"/>
  <c r="AM38" i="20" a="1"/>
  <c r="AQ36" i="20" a="1"/>
  <c r="AQ28" i="20" a="1"/>
  <c r="AQ39" i="20" a="1"/>
  <c r="AT24" i="30" l="1" a="1"/>
  <c r="AT24" i="30" s="1"/>
  <c r="AN40" i="20" a="1"/>
  <c r="AN40" i="20" s="1"/>
  <c r="BD99" i="40"/>
  <c r="BA99" i="40" s="1"/>
  <c r="M251" i="2"/>
  <c r="AK36" i="20"/>
  <c r="AU23" i="30"/>
  <c r="C115" i="30"/>
  <c r="AK39" i="20"/>
  <c r="AQ39" i="20"/>
  <c r="P72" i="20" s="1" a="1"/>
  <c r="P72" i="20" s="1"/>
  <c r="S72" i="20" s="1"/>
  <c r="AM39" i="20"/>
  <c r="AQ36" i="20"/>
  <c r="AM36" i="20"/>
  <c r="AU24" i="30" a="1"/>
  <c r="AU24" i="30" s="1"/>
  <c r="AS24" i="30" a="1"/>
  <c r="AS24" i="30" s="1"/>
  <c r="AV24" i="30" a="1"/>
  <c r="AV24" i="30" s="1"/>
  <c r="C114" i="30"/>
  <c r="C119" i="30"/>
  <c r="C117" i="30"/>
  <c r="C116" i="30"/>
  <c r="C118" i="30"/>
  <c r="C111" i="30"/>
  <c r="D219" i="35"/>
  <c r="E219" i="35" s="1"/>
  <c r="C102" i="30"/>
  <c r="C108" i="30"/>
  <c r="C105" i="30"/>
  <c r="C109" i="30"/>
  <c r="C113" i="30"/>
  <c r="C112" i="30"/>
  <c r="C110" i="30"/>
  <c r="B7" i="30"/>
  <c r="C107" i="30"/>
  <c r="C100" i="30"/>
  <c r="C106" i="30"/>
  <c r="AM33" i="20"/>
  <c r="AQ37" i="20"/>
  <c r="P64" i="20" s="1" a="1"/>
  <c r="P64" i="20" s="1"/>
  <c r="S64" i="20" s="1"/>
  <c r="AM37" i="20"/>
  <c r="AK37" i="20"/>
  <c r="AK33" i="20"/>
  <c r="AQ33" i="20"/>
  <c r="P48" i="20" s="1" a="1"/>
  <c r="P48" i="20" s="1"/>
  <c r="S48" i="20" s="1"/>
  <c r="C103" i="30"/>
  <c r="C104" i="30"/>
  <c r="AQ38" i="20"/>
  <c r="P68" i="20" s="1" a="1"/>
  <c r="P68" i="20" s="1"/>
  <c r="S68" i="20" s="1"/>
  <c r="AQ40" i="20"/>
  <c r="P76" i="20" s="1" a="1"/>
  <c r="P76" i="20" s="1"/>
  <c r="S76" i="20" s="1"/>
  <c r="AK41" i="20"/>
  <c r="AK38" i="20"/>
  <c r="AM38" i="20"/>
  <c r="B260" i="35" a="1"/>
  <c r="B260" i="35" s="1"/>
  <c r="B280" i="35" a="1"/>
  <c r="B280" i="35" s="1"/>
  <c r="L278" i="2"/>
  <c r="B292" i="35" a="1"/>
  <c r="B292" i="35" s="1"/>
  <c r="AO40" i="20" a="1"/>
  <c r="AO40" i="20" s="1"/>
  <c r="F425" i="2" a="1"/>
  <c r="F425" i="2" s="1"/>
  <c r="G425" i="2" s="1"/>
  <c r="AK30" i="20"/>
  <c r="AM30" i="20"/>
  <c r="AQ30" i="20"/>
  <c r="P36" i="20" s="1" a="1"/>
  <c r="P36" i="20" s="1"/>
  <c r="S36" i="20" s="1"/>
  <c r="K276" i="2"/>
  <c r="L269" i="2"/>
  <c r="F650" i="2" s="1" a="1"/>
  <c r="F650" i="2" s="1"/>
  <c r="G650" i="2" s="1"/>
  <c r="F619" i="2" a="1"/>
  <c r="F619" i="2" s="1"/>
  <c r="G619" i="2" s="1"/>
  <c r="F783" i="2" a="1"/>
  <c r="F783" i="2" s="1"/>
  <c r="G783" i="2" s="1"/>
  <c r="F560" i="2" a="1"/>
  <c r="F560" i="2" s="1"/>
  <c r="G560" i="2" s="1"/>
  <c r="M268" i="2"/>
  <c r="F636" i="2" s="1" a="1"/>
  <c r="F636" i="2" s="1"/>
  <c r="G636" i="2" s="1"/>
  <c r="L264" i="2"/>
  <c r="F575" i="2" s="1" a="1"/>
  <c r="F575" i="2" s="1"/>
  <c r="G575" i="2" s="1"/>
  <c r="B256" i="35" a="1"/>
  <c r="B256" i="35" s="1"/>
  <c r="E214" i="35"/>
  <c r="AR8" i="30" a="1"/>
  <c r="AR8" i="30" s="1"/>
  <c r="AO8" i="30" a="1"/>
  <c r="AO8" i="30" s="1"/>
  <c r="L568" i="38"/>
  <c r="AP8" i="30" a="1"/>
  <c r="AP8" i="30" s="1"/>
  <c r="AQ24" i="30" a="1"/>
  <c r="AQ24" i="30" s="1"/>
  <c r="N266" i="2"/>
  <c r="O266" i="2" s="1"/>
  <c r="F608" i="2" s="1" a="1"/>
  <c r="F608" i="2" s="1"/>
  <c r="G608" i="2" s="1"/>
  <c r="AP7" i="30"/>
  <c r="J245" i="2"/>
  <c r="F288" i="2" s="1" a="1"/>
  <c r="F288" i="2" s="1"/>
  <c r="G288" i="2" s="1"/>
  <c r="AI23" i="30"/>
  <c r="F605" i="2" a="1"/>
  <c r="F605" i="2" s="1"/>
  <c r="G605" i="2" s="1"/>
  <c r="K272" i="2"/>
  <c r="AR24" i="30" a="1"/>
  <c r="AR24" i="30" s="1"/>
  <c r="AQ23" i="30"/>
  <c r="AG8" i="30" a="1"/>
  <c r="AG8" i="30" s="1"/>
  <c r="AI7" i="30"/>
  <c r="N271" i="2"/>
  <c r="F682" i="2" s="1" a="1"/>
  <c r="F682" i="2" s="1"/>
  <c r="G682" i="2" s="1"/>
  <c r="AP23" i="30"/>
  <c r="AO24" i="30" a="1"/>
  <c r="AO24" i="30" s="1"/>
  <c r="AD23" i="30"/>
  <c r="AH8" i="30" a="1"/>
  <c r="AH8" i="30" s="1"/>
  <c r="AI8" i="30" a="1"/>
  <c r="AI8" i="30" s="1"/>
  <c r="AJ8" i="30" a="1"/>
  <c r="AJ8" i="30" s="1"/>
  <c r="AL24" i="30" a="1"/>
  <c r="AL24" i="30" s="1"/>
  <c r="AM24" i="30" a="1"/>
  <c r="AM24" i="30" s="1"/>
  <c r="AL23" i="30"/>
  <c r="AC8" i="30" a="1"/>
  <c r="AC8" i="30" s="1"/>
  <c r="AM23" i="30"/>
  <c r="AD7" i="30"/>
  <c r="AQ8" i="30" a="1"/>
  <c r="AQ8" i="30" s="1"/>
  <c r="AV8" i="30" a="1"/>
  <c r="AV8" i="30" s="1"/>
  <c r="AT8" i="30" a="1"/>
  <c r="AT8" i="30" s="1"/>
  <c r="AU7" i="30"/>
  <c r="AU8" i="30" a="1"/>
  <c r="AU8" i="30" s="1"/>
  <c r="AE7" i="30"/>
  <c r="AE8" i="30" a="1"/>
  <c r="AE8" i="30" s="1"/>
  <c r="AJ24" i="30" a="1"/>
  <c r="AJ24" i="30" s="1"/>
  <c r="AD8" i="30" a="1"/>
  <c r="AD8" i="30" s="1"/>
  <c r="AH24" i="30" a="1"/>
  <c r="AH24" i="30" s="1"/>
  <c r="AH23" i="30"/>
  <c r="AG24" i="30" a="1"/>
  <c r="AG24" i="30" s="1"/>
  <c r="AT7" i="30"/>
  <c r="AC24" i="30" a="1"/>
  <c r="AC24" i="30" s="1"/>
  <c r="AE24" i="30" a="1"/>
  <c r="AE24" i="30" s="1"/>
  <c r="AE23" i="30"/>
  <c r="AF24" i="30" a="1"/>
  <c r="AF24" i="30" s="1"/>
  <c r="AO32" i="20" a="1"/>
  <c r="AO32" i="20" s="1"/>
  <c r="D44" i="20" s="1"/>
  <c r="AK8" i="30" a="1"/>
  <c r="AK8" i="30" s="1"/>
  <c r="AM7" i="30"/>
  <c r="AL8" i="30" a="1"/>
  <c r="AL8" i="30" s="1"/>
  <c r="AL7" i="30"/>
  <c r="AO34" i="30" a="1"/>
  <c r="AO34" i="30" s="1"/>
  <c r="AN8" i="30" a="1"/>
  <c r="AN8" i="30" s="1"/>
  <c r="AR34" i="30" a="1"/>
  <c r="AR34" i="30" s="1"/>
  <c r="AP33" i="30"/>
  <c r="AQ34" i="30" a="1"/>
  <c r="AQ34" i="30" s="1"/>
  <c r="AP34" i="30" a="1"/>
  <c r="AP34" i="30" s="1"/>
  <c r="AN32" i="20" a="1"/>
  <c r="AN32" i="20" s="1"/>
  <c r="C44" i="20" s="1"/>
  <c r="AK24" i="30" a="1"/>
  <c r="AK24" i="30" s="1"/>
  <c r="M278" i="2"/>
  <c r="F786" i="2" s="1" a="1"/>
  <c r="F786" i="2" s="1"/>
  <c r="G786" i="2" s="1"/>
  <c r="L276" i="2"/>
  <c r="AU30" i="30"/>
  <c r="F663" i="2" a="1"/>
  <c r="F663" i="2" s="1"/>
  <c r="G663" i="2" s="1"/>
  <c r="F589" i="2" a="1"/>
  <c r="F589" i="2" s="1"/>
  <c r="G589" i="2" s="1"/>
  <c r="L265" i="2"/>
  <c r="K270" i="2"/>
  <c r="M252" i="2"/>
  <c r="F395" i="2" a="1"/>
  <c r="F395" i="2" s="1"/>
  <c r="G395" i="2" s="1"/>
  <c r="F708" i="2" a="1"/>
  <c r="F708" i="2" s="1"/>
  <c r="G708" i="2" s="1"/>
  <c r="K273" i="2"/>
  <c r="L273" i="2" s="1"/>
  <c r="F408" i="2" a="1"/>
  <c r="F408" i="2" s="1"/>
  <c r="G408" i="2" s="1"/>
  <c r="K253" i="2"/>
  <c r="L275" i="2"/>
  <c r="M275" i="2" s="1"/>
  <c r="F738" i="2" a="1"/>
  <c r="F738" i="2" s="1"/>
  <c r="G738" i="2" s="1"/>
  <c r="M250" i="2"/>
  <c r="F366" i="2" s="1" a="1"/>
  <c r="F366" i="2" s="1"/>
  <c r="G366" i="2" s="1"/>
  <c r="M255" i="2"/>
  <c r="N267" i="2"/>
  <c r="F622" i="2" s="1" a="1"/>
  <c r="F622" i="2" s="1"/>
  <c r="G622" i="2" s="1"/>
  <c r="AM34" i="20"/>
  <c r="AK29" i="20"/>
  <c r="AM29" i="20"/>
  <c r="AQ29" i="20"/>
  <c r="P32" i="20" s="1" a="1"/>
  <c r="P32" i="20" s="1"/>
  <c r="S32" i="20" s="1"/>
  <c r="AQ35" i="20"/>
  <c r="P56" i="20" s="1" a="1"/>
  <c r="P56" i="20" s="1"/>
  <c r="S56" i="20" s="1"/>
  <c r="AK34" i="20"/>
  <c r="AQ34" i="20"/>
  <c r="P52" i="20" s="1" a="1"/>
  <c r="P52" i="20" s="1"/>
  <c r="S52" i="20" s="1"/>
  <c r="AK28" i="20"/>
  <c r="AM28" i="20"/>
  <c r="AK35" i="20"/>
  <c r="AM35" i="20"/>
  <c r="AQ28" i="20"/>
  <c r="P28" i="20" s="1" a="1"/>
  <c r="P28" i="20" s="1"/>
  <c r="S28" i="20" s="1"/>
  <c r="AK31" i="20"/>
  <c r="AM31" i="20"/>
  <c r="AQ31" i="20"/>
  <c r="P40" i="20" s="1" a="1"/>
  <c r="P40" i="20" s="1"/>
  <c r="S40" i="20" s="1"/>
  <c r="F336" i="2" a="1"/>
  <c r="F336" i="2" s="1"/>
  <c r="G336" i="2" s="1"/>
  <c r="N248" i="2"/>
  <c r="W152" i="20"/>
  <c r="W153" i="20"/>
  <c r="AA152" i="20"/>
  <c r="W154" i="20"/>
  <c r="AB152" i="20"/>
  <c r="W155" i="20"/>
  <c r="C152" i="20"/>
  <c r="P152" i="20" a="1"/>
  <c r="P152" i="20" s="1"/>
  <c r="S152" i="20" s="1"/>
  <c r="D152" i="20"/>
  <c r="AB116" i="20"/>
  <c r="C116" i="20"/>
  <c r="AA116" i="20"/>
  <c r="P116" i="20" a="1"/>
  <c r="P116" i="20" s="1"/>
  <c r="S116" i="20" s="1"/>
  <c r="W119" i="20"/>
  <c r="W118" i="20"/>
  <c r="D116" i="20"/>
  <c r="W116" i="20"/>
  <c r="W117" i="20"/>
  <c r="P88" i="20" a="1"/>
  <c r="P88" i="20" s="1"/>
  <c r="W91" i="20"/>
  <c r="W89" i="20"/>
  <c r="C88" i="20"/>
  <c r="W90" i="20"/>
  <c r="W88" i="20"/>
  <c r="D88" i="20"/>
  <c r="W41" i="20"/>
  <c r="AA40" i="20"/>
  <c r="AB40" i="20"/>
  <c r="W43" i="20"/>
  <c r="W40" i="20"/>
  <c r="W42" i="20"/>
  <c r="F516" i="2" a="1"/>
  <c r="F516" i="2" s="1"/>
  <c r="G516" i="2" s="1"/>
  <c r="W131" i="20"/>
  <c r="W128" i="20"/>
  <c r="C128" i="20"/>
  <c r="W130" i="20"/>
  <c r="W129" i="20"/>
  <c r="AB128" i="20"/>
  <c r="D128" i="20"/>
  <c r="AA128" i="20"/>
  <c r="P128" i="20" a="1"/>
  <c r="P128" i="20" s="1"/>
  <c r="S128" i="20" s="1"/>
  <c r="D140" i="20"/>
  <c r="W143" i="20"/>
  <c r="W142" i="20"/>
  <c r="C140" i="20"/>
  <c r="P140" i="20" a="1"/>
  <c r="P140" i="20" s="1"/>
  <c r="S140" i="20" s="1"/>
  <c r="W140" i="20"/>
  <c r="AB140" i="20"/>
  <c r="AA140" i="20"/>
  <c r="W141" i="20"/>
  <c r="W51" i="20"/>
  <c r="W48" i="20"/>
  <c r="W50" i="20"/>
  <c r="W49" i="20"/>
  <c r="AA48" i="20"/>
  <c r="AB48" i="20"/>
  <c r="AB28" i="20"/>
  <c r="W31" i="20"/>
  <c r="W28" i="20"/>
  <c r="W30" i="20"/>
  <c r="W29" i="20"/>
  <c r="AA28" i="20"/>
  <c r="C84" i="20"/>
  <c r="W85" i="20"/>
  <c r="P84" i="20" a="1"/>
  <c r="P84" i="20" s="1"/>
  <c r="S84" i="20" s="1"/>
  <c r="D84" i="20"/>
  <c r="W84" i="20"/>
  <c r="W86" i="20"/>
  <c r="W87" i="20"/>
  <c r="AB84" i="20"/>
  <c r="AA84" i="20"/>
  <c r="F528" i="2" a="1"/>
  <c r="F528" i="2" s="1"/>
  <c r="G528" i="2" s="1"/>
  <c r="W208" i="20"/>
  <c r="C208" i="20"/>
  <c r="W210" i="20"/>
  <c r="D208" i="20"/>
  <c r="AB208" i="20"/>
  <c r="P208" i="20" a="1"/>
  <c r="P208" i="20" s="1"/>
  <c r="S208" i="20" s="1"/>
  <c r="W211" i="20"/>
  <c r="W209" i="20"/>
  <c r="AA208" i="20"/>
  <c r="F724" i="2" a="1"/>
  <c r="F724" i="2" s="1"/>
  <c r="G724" i="2" s="1"/>
  <c r="W102" i="20"/>
  <c r="AA100" i="20"/>
  <c r="W101" i="20"/>
  <c r="P100" i="20" a="1"/>
  <c r="P100" i="20" s="1"/>
  <c r="S100" i="20" s="1"/>
  <c r="AB100" i="20"/>
  <c r="W103" i="20"/>
  <c r="W100" i="20"/>
  <c r="D100" i="20"/>
  <c r="C100" i="20"/>
  <c r="AB64" i="20"/>
  <c r="W67" i="20"/>
  <c r="AA64" i="20"/>
  <c r="W64" i="20"/>
  <c r="W66" i="20"/>
  <c r="W65" i="20"/>
  <c r="P254" i="2"/>
  <c r="F429" i="2" s="1" a="1"/>
  <c r="F429" i="2" s="1"/>
  <c r="G429" i="2" s="1"/>
  <c r="K261" i="2"/>
  <c r="F529" i="2" s="1" a="1"/>
  <c r="F529" i="2" s="1"/>
  <c r="G529" i="2" s="1"/>
  <c r="P180" i="20" a="1"/>
  <c r="P180" i="20" s="1"/>
  <c r="S180" i="20" s="1"/>
  <c r="AA180" i="20"/>
  <c r="C180" i="20"/>
  <c r="AB180" i="20"/>
  <c r="W181" i="20"/>
  <c r="W183" i="20"/>
  <c r="D180" i="20"/>
  <c r="W180" i="20"/>
  <c r="W182" i="20"/>
  <c r="C188" i="20"/>
  <c r="W191" i="20"/>
  <c r="AB188" i="20"/>
  <c r="W188" i="20"/>
  <c r="AA188" i="20"/>
  <c r="D188" i="20"/>
  <c r="W189" i="20"/>
  <c r="W190" i="20"/>
  <c r="P188" i="20" a="1"/>
  <c r="P188" i="20" s="1"/>
  <c r="S188" i="20" s="1"/>
  <c r="W176" i="20"/>
  <c r="W177" i="20"/>
  <c r="W179" i="20"/>
  <c r="AA176" i="20"/>
  <c r="C176" i="20"/>
  <c r="D176" i="20"/>
  <c r="P176" i="20" a="1"/>
  <c r="P176" i="20" s="1"/>
  <c r="S176" i="20" s="1"/>
  <c r="AB176" i="20"/>
  <c r="W178" i="20"/>
  <c r="W194" i="20"/>
  <c r="W195" i="20"/>
  <c r="AB192" i="20"/>
  <c r="AA192" i="20"/>
  <c r="P192" i="20" a="1"/>
  <c r="P192" i="20" s="1"/>
  <c r="S192" i="20" s="1"/>
  <c r="W192" i="20"/>
  <c r="C192" i="20"/>
  <c r="W193" i="20"/>
  <c r="D192" i="20"/>
  <c r="W146" i="20"/>
  <c r="AA144" i="20"/>
  <c r="AB144" i="20"/>
  <c r="C144" i="20"/>
  <c r="W144" i="20"/>
  <c r="W147" i="20"/>
  <c r="D144" i="20"/>
  <c r="P144" i="20" a="1"/>
  <c r="P144" i="20" s="1"/>
  <c r="S144" i="20" s="1"/>
  <c r="W145" i="20"/>
  <c r="F427" i="2" a="1"/>
  <c r="F427" i="2" s="1"/>
  <c r="G427" i="2" s="1"/>
  <c r="W92" i="20"/>
  <c r="W95" i="20"/>
  <c r="AB92" i="20"/>
  <c r="W93" i="20"/>
  <c r="W94" i="20"/>
  <c r="D92" i="20"/>
  <c r="P92" i="20" a="1"/>
  <c r="P92" i="20" s="1"/>
  <c r="S92" i="20" s="1"/>
  <c r="AA92" i="20"/>
  <c r="C92" i="20"/>
  <c r="W39" i="20"/>
  <c r="AA36" i="20"/>
  <c r="W38" i="20"/>
  <c r="AB36" i="20"/>
  <c r="W36" i="20"/>
  <c r="W37" i="20"/>
  <c r="W81" i="20"/>
  <c r="W83" i="20"/>
  <c r="W80" i="20"/>
  <c r="W82" i="20"/>
  <c r="P80" i="20" a="1"/>
  <c r="P80" i="20" s="1"/>
  <c r="S80" i="20" s="1"/>
  <c r="AA80" i="20"/>
  <c r="AB80" i="20"/>
  <c r="C124" i="20"/>
  <c r="AB124" i="20"/>
  <c r="W125" i="20"/>
  <c r="D124" i="20"/>
  <c r="P124" i="20" a="1"/>
  <c r="P124" i="20" s="1"/>
  <c r="S124" i="20" s="1"/>
  <c r="AA124" i="20"/>
  <c r="W124" i="20"/>
  <c r="W127" i="20"/>
  <c r="W126" i="20"/>
  <c r="P172" i="20" a="1"/>
  <c r="P172" i="20" s="1"/>
  <c r="S172" i="20" s="1"/>
  <c r="AB172" i="20"/>
  <c r="W172" i="20"/>
  <c r="AA172" i="20"/>
  <c r="D172" i="20"/>
  <c r="W175" i="20"/>
  <c r="W173" i="20"/>
  <c r="W174" i="20"/>
  <c r="C172" i="20"/>
  <c r="F561" i="2" a="1"/>
  <c r="F561" i="2" s="1"/>
  <c r="G561" i="2" s="1"/>
  <c r="O263" i="2"/>
  <c r="F563" i="2" s="1" a="1"/>
  <c r="F563" i="2" s="1"/>
  <c r="G563" i="2" s="1"/>
  <c r="W69" i="20"/>
  <c r="AA68" i="20"/>
  <c r="W70" i="20"/>
  <c r="AB68" i="20"/>
  <c r="W71" i="20"/>
  <c r="W68" i="20"/>
  <c r="W77" i="20"/>
  <c r="D76" i="20"/>
  <c r="AA76" i="20"/>
  <c r="AB76" i="20"/>
  <c r="C76" i="20"/>
  <c r="W78" i="20"/>
  <c r="W76" i="20"/>
  <c r="W79" i="20"/>
  <c r="AT30" i="30"/>
  <c r="D164" i="20"/>
  <c r="W165" i="20"/>
  <c r="AA164" i="20"/>
  <c r="AB164" i="20"/>
  <c r="P164" i="20" a="1"/>
  <c r="P164" i="20" s="1"/>
  <c r="S164" i="20" s="1"/>
  <c r="W164" i="20"/>
  <c r="W166" i="20"/>
  <c r="C164" i="20"/>
  <c r="W167" i="20"/>
  <c r="W106" i="20"/>
  <c r="D104" i="20"/>
  <c r="W105" i="20"/>
  <c r="W107" i="20"/>
  <c r="P104" i="20" a="1"/>
  <c r="P104" i="20" s="1"/>
  <c r="S104" i="20" s="1"/>
  <c r="W104" i="20"/>
  <c r="AA104" i="20"/>
  <c r="C104" i="20"/>
  <c r="AB104" i="20"/>
  <c r="AP53" i="30" a="1"/>
  <c r="AP53" i="30" s="1"/>
  <c r="AQ53" i="30" a="1"/>
  <c r="AQ53" i="30" s="1"/>
  <c r="AR53" i="30" a="1"/>
  <c r="AR53" i="30" s="1"/>
  <c r="AO53" i="30" a="1"/>
  <c r="AO53" i="30" s="1"/>
  <c r="AK53" i="30" a="1"/>
  <c r="AK53" i="30" s="1"/>
  <c r="AL53" i="30" a="1"/>
  <c r="AL53" i="30" s="1"/>
  <c r="AM53" i="30" a="1"/>
  <c r="AM53" i="30" s="1"/>
  <c r="AN53" i="30" a="1"/>
  <c r="AN53" i="30" s="1"/>
  <c r="AV43" i="30" a="1"/>
  <c r="AV43" i="30" s="1"/>
  <c r="AS43" i="30" a="1"/>
  <c r="AS43" i="30" s="1"/>
  <c r="AT43" i="30" a="1"/>
  <c r="AT43" i="30" s="1"/>
  <c r="AU43" i="30" a="1"/>
  <c r="AU43" i="30" s="1"/>
  <c r="F499" i="2" a="1"/>
  <c r="F499" i="2" s="1"/>
  <c r="G499" i="2" s="1"/>
  <c r="L257" i="2"/>
  <c r="M257" i="2" s="1"/>
  <c r="F471" i="2" s="1" a="1"/>
  <c r="F471" i="2" s="1"/>
  <c r="G471" i="2" s="1"/>
  <c r="AA72" i="20"/>
  <c r="W73" i="20"/>
  <c r="W72" i="20"/>
  <c r="W75" i="20"/>
  <c r="W74" i="20"/>
  <c r="AB72" i="20"/>
  <c r="W135" i="20"/>
  <c r="W134" i="20"/>
  <c r="W133" i="20"/>
  <c r="P132" i="20" a="1"/>
  <c r="P132" i="20" s="1"/>
  <c r="S132" i="20" s="1"/>
  <c r="AA132" i="20"/>
  <c r="AB132" i="20"/>
  <c r="D132" i="20"/>
  <c r="W132" i="20"/>
  <c r="C132" i="20"/>
  <c r="AF43" i="30" a="1"/>
  <c r="AF43" i="30" s="1"/>
  <c r="AC43" i="30" a="1"/>
  <c r="AC43" i="30" s="1"/>
  <c r="AE43" i="30" a="1"/>
  <c r="AE43" i="30" s="1"/>
  <c r="AD43" i="30" a="1"/>
  <c r="AD43" i="30" s="1"/>
  <c r="L279" i="2"/>
  <c r="M279" i="2" s="1"/>
  <c r="F801" i="2" s="1" a="1"/>
  <c r="F801" i="2" s="1"/>
  <c r="G801" i="2" s="1"/>
  <c r="AF53" i="30" a="1"/>
  <c r="AF53" i="30" s="1"/>
  <c r="AC53" i="30" a="1"/>
  <c r="AC53" i="30" s="1"/>
  <c r="AD53" i="30" a="1"/>
  <c r="AD53" i="30" s="1"/>
  <c r="AE53" i="30" a="1"/>
  <c r="AE53" i="30" s="1"/>
  <c r="F620" i="2" a="1"/>
  <c r="F620" i="2" s="1"/>
  <c r="G620" i="2" s="1"/>
  <c r="F484" i="2" a="1"/>
  <c r="F484" i="2" s="1"/>
  <c r="G484" i="2" s="1"/>
  <c r="M258" i="2"/>
  <c r="L274" i="2"/>
  <c r="W96" i="20"/>
  <c r="AA96" i="20"/>
  <c r="AB96" i="20"/>
  <c r="D96" i="20"/>
  <c r="W97" i="20"/>
  <c r="C96" i="20"/>
  <c r="W99" i="20"/>
  <c r="P96" i="20" a="1"/>
  <c r="P96" i="20" s="1"/>
  <c r="S96" i="20" s="1"/>
  <c r="W98" i="20"/>
  <c r="P160" i="20" a="1"/>
  <c r="P160" i="20" s="1"/>
  <c r="S160" i="20" s="1"/>
  <c r="W161" i="20"/>
  <c r="W160" i="20"/>
  <c r="AA160" i="20"/>
  <c r="D160" i="20"/>
  <c r="W163" i="20"/>
  <c r="AB160" i="20"/>
  <c r="W162" i="20"/>
  <c r="C160" i="20"/>
  <c r="D156" i="20"/>
  <c r="W156" i="20"/>
  <c r="AB156" i="20"/>
  <c r="W159" i="20"/>
  <c r="AA156" i="20"/>
  <c r="W157" i="20"/>
  <c r="W158" i="20"/>
  <c r="P156" i="20" a="1"/>
  <c r="P156" i="20" s="1"/>
  <c r="S156" i="20" s="1"/>
  <c r="C156" i="20"/>
  <c r="F769" i="2" a="1"/>
  <c r="F769" i="2" s="1"/>
  <c r="G769" i="2" s="1"/>
  <c r="L277" i="2"/>
  <c r="M277" i="2" s="1"/>
  <c r="AI53" i="30" a="1"/>
  <c r="AI53" i="30" s="1"/>
  <c r="AJ53" i="30" a="1"/>
  <c r="AJ53" i="30" s="1"/>
  <c r="AG53" i="30" a="1"/>
  <c r="AG53" i="30" s="1"/>
  <c r="AH53" i="30" a="1"/>
  <c r="AH53" i="30" s="1"/>
  <c r="W138" i="20"/>
  <c r="C136" i="20"/>
  <c r="W139" i="20"/>
  <c r="W137" i="20"/>
  <c r="AB136" i="20"/>
  <c r="P136" i="20" a="1"/>
  <c r="P136" i="20" s="1"/>
  <c r="S136" i="20" s="1"/>
  <c r="D136" i="20"/>
  <c r="AA136" i="20"/>
  <c r="W136" i="20"/>
  <c r="AV53" i="30" a="1"/>
  <c r="AV53" i="30" s="1"/>
  <c r="AS53" i="30" a="1"/>
  <c r="AS53" i="30" s="1"/>
  <c r="AU53" i="30" a="1"/>
  <c r="AU53" i="30" s="1"/>
  <c r="AT53" i="30" a="1"/>
  <c r="AT53" i="30" s="1"/>
  <c r="AK43" i="30" a="1"/>
  <c r="AK43" i="30" s="1"/>
  <c r="AL43" i="30" a="1"/>
  <c r="AL43" i="30" s="1"/>
  <c r="AN43" i="30" a="1"/>
  <c r="AN43" i="30" s="1"/>
  <c r="AM43" i="30" a="1"/>
  <c r="AM43" i="30" s="1"/>
  <c r="M246" i="2"/>
  <c r="N250" i="2"/>
  <c r="F453" i="2" a="1"/>
  <c r="F453" i="2" s="1"/>
  <c r="G453" i="2" s="1"/>
  <c r="K256" i="2"/>
  <c r="F454" i="2" s="1" a="1"/>
  <c r="F454" i="2" s="1"/>
  <c r="G454" i="2" s="1"/>
  <c r="F318" i="2" a="1"/>
  <c r="F318" i="2" s="1"/>
  <c r="G318" i="2" s="1"/>
  <c r="K247" i="2"/>
  <c r="F319" i="2" s="1" a="1"/>
  <c r="F319" i="2" s="1"/>
  <c r="G319" i="2" s="1"/>
  <c r="W45" i="20"/>
  <c r="W46" i="20"/>
  <c r="W44" i="20"/>
  <c r="W47" i="20"/>
  <c r="AA8" i="30" a="1"/>
  <c r="AA8" i="30" s="1"/>
  <c r="AA55" i="30" a="1"/>
  <c r="AA55" i="30" s="1"/>
  <c r="AE33" i="30"/>
  <c r="AA63" i="30" a="1"/>
  <c r="AA63" i="30" s="1"/>
  <c r="AA9" i="30" a="1"/>
  <c r="AA9" i="30" s="1"/>
  <c r="AA32" i="30" a="1"/>
  <c r="AA32" i="30" s="1"/>
  <c r="AA37" i="30" a="1"/>
  <c r="AA37" i="30" s="1"/>
  <c r="AA49" i="30" a="1"/>
  <c r="AA49" i="30" s="1"/>
  <c r="AA43" i="30" a="1"/>
  <c r="AA43" i="30" s="1"/>
  <c r="AA33" i="30" a="1"/>
  <c r="AA33" i="30" s="1"/>
  <c r="AA30" i="30" a="1"/>
  <c r="AA30" i="30" s="1"/>
  <c r="AA52" i="30" a="1"/>
  <c r="AA52" i="30" s="1"/>
  <c r="AA10" i="30" a="1"/>
  <c r="AA10" i="30" s="1"/>
  <c r="AC34" i="30" a="1"/>
  <c r="AC34" i="30" s="1"/>
  <c r="AA12" i="30" a="1"/>
  <c r="AA12" i="30" s="1"/>
  <c r="AA31" i="30" a="1"/>
  <c r="AA31" i="30" s="1"/>
  <c r="AA28" i="30" a="1"/>
  <c r="AA28" i="30" s="1"/>
  <c r="AE34" i="30" a="1"/>
  <c r="AE34" i="30" s="1"/>
  <c r="AD33" i="30"/>
  <c r="AA61" i="30" a="1"/>
  <c r="AA61" i="30" s="1"/>
  <c r="AL32" i="30" a="1"/>
  <c r="AL32" i="30" s="1"/>
  <c r="AA22" i="30" a="1"/>
  <c r="AA22" i="30" s="1"/>
  <c r="AA38" i="30" a="1"/>
  <c r="AA38" i="30" s="1"/>
  <c r="AA45" i="30" a="1"/>
  <c r="AA45" i="30" s="1"/>
  <c r="AH32" i="30" a="1"/>
  <c r="AH32" i="30" s="1"/>
  <c r="AA20" i="30" a="1"/>
  <c r="AA20" i="30" s="1"/>
  <c r="AA62" i="30" a="1"/>
  <c r="AA62" i="30" s="1"/>
  <c r="AA11" i="30" a="1"/>
  <c r="AA11" i="30" s="1"/>
  <c r="AA35" i="30" a="1"/>
  <c r="AA35" i="30" s="1"/>
  <c r="AA48" i="30" a="1"/>
  <c r="AA48" i="30" s="1"/>
  <c r="AA51" i="30" a="1"/>
  <c r="AA51" i="30" s="1"/>
  <c r="AA29" i="30" a="1"/>
  <c r="AA29" i="30" s="1"/>
  <c r="AA58" i="30" a="1"/>
  <c r="AA58" i="30" s="1"/>
  <c r="AA47" i="30" a="1"/>
  <c r="AA47" i="30" s="1"/>
  <c r="AA39" i="30" a="1"/>
  <c r="AA39" i="30" s="1"/>
  <c r="AA26" i="30" a="1"/>
  <c r="AA26" i="30" s="1"/>
  <c r="AA36" i="30" a="1"/>
  <c r="AA36" i="30" s="1"/>
  <c r="AA25" i="30" a="1"/>
  <c r="AA25" i="30" s="1"/>
  <c r="AA41" i="30" a="1"/>
  <c r="AA41" i="30" s="1"/>
  <c r="AA34" i="30" a="1"/>
  <c r="AA34" i="30" s="1"/>
  <c r="AA40" i="30" a="1"/>
  <c r="AA40" i="30" s="1"/>
  <c r="AA42" i="30" a="1"/>
  <c r="AA42" i="30" s="1"/>
  <c r="AA60" i="30" a="1"/>
  <c r="AA60" i="30" s="1"/>
  <c r="AA24" i="30" a="1"/>
  <c r="AA24" i="30" s="1"/>
  <c r="AA50" i="30" a="1"/>
  <c r="AA50" i="30" s="1"/>
  <c r="AA16" i="30" a="1"/>
  <c r="AA16" i="30" s="1"/>
  <c r="AA54" i="30" a="1"/>
  <c r="AA54" i="30" s="1"/>
  <c r="AA64" i="30" a="1"/>
  <c r="AA64" i="30" s="1"/>
  <c r="AA53" i="30" a="1"/>
  <c r="AA53" i="30" s="1"/>
  <c r="AA18" i="30" a="1"/>
  <c r="AA18" i="30" s="1"/>
  <c r="AA59" i="30" a="1"/>
  <c r="AA59" i="30" s="1"/>
  <c r="AA44" i="30" a="1"/>
  <c r="AA44" i="30" s="1"/>
  <c r="AD34" i="30" a="1"/>
  <c r="AD34" i="30" s="1"/>
  <c r="AA13" i="30" a="1"/>
  <c r="AA13" i="30" s="1"/>
  <c r="AA15" i="30" a="1"/>
  <c r="AA15" i="30" s="1"/>
  <c r="AA57" i="30" a="1"/>
  <c r="AA57" i="30" s="1"/>
  <c r="AA7" i="30" a="1"/>
  <c r="AA7" i="30" s="1"/>
  <c r="AA27" i="30" a="1"/>
  <c r="AA27" i="30" s="1"/>
  <c r="AA46" i="30" a="1"/>
  <c r="AA46" i="30" s="1"/>
  <c r="AA21" i="30" a="1"/>
  <c r="AA21" i="30" s="1"/>
  <c r="AF34" i="30" a="1"/>
  <c r="AF34" i="30" s="1"/>
  <c r="AA14" i="30" a="1"/>
  <c r="AA14" i="30" s="1"/>
  <c r="AA17" i="30" a="1"/>
  <c r="AA17" i="30" s="1"/>
  <c r="AA23" i="30" a="1"/>
  <c r="AA23" i="30" s="1"/>
  <c r="AA19" i="30" a="1"/>
  <c r="AA19" i="30" s="1"/>
  <c r="AA56" i="30" a="1"/>
  <c r="AA56" i="30" s="1"/>
  <c r="AA212" i="20"/>
  <c r="W214" i="20"/>
  <c r="C212" i="20"/>
  <c r="P212" i="20" a="1"/>
  <c r="P212" i="20" s="1"/>
  <c r="S212" i="20" s="1"/>
  <c r="W212" i="20"/>
  <c r="W215" i="20"/>
  <c r="D212" i="20"/>
  <c r="W213" i="20"/>
  <c r="AB212" i="20"/>
  <c r="AG43" i="30" a="1"/>
  <c r="AG43" i="30" s="1"/>
  <c r="AH43" i="30" a="1"/>
  <c r="AH43" i="30" s="1"/>
  <c r="AI43" i="30" a="1"/>
  <c r="AI43" i="30" s="1"/>
  <c r="AJ43" i="30" a="1"/>
  <c r="AJ43" i="30" s="1"/>
  <c r="L262" i="2"/>
  <c r="F545" i="2" s="1" a="1"/>
  <c r="F545" i="2" s="1"/>
  <c r="G545" i="2" s="1"/>
  <c r="AQ43" i="30" a="1"/>
  <c r="AQ43" i="30" s="1"/>
  <c r="AR43" i="30" a="1"/>
  <c r="AR43" i="30" s="1"/>
  <c r="AO43" i="30" a="1"/>
  <c r="AO43" i="30" s="1"/>
  <c r="AP43" i="30" a="1"/>
  <c r="AP43" i="30" s="1"/>
  <c r="AB52" i="20"/>
  <c r="W54" i="20"/>
  <c r="AA52" i="20"/>
  <c r="W53" i="20"/>
  <c r="W52" i="20"/>
  <c r="W55" i="20"/>
  <c r="D112" i="20"/>
  <c r="W114" i="20"/>
  <c r="AB112" i="20"/>
  <c r="W113" i="20"/>
  <c r="P112" i="20" a="1"/>
  <c r="P112" i="20" s="1"/>
  <c r="S112" i="20" s="1"/>
  <c r="AA112" i="20"/>
  <c r="C112" i="20"/>
  <c r="W115" i="20"/>
  <c r="W112" i="20"/>
  <c r="M249" i="2"/>
  <c r="P44" i="20" a="1"/>
  <c r="P44" i="20" s="1"/>
  <c r="S44" i="20" s="1"/>
  <c r="K245" i="2"/>
  <c r="L245" i="2" s="1"/>
  <c r="F290" i="2" s="1" a="1"/>
  <c r="F290" i="2" s="1"/>
  <c r="G290" i="2" s="1"/>
  <c r="W57" i="20"/>
  <c r="AB56" i="20"/>
  <c r="W59" i="20"/>
  <c r="W56" i="20"/>
  <c r="W58" i="20"/>
  <c r="AA56" i="20"/>
  <c r="F381" i="2" a="1"/>
  <c r="F381" i="2" s="1"/>
  <c r="G381" i="2" s="1"/>
  <c r="N251" i="2"/>
  <c r="O251" i="2" s="1"/>
  <c r="D184" i="20"/>
  <c r="C184" i="20"/>
  <c r="W184" i="20"/>
  <c r="W186" i="20"/>
  <c r="W185" i="20"/>
  <c r="W187" i="20"/>
  <c r="AB184" i="20"/>
  <c r="P184" i="20" a="1"/>
  <c r="P184" i="20" s="1"/>
  <c r="AA184" i="20"/>
  <c r="W205" i="20"/>
  <c r="AB204" i="20"/>
  <c r="W207" i="20"/>
  <c r="AA204" i="20"/>
  <c r="P204" i="20" a="1"/>
  <c r="P204" i="20" s="1"/>
  <c r="S204" i="20" s="1"/>
  <c r="W206" i="20"/>
  <c r="D204" i="20"/>
  <c r="W204" i="20"/>
  <c r="C204" i="20"/>
  <c r="W199" i="20"/>
  <c r="W196" i="20"/>
  <c r="W197" i="20"/>
  <c r="D196" i="20"/>
  <c r="P196" i="20" a="1"/>
  <c r="P196" i="20" s="1"/>
  <c r="S196" i="20" s="1"/>
  <c r="C196" i="20"/>
  <c r="W198" i="20"/>
  <c r="AB196" i="20"/>
  <c r="AA196" i="20"/>
  <c r="F785" i="2" a="1"/>
  <c r="F785" i="2" s="1"/>
  <c r="G785" i="2" s="1"/>
  <c r="W62" i="20"/>
  <c r="AA60" i="20"/>
  <c r="P60" i="20" a="1"/>
  <c r="P60" i="20" s="1"/>
  <c r="S60" i="20" s="1"/>
  <c r="AB60" i="20"/>
  <c r="W63" i="20"/>
  <c r="W60" i="20"/>
  <c r="W61" i="20"/>
  <c r="W34" i="20"/>
  <c r="W35" i="20"/>
  <c r="AA32" i="20"/>
  <c r="AB32" i="20"/>
  <c r="W32" i="20"/>
  <c r="W33" i="20"/>
  <c r="F607" i="2" a="1"/>
  <c r="F607" i="2" s="1"/>
  <c r="G607" i="2" s="1"/>
  <c r="P266" i="2"/>
  <c r="F609" i="2" s="1" a="1"/>
  <c r="F609" i="2" s="1"/>
  <c r="G609" i="2" s="1"/>
  <c r="F335" i="2" a="1"/>
  <c r="F335" i="2" s="1"/>
  <c r="G335" i="2" s="1"/>
  <c r="M259" i="2"/>
  <c r="F501" i="2" s="1" a="1"/>
  <c r="F501" i="2" s="1"/>
  <c r="G501" i="2" s="1"/>
  <c r="W200" i="20"/>
  <c r="W202" i="20"/>
  <c r="AB200" i="20"/>
  <c r="C200" i="20"/>
  <c r="D200" i="20"/>
  <c r="W203" i="20"/>
  <c r="AA200" i="20"/>
  <c r="W201" i="20"/>
  <c r="P200" i="20" a="1"/>
  <c r="P200" i="20" s="1"/>
  <c r="S200" i="20" s="1"/>
  <c r="W111" i="20"/>
  <c r="D108" i="20"/>
  <c r="C108" i="20"/>
  <c r="P108" i="20" a="1"/>
  <c r="P108" i="20" s="1"/>
  <c r="S108" i="20" s="1"/>
  <c r="W109" i="20"/>
  <c r="W108" i="20"/>
  <c r="W110" i="20"/>
  <c r="AB108" i="20"/>
  <c r="AA108" i="20"/>
  <c r="C120" i="20"/>
  <c r="W122" i="20"/>
  <c r="W123" i="20"/>
  <c r="D120" i="20"/>
  <c r="W121" i="20"/>
  <c r="W120" i="20"/>
  <c r="P120" i="20" a="1"/>
  <c r="P120" i="20" s="1"/>
  <c r="S120" i="20" s="1"/>
  <c r="AB120" i="20"/>
  <c r="AA120" i="20"/>
  <c r="C148" i="20"/>
  <c r="W150" i="20"/>
  <c r="W151" i="20"/>
  <c r="D148" i="20"/>
  <c r="AA148" i="20"/>
  <c r="W149" i="20"/>
  <c r="W148" i="20"/>
  <c r="P148" i="20" a="1"/>
  <c r="P148" i="20" s="1"/>
  <c r="S148" i="20" s="1"/>
  <c r="AB148" i="20"/>
  <c r="W168" i="20"/>
  <c r="W171" i="20"/>
  <c r="C168" i="20"/>
  <c r="AA168" i="20"/>
  <c r="W170" i="20"/>
  <c r="P168" i="20" a="1"/>
  <c r="P168" i="20" s="1"/>
  <c r="S168" i="20" s="1"/>
  <c r="AB168" i="20"/>
  <c r="D168" i="20"/>
  <c r="W169" i="20"/>
  <c r="N260" i="2"/>
  <c r="F517" i="2" s="1" a="1"/>
  <c r="F517" i="2" s="1"/>
  <c r="G517" i="2" s="1"/>
  <c r="F754" i="2" a="1"/>
  <c r="F754" i="2" s="1"/>
  <c r="G754" i="2" s="1"/>
  <c r="BD104" i="40"/>
  <c r="BA104" i="40" s="1"/>
  <c r="AR54" i="40"/>
  <c r="AW54" i="40"/>
  <c r="BD105" i="40"/>
  <c r="BA105" i="40" s="1"/>
  <c r="BD112" i="40"/>
  <c r="BA112" i="40" s="1"/>
  <c r="BD115" i="40"/>
  <c r="BA115" i="40" s="1"/>
  <c r="BD116" i="40"/>
  <c r="BA116" i="40" s="1"/>
  <c r="BD107" i="40"/>
  <c r="BA107" i="40" s="1"/>
  <c r="BD109" i="40"/>
  <c r="BA109" i="40" s="1"/>
  <c r="BD111" i="40"/>
  <c r="BA111" i="40" s="1"/>
  <c r="BD117" i="40"/>
  <c r="BA117" i="40" s="1"/>
  <c r="BD100" i="40"/>
  <c r="BA100" i="40" s="1"/>
  <c r="BD108" i="40"/>
  <c r="BA108" i="40" s="1"/>
  <c r="BD113" i="40"/>
  <c r="BA113" i="40" s="1"/>
  <c r="BD110" i="40"/>
  <c r="BA110" i="40" s="1"/>
  <c r="BD114" i="40"/>
  <c r="BA114" i="40" s="1"/>
  <c r="BD106" i="40"/>
  <c r="BA106" i="40" s="1"/>
  <c r="BD102" i="40"/>
  <c r="BA102" i="40" s="1"/>
  <c r="BD103" i="40"/>
  <c r="BA103" i="40" s="1"/>
  <c r="BD101" i="40"/>
  <c r="BA101" i="40" s="1"/>
  <c r="M269" i="2" l="1"/>
  <c r="F651" i="2" s="1" a="1"/>
  <c r="F651" i="2" s="1"/>
  <c r="G651" i="2" s="1"/>
  <c r="O267" i="2"/>
  <c r="AN36" i="20" a="1"/>
  <c r="AN36" i="20" s="1"/>
  <c r="C60" i="20" s="1"/>
  <c r="AO36" i="20" a="1"/>
  <c r="AO36" i="20" s="1"/>
  <c r="D60" i="20" s="1"/>
  <c r="N268" i="2"/>
  <c r="AP40" i="30"/>
  <c r="AN37" i="20" a="1"/>
  <c r="AN37" i="20" s="1"/>
  <c r="C64" i="20" s="1"/>
  <c r="AN39" i="20" a="1"/>
  <c r="AN39" i="20" s="1"/>
  <c r="C72" i="20" s="1"/>
  <c r="AN33" i="20" a="1"/>
  <c r="AN33" i="20" s="1"/>
  <c r="C48" i="20" s="1"/>
  <c r="AO39" i="20" a="1"/>
  <c r="AO39" i="20" s="1"/>
  <c r="D72" i="20" s="1"/>
  <c r="AO33" i="20" a="1"/>
  <c r="AO33" i="20" s="1"/>
  <c r="D48" i="20" s="1"/>
  <c r="AD48" i="20" s="1"/>
  <c r="V48" i="20" s="1"/>
  <c r="AQ30" i="30"/>
  <c r="B7" i="35" a="1"/>
  <c r="C113" i="35" s="1"/>
  <c r="AN30" i="20" a="1"/>
  <c r="AN30" i="20" s="1"/>
  <c r="C36" i="20" s="1"/>
  <c r="AO30" i="20" a="1"/>
  <c r="AO30" i="20" s="1"/>
  <c r="D36" i="20" s="1"/>
  <c r="AO37" i="20" a="1"/>
  <c r="AO37" i="20" s="1"/>
  <c r="D64" i="20" s="1"/>
  <c r="M264" i="2"/>
  <c r="AN38" i="20" a="1"/>
  <c r="AN38" i="20" s="1"/>
  <c r="C68" i="20" s="1"/>
  <c r="AO38" i="20" a="1"/>
  <c r="AO38" i="20" s="1"/>
  <c r="D68" i="20" s="1"/>
  <c r="AO41" i="20" a="1"/>
  <c r="AO41" i="20" s="1"/>
  <c r="D80" i="20" s="1"/>
  <c r="AN41" i="20" a="1"/>
  <c r="AN41" i="20" s="1"/>
  <c r="C80" i="20" s="1"/>
  <c r="O271" i="2"/>
  <c r="F683" i="2" s="1" a="1"/>
  <c r="F683" i="2" s="1"/>
  <c r="G683" i="2" s="1"/>
  <c r="AH20" i="30"/>
  <c r="AP20" i="30"/>
  <c r="AP30" i="30"/>
  <c r="AQ40" i="30"/>
  <c r="C130" i="35"/>
  <c r="C129" i="35"/>
  <c r="AI20" i="30"/>
  <c r="L272" i="2"/>
  <c r="F694" i="2" a="1"/>
  <c r="F694" i="2" s="1"/>
  <c r="G694" i="2" s="1"/>
  <c r="AU20" i="30"/>
  <c r="AT20" i="30"/>
  <c r="AQ20" i="30"/>
  <c r="AL30" i="30"/>
  <c r="AM30" i="30"/>
  <c r="AI30" i="30"/>
  <c r="AD30" i="30"/>
  <c r="AL20" i="30"/>
  <c r="AE20" i="30"/>
  <c r="AD20" i="30"/>
  <c r="AE30" i="30"/>
  <c r="AM20" i="30"/>
  <c r="AH30" i="30"/>
  <c r="L261" i="2"/>
  <c r="F530" i="2" s="1" a="1"/>
  <c r="F530" i="2" s="1"/>
  <c r="G530" i="2" s="1"/>
  <c r="Q254" i="2"/>
  <c r="F430" i="2" s="1" a="1"/>
  <c r="F430" i="2" s="1"/>
  <c r="G430" i="2" s="1"/>
  <c r="N278" i="2"/>
  <c r="AU50" i="30"/>
  <c r="AD60" i="30"/>
  <c r="AI50" i="30"/>
  <c r="N269" i="2"/>
  <c r="F652" i="2" s="1" a="1"/>
  <c r="F652" i="2" s="1"/>
  <c r="G652" i="2" s="1"/>
  <c r="AT60" i="30"/>
  <c r="AQ50" i="30"/>
  <c r="AL50" i="30"/>
  <c r="F637" i="2" a="1"/>
  <c r="F637" i="2" s="1"/>
  <c r="G637" i="2" s="1"/>
  <c r="O268" i="2"/>
  <c r="Q44" i="20"/>
  <c r="R44" i="20"/>
  <c r="AC168" i="20"/>
  <c r="U168" i="20" s="1"/>
  <c r="AN29" i="20" a="1"/>
  <c r="AN29" i="20" s="1"/>
  <c r="C32" i="20" s="1"/>
  <c r="F741" i="2" a="1"/>
  <c r="F741" i="2" s="1"/>
  <c r="G741" i="2" s="1"/>
  <c r="F710" i="2" a="1"/>
  <c r="F710" i="2" s="1"/>
  <c r="G710" i="2" s="1"/>
  <c r="M273" i="2"/>
  <c r="F711" i="2" s="1" a="1"/>
  <c r="F711" i="2" s="1"/>
  <c r="G711" i="2" s="1"/>
  <c r="L256" i="2"/>
  <c r="F455" i="2" s="1" a="1"/>
  <c r="F455" i="2" s="1"/>
  <c r="G455" i="2" s="1"/>
  <c r="AD92" i="20"/>
  <c r="V92" i="20" s="1"/>
  <c r="AD84" i="20"/>
  <c r="V84" i="20" s="1"/>
  <c r="F441" i="2" a="1"/>
  <c r="F441" i="2" s="1"/>
  <c r="G441" i="2" s="1"/>
  <c r="N255" i="2"/>
  <c r="O255" i="2" s="1"/>
  <c r="F443" i="2" s="1" a="1"/>
  <c r="F443" i="2" s="1"/>
  <c r="G443" i="2" s="1"/>
  <c r="F740" i="2" a="1"/>
  <c r="F740" i="2" s="1"/>
  <c r="G740" i="2" s="1"/>
  <c r="N275" i="2"/>
  <c r="F742" i="2" s="1" a="1"/>
  <c r="F742" i="2" s="1"/>
  <c r="G742" i="2" s="1"/>
  <c r="AL60" i="30"/>
  <c r="L253" i="2"/>
  <c r="F409" i="2" a="1"/>
  <c r="F409" i="2" s="1"/>
  <c r="G409" i="2" s="1"/>
  <c r="AC204" i="20"/>
  <c r="U204" i="20" s="1"/>
  <c r="AE50" i="30"/>
  <c r="F709" i="2" a="1"/>
  <c r="F709" i="2" s="1"/>
  <c r="G709" i="2" s="1"/>
  <c r="AP60" i="30"/>
  <c r="Q266" i="2"/>
  <c r="F610" i="2" s="1" a="1"/>
  <c r="F610" i="2" s="1"/>
  <c r="G610" i="2" s="1"/>
  <c r="AE40" i="30"/>
  <c r="F396" i="2" a="1"/>
  <c r="F396" i="2" s="1"/>
  <c r="G396" i="2" s="1"/>
  <c r="N252" i="2"/>
  <c r="O252" i="2" s="1"/>
  <c r="F398" i="2" s="1" a="1"/>
  <c r="F398" i="2" s="1"/>
  <c r="G398" i="2" s="1"/>
  <c r="F664" i="2" a="1"/>
  <c r="F664" i="2" s="1"/>
  <c r="G664" i="2" s="1"/>
  <c r="F590" i="2" a="1"/>
  <c r="F590" i="2" s="1"/>
  <c r="G590" i="2" s="1"/>
  <c r="M265" i="2"/>
  <c r="L270" i="2"/>
  <c r="L247" i="2"/>
  <c r="M247" i="2" s="1"/>
  <c r="F755" i="2" a="1"/>
  <c r="F755" i="2" s="1"/>
  <c r="G755" i="2" s="1"/>
  <c r="AI60" i="30"/>
  <c r="M276" i="2"/>
  <c r="AC132" i="20"/>
  <c r="U132" i="20" s="1"/>
  <c r="AD180" i="20"/>
  <c r="V180" i="20" s="1"/>
  <c r="AD192" i="20"/>
  <c r="V192" i="20" s="1"/>
  <c r="AC76" i="20"/>
  <c r="U76" i="20" s="1"/>
  <c r="AC188" i="20"/>
  <c r="U188" i="20" s="1"/>
  <c r="AD208" i="20"/>
  <c r="V208" i="20" s="1"/>
  <c r="AD120" i="20"/>
  <c r="V120" i="20" s="1"/>
  <c r="AD156" i="20"/>
  <c r="V156" i="20" s="1"/>
  <c r="AD140" i="20"/>
  <c r="V140" i="20" s="1"/>
  <c r="AD200" i="20"/>
  <c r="V200" i="20" s="1"/>
  <c r="F771" i="2" a="1"/>
  <c r="F771" i="2" s="1"/>
  <c r="G771" i="2" s="1"/>
  <c r="N277" i="2"/>
  <c r="F383" i="2" a="1"/>
  <c r="F383" i="2" s="1"/>
  <c r="G383" i="2" s="1"/>
  <c r="F623" i="2" a="1"/>
  <c r="F623" i="2" s="1"/>
  <c r="G623" i="2" s="1"/>
  <c r="P267" i="2"/>
  <c r="AD124" i="20"/>
  <c r="V124" i="20" s="1"/>
  <c r="AC176" i="20"/>
  <c r="U176" i="20" s="1"/>
  <c r="AC120" i="20"/>
  <c r="U120" i="20" s="1"/>
  <c r="AP50" i="30"/>
  <c r="AI34" i="30" a="1"/>
  <c r="AI34" i="30" s="1"/>
  <c r="AH33" i="30"/>
  <c r="AI33" i="30"/>
  <c r="AJ34" i="30" a="1"/>
  <c r="AJ34" i="30" s="1"/>
  <c r="AH34" i="30" a="1"/>
  <c r="AH34" i="30" s="1"/>
  <c r="AG34" i="30" a="1"/>
  <c r="AG34" i="30" s="1"/>
  <c r="F470" i="2" a="1"/>
  <c r="F470" i="2" s="1"/>
  <c r="G470" i="2" s="1"/>
  <c r="N257" i="2"/>
  <c r="AC164" i="20"/>
  <c r="U164" i="20" s="1"/>
  <c r="AD204" i="20"/>
  <c r="V204" i="20" s="1"/>
  <c r="AU60" i="30"/>
  <c r="AC100" i="20"/>
  <c r="U100" i="20" s="1"/>
  <c r="AE60" i="30"/>
  <c r="N259" i="2"/>
  <c r="AD100" i="20"/>
  <c r="V100" i="20" s="1"/>
  <c r="AK34" i="30" a="1"/>
  <c r="AK34" i="30" s="1"/>
  <c r="AM34" i="30" a="1"/>
  <c r="AM34" i="30" s="1"/>
  <c r="AN34" i="30" a="1"/>
  <c r="AN34" i="30" s="1"/>
  <c r="AL33" i="30"/>
  <c r="AM33" i="30"/>
  <c r="AL34" i="30" a="1"/>
  <c r="AL34" i="30" s="1"/>
  <c r="AC160" i="20"/>
  <c r="U160" i="20" s="1"/>
  <c r="AD40" i="30"/>
  <c r="AD136" i="20"/>
  <c r="V136" i="20" s="1"/>
  <c r="AT50" i="30"/>
  <c r="AD188" i="20"/>
  <c r="V188" i="20" s="1"/>
  <c r="AC140" i="20"/>
  <c r="U140" i="20" s="1"/>
  <c r="AD168" i="20"/>
  <c r="V168" i="20" s="1"/>
  <c r="AC108" i="20"/>
  <c r="U108" i="20" s="1"/>
  <c r="AD164" i="20"/>
  <c r="V164" i="20" s="1"/>
  <c r="F337" i="2" a="1"/>
  <c r="F337" i="2" s="1"/>
  <c r="G337" i="2" s="1"/>
  <c r="O248" i="2"/>
  <c r="AD108" i="20"/>
  <c r="V108" i="20" s="1"/>
  <c r="F289" i="2" a="1"/>
  <c r="F289" i="2" s="1"/>
  <c r="G289" i="2" s="1"/>
  <c r="AD144" i="20"/>
  <c r="V144" i="20" s="1"/>
  <c r="AD160" i="20"/>
  <c r="V160" i="20" s="1"/>
  <c r="F800" i="2" a="1"/>
  <c r="F800" i="2" s="1"/>
  <c r="G800" i="2" s="1"/>
  <c r="N279" i="2"/>
  <c r="F802" i="2" s="1" a="1"/>
  <c r="F802" i="2" s="1"/>
  <c r="G802" i="2" s="1"/>
  <c r="AD50" i="30"/>
  <c r="P263" i="2"/>
  <c r="F351" i="2" a="1"/>
  <c r="F351" i="2" s="1"/>
  <c r="G351" i="2" s="1"/>
  <c r="N249" i="2"/>
  <c r="AH50" i="30"/>
  <c r="AC136" i="20"/>
  <c r="U136" i="20" s="1"/>
  <c r="AC144" i="20"/>
  <c r="U144" i="20" s="1"/>
  <c r="AM60" i="30"/>
  <c r="AD128" i="20"/>
  <c r="V128" i="20" s="1"/>
  <c r="O260" i="2"/>
  <c r="M274" i="2"/>
  <c r="F726" i="2" s="1" a="1"/>
  <c r="F726" i="2" s="1"/>
  <c r="G726" i="2" s="1"/>
  <c r="AC84" i="20"/>
  <c r="U84" i="20" s="1"/>
  <c r="AC200" i="20"/>
  <c r="U200" i="20" s="1"/>
  <c r="AC184" i="20"/>
  <c r="AD212" i="20"/>
  <c r="V212" i="20" s="1"/>
  <c r="F367" i="2" a="1"/>
  <c r="F367" i="2" s="1"/>
  <c r="G367" i="2" s="1"/>
  <c r="AD184" i="20"/>
  <c r="AH60" i="30"/>
  <c r="AD132" i="20"/>
  <c r="V132" i="20" s="1"/>
  <c r="AC172" i="20"/>
  <c r="U172" i="20" s="1"/>
  <c r="AC128" i="20"/>
  <c r="U128" i="20" s="1"/>
  <c r="F306" i="2" a="1"/>
  <c r="F306" i="2" s="1"/>
  <c r="G306" i="2" s="1"/>
  <c r="N246" i="2"/>
  <c r="F307" i="2" s="1" a="1"/>
  <c r="F307" i="2" s="1"/>
  <c r="G307" i="2" s="1"/>
  <c r="AC96" i="20"/>
  <c r="U96" i="20" s="1"/>
  <c r="AC192" i="20"/>
  <c r="U192" i="20" s="1"/>
  <c r="AN31" i="20" a="1"/>
  <c r="AN31" i="20" s="1"/>
  <c r="C40" i="20" s="1"/>
  <c r="AO31" i="20" a="1"/>
  <c r="AO31" i="20" s="1"/>
  <c r="D40" i="20" s="1"/>
  <c r="AQ60" i="30"/>
  <c r="AC180" i="20"/>
  <c r="U180" i="20" s="1"/>
  <c r="AC112" i="20"/>
  <c r="U112" i="20" s="1"/>
  <c r="AC212" i="20"/>
  <c r="U212" i="20" s="1"/>
  <c r="AM50" i="30"/>
  <c r="AD96" i="20"/>
  <c r="V96" i="20" s="1"/>
  <c r="AD116" i="20"/>
  <c r="V116" i="20" s="1"/>
  <c r="AD148" i="20"/>
  <c r="V148" i="20" s="1"/>
  <c r="AD172" i="20"/>
  <c r="V172" i="20" s="1"/>
  <c r="AC92" i="20"/>
  <c r="U92" i="20" s="1"/>
  <c r="AN35" i="20" a="1"/>
  <c r="AN35" i="20" s="1"/>
  <c r="C56" i="20" s="1"/>
  <c r="AO35" i="20" a="1"/>
  <c r="AO35" i="20" s="1"/>
  <c r="D56" i="20" s="1"/>
  <c r="AC104" i="20"/>
  <c r="U104" i="20" s="1"/>
  <c r="O250" i="2"/>
  <c r="AO28" i="20" a="1"/>
  <c r="AO28" i="20" s="1"/>
  <c r="D28" i="20" s="1"/>
  <c r="AN28" i="20" a="1"/>
  <c r="AN28" i="20" s="1"/>
  <c r="C28" i="20" s="1"/>
  <c r="AC148" i="20"/>
  <c r="U148" i="20" s="1"/>
  <c r="F725" i="2" a="1"/>
  <c r="F725" i="2" s="1"/>
  <c r="G725" i="2" s="1"/>
  <c r="F770" i="2" a="1"/>
  <c r="F770" i="2" s="1"/>
  <c r="G770" i="2" s="1"/>
  <c r="F382" i="2" a="1"/>
  <c r="F382" i="2" s="1"/>
  <c r="G382" i="2" s="1"/>
  <c r="P251" i="2"/>
  <c r="F384" i="2" s="1" a="1"/>
  <c r="F384" i="2" s="1"/>
  <c r="G384" i="2" s="1"/>
  <c r="AD112" i="20"/>
  <c r="V112" i="20" s="1"/>
  <c r="AC208" i="20"/>
  <c r="U208" i="20" s="1"/>
  <c r="AC116" i="20"/>
  <c r="U116" i="20" s="1"/>
  <c r="AO34" i="20" a="1"/>
  <c r="AO34" i="20" s="1"/>
  <c r="D52" i="20" s="1"/>
  <c r="AN34" i="20" a="1"/>
  <c r="AN34" i="20" s="1"/>
  <c r="C52" i="20" s="1"/>
  <c r="AC196" i="20"/>
  <c r="U196" i="20" s="1"/>
  <c r="AD76" i="20"/>
  <c r="V76" i="20" s="1"/>
  <c r="AD152" i="20"/>
  <c r="V152" i="20" s="1"/>
  <c r="F486" i="2" a="1"/>
  <c r="F486" i="2" s="1"/>
  <c r="G486" i="2" s="1"/>
  <c r="AD104" i="20"/>
  <c r="V104" i="20" s="1"/>
  <c r="AD196" i="20"/>
  <c r="V196" i="20" s="1"/>
  <c r="AC156" i="20"/>
  <c r="U156" i="20" s="1"/>
  <c r="N258" i="2"/>
  <c r="O258" i="2" s="1"/>
  <c r="F488" i="2" s="1" a="1"/>
  <c r="F488" i="2" s="1"/>
  <c r="G488" i="2" s="1"/>
  <c r="AC124" i="20"/>
  <c r="U124" i="20" s="1"/>
  <c r="AC152" i="20"/>
  <c r="U152" i="20" s="1"/>
  <c r="AO29" i="20" a="1"/>
  <c r="AO29" i="20" s="1"/>
  <c r="D32" i="20" s="1"/>
  <c r="M262" i="2"/>
  <c r="AD176" i="20"/>
  <c r="V176" i="20" s="1"/>
  <c r="M245" i="2"/>
  <c r="AD64" i="20" l="1"/>
  <c r="V64" i="20" s="1"/>
  <c r="AC72" i="20"/>
  <c r="U72" i="20" s="1"/>
  <c r="AD72" i="20"/>
  <c r="V72" i="20" s="1"/>
  <c r="AC64" i="20"/>
  <c r="U64" i="20" s="1"/>
  <c r="R64" i="20" s="1"/>
  <c r="AD60" i="20"/>
  <c r="V60" i="20" s="1"/>
  <c r="AC60" i="20"/>
  <c r="U60" i="20" s="1"/>
  <c r="AC48" i="20"/>
  <c r="U48" i="20" s="1"/>
  <c r="R48" i="20" s="1"/>
  <c r="AC36" i="20"/>
  <c r="U36" i="20" s="1"/>
  <c r="P271" i="2"/>
  <c r="AD36" i="20"/>
  <c r="V36" i="20" s="1"/>
  <c r="AC80" i="20"/>
  <c r="U80" i="20" s="1"/>
  <c r="C100" i="35"/>
  <c r="C101" i="35"/>
  <c r="AC68" i="20"/>
  <c r="U68" i="20" s="1"/>
  <c r="C103" i="35"/>
  <c r="C109" i="35"/>
  <c r="C124" i="35"/>
  <c r="C128" i="35"/>
  <c r="C105" i="35"/>
  <c r="C123" i="35"/>
  <c r="C127" i="35"/>
  <c r="C106" i="35"/>
  <c r="C125" i="35"/>
  <c r="C126" i="35"/>
  <c r="C107" i="35"/>
  <c r="C116" i="35"/>
  <c r="C104" i="35"/>
  <c r="C110" i="35"/>
  <c r="C121" i="35"/>
  <c r="C120" i="35"/>
  <c r="C117" i="35"/>
  <c r="C119" i="35"/>
  <c r="C114" i="35"/>
  <c r="C115" i="35"/>
  <c r="B7" i="35"/>
  <c r="C108" i="35"/>
  <c r="C102" i="35"/>
  <c r="C112" i="35"/>
  <c r="C118" i="35"/>
  <c r="C111" i="35"/>
  <c r="C122" i="35"/>
  <c r="AD68" i="20"/>
  <c r="V68" i="20" s="1"/>
  <c r="AD80" i="20"/>
  <c r="V80" i="20" s="1"/>
  <c r="F576" i="2" a="1"/>
  <c r="F576" i="2" s="1"/>
  <c r="G576" i="2" s="1"/>
  <c r="N264" i="2"/>
  <c r="R254" i="2"/>
  <c r="F695" i="2" a="1"/>
  <c r="F695" i="2" s="1"/>
  <c r="G695" i="2" s="1"/>
  <c r="M272" i="2"/>
  <c r="R266" i="2"/>
  <c r="F611" i="2" s="1" a="1"/>
  <c r="F611" i="2" s="1"/>
  <c r="G611" i="2" s="1"/>
  <c r="O269" i="2"/>
  <c r="F653" i="2" s="1" a="1"/>
  <c r="F653" i="2" s="1"/>
  <c r="G653" i="2" s="1"/>
  <c r="M261" i="2"/>
  <c r="F531" i="2" s="1" a="1"/>
  <c r="F531" i="2" s="1"/>
  <c r="G531" i="2" s="1"/>
  <c r="Q204" i="20"/>
  <c r="N273" i="2"/>
  <c r="F712" i="2" s="1" a="1"/>
  <c r="F712" i="2" s="1"/>
  <c r="G712" i="2" s="1"/>
  <c r="F787" i="2" a="1"/>
  <c r="F787" i="2" s="1"/>
  <c r="G787" i="2" s="1"/>
  <c r="O278" i="2"/>
  <c r="Q168" i="20"/>
  <c r="R132" i="20"/>
  <c r="F320" i="2" a="1"/>
  <c r="F320" i="2" s="1"/>
  <c r="G320" i="2" s="1"/>
  <c r="M256" i="2"/>
  <c r="F456" i="2" s="1" a="1"/>
  <c r="F456" i="2" s="1"/>
  <c r="G456" i="2" s="1"/>
  <c r="F638" i="2" a="1"/>
  <c r="F638" i="2" s="1"/>
  <c r="G638" i="2" s="1"/>
  <c r="P268" i="2"/>
  <c r="O279" i="2"/>
  <c r="F803" i="2" s="1" a="1"/>
  <c r="F803" i="2" s="1"/>
  <c r="G803" i="2" s="1"/>
  <c r="R204" i="20"/>
  <c r="AC52" i="20"/>
  <c r="U52" i="20" s="1"/>
  <c r="M253" i="2"/>
  <c r="F410" i="2" a="1"/>
  <c r="F410" i="2" s="1"/>
  <c r="G410" i="2" s="1"/>
  <c r="O275" i="2"/>
  <c r="F743" i="2" s="1" a="1"/>
  <c r="F743" i="2" s="1"/>
  <c r="G743" i="2" s="1"/>
  <c r="F756" i="2" a="1"/>
  <c r="F756" i="2" s="1"/>
  <c r="G756" i="2" s="1"/>
  <c r="N276" i="2"/>
  <c r="F757" i="2" s="1" a="1"/>
  <c r="F757" i="2" s="1"/>
  <c r="G757" i="2" s="1"/>
  <c r="AH40" i="30"/>
  <c r="F442" i="2" a="1"/>
  <c r="F442" i="2" s="1"/>
  <c r="G442" i="2" s="1"/>
  <c r="P255" i="2"/>
  <c r="F665" i="2" a="1"/>
  <c r="F665" i="2" s="1"/>
  <c r="G665" i="2" s="1"/>
  <c r="AC28" i="20"/>
  <c r="U28" i="20" s="1"/>
  <c r="R140" i="20"/>
  <c r="N265" i="2"/>
  <c r="F591" i="2" a="1"/>
  <c r="F591" i="2" s="1"/>
  <c r="G591" i="2" s="1"/>
  <c r="P252" i="2"/>
  <c r="M270" i="2"/>
  <c r="O246" i="2"/>
  <c r="P246" i="2" s="1"/>
  <c r="AL40" i="30"/>
  <c r="F397" i="2" a="1"/>
  <c r="F397" i="2" s="1"/>
  <c r="G397" i="2" s="1"/>
  <c r="AD40" i="20"/>
  <c r="V40" i="20" s="1"/>
  <c r="AD56" i="20"/>
  <c r="V56" i="20" s="1"/>
  <c r="R168" i="20"/>
  <c r="Q140" i="20"/>
  <c r="Q132" i="20"/>
  <c r="AD52" i="20"/>
  <c r="V52" i="20" s="1"/>
  <c r="Q208" i="20"/>
  <c r="R208" i="20"/>
  <c r="R112" i="20"/>
  <c r="Q112" i="20"/>
  <c r="F518" i="2" a="1"/>
  <c r="F518" i="2" s="1"/>
  <c r="G518" i="2" s="1"/>
  <c r="P260" i="2"/>
  <c r="Q64" i="20"/>
  <c r="Q180" i="20"/>
  <c r="R180" i="20"/>
  <c r="F321" i="2" a="1"/>
  <c r="F321" i="2" s="1"/>
  <c r="G321" i="2" s="1"/>
  <c r="N247" i="2"/>
  <c r="F546" i="2" a="1"/>
  <c r="F546" i="2" s="1"/>
  <c r="G546" i="2" s="1"/>
  <c r="N262" i="2"/>
  <c r="F547" i="2" s="1" a="1"/>
  <c r="F547" i="2" s="1"/>
  <c r="G547" i="2" s="1"/>
  <c r="AD32" i="20"/>
  <c r="V32" i="20" s="1"/>
  <c r="AC32" i="20"/>
  <c r="U32" i="20" s="1"/>
  <c r="AC40" i="20"/>
  <c r="U40" i="20" s="1"/>
  <c r="Q92" i="20"/>
  <c r="R92" i="20"/>
  <c r="F684" i="2" a="1"/>
  <c r="F684" i="2" s="1"/>
  <c r="G684" i="2" s="1"/>
  <c r="Q271" i="2"/>
  <c r="R120" i="20"/>
  <c r="Q120" i="20"/>
  <c r="R200" i="20"/>
  <c r="Q200" i="20"/>
  <c r="AM40" i="30"/>
  <c r="F431" i="2" a="1"/>
  <c r="F431" i="2" s="1"/>
  <c r="G431" i="2" s="1"/>
  <c r="S254" i="2"/>
  <c r="R176" i="20"/>
  <c r="Q176" i="20"/>
  <c r="F502" i="2" a="1"/>
  <c r="F502" i="2" s="1"/>
  <c r="G502" i="2" s="1"/>
  <c r="O259" i="2"/>
  <c r="F624" i="2" a="1"/>
  <c r="F624" i="2" s="1"/>
  <c r="G624" i="2" s="1"/>
  <c r="Q267" i="2"/>
  <c r="Q84" i="20"/>
  <c r="R84" i="20"/>
  <c r="Q100" i="20"/>
  <c r="R100" i="20"/>
  <c r="F338" i="2" a="1"/>
  <c r="F338" i="2" s="1"/>
  <c r="G338" i="2" s="1"/>
  <c r="P248" i="2"/>
  <c r="F291" i="2" a="1"/>
  <c r="F291" i="2" s="1"/>
  <c r="G291" i="2" s="1"/>
  <c r="R116" i="20"/>
  <c r="Q116" i="20"/>
  <c r="Q212" i="20"/>
  <c r="R212" i="20"/>
  <c r="R152" i="20"/>
  <c r="Q152" i="20"/>
  <c r="Q192" i="20"/>
  <c r="R192" i="20"/>
  <c r="R124" i="20"/>
  <c r="Q124" i="20"/>
  <c r="F487" i="2" a="1"/>
  <c r="F487" i="2" s="1"/>
  <c r="G487" i="2" s="1"/>
  <c r="Q156" i="20"/>
  <c r="R156" i="20"/>
  <c r="N274" i="2"/>
  <c r="F727" i="2" s="1" a="1"/>
  <c r="F727" i="2" s="1"/>
  <c r="G727" i="2" s="1"/>
  <c r="N245" i="2"/>
  <c r="R108" i="20"/>
  <c r="Q108" i="20"/>
  <c r="Q251" i="2"/>
  <c r="Q148" i="20"/>
  <c r="R148" i="20"/>
  <c r="Q128" i="20"/>
  <c r="R128" i="20"/>
  <c r="R144" i="20"/>
  <c r="Q144" i="20"/>
  <c r="P258" i="2"/>
  <c r="F489" i="2" s="1" a="1"/>
  <c r="F489" i="2" s="1"/>
  <c r="G489" i="2" s="1"/>
  <c r="Q172" i="20"/>
  <c r="R172" i="20"/>
  <c r="R136" i="20"/>
  <c r="Q136" i="20"/>
  <c r="Q188" i="20"/>
  <c r="R188" i="20"/>
  <c r="R164" i="20"/>
  <c r="Q164" i="20"/>
  <c r="AD28" i="20"/>
  <c r="V28" i="20" s="1"/>
  <c r="F472" i="2" a="1"/>
  <c r="F472" i="2" s="1"/>
  <c r="G472" i="2" s="1"/>
  <c r="O257" i="2"/>
  <c r="R96" i="20"/>
  <c r="Q96" i="20"/>
  <c r="F368" i="2" a="1"/>
  <c r="F368" i="2" s="1"/>
  <c r="G368" i="2" s="1"/>
  <c r="P250" i="2"/>
  <c r="F352" i="2" a="1"/>
  <c r="F352" i="2" s="1"/>
  <c r="G352" i="2" s="1"/>
  <c r="O249" i="2"/>
  <c r="F772" i="2" a="1"/>
  <c r="F772" i="2" s="1"/>
  <c r="G772" i="2" s="1"/>
  <c r="O277" i="2"/>
  <c r="Q104" i="20"/>
  <c r="R104" i="20"/>
  <c r="R196" i="20"/>
  <c r="Q196" i="20"/>
  <c r="R76" i="20"/>
  <c r="Q76" i="20"/>
  <c r="AC56" i="20"/>
  <c r="U56" i="20" s="1"/>
  <c r="F564" i="2" a="1"/>
  <c r="F564" i="2" s="1"/>
  <c r="G564" i="2" s="1"/>
  <c r="Q263" i="2"/>
  <c r="Q160" i="20"/>
  <c r="R160" i="20"/>
  <c r="AI40" i="30"/>
  <c r="O273" i="2" l="1"/>
  <c r="F713" i="2" s="1" a="1"/>
  <c r="F713" i="2" s="1"/>
  <c r="G713" i="2" s="1"/>
  <c r="N261" i="2"/>
  <c r="Q36" i="20"/>
  <c r="S266" i="2"/>
  <c r="Q48" i="20"/>
  <c r="R60" i="20"/>
  <c r="Q60" i="20"/>
  <c r="Q72" i="20"/>
  <c r="R72" i="20"/>
  <c r="R36" i="20"/>
  <c r="R80" i="20"/>
  <c r="P269" i="2"/>
  <c r="Q68" i="20"/>
  <c r="Q80" i="20"/>
  <c r="R68" i="20"/>
  <c r="F577" i="2" a="1"/>
  <c r="F577" i="2" s="1"/>
  <c r="G577" i="2" s="1"/>
  <c r="O264" i="2"/>
  <c r="N256" i="2"/>
  <c r="F457" i="2" s="1" a="1"/>
  <c r="F457" i="2" s="1"/>
  <c r="G457" i="2" s="1"/>
  <c r="F696" i="2" a="1"/>
  <c r="F696" i="2" s="1"/>
  <c r="G696" i="2" s="1"/>
  <c r="N272" i="2"/>
  <c r="P279" i="2"/>
  <c r="F788" i="2" a="1"/>
  <c r="F788" i="2" s="1"/>
  <c r="G788" i="2" s="1"/>
  <c r="P278" i="2"/>
  <c r="R52" i="20"/>
  <c r="F639" i="2" a="1"/>
  <c r="F639" i="2" s="1"/>
  <c r="G639" i="2" s="1"/>
  <c r="Q268" i="2"/>
  <c r="P273" i="2"/>
  <c r="R28" i="20"/>
  <c r="F309" i="2" a="1"/>
  <c r="F309" i="2" s="1"/>
  <c r="G309" i="2" s="1"/>
  <c r="F308" i="2" a="1"/>
  <c r="F308" i="2" s="1"/>
  <c r="G308" i="2" s="1"/>
  <c r="Q246" i="2"/>
  <c r="F310" i="2" s="1" a="1"/>
  <c r="F310" i="2" s="1"/>
  <c r="G310" i="2" s="1"/>
  <c r="F666" i="2" a="1"/>
  <c r="F666" i="2" s="1"/>
  <c r="G666" i="2" s="1"/>
  <c r="F399" i="2" a="1"/>
  <c r="F399" i="2" s="1"/>
  <c r="G399" i="2" s="1"/>
  <c r="O262" i="2"/>
  <c r="P262" i="2" s="1"/>
  <c r="F592" i="2" a="1"/>
  <c r="F592" i="2" s="1"/>
  <c r="G592" i="2" s="1"/>
  <c r="O265" i="2"/>
  <c r="P265" i="2" s="1"/>
  <c r="F594" i="2" s="1" a="1"/>
  <c r="F594" i="2" s="1"/>
  <c r="G594" i="2" s="1"/>
  <c r="N270" i="2"/>
  <c r="F667" i="2" s="1" a="1"/>
  <c r="F667" i="2" s="1"/>
  <c r="G667" i="2" s="1"/>
  <c r="F444" i="2" a="1"/>
  <c r="F444" i="2" s="1"/>
  <c r="G444" i="2" s="1"/>
  <c r="Q255" i="2"/>
  <c r="O276" i="2"/>
  <c r="F411" i="2" a="1"/>
  <c r="F411" i="2" s="1"/>
  <c r="G411" i="2" s="1"/>
  <c r="N253" i="2"/>
  <c r="Q252" i="2"/>
  <c r="F400" i="2" s="1" a="1"/>
  <c r="F400" i="2" s="1"/>
  <c r="G400" i="2" s="1"/>
  <c r="P275" i="2"/>
  <c r="Q28" i="20"/>
  <c r="F612" i="2" a="1"/>
  <c r="F612" i="2" s="1"/>
  <c r="G612" i="2" s="1"/>
  <c r="T266" i="2"/>
  <c r="F613" i="2" s="1" a="1"/>
  <c r="F613" i="2" s="1"/>
  <c r="G613" i="2" s="1"/>
  <c r="F685" i="2" a="1"/>
  <c r="F685" i="2" s="1"/>
  <c r="G685" i="2" s="1"/>
  <c r="R271" i="2"/>
  <c r="F292" i="2" a="1"/>
  <c r="F292" i="2" s="1"/>
  <c r="G292" i="2" s="1"/>
  <c r="O245" i="2"/>
  <c r="F339" i="2" a="1"/>
  <c r="F339" i="2" s="1"/>
  <c r="G339" i="2" s="1"/>
  <c r="Q248" i="2"/>
  <c r="Q40" i="20"/>
  <c r="R40" i="20"/>
  <c r="R32" i="20"/>
  <c r="Q32" i="20"/>
  <c r="F565" i="2" a="1"/>
  <c r="F565" i="2" s="1"/>
  <c r="G565" i="2" s="1"/>
  <c r="R263" i="2"/>
  <c r="F654" i="2" a="1"/>
  <c r="F654" i="2" s="1"/>
  <c r="G654" i="2" s="1"/>
  <c r="Q269" i="2"/>
  <c r="O274" i="2"/>
  <c r="F625" i="2" a="1"/>
  <c r="F625" i="2" s="1"/>
  <c r="G625" i="2" s="1"/>
  <c r="R267" i="2"/>
  <c r="F503" i="2" a="1"/>
  <c r="F503" i="2" s="1"/>
  <c r="G503" i="2" s="1"/>
  <c r="P259" i="2"/>
  <c r="Q258" i="2"/>
  <c r="F322" i="2" a="1"/>
  <c r="F322" i="2" s="1"/>
  <c r="G322" i="2" s="1"/>
  <c r="O247" i="2"/>
  <c r="F773" i="2" a="1"/>
  <c r="F773" i="2" s="1"/>
  <c r="G773" i="2" s="1"/>
  <c r="P277" i="2"/>
  <c r="F532" i="2" a="1"/>
  <c r="F532" i="2" s="1"/>
  <c r="G532" i="2" s="1"/>
  <c r="O261" i="2"/>
  <c r="F353" i="2" a="1"/>
  <c r="F353" i="2" s="1"/>
  <c r="G353" i="2" s="1"/>
  <c r="P249" i="2"/>
  <c r="R56" i="20"/>
  <c r="Q56" i="20"/>
  <c r="F369" i="2" a="1"/>
  <c r="F369" i="2" s="1"/>
  <c r="G369" i="2" s="1"/>
  <c r="Q250" i="2"/>
  <c r="F385" i="2" a="1"/>
  <c r="F385" i="2" s="1"/>
  <c r="G385" i="2" s="1"/>
  <c r="R251" i="2"/>
  <c r="F519" i="2" a="1"/>
  <c r="F519" i="2" s="1"/>
  <c r="G519" i="2" s="1"/>
  <c r="Q260" i="2"/>
  <c r="F432" i="2" a="1"/>
  <c r="F432" i="2" s="1"/>
  <c r="G432" i="2" s="1"/>
  <c r="T254" i="2"/>
  <c r="F433" i="2" s="1" a="1"/>
  <c r="F433" i="2" s="1"/>
  <c r="G433" i="2" s="1"/>
  <c r="F804" i="2" a="1"/>
  <c r="F804" i="2" s="1"/>
  <c r="G804" i="2" s="1"/>
  <c r="Q279" i="2"/>
  <c r="F473" i="2" a="1"/>
  <c r="F473" i="2" s="1"/>
  <c r="G473" i="2" s="1"/>
  <c r="P257" i="2"/>
  <c r="Q52" i="20"/>
  <c r="L118" i="35"/>
  <c r="L117" i="35"/>
  <c r="F548" i="2" l="1" a="1"/>
  <c r="F548" i="2" s="1"/>
  <c r="G548" i="2" s="1"/>
  <c r="O256" i="2"/>
  <c r="F578" i="2" a="1"/>
  <c r="F578" i="2" s="1"/>
  <c r="G578" i="2" s="1"/>
  <c r="P264" i="2"/>
  <c r="F697" i="2" a="1"/>
  <c r="F697" i="2" s="1"/>
  <c r="G697" i="2" s="1"/>
  <c r="O272" i="2"/>
  <c r="O270" i="2"/>
  <c r="F668" i="2" s="1" a="1"/>
  <c r="F668" i="2" s="1"/>
  <c r="G668" i="2" s="1"/>
  <c r="F789" i="2" a="1"/>
  <c r="F789" i="2" s="1"/>
  <c r="G789" i="2" s="1"/>
  <c r="Q278" i="2"/>
  <c r="F714" i="2" a="1"/>
  <c r="F714" i="2" s="1"/>
  <c r="G714" i="2" s="1"/>
  <c r="Q273" i="2"/>
  <c r="F715" i="2" s="1" a="1"/>
  <c r="F715" i="2" s="1"/>
  <c r="G715" i="2" s="1"/>
  <c r="F640" i="2" a="1"/>
  <c r="F640" i="2" s="1"/>
  <c r="G640" i="2" s="1"/>
  <c r="R268" i="2"/>
  <c r="S268" i="2" s="1"/>
  <c r="F642" i="2" s="1" a="1"/>
  <c r="F642" i="2" s="1"/>
  <c r="G642" i="2" s="1"/>
  <c r="R11" i="20" a="1"/>
  <c r="R11" i="20" s="1"/>
  <c r="F445" i="2" a="1"/>
  <c r="F445" i="2" s="1"/>
  <c r="G445" i="2" s="1"/>
  <c r="R255" i="2"/>
  <c r="F446" i="2" s="1" a="1"/>
  <c r="F446" i="2" s="1"/>
  <c r="G446" i="2" s="1"/>
  <c r="F758" i="2" a="1"/>
  <c r="F758" i="2" s="1"/>
  <c r="G758" i="2" s="1"/>
  <c r="P276" i="2"/>
  <c r="R252" i="2"/>
  <c r="F401" i="2" s="1" a="1"/>
  <c r="F401" i="2" s="1"/>
  <c r="G401" i="2" s="1"/>
  <c r="F744" i="2" a="1"/>
  <c r="F744" i="2" s="1"/>
  <c r="G744" i="2" s="1"/>
  <c r="Q275" i="2"/>
  <c r="F745" i="2" s="1" a="1"/>
  <c r="F745" i="2" s="1"/>
  <c r="G745" i="2" s="1"/>
  <c r="F412" i="2" a="1"/>
  <c r="F412" i="2" s="1"/>
  <c r="G412" i="2" s="1"/>
  <c r="O253" i="2"/>
  <c r="F413" i="2" s="1" a="1"/>
  <c r="F413" i="2" s="1"/>
  <c r="G413" i="2" s="1"/>
  <c r="Q265" i="2"/>
  <c r="F595" i="2" s="1" a="1"/>
  <c r="F595" i="2" s="1"/>
  <c r="G595" i="2" s="1"/>
  <c r="F593" i="2" a="1"/>
  <c r="F593" i="2" s="1"/>
  <c r="G593" i="2" s="1"/>
  <c r="P11" i="20" a="1"/>
  <c r="P11" i="20" s="1"/>
  <c r="R246" i="2"/>
  <c r="S246" i="2" s="1"/>
  <c r="F312" i="2" s="1" a="1"/>
  <c r="F312" i="2" s="1"/>
  <c r="G312" i="2" s="1"/>
  <c r="S255" i="2"/>
  <c r="F447" i="2" s="1" a="1"/>
  <c r="F447" i="2" s="1"/>
  <c r="G447" i="2" s="1"/>
  <c r="F490" i="2" a="1"/>
  <c r="F490" i="2" s="1"/>
  <c r="G490" i="2" s="1"/>
  <c r="R258" i="2"/>
  <c r="F655" i="2" a="1"/>
  <c r="F655" i="2" s="1"/>
  <c r="G655" i="2" s="1"/>
  <c r="R269" i="2"/>
  <c r="F805" i="2" a="1"/>
  <c r="F805" i="2" s="1"/>
  <c r="G805" i="2" s="1"/>
  <c r="R279" i="2"/>
  <c r="F728" i="2" a="1"/>
  <c r="F728" i="2" s="1"/>
  <c r="G728" i="2" s="1"/>
  <c r="P274" i="2"/>
  <c r="F549" i="2" a="1"/>
  <c r="F549" i="2" s="1"/>
  <c r="G549" i="2" s="1"/>
  <c r="Q262" i="2"/>
  <c r="F504" i="2" a="1"/>
  <c r="F504" i="2" s="1"/>
  <c r="G504" i="2" s="1"/>
  <c r="Q259" i="2"/>
  <c r="F626" i="2" a="1"/>
  <c r="F626" i="2" s="1"/>
  <c r="G626" i="2" s="1"/>
  <c r="S267" i="2"/>
  <c r="F370" i="2" a="1"/>
  <c r="F370" i="2" s="1"/>
  <c r="G370" i="2" s="1"/>
  <c r="R250" i="2"/>
  <c r="F293" i="2" a="1"/>
  <c r="F293" i="2" s="1"/>
  <c r="G293" i="2" s="1"/>
  <c r="P245" i="2"/>
  <c r="F520" i="2" a="1"/>
  <c r="F520" i="2" s="1"/>
  <c r="G520" i="2" s="1"/>
  <c r="R260" i="2"/>
  <c r="F686" i="2" a="1"/>
  <c r="F686" i="2" s="1"/>
  <c r="G686" i="2" s="1"/>
  <c r="S271" i="2"/>
  <c r="F566" i="2" a="1"/>
  <c r="F566" i="2" s="1"/>
  <c r="G566" i="2" s="1"/>
  <c r="S263" i="2"/>
  <c r="F386" i="2" a="1"/>
  <c r="F386" i="2" s="1"/>
  <c r="G386" i="2" s="1"/>
  <c r="S251" i="2"/>
  <c r="F458" i="2" a="1"/>
  <c r="F458" i="2" s="1"/>
  <c r="G458" i="2" s="1"/>
  <c r="P256" i="2"/>
  <c r="F774" i="2" a="1"/>
  <c r="F774" i="2" s="1"/>
  <c r="G774" i="2" s="1"/>
  <c r="Q277" i="2"/>
  <c r="F340" i="2" a="1"/>
  <c r="F340" i="2" s="1"/>
  <c r="G340" i="2" s="1"/>
  <c r="R248" i="2"/>
  <c r="F354" i="2" a="1"/>
  <c r="F354" i="2" s="1"/>
  <c r="G354" i="2" s="1"/>
  <c r="Q249" i="2"/>
  <c r="F533" i="2" a="1"/>
  <c r="F533" i="2" s="1"/>
  <c r="G533" i="2" s="1"/>
  <c r="P261" i="2"/>
  <c r="F474" i="2" a="1"/>
  <c r="F474" i="2" s="1"/>
  <c r="G474" i="2" s="1"/>
  <c r="Q257" i="2"/>
  <c r="F323" i="2" a="1"/>
  <c r="F323" i="2" s="1"/>
  <c r="G323" i="2" s="1"/>
  <c r="P247" i="2"/>
  <c r="Q264" i="2" l="1"/>
  <c r="F579" i="2" a="1"/>
  <c r="F579" i="2" s="1"/>
  <c r="G579" i="2" s="1"/>
  <c r="P272" i="2"/>
  <c r="F698" i="2" a="1"/>
  <c r="F698" i="2" s="1"/>
  <c r="G698" i="2" s="1"/>
  <c r="P270" i="2"/>
  <c r="F790" i="2" a="1"/>
  <c r="F790" i="2" s="1"/>
  <c r="G790" i="2" s="1"/>
  <c r="R278" i="2"/>
  <c r="F791" i="2" s="1" a="1"/>
  <c r="F791" i="2" s="1"/>
  <c r="G791" i="2" s="1"/>
  <c r="R273" i="2"/>
  <c r="T255" i="2"/>
  <c r="F448" i="2" s="1" a="1"/>
  <c r="F448" i="2" s="1"/>
  <c r="G448" i="2" s="1"/>
  <c r="P253" i="2"/>
  <c r="F414" i="2" s="1" a="1"/>
  <c r="F414" i="2" s="1"/>
  <c r="G414" i="2" s="1"/>
  <c r="S273" i="2"/>
  <c r="F717" i="2" s="1" a="1"/>
  <c r="F717" i="2" s="1"/>
  <c r="G717" i="2" s="1"/>
  <c r="F641" i="2" a="1"/>
  <c r="F641" i="2" s="1"/>
  <c r="G641" i="2" s="1"/>
  <c r="T268" i="2"/>
  <c r="F643" i="2" s="1" a="1"/>
  <c r="F643" i="2" s="1"/>
  <c r="G643" i="2" s="1"/>
  <c r="S252" i="2"/>
  <c r="F402" i="2" s="1" a="1"/>
  <c r="F402" i="2" s="1"/>
  <c r="G402" i="2" s="1"/>
  <c r="R275" i="2"/>
  <c r="R265" i="2"/>
  <c r="F596" i="2" s="1" a="1"/>
  <c r="F596" i="2" s="1"/>
  <c r="G596" i="2" s="1"/>
  <c r="F759" i="2" a="1"/>
  <c r="F759" i="2" s="1"/>
  <c r="G759" i="2" s="1"/>
  <c r="Q253" i="2"/>
  <c r="Q276" i="2"/>
  <c r="R276" i="2" s="1"/>
  <c r="T252" i="2"/>
  <c r="F403" i="2" s="1" a="1"/>
  <c r="F403" i="2" s="1"/>
  <c r="G403" i="2" s="1"/>
  <c r="F311" i="2" a="1"/>
  <c r="F311" i="2" s="1"/>
  <c r="G311" i="2" s="1"/>
  <c r="T246" i="2"/>
  <c r="F313" i="2" s="1" a="1"/>
  <c r="F313" i="2" s="1"/>
  <c r="G313" i="2" s="1"/>
  <c r="S265" i="2"/>
  <c r="F597" i="2" s="1" a="1"/>
  <c r="F597" i="2" s="1"/>
  <c r="G597" i="2" s="1"/>
  <c r="F775" i="2" a="1"/>
  <c r="F775" i="2" s="1"/>
  <c r="G775" i="2" s="1"/>
  <c r="R277" i="2"/>
  <c r="F415" i="2" a="1"/>
  <c r="F415" i="2" s="1"/>
  <c r="G415" i="2" s="1"/>
  <c r="R253" i="2"/>
  <c r="F459" i="2" a="1"/>
  <c r="F459" i="2" s="1"/>
  <c r="G459" i="2" s="1"/>
  <c r="Q256" i="2"/>
  <c r="F387" i="2" a="1"/>
  <c r="F387" i="2" s="1"/>
  <c r="G387" i="2" s="1"/>
  <c r="T251" i="2"/>
  <c r="F388" i="2" s="1" a="1"/>
  <c r="F388" i="2" s="1"/>
  <c r="G388" i="2" s="1"/>
  <c r="F567" i="2" a="1"/>
  <c r="F567" i="2" s="1"/>
  <c r="G567" i="2" s="1"/>
  <c r="T263" i="2"/>
  <c r="F568" i="2" s="1" a="1"/>
  <c r="F568" i="2" s="1"/>
  <c r="G568" i="2" s="1"/>
  <c r="F687" i="2" a="1"/>
  <c r="F687" i="2" s="1"/>
  <c r="G687" i="2" s="1"/>
  <c r="T271" i="2"/>
  <c r="F688" i="2" s="1" a="1"/>
  <c r="F688" i="2" s="1"/>
  <c r="G688" i="2" s="1"/>
  <c r="F521" i="2" a="1"/>
  <c r="F521" i="2" s="1"/>
  <c r="G521" i="2" s="1"/>
  <c r="S260" i="2"/>
  <c r="F294" i="2" a="1"/>
  <c r="F294" i="2" s="1"/>
  <c r="G294" i="2" s="1"/>
  <c r="Q245" i="2"/>
  <c r="F324" i="2" a="1"/>
  <c r="F324" i="2" s="1"/>
  <c r="G324" i="2" s="1"/>
  <c r="Q247" i="2"/>
  <c r="F371" i="2" a="1"/>
  <c r="F371" i="2" s="1"/>
  <c r="G371" i="2" s="1"/>
  <c r="S250" i="2"/>
  <c r="F627" i="2" a="1"/>
  <c r="F627" i="2" s="1"/>
  <c r="G627" i="2" s="1"/>
  <c r="T267" i="2"/>
  <c r="F628" i="2" s="1" a="1"/>
  <c r="F628" i="2" s="1"/>
  <c r="G628" i="2" s="1"/>
  <c r="F475" i="2" a="1"/>
  <c r="F475" i="2" s="1"/>
  <c r="G475" i="2" s="1"/>
  <c r="R257" i="2"/>
  <c r="F505" i="2" a="1"/>
  <c r="F505" i="2" s="1"/>
  <c r="G505" i="2" s="1"/>
  <c r="R259" i="2"/>
  <c r="F550" i="2" a="1"/>
  <c r="F550" i="2" s="1"/>
  <c r="G550" i="2" s="1"/>
  <c r="R262" i="2"/>
  <c r="F534" i="2" a="1"/>
  <c r="F534" i="2" s="1"/>
  <c r="G534" i="2" s="1"/>
  <c r="Q261" i="2"/>
  <c r="F729" i="2" a="1"/>
  <c r="F729" i="2" s="1"/>
  <c r="G729" i="2" s="1"/>
  <c r="Q274" i="2"/>
  <c r="F355" i="2" a="1"/>
  <c r="F355" i="2" s="1"/>
  <c r="G355" i="2" s="1"/>
  <c r="R249" i="2"/>
  <c r="F806" i="2" a="1"/>
  <c r="F806" i="2" s="1"/>
  <c r="G806" i="2" s="1"/>
  <c r="S279" i="2"/>
  <c r="F341" i="2" a="1"/>
  <c r="F341" i="2" s="1"/>
  <c r="G341" i="2" s="1"/>
  <c r="S248" i="2"/>
  <c r="F656" i="2" a="1"/>
  <c r="F656" i="2" s="1"/>
  <c r="G656" i="2" s="1"/>
  <c r="S269" i="2"/>
  <c r="F491" i="2" a="1"/>
  <c r="F491" i="2" s="1"/>
  <c r="G491" i="2" s="1"/>
  <c r="S258" i="2"/>
  <c r="F580" i="2" l="1" a="1"/>
  <c r="F580" i="2" s="1"/>
  <c r="G580" i="2" s="1"/>
  <c r="R264" i="2"/>
  <c r="F699" i="2" a="1"/>
  <c r="F699" i="2" s="1"/>
  <c r="G699" i="2" s="1"/>
  <c r="Q272" i="2"/>
  <c r="S278" i="2"/>
  <c r="F792" i="2" s="1" a="1"/>
  <c r="F792" i="2" s="1"/>
  <c r="G792" i="2" s="1"/>
  <c r="F669" i="2" a="1"/>
  <c r="F669" i="2" s="1"/>
  <c r="G669" i="2" s="1"/>
  <c r="Q270" i="2"/>
  <c r="T278" i="2"/>
  <c r="F793" i="2" s="1" a="1"/>
  <c r="F793" i="2" s="1"/>
  <c r="G793" i="2" s="1"/>
  <c r="F716" i="2" a="1"/>
  <c r="F716" i="2" s="1"/>
  <c r="G716" i="2" s="1"/>
  <c r="T273" i="2"/>
  <c r="F718" i="2" s="1" a="1"/>
  <c r="F718" i="2" s="1"/>
  <c r="G718" i="2" s="1"/>
  <c r="F761" i="2" a="1"/>
  <c r="F761" i="2" s="1"/>
  <c r="G761" i="2" s="1"/>
  <c r="T265" i="2"/>
  <c r="F598" i="2" s="1" a="1"/>
  <c r="F598" i="2" s="1"/>
  <c r="G598" i="2" s="1"/>
  <c r="F760" i="2" a="1"/>
  <c r="F760" i="2" s="1"/>
  <c r="G760" i="2" s="1"/>
  <c r="S276" i="2"/>
  <c r="F762" i="2" s="1" a="1"/>
  <c r="F762" i="2" s="1"/>
  <c r="G762" i="2" s="1"/>
  <c r="F746" i="2" a="1"/>
  <c r="F746" i="2" s="1"/>
  <c r="G746" i="2" s="1"/>
  <c r="S275" i="2"/>
  <c r="F747" i="2" s="1" a="1"/>
  <c r="F747" i="2" s="1"/>
  <c r="G747" i="2" s="1"/>
  <c r="F506" i="2" a="1"/>
  <c r="F506" i="2" s="1"/>
  <c r="G506" i="2" s="1"/>
  <c r="S259" i="2"/>
  <c r="F476" i="2" a="1"/>
  <c r="F476" i="2" s="1"/>
  <c r="G476" i="2" s="1"/>
  <c r="S257" i="2"/>
  <c r="F372" i="2" a="1"/>
  <c r="F372" i="2" s="1"/>
  <c r="G372" i="2" s="1"/>
  <c r="T250" i="2"/>
  <c r="F373" i="2" s="1" a="1"/>
  <c r="F373" i="2" s="1"/>
  <c r="G373" i="2" s="1"/>
  <c r="F522" i="2" a="1"/>
  <c r="F522" i="2" s="1"/>
  <c r="G522" i="2" s="1"/>
  <c r="T260" i="2"/>
  <c r="F523" i="2" s="1" a="1"/>
  <c r="F523" i="2" s="1"/>
  <c r="G523" i="2" s="1"/>
  <c r="F492" i="2" a="1"/>
  <c r="F492" i="2" s="1"/>
  <c r="G492" i="2" s="1"/>
  <c r="T258" i="2"/>
  <c r="F493" i="2" s="1" a="1"/>
  <c r="F493" i="2" s="1"/>
  <c r="G493" i="2" s="1"/>
  <c r="F295" i="2" a="1"/>
  <c r="F295" i="2" s="1"/>
  <c r="G295" i="2" s="1"/>
  <c r="R245" i="2"/>
  <c r="F342" i="2" a="1"/>
  <c r="F342" i="2" s="1"/>
  <c r="G342" i="2" s="1"/>
  <c r="T248" i="2"/>
  <c r="F343" i="2" s="1" a="1"/>
  <c r="F343" i="2" s="1"/>
  <c r="G343" i="2" s="1"/>
  <c r="F730" i="2" a="1"/>
  <c r="F730" i="2" s="1"/>
  <c r="G730" i="2" s="1"/>
  <c r="R274" i="2"/>
  <c r="F460" i="2" a="1"/>
  <c r="F460" i="2" s="1"/>
  <c r="G460" i="2" s="1"/>
  <c r="R256" i="2"/>
  <c r="F535" i="2" a="1"/>
  <c r="F535" i="2" s="1"/>
  <c r="G535" i="2" s="1"/>
  <c r="R261" i="2"/>
  <c r="F416" i="2" a="1"/>
  <c r="F416" i="2" s="1"/>
  <c r="G416" i="2" s="1"/>
  <c r="S253" i="2"/>
  <c r="F325" i="2" a="1"/>
  <c r="F325" i="2" s="1"/>
  <c r="G325" i="2" s="1"/>
  <c r="R247" i="2"/>
  <c r="F356" i="2" a="1"/>
  <c r="F356" i="2" s="1"/>
  <c r="G356" i="2" s="1"/>
  <c r="S249" i="2"/>
  <c r="F807" i="2" a="1"/>
  <c r="F807" i="2" s="1"/>
  <c r="G807" i="2" s="1"/>
  <c r="T279" i="2"/>
  <c r="F808" i="2" s="1" a="1"/>
  <c r="F808" i="2" s="1"/>
  <c r="G808" i="2" s="1"/>
  <c r="F551" i="2" a="1"/>
  <c r="F551" i="2" s="1"/>
  <c r="G551" i="2" s="1"/>
  <c r="S262" i="2"/>
  <c r="F776" i="2" a="1"/>
  <c r="F776" i="2" s="1"/>
  <c r="G776" i="2" s="1"/>
  <c r="S277" i="2"/>
  <c r="F657" i="2" a="1"/>
  <c r="F657" i="2" s="1"/>
  <c r="G657" i="2" s="1"/>
  <c r="T269" i="2"/>
  <c r="F658" i="2" s="1" a="1"/>
  <c r="F658" i="2" s="1"/>
  <c r="G658" i="2" s="1"/>
  <c r="F581" i="2" l="1" a="1"/>
  <c r="F581" i="2" s="1"/>
  <c r="G581" i="2" s="1"/>
  <c r="S264" i="2"/>
  <c r="F582" i="2" s="1" a="1"/>
  <c r="F582" i="2" s="1"/>
  <c r="G582" i="2" s="1"/>
  <c r="T264" i="2"/>
  <c r="F583" i="2" s="1" a="1"/>
  <c r="F583" i="2" s="1"/>
  <c r="G583" i="2" s="1"/>
  <c r="F700" i="2" a="1"/>
  <c r="F700" i="2" s="1"/>
  <c r="G700" i="2" s="1"/>
  <c r="R272" i="2"/>
  <c r="F701" i="2" s="1" a="1"/>
  <c r="F701" i="2" s="1"/>
  <c r="G701" i="2" s="1"/>
  <c r="F670" i="2" a="1"/>
  <c r="F670" i="2" s="1"/>
  <c r="G670" i="2" s="1"/>
  <c r="R270" i="2"/>
  <c r="S270" i="2" s="1"/>
  <c r="F672" i="2" s="1" a="1"/>
  <c r="F672" i="2" s="1"/>
  <c r="G672" i="2" s="1"/>
  <c r="T275" i="2"/>
  <c r="F748" i="2" s="1" a="1"/>
  <c r="F748" i="2" s="1"/>
  <c r="G748" i="2" s="1"/>
  <c r="T276" i="2"/>
  <c r="F763" i="2" s="1" a="1"/>
  <c r="F763" i="2" s="1"/>
  <c r="G763" i="2" s="1"/>
  <c r="F731" i="2" a="1"/>
  <c r="F731" i="2" s="1"/>
  <c r="G731" i="2" s="1"/>
  <c r="S274" i="2"/>
  <c r="F552" i="2" a="1"/>
  <c r="F552" i="2" s="1"/>
  <c r="G552" i="2" s="1"/>
  <c r="T262" i="2"/>
  <c r="F553" i="2" s="1" a="1"/>
  <c r="F553" i="2" s="1"/>
  <c r="G553" i="2" s="1"/>
  <c r="F461" i="2" a="1"/>
  <c r="F461" i="2" s="1"/>
  <c r="G461" i="2" s="1"/>
  <c r="S256" i="2"/>
  <c r="F777" i="2" a="1"/>
  <c r="F777" i="2" s="1"/>
  <c r="G777" i="2" s="1"/>
  <c r="T277" i="2"/>
  <c r="F778" i="2" s="1" a="1"/>
  <c r="F778" i="2" s="1"/>
  <c r="G778" i="2" s="1"/>
  <c r="F536" i="2" a="1"/>
  <c r="F536" i="2" s="1"/>
  <c r="G536" i="2" s="1"/>
  <c r="S261" i="2"/>
  <c r="F296" i="2" a="1"/>
  <c r="F296" i="2" s="1"/>
  <c r="G296" i="2" s="1"/>
  <c r="S245" i="2"/>
  <c r="F357" i="2" a="1"/>
  <c r="F357" i="2" s="1"/>
  <c r="G357" i="2" s="1"/>
  <c r="T249" i="2"/>
  <c r="F358" i="2" s="1" a="1"/>
  <c r="F358" i="2" s="1"/>
  <c r="G358" i="2" s="1"/>
  <c r="F477" i="2" a="1"/>
  <c r="F477" i="2" s="1"/>
  <c r="G477" i="2" s="1"/>
  <c r="T257" i="2"/>
  <c r="F478" i="2" s="1" a="1"/>
  <c r="F478" i="2" s="1"/>
  <c r="G478" i="2" s="1"/>
  <c r="F326" i="2" a="1"/>
  <c r="F326" i="2" s="1"/>
  <c r="G326" i="2" s="1"/>
  <c r="S247" i="2"/>
  <c r="F507" i="2" a="1"/>
  <c r="F507" i="2" s="1"/>
  <c r="G507" i="2" s="1"/>
  <c r="T259" i="2"/>
  <c r="F508" i="2" s="1" a="1"/>
  <c r="F508" i="2" s="1"/>
  <c r="G508" i="2" s="1"/>
  <c r="F417" i="2" a="1"/>
  <c r="F417" i="2" s="1"/>
  <c r="G417" i="2" s="1"/>
  <c r="T253" i="2"/>
  <c r="F418" i="2" s="1" a="1"/>
  <c r="F418" i="2" s="1"/>
  <c r="G418" i="2" s="1"/>
  <c r="S272" i="2" l="1"/>
  <c r="F702" i="2" s="1" a="1"/>
  <c r="F702" i="2" s="1"/>
  <c r="G702" i="2" s="1"/>
  <c r="F671" i="2" a="1"/>
  <c r="F671" i="2" s="1"/>
  <c r="G671" i="2" s="1"/>
  <c r="T270" i="2"/>
  <c r="F673" i="2" s="1" a="1"/>
  <c r="F673" i="2" s="1"/>
  <c r="G673" i="2" s="1"/>
  <c r="F537" i="2" a="1"/>
  <c r="F537" i="2" s="1"/>
  <c r="G537" i="2" s="1"/>
  <c r="T261" i="2"/>
  <c r="F538" i="2" s="1" a="1"/>
  <c r="F538" i="2" s="1"/>
  <c r="G538" i="2" s="1"/>
  <c r="F297" i="2" a="1"/>
  <c r="F297" i="2" s="1"/>
  <c r="G297" i="2" s="1"/>
  <c r="T245" i="2"/>
  <c r="F298" i="2" s="1" a="1"/>
  <c r="F298" i="2" s="1"/>
  <c r="G298" i="2" s="1"/>
  <c r="F327" i="2" a="1"/>
  <c r="F327" i="2" s="1"/>
  <c r="G327" i="2" s="1"/>
  <c r="T247" i="2"/>
  <c r="F328" i="2" s="1" a="1"/>
  <c r="F328" i="2" s="1"/>
  <c r="G328" i="2" s="1"/>
  <c r="F732" i="2" a="1"/>
  <c r="F732" i="2" s="1"/>
  <c r="G732" i="2" s="1"/>
  <c r="T274" i="2"/>
  <c r="F733" i="2" s="1" a="1"/>
  <c r="F733" i="2" s="1"/>
  <c r="G733" i="2" s="1"/>
  <c r="F462" i="2" a="1"/>
  <c r="F462" i="2" s="1"/>
  <c r="G462" i="2" s="1"/>
  <c r="T256" i="2"/>
  <c r="F463" i="2" s="1" a="1"/>
  <c r="F463" i="2" s="1"/>
  <c r="G463" i="2" s="1"/>
  <c r="T272" i="2" l="1"/>
  <c r="F703" i="2" s="1" a="1"/>
  <c r="F703" i="2" s="1"/>
  <c r="G703" i="2" s="1"/>
  <c r="B12" i="15" a="1"/>
  <c r="C43" i="15" l="1"/>
  <c r="C36" i="15"/>
  <c r="C44" i="15"/>
  <c r="C38" i="15"/>
  <c r="C37" i="15"/>
  <c r="C40" i="15"/>
  <c r="C42" i="15"/>
  <c r="C39" i="15"/>
  <c r="C41" i="15"/>
  <c r="C46" i="15"/>
  <c r="C45" i="15"/>
  <c r="C13" i="15"/>
  <c r="L13" i="15" s="1" a="1"/>
  <c r="L13" i="15" s="1"/>
  <c r="C27" i="15"/>
  <c r="C35" i="15"/>
  <c r="C22" i="15"/>
  <c r="C26" i="15"/>
  <c r="C33" i="15"/>
  <c r="C30" i="15"/>
  <c r="C29" i="15"/>
  <c r="C23" i="15"/>
  <c r="C31" i="15"/>
  <c r="C34" i="15"/>
  <c r="C28" i="15"/>
  <c r="C21" i="15"/>
  <c r="C24" i="15"/>
  <c r="C25" i="15"/>
  <c r="C32" i="15"/>
  <c r="C15" i="15"/>
  <c r="L15" i="15" s="1" a="1"/>
  <c r="L15" i="15" s="1"/>
  <c r="C14" i="15"/>
  <c r="J14" i="15" s="1"/>
  <c r="C16" i="15"/>
  <c r="J16" i="15" s="1"/>
  <c r="C19" i="15"/>
  <c r="L19" i="15" s="1" a="1"/>
  <c r="L19" i="15" s="1"/>
  <c r="C20" i="15"/>
  <c r="L20" i="15" s="1" a="1"/>
  <c r="L20" i="15" s="1"/>
  <c r="C17" i="15"/>
  <c r="L17" i="15" s="1" a="1"/>
  <c r="L17" i="15" s="1"/>
  <c r="C18" i="15"/>
  <c r="B12" i="15"/>
  <c r="C12" i="15" s="1"/>
  <c r="L12" i="15" s="1" a="1"/>
  <c r="L12" i="15" s="1"/>
  <c r="L42" i="15" l="1" a="1"/>
  <c r="L42" i="15" s="1"/>
  <c r="J45" i="15"/>
  <c r="L45" i="15" a="1"/>
  <c r="L45" i="15" s="1"/>
  <c r="L40" i="15" a="1"/>
  <c r="L40" i="15" s="1"/>
  <c r="J37" i="15"/>
  <c r="L37" i="15" a="1"/>
  <c r="L37" i="15" s="1"/>
  <c r="L16" i="15" a="1"/>
  <c r="L16" i="15" s="1"/>
  <c r="N16" i="15" s="1"/>
  <c r="J38" i="15"/>
  <c r="L38" i="15" a="1"/>
  <c r="L38" i="15" s="1"/>
  <c r="L44" i="15" a="1"/>
  <c r="L44" i="15" s="1"/>
  <c r="J41" i="15"/>
  <c r="L41" i="15" a="1"/>
  <c r="L41" i="15" s="1"/>
  <c r="L14" i="15" a="1"/>
  <c r="L14" i="15" s="1"/>
  <c r="N14" i="15" s="1"/>
  <c r="L36" i="15" a="1"/>
  <c r="L36" i="15" s="1"/>
  <c r="J46" i="15"/>
  <c r="L46" i="15" a="1"/>
  <c r="L46" i="15" s="1"/>
  <c r="J39" i="15"/>
  <c r="J40" i="15" s="1"/>
  <c r="L39" i="15" a="1"/>
  <c r="L39" i="15" s="1"/>
  <c r="J43" i="15"/>
  <c r="L43" i="15" a="1"/>
  <c r="L43" i="15" s="1"/>
  <c r="J17" i="15"/>
  <c r="M17" i="15" s="1"/>
  <c r="J18" i="15"/>
  <c r="E18" i="15" s="1"/>
  <c r="L21" i="15" a="1"/>
  <c r="L21" i="15" s="1"/>
  <c r="L31" i="15" a="1"/>
  <c r="L31" i="15" s="1"/>
  <c r="L24" i="15" a="1"/>
  <c r="L24" i="15" s="1"/>
  <c r="J12" i="15"/>
  <c r="F12" i="15" s="1"/>
  <c r="L25" i="15" a="1"/>
  <c r="L25" i="15" s="1"/>
  <c r="L28" i="15" a="1"/>
  <c r="L28" i="15" s="1"/>
  <c r="L23" i="15" a="1"/>
  <c r="L23" i="15" s="1"/>
  <c r="L35" i="15" a="1"/>
  <c r="L35" i="15" s="1"/>
  <c r="L32" i="15" a="1"/>
  <c r="L32" i="15" s="1"/>
  <c r="L34" i="15" a="1"/>
  <c r="L34" i="15" s="1"/>
  <c r="L29" i="15" a="1"/>
  <c r="L29" i="15" s="1"/>
  <c r="L30" i="15" a="1"/>
  <c r="L30" i="15" s="1"/>
  <c r="L18" i="15" a="1"/>
  <c r="L18" i="15" s="1"/>
  <c r="L27" i="15" a="1"/>
  <c r="L27" i="15" s="1"/>
  <c r="L33" i="15" a="1"/>
  <c r="L33" i="15" s="1"/>
  <c r="L26" i="15" a="1"/>
  <c r="L26" i="15" s="1"/>
  <c r="J22" i="15"/>
  <c r="J23" i="15" s="1"/>
  <c r="L22" i="15" a="1"/>
  <c r="L22" i="15" s="1"/>
  <c r="N13" i="15"/>
  <c r="N12" i="15"/>
  <c r="N20" i="15"/>
  <c r="N19" i="15"/>
  <c r="E16" i="15"/>
  <c r="F16" i="15"/>
  <c r="H16" i="15" s="1"/>
  <c r="D16" i="15"/>
  <c r="N15" i="15"/>
  <c r="N17" i="15"/>
  <c r="E14" i="15"/>
  <c r="F14" i="15"/>
  <c r="H14" i="15" s="1"/>
  <c r="D14" i="15"/>
  <c r="J15" i="15"/>
  <c r="M12" i="15" l="1"/>
  <c r="M16" i="15"/>
  <c r="D40" i="15"/>
  <c r="F40" i="15"/>
  <c r="H40" i="15" s="1"/>
  <c r="E40" i="15"/>
  <c r="D18" i="15"/>
  <c r="J19" i="15"/>
  <c r="D19" i="15" s="1"/>
  <c r="N44" i="15"/>
  <c r="M44" i="15"/>
  <c r="F17" i="15"/>
  <c r="H17" i="15" s="1"/>
  <c r="M38" i="15"/>
  <c r="N38" i="15"/>
  <c r="M43" i="15"/>
  <c r="N43" i="15"/>
  <c r="M36" i="15"/>
  <c r="N36" i="15"/>
  <c r="M37" i="15"/>
  <c r="N37" i="15"/>
  <c r="D43" i="15"/>
  <c r="E43" i="15"/>
  <c r="F43" i="15"/>
  <c r="H43" i="15" s="1"/>
  <c r="N41" i="15"/>
  <c r="M41" i="15"/>
  <c r="J13" i="15"/>
  <c r="M13" i="15" s="1"/>
  <c r="D37" i="15"/>
  <c r="E37" i="15"/>
  <c r="F37" i="15"/>
  <c r="H37" i="15" s="1"/>
  <c r="F18" i="15"/>
  <c r="H18" i="15" s="1"/>
  <c r="D41" i="15"/>
  <c r="F41" i="15"/>
  <c r="H41" i="15" s="1"/>
  <c r="E41" i="15"/>
  <c r="N40" i="15"/>
  <c r="M40" i="15"/>
  <c r="D39" i="15"/>
  <c r="E39" i="15"/>
  <c r="F39" i="15"/>
  <c r="H39" i="15" s="1"/>
  <c r="J44" i="15"/>
  <c r="E38" i="15"/>
  <c r="F38" i="15"/>
  <c r="H38" i="15" s="1"/>
  <c r="K38" i="15" s="1" a="1"/>
  <c r="K38" i="15" s="1"/>
  <c r="D38" i="15"/>
  <c r="N45" i="15"/>
  <c r="M45" i="15"/>
  <c r="M39" i="15"/>
  <c r="N39" i="15"/>
  <c r="M14" i="15"/>
  <c r="D45" i="15"/>
  <c r="F45" i="15"/>
  <c r="H45" i="15" s="1"/>
  <c r="E45" i="15"/>
  <c r="D17" i="15"/>
  <c r="E17" i="15"/>
  <c r="E46" i="15"/>
  <c r="F46" i="15"/>
  <c r="H46" i="15" s="1"/>
  <c r="K46" i="15" s="1" a="1"/>
  <c r="K46" i="15" s="1"/>
  <c r="D46" i="15"/>
  <c r="N42" i="15"/>
  <c r="M46" i="15"/>
  <c r="N46" i="15"/>
  <c r="J42" i="15"/>
  <c r="AG9" i="40"/>
  <c r="M173" i="35" s="1"/>
  <c r="AG20" i="40"/>
  <c r="M187" i="35" s="1"/>
  <c r="AG19" i="40"/>
  <c r="M180" i="35" s="1"/>
  <c r="AG15" i="40"/>
  <c r="M203" i="35" s="1"/>
  <c r="AG14" i="40"/>
  <c r="M204" i="35" s="1"/>
  <c r="AG12" i="40"/>
  <c r="M192" i="35" s="1"/>
  <c r="AU38" i="40"/>
  <c r="AX38" i="40" s="1"/>
  <c r="J211" i="35"/>
  <c r="G211" i="35" s="1" a="1"/>
  <c r="G211" i="35" s="1"/>
  <c r="D12" i="15"/>
  <c r="E12" i="15"/>
  <c r="G12" i="15" s="1"/>
  <c r="D23" i="15"/>
  <c r="F23" i="15"/>
  <c r="H23" i="15" s="1"/>
  <c r="E23" i="15"/>
  <c r="J24" i="15"/>
  <c r="AU14" i="40"/>
  <c r="AX14" i="40" s="1"/>
  <c r="N29" i="15"/>
  <c r="N26" i="15"/>
  <c r="N34" i="15"/>
  <c r="AU39" i="40"/>
  <c r="AX39" i="40" s="1"/>
  <c r="N32" i="15"/>
  <c r="X19" i="40"/>
  <c r="AA19" i="40" s="1"/>
  <c r="M35" i="15"/>
  <c r="N35" i="15"/>
  <c r="N27" i="15"/>
  <c r="AU43" i="40"/>
  <c r="AX43" i="40" s="1"/>
  <c r="X17" i="40"/>
  <c r="AA17" i="40" s="1"/>
  <c r="AU27" i="40"/>
  <c r="AX27" i="40" s="1"/>
  <c r="M23" i="15"/>
  <c r="N23" i="15"/>
  <c r="AU22" i="40"/>
  <c r="AX22" i="40" s="1"/>
  <c r="X15" i="40"/>
  <c r="AA15" i="40" s="1"/>
  <c r="D22" i="15"/>
  <c r="E22" i="15"/>
  <c r="F22" i="15"/>
  <c r="H22" i="15" s="1"/>
  <c r="M18" i="15"/>
  <c r="AU45" i="40"/>
  <c r="AX45" i="40" s="1"/>
  <c r="BF77" i="40"/>
  <c r="BI77" i="40" s="1"/>
  <c r="X18" i="40"/>
  <c r="AA18" i="40" s="1"/>
  <c r="AU13" i="40"/>
  <c r="AX13" i="40" s="1"/>
  <c r="AU20" i="40"/>
  <c r="AX20" i="40" s="1"/>
  <c r="N28" i="15"/>
  <c r="AU41" i="40"/>
  <c r="AX41" i="40" s="1"/>
  <c r="AU46" i="40"/>
  <c r="AX46" i="40" s="1"/>
  <c r="AU44" i="40"/>
  <c r="AX44" i="40" s="1"/>
  <c r="AU26" i="40"/>
  <c r="AX26" i="40" s="1"/>
  <c r="AU28" i="40"/>
  <c r="AX28" i="40" s="1"/>
  <c r="N25" i="15"/>
  <c r="M25" i="15"/>
  <c r="X16" i="40"/>
  <c r="AA16" i="40" s="1"/>
  <c r="AU35" i="40"/>
  <c r="AX35" i="40" s="1"/>
  <c r="AU29" i="40"/>
  <c r="AX29" i="40" s="1"/>
  <c r="AU59" i="40"/>
  <c r="AX59" i="40" s="1"/>
  <c r="AP59" i="40" s="1" a="1"/>
  <c r="AP59" i="40" s="1"/>
  <c r="AU36" i="40"/>
  <c r="AX36" i="40" s="1"/>
  <c r="AU15" i="40"/>
  <c r="AX15" i="40" s="1"/>
  <c r="AU12" i="40"/>
  <c r="AX12" i="40" s="1"/>
  <c r="AU25" i="40"/>
  <c r="AX25" i="40" s="1"/>
  <c r="AU42" i="40"/>
  <c r="AX42" i="40" s="1"/>
  <c r="X11" i="40"/>
  <c r="AA11" i="40" s="1"/>
  <c r="AU24" i="40"/>
  <c r="AX24" i="40" s="1"/>
  <c r="M24" i="15"/>
  <c r="N24" i="15"/>
  <c r="X12" i="40"/>
  <c r="AA12" i="40" s="1"/>
  <c r="E13" i="15"/>
  <c r="G13" i="15" s="1"/>
  <c r="AU37" i="40"/>
  <c r="AX37" i="40" s="1"/>
  <c r="BF78" i="40"/>
  <c r="BI78" i="40" s="1"/>
  <c r="AU21" i="40"/>
  <c r="AX21" i="40" s="1"/>
  <c r="AU23" i="40"/>
  <c r="AX23" i="40" s="1"/>
  <c r="X13" i="40"/>
  <c r="AA13" i="40" s="1"/>
  <c r="AU40" i="40"/>
  <c r="AX40" i="40" s="1"/>
  <c r="X14" i="40"/>
  <c r="AA14" i="40" s="1"/>
  <c r="X10" i="40"/>
  <c r="AA10" i="40" s="1"/>
  <c r="N31" i="15"/>
  <c r="N33" i="15"/>
  <c r="N30" i="15"/>
  <c r="AU11" i="40"/>
  <c r="AX11" i="40" s="1"/>
  <c r="N21" i="15"/>
  <c r="N18" i="15"/>
  <c r="N22" i="15"/>
  <c r="M22" i="15"/>
  <c r="I12" i="15" a="1"/>
  <c r="I12" i="15" s="1"/>
  <c r="E15" i="15"/>
  <c r="F15" i="15"/>
  <c r="H15" i="15" s="1"/>
  <c r="D15" i="15"/>
  <c r="G18" i="15"/>
  <c r="E19" i="15"/>
  <c r="J20" i="15"/>
  <c r="J21" i="15" s="1"/>
  <c r="D21" i="15" s="1"/>
  <c r="G17" i="15"/>
  <c r="K17" i="15" a="1"/>
  <c r="K17" i="15" s="1"/>
  <c r="I17" i="15" a="1"/>
  <c r="I17" i="15" s="1"/>
  <c r="H12" i="15"/>
  <c r="M15" i="15"/>
  <c r="G14" i="15"/>
  <c r="AU47" i="40" s="1"/>
  <c r="AX47" i="40" s="1"/>
  <c r="I14" i="15" a="1"/>
  <c r="I14" i="15" s="1"/>
  <c r="G16" i="15"/>
  <c r="K16" i="15" s="1" a="1"/>
  <c r="K16" i="15" s="1"/>
  <c r="I16" i="15" a="1"/>
  <c r="I16" i="15" s="1"/>
  <c r="M19" i="15"/>
  <c r="F19" i="15" l="1"/>
  <c r="H19" i="15" s="1"/>
  <c r="F13" i="15"/>
  <c r="H13" i="15" s="1"/>
  <c r="D13" i="15"/>
  <c r="M21" i="15"/>
  <c r="AG17" i="40"/>
  <c r="M179" i="35" s="1"/>
  <c r="AG18" i="40"/>
  <c r="K18" i="15" a="1"/>
  <c r="K18" i="15" s="1"/>
  <c r="I18" i="15" a="1"/>
  <c r="I18" i="15" s="1"/>
  <c r="AG11" i="40"/>
  <c r="M185" i="35" s="1"/>
  <c r="G41" i="15"/>
  <c r="K41" i="15" s="1" a="1"/>
  <c r="K41" i="15" s="1"/>
  <c r="I41" i="15" a="1"/>
  <c r="I41" i="15" s="1"/>
  <c r="D42" i="15"/>
  <c r="F42" i="15"/>
  <c r="H42" i="15" s="1"/>
  <c r="E42" i="15"/>
  <c r="G37" i="15"/>
  <c r="I37" i="15" a="1"/>
  <c r="I37" i="15" s="1"/>
  <c r="K37" i="15" a="1"/>
  <c r="K37" i="15" s="1"/>
  <c r="M42" i="15"/>
  <c r="G43" i="15"/>
  <c r="K43" i="15" a="1"/>
  <c r="K43" i="15" s="1"/>
  <c r="I43" i="15" a="1"/>
  <c r="I43" i="15" s="1"/>
  <c r="G46" i="15"/>
  <c r="I46" i="15" a="1"/>
  <c r="I46" i="15" s="1"/>
  <c r="G45" i="15"/>
  <c r="K45" i="15" a="1"/>
  <c r="K45" i="15" s="1"/>
  <c r="I45" i="15" a="1"/>
  <c r="I45" i="15" s="1"/>
  <c r="F21" i="15"/>
  <c r="H21" i="15" s="1"/>
  <c r="G38" i="15"/>
  <c r="I38" i="15" a="1"/>
  <c r="I38" i="15" s="1"/>
  <c r="D44" i="15"/>
  <c r="E44" i="15"/>
  <c r="F44" i="15"/>
  <c r="H44" i="15" s="1"/>
  <c r="G40" i="15"/>
  <c r="K40" i="15" a="1"/>
  <c r="K40" i="15" s="1"/>
  <c r="I40" i="15" a="1"/>
  <c r="I40" i="15" s="1"/>
  <c r="K39" i="15" a="1"/>
  <c r="K39" i="15" s="1"/>
  <c r="G39" i="15"/>
  <c r="I39" i="15" a="1"/>
  <c r="I39" i="15" s="1"/>
  <c r="K12" i="15" a="1"/>
  <c r="K12" i="15" s="1"/>
  <c r="E21" i="15"/>
  <c r="N192" i="35"/>
  <c r="AU58" i="40"/>
  <c r="AX58" i="40" s="1"/>
  <c r="AP58" i="40" s="1" a="1"/>
  <c r="AP58" i="40" s="1"/>
  <c r="K101" i="38" a="1"/>
  <c r="K101" i="38" s="1"/>
  <c r="P180" i="35" a="1"/>
  <c r="P180" i="35" s="1"/>
  <c r="G22" i="15"/>
  <c r="I22" i="15" a="1"/>
  <c r="I22" i="15" s="1"/>
  <c r="K22" i="15" a="1"/>
  <c r="K22" i="15" s="1"/>
  <c r="AU30" i="40"/>
  <c r="I13" i="15" a="1"/>
  <c r="I13" i="15" s="1"/>
  <c r="K13" i="15" a="1"/>
  <c r="K13" i="15" s="1"/>
  <c r="U24" i="40" a="1"/>
  <c r="U24" i="40" s="1"/>
  <c r="D24" i="15"/>
  <c r="F24" i="15"/>
  <c r="H24" i="15" s="1"/>
  <c r="E24" i="15"/>
  <c r="J25" i="15"/>
  <c r="G23" i="15"/>
  <c r="I23" i="15" a="1"/>
  <c r="I23" i="15" s="1"/>
  <c r="K23" i="15" a="1"/>
  <c r="K23" i="15" s="1"/>
  <c r="G15" i="15"/>
  <c r="K15" i="15" a="1"/>
  <c r="K15" i="15" s="1"/>
  <c r="I15" i="15" a="1"/>
  <c r="I15" i="15" s="1"/>
  <c r="C476" i="1" a="1"/>
  <c r="C476" i="1" s="1"/>
  <c r="C283" i="13" a="1"/>
  <c r="C283" i="13" s="1"/>
  <c r="I123" i="14" a="1"/>
  <c r="AC491" i="1" a="1"/>
  <c r="K14" i="15" a="1"/>
  <c r="K14" i="15" s="1"/>
  <c r="G19" i="15"/>
  <c r="K19" i="15" a="1"/>
  <c r="K19" i="15" s="1"/>
  <c r="I19" i="15" a="1"/>
  <c r="I19" i="15" s="1"/>
  <c r="E20" i="15"/>
  <c r="F20" i="15"/>
  <c r="H20" i="15" s="1"/>
  <c r="D20" i="15"/>
  <c r="M20" i="15"/>
  <c r="AG10" i="40" l="1"/>
  <c r="M178" i="35" s="1"/>
  <c r="M186" i="35"/>
  <c r="I21" i="15" a="1"/>
  <c r="I21" i="15" s="1"/>
  <c r="K21" i="15" a="1"/>
  <c r="K21" i="15" s="1"/>
  <c r="G44" i="15"/>
  <c r="I44" i="15" a="1"/>
  <c r="I44" i="15" s="1"/>
  <c r="K44" i="15" a="1"/>
  <c r="K44" i="15" s="1"/>
  <c r="G21" i="15"/>
  <c r="AU34" i="40" s="1"/>
  <c r="G42" i="15"/>
  <c r="K42" i="15" a="1"/>
  <c r="K42" i="15" s="1"/>
  <c r="I42" i="15" a="1"/>
  <c r="I42" i="15" s="1"/>
  <c r="AR63" i="40"/>
  <c r="T243" i="38" s="1" a="1"/>
  <c r="T243" i="38" s="1"/>
  <c r="F25" i="15"/>
  <c r="H25" i="15" s="1"/>
  <c r="E25" i="15"/>
  <c r="D25" i="15"/>
  <c r="J26" i="15"/>
  <c r="M26" i="15" s="1"/>
  <c r="G24" i="15"/>
  <c r="K24" i="15" a="1"/>
  <c r="K24" i="15" s="1"/>
  <c r="I24" i="15" a="1"/>
  <c r="I24" i="15" s="1"/>
  <c r="O124" i="14"/>
  <c r="I123" i="14"/>
  <c r="O123" i="14" s="1"/>
  <c r="G20" i="15"/>
  <c r="K20" i="15" a="1"/>
  <c r="K20" i="15" s="1"/>
  <c r="I20" i="15" a="1"/>
  <c r="I20" i="15" s="1"/>
  <c r="AD508" i="1"/>
  <c r="D157" i="13" s="1"/>
  <c r="D158" i="13" s="1"/>
  <c r="AD510" i="1" a="1"/>
  <c r="AD510" i="1" s="1"/>
  <c r="AB515" i="1" s="1"/>
  <c r="AI492" i="1"/>
  <c r="AH450" i="1" s="1" a="1"/>
  <c r="AH450" i="1" s="1"/>
  <c r="AB518" i="1"/>
  <c r="AE508" i="1"/>
  <c r="E157" i="13" s="1"/>
  <c r="E158" i="13" s="1"/>
  <c r="AF508" i="1"/>
  <c r="F157" i="13" s="1"/>
  <c r="F158" i="13" s="1"/>
  <c r="AC491" i="1"/>
  <c r="AI491" i="1" s="1"/>
  <c r="AG508" i="1"/>
  <c r="G157" i="13" s="1"/>
  <c r="G158" i="13" s="1"/>
  <c r="AB519" i="1"/>
  <c r="AX34" i="40" l="1"/>
  <c r="L101" i="38" s="1" a="1"/>
  <c r="L101" i="38" s="1"/>
  <c r="AU48" i="40"/>
  <c r="P240" i="35" a="1"/>
  <c r="P240" i="35" s="1"/>
  <c r="P200" i="35" a="1"/>
  <c r="D167" i="13" a="1"/>
  <c r="D167" i="13" s="1"/>
  <c r="D26" i="15"/>
  <c r="F26" i="15"/>
  <c r="E26" i="15"/>
  <c r="J27" i="15"/>
  <c r="M27" i="15" s="1"/>
  <c r="K25" i="15" a="1"/>
  <c r="K25" i="15" s="1"/>
  <c r="I25" i="15" a="1"/>
  <c r="I25" i="15" s="1"/>
  <c r="G25" i="15"/>
  <c r="AC510" i="1" a="1"/>
  <c r="AC510" i="1" s="1"/>
  <c r="AB514" i="1" s="1"/>
  <c r="D165" i="13" s="1" a="1"/>
  <c r="D165" i="13" s="1"/>
  <c r="N114" i="14" a="1"/>
  <c r="N114" i="14" s="1"/>
  <c r="H19" i="14" s="1" a="1"/>
  <c r="H19" i="14" s="1"/>
  <c r="N111" i="14" a="1"/>
  <c r="N111" i="14" s="1"/>
  <c r="H16" i="14" s="1" a="1"/>
  <c r="H16" i="14" s="1"/>
  <c r="N109" i="14" a="1"/>
  <c r="N109" i="14" s="1"/>
  <c r="H14" i="14" s="1" a="1"/>
  <c r="H14" i="14" s="1"/>
  <c r="N103" i="14" a="1"/>
  <c r="N103" i="14" s="1"/>
  <c r="H8" i="14" s="1" a="1"/>
  <c r="H8" i="14" s="1"/>
  <c r="N117" i="14" a="1"/>
  <c r="N117" i="14" s="1"/>
  <c r="H22" i="14" s="1" a="1"/>
  <c r="H22" i="14" s="1"/>
  <c r="N119" i="14" a="1"/>
  <c r="N119" i="14" s="1"/>
  <c r="H24" i="14" s="1" a="1"/>
  <c r="H24" i="14" s="1"/>
  <c r="N107" i="14" a="1"/>
  <c r="N107" i="14" s="1"/>
  <c r="H12" i="14" s="1" a="1"/>
  <c r="H12" i="14" s="1"/>
  <c r="N101" i="14" a="1"/>
  <c r="N101" i="14" s="1"/>
  <c r="H6" i="14" s="1" a="1"/>
  <c r="H6" i="14" s="1"/>
  <c r="N113" i="14" a="1"/>
  <c r="N113" i="14" s="1"/>
  <c r="H18" i="14" s="1" a="1"/>
  <c r="H18" i="14" s="1"/>
  <c r="N104" i="14" a="1"/>
  <c r="N104" i="14" s="1"/>
  <c r="H9" i="14" s="1" a="1"/>
  <c r="H9" i="14" s="1"/>
  <c r="N120" i="14" a="1"/>
  <c r="N120" i="14" s="1"/>
  <c r="H25" i="14" s="1" a="1"/>
  <c r="H25" i="14" s="1"/>
  <c r="N116" i="14" a="1"/>
  <c r="N116" i="14" s="1"/>
  <c r="H21" i="14" s="1" a="1"/>
  <c r="H21" i="14" s="1"/>
  <c r="N112" i="14" a="1"/>
  <c r="N112" i="14" s="1"/>
  <c r="H17" i="14" s="1" a="1"/>
  <c r="H17" i="14" s="1"/>
  <c r="N106" i="14" a="1"/>
  <c r="N106" i="14" s="1"/>
  <c r="H11" i="14" s="1" a="1"/>
  <c r="H11" i="14" s="1"/>
  <c r="N108" i="14" a="1"/>
  <c r="N108" i="14" s="1"/>
  <c r="H13" i="14" s="1" a="1"/>
  <c r="H13" i="14" s="1"/>
  <c r="N105" i="14" a="1"/>
  <c r="N105" i="14" s="1"/>
  <c r="H10" i="14" s="1" a="1"/>
  <c r="H10" i="14" s="1"/>
  <c r="N110" i="14" a="1"/>
  <c r="N110" i="14" s="1"/>
  <c r="H15" i="14" s="1" a="1"/>
  <c r="H15" i="14" s="1"/>
  <c r="N115" i="14" a="1"/>
  <c r="N115" i="14" s="1"/>
  <c r="H20" i="14" s="1" a="1"/>
  <c r="H20" i="14" s="1"/>
  <c r="N118" i="14" a="1"/>
  <c r="N118" i="14" s="1"/>
  <c r="H23" i="14" s="1" a="1"/>
  <c r="H23" i="14" s="1"/>
  <c r="N102" i="14" a="1"/>
  <c r="N102" i="14" s="1"/>
  <c r="H7" i="14" s="1" a="1"/>
  <c r="H7" i="14" s="1"/>
  <c r="J151" i="13" a="1"/>
  <c r="J151" i="13" s="1"/>
  <c r="B151" i="13" s="1" a="1"/>
  <c r="B151" i="13" s="1"/>
  <c r="J140" i="13" a="1"/>
  <c r="J140" i="13" s="1"/>
  <c r="B140" i="13" s="1" a="1"/>
  <c r="B140" i="13" s="1"/>
  <c r="J149" i="13" a="1"/>
  <c r="J149" i="13" s="1"/>
  <c r="B149" i="13" s="1" a="1"/>
  <c r="B149" i="13" s="1"/>
  <c r="J141" i="13" a="1"/>
  <c r="J141" i="13" s="1"/>
  <c r="B141" i="13" s="1" a="1"/>
  <c r="B141" i="13" s="1"/>
  <c r="J139" i="13" a="1"/>
  <c r="J139" i="13" s="1"/>
  <c r="B139" i="13" s="1" a="1"/>
  <c r="B139" i="13" s="1"/>
  <c r="J152" i="13" a="1"/>
  <c r="J152" i="13" s="1"/>
  <c r="B152" i="13" s="1" a="1"/>
  <c r="B152" i="13" s="1"/>
  <c r="J145" i="13" a="1"/>
  <c r="J145" i="13" s="1"/>
  <c r="B145" i="13" s="1" a="1"/>
  <c r="B145" i="13" s="1"/>
  <c r="J148" i="13" a="1"/>
  <c r="J148" i="13" s="1"/>
  <c r="B148" i="13" s="1" a="1"/>
  <c r="B148" i="13" s="1"/>
  <c r="J142" i="13" a="1"/>
  <c r="J142" i="13" s="1"/>
  <c r="B142" i="13" s="1" a="1"/>
  <c r="B142" i="13" s="1"/>
  <c r="J146" i="13" a="1"/>
  <c r="J146" i="13" s="1"/>
  <c r="B146" i="13" s="1" a="1"/>
  <c r="B146" i="13" s="1"/>
  <c r="AH449" i="1" a="1"/>
  <c r="AH449" i="1" s="1"/>
  <c r="J150" i="13" a="1"/>
  <c r="J150" i="13" s="1"/>
  <c r="B150" i="13" s="1" a="1"/>
  <c r="B150" i="13" s="1"/>
  <c r="J143" i="13" a="1"/>
  <c r="J143" i="13" s="1"/>
  <c r="B143" i="13" s="1" a="1"/>
  <c r="B143" i="13" s="1"/>
  <c r="J138" i="13" a="1"/>
  <c r="J138" i="13" s="1"/>
  <c r="B138" i="13" s="1" a="1"/>
  <c r="B138" i="13" s="1"/>
  <c r="J147" i="13" a="1"/>
  <c r="J147" i="13" s="1"/>
  <c r="B147" i="13" s="1" a="1"/>
  <c r="B147" i="13" s="1"/>
  <c r="J153" i="13" a="1"/>
  <c r="J153" i="13" s="1"/>
  <c r="B153" i="13" s="1" a="1"/>
  <c r="B153" i="13" s="1"/>
  <c r="J144" i="13" a="1"/>
  <c r="J144" i="13" s="1"/>
  <c r="B144" i="13" s="1" a="1"/>
  <c r="B144" i="13" s="1"/>
  <c r="P200" i="35" l="1"/>
  <c r="O352" i="35" s="1" a="1"/>
  <c r="O352" i="35" s="1"/>
  <c r="Q314" i="35"/>
  <c r="O365" i="35" s="1" a="1"/>
  <c r="O365" i="35" s="1"/>
  <c r="D27" i="15"/>
  <c r="F27" i="15"/>
  <c r="H27" i="15" s="1"/>
  <c r="E27" i="15"/>
  <c r="J28" i="15"/>
  <c r="M28" i="15" s="1"/>
  <c r="G26" i="15"/>
  <c r="I26" i="15" a="1"/>
  <c r="I26" i="15" s="1"/>
  <c r="H26" i="15"/>
  <c r="K26" i="15" l="1" a="1"/>
  <c r="K26" i="15" s="1"/>
  <c r="D28" i="15"/>
  <c r="F28" i="15"/>
  <c r="E28" i="15"/>
  <c r="J29" i="15"/>
  <c r="M29" i="15" s="1"/>
  <c r="K27" i="15" a="1"/>
  <c r="K27" i="15" s="1"/>
  <c r="G27" i="15"/>
  <c r="I27" i="15" a="1"/>
  <c r="I27" i="15" s="1"/>
  <c r="H28" i="15" l="1"/>
  <c r="K28" i="15" s="1" a="1"/>
  <c r="K28" i="15" s="1"/>
  <c r="G28" i="15"/>
  <c r="I28" i="15" a="1"/>
  <c r="I28" i="15" s="1"/>
  <c r="E29" i="15"/>
  <c r="D29" i="15"/>
  <c r="F29" i="15"/>
  <c r="H29" i="15" s="1"/>
  <c r="J30" i="15"/>
  <c r="M30" i="15" s="1"/>
  <c r="K29" i="15" l="1" a="1"/>
  <c r="K29" i="15" s="1"/>
  <c r="G29" i="15"/>
  <c r="I29" i="15" a="1"/>
  <c r="I29" i="15" s="1"/>
  <c r="E30" i="15"/>
  <c r="F30" i="15"/>
  <c r="D30" i="15"/>
  <c r="J31" i="15"/>
  <c r="M31" i="15" s="1"/>
  <c r="E31" i="15" l="1"/>
  <c r="F31" i="15"/>
  <c r="D31" i="15"/>
  <c r="J32" i="15"/>
  <c r="M32" i="15" s="1"/>
  <c r="H30" i="15"/>
  <c r="K30" i="15" s="1" a="1"/>
  <c r="K30" i="15" s="1"/>
  <c r="G30" i="15"/>
  <c r="I30" i="15" a="1"/>
  <c r="I30" i="15" s="1"/>
  <c r="E32" i="15" l="1"/>
  <c r="F32" i="15"/>
  <c r="D32" i="15"/>
  <c r="J33" i="15"/>
  <c r="M33" i="15" s="1"/>
  <c r="H31" i="15"/>
  <c r="G31" i="15"/>
  <c r="I31" i="15" a="1"/>
  <c r="I31" i="15" s="1"/>
  <c r="K31" i="15" l="1" a="1"/>
  <c r="K31" i="15" s="1"/>
  <c r="E33" i="15"/>
  <c r="F33" i="15"/>
  <c r="D33" i="15"/>
  <c r="J34" i="15"/>
  <c r="M34" i="15" s="1"/>
  <c r="H32" i="15"/>
  <c r="K32" i="15" s="1" a="1"/>
  <c r="K32" i="15" s="1"/>
  <c r="G32" i="15"/>
  <c r="I32" i="15" a="1"/>
  <c r="I32" i="15" s="1"/>
  <c r="F34" i="15" l="1"/>
  <c r="E34" i="15"/>
  <c r="D34" i="15"/>
  <c r="J35" i="15"/>
  <c r="J36" i="15" s="1"/>
  <c r="H33" i="15"/>
  <c r="I33" i="15" a="1"/>
  <c r="I33" i="15" s="1"/>
  <c r="G33" i="15"/>
  <c r="D36" i="15" l="1"/>
  <c r="E36" i="15"/>
  <c r="F36" i="15"/>
  <c r="H36" i="15" s="1"/>
  <c r="K33" i="15" a="1"/>
  <c r="K33" i="15" s="1"/>
  <c r="E35" i="15"/>
  <c r="N204" i="35" s="1"/>
  <c r="F35" i="15"/>
  <c r="AU10" i="40" s="1"/>
  <c r="AX10" i="40" s="1"/>
  <c r="D35" i="15"/>
  <c r="I34" i="15" a="1"/>
  <c r="I34" i="15" s="1"/>
  <c r="G34" i="15"/>
  <c r="BQ47" i="40"/>
  <c r="BT47" i="40" s="1"/>
  <c r="BF91" i="40"/>
  <c r="BI91" i="40" s="1"/>
  <c r="BQ64" i="40"/>
  <c r="BT64" i="40" s="1"/>
  <c r="BQ10" i="40"/>
  <c r="BF66" i="40"/>
  <c r="BI66" i="40" s="1"/>
  <c r="BQ55" i="40"/>
  <c r="BT55" i="40" s="1"/>
  <c r="BQ11" i="40"/>
  <c r="BT11" i="40" s="1"/>
  <c r="BQ50" i="40"/>
  <c r="BT50" i="40" s="1"/>
  <c r="BF90" i="40"/>
  <c r="BI90" i="40" s="1"/>
  <c r="BQ77" i="40"/>
  <c r="BT77" i="40" s="1"/>
  <c r="BF60" i="40"/>
  <c r="BI60" i="40" s="1"/>
  <c r="M51" i="40"/>
  <c r="P51" i="40" s="1"/>
  <c r="BQ18" i="40"/>
  <c r="BT18" i="40" s="1"/>
  <c r="BF68" i="40"/>
  <c r="BI68" i="40" s="1"/>
  <c r="BF116" i="40"/>
  <c r="BI116" i="40" s="1"/>
  <c r="BQ69" i="40"/>
  <c r="BT69" i="40" s="1"/>
  <c r="BQ33" i="40"/>
  <c r="BT33" i="40" s="1"/>
  <c r="BF72" i="40"/>
  <c r="BI72" i="40" s="1"/>
  <c r="BF70" i="40"/>
  <c r="BI70" i="40" s="1"/>
  <c r="BQ45" i="40"/>
  <c r="BT45" i="40" s="1"/>
  <c r="BF107" i="40"/>
  <c r="BI107" i="40" s="1"/>
  <c r="M50" i="40"/>
  <c r="P50" i="40" s="1"/>
  <c r="BQ13" i="40"/>
  <c r="BT13" i="40" s="1"/>
  <c r="BP81" i="40"/>
  <c r="BF108" i="40"/>
  <c r="BI108" i="40" s="1"/>
  <c r="BQ32" i="40"/>
  <c r="BT32" i="40" s="1"/>
  <c r="BQ52" i="40"/>
  <c r="BT52" i="40" s="1"/>
  <c r="BQ49" i="40"/>
  <c r="BT49" i="40" s="1"/>
  <c r="BF112" i="40"/>
  <c r="BI112" i="40" s="1"/>
  <c r="BQ63" i="40"/>
  <c r="BT63" i="40" s="1"/>
  <c r="BF69" i="40"/>
  <c r="BI69" i="40" s="1"/>
  <c r="BQ79" i="40"/>
  <c r="BT79" i="40" s="1"/>
  <c r="BF92" i="40"/>
  <c r="BI92" i="40" s="1"/>
  <c r="BQ15" i="40"/>
  <c r="BT15" i="40" s="1"/>
  <c r="M47" i="40"/>
  <c r="P47" i="40" s="1"/>
  <c r="BQ54" i="40"/>
  <c r="BT54" i="40" s="1"/>
  <c r="BQ43" i="40"/>
  <c r="BT43" i="40" s="1"/>
  <c r="H34" i="15"/>
  <c r="K34" i="15" s="1" a="1"/>
  <c r="K34" i="15" s="1"/>
  <c r="BF47" i="40"/>
  <c r="BI47" i="40" s="1"/>
  <c r="BF15" i="40"/>
  <c r="BI15" i="40" s="1"/>
  <c r="BF84" i="40"/>
  <c r="BI84" i="40" s="1"/>
  <c r="BF31" i="40"/>
  <c r="BI31" i="40" s="1"/>
  <c r="I36" i="15" l="1" a="1"/>
  <c r="I36" i="15" s="1"/>
  <c r="G36" i="15"/>
  <c r="K36" i="15" a="1"/>
  <c r="K36" i="15" s="1"/>
  <c r="L207" i="38"/>
  <c r="L195" i="38"/>
  <c r="L159" i="38"/>
  <c r="L171" i="38"/>
  <c r="N179" i="35"/>
  <c r="N180" i="35"/>
  <c r="N187" i="35"/>
  <c r="N186" i="35"/>
  <c r="BT10" i="40"/>
  <c r="BP83" i="40"/>
  <c r="BP85" i="40" s="1"/>
  <c r="BS81" i="40"/>
  <c r="J190" i="35"/>
  <c r="J170" i="35"/>
  <c r="J200" i="35"/>
  <c r="J160" i="35"/>
  <c r="J189" i="35"/>
  <c r="H35" i="15"/>
  <c r="H10" i="15" s="1"/>
  <c r="M12" i="40"/>
  <c r="P12" i="40" s="1"/>
  <c r="BF48" i="40"/>
  <c r="BI48" i="40" s="1"/>
  <c r="BF16" i="40"/>
  <c r="BI16" i="40" s="1"/>
  <c r="BF17" i="40"/>
  <c r="BI17" i="40" s="1"/>
  <c r="BF33" i="40"/>
  <c r="BI33" i="40" s="1"/>
  <c r="BF44" i="40"/>
  <c r="BI44" i="40" s="1"/>
  <c r="BF104" i="40"/>
  <c r="BI104" i="40" s="1"/>
  <c r="M13" i="40"/>
  <c r="P13" i="40" s="1"/>
  <c r="BF11" i="40"/>
  <c r="BF89" i="40"/>
  <c r="BI89" i="40" s="1"/>
  <c r="BF32" i="40"/>
  <c r="BI32" i="40" s="1"/>
  <c r="BF30" i="40"/>
  <c r="BF34" i="40"/>
  <c r="BI34" i="40" s="1"/>
  <c r="BF86" i="40"/>
  <c r="BI86" i="40" s="1"/>
  <c r="M14" i="40"/>
  <c r="P14" i="40" s="1"/>
  <c r="M37" i="40"/>
  <c r="P37" i="40" s="1"/>
  <c r="BF83" i="40"/>
  <c r="BI83" i="40" s="1"/>
  <c r="BF49" i="40"/>
  <c r="BI49" i="40" s="1"/>
  <c r="BF50" i="40"/>
  <c r="BI50" i="40" s="1"/>
  <c r="M39" i="40"/>
  <c r="P39" i="40" s="1"/>
  <c r="BF42" i="40"/>
  <c r="BI42" i="40" s="1"/>
  <c r="BF40" i="40"/>
  <c r="BI40" i="40" s="1"/>
  <c r="BF87" i="40"/>
  <c r="BI87" i="40" s="1"/>
  <c r="BF46" i="40"/>
  <c r="BI46" i="40" s="1"/>
  <c r="BF13" i="40"/>
  <c r="BI13" i="40" s="1"/>
  <c r="BF82" i="40"/>
  <c r="BI82" i="40" s="1"/>
  <c r="M36" i="40"/>
  <c r="BF41" i="40"/>
  <c r="BI41" i="40" s="1"/>
  <c r="BF101" i="40"/>
  <c r="BI101" i="40" s="1"/>
  <c r="BF43" i="40"/>
  <c r="BI43" i="40" s="1"/>
  <c r="BF103" i="40"/>
  <c r="BI103" i="40" s="1"/>
  <c r="BF102" i="40"/>
  <c r="BI102" i="40" s="1"/>
  <c r="BF88" i="40"/>
  <c r="BI88" i="40" s="1"/>
  <c r="BF98" i="40"/>
  <c r="BI98" i="40" s="1"/>
  <c r="M41" i="40"/>
  <c r="P41" i="40" s="1"/>
  <c r="BF99" i="40"/>
  <c r="BI99" i="40" s="1"/>
  <c r="BF45" i="40"/>
  <c r="BI45" i="40" s="1"/>
  <c r="M11" i="40"/>
  <c r="P11" i="40" s="1"/>
  <c r="M40" i="40"/>
  <c r="P40" i="40" s="1"/>
  <c r="M38" i="40"/>
  <c r="P38" i="40" s="1"/>
  <c r="BF39" i="40"/>
  <c r="BF14" i="40"/>
  <c r="BI14" i="40" s="1"/>
  <c r="BF100" i="40"/>
  <c r="BI100" i="40" s="1"/>
  <c r="M10" i="40"/>
  <c r="BF85" i="40"/>
  <c r="BI85" i="40" s="1"/>
  <c r="I35" i="15" a="1"/>
  <c r="I35" i="15" s="1"/>
  <c r="G35" i="15"/>
  <c r="BQ80" i="40"/>
  <c r="BT80" i="40" s="1"/>
  <c r="BQ29" i="40"/>
  <c r="BT29" i="40" s="1"/>
  <c r="BQ17" i="40"/>
  <c r="BT17" i="40" s="1"/>
  <c r="BQ68" i="40"/>
  <c r="BT68" i="40" s="1"/>
  <c r="BF59" i="40"/>
  <c r="BI59" i="40" s="1"/>
  <c r="BF20" i="40"/>
  <c r="BI20" i="40" s="1"/>
  <c r="M27" i="40"/>
  <c r="P27" i="40" s="1"/>
  <c r="M20" i="40"/>
  <c r="P20" i="40" s="1"/>
  <c r="BQ28" i="40"/>
  <c r="BT28" i="40" s="1"/>
  <c r="BQ67" i="40"/>
  <c r="BT67" i="40" s="1"/>
  <c r="M26" i="40"/>
  <c r="P26" i="40" s="1"/>
  <c r="BQ46" i="40"/>
  <c r="BT46" i="40" s="1"/>
  <c r="BQ14" i="40"/>
  <c r="BT14" i="40" s="1"/>
  <c r="M21" i="40"/>
  <c r="P21" i="40" s="1"/>
  <c r="BQ51" i="40"/>
  <c r="BT51" i="40" s="1"/>
  <c r="M49" i="40"/>
  <c r="P49" i="40" s="1"/>
  <c r="BF62" i="40"/>
  <c r="BI62" i="40" s="1"/>
  <c r="BQ65" i="40"/>
  <c r="BT65" i="40" s="1"/>
  <c r="BF109" i="40"/>
  <c r="BI109" i="40" s="1"/>
  <c r="BF57" i="40"/>
  <c r="BF63" i="40"/>
  <c r="BI63" i="40" s="1"/>
  <c r="BQ62" i="40"/>
  <c r="BT62" i="40" s="1"/>
  <c r="BF65" i="40"/>
  <c r="BI65" i="40" s="1"/>
  <c r="BF58" i="40"/>
  <c r="BI58" i="40" s="1"/>
  <c r="BF117" i="40"/>
  <c r="BI117" i="40" s="1"/>
  <c r="BQ25" i="40"/>
  <c r="BT25" i="40" s="1"/>
  <c r="BQ48" i="40"/>
  <c r="BT48" i="40" s="1"/>
  <c r="BF67" i="40"/>
  <c r="BI67" i="40" s="1"/>
  <c r="BQ27" i="40"/>
  <c r="BT27" i="40" s="1"/>
  <c r="BF106" i="40"/>
  <c r="BI106" i="40" s="1"/>
  <c r="BQ12" i="40"/>
  <c r="BT12" i="40" s="1"/>
  <c r="M22" i="40"/>
  <c r="P22" i="40" s="1"/>
  <c r="BQ24" i="40"/>
  <c r="BQ41" i="40"/>
  <c r="BT41" i="40" s="1"/>
  <c r="BQ61" i="40"/>
  <c r="M23" i="40"/>
  <c r="P23" i="40" s="1"/>
  <c r="BQ16" i="40"/>
  <c r="BT16" i="40" s="1"/>
  <c r="BQ44" i="40"/>
  <c r="BT44" i="40" s="1"/>
  <c r="BF71" i="40"/>
  <c r="BI71" i="40" s="1"/>
  <c r="M48" i="40"/>
  <c r="P48" i="40" s="1"/>
  <c r="BF110" i="40"/>
  <c r="BI110" i="40" s="1"/>
  <c r="M30" i="40"/>
  <c r="P30" i="40" s="1"/>
  <c r="BQ19" i="40"/>
  <c r="BT19" i="40" s="1"/>
  <c r="BQ42" i="40"/>
  <c r="BT42" i="40" s="1"/>
  <c r="BF64" i="40"/>
  <c r="BI64" i="40" s="1"/>
  <c r="M29" i="40"/>
  <c r="P29" i="40" s="1"/>
  <c r="BQ31" i="40"/>
  <c r="BT31" i="40" s="1"/>
  <c r="BQ78" i="40"/>
  <c r="BT78" i="40" s="1"/>
  <c r="BF94" i="40"/>
  <c r="BI94" i="40" s="1"/>
  <c r="M19" i="40"/>
  <c r="M25" i="40"/>
  <c r="P25" i="40" s="1"/>
  <c r="BQ81" i="40"/>
  <c r="BT81" i="40" s="1"/>
  <c r="BF111" i="40"/>
  <c r="BI111" i="40" s="1"/>
  <c r="BQ30" i="40"/>
  <c r="BT30" i="40" s="1"/>
  <c r="BQ82" i="40"/>
  <c r="BT82" i="40" s="1"/>
  <c r="BF22" i="40"/>
  <c r="BI22" i="40" s="1"/>
  <c r="M31" i="40"/>
  <c r="P31" i="40" s="1"/>
  <c r="BQ56" i="40"/>
  <c r="BT56" i="40" s="1"/>
  <c r="BF61" i="40"/>
  <c r="BI61" i="40" s="1"/>
  <c r="BQ26" i="40"/>
  <c r="BT26" i="40" s="1"/>
  <c r="M28" i="40"/>
  <c r="P28" i="40" s="1"/>
  <c r="M24" i="40"/>
  <c r="P24" i="40" s="1"/>
  <c r="BQ40" i="40"/>
  <c r="BQ76" i="40"/>
  <c r="BQ66" i="40"/>
  <c r="BT66" i="40" s="1"/>
  <c r="BF113" i="40"/>
  <c r="BI113" i="40" s="1"/>
  <c r="BF114" i="40"/>
  <c r="BI114" i="40" s="1"/>
  <c r="M46" i="40"/>
  <c r="BF105" i="40"/>
  <c r="BI105" i="40" s="1"/>
  <c r="BF93" i="40"/>
  <c r="BI93" i="40" s="1"/>
  <c r="BF115" i="40"/>
  <c r="BI115" i="40" s="1"/>
  <c r="BQ70" i="40"/>
  <c r="BT70" i="40" s="1"/>
  <c r="BQ53" i="40"/>
  <c r="BT53" i="40" s="1"/>
  <c r="K35" i="15" l="1" a="1"/>
  <c r="K35" i="15" s="1"/>
  <c r="G10" i="15"/>
  <c r="I10" i="15" s="1"/>
  <c r="AU9" i="40"/>
  <c r="N203" i="35"/>
  <c r="N185" i="35"/>
  <c r="N178" i="35"/>
  <c r="O401" i="35" a="1"/>
  <c r="O401" i="35" s="1"/>
  <c r="BI39" i="40"/>
  <c r="BI30" i="40"/>
  <c r="T282" i="38" s="1" a="1"/>
  <c r="T282" i="38" s="1"/>
  <c r="P260" i="35" a="1"/>
  <c r="P260" i="35" s="1"/>
  <c r="BI11" i="40"/>
  <c r="BI57" i="40"/>
  <c r="T322" i="38" a="1"/>
  <c r="T322" i="38" s="1"/>
  <c r="P300" i="35" a="1"/>
  <c r="P300" i="35" s="1"/>
  <c r="T180" i="35" a="1"/>
  <c r="BT40" i="40"/>
  <c r="BQ57" i="40"/>
  <c r="M32" i="40"/>
  <c r="P19" i="40"/>
  <c r="H170" i="35" s="1" a="1"/>
  <c r="H170" i="35" s="1"/>
  <c r="P10" i="40"/>
  <c r="H160" i="35" s="1" a="1"/>
  <c r="H160" i="35" s="1"/>
  <c r="M15" i="40"/>
  <c r="M42" i="40"/>
  <c r="P36" i="40"/>
  <c r="H190" i="35" s="1" a="1"/>
  <c r="M52" i="40"/>
  <c r="P46" i="40"/>
  <c r="H200" i="35" s="1" a="1"/>
  <c r="BQ71" i="40"/>
  <c r="BT61" i="40"/>
  <c r="T190" i="35" a="1"/>
  <c r="BQ34" i="40"/>
  <c r="T170" i="35" a="1"/>
  <c r="BT24" i="40"/>
  <c r="BQ20" i="40"/>
  <c r="T200" i="35" a="1"/>
  <c r="BT76" i="40"/>
  <c r="BQ83" i="40"/>
  <c r="T160" i="35" a="1"/>
  <c r="V162" i="35" s="1"/>
  <c r="V190" i="35" l="1"/>
  <c r="V191" i="35"/>
  <c r="V170" i="35"/>
  <c r="V171" i="35"/>
  <c r="V180" i="35"/>
  <c r="V183" i="35"/>
  <c r="V182" i="35"/>
  <c r="V181" i="35"/>
  <c r="H200" i="35"/>
  <c r="I226" i="35"/>
  <c r="G289" i="35" s="1" a="1"/>
  <c r="G289" i="35" s="1"/>
  <c r="G281" i="35" a="1"/>
  <c r="G281" i="35" s="1"/>
  <c r="AU16" i="40"/>
  <c r="AU52" i="40" s="1"/>
  <c r="AX9" i="40"/>
  <c r="J101" i="38" s="1" a="1"/>
  <c r="J101" i="38" s="1"/>
  <c r="E115" i="38" s="1" a="1"/>
  <c r="E115" i="38" s="1"/>
  <c r="H190" i="35"/>
  <c r="I225" i="35"/>
  <c r="G279" i="35" s="1" a="1"/>
  <c r="G279" i="35" s="1"/>
  <c r="G271" i="35" a="1"/>
  <c r="G271" i="35" s="1"/>
  <c r="V161" i="35"/>
  <c r="V160" i="35"/>
  <c r="V200" i="35"/>
  <c r="V201" i="35"/>
  <c r="P290" i="35" a="1"/>
  <c r="P290" i="35" s="1"/>
  <c r="T312" i="38" a="1"/>
  <c r="T312" i="38" s="1"/>
  <c r="M205" i="35" a="1"/>
  <c r="M205" i="35" s="1"/>
  <c r="M201" i="35" s="1"/>
  <c r="M222" i="35" s="1"/>
  <c r="M199" i="35" a="1"/>
  <c r="M199" i="35" s="1"/>
  <c r="M194" i="35" a="1"/>
  <c r="M194" i="35" s="1"/>
  <c r="M188" i="35" a="1"/>
  <c r="M188" i="35" s="1"/>
  <c r="M183" i="35" s="1"/>
  <c r="M219" i="35" s="1"/>
  <c r="M181" i="35" a="1"/>
  <c r="M181" i="35" s="1"/>
  <c r="M174" i="35" a="1"/>
  <c r="M174" i="35" s="1"/>
  <c r="M171" i="35" s="1"/>
  <c r="M217" i="35" s="1"/>
  <c r="T180" i="35"/>
  <c r="U215" i="35"/>
  <c r="T160" i="35"/>
  <c r="U212" i="35"/>
  <c r="T200" i="35"/>
  <c r="S284" i="35" s="1" a="1"/>
  <c r="S284" i="35" s="1"/>
  <c r="U218" i="35"/>
  <c r="S290" i="35" s="1" a="1"/>
  <c r="S290" i="35" s="1"/>
  <c r="I223" i="35"/>
  <c r="G245" i="35" s="1" a="1"/>
  <c r="G245" i="35" s="1"/>
  <c r="G236" i="35" a="1"/>
  <c r="G236" i="35" s="1"/>
  <c r="BQ72" i="40"/>
  <c r="BQ85" i="40" s="1"/>
  <c r="BQ35" i="40"/>
  <c r="T170" i="35"/>
  <c r="U213" i="35"/>
  <c r="S255" i="35" s="1" a="1"/>
  <c r="S255" i="35" s="1"/>
  <c r="M54" i="40"/>
  <c r="I224" i="35"/>
  <c r="G269" i="35" s="1" a="1"/>
  <c r="G269" i="35" s="1"/>
  <c r="G247" i="35" a="1"/>
  <c r="G247" i="35" s="1"/>
  <c r="U216" i="35"/>
  <c r="T190" i="35"/>
  <c r="P160" i="35" l="1" a="1"/>
  <c r="Q312" i="35" s="1"/>
  <c r="O335" i="35" s="1" a="1"/>
  <c r="O335" i="35" s="1"/>
  <c r="W170" i="35"/>
  <c r="S246" i="35" s="1" a="1"/>
  <c r="S246" i="35" s="1"/>
  <c r="W180" i="35"/>
  <c r="W190" i="35"/>
  <c r="S270" i="35" s="1" a="1"/>
  <c r="S270" i="35" s="1"/>
  <c r="AU54" i="40"/>
  <c r="AX54" i="40" s="1"/>
  <c r="AX52" i="40"/>
  <c r="W160" i="35"/>
  <c r="S236" i="35" s="1" a="1"/>
  <c r="S236" i="35" s="1"/>
  <c r="W200" i="35"/>
  <c r="AG13" i="40"/>
  <c r="X22" i="40"/>
  <c r="U217" i="35"/>
  <c r="U219" i="35" s="1"/>
  <c r="M176" i="35"/>
  <c r="M213" i="35"/>
  <c r="U214" i="35"/>
  <c r="S256" i="35" s="1" a="1"/>
  <c r="S256" i="35" s="1"/>
  <c r="BF7" i="40"/>
  <c r="X21" i="40"/>
  <c r="I220" i="35"/>
  <c r="G290" i="35" s="1" a="1"/>
  <c r="G290" i="35" s="1"/>
  <c r="G7" i="35" s="1" a="1"/>
  <c r="G7" i="35" s="1"/>
  <c r="P160" i="35" l="1"/>
  <c r="O317" i="35" s="1" a="1"/>
  <c r="O317" i="35" s="1"/>
  <c r="P220" i="35" a="1"/>
  <c r="P220" i="35" s="1"/>
  <c r="O367" i="35" s="1" a="1"/>
  <c r="O367" i="35" s="1"/>
  <c r="O7" i="35" s="1" a="1"/>
  <c r="O7" i="35" s="1"/>
  <c r="S292" i="35" a="1"/>
  <c r="S292" i="35" s="1"/>
  <c r="S260" i="35" a="1"/>
  <c r="S260" i="35" s="1"/>
  <c r="S280" i="35" a="1"/>
  <c r="S280" i="35" s="1"/>
  <c r="M218" i="35"/>
  <c r="M193" i="35"/>
  <c r="L230" i="35" s="1" a="1"/>
  <c r="L230" i="35" s="1"/>
  <c r="I221" i="35"/>
  <c r="X23" i="40"/>
  <c r="AG16" i="40" s="1"/>
  <c r="M198" i="35" s="1"/>
  <c r="H110" i="35"/>
  <c r="H102" i="35"/>
  <c r="H107" i="35"/>
  <c r="H101" i="35"/>
  <c r="H105" i="35"/>
  <c r="H109" i="35"/>
  <c r="H103" i="35"/>
  <c r="H104" i="35"/>
  <c r="H106" i="35"/>
  <c r="H108" i="35"/>
  <c r="H100" i="35"/>
  <c r="BF118" i="40"/>
  <c r="S7" i="35" l="1" a="1"/>
  <c r="T130" i="35" s="1"/>
  <c r="P117" i="35"/>
  <c r="P116" i="35"/>
  <c r="P109" i="35"/>
  <c r="P104" i="35"/>
  <c r="P105" i="35"/>
  <c r="P103" i="35"/>
  <c r="P111" i="35"/>
  <c r="P102" i="35"/>
  <c r="P100" i="35"/>
  <c r="P110" i="35"/>
  <c r="P112" i="35"/>
  <c r="P107" i="35"/>
  <c r="P114" i="35"/>
  <c r="P106" i="35"/>
  <c r="P101" i="35"/>
  <c r="P115" i="35"/>
  <c r="P113" i="35"/>
  <c r="P108" i="35"/>
  <c r="M190" i="35"/>
  <c r="M220" i="35" s="1"/>
  <c r="D115" i="38" a="1"/>
  <c r="D115" i="38" s="1"/>
  <c r="N193" i="35"/>
  <c r="N198" i="35"/>
  <c r="M196" i="35"/>
  <c r="M221" i="35" s="1"/>
  <c r="M224" i="35" s="1" a="1"/>
  <c r="M224" i="35" s="1"/>
  <c r="L116" i="35"/>
  <c r="BF12" i="40"/>
  <c r="T115" i="35" l="1"/>
  <c r="T121" i="35"/>
  <c r="T126" i="35"/>
  <c r="T113" i="35"/>
  <c r="T117" i="35"/>
  <c r="T119" i="35"/>
  <c r="T101" i="35"/>
  <c r="T116" i="35"/>
  <c r="T124" i="35"/>
  <c r="T114" i="35"/>
  <c r="T125" i="35"/>
  <c r="T112" i="35"/>
  <c r="T123" i="35"/>
  <c r="T120" i="35"/>
  <c r="T110" i="35"/>
  <c r="T105" i="35"/>
  <c r="T128" i="35"/>
  <c r="S7" i="35"/>
  <c r="T132" i="35"/>
  <c r="T133" i="35"/>
  <c r="T100" i="35"/>
  <c r="T102" i="35"/>
  <c r="T122" i="35"/>
  <c r="T104" i="35"/>
  <c r="T134" i="35"/>
  <c r="T109" i="35"/>
  <c r="T103" i="35"/>
  <c r="T106" i="35"/>
  <c r="T127" i="35"/>
  <c r="T131" i="35"/>
  <c r="T107" i="35"/>
  <c r="T129" i="35"/>
  <c r="T118" i="35"/>
  <c r="T108" i="35"/>
  <c r="T111" i="35"/>
  <c r="L245" i="35" a="1"/>
  <c r="L245" i="35" s="1"/>
  <c r="L260" i="35" s="1" a="1"/>
  <c r="L260" i="35" s="1"/>
  <c r="L7" i="35" a="1"/>
  <c r="L7" i="35" s="1"/>
  <c r="BF23" i="40"/>
  <c r="BI23" i="40" s="1"/>
  <c r="F115" i="38" a="1"/>
  <c r="BF21" i="40"/>
  <c r="BI21" i="40" s="1"/>
  <c r="BI12" i="40"/>
  <c r="E50" i="38" l="1"/>
  <c r="H50" i="38" s="1"/>
  <c r="E52" i="38"/>
  <c r="H52" i="38" s="1"/>
  <c r="E46" i="38"/>
  <c r="H46" i="38" s="1"/>
  <c r="E48" i="38"/>
  <c r="H48" i="38" s="1"/>
  <c r="E51" i="38"/>
  <c r="H51" i="38" s="1"/>
  <c r="E53" i="38"/>
  <c r="H53" i="38" s="1"/>
  <c r="E55" i="38"/>
  <c r="H55" i="38" s="1"/>
  <c r="E44" i="38"/>
  <c r="H44" i="38" s="1"/>
  <c r="E45" i="38"/>
  <c r="H45" i="38" s="1"/>
  <c r="E54" i="38"/>
  <c r="H54" i="38" s="1"/>
  <c r="E49" i="38"/>
  <c r="H49" i="38" s="1"/>
  <c r="E47" i="38"/>
  <c r="H47" i="38" s="1"/>
  <c r="E26" i="38"/>
  <c r="E27" i="38"/>
  <c r="H27" i="38" s="1"/>
  <c r="E28" i="38"/>
  <c r="E29" i="38"/>
  <c r="H29" i="38" s="1"/>
  <c r="E30" i="38"/>
  <c r="E31" i="38"/>
  <c r="E32" i="38"/>
  <c r="E33" i="38"/>
  <c r="E41" i="38"/>
  <c r="H41" i="38" s="1"/>
  <c r="E42" i="38"/>
  <c r="E43" i="38"/>
  <c r="H43" i="38" s="1"/>
  <c r="L105" i="35"/>
  <c r="L109" i="35"/>
  <c r="L110" i="35"/>
  <c r="L111" i="35"/>
  <c r="L101" i="35"/>
  <c r="L106" i="35"/>
  <c r="L114" i="35"/>
  <c r="L100" i="35"/>
  <c r="L115" i="35"/>
  <c r="L108" i="35"/>
  <c r="L113" i="35"/>
  <c r="L103" i="35"/>
  <c r="L102" i="35"/>
  <c r="L104" i="35"/>
  <c r="L107" i="35"/>
  <c r="L112" i="35"/>
  <c r="E40" i="38"/>
  <c r="AB172" i="38" s="1" a="1"/>
  <c r="AB172" i="38" s="1"/>
  <c r="E35" i="38"/>
  <c r="E39" i="38"/>
  <c r="AB184" i="38" s="1" a="1"/>
  <c r="E37" i="38"/>
  <c r="E36" i="38"/>
  <c r="H36" i="38" s="1"/>
  <c r="E34" i="38"/>
  <c r="AB196" i="38" s="1" a="1"/>
  <c r="C172" i="38" a="1"/>
  <c r="C172" i="38" s="1"/>
  <c r="E38" i="38"/>
  <c r="H38" i="38" s="1"/>
  <c r="F115" i="38"/>
  <c r="E25" i="38" s="1"/>
  <c r="P280" i="35" a="1"/>
  <c r="P280" i="35" s="1"/>
  <c r="T302" i="38" a="1"/>
  <c r="T302" i="38" s="1"/>
  <c r="BF24" i="40"/>
  <c r="BI24" i="40" s="1"/>
  <c r="AV47" i="40" l="1" a="1"/>
  <c r="AV47" i="40" s="1"/>
  <c r="AY47" i="40" s="1"/>
  <c r="AB196" i="38"/>
  <c r="AD197" i="38"/>
  <c r="AB184" i="38"/>
  <c r="AD186" i="38"/>
  <c r="AD187" i="38"/>
  <c r="R165" i="38" a="1"/>
  <c r="R165" i="38" s="1"/>
  <c r="T212" i="38" a="1"/>
  <c r="T160" i="38" a="1"/>
  <c r="V160" i="38" s="1"/>
  <c r="W160" i="38" s="1"/>
  <c r="U233" i="38" a="1"/>
  <c r="U233" i="38" s="1"/>
  <c r="T186" i="38" a="1"/>
  <c r="U232" i="38" a="1"/>
  <c r="U232" i="38" s="1"/>
  <c r="AB208" i="38" a="1"/>
  <c r="C160" i="38" a="1"/>
  <c r="AB160" i="38" a="1"/>
  <c r="C184" i="38" a="1"/>
  <c r="C196" i="38" a="1"/>
  <c r="E197" i="38" s="1"/>
  <c r="C208" i="38" a="1"/>
  <c r="BG103" i="40" a="1"/>
  <c r="BG103" i="40" s="1"/>
  <c r="BJ103" i="40" s="1"/>
  <c r="BG66" i="40" a="1"/>
  <c r="BG66" i="40" s="1"/>
  <c r="BJ66" i="40" s="1"/>
  <c r="AV14" i="40" a="1"/>
  <c r="AV14" i="40" s="1"/>
  <c r="AY14" i="40" s="1"/>
  <c r="AV15" i="40" a="1"/>
  <c r="AV15" i="40" s="1"/>
  <c r="AY15" i="40" s="1"/>
  <c r="N46" i="40" a="1"/>
  <c r="N46" i="40" s="1"/>
  <c r="Q46" i="40" s="1"/>
  <c r="BR47" i="40" a="1"/>
  <c r="BR47" i="40" s="1"/>
  <c r="BU47" i="40" s="1"/>
  <c r="AV38" i="40" a="1"/>
  <c r="AV38" i="40" s="1"/>
  <c r="AY38" i="40" s="1"/>
  <c r="BG106" i="40" a="1"/>
  <c r="BG106" i="40" s="1"/>
  <c r="BJ106" i="40" s="1"/>
  <c r="BR41" i="40" a="1"/>
  <c r="BR41" i="40" s="1"/>
  <c r="BU41" i="40" s="1"/>
  <c r="BG101" i="40" a="1"/>
  <c r="BG101" i="40" s="1"/>
  <c r="BJ101" i="40" s="1"/>
  <c r="BR28" i="40" a="1"/>
  <c r="BR28" i="40" s="1"/>
  <c r="BU28" i="40" s="1"/>
  <c r="BR30" i="40" a="1"/>
  <c r="BR30" i="40" s="1"/>
  <c r="BU30" i="40" s="1"/>
  <c r="AV12" i="40" a="1"/>
  <c r="AV12" i="40" s="1"/>
  <c r="AY12" i="40" s="1"/>
  <c r="BR76" i="40" a="1"/>
  <c r="BR76" i="40" s="1"/>
  <c r="N29" i="40" a="1"/>
  <c r="N29" i="40" s="1"/>
  <c r="Q29" i="40" s="1"/>
  <c r="N23" i="40" a="1"/>
  <c r="N23" i="40" s="1"/>
  <c r="Q23" i="40" s="1"/>
  <c r="BG82" i="40" a="1"/>
  <c r="BG82" i="40" s="1"/>
  <c r="BJ82" i="40" s="1"/>
  <c r="N27" i="40" a="1"/>
  <c r="N27" i="40" s="1"/>
  <c r="Q27" i="40" s="1"/>
  <c r="BR52" i="40" a="1"/>
  <c r="BR52" i="40" s="1"/>
  <c r="BU52" i="40" s="1"/>
  <c r="BR44" i="40" a="1"/>
  <c r="BR44" i="40" s="1"/>
  <c r="BU44" i="40" s="1"/>
  <c r="AV22" i="40" a="1"/>
  <c r="AV22" i="40" s="1"/>
  <c r="AY22" i="40" s="1"/>
  <c r="BG77" i="40" a="1"/>
  <c r="BG77" i="40" s="1"/>
  <c r="BJ77" i="40" s="1"/>
  <c r="BR50" i="40" a="1"/>
  <c r="BR50" i="40" s="1"/>
  <c r="BU50" i="40" s="1"/>
  <c r="AV43" i="40" a="1"/>
  <c r="AV43" i="40" s="1"/>
  <c r="AY43" i="40" s="1"/>
  <c r="BG88" i="40" a="1"/>
  <c r="BG88" i="40" s="1"/>
  <c r="BJ88" i="40" s="1"/>
  <c r="AV13" i="40" a="1"/>
  <c r="AV13" i="40" s="1"/>
  <c r="AY13" i="40" s="1"/>
  <c r="H25" i="38"/>
  <c r="BG65" i="40" a="1"/>
  <c r="BG65" i="40" s="1"/>
  <c r="BJ65" i="40" s="1"/>
  <c r="BG117" i="40" a="1"/>
  <c r="BG117" i="40" s="1"/>
  <c r="BJ117" i="40" s="1"/>
  <c r="BG21" i="40" a="1"/>
  <c r="BG21" i="40" s="1"/>
  <c r="BJ21" i="40" s="1"/>
  <c r="BR64" i="40" a="1"/>
  <c r="BR64" i="40" s="1"/>
  <c r="BU64" i="40" s="1"/>
  <c r="BG14" i="40" a="1"/>
  <c r="BG14" i="40" s="1"/>
  <c r="BJ14" i="40" s="1"/>
  <c r="BR45" i="40" a="1"/>
  <c r="BR45" i="40" s="1"/>
  <c r="BU45" i="40" s="1"/>
  <c r="N12" i="40" a="1"/>
  <c r="N12" i="40" s="1"/>
  <c r="Q12" i="40" s="1"/>
  <c r="BG42" i="40" a="1"/>
  <c r="BG42" i="40" s="1"/>
  <c r="BJ42" i="40" s="1"/>
  <c r="BR77" i="40" a="1"/>
  <c r="BR77" i="40" s="1"/>
  <c r="BU77" i="40" s="1"/>
  <c r="BR17" i="40" a="1"/>
  <c r="BR17" i="40" s="1"/>
  <c r="BU17" i="40" s="1"/>
  <c r="BG114" i="40" a="1"/>
  <c r="BG114" i="40" s="1"/>
  <c r="BJ114" i="40" s="1"/>
  <c r="BG61" i="40" a="1"/>
  <c r="BG61" i="40" s="1"/>
  <c r="BJ61" i="40" s="1"/>
  <c r="BR51" i="40" a="1"/>
  <c r="BR51" i="40" s="1"/>
  <c r="BU51" i="40" s="1"/>
  <c r="BR63" i="40" a="1"/>
  <c r="BR63" i="40" s="1"/>
  <c r="BU63" i="40" s="1"/>
  <c r="BR65" i="40" a="1"/>
  <c r="BR65" i="40" s="1"/>
  <c r="BU65" i="40" s="1"/>
  <c r="BG104" i="40" a="1"/>
  <c r="BG104" i="40" s="1"/>
  <c r="BJ104" i="40" s="1"/>
  <c r="BG102" i="40" a="1"/>
  <c r="BG102" i="40" s="1"/>
  <c r="BJ102" i="40" s="1"/>
  <c r="BG86" i="40" a="1"/>
  <c r="BG86" i="40" s="1"/>
  <c r="BJ86" i="40" s="1"/>
  <c r="BR48" i="40" a="1"/>
  <c r="BR48" i="40" s="1"/>
  <c r="BU48" i="40" s="1"/>
  <c r="BG60" i="40" a="1"/>
  <c r="BG60" i="40" s="1"/>
  <c r="BJ60" i="40" s="1"/>
  <c r="BG62" i="40" a="1"/>
  <c r="BG62" i="40" s="1"/>
  <c r="BJ62" i="40" s="1"/>
  <c r="BR61" i="40" a="1"/>
  <c r="BR61" i="40" s="1"/>
  <c r="AV10" i="40" a="1"/>
  <c r="AV10" i="40" s="1"/>
  <c r="AY10" i="40" s="1"/>
  <c r="BR16" i="40" a="1"/>
  <c r="BR16" i="40" s="1"/>
  <c r="BU16" i="40" s="1"/>
  <c r="BG99" i="40" a="1"/>
  <c r="BG99" i="40" s="1"/>
  <c r="BJ99" i="40" s="1"/>
  <c r="N13" i="40" a="1"/>
  <c r="N13" i="40" s="1"/>
  <c r="Q13" i="40" s="1"/>
  <c r="AV36" i="40" a="1"/>
  <c r="AV36" i="40" s="1"/>
  <c r="AY36" i="40" s="1"/>
  <c r="AV27" i="40" a="1"/>
  <c r="AV27" i="40" s="1"/>
  <c r="AY27" i="40" s="1"/>
  <c r="BG44" i="40" a="1"/>
  <c r="BG44" i="40" s="1"/>
  <c r="BJ44" i="40" s="1"/>
  <c r="N47" i="40" a="1"/>
  <c r="N47" i="40" s="1"/>
  <c r="Q47" i="40" s="1"/>
  <c r="BG23" i="40" a="1"/>
  <c r="BG23" i="40" s="1"/>
  <c r="BJ23" i="40" s="1"/>
  <c r="BR27" i="40" a="1"/>
  <c r="BR27" i="40" s="1"/>
  <c r="BU27" i="40" s="1"/>
  <c r="BG84" i="40" a="1"/>
  <c r="BG84" i="40" s="1"/>
  <c r="BJ84" i="40" s="1"/>
  <c r="BR29" i="40" a="1"/>
  <c r="BR29" i="40" s="1"/>
  <c r="BU29" i="40" s="1"/>
  <c r="BR10" i="40" a="1"/>
  <c r="BR10" i="40" s="1"/>
  <c r="BG108" i="40" a="1"/>
  <c r="BG108" i="40" s="1"/>
  <c r="BJ108" i="40" s="1"/>
  <c r="BR26" i="40" a="1"/>
  <c r="BR26" i="40" s="1"/>
  <c r="BU26" i="40" s="1"/>
  <c r="BR79" i="40" a="1"/>
  <c r="BR79" i="40" s="1"/>
  <c r="BU79" i="40" s="1"/>
  <c r="N48" i="40" a="1"/>
  <c r="N48" i="40" s="1"/>
  <c r="Q48" i="40" s="1"/>
  <c r="BR43" i="40" a="1"/>
  <c r="BR43" i="40" s="1"/>
  <c r="BU43" i="40" s="1"/>
  <c r="N39" i="40" a="1"/>
  <c r="N39" i="40" s="1"/>
  <c r="Q39" i="40" s="1"/>
  <c r="BG112" i="40" a="1"/>
  <c r="BG112" i="40" s="1"/>
  <c r="BJ112" i="40" s="1"/>
  <c r="N28" i="40" a="1"/>
  <c r="N28" i="40" s="1"/>
  <c r="Q28" i="40" s="1"/>
  <c r="AV29" i="40" a="1"/>
  <c r="AV29" i="40" s="1"/>
  <c r="AY29" i="40" s="1"/>
  <c r="BG31" i="40" a="1"/>
  <c r="BG31" i="40" s="1"/>
  <c r="BJ31" i="40" s="1"/>
  <c r="BR40" i="40" a="1"/>
  <c r="BR40" i="40" s="1"/>
  <c r="BR62" i="40" a="1"/>
  <c r="BR62" i="40" s="1"/>
  <c r="BU62" i="40" s="1"/>
  <c r="BG105" i="40" a="1"/>
  <c r="BG105" i="40" s="1"/>
  <c r="BJ105" i="40" s="1"/>
  <c r="BR66" i="40" a="1"/>
  <c r="BR66" i="40" s="1"/>
  <c r="BU66" i="40" s="1"/>
  <c r="BG89" i="40" a="1"/>
  <c r="BG89" i="40" s="1"/>
  <c r="BJ89" i="40" s="1"/>
  <c r="AV28" i="40" a="1"/>
  <c r="AV28" i="40" s="1"/>
  <c r="AY28" i="40" s="1"/>
  <c r="AV35" i="40" a="1"/>
  <c r="AV35" i="40" s="1"/>
  <c r="AY35" i="40" s="1"/>
  <c r="BG110" i="40" a="1"/>
  <c r="BG110" i="40" s="1"/>
  <c r="BJ110" i="40" s="1"/>
  <c r="BR78" i="40" a="1"/>
  <c r="BR78" i="40" s="1"/>
  <c r="BU78" i="40" s="1"/>
  <c r="BG11" i="40" a="1"/>
  <c r="BG11" i="40" s="1"/>
  <c r="BJ11" i="40" s="1"/>
  <c r="AV59" i="40" a="1"/>
  <c r="AV59" i="40" s="1"/>
  <c r="AY59" i="40" s="1"/>
  <c r="BR55" i="40" a="1"/>
  <c r="BR55" i="40" s="1"/>
  <c r="BG15" i="40" a="1"/>
  <c r="BG15" i="40" s="1"/>
  <c r="BJ15" i="40" s="1"/>
  <c r="BG57" i="40" a="1"/>
  <c r="BG57" i="40" s="1"/>
  <c r="BJ57" i="40" s="1"/>
  <c r="AV41" i="40" a="1"/>
  <c r="AV41" i="40" s="1"/>
  <c r="AY41" i="40" s="1"/>
  <c r="BR46" i="40" a="1"/>
  <c r="BR46" i="40" s="1"/>
  <c r="BU46" i="40" s="1"/>
  <c r="BR67" i="40" a="1"/>
  <c r="BR67" i="40" s="1"/>
  <c r="BU67" i="40" s="1"/>
  <c r="AV34" i="40" a="1"/>
  <c r="AV34" i="40" s="1"/>
  <c r="BG58" i="40" a="1"/>
  <c r="BG58" i="40" s="1"/>
  <c r="BJ58" i="40" s="1"/>
  <c r="AV40" i="40" a="1"/>
  <c r="AV40" i="40" s="1"/>
  <c r="AY40" i="40" s="1"/>
  <c r="BG59" i="40" a="1"/>
  <c r="BG59" i="40" s="1"/>
  <c r="BJ59" i="40" s="1"/>
  <c r="BG115" i="40" a="1"/>
  <c r="BG115" i="40" s="1"/>
  <c r="BJ115" i="40" s="1"/>
  <c r="BR25" i="40" a="1"/>
  <c r="BR25" i="40" s="1"/>
  <c r="BU25" i="40" s="1"/>
  <c r="BR82" i="40" a="1"/>
  <c r="BR82" i="40" s="1"/>
  <c r="BU82" i="40" s="1"/>
  <c r="N20" i="40" a="1"/>
  <c r="N20" i="40" s="1"/>
  <c r="Q20" i="40" s="1"/>
  <c r="N50" i="40" a="1"/>
  <c r="N50" i="40" s="1"/>
  <c r="Q50" i="40" s="1"/>
  <c r="BG107" i="40" a="1"/>
  <c r="BG107" i="40" s="1"/>
  <c r="BJ107" i="40" s="1"/>
  <c r="AV25" i="40" a="1"/>
  <c r="AV25" i="40" s="1"/>
  <c r="AY25" i="40" s="1"/>
  <c r="BG32" i="40" a="1"/>
  <c r="BG32" i="40" s="1"/>
  <c r="BJ32" i="40" s="1"/>
  <c r="BR68" i="40" a="1"/>
  <c r="BR68" i="40" s="1"/>
  <c r="BU68" i="40" s="1"/>
  <c r="BG85" i="40" a="1"/>
  <c r="BG85" i="40" s="1"/>
  <c r="BJ85" i="40" s="1"/>
  <c r="N22" i="40" a="1"/>
  <c r="N22" i="40" s="1"/>
  <c r="Q22" i="40" s="1"/>
  <c r="BG93" i="40" a="1"/>
  <c r="BG93" i="40" s="1"/>
  <c r="BJ93" i="40" s="1"/>
  <c r="BR80" i="40" a="1"/>
  <c r="BR80" i="40" s="1"/>
  <c r="BU80" i="40" s="1"/>
  <c r="BG69" i="40" a="1"/>
  <c r="BG69" i="40" s="1"/>
  <c r="BJ69" i="40" s="1"/>
  <c r="N49" i="40" a="1"/>
  <c r="N49" i="40" s="1"/>
  <c r="Q49" i="40" s="1"/>
  <c r="BR13" i="40" a="1"/>
  <c r="BR13" i="40" s="1"/>
  <c r="BU13" i="40" s="1"/>
  <c r="BR53" i="40" a="1"/>
  <c r="BR53" i="40" s="1"/>
  <c r="BU53" i="40" s="1"/>
  <c r="BG40" i="40" a="1"/>
  <c r="BG40" i="40" s="1"/>
  <c r="BJ40" i="40" s="1"/>
  <c r="BG30" i="40" a="1"/>
  <c r="BG30" i="40" s="1"/>
  <c r="BJ30" i="40" s="1"/>
  <c r="N40" i="40" a="1"/>
  <c r="N40" i="40" s="1"/>
  <c r="Q40" i="40" s="1"/>
  <c r="BG111" i="40" a="1"/>
  <c r="BG111" i="40" s="1"/>
  <c r="BJ111" i="40" s="1"/>
  <c r="N25" i="40" a="1"/>
  <c r="N25" i="40" s="1"/>
  <c r="Q25" i="40" s="1"/>
  <c r="N38" i="40" a="1"/>
  <c r="N38" i="40" s="1"/>
  <c r="Q38" i="40" s="1"/>
  <c r="BG20" i="40" a="1"/>
  <c r="BG20" i="40" s="1"/>
  <c r="BJ20" i="40" s="1"/>
  <c r="BG116" i="40" a="1"/>
  <c r="BG116" i="40" s="1"/>
  <c r="BJ116" i="40" s="1"/>
  <c r="BR42" i="40" a="1"/>
  <c r="BR42" i="40" s="1"/>
  <c r="BU42" i="40" s="1"/>
  <c r="BG41" i="40" a="1"/>
  <c r="BG41" i="40" s="1"/>
  <c r="BJ41" i="40" s="1"/>
  <c r="BG90" i="40" a="1"/>
  <c r="BG90" i="40" s="1"/>
  <c r="BJ90" i="40" s="1"/>
  <c r="AV9" i="40" a="1"/>
  <c r="AV9" i="40" s="1"/>
  <c r="BR31" i="40" a="1"/>
  <c r="BR31" i="40" s="1"/>
  <c r="BR81" i="40" a="1"/>
  <c r="BR81" i="40" s="1"/>
  <c r="BU81" i="40" s="1"/>
  <c r="Y10" i="40" a="1"/>
  <c r="Y10" i="40" s="1"/>
  <c r="AB10" i="40" s="1"/>
  <c r="AV24" i="40" a="1"/>
  <c r="AV24" i="40" s="1"/>
  <c r="AY24" i="40" s="1"/>
  <c r="BG67" i="40" a="1"/>
  <c r="BG67" i="40" s="1"/>
  <c r="BJ67" i="40" s="1"/>
  <c r="N21" i="40" a="1"/>
  <c r="N21" i="40" s="1"/>
  <c r="Q21" i="40" s="1"/>
  <c r="BG113" i="40" a="1"/>
  <c r="BG113" i="40" s="1"/>
  <c r="BJ113" i="40" s="1"/>
  <c r="BG68" i="40" a="1"/>
  <c r="BG68" i="40" s="1"/>
  <c r="BJ68" i="40" s="1"/>
  <c r="BG109" i="40" a="1"/>
  <c r="BG109" i="40" s="1"/>
  <c r="BJ109" i="40" s="1"/>
  <c r="BR12" i="40" a="1"/>
  <c r="BR12" i="40" s="1"/>
  <c r="BU12" i="40" s="1"/>
  <c r="BR15" i="40" a="1"/>
  <c r="BR15" i="40" s="1"/>
  <c r="BU15" i="40" s="1"/>
  <c r="AV42" i="40" a="1"/>
  <c r="AV42" i="40" s="1"/>
  <c r="AY42" i="40" s="1"/>
  <c r="BG94" i="40" a="1"/>
  <c r="BG94" i="40" s="1"/>
  <c r="BJ94" i="40" s="1"/>
  <c r="BG12" i="40" a="1"/>
  <c r="BG12" i="40" s="1"/>
  <c r="BJ12" i="40" s="1"/>
  <c r="AV39" i="40" a="1"/>
  <c r="AV39" i="40" s="1"/>
  <c r="AY39" i="40" s="1"/>
  <c r="BG63" i="40" a="1"/>
  <c r="BG63" i="40" s="1"/>
  <c r="BJ63" i="40" s="1"/>
  <c r="AV37" i="40" a="1"/>
  <c r="AV37" i="40" s="1"/>
  <c r="AY37" i="40" s="1"/>
  <c r="BR49" i="40" a="1"/>
  <c r="BR49" i="40" s="1"/>
  <c r="BU49" i="40" s="1"/>
  <c r="AV26" i="40" a="1"/>
  <c r="AV26" i="40" s="1"/>
  <c r="AY26" i="40" s="1"/>
  <c r="N24" i="40" a="1"/>
  <c r="N24" i="40" s="1"/>
  <c r="Q24" i="40" s="1"/>
  <c r="BG64" i="40" a="1"/>
  <c r="BG64" i="40" s="1"/>
  <c r="BJ64" i="40" s="1"/>
  <c r="AV23" i="40" a="1"/>
  <c r="AV23" i="40" s="1"/>
  <c r="AY23" i="40" s="1"/>
  <c r="BG13" i="40" a="1"/>
  <c r="BG13" i="40" s="1"/>
  <c r="BJ13" i="40" s="1"/>
  <c r="BG87" i="40" a="1"/>
  <c r="BG87" i="40" s="1"/>
  <c r="BJ87" i="40" s="1"/>
  <c r="AV11" i="40" a="1"/>
  <c r="AV11" i="40" s="1"/>
  <c r="AY11" i="40" s="1"/>
  <c r="N11" i="40" a="1"/>
  <c r="N11" i="40" s="1"/>
  <c r="Q11" i="40" s="1"/>
  <c r="BG100" i="40" a="1"/>
  <c r="BG100" i="40" s="1"/>
  <c r="BJ100" i="40" s="1"/>
  <c r="BG83" i="40" a="1"/>
  <c r="BG83" i="40" s="1"/>
  <c r="BJ83" i="40" s="1"/>
  <c r="AV45" i="40" a="1"/>
  <c r="AV45" i="40" s="1"/>
  <c r="AY45" i="40" s="1"/>
  <c r="BG22" i="40" a="1"/>
  <c r="BG22" i="40" s="1"/>
  <c r="BJ22" i="40" s="1"/>
  <c r="BR54" i="40" a="1"/>
  <c r="BR54" i="40" s="1"/>
  <c r="BU54" i="40" s="1"/>
  <c r="N36" i="40" a="1"/>
  <c r="N36" i="40" s="1"/>
  <c r="Q36" i="40" s="1"/>
  <c r="BR14" i="40" a="1"/>
  <c r="BR14" i="40" s="1"/>
  <c r="BU14" i="40" s="1"/>
  <c r="BR24" i="40" a="1"/>
  <c r="BR24" i="40" s="1"/>
  <c r="BG98" i="40" a="1"/>
  <c r="BG98" i="40" s="1"/>
  <c r="BJ98" i="40" s="1"/>
  <c r="AV58" i="40" a="1"/>
  <c r="AV58" i="40" s="1"/>
  <c r="AY58" i="40" s="1"/>
  <c r="BG78" i="40" a="1"/>
  <c r="BG78" i="40" s="1"/>
  <c r="BJ78" i="40" s="1"/>
  <c r="N37" i="40" a="1"/>
  <c r="N37" i="40" s="1"/>
  <c r="Q37" i="40" s="1"/>
  <c r="AV21" i="40" a="1"/>
  <c r="AV21" i="40" s="1"/>
  <c r="AY21" i="40" s="1"/>
  <c r="BG91" i="40" a="1"/>
  <c r="BG91" i="40" s="1"/>
  <c r="BJ91" i="40" s="1"/>
  <c r="N26" i="40" a="1"/>
  <c r="N26" i="40" s="1"/>
  <c r="Q26" i="40" s="1"/>
  <c r="N19" i="40" a="1"/>
  <c r="N19" i="40" s="1"/>
  <c r="Q19" i="40" s="1"/>
  <c r="BG24" i="40" a="1"/>
  <c r="BG24" i="40" s="1"/>
  <c r="BJ24" i="40" s="1"/>
  <c r="BR11" i="40" a="1"/>
  <c r="BR11" i="40" s="1"/>
  <c r="BU11" i="40" s="1"/>
  <c r="BR69" i="40" a="1"/>
  <c r="BR69" i="40" s="1"/>
  <c r="BG43" i="40" a="1"/>
  <c r="BG43" i="40" s="1"/>
  <c r="BJ43" i="40" s="1"/>
  <c r="BG45" i="40" a="1"/>
  <c r="BG45" i="40" s="1"/>
  <c r="BJ45" i="40" s="1"/>
  <c r="BG92" i="40" a="1"/>
  <c r="BG92" i="40" s="1"/>
  <c r="BJ92" i="40" s="1"/>
  <c r="AV20" i="40" a="1"/>
  <c r="AV20" i="40" s="1"/>
  <c r="AV46" i="40" a="1"/>
  <c r="AV46" i="40" s="1"/>
  <c r="AY46" i="40" s="1"/>
  <c r="AV44" i="40" a="1"/>
  <c r="AV44" i="40" s="1"/>
  <c r="AY44" i="40" s="1"/>
  <c r="BG39" i="40" a="1"/>
  <c r="BG39" i="40" s="1"/>
  <c r="BJ39" i="40" s="1"/>
  <c r="H31" i="38"/>
  <c r="H26" i="38"/>
  <c r="H42" i="38"/>
  <c r="H34" i="38"/>
  <c r="H39" i="38"/>
  <c r="BF25" i="40"/>
  <c r="BI25" i="40" s="1"/>
  <c r="H30" i="38"/>
  <c r="H35" i="38"/>
  <c r="H33" i="38"/>
  <c r="H37" i="38"/>
  <c r="H40" i="38"/>
  <c r="H28" i="38"/>
  <c r="H32" i="38"/>
  <c r="AV48" i="40" l="1"/>
  <c r="E186" i="38"/>
  <c r="E187" i="38"/>
  <c r="E185" i="38"/>
  <c r="C160" i="38"/>
  <c r="E162" i="38"/>
  <c r="AB160" i="38"/>
  <c r="AD162" i="38"/>
  <c r="N10" i="40" a="1"/>
  <c r="N10" i="40" s="1"/>
  <c r="Q10" i="40" s="1"/>
  <c r="R193" i="38" a="1"/>
  <c r="R193" i="38" s="1"/>
  <c r="R176" i="38" a="1"/>
  <c r="R176" i="38" s="1"/>
  <c r="R169" i="38" a="1"/>
  <c r="R169" i="38" s="1"/>
  <c r="R182" i="38" a="1"/>
  <c r="R182" i="38" s="1"/>
  <c r="R187" i="38" a="1"/>
  <c r="R187" i="38" s="1"/>
  <c r="R190" i="38" a="1"/>
  <c r="R190" i="38" s="1"/>
  <c r="R185" i="38" a="1"/>
  <c r="R185" i="38" s="1"/>
  <c r="R179" i="38" a="1"/>
  <c r="R179" i="38" s="1"/>
  <c r="R172" i="38" a="1"/>
  <c r="R172" i="38" s="1"/>
  <c r="R160" i="38" a="1"/>
  <c r="R160" i="38" s="1"/>
  <c r="R162" i="38" a="1"/>
  <c r="R162" i="38" s="1"/>
  <c r="R161" i="38" a="1"/>
  <c r="R161" i="38" s="1"/>
  <c r="O161" i="38" s="1"/>
  <c r="R166" i="38" a="1"/>
  <c r="R166" i="38" s="1"/>
  <c r="O166" i="38" s="1"/>
  <c r="R180" i="38" a="1"/>
  <c r="R180" i="38" s="1"/>
  <c r="O180" i="38" s="1"/>
  <c r="R192" i="38" a="1"/>
  <c r="R192" i="38" s="1"/>
  <c r="O192" i="38" s="1"/>
  <c r="R191" i="38" a="1"/>
  <c r="R191" i="38" s="1"/>
  <c r="O191" i="38" s="1"/>
  <c r="R167" i="38" a="1"/>
  <c r="R167" i="38" s="1"/>
  <c r="O167" i="38" s="1"/>
  <c r="R168" i="38" a="1"/>
  <c r="R168" i="38" s="1"/>
  <c r="O168" i="38" s="1"/>
  <c r="R175" i="38" a="1"/>
  <c r="R175" i="38" s="1"/>
  <c r="O175" i="38" s="1"/>
  <c r="R186" i="38" a="1"/>
  <c r="R186" i="38" s="1"/>
  <c r="O186" i="38" s="1"/>
  <c r="R181" i="38" a="1"/>
  <c r="R181" i="38" s="1"/>
  <c r="O181" i="38" s="1"/>
  <c r="R174" i="38" a="1"/>
  <c r="R174" i="38" s="1"/>
  <c r="O174" i="38" s="1"/>
  <c r="R173" i="38" a="1"/>
  <c r="R173" i="38" s="1"/>
  <c r="O173" i="38" s="1"/>
  <c r="V186" i="38"/>
  <c r="V212" i="38"/>
  <c r="V161" i="38"/>
  <c r="T160" i="38"/>
  <c r="T212" i="38"/>
  <c r="AB208" i="38"/>
  <c r="AD210" i="38"/>
  <c r="T186" i="38"/>
  <c r="U236" i="38"/>
  <c r="U237" i="38"/>
  <c r="E160" i="38"/>
  <c r="E172" i="38"/>
  <c r="AD185" i="38"/>
  <c r="AD173" i="38"/>
  <c r="BU69" i="40"/>
  <c r="BU55" i="40"/>
  <c r="BU31" i="40"/>
  <c r="AD161" i="38"/>
  <c r="C184" i="38"/>
  <c r="E184" i="38"/>
  <c r="E194" i="38" s="1"/>
  <c r="E568" i="38" s="1"/>
  <c r="D568" i="38"/>
  <c r="C208" i="38"/>
  <c r="E208" i="38"/>
  <c r="C196" i="38"/>
  <c r="E196" i="38"/>
  <c r="E206" i="38" s="1"/>
  <c r="E569" i="38" s="1"/>
  <c r="D569" i="38"/>
  <c r="E173" i="38"/>
  <c r="E161" i="38"/>
  <c r="E209" i="38"/>
  <c r="D567" i="38"/>
  <c r="D557" i="38"/>
  <c r="D566" i="38"/>
  <c r="AY34" i="40"/>
  <c r="BU10" i="40"/>
  <c r="AD160" i="38" s="1"/>
  <c r="BR20" i="40"/>
  <c r="N52" i="40"/>
  <c r="J208" i="38" a="1"/>
  <c r="BU76" i="40"/>
  <c r="BR83" i="40"/>
  <c r="E98" i="38"/>
  <c r="BU61" i="40"/>
  <c r="BR71" i="40"/>
  <c r="AV16" i="40"/>
  <c r="AY9" i="40"/>
  <c r="AR9" i="40"/>
  <c r="U235" i="38"/>
  <c r="BF26" i="40"/>
  <c r="BI26" i="40" s="1"/>
  <c r="T292" i="38" s="1" a="1"/>
  <c r="T292" i="38" s="1"/>
  <c r="J172" i="38" a="1"/>
  <c r="J172" i="38" s="1"/>
  <c r="N32" i="40"/>
  <c r="BR57" i="40"/>
  <c r="BU40" i="40"/>
  <c r="AY20" i="40"/>
  <c r="AV30" i="40"/>
  <c r="BR34" i="40"/>
  <c r="BU24" i="40"/>
  <c r="J196" i="38" a="1"/>
  <c r="N42" i="40"/>
  <c r="N15" i="40" l="1"/>
  <c r="R196" i="38"/>
  <c r="Y139" i="38"/>
  <c r="R184" i="38"/>
  <c r="R555" i="38" s="1"/>
  <c r="R189" i="38"/>
  <c r="R556" i="38" s="1"/>
  <c r="R178" i="38"/>
  <c r="R554" i="38" s="1"/>
  <c r="R159" i="38"/>
  <c r="R164" i="38"/>
  <c r="R552" i="38" s="1"/>
  <c r="Y140" i="38"/>
  <c r="R171" i="38"/>
  <c r="R553" i="38" s="1"/>
  <c r="P283" i="38" a="1"/>
  <c r="P283" i="38" s="1"/>
  <c r="P293" i="38" a="1"/>
  <c r="P293" i="38" s="1"/>
  <c r="R195" i="38"/>
  <c r="V159" i="38"/>
  <c r="AC131" i="38" s="1"/>
  <c r="W161" i="38"/>
  <c r="V185" i="38"/>
  <c r="AC140" i="38" s="1"/>
  <c r="W186" i="38"/>
  <c r="V211" i="38"/>
  <c r="AC149" i="38" s="1"/>
  <c r="W212" i="38"/>
  <c r="R551" i="38"/>
  <c r="U239" i="38"/>
  <c r="N112" i="38"/>
  <c r="N124" i="38"/>
  <c r="B651" i="38" a="1"/>
  <c r="B651" i="38" s="1"/>
  <c r="B666" i="38" a="1"/>
  <c r="B666" i="38" s="1"/>
  <c r="E182" i="38"/>
  <c r="E567" i="38" s="1"/>
  <c r="B599" i="38" s="1" a="1"/>
  <c r="B599" i="38" s="1"/>
  <c r="N115" i="38"/>
  <c r="N114" i="38"/>
  <c r="N113" i="38"/>
  <c r="N116" i="38"/>
  <c r="N103" i="38"/>
  <c r="N104" i="38"/>
  <c r="N101" i="38"/>
  <c r="N102" i="38"/>
  <c r="N120" i="38"/>
  <c r="N121" i="38"/>
  <c r="N122" i="38"/>
  <c r="N123" i="38"/>
  <c r="N117" i="38"/>
  <c r="N119" i="38"/>
  <c r="N108" i="38"/>
  <c r="N109" i="38"/>
  <c r="N110" i="38"/>
  <c r="N111" i="38"/>
  <c r="N106" i="38"/>
  <c r="N107" i="38"/>
  <c r="N118" i="38"/>
  <c r="N105" i="38"/>
  <c r="D556" i="38"/>
  <c r="D558" i="38" s="1"/>
  <c r="B675" i="38" a="1"/>
  <c r="B675" i="38" s="1"/>
  <c r="E556" i="38"/>
  <c r="AD172" i="38"/>
  <c r="AD182" i="38" s="1"/>
  <c r="AC568" i="38"/>
  <c r="AD568" i="38" s="1"/>
  <c r="AD208" i="38"/>
  <c r="AC557" i="38"/>
  <c r="AD196" i="38"/>
  <c r="AD206" i="38" s="1"/>
  <c r="AC569" i="38"/>
  <c r="AD569" i="38" s="1"/>
  <c r="AA675" i="38" s="1" a="1"/>
  <c r="AA675" i="38" s="1"/>
  <c r="AC567" i="38"/>
  <c r="AD567" i="38" s="1"/>
  <c r="AA599" i="38" s="1" a="1"/>
  <c r="AA599" i="38" s="1"/>
  <c r="AC227" i="38"/>
  <c r="AD209" i="38"/>
  <c r="AC566" i="38"/>
  <c r="AD170" i="38"/>
  <c r="AC221" i="38"/>
  <c r="AC225" i="38"/>
  <c r="AD184" i="38"/>
  <c r="AD194" i="38" s="1"/>
  <c r="AC224" i="38"/>
  <c r="AC222" i="38"/>
  <c r="E170" i="38"/>
  <c r="E218" i="38"/>
  <c r="E557" i="38" s="1"/>
  <c r="B730" i="38" s="1" a="1"/>
  <c r="B730" i="38" s="1"/>
  <c r="J208" i="38"/>
  <c r="J196" i="38"/>
  <c r="I585" i="38" a="1"/>
  <c r="J160" i="38" a="1"/>
  <c r="D555" i="38"/>
  <c r="B660" i="38" a="1"/>
  <c r="B660" i="38" s="1"/>
  <c r="BR72" i="40"/>
  <c r="BR85" i="40" s="1"/>
  <c r="I278" i="38" a="1"/>
  <c r="I278" i="38" s="1"/>
  <c r="N54" i="40"/>
  <c r="I312" i="38" a="1"/>
  <c r="I312" i="38" s="1"/>
  <c r="I277" i="38" a="1"/>
  <c r="I277" i="38" s="1"/>
  <c r="AV52" i="40"/>
  <c r="AS9" i="40"/>
  <c r="AP9" i="40" s="1" a="1"/>
  <c r="AP9" i="40" s="1"/>
  <c r="AS10" i="40"/>
  <c r="BF73" i="40"/>
  <c r="P270" i="35" a="1"/>
  <c r="P270" i="35" s="1"/>
  <c r="BR35" i="40"/>
  <c r="R566" i="38" l="1" a="1"/>
  <c r="R566" i="38" s="1"/>
  <c r="Y141" i="38"/>
  <c r="Y142" i="38" s="1"/>
  <c r="Y21" i="40"/>
  <c r="Y22" i="40"/>
  <c r="E555" i="38"/>
  <c r="E561" i="38" s="1"/>
  <c r="AC141" i="38"/>
  <c r="AC150" i="38"/>
  <c r="AC132" i="38"/>
  <c r="R124" i="38"/>
  <c r="E564" i="38"/>
  <c r="R116" i="38"/>
  <c r="R118" i="38" s="1"/>
  <c r="AA660" i="38" a="1"/>
  <c r="AA660" i="38" s="1"/>
  <c r="AA651" i="38" a="1"/>
  <c r="AA651" i="38" s="1"/>
  <c r="B680" i="38" a="1"/>
  <c r="B680" i="38" s="1"/>
  <c r="R560" i="38"/>
  <c r="R564" i="38"/>
  <c r="R563" i="38"/>
  <c r="R562" i="38"/>
  <c r="R561" i="38"/>
  <c r="R559" i="38"/>
  <c r="E563" i="38"/>
  <c r="E559" i="38"/>
  <c r="F101" i="38"/>
  <c r="AD557" i="38"/>
  <c r="AA740" i="38" s="1" a="1"/>
  <c r="AA740" i="38" s="1"/>
  <c r="AD218" i="38"/>
  <c r="B740" i="38" a="1"/>
  <c r="B740" i="38" s="1"/>
  <c r="AC556" i="38"/>
  <c r="AC223" i="38"/>
  <c r="W741" i="38" a="1"/>
  <c r="W741" i="38" s="1"/>
  <c r="AD566" i="38"/>
  <c r="AA585" i="38" s="1" a="1"/>
  <c r="AA585" i="38" s="1"/>
  <c r="AC555" i="38"/>
  <c r="AC226" i="38"/>
  <c r="AC228" i="38" s="1"/>
  <c r="E558" i="38"/>
  <c r="B741" i="38" s="1" a="1"/>
  <c r="B741" i="38" s="1"/>
  <c r="E566" i="38"/>
  <c r="B585" i="38" s="1" a="1"/>
  <c r="B585" i="38" s="1"/>
  <c r="I585" i="38"/>
  <c r="K558" i="38"/>
  <c r="J160" i="38"/>
  <c r="I575" i="38" s="1" a="1"/>
  <c r="I575" i="38" s="1"/>
  <c r="P272" i="38" a="1"/>
  <c r="P272" i="38" s="1"/>
  <c r="P282" i="38" a="1"/>
  <c r="P282" i="38" s="1"/>
  <c r="P292" i="38" a="1"/>
  <c r="P292" i="38" s="1"/>
  <c r="P302" i="38" a="1"/>
  <c r="P302" i="38" s="1"/>
  <c r="BG7" i="40"/>
  <c r="BG118" i="40" s="1"/>
  <c r="AV54" i="40"/>
  <c r="I314" i="38" a="1"/>
  <c r="I314" i="38" s="1"/>
  <c r="I302" i="38" a="1"/>
  <c r="I302" i="38" s="1"/>
  <c r="L302" i="38" a="1"/>
  <c r="L302" i="38" s="1"/>
  <c r="I306" i="38" a="1"/>
  <c r="I306" i="38" s="1"/>
  <c r="I304" i="38" a="1"/>
  <c r="I304" i="38" s="1"/>
  <c r="B604" i="38" l="1" a="1"/>
  <c r="B604" i="38" s="1"/>
  <c r="Y23" i="40"/>
  <c r="E562" i="38"/>
  <c r="B590" i="38" s="1" a="1"/>
  <c r="B590" i="38" s="1"/>
  <c r="Y131" i="38"/>
  <c r="Y133" i="38" s="1"/>
  <c r="Y126" i="38"/>
  <c r="Y127" i="38"/>
  <c r="R126" i="38"/>
  <c r="AC147" i="38" s="1"/>
  <c r="AC151" i="38" s="1"/>
  <c r="AC152" i="38" s="1"/>
  <c r="S616" i="38" s="1" a="1"/>
  <c r="S616" i="38" s="1"/>
  <c r="B689" i="38" a="1"/>
  <c r="B689" i="38" s="1"/>
  <c r="Q6" i="38"/>
  <c r="B650" i="38" a="1"/>
  <c r="B650" i="38" s="1"/>
  <c r="B665" i="38" a="1"/>
  <c r="B665" i="38" s="1"/>
  <c r="B589" i="38" a="1"/>
  <c r="B589" i="38" s="1"/>
  <c r="B576" i="38" a="1"/>
  <c r="B576" i="38" s="1"/>
  <c r="B575" i="38" a="1"/>
  <c r="B575" i="38" s="1"/>
  <c r="F106" i="38"/>
  <c r="AA730" i="38" a="1"/>
  <c r="AA730" i="38" s="1"/>
  <c r="AD556" i="38"/>
  <c r="AA680" i="38" s="1" a="1"/>
  <c r="AA680" i="38" s="1"/>
  <c r="AC558" i="38"/>
  <c r="B744" i="38" a="1"/>
  <c r="B744" i="38" s="1"/>
  <c r="AD555" i="38"/>
  <c r="AA604" i="38" s="1" a="1"/>
  <c r="AA604" i="38" s="1"/>
  <c r="AD559" i="38"/>
  <c r="L558" i="38"/>
  <c r="I689" i="38" a="1"/>
  <c r="I689" i="38" s="1"/>
  <c r="AC138" i="38" l="1"/>
  <c r="AC142" i="38" s="1"/>
  <c r="AC143" i="38" s="1"/>
  <c r="P620" i="38" a="1"/>
  <c r="P620" i="38" s="1"/>
  <c r="AC120" i="38"/>
  <c r="AC124" i="38" s="1"/>
  <c r="AC129" i="38"/>
  <c r="AC133" i="38" s="1"/>
  <c r="AC134" i="38" s="1"/>
  <c r="AC104" i="38"/>
  <c r="AC112" i="38"/>
  <c r="AC99" i="38"/>
  <c r="AC100" i="38"/>
  <c r="S629" i="38" s="1" a="1"/>
  <c r="S629" i="38" s="1"/>
  <c r="P609" i="38" a="1"/>
  <c r="P609" i="38" s="1"/>
  <c r="P619" i="38" a="1"/>
  <c r="P619" i="38" s="1"/>
  <c r="P589" i="38" a="1"/>
  <c r="P589" i="38" s="1"/>
  <c r="P599" i="38" a="1"/>
  <c r="P599" i="38" s="1"/>
  <c r="P569" i="38" a="1"/>
  <c r="P569" i="38" s="1"/>
  <c r="P579" i="38" a="1"/>
  <c r="P579" i="38" s="1"/>
  <c r="P600" i="38" a="1"/>
  <c r="P600" i="38" s="1"/>
  <c r="P580" i="38" a="1"/>
  <c r="P580" i="38" s="1"/>
  <c r="T6" i="38"/>
  <c r="Q416" i="38"/>
  <c r="R403" i="38"/>
  <c r="B609" i="38" a="1"/>
  <c r="B609" i="38" s="1"/>
  <c r="AD564" i="38"/>
  <c r="AA666" i="38" s="1" a="1"/>
  <c r="AA666" i="38" s="1"/>
  <c r="AD563" i="38"/>
  <c r="AD561" i="38"/>
  <c r="AD562" i="38"/>
  <c r="AA590" i="38" s="1" a="1"/>
  <c r="AA590" i="38" s="1"/>
  <c r="AD558" i="38"/>
  <c r="AA741" i="38" s="1" a="1"/>
  <c r="AA741" i="38" s="1"/>
  <c r="AA744" i="38" s="1" a="1"/>
  <c r="AA744" i="38" s="1"/>
  <c r="S811" i="38" a="1"/>
  <c r="S811" i="38" s="1"/>
  <c r="S627" i="38" l="1" a="1"/>
  <c r="S627" i="38" s="1"/>
  <c r="S571" i="38" a="1"/>
  <c r="S571" i="38" s="1"/>
  <c r="S596" i="38" a="1"/>
  <c r="S596" i="38" s="1"/>
  <c r="P590" i="38" a="1"/>
  <c r="P590" i="38" s="1"/>
  <c r="P570" i="38" a="1"/>
  <c r="P570" i="38" s="1"/>
  <c r="P610" i="38" a="1"/>
  <c r="P610" i="38" s="1"/>
  <c r="AC108" i="38"/>
  <c r="S569" i="38" s="1" a="1"/>
  <c r="S569" i="38" s="1"/>
  <c r="AC116" i="38"/>
  <c r="S594" i="38" s="1" a="1"/>
  <c r="S594" i="38" s="1"/>
  <c r="S614" i="38" a="1"/>
  <c r="S614" i="38" s="1"/>
  <c r="S567" i="38" a="1"/>
  <c r="S567" i="38" s="1"/>
  <c r="P728" i="38" a="1"/>
  <c r="P728" i="38" s="1"/>
  <c r="P653" i="38" a="1"/>
  <c r="P653" i="38" s="1"/>
  <c r="P688" i="38" a="1"/>
  <c r="P688" i="38" s="1"/>
  <c r="Q417" i="38"/>
  <c r="AA689" i="38" a="1"/>
  <c r="AA689" i="38" s="1"/>
  <c r="AA650" i="38" a="1"/>
  <c r="AA650" i="38" s="1"/>
  <c r="I7" i="38" a="1"/>
  <c r="J407" i="38" s="1"/>
  <c r="AA665" i="38" a="1"/>
  <c r="AA665" i="38" s="1"/>
  <c r="AA589" i="38" a="1"/>
  <c r="AA589" i="38" s="1"/>
  <c r="AA575" i="38" a="1"/>
  <c r="AA575" i="38" s="1"/>
  <c r="AA576" i="38" a="1"/>
  <c r="AA576" i="38" s="1"/>
  <c r="P7" i="38" l="1" a="1"/>
  <c r="J409" i="38"/>
  <c r="K409" i="38" s="1"/>
  <c r="J406" i="38"/>
  <c r="K406" i="38" s="1"/>
  <c r="J411" i="38"/>
  <c r="K411" i="38" s="1"/>
  <c r="J414" i="38"/>
  <c r="K414" i="38" s="1"/>
  <c r="J405" i="38"/>
  <c r="J413" i="38"/>
  <c r="K413" i="38" s="1"/>
  <c r="J425" i="38"/>
  <c r="K425" i="38" s="1"/>
  <c r="J420" i="38"/>
  <c r="K420" i="38" s="1"/>
  <c r="J434" i="38"/>
  <c r="K434" i="38" s="1"/>
  <c r="J416" i="38"/>
  <c r="K416" i="38" s="1"/>
  <c r="J418" i="38"/>
  <c r="K418" i="38" s="1"/>
  <c r="J430" i="38"/>
  <c r="K430" i="38" s="1"/>
  <c r="J424" i="38"/>
  <c r="K424" i="38" s="1"/>
  <c r="J428" i="38"/>
  <c r="K428" i="38" s="1"/>
  <c r="J429" i="38"/>
  <c r="K429" i="38" s="1"/>
  <c r="J436" i="38"/>
  <c r="K436" i="38" s="1"/>
  <c r="J435" i="38"/>
  <c r="K435" i="38" s="1"/>
  <c r="J431" i="38"/>
  <c r="K431" i="38" s="1"/>
  <c r="J410" i="38"/>
  <c r="K410" i="38" s="1"/>
  <c r="J437" i="38"/>
  <c r="K437" i="38" s="1"/>
  <c r="J422" i="38"/>
  <c r="K422" i="38" s="1"/>
  <c r="J417" i="38"/>
  <c r="K417" i="38" s="1"/>
  <c r="J433" i="38"/>
  <c r="K433" i="38" s="1"/>
  <c r="J421" i="38"/>
  <c r="K421" i="38" s="1"/>
  <c r="J438" i="38"/>
  <c r="K438" i="38" s="1"/>
  <c r="J423" i="38"/>
  <c r="K423" i="38" s="1"/>
  <c r="J426" i="38"/>
  <c r="K426" i="38" s="1"/>
  <c r="J427" i="38"/>
  <c r="K427" i="38" s="1"/>
  <c r="I7" i="38"/>
  <c r="J432" i="38"/>
  <c r="K432" i="38" s="1"/>
  <c r="J408" i="38"/>
  <c r="J412" i="38"/>
  <c r="K412" i="38" s="1"/>
  <c r="J415" i="38"/>
  <c r="K415" i="38" s="1"/>
  <c r="J419" i="38"/>
  <c r="K419" i="38" s="1"/>
  <c r="AA609" i="38" a="1"/>
  <c r="AA609" i="38" s="1"/>
  <c r="K407" i="38"/>
  <c r="S7" i="38" l="1" a="1"/>
  <c r="Q412" i="38"/>
  <c r="Q413" i="38"/>
  <c r="Q414" i="38"/>
  <c r="Q415" i="38"/>
  <c r="Q409" i="38"/>
  <c r="Q405" i="38"/>
  <c r="Q407" i="38"/>
  <c r="P7" i="38"/>
  <c r="Q408" i="38"/>
  <c r="Q410" i="38"/>
  <c r="Q411" i="38"/>
  <c r="Q406" i="38"/>
  <c r="D118" i="35"/>
  <c r="D116" i="35"/>
  <c r="D142" i="35"/>
  <c r="D114" i="35"/>
  <c r="D110" i="35"/>
  <c r="D153" i="35"/>
  <c r="D149" i="35"/>
  <c r="D129" i="35"/>
  <c r="D141" i="35"/>
  <c r="D154" i="35"/>
  <c r="D130" i="35"/>
  <c r="D140" i="35"/>
  <c r="D126" i="35"/>
  <c r="D139" i="35"/>
  <c r="D125" i="35"/>
  <c r="D138" i="35"/>
  <c r="D117" i="35"/>
  <c r="D106" i="35"/>
  <c r="D137" i="35"/>
  <c r="D150" i="35"/>
  <c r="D136" i="35"/>
  <c r="D148" i="35"/>
  <c r="D102" i="35"/>
  <c r="D135" i="35"/>
  <c r="D132" i="35"/>
  <c r="D134" i="35"/>
  <c r="D131" i="35"/>
  <c r="D121" i="35"/>
  <c r="D147" i="35"/>
  <c r="W7" i="38" a="1"/>
  <c r="X416" i="38" s="1"/>
  <c r="Y416" i="38" s="1"/>
  <c r="K405" i="38"/>
  <c r="D133" i="35"/>
  <c r="D101" i="35"/>
  <c r="D115" i="35"/>
  <c r="D100" i="35"/>
  <c r="D119" i="35"/>
  <c r="D145" i="35"/>
  <c r="D127" i="35"/>
  <c r="D151" i="35"/>
  <c r="D144" i="35"/>
  <c r="D112" i="35"/>
  <c r="D146" i="35"/>
  <c r="D152" i="35"/>
  <c r="D143" i="35"/>
  <c r="D128" i="35"/>
  <c r="D113" i="35"/>
  <c r="D109" i="35"/>
  <c r="D107" i="35"/>
  <c r="D108" i="35"/>
  <c r="D122" i="35"/>
  <c r="D103" i="35"/>
  <c r="D124" i="35"/>
  <c r="D120" i="35"/>
  <c r="D105" i="35"/>
  <c r="D111" i="35"/>
  <c r="K408" i="38"/>
  <c r="D104" i="35"/>
  <c r="D123" i="35"/>
  <c r="T414" i="38" l="1"/>
  <c r="T428" i="38"/>
  <c r="T427" i="38"/>
  <c r="T426" i="38"/>
  <c r="T425" i="38"/>
  <c r="T407" i="38"/>
  <c r="T413" i="38"/>
  <c r="T421" i="38"/>
  <c r="T424" i="38"/>
  <c r="T423" i="38"/>
  <c r="T415" i="38"/>
  <c r="T411" i="38"/>
  <c r="T409" i="38"/>
  <c r="T410" i="38"/>
  <c r="T408" i="38"/>
  <c r="T406" i="38"/>
  <c r="T405" i="38"/>
  <c r="T419" i="38"/>
  <c r="T416" i="38"/>
  <c r="T412" i="38"/>
  <c r="T418" i="38"/>
  <c r="T420" i="38"/>
  <c r="T417" i="38"/>
  <c r="T422" i="38"/>
  <c r="S7" i="38"/>
  <c r="M130" i="35"/>
  <c r="M132" i="35"/>
  <c r="M125" i="35"/>
  <c r="M131" i="35"/>
  <c r="M116" i="35"/>
  <c r="M128" i="35"/>
  <c r="M106" i="35"/>
  <c r="M110" i="35"/>
  <c r="M140" i="35"/>
  <c r="M105" i="35"/>
  <c r="M115" i="35"/>
  <c r="M133" i="35"/>
  <c r="M154" i="35"/>
  <c r="M139" i="35"/>
  <c r="M126" i="35"/>
  <c r="M147" i="35"/>
  <c r="M138" i="35"/>
  <c r="M136" i="35"/>
  <c r="M134" i="35"/>
  <c r="M123" i="35"/>
  <c r="M135" i="35"/>
  <c r="M149" i="35"/>
  <c r="M150" i="35"/>
  <c r="M104" i="35"/>
  <c r="M107" i="35"/>
  <c r="M137" i="35"/>
  <c r="M146" i="35"/>
  <c r="M142" i="35"/>
  <c r="M118" i="35"/>
  <c r="M111" i="35"/>
  <c r="M112" i="35"/>
  <c r="M151" i="35"/>
  <c r="M108" i="35"/>
  <c r="M102" i="35"/>
  <c r="M121" i="35"/>
  <c r="M124" i="35"/>
  <c r="M103" i="35"/>
  <c r="M101" i="35"/>
  <c r="M109" i="35"/>
  <c r="M122" i="35"/>
  <c r="M129" i="35"/>
  <c r="M114" i="35"/>
  <c r="M120" i="35"/>
  <c r="M119" i="35"/>
  <c r="M144" i="35"/>
  <c r="M141" i="35"/>
  <c r="M113" i="35"/>
  <c r="M152" i="35"/>
  <c r="M145" i="35"/>
  <c r="M117" i="35"/>
  <c r="M153" i="35"/>
  <c r="M127" i="35"/>
  <c r="M100" i="35"/>
  <c r="M148" i="35"/>
  <c r="M143" i="35"/>
  <c r="X425" i="38"/>
  <c r="Y425" i="38" s="1"/>
  <c r="X418" i="38"/>
  <c r="Y418" i="38" s="1"/>
  <c r="X421" i="38"/>
  <c r="Y421" i="38" s="1"/>
  <c r="X419" i="38"/>
  <c r="Y419" i="38" s="1"/>
  <c r="X435" i="38"/>
  <c r="Y435" i="38" s="1"/>
  <c r="X426" i="38"/>
  <c r="Y426" i="38" s="1"/>
  <c r="X427" i="38"/>
  <c r="Y427" i="38" s="1"/>
  <c r="X437" i="38"/>
  <c r="Y437" i="38" s="1"/>
  <c r="X431" i="38"/>
  <c r="Y431" i="38" s="1"/>
  <c r="X417" i="38"/>
  <c r="Y417" i="38" s="1"/>
  <c r="X420" i="38"/>
  <c r="Y420" i="38" s="1"/>
  <c r="X422" i="38"/>
  <c r="Y422" i="38" s="1"/>
  <c r="X434" i="38"/>
  <c r="Y434" i="38" s="1"/>
  <c r="X436" i="38"/>
  <c r="Y436" i="38" s="1"/>
  <c r="X429" i="38"/>
  <c r="Y429" i="38" s="1"/>
  <c r="X438" i="38"/>
  <c r="Y438" i="38" s="1"/>
  <c r="X430" i="38"/>
  <c r="Y430" i="38" s="1"/>
  <c r="X433" i="38"/>
  <c r="Y433" i="38" s="1"/>
  <c r="X423" i="38"/>
  <c r="Y423" i="38" s="1"/>
  <c r="X428" i="38"/>
  <c r="Y428" i="38" s="1"/>
  <c r="X424" i="38"/>
  <c r="Y424" i="38" s="1"/>
  <c r="X432" i="38"/>
  <c r="Y432" i="38" s="1"/>
  <c r="K403" i="38"/>
  <c r="X409" i="38"/>
  <c r="Y409" i="38" s="1"/>
  <c r="X411" i="38"/>
  <c r="Y411" i="38" s="1"/>
  <c r="W7" i="38"/>
  <c r="X407" i="38"/>
  <c r="Y407" i="38" s="1"/>
  <c r="X408" i="38"/>
  <c r="Y408" i="38" s="1"/>
  <c r="X412" i="38"/>
  <c r="Y412" i="38" s="1"/>
  <c r="X414" i="38"/>
  <c r="Y414" i="38" s="1"/>
  <c r="X415" i="38"/>
  <c r="Y415" i="38" s="1"/>
  <c r="X410" i="38"/>
  <c r="Y410" i="38" s="1"/>
  <c r="X406" i="38"/>
  <c r="Y406" i="38" s="1"/>
  <c r="X413" i="38"/>
  <c r="Y413" i="38" s="1"/>
  <c r="X405" i="38"/>
  <c r="D99" i="35"/>
  <c r="G101" i="38" s="1"/>
  <c r="Q139" i="35" l="1"/>
  <c r="Q147" i="35"/>
  <c r="Q131" i="35"/>
  <c r="Q118" i="35"/>
  <c r="Q132" i="35"/>
  <c r="Q104" i="35"/>
  <c r="Q135" i="35"/>
  <c r="Q130" i="35"/>
  <c r="Q150" i="35"/>
  <c r="Q138" i="35"/>
  <c r="Q127" i="35"/>
  <c r="Q149" i="35"/>
  <c r="Q121" i="35"/>
  <c r="Q154" i="35"/>
  <c r="Q122" i="35"/>
  <c r="Q148" i="35"/>
  <c r="Q146" i="35"/>
  <c r="Q126" i="35"/>
  <c r="Q142" i="35"/>
  <c r="Q125" i="35"/>
  <c r="Q123" i="35"/>
  <c r="Q137" i="35"/>
  <c r="Q145" i="35"/>
  <c r="Q111" i="35"/>
  <c r="Q136" i="35"/>
  <c r="Q112" i="35"/>
  <c r="Q110" i="35"/>
  <c r="Q101" i="35"/>
  <c r="Q103" i="35"/>
  <c r="Q116" i="35"/>
  <c r="Q108" i="35"/>
  <c r="Q105" i="35"/>
  <c r="Q107" i="35"/>
  <c r="Q141" i="35"/>
  <c r="Q114" i="35"/>
  <c r="Q109" i="35"/>
  <c r="Q124" i="35"/>
  <c r="Q102" i="35"/>
  <c r="Q115" i="35"/>
  <c r="Q128" i="35"/>
  <c r="Q113" i="35"/>
  <c r="Q133" i="35"/>
  <c r="Q120" i="35"/>
  <c r="Q100" i="35"/>
  <c r="Q153" i="35"/>
  <c r="Q119" i="35"/>
  <c r="Q143" i="35"/>
  <c r="Q106" i="35"/>
  <c r="Q144" i="35"/>
  <c r="Q151" i="35"/>
  <c r="Q140" i="35"/>
  <c r="Q134" i="35"/>
  <c r="Q129" i="35"/>
  <c r="Q152" i="35"/>
  <c r="Q117" i="35"/>
  <c r="M99" i="35"/>
  <c r="G103" i="38" s="1"/>
  <c r="U129" i="35"/>
  <c r="U107" i="35"/>
  <c r="U152" i="35"/>
  <c r="U114" i="35"/>
  <c r="U115" i="35"/>
  <c r="U139" i="35"/>
  <c r="U128" i="35"/>
  <c r="U131" i="35"/>
  <c r="U148" i="35"/>
  <c r="U136" i="35"/>
  <c r="U137" i="35"/>
  <c r="U134" i="35"/>
  <c r="U138" i="35"/>
  <c r="U105" i="35"/>
  <c r="U133" i="35"/>
  <c r="U106" i="35"/>
  <c r="U104" i="35"/>
  <c r="U125" i="35"/>
  <c r="U121" i="35"/>
  <c r="U102" i="35"/>
  <c r="U147" i="35"/>
  <c r="U103" i="35"/>
  <c r="U119" i="35"/>
  <c r="U135" i="35"/>
  <c r="U120" i="35"/>
  <c r="U117" i="35"/>
  <c r="U123" i="35"/>
  <c r="U122" i="35"/>
  <c r="U118" i="35"/>
  <c r="U116" i="35"/>
  <c r="U144" i="35"/>
  <c r="U132" i="35"/>
  <c r="U150" i="35"/>
  <c r="U101" i="35"/>
  <c r="U153" i="35"/>
  <c r="U151" i="35"/>
  <c r="U145" i="35"/>
  <c r="U113" i="35"/>
  <c r="U112" i="35"/>
  <c r="U143" i="35"/>
  <c r="U130" i="35"/>
  <c r="U149" i="35"/>
  <c r="U126" i="35"/>
  <c r="U111" i="35"/>
  <c r="U141" i="35"/>
  <c r="U109" i="35"/>
  <c r="U127" i="35"/>
  <c r="U146" i="35"/>
  <c r="U110" i="35"/>
  <c r="U154" i="35"/>
  <c r="U140" i="35"/>
  <c r="U100" i="35"/>
  <c r="Y405" i="38"/>
  <c r="Y403" i="38" s="1"/>
  <c r="U108" i="35"/>
  <c r="U142" i="35"/>
  <c r="U124" i="35"/>
  <c r="K557" i="38"/>
  <c r="Q99" i="35" l="1"/>
  <c r="U99" i="35"/>
  <c r="G106" i="38" s="1"/>
  <c r="L557" i="38"/>
  <c r="I664" i="38" a="1"/>
  <c r="I664" i="38" s="1"/>
  <c r="K562" i="38"/>
  <c r="I714" i="38" s="1" a="1"/>
  <c r="I714" i="38" s="1"/>
  <c r="I649" i="38" l="1" a="1"/>
  <c r="I649" i="38" s="1"/>
  <c r="I839" i="38" l="1" a="1"/>
  <c r="I839" i="38" s="1"/>
  <c r="I799" i="38" a="1"/>
  <c r="I799" i="38" s="1"/>
  <c r="I719" i="38" a="1"/>
  <c r="I719" i="38" s="1"/>
  <c r="I764" i="38" a="1"/>
  <c r="I764" i="38" s="1"/>
  <c r="L7" i="38" l="1" a="1"/>
  <c r="M405" i="38" s="1"/>
  <c r="M406" i="38" l="1"/>
  <c r="M407" i="38"/>
  <c r="M408" i="38"/>
  <c r="M409" i="38"/>
  <c r="M410" i="38"/>
  <c r="M411" i="38"/>
  <c r="M412" i="38"/>
  <c r="M413" i="38"/>
  <c r="M414" i="38"/>
  <c r="M415" i="38"/>
  <c r="L7" i="38"/>
  <c r="I100" i="35" l="1"/>
  <c r="I133" i="35"/>
  <c r="I147" i="35"/>
  <c r="I149" i="35"/>
  <c r="I151" i="35"/>
  <c r="I122" i="35"/>
  <c r="I134" i="35"/>
  <c r="I153" i="35"/>
  <c r="I131" i="35"/>
  <c r="I135" i="35"/>
  <c r="I154" i="35"/>
  <c r="I129" i="35"/>
  <c r="I136" i="35"/>
  <c r="I125" i="35"/>
  <c r="I137" i="35"/>
  <c r="I128" i="35"/>
  <c r="I138" i="35"/>
  <c r="I148" i="35"/>
  <c r="I119" i="35"/>
  <c r="I127" i="35"/>
  <c r="I139" i="35"/>
  <c r="I130" i="35"/>
  <c r="I140" i="35"/>
  <c r="I115" i="35"/>
  <c r="I118" i="35"/>
  <c r="I152" i="35"/>
  <c r="I126" i="35"/>
  <c r="I132" i="35"/>
  <c r="I141" i="35"/>
  <c r="I117" i="35"/>
  <c r="I142" i="35"/>
  <c r="I146" i="35"/>
  <c r="I116" i="35"/>
  <c r="I150" i="35"/>
  <c r="I111" i="35"/>
  <c r="I143" i="35"/>
  <c r="I123" i="35"/>
  <c r="I112" i="35"/>
  <c r="I144" i="35"/>
  <c r="I124" i="35"/>
  <c r="I113" i="35"/>
  <c r="I145" i="35"/>
  <c r="I120" i="35"/>
  <c r="I114" i="35"/>
  <c r="I121" i="35"/>
  <c r="I103" i="35"/>
  <c r="I101" i="35"/>
  <c r="I102" i="35"/>
  <c r="I104" i="35"/>
  <c r="I109" i="35"/>
  <c r="I106" i="35"/>
  <c r="I107" i="35"/>
  <c r="I108" i="35"/>
  <c r="I110" i="35"/>
  <c r="I105" i="35"/>
  <c r="I99" i="35" l="1"/>
  <c r="G102"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tc={DFFC2918-917A-4D4C-BC3A-E638AB84C53F}</author>
  </authors>
  <commentList>
    <comment ref="Q173" authorId="0" shapeId="0" xr:uid="{DFFC2918-917A-4D4C-BC3A-E638AB84C53F}">
      <text>
        <t>[Threaded comment]
Your version of Excel allows you to read this threaded comment; however, any edits to it will get removed if the file is opened in a newer version of Excel. Learn more: https://go.microsoft.com/fwlink/?linkid=870924
Comment:
    These codes don’t exist yet. I have to differentiate CS and APIC parts of these transactions somehow.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51A1EC7B-AC58-4DA6-B112-38033ADE35A7}">
      <text>
        <r>
          <rPr>
            <b/>
            <sz val="10"/>
            <color indexed="81"/>
            <rFont val="Tahoma"/>
            <family val="2"/>
          </rPr>
          <t>Antle, Rick:</t>
        </r>
        <r>
          <rPr>
            <sz val="10"/>
            <color indexed="81"/>
            <rFont val="Tahoma"/>
            <family val="2"/>
          </rPr>
          <t xml:space="preserve">
Decimal places.</t>
        </r>
      </text>
    </comment>
    <comment ref="A2" authorId="0" shapeId="0" xr:uid="{CC67F7C7-C504-41FB-AFE1-488D3C1F3C49}">
      <text>
        <r>
          <rPr>
            <b/>
            <sz val="10"/>
            <color indexed="81"/>
            <rFont val="Tahoma"/>
            <family val="2"/>
          </rPr>
          <t>Antle, Rick:</t>
        </r>
        <r>
          <rPr>
            <sz val="10"/>
            <color indexed="81"/>
            <rFont val="Tahoma"/>
            <family val="2"/>
          </rPr>
          <t xml:space="preserve">
Color scheme.</t>
        </r>
      </text>
    </comment>
    <comment ref="A3" authorId="0" shapeId="0" xr:uid="{E9B10418-CB0B-4811-8666-9E79EE365DF5}">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DBEF40E1-E0F1-4CA2-A05D-BFD8920DAD4E}">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614AFA74-A6C1-47DA-B0E0-B65BB6552C00}">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C9D12D19-DD6D-4088-8D5B-4DEDBB2A27E9}">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<sst xmlns="http://schemas.openxmlformats.org/spreadsheetml/2006/main" count="3442" uniqueCount="1266">
  <si>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</si>
  <si>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</si>
  <si>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</si>
  <si>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</si>
  <si>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</si>
  <si>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</si>
  <si>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</si>
  <si>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</si>
  <si>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</si>
  <si>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</si>
  <si>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</si>
  <si>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</si>
  <si>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</si>
  <si>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</si>
  <si>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</si>
  <si>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</si>
  <si>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</si>
  <si>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Investing</t>
  </si>
  <si>
    <t>Transaction Description, Involve Cash, Abbr</t>
  </si>
  <si>
    <t>Financing</t>
  </si>
  <si>
    <t>Operating</t>
  </si>
  <si>
    <t>Noncash_Financing</t>
  </si>
  <si>
    <t>Noncash_InvestingFinancing</t>
  </si>
  <si>
    <t>Noncash_Operating</t>
  </si>
  <si>
    <t>Other</t>
  </si>
  <si>
    <t>Does_NOT_affect_Cash_Flow</t>
  </si>
  <si>
    <t>Noncash_Investing</t>
  </si>
  <si>
    <t>MD_Feedback</t>
  </si>
  <si>
    <t>LEVELS OF FEEDBACK, Selected</t>
  </si>
  <si>
    <t>MD_FS_Automation</t>
  </si>
  <si>
    <t>LEVELS OF FINANCIAL STATEMENT AUTOMATION, Selected</t>
  </si>
  <si>
    <t>MD_EntityTypes</t>
  </si>
  <si>
    <t>Entity Types</t>
  </si>
  <si>
    <t>MD_ActivitiesNature</t>
  </si>
  <si>
    <t>Nature of Activity</t>
  </si>
  <si>
    <t>MD_Units</t>
  </si>
  <si>
    <t>Units</t>
  </si>
  <si>
    <t>MD_ProblemPurposes</t>
  </si>
  <si>
    <t>PURPOSE</t>
  </si>
  <si>
    <t>MD_ProblemRequirements</t>
  </si>
  <si>
    <t>Requirement</t>
  </si>
  <si>
    <t>MD_InventoryMethods</t>
  </si>
  <si>
    <t>Inventory Method</t>
  </si>
  <si>
    <t>MD_DepreciationMethods</t>
  </si>
  <si>
    <t>Depreciation Method</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</si>
  <si>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</si>
  <si>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</si>
  <si>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</si>
  <si>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</si>
  <si>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</si>
  <si>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</si>
  <si>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</si>
  <si>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Journal</t>
  </si>
  <si>
    <t>Transaction #, Accnt Type, Debit Account, Credit Account, Dr Amt, Cr Amt, Cash Flow, Movement #, Cash, ref1, ref2</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</si>
  <si>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</si>
  <si>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</si>
  <si>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</si>
  <si>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</si>
  <si>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</si>
  <si>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</si>
  <si>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</si>
  <si>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</si>
  <si>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</si>
  <si>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</si>
  <si>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</si>
  <si>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Assets</t>
  </si>
  <si>
    <t>Liabilities</t>
  </si>
  <si>
    <t>Equities</t>
  </si>
  <si>
    <t>Subheadings</t>
  </si>
  <si>
    <t>Revenues</t>
  </si>
  <si>
    <t>Expenses</t>
  </si>
  <si>
    <t>Account Abbreviations</t>
  </si>
  <si>
    <t>Net Income (Loss)</t>
  </si>
  <si>
    <t>Labels</t>
  </si>
  <si>
    <t>ACCOUNT TYPE LABELS</t>
  </si>
  <si>
    <t>Used</t>
  </si>
  <si>
    <t>Account Types Used</t>
  </si>
  <si>
    <t>Asset</t>
  </si>
  <si>
    <t>Liability</t>
  </si>
  <si>
    <t>Equity</t>
  </si>
  <si>
    <t>Revenue</t>
  </si>
  <si>
    <t>Expense</t>
  </si>
  <si>
    <t>Gain</t>
  </si>
  <si>
    <t>Loss</t>
  </si>
  <si>
    <t>CASH FLOW STATEMENT LABELS</t>
  </si>
  <si>
    <t>Include on Student List if Used</t>
  </si>
  <si>
    <t>CFS Labels Used for Students</t>
  </si>
  <si>
    <t>All CFS Labels Used</t>
  </si>
  <si>
    <t>Noncash_Investing/Financing</t>
  </si>
  <si>
    <t>Automation</t>
  </si>
  <si>
    <t>LEVELS OF FINANCIAL STATEMENT AUTOMATION</t>
  </si>
  <si>
    <t>Selected</t>
  </si>
  <si>
    <t>None</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</si>
  <si>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</si>
  <si>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</si>
  <si>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</si>
  <si>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</si>
  <si>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</si>
  <si>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</si>
  <si>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</si>
  <si>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</si>
  <si>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</si>
  <si>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</si>
  <si>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</si>
  <si>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</si>
  <si>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Account Name</t>
  </si>
  <si>
    <t>Abbr</t>
  </si>
  <si>
    <t>IncreasedBy</t>
  </si>
  <si>
    <t>C/NC</t>
  </si>
  <si>
    <t>Num</t>
  </si>
  <si>
    <t>Definition</t>
  </si>
  <si>
    <t>NI_CFO_Recon</t>
  </si>
  <si>
    <t>AssetUsed</t>
  </si>
  <si>
    <t>AllAcctsUsed</t>
  </si>
  <si>
    <t xml:space="preserve">ROW INTENTIONALLY LEFT BLANK </t>
  </si>
  <si>
    <t>Cash</t>
  </si>
  <si>
    <t>CSH</t>
  </si>
  <si>
    <t>Debit</t>
  </si>
  <si>
    <t>C</t>
  </si>
  <si>
    <t>Rights to settle debts and acquire goods and services. These rights are, by definition, the most liquid of assets, meaning cash is readily converted into other assets or used to extinguish debts.</t>
  </si>
  <si>
    <t>Accounts Receivable</t>
  </si>
  <si>
    <t>AR</t>
  </si>
  <si>
    <t>The amounts due from customers in payment for goods delivered or services performed by the entity.</t>
  </si>
  <si>
    <t>Allowance for Doubtful Accounts</t>
  </si>
  <si>
    <t>ADA</t>
  </si>
  <si>
    <t>Credit</t>
  </si>
  <si>
    <t>A contra-asset account holding the estimated amount of uncollectible Accounts Receivable.</t>
  </si>
  <si>
    <t>Marketable Securities</t>
  </si>
  <si>
    <t>MS</t>
  </si>
  <si>
    <t>Investments in financial assets, such as shares of stocks and bonds.</t>
  </si>
  <si>
    <t>Inventories</t>
  </si>
  <si>
    <t>Inv</t>
  </si>
  <si>
    <t>Goods held for sale in a retailer. Manufacturing firms also have Raw Materials, Work-in-Process, and Finished Goods inventories.</t>
  </si>
  <si>
    <t>Prepaid Expenses</t>
  </si>
  <si>
    <t>PrePE</t>
  </si>
  <si>
    <t>An asset account, these are goods and services for which payment has been made but  which will not be consumed until some time in the future.</t>
  </si>
  <si>
    <t>Prepaid Rent</t>
  </si>
  <si>
    <t>PrePR</t>
  </si>
  <si>
    <t>The right to occupy space for which payment has been made.</t>
  </si>
  <si>
    <t>Other Current Assets</t>
  </si>
  <si>
    <t>OCA</t>
  </si>
  <si>
    <t>Current assets not shown in any other category.</t>
  </si>
  <si>
    <t>Property, Plant &amp; Equipment</t>
  </si>
  <si>
    <t>PPE</t>
  </si>
  <si>
    <t>NC</t>
  </si>
  <si>
    <t>The land, buildings, manufacturing machines, delivery vehicles, etc., that entities hold for use over several periods.</t>
  </si>
  <si>
    <t>Accumulated Depreciation</t>
  </si>
  <si>
    <t>AccDepr</t>
  </si>
  <si>
    <t>A contra-asset account holding the accumulated amount of depreciation expense taken on tangible assets. Depreciation is the process of systematically allocating the cost of an asset to the periods
that it benefits.</t>
  </si>
  <si>
    <t>Intangibles</t>
  </si>
  <si>
    <t>Intang</t>
  </si>
  <si>
    <t>Assets that have no physical existent, such as patents, brands, and copyrights.</t>
  </si>
  <si>
    <t>Goodwill</t>
  </si>
  <si>
    <t>Gdwll</t>
  </si>
  <si>
    <t>The excess of the acquisition cost of a company over the
net fair value of its identifiable assets and liabilities at the time of the acquisition.</t>
  </si>
  <si>
    <t>Other Noncurrent Assets</t>
  </si>
  <si>
    <t>ONCA</t>
  </si>
  <si>
    <t>Noncurrent assts not shown in any other category.</t>
  </si>
  <si>
    <t>Deferred Tax Assets</t>
  </si>
  <si>
    <t>DefTxA</t>
  </si>
  <si>
    <t>Debits arising from temporary differences between financial accounting records and tax accounting records.</t>
  </si>
  <si>
    <t>Accumulated Amortization</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</si>
  <si>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</si>
  <si>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</si>
  <si>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Land</t>
  </si>
  <si>
    <t>LND</t>
  </si>
  <si>
    <t>Land held for use, not resale.</t>
  </si>
  <si>
    <t>LiabilityUsed</t>
  </si>
  <si>
    <t>Accounts Payable</t>
  </si>
  <si>
    <t>AP</t>
  </si>
  <si>
    <t>Amounts owed for purchases from vendors.</t>
  </si>
  <si>
    <t>Accrued Expenses</t>
  </si>
  <si>
    <t>AccExp</t>
  </si>
  <si>
    <t>Amounts owed for consumption of goods and services .</t>
  </si>
  <si>
    <t>Interest Payable</t>
  </si>
  <si>
    <t>IP</t>
  </si>
  <si>
    <t>Amounts owed for interest on borrowed funds.</t>
  </si>
  <si>
    <t>Dividends Payable</t>
  </si>
  <si>
    <t>DP</t>
  </si>
  <si>
    <t>Amounts owed for dividends that have been declared but not yet paid.</t>
  </si>
  <si>
    <t>Taxes Payable</t>
  </si>
  <si>
    <t>TxP</t>
  </si>
  <si>
    <t>Amounts owed for taxes.</t>
  </si>
  <si>
    <t>Deferred Tax Liabilities</t>
  </si>
  <si>
    <t>DefTxL</t>
  </si>
  <si>
    <t>Unearned Revenue</t>
  </si>
  <si>
    <t>UR</t>
  </si>
  <si>
    <t>Amounts received for goods to be delivered or services to be performed in the future.</t>
  </si>
  <si>
    <t>Salaries &amp; Wages Payable</t>
  </si>
  <si>
    <t>SWP</t>
  </si>
  <si>
    <t>Amounts owed to employees for services rendered.</t>
  </si>
  <si>
    <t>Rent Payable</t>
  </si>
  <si>
    <t>RP</t>
  </si>
  <si>
    <t>Amonts owed to landlords for rent.</t>
  </si>
  <si>
    <t>180-day Note Payable</t>
  </si>
  <si>
    <t>180NP</t>
  </si>
  <si>
    <t>Debt arising from issuance of a note with a maturity date 180 days from its issuance.</t>
  </si>
  <si>
    <t>Accounts Payable (Inventory)</t>
  </si>
  <si>
    <t>APInv</t>
  </si>
  <si>
    <t>Amounts owed for purchases from suppliers of inventory.</t>
  </si>
  <si>
    <t>Accounts Payable (Other)</t>
  </si>
  <si>
    <t>APOth</t>
  </si>
  <si>
    <t>Amounts owed for purchases of goods or services other than merchandise inventory.</t>
  </si>
  <si>
    <t>Interest Payable - Current</t>
  </si>
  <si>
    <t>IPCur</t>
  </si>
  <si>
    <t>Amounts due within one year for interest on borrowed funds.</t>
  </si>
  <si>
    <t>Other Accrued Expenses</t>
  </si>
  <si>
    <t>OAE</t>
  </si>
  <si>
    <t>Note Payable - Current</t>
  </si>
  <si>
    <t>NPCur</t>
  </si>
  <si>
    <t>Amounts due within one year under the terms of a note.</t>
  </si>
  <si>
    <t>Bonds Payable</t>
  </si>
  <si>
    <t>BP</t>
  </si>
  <si>
    <t>Debt arising from the issuance of bonds.</t>
  </si>
  <si>
    <t>Notes Payable</t>
  </si>
  <si>
    <t>NP</t>
  </si>
  <si>
    <t>Debt arising from the issuance of promissory notes</t>
  </si>
  <si>
    <t>Senior Debt</t>
  </si>
  <si>
    <t>SenDbt</t>
  </si>
  <si>
    <t>Long-term debt that has high priority in bankruptcy.</t>
  </si>
  <si>
    <t>Subordinated Debt</t>
  </si>
  <si>
    <t>SubDbt</t>
  </si>
  <si>
    <t>Long-term debt that has low priority in bankruptcy.</t>
  </si>
  <si>
    <t>Interest Payable - Noncurrent</t>
  </si>
  <si>
    <t>IPNCur</t>
  </si>
  <si>
    <t>Amounts due beyond one year for interest on borrowed funds.</t>
  </si>
  <si>
    <t>Loans Payable</t>
  </si>
  <si>
    <t>LP</t>
  </si>
  <si>
    <t>Debt arising from taking out a loan.</t>
  </si>
  <si>
    <t>Long-term Bonds Payable</t>
  </si>
  <si>
    <t>LTBP</t>
  </si>
  <si>
    <t>Other Long-term Liabilities</t>
  </si>
  <si>
    <t>OLTL</t>
  </si>
  <si>
    <t>Noncurrent liabilities not shown in any other category.</t>
  </si>
  <si>
    <t>No current liabilities</t>
  </si>
  <si>
    <t>NoCL</t>
  </si>
  <si>
    <t>No noncurrent liabilities</t>
  </si>
  <si>
    <t>NoNCL</t>
  </si>
  <si>
    <t>EquityUsed</t>
  </si>
  <si>
    <t>AllISAcctsUsed</t>
  </si>
  <si>
    <t>Preferred Stock</t>
  </si>
  <si>
    <t>PrefStk</t>
  </si>
  <si>
    <t>Stock with higher priority for the receipt of dividends than common stock. Typically, the control rights of its owners are limited.</t>
  </si>
  <si>
    <t>Common Stock</t>
  </si>
  <si>
    <t>CS</t>
  </si>
  <si>
    <t>For common stocks with a par value, this account holds the total par value of common stock issued. For common stocks with no par value, it holds the total amount raised by the issuance of common stock.</t>
  </si>
  <si>
    <t>Additional Paid-in Capital</t>
  </si>
  <si>
    <t>APIC</t>
  </si>
  <si>
    <t>Amounts over and above Par Value raised by issuing common stock. Also used when options and other rights to acquire common stock are issued.</t>
  </si>
  <si>
    <t>Accumulated Other Comprehensive Income (Loss)</t>
  </si>
  <si>
    <t>AOCI</t>
  </si>
  <si>
    <t>An equity account used to by-pass counting a gain or loss in net income and, therefore, in Retained Earnings.</t>
  </si>
  <si>
    <t>Retained Earnings</t>
  </si>
  <si>
    <t>RE</t>
  </si>
  <si>
    <t>The difference between the total net income earned by the entity and the total dividends that have been declared, this account reflects net assets raised by earning a profit that are not committed to be returned to owners.</t>
  </si>
  <si>
    <t>Treasury Stock</t>
  </si>
  <si>
    <t>TS</t>
  </si>
  <si>
    <t>A contra-equity, this account refects the entity's purchase of its own stock, often used to compensate  employees.</t>
  </si>
  <si>
    <t>Noncontrolling Interests in Subsidiaries</t>
  </si>
  <si>
    <t>MinInt</t>
  </si>
  <si>
    <t>Income Statement Accounts</t>
  </si>
  <si>
    <t>RevenueUsed</t>
  </si>
  <si>
    <t>Sales</t>
  </si>
  <si>
    <t>SLs</t>
  </si>
  <si>
    <t>Carries information that the reason Equity has increased is that goods have been sold or services have been provided.</t>
  </si>
  <si>
    <t>Consulting Revenue</t>
  </si>
  <si>
    <t>ConsRev</t>
  </si>
  <si>
    <t>Carries information that the reason Equity has increased is that consulting services have been provided.</t>
  </si>
  <si>
    <t>Interest Revenue</t>
  </si>
  <si>
    <t>IntRev</t>
  </si>
  <si>
    <t>Carries information that the reason Equity has increased is interest has been earned.</t>
  </si>
  <si>
    <t>Sales of Office Furniture</t>
  </si>
  <si>
    <t>SaleOffFurn</t>
  </si>
  <si>
    <t>Carries information that the reason Equity has increased is that office furniture held for resale has been sold.</t>
  </si>
  <si>
    <t>ExpenseUsed</t>
  </si>
  <si>
    <t>Cost of Goods Sold</t>
  </si>
  <si>
    <t>CoGS</t>
  </si>
  <si>
    <t>Carries information that the reason Equity has decreased is that goods were transferred to customers who bought them.</t>
  </si>
  <si>
    <t>Cost of Services Provided</t>
  </si>
  <si>
    <t>CoSP</t>
  </si>
  <si>
    <t>Carries information that the reason Equity has decreased is that services were provided to customers who bought them.</t>
  </si>
  <si>
    <t>Selling, General and Administrative Expenses</t>
  </si>
  <si>
    <t>SGA</t>
  </si>
  <si>
    <t>Carries information that the reason Equity has decreased is due to the selling, administrative or general activities of the entity.</t>
  </si>
  <si>
    <t>Interest Expense</t>
  </si>
  <si>
    <t>IntExp</t>
  </si>
  <si>
    <t>Carries information that the reason Equity has decreased is that interest was incurred.</t>
  </si>
  <si>
    <t>Tax Expense</t>
  </si>
  <si>
    <t>TxExp</t>
  </si>
  <si>
    <t>Carries information that the reason Equity has decreased is due to taxes.</t>
  </si>
  <si>
    <t>Depreciation Expense</t>
  </si>
  <si>
    <t>DeprExp</t>
  </si>
  <si>
    <t>Carries information that the reason Equity has decreased is that tangible fixed assets have been consumed either explicitly through use or implicitly through the passage of time.</t>
  </si>
  <si>
    <t>Rent Expense</t>
  </si>
  <si>
    <t>RntExp</t>
  </si>
  <si>
    <t>Carries information that the reason Equity has decreased is due to rental agreements.</t>
  </si>
  <si>
    <t>Bad Debts Expense</t>
  </si>
  <si>
    <t>BDExp</t>
  </si>
  <si>
    <t>Carries information that the reason Equity has decreased is that some customers who purchased on account are not likely to pay.</t>
  </si>
  <si>
    <t>Salaries &amp; Wages Expense</t>
  </si>
  <si>
    <t>SalExp</t>
  </si>
  <si>
    <t>Carries information that the reason Equity has decreased is that labor of employees or services of managers has been consumed.</t>
  </si>
  <si>
    <t>Share-based Compensation Expense</t>
  </si>
  <si>
    <t>ShrCompExp</t>
  </si>
  <si>
    <t>Carries information that the reason Equity has decreased is that labor of employees or services of managers has been consumed and the compensation to be provided to them is in the form of equity in the  entity.</t>
  </si>
  <si>
    <t>Amortization Expense</t>
  </si>
  <si>
    <t>AmortExp</t>
  </si>
  <si>
    <t>Carries information that the reason Equity has decreased is that intangible assets have been consumed either explicitly through use or implicitly through the passage of time.</t>
  </si>
  <si>
    <t>Gains</t>
  </si>
  <si>
    <t>GainUsed</t>
  </si>
  <si>
    <t>Gain on Sale of PP&amp;E</t>
  </si>
  <si>
    <t>GSalePPE</t>
  </si>
  <si>
    <t>Carries information that the reason Equity has increased is that PP&amp;E has been sold for more than its book value.</t>
  </si>
  <si>
    <t>Gain on Sale of Subsidiary</t>
  </si>
  <si>
    <t>GSaleSub</t>
  </si>
  <si>
    <t>Carries information that the reason Equity has increased is thata subsidiary has been sold for more than its book value.</t>
  </si>
  <si>
    <t>Gain on Retirement of Debt</t>
  </si>
  <si>
    <t>GRetDbt</t>
  </si>
  <si>
    <t>Carries information that the reason Equity has increased is that debt has been retired for less than its book value.</t>
  </si>
  <si>
    <t>Holding Gain on Marketable Securities</t>
  </si>
  <si>
    <t>HGMS</t>
  </si>
  <si>
    <t>Carries information that the reason Equity has increased is that the fair value of marketable securities held has increased.</t>
  </si>
  <si>
    <t>Realized Gain on Marketable Securities</t>
  </si>
  <si>
    <t>RGMS</t>
  </si>
  <si>
    <t>Carries information that the reason Equity has increased is that marketable securities have been sold for more than their book value.</t>
  </si>
  <si>
    <t>LossUsed</t>
  </si>
  <si>
    <t>Loss on Sale of PP&amp;E</t>
  </si>
  <si>
    <t>LSalePPE</t>
  </si>
  <si>
    <t>Carries information that the reason Equity has decreased is that PP&amp;E has been sold for less than its book value.</t>
  </si>
  <si>
    <t>Loss on Sale of Subsidiary</t>
  </si>
  <si>
    <t>LSaleSub</t>
  </si>
  <si>
    <t>Carries information that the reason Equity has decreased is thata subsidiary has been sold for less than its book value.</t>
  </si>
  <si>
    <t>Loss on Retirement of Debt</t>
  </si>
  <si>
    <t>LRetDbt</t>
  </si>
  <si>
    <t>Carries information that the reason Equity has decreased is that debt has been retired for more than its book value.</t>
  </si>
  <si>
    <t>Holding Loss on Marketable Securities</t>
  </si>
  <si>
    <t>HLMS</t>
  </si>
  <si>
    <t>Realized Loss on Marketable Securities</t>
  </si>
  <si>
    <t>RLMS</t>
  </si>
  <si>
    <t>Carries information that the reason Equity has decreased is that marketable securities have been sold for less than their book value.</t>
  </si>
  <si>
    <t>Cash Flow Codes and Requirements</t>
  </si>
  <si>
    <t>Noncash_Investing_Financing</t>
  </si>
  <si>
    <t>NO CASH</t>
  </si>
  <si>
    <t>Transaction Description</t>
  </si>
  <si>
    <t>Involve Cash</t>
  </si>
  <si>
    <t>NO</t>
  </si>
  <si>
    <t>Close Temporary Accounts</t>
  </si>
  <si>
    <t>CL</t>
  </si>
  <si>
    <t>Acquired marketable securities</t>
  </si>
  <si>
    <t>YES</t>
  </si>
  <si>
    <t>PMS</t>
  </si>
  <si>
    <t>Acquired PP&amp;E</t>
  </si>
  <si>
    <t>PPPE</t>
  </si>
  <si>
    <t>Acquired Other Assets</t>
  </si>
  <si>
    <t>POA</t>
  </si>
  <si>
    <t>Acquired business unit</t>
  </si>
  <si>
    <t>PBU</t>
  </si>
  <si>
    <t>Acquired intangibles</t>
  </si>
  <si>
    <t>PINT</t>
  </si>
  <si>
    <t>Sold marketable securities</t>
  </si>
  <si>
    <t>SMS</t>
  </si>
  <si>
    <t>Sold PP&amp;E</t>
  </si>
  <si>
    <t>SPPE</t>
  </si>
  <si>
    <t>Sold Other Assets</t>
  </si>
  <si>
    <t>SOA</t>
  </si>
  <si>
    <t>Sold business unit</t>
  </si>
  <si>
    <t>SBU</t>
  </si>
  <si>
    <t>Sold intangibles</t>
  </si>
  <si>
    <t>SINT</t>
  </si>
  <si>
    <t>Issued common stock</t>
  </si>
  <si>
    <t>ICS</t>
  </si>
  <si>
    <t>Issued preferred stock</t>
  </si>
  <si>
    <t>IPS</t>
  </si>
  <si>
    <t>Issued bonds</t>
  </si>
  <si>
    <t>IB</t>
  </si>
  <si>
    <t>Issued notes</t>
  </si>
  <si>
    <t>IN</t>
  </si>
  <si>
    <t>Issued senior debt</t>
  </si>
  <si>
    <t>ISD</t>
  </si>
  <si>
    <t>Issued subordinated debt</t>
  </si>
  <si>
    <t>ISubD</t>
  </si>
  <si>
    <t>Issued Other Noncurrent Liabilities</t>
  </si>
  <si>
    <t>IONCL</t>
  </si>
  <si>
    <t>Paid dividends</t>
  </si>
  <si>
    <t>PD</t>
  </si>
  <si>
    <t>Retired bonds</t>
  </si>
  <si>
    <t>RB</t>
  </si>
  <si>
    <t>Retired notes</t>
  </si>
  <si>
    <t>RN</t>
  </si>
  <si>
    <t>Purchased Treasury Stock</t>
  </si>
  <si>
    <t>PTS</t>
  </si>
  <si>
    <t>Issued Treasury Stock</t>
  </si>
  <si>
    <t>STS</t>
  </si>
  <si>
    <t>Repaid loan</t>
  </si>
  <si>
    <t>RL</t>
  </si>
  <si>
    <t>Got a loan from a bank</t>
  </si>
  <si>
    <t>GL</t>
  </si>
  <si>
    <t>Collected from customers</t>
  </si>
  <si>
    <t>ColC</t>
  </si>
  <si>
    <t>Paid suppliers</t>
  </si>
  <si>
    <t>PdS</t>
  </si>
  <si>
    <t>Paid employees</t>
  </si>
  <si>
    <t>PdSW</t>
  </si>
  <si>
    <t>Prepaid expenses</t>
  </si>
  <si>
    <t>PdPPd</t>
  </si>
  <si>
    <t>Paid accrued expenses</t>
  </si>
  <si>
    <t>PdACCEx</t>
  </si>
  <si>
    <t>Paid interest</t>
  </si>
  <si>
    <t>PdInt</t>
  </si>
  <si>
    <t>Paid taxes</t>
  </si>
  <si>
    <t>PdTx</t>
  </si>
  <si>
    <t>Noncash Financing</t>
  </si>
  <si>
    <t>Declared Dividends</t>
  </si>
  <si>
    <t>DD</t>
  </si>
  <si>
    <t>Noncash Investing Financing</t>
  </si>
  <si>
    <t>Acquired PP&amp;E with Common Stock</t>
  </si>
  <si>
    <t>PPEfCS</t>
  </si>
  <si>
    <t>Acquired PP&amp;E with Treasury Stock</t>
  </si>
  <si>
    <t>PPEfTS</t>
  </si>
  <si>
    <t>Acquired PP&amp;E by incurring a liability</t>
  </si>
  <si>
    <t>PPEfL</t>
  </si>
  <si>
    <t>Noncash Investing</t>
  </si>
  <si>
    <t>Determine Fair Value of Marketeable Equity Securities</t>
  </si>
  <si>
    <t>FVMS</t>
  </si>
  <si>
    <t>Determine Fair Value of Marketeable Debt Securities OCI</t>
  </si>
  <si>
    <t>OCI</t>
  </si>
  <si>
    <t>Noncash Operating</t>
  </si>
  <si>
    <t>Issued shares for employee compensation</t>
  </si>
  <si>
    <t>SBC</t>
  </si>
  <si>
    <t xml:space="preserve">Other  </t>
  </si>
  <si>
    <t>Other Comprehensive Income (Loss)</t>
  </si>
  <si>
    <t>Fair Value Marketable Securities</t>
  </si>
  <si>
    <t>Record Depreciation Expense</t>
  </si>
  <si>
    <t>RecDeprExp</t>
  </si>
  <si>
    <t>Record Amortization Expense</t>
  </si>
  <si>
    <t>RecAmortExp</t>
  </si>
  <si>
    <t>Record Depreciation and Amortization Expense</t>
  </si>
  <si>
    <t>No</t>
  </si>
  <si>
    <t>RecDeprAmortExp</t>
  </si>
  <si>
    <t>Entity Information</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</si>
  <si>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</si>
  <si>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</si>
  <si>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</si>
  <si>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</si>
  <si>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</si>
  <si>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</si>
  <si>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</si>
  <si>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</si>
  <si>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</si>
  <si>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</si>
  <si>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</si>
  <si>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</si>
  <si>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</si>
  <si>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</si>
  <si>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</si>
  <si>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</si>
  <si>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</si>
  <si>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</si>
  <si>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</si>
  <si>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</si>
  <si>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</si>
  <si>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</si>
  <si>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</si>
  <si>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</si>
  <si>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</si>
  <si>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</si>
  <si>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Revenue Recognition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</si>
  <si>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</si>
  <si>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</si>
  <si>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</si>
  <si>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</si>
  <si>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Feedback</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</si>
  <si>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</si>
  <si>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</si>
  <si>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</si>
  <si>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</si>
  <si>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</si>
  <si>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</si>
  <si>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</si>
  <si>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</si>
  <si>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</si>
  <si>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</si>
  <si>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</si>
  <si>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</si>
  <si>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</si>
  <si>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</si>
  <si>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</si>
  <si>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</si>
  <si>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</si>
  <si>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</si>
  <si>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</si>
  <si>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</si>
  <si>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An obligation has been incurred.</t>
  </si>
  <si>
    <t>Criteria for recognizing revenue have been met.</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</si>
  <si>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</si>
  <si>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</si>
  <si>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</si>
  <si>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</si>
  <si>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</si>
  <si>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</si>
  <si>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</si>
  <si>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that the supplier has been compensated with ownership shares.</t>
  </si>
  <si>
    <t>The amount shown as an asset in the records may not be accurate, so an adjustment may be required.</t>
  </si>
  <si>
    <t>Instructions</t>
  </si>
  <si>
    <t>Because Equities are not affected, the only remaining task is to specify the effects on particular Assets and Liabilities. You can use the Account Name Tool to help you decide which ones.</t>
  </si>
  <si>
    <t>Because Equities are affected, you have two tasks. First, you must decide whether this transaction or information is related to income-producing activities or not. The Equity Analysis Tool can help with that. Second, you must specify which particular Assets, Liabilities and Equities are affected and by how much. The Account Name Tool can help you choose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</si>
  <si>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</si>
  <si>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</si>
  <si>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</si>
  <si>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</si>
  <si>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</si>
  <si>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</si>
  <si>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</si>
  <si>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</si>
  <si>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</si>
  <si>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</si>
  <si>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</si>
  <si>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</si>
  <si>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</si>
  <si>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</si>
  <si>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</si>
  <si>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Category</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</si>
  <si>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</si>
  <si>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</si>
  <si>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</si>
  <si>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</si>
  <si>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</si>
  <si>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</si>
  <si>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</si>
  <si>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</si>
  <si>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</si>
  <si>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</si>
  <si>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</si>
  <si>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</si>
  <si>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</si>
  <si>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</si>
  <si>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</si>
  <si>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</si>
  <si>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</si>
  <si>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</si>
  <si>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</si>
  <si>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</si>
  <si>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</si>
  <si>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</si>
  <si>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</si>
  <si>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</si>
  <si>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</si>
  <si>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</si>
  <si>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</si>
  <si>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</si>
  <si>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</si>
  <si>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</si>
  <si>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</si>
  <si>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</si>
  <si>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</si>
  <si>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</si>
  <si>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</si>
  <si>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</si>
  <si>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</si>
  <si>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</si>
  <si>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</si>
  <si>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Expand your financial vocabulary.</t>
  </si>
  <si>
    <t>Use the Accounting Identity to analyze transactions.</t>
  </si>
  <si>
    <t>Account Type</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</si>
  <si>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</si>
  <si>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</si>
  <si>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</si>
  <si>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</si>
  <si>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</si>
  <si>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</si>
  <si>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</si>
  <si>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</si>
  <si>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</si>
  <si>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</si>
  <si>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</si>
  <si>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</si>
  <si>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</si>
  <si>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</si>
  <si>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</si>
  <si>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</si>
  <si>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</si>
  <si>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</si>
  <si>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Notes to the Financial Statements</t>
  </si>
  <si>
    <t>Beginning Balance Sheet</t>
  </si>
  <si>
    <t>Journal entries for transactions and events of the period</t>
  </si>
  <si>
    <t>Journal entry to close temporary accounts</t>
  </si>
  <si>
    <t>Income Statement</t>
  </si>
  <si>
    <t>Statement of Shareholders' Equity</t>
  </si>
  <si>
    <t>Cash flow statement labels in Column I of Journal</t>
  </si>
  <si>
    <t>Statement of Cash Flows</t>
  </si>
  <si>
    <t>Net Income - Cash Flow from Operations Reconciliation Worksheet</t>
  </si>
  <si>
    <t>Reconciliation of Net Income and Cash Flow from Operations</t>
  </si>
  <si>
    <t>Ending Balance Sheet</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</si>
  <si>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</si>
  <si>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</si>
  <si>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</si>
  <si>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</si>
  <si>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</si>
  <si>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</si>
  <si>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</si>
  <si>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</si>
  <si>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</si>
  <si>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</si>
  <si>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</si>
  <si>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Use the Analysis_Help to analyze transactions and events.</t>
  </si>
  <si>
    <t>Yes/No</t>
  </si>
  <si>
    <t>Tab</t>
  </si>
  <si>
    <t>Key</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</si>
  <si>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</si>
  <si>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</si>
  <si>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</si>
  <si>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</si>
  <si>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</si>
  <si>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</si>
  <si>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</si>
  <si>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</si>
  <si>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</si>
  <si>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</si>
  <si>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</si>
  <si>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</si>
  <si>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</si>
  <si>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</si>
  <si>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</si>
  <si>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</si>
  <si>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Name</t>
  </si>
  <si>
    <t>Balance Sheet</t>
  </si>
  <si>
    <t>Cash Flow Statement</t>
  </si>
  <si>
    <t>Reconciliation of Net Income and Cash Flows from Operations</t>
  </si>
  <si>
    <t>DatePeriod</t>
  </si>
  <si>
    <t>as of</t>
  </si>
  <si>
    <t>Dates</t>
  </si>
  <si>
    <t>Type</t>
  </si>
  <si>
    <t>Activity</t>
  </si>
  <si>
    <t>Begin Date</t>
  </si>
  <si>
    <t>End Date</t>
  </si>
  <si>
    <t>IssueDate</t>
  </si>
  <si>
    <t>Period</t>
  </si>
  <si>
    <t>OutstandingCommon</t>
  </si>
  <si>
    <t>Par</t>
  </si>
  <si>
    <t>DeprMethod</t>
  </si>
  <si>
    <t>InventoryMethod</t>
  </si>
  <si>
    <t>RevRec</t>
  </si>
  <si>
    <t>RetailBiz, Inc.</t>
  </si>
  <si>
    <t>For-profit corporation</t>
  </si>
  <si>
    <t>12/31/20x4</t>
  </si>
  <si>
    <t>12/31/20x5</t>
  </si>
  <si>
    <t>Year</t>
  </si>
  <si>
    <t>when products are delivered or services are rendered</t>
  </si>
  <si>
    <t>Miloslav's Magazines</t>
  </si>
  <si>
    <t>Ofer's Office Designs</t>
  </si>
  <si>
    <t>Rick and Stan's Business</t>
  </si>
  <si>
    <t>Ralphy's Business</t>
  </si>
  <si>
    <t>Grow Co., Inc.</t>
  </si>
  <si>
    <t>Layered Co., Inc.</t>
  </si>
  <si>
    <t>12/31/20x3</t>
  </si>
  <si>
    <t>EndGame Co.</t>
  </si>
  <si>
    <t>EndGame Co. P</t>
  </si>
  <si>
    <t>NewDayCo</t>
  </si>
  <si>
    <t>Rusher Co.</t>
  </si>
  <si>
    <t>QuidProQuo Co.</t>
  </si>
  <si>
    <t>Shorter QPQ</t>
  </si>
  <si>
    <t>Shorter QPQ RB</t>
  </si>
  <si>
    <t>Class Co.</t>
  </si>
  <si>
    <t>Holding Co.</t>
  </si>
  <si>
    <t>StartUP Co DefTx TAP</t>
  </si>
  <si>
    <t>StartUP Co DefTx GAAP</t>
  </si>
  <si>
    <t>Wheeler Dealer Co.</t>
  </si>
  <si>
    <t>9/30/20x1</t>
  </si>
  <si>
    <t>12/31/20x1</t>
  </si>
  <si>
    <t>Quarter</t>
  </si>
  <si>
    <t xml:space="preserve">Begin </t>
  </si>
  <si>
    <t>End</t>
  </si>
  <si>
    <t>12/31/20x0</t>
  </si>
  <si>
    <t>3/31/20x1</t>
  </si>
  <si>
    <t>3/31/20x2</t>
  </si>
  <si>
    <t>12/31/20x2</t>
  </si>
  <si>
    <t>3/31/20x3</t>
  </si>
  <si>
    <t>3/31/20x4</t>
  </si>
  <si>
    <t>3/31/20x5</t>
  </si>
  <si>
    <t>3/31/20x6</t>
  </si>
  <si>
    <t>12/31/20x6</t>
  </si>
  <si>
    <t>3/31/20x7</t>
  </si>
  <si>
    <t>12/31/20x7</t>
  </si>
  <si>
    <t>3/31/20x8</t>
  </si>
  <si>
    <t>12/31/20x8</t>
  </si>
  <si>
    <t>3/31/20x9</t>
  </si>
  <si>
    <t>12/31/20x9</t>
  </si>
  <si>
    <t>3/31/20x0</t>
  </si>
  <si>
    <t>Problem Parameters, Requirements and Purposes</t>
  </si>
  <si>
    <t>Item</t>
  </si>
  <si>
    <t>Allow Automation?</t>
  </si>
  <si>
    <t>All Entity Information, Units, Dates, …</t>
  </si>
  <si>
    <t>Entity Name</t>
  </si>
  <si>
    <t>Beginning Balance Sheet Date</t>
  </si>
  <si>
    <t>Ending Balance Sheet Date</t>
  </si>
  <si>
    <t>Statement of Comprehensive Income</t>
  </si>
  <si>
    <t>Statement of Changes in Shareholders' Equity</t>
  </si>
  <si>
    <t>Reconciliation of NI and CFO</t>
  </si>
  <si>
    <t>Noncash Investing/Financing Transactions</t>
  </si>
  <si>
    <t>Allow?</t>
  </si>
  <si>
    <t>Purposes of Problem</t>
  </si>
  <si>
    <t>Requirements</t>
  </si>
  <si>
    <t>Action</t>
  </si>
  <si>
    <t>Chart of Accounts</t>
  </si>
  <si>
    <t>Omit</t>
  </si>
  <si>
    <t>Notes_to_FSs</t>
  </si>
  <si>
    <t>Financial Statements</t>
  </si>
  <si>
    <t>Reconciliation Worksheet</t>
  </si>
  <si>
    <t>Noncash Investing and Financing Transactions</t>
  </si>
  <si>
    <t>Required Interest and Tax Payment Disclosures</t>
  </si>
  <si>
    <t>Accounting Identity</t>
  </si>
  <si>
    <t>Analysis_Help</t>
  </si>
  <si>
    <t>Enter</t>
  </si>
  <si>
    <t>Entity</t>
  </si>
  <si>
    <t>Accounting Identity LLC</t>
  </si>
  <si>
    <t>Entity Type</t>
  </si>
  <si>
    <t>Issue Date</t>
  </si>
  <si>
    <t>Begin Date Comm Shares Outstanding</t>
  </si>
  <si>
    <t>Par Value per Share</t>
  </si>
  <si>
    <t>Shares held as Treasury Stock</t>
  </si>
  <si>
    <t>Transactions, Events and Answers</t>
  </si>
  <si>
    <t>Transaction Code</t>
  </si>
  <si>
    <t>Entry Number</t>
  </si>
  <si>
    <t>Transaction Info</t>
  </si>
  <si>
    <t>Receives $50k in cash from its shareholders in exchange for issuing common stock.</t>
  </si>
  <si>
    <t>Receives $50k from a bank in exchange for making a promise to repay the bank with interest.</t>
  </si>
  <si>
    <t>Receives $50k from a customer in exchange for the performance of services.</t>
  </si>
  <si>
    <t>Receives a building to house its administration that is valued at $50k in exchange for issuing common stock to the building's existing owners.</t>
  </si>
  <si>
    <t>Receives a building to house its administration that is valued at $50k in exchange for making a promise to pay the existing owners (with interest).</t>
  </si>
  <si>
    <t>Pays $18k to suppliers for goods it intends to resell and takes delivery of those goods.</t>
  </si>
  <si>
    <t>Promises to pay $18k to suppliers for goods it intends to resell and takes delivery of the goods.</t>
  </si>
  <si>
    <t>Paid $17k to suppliers for goods it had purchased on credit.</t>
  </si>
  <si>
    <t>Pays $17k in cash and promises to pay another $1k next month to suppliers in exchange for goods it intends to resell and takes delivery of the goods.</t>
  </si>
  <si>
    <t>Received $8k in cash from customers and delivered those goods to those customers.</t>
  </si>
  <si>
    <t>Received $8k in cash from customers in exchange for a promise to deliver goods to those customers in the future.</t>
  </si>
  <si>
    <t>Received a call from a past customer during which the customer promised to buy $8k of goods next month.</t>
  </si>
  <si>
    <t>Determined that the goods valued at their cost of $6k in its inventory accounts had been sold to customers.</t>
  </si>
  <si>
    <t>Determined that goods valued at their cost of $6k in its inventory accounts were accidentally destroyed.</t>
  </si>
  <si>
    <t>The entity announced its intention to bid for a contract to provide services to the city of New Haven, CT.</t>
  </si>
  <si>
    <t>Put in a bid of $15k for a contract to provide services to the city of New Haven, CT.</t>
  </si>
  <si>
    <t>Was informed that its bid of $15K to provide services to the city of New Haven, CT had made it to the final round of consideration.</t>
  </si>
  <si>
    <t>Was informed that its bid of $15K to provide services to the city of New Haven, CT had been accepted.</t>
  </si>
  <si>
    <t>Performed services to the city of New Haven under a contract. The contract calls for New Haven to pay $15k for these services.</t>
  </si>
  <si>
    <t>Received payment of $15k from the city of New Haven in response to a bill for services rendered.</t>
  </si>
  <si>
    <t>Announced its intention to pay its shareholders a dividend.</t>
  </si>
  <si>
    <t>Issued a formal declaration of its intention to pay a total of $2k in dividends to its shareholders of record as of 5 pm on October 10 of next year.</t>
  </si>
  <si>
    <t>Paid cash of $2k for previously declared dividends to its shareholders.</t>
  </si>
  <si>
    <t>Recognition Yes/No</t>
  </si>
  <si>
    <t>Yes</t>
  </si>
  <si>
    <t>Recognition Explanation</t>
  </si>
  <si>
    <t>An asset (cash) has been received (i.e., it is now owned or controlled by the entity) and must be recognized.</t>
  </si>
  <si>
    <t>An asset (cash) has been received (i.e., it is now owned or controlled by the entity) and must be recognized. A liability (obligation to pay) has been created, and this also must be recognized.</t>
  </si>
  <si>
    <t>An asset (building) has been received (i.e., it is now owned or controlled by the entity) and must be recognized.</t>
  </si>
  <si>
    <t>An asset (goods to resell) has been received (i.e., it is now owned or controlled by the entity) and must be recognized. Another asset (cash) is no longer owned or controlled by the entity and this also must be recognized.</t>
  </si>
  <si>
    <t>An asset (the right to collect cash) has been created and should be recognized.</t>
  </si>
  <si>
    <t>An asset (goods to resell) has been received (i.e., it is now owned or controlled by the entity) and must be recognized. A liability (obligation to pay) has been created, and this also must be recognized.</t>
  </si>
  <si>
    <t>An asset (goods to resell) has been received (i.e., it is now owned or controlled by the entity) and must be recognized. Another asset (cash) is no longer owned or controlled by the entity and this must be recognized. A liability (obligation to pay) has been created, and this also must be recognized.</t>
  </si>
  <si>
    <t>On asset (cash) has been received and another (the right to collect cash) no longer exists. Either must be recognized.</t>
  </si>
  <si>
    <t>An asset (cash) has been received and this must be recognized. Also, an obligation to perform services (a future sacrifice) has been created, and this also requires recognition.</t>
  </si>
  <si>
    <t>Although it is (perhaps) good news, no asset has been been created or received and no obligations have been incurred. This will not be recognized in the accounts.</t>
  </si>
  <si>
    <t>This is evidence that an asset (inventory) is no longer owned or controlled by the entity. This must be recognized.</t>
  </si>
  <si>
    <t>An asset (the right to collect cash) has been created by the performance of services and should be recognized.</t>
  </si>
  <si>
    <t>One asset (cash) has been received and another (the right to collect cash) no longer exists. Either must be recognized.</t>
  </si>
  <si>
    <t>Announcing an intention, without any accompanying formalities, does not create an obligation to pay. This will not be recognized in the accounts.</t>
  </si>
  <si>
    <t>The formal declaration of dividends does, at least in the United States, create an obligation to pay them. This will be recognized in the accounts.</t>
  </si>
  <si>
    <t>An asset (cash) is no longer owned or controlled by the entity. An obligation has been fulfilled. Either requires recognition.</t>
  </si>
  <si>
    <t>Cash Flow/Noncash trans CODE</t>
  </si>
  <si>
    <t>Description if CODE is used</t>
  </si>
  <si>
    <t>Pay dividends</t>
  </si>
  <si>
    <t>Movement #</t>
  </si>
  <si>
    <t>Safety Check: #Fields Filled Out</t>
  </si>
  <si>
    <t>Safety Check: Debits - Credits</t>
  </si>
  <si>
    <t>Loss from Accidental Destruction of Inventory</t>
  </si>
  <si>
    <t>Debit/Credit</t>
  </si>
  <si>
    <t>Amount</t>
  </si>
  <si>
    <t>Revenue from Services</t>
  </si>
  <si>
    <t>Beginning Balance Sheet and Unchanged Balance Sheet Accounts</t>
  </si>
  <si>
    <t>ASSETS used anywhere</t>
  </si>
  <si>
    <t>ASSETS on BS but not used in an entry</t>
  </si>
  <si>
    <t>Account</t>
  </si>
  <si>
    <t>Current/Non-Current</t>
  </si>
  <si>
    <t>LIABILITIES used anywhere</t>
  </si>
  <si>
    <t>LIABILITIES on BS but not  used in an entry</t>
  </si>
  <si>
    <t>EQUITIES on BS but not  used in an entry</t>
  </si>
  <si>
    <t>EQUITIES used anywhere.</t>
  </si>
  <si>
    <t>DO NOT CHANGE ANYTHING BELOW HERE</t>
  </si>
  <si>
    <t>Transaction #</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</si>
  <si>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</si>
  <si>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</si>
  <si>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</si>
  <si>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</si>
  <si>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</si>
  <si>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</si>
  <si>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</si>
  <si>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</si>
  <si>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</si>
  <si>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</si>
  <si>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</si>
  <si>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</si>
  <si>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</si>
  <si>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</si>
  <si>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</si>
  <si>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</si>
  <si>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</si>
  <si>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</si>
  <si>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</si>
  <si>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</si>
  <si>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</si>
  <si>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</si>
  <si>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</si>
  <si>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</si>
  <si>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</si>
  <si>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</si>
  <si>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Number of Transactions &amp; Events</t>
  </si>
  <si>
    <t>X</t>
  </si>
  <si>
    <t>Journal Entries</t>
  </si>
  <si>
    <t>Drs</t>
  </si>
  <si>
    <t>Crs</t>
  </si>
  <si>
    <t>Diff</t>
  </si>
  <si>
    <t>Accnt Type</t>
  </si>
  <si>
    <t>Debit Account</t>
  </si>
  <si>
    <t>Credit Account</t>
  </si>
  <si>
    <t>Dr Amt</t>
  </si>
  <si>
    <t>Cr Amt</t>
  </si>
  <si>
    <t>Cash Flow</t>
  </si>
  <si>
    <t>ref1</t>
  </si>
  <si>
    <t>ref2</t>
  </si>
  <si>
    <t>ref3</t>
  </si>
  <si>
    <t>Show OCI</t>
  </si>
  <si>
    <t>Direct CFO</t>
  </si>
  <si>
    <t>Explanations of Changes Made over the Year</t>
  </si>
  <si>
    <t>Show NCIF</t>
  </si>
  <si>
    <t>Show NI CFO Recon</t>
  </si>
  <si>
    <t>At least one line in student answer disagrees?</t>
  </si>
  <si>
    <t>At least one disagrees:</t>
  </si>
  <si>
    <t>Absolute value</t>
  </si>
  <si>
    <t>Category active?</t>
  </si>
  <si>
    <t>Operating - Direct</t>
  </si>
  <si>
    <t>Purchased treasury stock</t>
  </si>
  <si>
    <t>Sold treasury stock</t>
  </si>
  <si>
    <t>Issued common stock for building</t>
  </si>
  <si>
    <t>Stock-based compensation</t>
  </si>
  <si>
    <t>Issued Preferred Stock</t>
  </si>
  <si>
    <t>Issued Common Stock</t>
  </si>
  <si>
    <t>Issued Common Stock for PP&amp;E</t>
  </si>
  <si>
    <t>Issued Common Stock - APIC</t>
  </si>
  <si>
    <t>Issued Common Stock for PP&amp;E - APIC</t>
  </si>
  <si>
    <t>Stock-based compensation - APIC</t>
  </si>
  <si>
    <t>Accumulated Other Comprehensive Income</t>
  </si>
  <si>
    <t>Other Comprehensive Income(Loss)</t>
  </si>
  <si>
    <t>Sold Treasury Stock</t>
  </si>
  <si>
    <t>Totals</t>
  </si>
  <si>
    <t xml:space="preserve">  Total Current Assets</t>
  </si>
  <si>
    <t xml:space="preserve">  Total Noncurrent Assets</t>
  </si>
  <si>
    <t>Total Assets</t>
  </si>
  <si>
    <t xml:space="preserve">  Total Current Liabilities</t>
  </si>
  <si>
    <t xml:space="preserve">  Total Noncurrent Liabilities</t>
  </si>
  <si>
    <t>Nonempty?</t>
  </si>
  <si>
    <t>Total Liabilities</t>
  </si>
  <si>
    <t>Total Equities</t>
  </si>
  <si>
    <t>Total Liabilities and Equities</t>
  </si>
  <si>
    <t>CF Summary</t>
  </si>
  <si>
    <t>Net Income</t>
  </si>
  <si>
    <t>Total Comprehensive Income</t>
  </si>
  <si>
    <t xml:space="preserve">  Total Revenues</t>
  </si>
  <si>
    <t xml:space="preserve">  Total Expenses</t>
  </si>
  <si>
    <t>Case Calculation:</t>
  </si>
  <si>
    <t xml:space="preserve">  Total Gains</t>
  </si>
  <si>
    <t xml:space="preserve">  Total Losses</t>
  </si>
  <si>
    <t>Common Stock and Retained Earnings:</t>
  </si>
  <si>
    <t>CS, APIC &amp; RE:</t>
  </si>
  <si>
    <t>ALL:</t>
  </si>
  <si>
    <t>NI CFO Reconciliation</t>
  </si>
  <si>
    <t>Total Cash Flow from Operating Activities</t>
  </si>
  <si>
    <t>Total Cash Flow from Investing Activities</t>
  </si>
  <si>
    <t>Total Cash Flow from Financing Activities</t>
  </si>
  <si>
    <t>Display Alternative Selected</t>
  </si>
  <si>
    <t>Direct CFO &amp; NCIF</t>
  </si>
  <si>
    <t>Direct CFO &amp; NCIF &amp; NI CFO Recon</t>
  </si>
  <si>
    <t>Indirect CFO</t>
  </si>
  <si>
    <t>Indirect CFO &amp; NCIF</t>
  </si>
  <si>
    <t>Explanations of Changes Made Using the Accounting Indentity over the Year</t>
  </si>
  <si>
    <t>Equity Accounts</t>
  </si>
  <si>
    <t>Total</t>
  </si>
  <si>
    <t>BB</t>
  </si>
  <si>
    <t>Current Assets</t>
  </si>
  <si>
    <t>Balance as of 12/31/20x4</t>
  </si>
  <si>
    <t>Balance as of 12/31/20x5</t>
  </si>
  <si>
    <t>Noncurrent Assets</t>
  </si>
  <si>
    <t>Cash @ 12/31/20x4</t>
  </si>
  <si>
    <t>Current Liabilities</t>
  </si>
  <si>
    <t>Cash @ 12/31/20x5</t>
  </si>
  <si>
    <t>No Current Liabilities</t>
  </si>
  <si>
    <t>NonCurrent Liabilities</t>
  </si>
  <si>
    <t>EB</t>
  </si>
  <si>
    <t>No Noncurrent Liabilities</t>
  </si>
  <si>
    <t>Adjustments</t>
  </si>
  <si>
    <t>Changes in Assets and Liabilities Due to Operations</t>
  </si>
  <si>
    <t>Cash Flow from Operations</t>
  </si>
  <si>
    <t>Total Liabilities &amp; Equities</t>
  </si>
  <si>
    <t>Revenues and Gains</t>
  </si>
  <si>
    <t>Expenses and Losses</t>
  </si>
  <si>
    <t>Equity AccountsCSTotal</t>
  </si>
  <si>
    <t>NotFound</t>
  </si>
  <si>
    <t>Order (1st is index 0)</t>
  </si>
  <si>
    <t>Balance as of 12/31/20x4606000000</t>
  </si>
  <si>
    <t>Indicator for use of a Temporary Account</t>
  </si>
  <si>
    <t>Cash55</t>
  </si>
  <si>
    <t>Balance as of 12/31/20x5606000000</t>
  </si>
  <si>
    <t>Inventories0</t>
  </si>
  <si>
    <t xml:space="preserve">  Total Current Assets55</t>
  </si>
  <si>
    <t>Land5</t>
  </si>
  <si>
    <t xml:space="preserve">  Total Noncurrent Assets5</t>
  </si>
  <si>
    <t>Total Assets60</t>
  </si>
  <si>
    <t>Net Income (Loss)0</t>
  </si>
  <si>
    <t>Cash @ 12/31/20x455</t>
  </si>
  <si>
    <t>Cash @ 12/31/20x555</t>
  </si>
  <si>
    <t>No current liabilities0</t>
  </si>
  <si>
    <t>No Current Liabilities0</t>
  </si>
  <si>
    <t xml:space="preserve">  Total Current Liabilities0</t>
  </si>
  <si>
    <t>No noncurrent liabilities0</t>
  </si>
  <si>
    <t>Net Income0</t>
  </si>
  <si>
    <t>No Noncurrent Liabilities0</t>
  </si>
  <si>
    <t xml:space="preserve">  Total Noncurrent Liabilities0</t>
  </si>
  <si>
    <t>Total Liabilities0</t>
  </si>
  <si>
    <t>Common Stock60</t>
  </si>
  <si>
    <t>Retained Earnings0</t>
  </si>
  <si>
    <t>Cash Flow from Operations0</t>
  </si>
  <si>
    <t>Total Equities60</t>
  </si>
  <si>
    <t xml:space="preserve"> </t>
  </si>
  <si>
    <t>Basic Information</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</si>
  <si>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</si>
  <si>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</si>
  <si>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</si>
  <si>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</si>
  <si>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</si>
  <si>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</si>
  <si>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</si>
  <si>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</si>
  <si>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</si>
  <si>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</si>
  <si>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</si>
  <si>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</si>
  <si>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</si>
  <si>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</si>
  <si>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</si>
  <si>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Location:</t>
  </si>
  <si>
    <t>#1</t>
  </si>
  <si>
    <t>#2</t>
  </si>
  <si>
    <t>#3</t>
  </si>
  <si>
    <t>#4</t>
  </si>
  <si>
    <t>#5</t>
  </si>
  <si>
    <t>#6</t>
  </si>
  <si>
    <t>#7</t>
  </si>
  <si>
    <t>#8</t>
  </si>
  <si>
    <t>#9</t>
  </si>
  <si>
    <t>#10</t>
  </si>
  <si>
    <t>#11</t>
  </si>
  <si>
    <t>#12</t>
  </si>
  <si>
    <t>Permanent Accounts</t>
  </si>
  <si>
    <t>Temporary Accounts</t>
  </si>
  <si>
    <t>Losses</t>
  </si>
  <si>
    <t>This problem will help you:</t>
  </si>
  <si>
    <t>Balance?</t>
  </si>
  <si>
    <t>Note: If you add an account in MasterData, you must copy and paste the account titles into the statement pieces as appropriate.</t>
  </si>
  <si>
    <t>Other Comprehensive Income (Loss), net of tax</t>
  </si>
  <si>
    <t>AmtJournal</t>
  </si>
  <si>
    <t>AmtAnswer</t>
  </si>
  <si>
    <t>FC</t>
  </si>
  <si>
    <t>Order</t>
  </si>
  <si>
    <t>AmtFSBuilder</t>
  </si>
  <si>
    <t>UsedJournal</t>
  </si>
  <si>
    <t>UsedAnswer</t>
  </si>
  <si>
    <t>UsedFSBuilder</t>
  </si>
  <si>
    <t>Adjustments needed to reconcile NI to CFO:</t>
  </si>
  <si>
    <t>Collections from customers</t>
  </si>
  <si>
    <t>Amt</t>
  </si>
  <si>
    <t>Change in fair value of marketable debt securities</t>
  </si>
  <si>
    <t>Payments to suppliers</t>
  </si>
  <si>
    <t>Issued common stock APIC</t>
  </si>
  <si>
    <t>Payments to employees</t>
  </si>
  <si>
    <t>Payments for taxes</t>
  </si>
  <si>
    <t>Payments for interest</t>
  </si>
  <si>
    <t>Payments for prepaid expenses</t>
  </si>
  <si>
    <t>Payments for accrued expenses</t>
  </si>
  <si>
    <t xml:space="preserve">  Cash Flow from Operating Activities</t>
  </si>
  <si>
    <t>Issued common stk for bldg APIC</t>
  </si>
  <si>
    <t>Cash Flow from Investing</t>
  </si>
  <si>
    <t>Stock-based compensation APIC</t>
  </si>
  <si>
    <t>Proceeds from sales of PP&amp;E</t>
  </si>
  <si>
    <t>Proceeds from sale of business unit</t>
  </si>
  <si>
    <t>Proceeds from sales of marketable securities</t>
  </si>
  <si>
    <t>Proceeds from sales of other assets</t>
  </si>
  <si>
    <t>Proceeds from sales of intangibles</t>
  </si>
  <si>
    <t>Acquired other assets</t>
  </si>
  <si>
    <t xml:space="preserve">  Cash Flow from Investing Activities</t>
  </si>
  <si>
    <t>Depreciation expense</t>
  </si>
  <si>
    <t>Amortization expense</t>
  </si>
  <si>
    <t>Cash Flow from Financing</t>
  </si>
  <si>
    <t>Share-based compensation</t>
  </si>
  <si>
    <r>
      <t xml:space="preserve">Changes in balance sheet accounts </t>
    </r>
    <r>
      <rPr>
        <b/>
        <i/>
        <u/>
        <sz val="11"/>
        <color theme="1"/>
        <rFont val="Calibri"/>
        <family val="2"/>
        <scheme val="minor"/>
      </rPr>
      <t>due to operations</t>
    </r>
    <r>
      <rPr>
        <b/>
        <i/>
        <sz val="11"/>
        <color theme="1"/>
        <rFont val="Calibri"/>
        <family val="2"/>
        <scheme val="minor"/>
      </rPr>
      <t>:</t>
    </r>
  </si>
  <si>
    <t>Issued other noncurrent liabilities</t>
  </si>
  <si>
    <t>Repaid loans</t>
  </si>
  <si>
    <t xml:space="preserve">  Cash Flow from Financing Activities</t>
  </si>
  <si>
    <t>Cash Flow Summary</t>
  </si>
  <si>
    <t>Increase (decrease) in cash</t>
  </si>
  <si>
    <t>Acquired PP&amp;E with common stock</t>
  </si>
  <si>
    <t>Acquired PP&amp;E with treasury stock</t>
  </si>
  <si>
    <t>Noncurrent Liabilities</t>
  </si>
  <si>
    <t>Number of Transactions</t>
  </si>
  <si>
    <t>Cash Flow from Operating Activities</t>
  </si>
  <si>
    <t>Required Disclosures</t>
  </si>
  <si>
    <t>Cash paid for taxes</t>
  </si>
  <si>
    <t>Cash paid for interest</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</si>
  <si>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</si>
  <si>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</si>
  <si>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</si>
  <si>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</si>
  <si>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</si>
  <si>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</si>
  <si>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</si>
  <si>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</si>
  <si>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</si>
  <si>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</si>
  <si>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</si>
  <si>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</si>
  <si>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</si>
  <si>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</si>
  <si>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</si>
  <si>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</si>
  <si>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</si>
  <si>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</si>
  <si>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</si>
  <si>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</si>
  <si>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Financial Statement Builder</t>
  </si>
  <si>
    <t>Selection</t>
  </si>
  <si>
    <t>Financial Statement</t>
  </si>
  <si>
    <t>Automate?</t>
  </si>
  <si>
    <t>Statement</t>
  </si>
  <si>
    <t>Account or Explanation</t>
  </si>
  <si>
    <t>Info for FS Builder</t>
  </si>
  <si>
    <t>Concatenated strings of items selected:</t>
  </si>
  <si>
    <t>Statement&amp;Category&amp;Account</t>
  </si>
  <si>
    <t>When Cash Flow Statement is shown</t>
  </si>
  <si>
    <t>Beginning Cash</t>
  </si>
  <si>
    <t>Statement Names</t>
  </si>
  <si>
    <t>Selected by Student?</t>
  </si>
  <si>
    <t>Automated?</t>
  </si>
  <si>
    <t>In Balance?</t>
  </si>
  <si>
    <t>Disagree w Answer?</t>
  </si>
  <si>
    <t>CFO</t>
  </si>
  <si>
    <t>CFI</t>
  </si>
  <si>
    <t>CFF</t>
  </si>
  <si>
    <t>Student Selection - Complex</t>
  </si>
  <si>
    <t>Conditions under which statements are shown:</t>
  </si>
  <si>
    <t>Conditions under which parts of statements are shown:</t>
  </si>
  <si>
    <t>Ending Cash</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</si>
  <si>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</si>
  <si>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</si>
  <si>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</si>
  <si>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</si>
  <si>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</si>
  <si>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</si>
  <si>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</si>
  <si>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</si>
  <si>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Beginning Balance Sheet6  Noncurrent Liabilities</t>
  </si>
  <si>
    <t>It is selected</t>
  </si>
  <si>
    <t>Cash Flow Statement is shown</t>
  </si>
  <si>
    <t>Beginning Balance Sheet6  Equities</t>
  </si>
  <si>
    <t>Show it:</t>
  </si>
  <si>
    <t>Operating Activities are selected</t>
  </si>
  <si>
    <t>Changes in balance sheet accounts due to operations</t>
  </si>
  <si>
    <t>Investing Activities are selected</t>
  </si>
  <si>
    <t>Financing activities are selected</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</si>
  <si>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</si>
  <si>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</si>
  <si>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</si>
  <si>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</si>
  <si>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</si>
  <si>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</si>
  <si>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</si>
  <si>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</si>
  <si>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</si>
  <si>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</si>
  <si>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</si>
  <si>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Accounts</t>
  </si>
  <si>
    <t>St changes</t>
  </si>
  <si>
    <t>CF statement</t>
  </si>
  <si>
    <t>Ending Balance Sheet6  Noncurrent Assets</t>
  </si>
  <si>
    <t>Categories</t>
  </si>
  <si>
    <t>Ending Balance Sheet6  Current Liabilities</t>
  </si>
  <si>
    <t xml:space="preserve">  Current Assets</t>
  </si>
  <si>
    <t>Ending Balance Sheet6  Noncurrent Liabilities</t>
  </si>
  <si>
    <t>Both Beginning and Ending Balance Sheet Equity are selected</t>
  </si>
  <si>
    <t xml:space="preserve">  Noncurrent Assets</t>
  </si>
  <si>
    <t>Ending Balance Sheet6  Equities</t>
  </si>
  <si>
    <t xml:space="preserve">  Current Liabilities</t>
  </si>
  <si>
    <t>Financing activities</t>
  </si>
  <si>
    <t xml:space="preserve">  Noncurrent Liabilities</t>
  </si>
  <si>
    <t xml:space="preserve">  Equities</t>
  </si>
  <si>
    <t xml:space="preserve">  Revenues</t>
  </si>
  <si>
    <t xml:space="preserve">  Expenses</t>
  </si>
  <si>
    <t xml:space="preserve">  Gains</t>
  </si>
  <si>
    <t>Cash Flow Statement is selected</t>
  </si>
  <si>
    <t>Statement of Changes in Shareholders Equity</t>
  </si>
  <si>
    <t xml:space="preserve">  Losses</t>
  </si>
  <si>
    <t>Ending Balance Sheet6  Current Assets6Cash</t>
  </si>
  <si>
    <t>Cash has been selected on both Beginning and Ending Balance Sheets</t>
  </si>
  <si>
    <t xml:space="preserve">  Operating Activities</t>
  </si>
  <si>
    <t>Current Liabilities selected</t>
  </si>
  <si>
    <t>When Statement of Shareholders' Equity is shown:</t>
  </si>
  <si>
    <t xml:space="preserve">  Financing Activities</t>
  </si>
  <si>
    <t>Noncurrent Liabilities selected</t>
  </si>
  <si>
    <t>Beginning Shareholders' Equity</t>
  </si>
  <si>
    <t>CFS Sections and Details</t>
  </si>
  <si>
    <t xml:space="preserve">  Investing Activities</t>
  </si>
  <si>
    <t>Ending Shareholders' Equity</t>
  </si>
  <si>
    <t>Operating Activities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</si>
  <si>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</si>
  <si>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</si>
  <si>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</si>
  <si>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</si>
  <si>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</si>
  <si>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</si>
  <si>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</si>
  <si>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Shareholders' Equity Accounts and Details</t>
  </si>
  <si>
    <t>Investing Activities</t>
  </si>
  <si>
    <t>At least one SE account has a beg amt entered</t>
  </si>
  <si>
    <t>At least one SE account has an ending amt entered</t>
  </si>
  <si>
    <t>Investing activities has an amount entered</t>
  </si>
  <si>
    <t>At least one SE account has beg and ending amts</t>
  </si>
  <si>
    <t>CFS is automated and Investing has an amount</t>
  </si>
  <si>
    <t>CFS shown, Investing selected and nonzero amount</t>
  </si>
  <si>
    <t>Financing Activities</t>
  </si>
  <si>
    <t>Financing Activities are selected</t>
  </si>
  <si>
    <t>Financing activities has an amount entered</t>
  </si>
  <si>
    <t>CFS is automated and Financing has an amount</t>
  </si>
  <si>
    <t>CFS shown, Financing selected and nonzero amount</t>
  </si>
  <si>
    <t>Data for Financial Statements</t>
  </si>
  <si>
    <t>(Column F extends from previous section to allow room for all items that can be included in FSBuilder)</t>
  </si>
  <si>
    <t>CurrentAssets</t>
  </si>
  <si>
    <t>Absolute Values</t>
  </si>
  <si>
    <t>Used in JournalAnswer?</t>
  </si>
  <si>
    <t>Used in Journal?</t>
  </si>
  <si>
    <t>NoncurrentAssets</t>
  </si>
  <si>
    <t>CurrentLiabilities</t>
  </si>
  <si>
    <t>Total Current Assets</t>
  </si>
  <si>
    <t>Total Noncurrent Assets</t>
  </si>
  <si>
    <t>Total Current Liabilities</t>
  </si>
  <si>
    <t>Total Noncurrent Liabilities</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</si>
  <si>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</si>
  <si>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</si>
  <si>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</si>
  <si>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</si>
  <si>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</si>
  <si>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</si>
  <si>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</si>
  <si>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</si>
  <si>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</si>
  <si>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</si>
  <si>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</si>
  <si>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In balance?</t>
  </si>
  <si>
    <t>Case1: No Gains or Losses</t>
  </si>
  <si>
    <t>Case2: Gains but no Losses</t>
  </si>
  <si>
    <t>Case 3: Losses but no Gains</t>
  </si>
  <si>
    <t>Case 4: Both Losses and Gains</t>
  </si>
  <si>
    <t>No case is true</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</si>
  <si>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</si>
  <si>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</si>
  <si>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</si>
  <si>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</si>
  <si>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</si>
  <si>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Case 1: No Gains or Losses</t>
  </si>
  <si>
    <t>Case 3: Common Stock, Additional Paid-in Capital and Retained Earnings</t>
  </si>
  <si>
    <t>Equities section of the Beginning Balance Sheet</t>
  </si>
  <si>
    <t>Case 2: Gains but no  Losses</t>
  </si>
  <si>
    <t xml:space="preserve">Case 3: Losses but no Gains </t>
  </si>
  <si>
    <t>Case 4: Both Gains and Losses</t>
  </si>
  <si>
    <t>Hide OCI</t>
  </si>
  <si>
    <t>Hide NCIF</t>
  </si>
  <si>
    <t>Indirect Method for Operations</t>
  </si>
  <si>
    <t>SELECT TRANSACTION TO ANALYZE</t>
  </si>
  <si>
    <t>select from drop down menu</t>
  </si>
  <si>
    <t>Transaction Details</t>
  </si>
  <si>
    <t>Recognition Tool</t>
  </si>
  <si>
    <t>Do you recognize the transaction?</t>
  </si>
  <si>
    <t>Explanation</t>
  </si>
  <si>
    <t>You have correctly decided to record the effects of this transaction or event. The Accounting Indentity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</si>
  <si>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</si>
  <si>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</si>
  <si>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</si>
  <si>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</si>
  <si>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</si>
  <si>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</si>
  <si>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</si>
  <si>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</si>
  <si>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</si>
  <si>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</si>
  <si>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Tool</t>
  </si>
  <si>
    <t/>
  </si>
  <si>
    <t>Equity has been:</t>
  </si>
  <si>
    <t>Examples</t>
  </si>
  <si>
    <t>because:</t>
  </si>
  <si>
    <t>then:</t>
  </si>
  <si>
    <t>Account Name Tool</t>
  </si>
  <si>
    <t>Debit/Credit Tool</t>
  </si>
  <si>
    <t>Title</t>
  </si>
  <si>
    <t>Debit or Credit?</t>
  </si>
  <si>
    <t>`</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</si>
  <si>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</si>
  <si>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</si>
  <si>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</si>
  <si>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</si>
  <si>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</si>
  <si>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</si>
  <si>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</si>
  <si>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</si>
  <si>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</si>
  <si>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Tool</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</si>
  <si>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</si>
  <si>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</si>
  <si>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</si>
  <si>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</si>
  <si>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</si>
  <si>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</si>
  <si>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</si>
  <si>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</si>
  <si>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</si>
  <si>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</si>
  <si>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</si>
  <si>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</si>
  <si>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</si>
  <si>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</si>
  <si>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</si>
  <si>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</si>
  <si>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</si>
  <si>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</si>
  <si>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</si>
  <si>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</si>
  <si>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</si>
  <si>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Account Name:</t>
  </si>
  <si>
    <t>Increased by:</t>
  </si>
  <si>
    <t>ref</t>
  </si>
  <si>
    <t>Temporary Account</t>
  </si>
  <si>
    <t>Balance</t>
  </si>
  <si>
    <t>Debits - Credits in Closing Entry</t>
  </si>
  <si>
    <t>Beginning Balance</t>
  </si>
  <si>
    <t>Investing Cash Flows</t>
  </si>
  <si>
    <t>Financing Cash Flows</t>
  </si>
  <si>
    <t>Ending Balance</t>
  </si>
  <si>
    <t>Δ</t>
  </si>
  <si>
    <t>dr</t>
  </si>
  <si>
    <t>cr</t>
  </si>
  <si>
    <t>Ref</t>
  </si>
  <si>
    <t>CASH</t>
  </si>
  <si>
    <t>Net Loss</t>
  </si>
  <si>
    <t>Debits</t>
  </si>
  <si>
    <t>Credits</t>
  </si>
  <si>
    <t>Δs BS Accnts due to operations</t>
  </si>
  <si>
    <t>Unexplained</t>
  </si>
  <si>
    <t>From Labels in Journal</t>
  </si>
  <si>
    <t>Δs due to investing</t>
  </si>
  <si>
    <t>Δs due to financing</t>
  </si>
  <si>
    <t>Δs due to operations</t>
  </si>
  <si>
    <t>Debit Balance</t>
  </si>
  <si>
    <t>Credit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</si>
</sst>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0">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8"/>
      <color theme="1"/>
      <name val="Calibri"/>
      <family val="2"/>
      <scheme val="minor"/>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2060"/>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s>
  <fills count="4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FFFF00"/>
        <bgColor theme="4" tint="0.79998168889431442"/>
      </patternFill>
    </fill>
  </fills>
  <borders count="116">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thin">
        <color theme="2" tint="-0.499984740745262"/>
      </left>
      <right/>
      <top/>
      <bottom style="thin">
        <color indexed="64"/>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style="thin">
        <color theme="2" tint="-0.499984740745262"/>
      </left>
      <right style="thin">
        <color theme="2" tint="-0.499984740745262"/>
      </right>
      <top style="thin">
        <color theme="2" tint="-0.499984740745262"/>
      </top>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style="thin">
        <color theme="2" tint="-0.499984740745262"/>
      </right>
      <top style="thin">
        <color theme="2" tint="-0.499984740745262"/>
      </top>
      <bottom/>
      <diagonal/>
    </border>
    <border>
      <left/>
      <right/>
      <top/>
      <bottom style="thin">
        <color rgb="FF8EA9DB"/>
      </bottom>
      <diagonal/>
    </border>
    <border>
      <left style="thin">
        <color theme="2" tint="-0.499984740745262"/>
      </left>
      <right style="medium">
        <color indexed="64"/>
      </right>
      <top style="medium">
        <color indexed="64"/>
      </top>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72">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0" fontId="0" fillId="13" borderId="16" xfId="0" applyFill="1" applyBorder="1" applyAlignment="1">
      <alignment horizontal="center" vertical="center"/>
    </xf>
    <xf numFmtId="0" fontId="0" fillId="12" borderId="18" xfId="0" applyFill="1" applyBorder="1"/>
    <xf numFmtId="0" fontId="0" fillId="13" borderId="18" xfId="0" applyFill="1" applyBorder="1"/>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0" borderId="16" xfId="0" applyBorder="1" applyAlignment="1">
      <alignment horizontal="center" vertical="center"/>
    </xf>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0" borderId="43" xfId="0" applyBorder="1"/>
    <xf numFmtId="0" fontId="0" fillId="12" borderId="47" xfId="0" applyFill="1" applyBorder="1" applyAlignment="1">
      <alignment horizontal="center"/>
    </xf>
    <xf numFmtId="0" fontId="0" fillId="12" borderId="48" xfId="0" applyFill="1" applyBorder="1"/>
    <xf numFmtId="0" fontId="0" fillId="12" borderId="49" xfId="0" applyFill="1" applyBorder="1" applyAlignment="1">
      <alignment horizontal="center" vertical="center"/>
    </xf>
    <xf numFmtId="0" fontId="0" fillId="12" borderId="51" xfId="0" applyFill="1" applyBorder="1" applyAlignment="1">
      <alignment horizontal="center"/>
    </xf>
    <xf numFmtId="0" fontId="0" fillId="13" borderId="51" xfId="0" applyFill="1" applyBorder="1" applyAlignment="1">
      <alignment horizontal="center"/>
    </xf>
    <xf numFmtId="0" fontId="0" fillId="12" borderId="44" xfId="0" applyFill="1" applyBorder="1" applyAlignment="1">
      <alignment horizontal="center"/>
    </xf>
    <xf numFmtId="0" fontId="0" fillId="12" borderId="53" xfId="0" applyFill="1" applyBorder="1"/>
    <xf numFmtId="0" fontId="0" fillId="12" borderId="54" xfId="0" applyFill="1" applyBorder="1" applyAlignment="1">
      <alignment horizontal="center" vertical="center"/>
    </xf>
    <xf numFmtId="0" fontId="0" fillId="0" borderId="58"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9" xfId="0" applyFill="1" applyBorder="1" applyAlignment="1">
      <alignment horizontal="center" vertical="center"/>
    </xf>
    <xf numFmtId="0" fontId="0" fillId="13" borderId="60" xfId="0" applyFill="1"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17" borderId="66"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63" xfId="0" applyFont="1" applyFill="1" applyBorder="1" applyAlignment="1">
      <alignment horizontal="center" vertical="center"/>
    </xf>
    <xf numFmtId="0" fontId="2" fillId="6" borderId="59" xfId="0" applyFont="1" applyFill="1" applyBorder="1"/>
    <xf numFmtId="0" fontId="2" fillId="6" borderId="60" xfId="0" applyFont="1" applyFill="1" applyBorder="1"/>
    <xf numFmtId="0" fontId="0" fillId="0" borderId="67" xfId="0" applyBorder="1" applyAlignment="1">
      <alignment horizontal="center" vertical="center"/>
    </xf>
    <xf numFmtId="0" fontId="2" fillId="6" borderId="68" xfId="0" applyFont="1" applyFill="1" applyBorder="1"/>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6" borderId="71"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5" xfId="0" applyFont="1" applyFill="1" applyBorder="1" applyAlignment="1">
      <alignment horizontal="center"/>
    </xf>
    <xf numFmtId="0" fontId="0" fillId="0" borderId="76"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8"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43" fontId="14" fillId="0" borderId="0" xfId="1" applyFont="1" applyFill="1" applyBorder="1"/>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5" fillId="30" borderId="0" xfId="0" applyFont="1" applyFill="1"/>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left"/>
    </xf>
    <xf numFmtId="0" fontId="15" fillId="30" borderId="0" xfId="0" applyFont="1" applyFill="1" applyAlignment="1">
      <alignment horizontal="center"/>
    </xf>
    <xf numFmtId="0" fontId="14" fillId="31" borderId="0" xfId="0" applyFont="1" applyFill="1"/>
    <xf numFmtId="0" fontId="14" fillId="29" borderId="72" xfId="0" applyFont="1" applyFill="1" applyBorder="1"/>
    <xf numFmtId="43" fontId="14" fillId="32" borderId="73" xfId="1" applyFont="1" applyFill="1" applyBorder="1"/>
    <xf numFmtId="43" fontId="14" fillId="32" borderId="72" xfId="1" applyFont="1" applyFill="1" applyBorder="1"/>
    <xf numFmtId="0" fontId="21" fillId="0" borderId="0" xfId="0" applyFont="1" applyAlignment="1" applyProtection="1">
      <alignment horizontal="center"/>
      <protection locked="0"/>
    </xf>
    <xf numFmtId="43" fontId="14" fillId="33" borderId="73" xfId="1" applyFont="1" applyFill="1" applyBorder="1" applyProtection="1">
      <protection locked="0"/>
    </xf>
    <xf numFmtId="43" fontId="14" fillId="33" borderId="72" xfId="1" applyFont="1" applyFill="1" applyBorder="1" applyProtection="1">
      <protection locked="0"/>
    </xf>
    <xf numFmtId="0" fontId="14" fillId="32" borderId="0" xfId="0" applyFont="1" applyFill="1" applyAlignment="1">
      <alignment horizontal="center"/>
    </xf>
    <xf numFmtId="43" fontId="14" fillId="29" borderId="73" xfId="1" applyFont="1" applyFill="1" applyBorder="1"/>
    <xf numFmtId="43" fontId="14" fillId="29" borderId="72"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0" borderId="28" xfId="0" applyFont="1" applyBorder="1"/>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0" borderId="46" xfId="0" applyFont="1" applyBorder="1"/>
    <xf numFmtId="0" fontId="14" fillId="0" borderId="45" xfId="0" applyFont="1" applyBorder="1"/>
    <xf numFmtId="0" fontId="14" fillId="32" borderId="46" xfId="0" applyFont="1" applyFill="1" applyBorder="1"/>
    <xf numFmtId="0" fontId="14" fillId="0" borderId="0" xfId="1" applyNumberFormat="1" applyFont="1" applyFill="1" applyBorder="1"/>
    <xf numFmtId="0" fontId="14" fillId="0" borderId="72" xfId="0" applyFont="1" applyBorder="1"/>
    <xf numFmtId="43" fontId="14" fillId="0" borderId="72" xfId="1" applyFont="1" applyFill="1" applyBorder="1"/>
    <xf numFmtId="0" fontId="22" fillId="0" borderId="0" xfId="0" applyFont="1" applyAlignment="1">
      <alignment horizontal="center"/>
    </xf>
    <xf numFmtId="0" fontId="15" fillId="31" borderId="45" xfId="0" applyFont="1" applyFill="1" applyBorder="1" applyAlignment="1">
      <alignment horizontal="centerContinuous"/>
    </xf>
    <xf numFmtId="0" fontId="26" fillId="30" borderId="0" xfId="0" applyFont="1" applyFill="1"/>
    <xf numFmtId="0" fontId="17" fillId="0" borderId="0" xfId="0" applyFont="1"/>
    <xf numFmtId="0" fontId="26" fillId="30" borderId="0" xfId="0" applyFont="1" applyFill="1" applyAlignment="1">
      <alignment horizontal="center"/>
    </xf>
    <xf numFmtId="0" fontId="14" fillId="29" borderId="0" xfId="0" applyFont="1" applyFill="1"/>
    <xf numFmtId="0" fontId="18" fillId="0" borderId="0" xfId="0" applyFont="1"/>
    <xf numFmtId="43" fontId="18" fillId="0" borderId="0" xfId="0" applyNumberFormat="1" applyFont="1"/>
    <xf numFmtId="43" fontId="18" fillId="0" borderId="0" xfId="1" applyFont="1" applyFill="1" applyBorder="1"/>
    <xf numFmtId="164" fontId="0" fillId="17" borderId="24" xfId="1" applyNumberFormat="1" applyFont="1" applyFill="1" applyBorder="1"/>
    <xf numFmtId="164" fontId="0" fillId="17" borderId="27" xfId="1" applyNumberFormat="1" applyFont="1" applyFill="1" applyBorder="1"/>
    <xf numFmtId="0" fontId="23" fillId="32" borderId="0" xfId="0" applyFont="1" applyFill="1" applyAlignment="1">
      <alignment horizontal="center"/>
    </xf>
    <xf numFmtId="0" fontId="0" fillId="12" borderId="95" xfId="0" applyFill="1" applyBorder="1" applyAlignment="1">
      <alignment horizontal="center" vertical="center"/>
    </xf>
    <xf numFmtId="0" fontId="0" fillId="12" borderId="96" xfId="0" applyFill="1" applyBorder="1" applyAlignment="1">
      <alignment horizontal="center" vertical="center"/>
    </xf>
    <xf numFmtId="0" fontId="0" fillId="0" borderId="96" xfId="0" applyBorder="1" applyAlignment="1">
      <alignment horizontal="center" vertical="center"/>
    </xf>
    <xf numFmtId="0" fontId="0" fillId="13" borderId="96" xfId="0" applyFill="1" applyBorder="1" applyAlignment="1">
      <alignment horizontal="center" vertical="center"/>
    </xf>
    <xf numFmtId="0" fontId="0" fillId="12" borderId="97" xfId="0" applyFill="1" applyBorder="1" applyAlignment="1">
      <alignment horizontal="center" vertical="center"/>
    </xf>
    <xf numFmtId="0" fontId="2" fillId="6" borderId="98" xfId="0" applyFont="1" applyFill="1" applyBorder="1"/>
    <xf numFmtId="0" fontId="0" fillId="0" borderId="56" xfId="0" applyBorder="1"/>
    <xf numFmtId="0" fontId="0" fillId="0" borderId="57"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30" fillId="0" borderId="0" xfId="0" applyFont="1"/>
    <xf numFmtId="0" fontId="2" fillId="35" borderId="90" xfId="0" applyFont="1" applyFill="1" applyBorder="1"/>
    <xf numFmtId="0" fontId="0" fillId="12" borderId="92"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1" fillId="0" borderId="0" xfId="0" quotePrefix="1" applyFont="1"/>
    <xf numFmtId="0" fontId="0" fillId="0" borderId="0" xfId="0" quotePrefix="1"/>
    <xf numFmtId="164" fontId="2" fillId="0" borderId="21" xfId="1" applyNumberFormat="1" applyFont="1" applyBorder="1" applyAlignment="1">
      <alignment horizontal="center"/>
    </xf>
    <xf numFmtId="43" fontId="33" fillId="17" borderId="39" xfId="1" applyFont="1" applyFill="1" applyBorder="1" applyAlignment="1">
      <alignment horizontal="center"/>
    </xf>
    <xf numFmtId="43" fontId="33"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8" fillId="0" borderId="0" xfId="0" applyFont="1"/>
    <xf numFmtId="0" fontId="0" fillId="12" borderId="74" xfId="0" applyFill="1" applyBorder="1" applyProtection="1">
      <protection locked="0"/>
    </xf>
    <xf numFmtId="0" fontId="0" fillId="0" borderId="0" xfId="0" applyAlignment="1">
      <alignment vertical="top" wrapText="1"/>
    </xf>
    <xf numFmtId="0" fontId="2" fillId="6" borderId="90" xfId="0" applyFont="1" applyFill="1" applyBorder="1" applyAlignment="1">
      <alignment horizontal="center" vertical="center"/>
    </xf>
    <xf numFmtId="0" fontId="2" fillId="6" borderId="92" xfId="0" applyFont="1" applyFill="1" applyBorder="1" applyAlignment="1">
      <alignment horizontal="center" vertical="center"/>
    </xf>
    <xf numFmtId="0" fontId="0" fillId="12" borderId="90" xfId="0" applyFill="1" applyBorder="1" applyAlignment="1" applyProtection="1">
      <alignment horizontal="center" vertical="center"/>
      <protection locked="0"/>
    </xf>
    <xf numFmtId="0" fontId="0" fillId="12" borderId="92" xfId="0" applyFill="1" applyBorder="1" applyAlignment="1" applyProtection="1">
      <alignment horizontal="center" vertical="center" wrapText="1"/>
      <protection locked="0"/>
    </xf>
    <xf numFmtId="0" fontId="34"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4" xfId="1" applyNumberFormat="1" applyFont="1" applyFill="1" applyBorder="1" applyAlignment="1">
      <alignment horizontal="center"/>
    </xf>
    <xf numFmtId="164" fontId="2" fillId="0" borderId="89" xfId="1" applyNumberFormat="1" applyFont="1" applyFill="1" applyBorder="1" applyAlignment="1">
      <alignment horizontal="center"/>
    </xf>
    <xf numFmtId="164" fontId="2" fillId="0" borderId="85"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8"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8"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8"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4"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7" xfId="0" applyNumberFormat="1" applyFill="1" applyBorder="1" applyAlignment="1">
      <alignment horizontal="center"/>
    </xf>
    <xf numFmtId="0" fontId="0" fillId="17" borderId="56"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7"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4" xfId="0" applyFont="1" applyFill="1" applyBorder="1" applyAlignment="1">
      <alignment horizontal="center"/>
    </xf>
    <xf numFmtId="165" fontId="0" fillId="0" borderId="74" xfId="1" applyNumberFormat="1" applyFont="1" applyBorder="1"/>
    <xf numFmtId="166" fontId="0" fillId="0" borderId="0" xfId="0" applyNumberFormat="1"/>
    <xf numFmtId="166" fontId="0" fillId="0" borderId="74" xfId="0" applyNumberFormat="1" applyBorder="1"/>
    <xf numFmtId="0" fontId="2" fillId="34" borderId="57" xfId="0" applyFont="1" applyFill="1" applyBorder="1" applyAlignment="1">
      <alignment horizontal="center"/>
    </xf>
    <xf numFmtId="165" fontId="0" fillId="0" borderId="57" xfId="1" applyNumberFormat="1" applyFont="1" applyBorder="1"/>
    <xf numFmtId="166" fontId="0" fillId="0" borderId="57"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8" fillId="0" borderId="0" xfId="0" applyFont="1" applyAlignment="1">
      <alignment horizontal="center"/>
    </xf>
    <xf numFmtId="0" fontId="28" fillId="0" borderId="74" xfId="0" applyFont="1" applyBorder="1"/>
    <xf numFmtId="0" fontId="12" fillId="39" borderId="56" xfId="0" applyFont="1" applyFill="1" applyBorder="1" applyAlignment="1" applyProtection="1">
      <alignment horizontal="center"/>
      <protection locked="0"/>
    </xf>
    <xf numFmtId="0" fontId="28" fillId="0" borderId="23" xfId="0" applyFont="1" applyBorder="1" applyAlignment="1">
      <alignment horizontal="center"/>
    </xf>
    <xf numFmtId="0" fontId="28" fillId="0" borderId="56" xfId="0" applyFont="1" applyBorder="1"/>
    <xf numFmtId="0" fontId="2" fillId="0" borderId="37" xfId="0" applyFont="1" applyBorder="1" applyAlignment="1">
      <alignment horizontal="center"/>
    </xf>
    <xf numFmtId="0" fontId="28" fillId="0" borderId="23" xfId="0" applyFont="1" applyBorder="1"/>
    <xf numFmtId="0" fontId="2" fillId="39" borderId="57"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8" fillId="0" borderId="0" xfId="0" applyFont="1" applyAlignment="1">
      <alignment horizontal="left"/>
    </xf>
    <xf numFmtId="43" fontId="0" fillId="0" borderId="23" xfId="1" applyFont="1" applyFill="1" applyBorder="1" applyAlignment="1"/>
    <xf numFmtId="0" fontId="36" fillId="0" borderId="0" xfId="0" applyFont="1" applyAlignment="1">
      <alignment horizontal="center"/>
    </xf>
    <xf numFmtId="0" fontId="2" fillId="0" borderId="99" xfId="0" applyFont="1" applyBorder="1" applyAlignment="1">
      <alignment horizontal="centerContinuous"/>
    </xf>
    <xf numFmtId="43" fontId="0" fillId="0" borderId="0" xfId="1" applyFont="1" applyFill="1" applyBorder="1" applyAlignment="1"/>
    <xf numFmtId="0" fontId="37" fillId="0" borderId="0" xfId="0" applyFont="1" applyAlignment="1">
      <alignment horizontal="center"/>
    </xf>
    <xf numFmtId="43" fontId="0" fillId="17" borderId="77"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8" fillId="0" borderId="0" xfId="0" applyFont="1"/>
    <xf numFmtId="43" fontId="0" fillId="0" borderId="79" xfId="1" applyFont="1" applyBorder="1"/>
    <xf numFmtId="43" fontId="0" fillId="0" borderId="99" xfId="1" applyFont="1" applyBorder="1"/>
    <xf numFmtId="44" fontId="0" fillId="17" borderId="100" xfId="2" applyFont="1" applyFill="1" applyBorder="1"/>
    <xf numFmtId="44" fontId="0" fillId="17" borderId="101"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100" xfId="2" applyFont="1" applyBorder="1"/>
    <xf numFmtId="44" fontId="0" fillId="0" borderId="101"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3" xfId="0" applyFont="1" applyFill="1" applyBorder="1" applyAlignment="1">
      <alignment horizontal="center"/>
    </xf>
    <xf numFmtId="0" fontId="1" fillId="8" borderId="102" xfId="0" applyFont="1" applyFill="1" applyBorder="1" applyAlignment="1">
      <alignment horizontal="center"/>
    </xf>
    <xf numFmtId="0" fontId="0" fillId="3" borderId="105" xfId="0" applyFill="1" applyBorder="1" applyAlignment="1">
      <alignment horizontal="left"/>
    </xf>
    <xf numFmtId="0" fontId="0" fillId="0" borderId="105" xfId="0" applyBorder="1" applyAlignment="1">
      <alignment horizontal="left"/>
    </xf>
    <xf numFmtId="0" fontId="0" fillId="3" borderId="104" xfId="0" applyFill="1" applyBorder="1" applyAlignment="1">
      <alignment horizontal="left"/>
    </xf>
    <xf numFmtId="0" fontId="0" fillId="0" borderId="104"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6"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0" fontId="39" fillId="0" borderId="0" xfId="0" applyFont="1"/>
    <xf numFmtId="43" fontId="14" fillId="0" borderId="93" xfId="1" applyFont="1" applyFill="1" applyBorder="1"/>
    <xf numFmtId="43" fontId="14" fillId="0" borderId="87" xfId="1" applyFont="1" applyFill="1" applyBorder="1"/>
    <xf numFmtId="0" fontId="16" fillId="0" borderId="0" xfId="0" applyFont="1"/>
    <xf numFmtId="0" fontId="16" fillId="0" borderId="0" xfId="0" applyFont="1" applyAlignment="1">
      <alignment horizontal="center"/>
    </xf>
    <xf numFmtId="0" fontId="14" fillId="12" borderId="0" xfId="0" applyFont="1" applyFill="1"/>
    <xf numFmtId="0" fontId="14" fillId="12" borderId="28" xfId="0" applyFont="1" applyFill="1" applyBorder="1"/>
    <xf numFmtId="0" fontId="14" fillId="12" borderId="0" xfId="0" applyFont="1" applyFill="1" applyAlignment="1">
      <alignment horizontal="center"/>
    </xf>
    <xf numFmtId="0" fontId="15" fillId="0" borderId="0" xfId="0" applyFont="1" applyAlignment="1">
      <alignment horizontal="left"/>
    </xf>
    <xf numFmtId="0" fontId="26" fillId="0" borderId="0" xfId="0" applyFont="1" applyAlignment="1">
      <alignment horizontal="center"/>
    </xf>
    <xf numFmtId="44" fontId="14" fillId="0" borderId="35" xfId="2" applyFont="1" applyFill="1" applyBorder="1"/>
    <xf numFmtId="44" fontId="16" fillId="0" borderId="109" xfId="2" applyFont="1" applyFill="1" applyBorder="1"/>
    <xf numFmtId="44" fontId="16" fillId="6" borderId="93" xfId="2" applyFont="1" applyFill="1" applyBorder="1"/>
    <xf numFmtId="44" fontId="16" fillId="6" borderId="87" xfId="2" applyFont="1" applyFill="1" applyBorder="1"/>
    <xf numFmtId="0" fontId="16" fillId="0" borderId="0" xfId="0" applyFont="1" applyAlignment="1">
      <alignment horizontal="right"/>
    </xf>
    <xf numFmtId="43" fontId="16" fillId="0" borderId="0" xfId="1" applyFont="1" applyFill="1"/>
    <xf numFmtId="43" fontId="14" fillId="0" borderId="0" xfId="1" applyFont="1" applyFill="1"/>
    <xf numFmtId="39" fontId="16" fillId="0" borderId="0" xfId="1" applyNumberFormat="1" applyFont="1" applyFill="1" applyBorder="1" applyAlignment="1">
      <alignment horizontal="centerContinuous"/>
    </xf>
    <xf numFmtId="0" fontId="14" fillId="0" borderId="94" xfId="0" applyFont="1" applyBorder="1"/>
    <xf numFmtId="43" fontId="14" fillId="29" borderId="0" xfId="1" applyFont="1" applyFill="1" applyBorder="1"/>
    <xf numFmtId="44" fontId="14" fillId="0" borderId="38" xfId="2" applyFont="1" applyFill="1" applyBorder="1"/>
    <xf numFmtId="44" fontId="16" fillId="0" borderId="38" xfId="2" applyFont="1" applyFill="1" applyBorder="1"/>
    <xf numFmtId="44" fontId="14" fillId="32" borderId="35" xfId="2" applyFont="1" applyFill="1" applyBorder="1"/>
    <xf numFmtId="43" fontId="14" fillId="0" borderId="0" xfId="1" applyFont="1" applyFill="1" applyAlignment="1">
      <alignment horizontal="right"/>
    </xf>
    <xf numFmtId="2" fontId="14" fillId="0" borderId="28" xfId="0" applyNumberFormat="1" applyFont="1" applyBorder="1"/>
    <xf numFmtId="2" fontId="14" fillId="0" borderId="0" xfId="0" applyNumberFormat="1" applyFont="1"/>
    <xf numFmtId="44" fontId="14" fillId="0" borderId="0" xfId="0" applyNumberFormat="1" applyFont="1"/>
    <xf numFmtId="0" fontId="14" fillId="16" borderId="35" xfId="0" applyFont="1" applyFill="1" applyBorder="1"/>
    <xf numFmtId="43" fontId="14" fillId="29" borderId="110"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0" fontId="17" fillId="31" borderId="45" xfId="0" applyFont="1" applyFill="1" applyBorder="1"/>
    <xf numFmtId="43" fontId="23" fillId="0" borderId="0" xfId="0" applyNumberFormat="1" applyFont="1"/>
    <xf numFmtId="165" fontId="23" fillId="0" borderId="0" xfId="0" applyNumberFormat="1" applyFont="1"/>
    <xf numFmtId="0" fontId="40"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9" xfId="2" applyFont="1" applyFill="1" applyBorder="1"/>
    <xf numFmtId="44" fontId="16" fillId="32" borderId="109" xfId="2" applyFont="1" applyFill="1" applyBorder="1"/>
    <xf numFmtId="0" fontId="39"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11" xfId="0" applyFont="1" applyFill="1" applyBorder="1" applyAlignment="1">
      <alignment horizontal="center"/>
    </xf>
    <xf numFmtId="0" fontId="0" fillId="12" borderId="89" xfId="0" applyFill="1" applyBorder="1"/>
    <xf numFmtId="0" fontId="1" fillId="10" borderId="74" xfId="0" applyFont="1" applyFill="1" applyBorder="1" applyAlignment="1">
      <alignment horizontal="center"/>
    </xf>
    <xf numFmtId="0" fontId="0" fillId="0" borderId="74" xfId="0" applyBorder="1"/>
    <xf numFmtId="0" fontId="0" fillId="0" borderId="5" xfId="0" applyBorder="1" applyAlignment="1">
      <alignment horizontal="center"/>
    </xf>
    <xf numFmtId="0" fontId="2" fillId="6" borderId="112" xfId="0" applyFont="1" applyFill="1" applyBorder="1" applyAlignment="1">
      <alignment horizontal="center"/>
    </xf>
    <xf numFmtId="43" fontId="0" fillId="17" borderId="57" xfId="1" applyFont="1" applyFill="1" applyBorder="1" applyAlignment="1">
      <alignment horizontal="center"/>
    </xf>
    <xf numFmtId="0" fontId="0" fillId="12" borderId="107" xfId="0" applyFill="1" applyBorder="1"/>
    <xf numFmtId="0" fontId="41"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1" fillId="0" borderId="0" xfId="0" applyFont="1" applyAlignment="1">
      <alignment horizontal="left"/>
    </xf>
    <xf numFmtId="0" fontId="42" fillId="0" borderId="0" xfId="0" applyFont="1"/>
    <xf numFmtId="167" fontId="31"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9" fillId="0" borderId="0" xfId="0" applyFont="1" applyAlignment="1">
      <alignment horizontal="centerContinuous"/>
    </xf>
    <xf numFmtId="0" fontId="1" fillId="2" borderId="102" xfId="0" applyFont="1" applyFill="1" applyBorder="1" applyAlignment="1">
      <alignment horizontal="center"/>
    </xf>
    <xf numFmtId="2" fontId="1" fillId="2" borderId="5" xfId="0" applyNumberFormat="1" applyFont="1" applyFill="1" applyBorder="1" applyAlignment="1">
      <alignment horizontal="center"/>
    </xf>
    <xf numFmtId="2" fontId="1" fillId="2" borderId="103" xfId="0" applyNumberFormat="1" applyFont="1" applyFill="1" applyBorder="1" applyAlignment="1">
      <alignment horizontal="center"/>
    </xf>
    <xf numFmtId="0" fontId="43" fillId="0" borderId="0" xfId="0" applyFont="1"/>
    <xf numFmtId="0" fontId="1" fillId="2" borderId="0" xfId="0" applyFont="1" applyFill="1" applyAlignment="1">
      <alignment horizontal="center"/>
    </xf>
    <xf numFmtId="0" fontId="19" fillId="0" borderId="0" xfId="3"/>
    <xf numFmtId="44" fontId="12" fillId="0" borderId="0" xfId="0" applyNumberFormat="1" applyFont="1"/>
    <xf numFmtId="43" fontId="0" fillId="0" borderId="39" xfId="1" applyFont="1" applyBorder="1"/>
    <xf numFmtId="0" fontId="29" fillId="0" borderId="0" xfId="0" applyFont="1" applyAlignment="1">
      <alignment horizontal="left"/>
    </xf>
    <xf numFmtId="165" fontId="28" fillId="0" borderId="0" xfId="1" applyNumberFormat="1" applyFont="1" applyBorder="1"/>
    <xf numFmtId="44" fontId="28" fillId="0" borderId="0" xfId="2" applyFont="1" applyFill="1" applyBorder="1"/>
    <xf numFmtId="165" fontId="28"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5" fillId="0" borderId="0" xfId="0" applyFont="1"/>
    <xf numFmtId="43" fontId="6" fillId="0" borderId="0" xfId="2" applyNumberFormat="1" applyFont="1" applyFill="1" applyBorder="1"/>
    <xf numFmtId="0" fontId="2" fillId="0" borderId="23" xfId="0" applyFont="1" applyBorder="1"/>
    <xf numFmtId="165" fontId="0" fillId="0" borderId="0" xfId="1" applyNumberFormat="1" applyFont="1"/>
    <xf numFmtId="165" fontId="0" fillId="0" borderId="0" xfId="0" applyNumberFormat="1"/>
    <xf numFmtId="0" fontId="10" fillId="0" borderId="1" xfId="0" applyFont="1" applyBorder="1"/>
    <xf numFmtId="43" fontId="0" fillId="0" borderId="77" xfId="1" applyFont="1" applyFill="1" applyBorder="1"/>
    <xf numFmtId="43" fontId="0" fillId="0" borderId="0" xfId="1" applyFont="1" applyFill="1"/>
    <xf numFmtId="44" fontId="0" fillId="0" borderId="100" xfId="2" applyFont="1" applyFill="1" applyBorder="1"/>
    <xf numFmtId="44" fontId="0" fillId="0" borderId="101" xfId="2" applyFont="1" applyFill="1" applyBorder="1"/>
    <xf numFmtId="0" fontId="28" fillId="0" borderId="38" xfId="0" applyFont="1" applyBorder="1"/>
    <xf numFmtId="0" fontId="11" fillId="0" borderId="40" xfId="0" applyFont="1" applyBorder="1"/>
    <xf numFmtId="0" fontId="11" fillId="0" borderId="22" xfId="0" applyFont="1" applyBorder="1"/>
    <xf numFmtId="0" fontId="11" fillId="0" borderId="24" xfId="0" applyFont="1" applyBorder="1"/>
    <xf numFmtId="0" fontId="1" fillId="0" borderId="22" xfId="0" applyFont="1" applyBorder="1"/>
    <xf numFmtId="0" fontId="0" fillId="13" borderId="11" xfId="0" applyFill="1" applyBorder="1" applyAlignment="1">
      <alignment horizontal="center"/>
    </xf>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2" fillId="16" borderId="17" xfId="0" applyFont="1" applyFill="1" applyBorder="1"/>
    <xf numFmtId="0" fontId="0" fillId="13" borderId="108" xfId="0" applyFill="1" applyBorder="1" applyAlignment="1">
      <alignment horizontal="center"/>
    </xf>
    <xf numFmtId="0" fontId="0" fillId="12" borderId="74" xfId="0" applyFill="1" applyBorder="1" applyAlignment="1">
      <alignment horizontal="center" vertical="center"/>
    </xf>
    <xf numFmtId="0" fontId="0" fillId="12" borderId="57" xfId="0" applyFill="1" applyBorder="1" applyAlignment="1">
      <alignment horizontal="center" vertical="center"/>
    </xf>
    <xf numFmtId="0" fontId="2" fillId="0" borderId="13" xfId="0" applyFont="1" applyBorder="1"/>
    <xf numFmtId="0" fontId="2" fillId="0" borderId="113" xfId="0" applyFont="1" applyBorder="1"/>
    <xf numFmtId="0" fontId="1" fillId="18" borderId="74"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1" fillId="25" borderId="99" xfId="0" applyFont="1" applyFill="1" applyBorder="1" applyAlignment="1">
      <alignment horizontal="centerContinuous"/>
    </xf>
    <xf numFmtId="0" fontId="2" fillId="40" borderId="99" xfId="0" applyFont="1" applyFill="1" applyBorder="1" applyAlignment="1">
      <alignment horizontal="centerContinuous"/>
    </xf>
    <xf numFmtId="0" fontId="2" fillId="28" borderId="12" xfId="0" applyFont="1" applyFill="1" applyBorder="1"/>
    <xf numFmtId="0" fontId="0" fillId="13" borderId="89" xfId="0" applyFill="1" applyBorder="1" applyAlignment="1">
      <alignment horizontal="center"/>
    </xf>
    <xf numFmtId="0" fontId="0" fillId="0" borderId="89" xfId="0" applyBorder="1" applyAlignment="1">
      <alignment horizontal="center"/>
    </xf>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6" xfId="0" applyFill="1" applyBorder="1" applyAlignment="1">
      <alignment horizontal="center" vertical="center"/>
    </xf>
    <xf numFmtId="0" fontId="2" fillId="0" borderId="37" xfId="0" applyFont="1" applyBorder="1" applyAlignment="1">
      <alignment horizontal="center" vertical="center"/>
    </xf>
    <xf numFmtId="43" fontId="6" fillId="12" borderId="80"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43" fontId="6" fillId="12" borderId="86"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3" xfId="1" applyFont="1" applyFill="1" applyBorder="1" applyAlignment="1" applyProtection="1">
      <alignment horizontal="center"/>
      <protection locked="0"/>
    </xf>
    <xf numFmtId="164" fontId="2" fillId="37" borderId="90" xfId="1" applyNumberFormat="1" applyFont="1" applyFill="1" applyBorder="1" applyAlignment="1">
      <alignment horizontal="center"/>
    </xf>
    <xf numFmtId="164" fontId="2" fillId="23" borderId="91" xfId="1" applyNumberFormat="1" applyFont="1" applyFill="1" applyBorder="1" applyAlignment="1">
      <alignment horizontal="center"/>
    </xf>
    <xf numFmtId="0" fontId="0" fillId="0" borderId="30" xfId="0" applyBorder="1"/>
    <xf numFmtId="0" fontId="11" fillId="0" borderId="30" xfId="0" applyFont="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5"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165" fontId="0" fillId="0" borderId="89" xfId="1" applyNumberFormat="1" applyFont="1" applyBorder="1" applyAlignment="1">
      <alignment horizontal="center"/>
    </xf>
    <xf numFmtId="168" fontId="0" fillId="0" borderId="89" xfId="2" applyNumberFormat="1" applyFont="1"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45" fillId="0" borderId="0" xfId="0" applyFont="1"/>
    <xf numFmtId="0" fontId="11" fillId="0" borderId="0" xfId="0" applyFont="1" applyAlignment="1">
      <alignment wrapText="1"/>
    </xf>
    <xf numFmtId="0" fontId="28" fillId="0" borderId="0" xfId="0" applyFont="1" applyAlignment="1">
      <alignment wrapText="1"/>
    </xf>
    <xf numFmtId="0" fontId="0" fillId="0" borderId="0" xfId="0" applyAlignment="1">
      <alignment horizontal="center" wrapText="1"/>
    </xf>
    <xf numFmtId="167" fontId="2" fillId="0" borderId="25" xfId="0" applyNumberFormat="1" applyFont="1" applyBorder="1" applyAlignment="1">
      <alignment horizontal="centerContinuous" wrapText="1"/>
    </xf>
    <xf numFmtId="0" fontId="2" fillId="0" borderId="25" xfId="0" applyFont="1" applyBorder="1" applyAlignment="1">
      <alignment horizontal="centerContinuous" wrapText="1"/>
    </xf>
    <xf numFmtId="0" fontId="41" fillId="0" borderId="25" xfId="0" applyFont="1" applyBorder="1" applyAlignment="1">
      <alignment horizontal="centerContinuous" wrapText="1"/>
    </xf>
    <xf numFmtId="0" fontId="27" fillId="0" borderId="25" xfId="0" applyFont="1" applyBorder="1" applyAlignment="1">
      <alignment horizontal="centerContinuous" wrapText="1"/>
    </xf>
    <xf numFmtId="14" fontId="0" fillId="0" borderId="74" xfId="0" applyNumberFormat="1" applyBorder="1"/>
    <xf numFmtId="14" fontId="0" fillId="0" borderId="56" xfId="0" applyNumberFormat="1" applyBorder="1"/>
    <xf numFmtId="14" fontId="0" fillId="0" borderId="57"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8"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4"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6" fillId="0" borderId="0" xfId="1" applyFont="1" applyFill="1" applyBorder="1" applyProtection="1"/>
    <xf numFmtId="43" fontId="46"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8" fillId="0" borderId="0" xfId="0" applyNumberFormat="1" applyFont="1"/>
    <xf numFmtId="0" fontId="28" fillId="0" borderId="40" xfId="0" applyFont="1" applyBorder="1"/>
    <xf numFmtId="43" fontId="28" fillId="0" borderId="39" xfId="1" applyFont="1" applyBorder="1"/>
    <xf numFmtId="0" fontId="28" fillId="0" borderId="22" xfId="0" applyFont="1" applyBorder="1"/>
    <xf numFmtId="43" fontId="28" fillId="0" borderId="23" xfId="1" applyFont="1" applyBorder="1"/>
    <xf numFmtId="0" fontId="28" fillId="0" borderId="24" xfId="0" applyFont="1" applyBorder="1"/>
    <xf numFmtId="0" fontId="28" fillId="0" borderId="25" xfId="0" applyFont="1" applyBorder="1"/>
    <xf numFmtId="43" fontId="28" fillId="0" borderId="26" xfId="1" applyFont="1" applyBorder="1"/>
    <xf numFmtId="43" fontId="28" fillId="0" borderId="0" xfId="1" applyFont="1"/>
    <xf numFmtId="0" fontId="28" fillId="0" borderId="39" xfId="0" applyFont="1" applyBorder="1"/>
    <xf numFmtId="0" fontId="28" fillId="0" borderId="26" xfId="0" applyFont="1" applyBorder="1"/>
    <xf numFmtId="0" fontId="12" fillId="0" borderId="22" xfId="0" applyFont="1" applyBorder="1"/>
    <xf numFmtId="0" fontId="12" fillId="0" borderId="23" xfId="0" applyFont="1" applyBorder="1"/>
    <xf numFmtId="44" fontId="28" fillId="0" borderId="0" xfId="0" applyNumberFormat="1" applyFont="1"/>
    <xf numFmtId="165" fontId="46" fillId="0" borderId="0" xfId="1" applyNumberFormat="1" applyFont="1" applyFill="1" applyBorder="1" applyProtection="1"/>
    <xf numFmtId="165" fontId="46"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28" fillId="0" borderId="23" xfId="0" applyFont="1" applyBorder="1" applyAlignment="1">
      <alignment horizontal="center"/>
      <extLst>
        <ext xmlns:xfpb="http://schemas.microsoft.com/office/spreadsheetml/2022/featurepropertybag" uri="{C7286773-470A-42A8-94C5-96B5CB345126}">
          <xfpb:xfComplement i="0"/>
        </ext>
      </extLst>
    </xf>
    <xf numFmtId="0" fontId="28" fillId="0" borderId="26" xfId="0" applyFont="1" applyBorder="1" applyAlignment="1">
      <alignment horizontal="center"/>
      <extLst>
        <ext xmlns:xfpb="http://schemas.microsoft.com/office/spreadsheetml/2022/featurepropertybag" uri="{C7286773-470A-42A8-94C5-96B5CB345126}">
          <xfpb:xfComplement i="0"/>
        </ext>
      </extLst>
    </xf>
    <xf numFmtId="0" fontId="0" fillId="16" borderId="22" xfId="0" applyFill="1" applyBorder="1"/>
    <xf numFmtId="0" fontId="28" fillId="16" borderId="22" xfId="0" applyFont="1" applyFill="1" applyBorder="1" applyAlignment="1">
      <alignment horizontal="left"/>
    </xf>
    <xf numFmtId="0" fontId="28"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8" fillId="0" borderId="0" xfId="0" applyFont="1" applyAlignment="1">
      <alignment wrapText="1"/>
    </xf>
    <xf numFmtId="0" fontId="49" fillId="0" borderId="0" xfId="0" applyFont="1" applyAlignment="1">
      <alignment wrapText="1"/>
    </xf>
    <xf numFmtId="0" fontId="11" fillId="18" borderId="0" xfId="0" applyFont="1" applyFill="1" applyAlignment="1">
      <alignment wrapText="1"/>
    </xf>
    <xf numFmtId="44" fontId="28" fillId="0" borderId="0" xfId="2" applyFont="1" applyProtection="1">
      <protection locked="0"/>
    </xf>
    <xf numFmtId="0" fontId="1" fillId="18" borderId="115" xfId="0" applyFont="1" applyFill="1" applyBorder="1" applyAlignment="1">
      <alignment horizontal="center"/>
    </xf>
    <xf numFmtId="0" fontId="0" fillId="16" borderId="40" xfId="0" applyFill="1" applyBorder="1"/>
    <xf numFmtId="0" fontId="28" fillId="0" borderId="39" xfId="0" applyFont="1" applyBorder="1" applyAlignment="1">
      <alignment horizontal="center"/>
      <extLst>
        <ext xmlns:xfpb="http://schemas.microsoft.com/office/spreadsheetml/2022/featurepropertybag" uri="{C7286773-470A-42A8-94C5-96B5CB345126}">
          <xfpb:xfComplement i="0"/>
        </ext>
      </extLst>
    </xf>
    <xf numFmtId="0" fontId="0" fillId="16" borderId="24" xfId="0" applyFill="1" applyBorder="1"/>
    <xf numFmtId="0" fontId="28" fillId="0" borderId="22" xfId="0" applyFont="1" applyBorder="1" applyAlignment="1">
      <alignment horizontal="left"/>
    </xf>
    <xf numFmtId="0" fontId="28" fillId="0" borderId="24" xfId="0" applyFont="1" applyBorder="1" applyAlignment="1">
      <alignment horizontal="left"/>
    </xf>
    <xf numFmtId="0" fontId="28"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8"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1" fillId="0" borderId="0" xfId="0" applyFont="1" applyAlignment="1">
      <alignment horizontal="centerContinuous"/>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1" borderId="0" xfId="0" applyFill="1"/>
    <xf numFmtId="0" fontId="0" fillId="41" borderId="40" xfId="0" applyFill="1" applyBorder="1"/>
    <xf numFmtId="0" fontId="0" fillId="41" borderId="22" xfId="0" applyFill="1" applyBorder="1"/>
    <xf numFmtId="0" fontId="0" fillId="41" borderId="24" xfId="0" applyFill="1" applyBorder="1"/>
    <xf numFmtId="167" fontId="31" fillId="0" borderId="19" xfId="0" applyNumberFormat="1" applyFont="1" applyBorder="1" applyAlignment="1">
      <alignment horizontal="centerContinuous" wrapText="1"/>
    </xf>
    <xf numFmtId="0" fontId="31" fillId="0" borderId="21" xfId="0" applyFont="1" applyBorder="1" applyAlignment="1">
      <alignment horizontal="centerContinuous" wrapText="1"/>
    </xf>
    <xf numFmtId="0" fontId="28" fillId="18" borderId="0" xfId="0" applyFont="1" applyFill="1"/>
    <xf numFmtId="43" fontId="28" fillId="0" borderId="0" xfId="1" applyFont="1" applyBorder="1"/>
    <xf numFmtId="43" fontId="12" fillId="0" borderId="0" xfId="1" applyFont="1" applyBorder="1"/>
    <xf numFmtId="0" fontId="2" fillId="0" borderId="22" xfId="0" applyFont="1" applyBorder="1"/>
    <xf numFmtId="0" fontId="2" fillId="0" borderId="24" xfId="0" applyFont="1" applyBorder="1"/>
    <xf numFmtId="0" fontId="2" fillId="0" borderId="26" xfId="0" applyFont="1" applyBorder="1"/>
    <xf numFmtId="0" fontId="28" fillId="42" borderId="40" xfId="0" applyFont="1" applyFill="1" applyBorder="1"/>
    <xf numFmtId="0" fontId="28" fillId="42" borderId="39" xfId="0" applyFont="1" applyFill="1" applyBorder="1"/>
    <xf numFmtId="43" fontId="0" fillId="0" borderId="23" xfId="0" applyNumberFormat="1" applyBorder="1"/>
    <xf numFmtId="43" fontId="0" fillId="0" borderId="23" xfId="1" applyFont="1" applyFill="1" applyBorder="1"/>
    <xf numFmtId="0" fontId="2" fillId="17" borderId="0" xfId="0" applyFont="1" applyFill="1"/>
    <xf numFmtId="0" fontId="0" fillId="0" borderId="5" xfId="0" applyBorder="1"/>
    <xf numFmtId="0" fontId="0" fillId="43" borderId="1" xfId="0" applyFill="1" applyBorder="1"/>
    <xf numFmtId="0" fontId="0" fillId="43" borderId="1" xfId="0" applyFill="1" applyBorder="1" applyAlignment="1">
      <alignment horizontal="center"/>
    </xf>
    <xf numFmtId="0" fontId="0" fillId="43" borderId="0" xfId="0" applyFill="1"/>
    <xf numFmtId="0" fontId="0" fillId="44" borderId="1" xfId="0" applyFill="1" applyBorder="1"/>
    <xf numFmtId="0" fontId="0" fillId="44" borderId="1" xfId="0" applyFill="1" applyBorder="1" applyAlignment="1">
      <alignment horizontal="center"/>
    </xf>
    <xf numFmtId="165" fontId="28" fillId="0" borderId="0" xfId="1" applyNumberFormat="1" applyFont="1"/>
    <xf numFmtId="165" fontId="28" fillId="0" borderId="0" xfId="1" applyNumberFormat="1" applyFont="1" applyFill="1"/>
    <xf numFmtId="44" fontId="0" fillId="0" borderId="0" xfId="2" applyFont="1" applyFill="1" applyBorder="1"/>
    <xf numFmtId="0" fontId="2" fillId="17" borderId="22" xfId="0" applyFont="1" applyFill="1" applyBorder="1" applyAlignment="1">
      <alignment horizontal="centerContinuous"/>
    </xf>
    <xf numFmtId="0" fontId="0" fillId="17" borderId="0" xfId="0" applyFill="1" applyAlignment="1">
      <alignment horizontal="centerContinuous"/>
    </xf>
    <xf numFmtId="0" fontId="0" fillId="17" borderId="23" xfId="0" applyFill="1" applyBorder="1" applyAlignment="1">
      <alignment horizontal="centerContinuous"/>
    </xf>
    <xf numFmtId="0" fontId="11" fillId="18" borderId="74" xfId="0" applyFont="1" applyFill="1" applyBorder="1"/>
    <xf numFmtId="0" fontId="0" fillId="12" borderId="39" xfId="0" applyFill="1" applyBorder="1" applyAlignment="1" applyProtection="1">
      <alignment horizontal="center"/>
      <protection locked="0"/>
    </xf>
    <xf numFmtId="0" fontId="0" fillId="12" borderId="23" xfId="0" applyFill="1" applyBorder="1" applyAlignment="1" applyProtection="1">
      <alignment horizontal="center"/>
      <protection locked="0"/>
    </xf>
    <xf numFmtId="0" fontId="0" fillId="12" borderId="26" xfId="0" applyFill="1" applyBorder="1" applyAlignment="1" applyProtection="1">
      <alignment horizontal="center"/>
      <protection locked="0"/>
    </xf>
    <xf numFmtId="49" fontId="0" fillId="12" borderId="40" xfId="0" applyNumberFormat="1" applyFill="1" applyBorder="1" applyProtection="1">
      <protection locked="0"/>
    </xf>
    <xf numFmtId="49" fontId="0" fillId="12" borderId="38" xfId="0" applyNumberFormat="1" applyFill="1" applyBorder="1" applyProtection="1">
      <protection locked="0"/>
    </xf>
    <xf numFmtId="43" fontId="0" fillId="12" borderId="38" xfId="1" applyFont="1" applyFill="1" applyBorder="1" applyProtection="1">
      <protection locked="0"/>
    </xf>
    <xf numFmtId="43" fontId="0" fillId="12" borderId="39" xfId="1" applyFont="1" applyFill="1" applyBorder="1" applyProtection="1">
      <protection locked="0"/>
    </xf>
    <xf numFmtId="49" fontId="0" fillId="12" borderId="22" xfId="0" applyNumberFormat="1" applyFill="1" applyBorder="1" applyProtection="1">
      <protection locked="0"/>
    </xf>
    <xf numFmtId="49" fontId="0" fillId="12" borderId="0" xfId="0" applyNumberFormat="1" applyFill="1" applyProtection="1">
      <protection locked="0"/>
    </xf>
    <xf numFmtId="43" fontId="0" fillId="12" borderId="0" xfId="1" applyFont="1" applyFill="1" applyBorder="1" applyProtection="1">
      <protection locked="0"/>
    </xf>
    <xf numFmtId="43" fontId="0" fillId="12" borderId="23" xfId="1" applyFont="1" applyFill="1" applyBorder="1" applyProtection="1">
      <protection locked="0"/>
    </xf>
    <xf numFmtId="49" fontId="0" fillId="12" borderId="24" xfId="0" applyNumberFormat="1" applyFill="1" applyBorder="1" applyProtection="1">
      <protection locked="0"/>
    </xf>
    <xf numFmtId="49" fontId="0" fillId="12" borderId="25" xfId="0" applyNumberFormat="1" applyFill="1" applyBorder="1" applyProtection="1">
      <protection locked="0"/>
    </xf>
    <xf numFmtId="43" fontId="0" fillId="12" borderId="25" xfId="1" applyFont="1" applyFill="1" applyBorder="1" applyProtection="1">
      <protection locked="0"/>
    </xf>
    <xf numFmtId="43" fontId="0" fillId="12" borderId="26" xfId="1" applyFont="1" applyFill="1" applyBorder="1" applyProtection="1">
      <protection locked="0"/>
    </xf>
    <xf numFmtId="0" fontId="28" fillId="12" borderId="57" xfId="0" applyFont="1" applyFill="1" applyBorder="1" applyAlignment="1" applyProtection="1">
      <alignment horizontal="center"/>
      <protection locked="0"/>
    </xf>
    <xf numFmtId="0" fontId="1" fillId="18" borderId="5" xfId="0" applyFont="1" applyFill="1" applyBorder="1" applyAlignment="1">
      <alignment horizontal="center"/>
    </xf>
    <xf numFmtId="0" fontId="7" fillId="11" borderId="0" xfId="0" applyFont="1" applyFill="1" applyAlignment="1">
      <alignment horizontal="center"/>
    </xf>
    <xf numFmtId="0" fontId="1" fillId="18" borderId="0" xfId="0" applyFont="1" applyFill="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1" fillId="0" borderId="25" xfId="0" applyNumberFormat="1" applyFont="1" applyBorder="1" applyAlignment="1">
      <alignment horizontal="center"/>
    </xf>
    <xf numFmtId="0" fontId="0" fillId="0" borderId="25"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2" fillId="6" borderId="74"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2" fillId="6" borderId="57"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12" borderId="33" xfId="0" applyFont="1" applyFill="1" applyBorder="1" applyAlignment="1">
      <alignment horizontal="center"/>
    </xf>
    <xf numFmtId="0" fontId="2" fillId="12" borderId="34" xfId="0" applyFont="1" applyFill="1" applyBorder="1" applyAlignment="1">
      <alignment horizontal="center"/>
    </xf>
    <xf numFmtId="0" fontId="2" fillId="24" borderId="33" xfId="0" applyFont="1" applyFill="1" applyBorder="1" applyAlignment="1">
      <alignment horizontal="center"/>
    </xf>
    <xf numFmtId="0" fontId="2" fillId="24" borderId="34" xfId="0" applyFont="1" applyFill="1" applyBorder="1" applyAlignment="1">
      <alignment horizontal="center"/>
    </xf>
    <xf numFmtId="0" fontId="2" fillId="5" borderId="33" xfId="0" applyFont="1" applyFill="1" applyBorder="1" applyAlignment="1">
      <alignment horizontal="center"/>
    </xf>
    <xf numFmtId="0" fontId="2" fillId="5" borderId="34" xfId="0" applyFont="1" applyFill="1" applyBorder="1" applyAlignment="1">
      <alignment horizontal="center"/>
    </xf>
    <xf numFmtId="167" fontId="9" fillId="0" borderId="25" xfId="0" applyNumberFormat="1" applyFont="1" applyBorder="1" applyAlignment="1">
      <alignment horizontal="center"/>
    </xf>
    <xf numFmtId="0" fontId="47" fillId="0" borderId="25" xfId="0" applyFont="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4" xfId="0" applyFont="1" applyFill="1" applyBorder="1" applyAlignment="1">
      <alignment horizontal="center" vertical="center" wrapText="1"/>
    </xf>
    <xf numFmtId="0" fontId="1" fillId="36" borderId="57" xfId="0" applyFont="1" applyFill="1" applyBorder="1" applyAlignment="1">
      <alignment horizontal="center" vertical="center" wrapText="1"/>
    </xf>
    <xf numFmtId="0" fontId="0" fillId="12" borderId="74" xfId="0" applyFill="1" applyBorder="1" applyAlignment="1" applyProtection="1">
      <alignment horizontal="center" vertical="center"/>
      <protection locked="0"/>
    </xf>
    <xf numFmtId="0" fontId="0" fillId="12" borderId="57" xfId="0" applyFill="1" applyBorder="1" applyAlignment="1" applyProtection="1">
      <alignment horizontal="center" vertical="center"/>
      <protection locked="0"/>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107" xfId="0" applyBorder="1" applyAlignment="1"/>
    <xf numFmtId="0" fontId="0" fillId="0" borderId="87" xfId="0" applyBorder="1" applyAlignment="1"/>
    <xf numFmtId="0" fontId="0" fillId="0" borderId="93" xfId="0" applyBorder="1" applyAlignment="1"/>
    <xf numFmtId="0" fontId="0" fillId="0" borderId="21" xfId="0" applyBorder="1" applyAlignment="1"/>
  </cellXfs>
  <cellStyles count="4">
    <cellStyle name="Comma" xfId="1" builtinId="3"/>
    <cellStyle name="Currency" xfId="2" builtinId="4"/>
    <cellStyle name="Hyperlink" xfId="3" builtinId="8"/>
    <cellStyle name="Normal" xfId="0" builtinId="0"/>
  </cellStyles>
  <dxfs count="899">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theme="0"/>
      </font>
      <fill>
        <patternFill>
          <bgColor rgb="FFFF0000"/>
        </patternFill>
      </fill>
    </dxf>
    <dxf>
      <font>
        <b/>
        <i val="0"/>
        <color rgb="FFFFFFFF"/>
      </font>
      <fill>
        <patternFill>
          <bgColor rgb="FFFF000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rgb="FFFFFFFF"/>
      </font>
      <fill>
        <patternFill>
          <bgColor rgb="FFFF0000"/>
        </patternFill>
      </fill>
    </dxf>
    <dxf>
      <font>
        <b/>
        <i val="0"/>
        <color rgb="FFFFFFFF"/>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color theme="0"/>
      </font>
      <fill>
        <patternFill>
          <bgColor theme="0"/>
        </patternFill>
      </fill>
      <border>
        <left/>
        <right/>
        <top/>
        <bottom/>
        <vertical/>
        <horizontal/>
      </border>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b/>
        <i val="0"/>
        <color theme="0"/>
      </font>
      <fill>
        <patternFill>
          <bgColor rgb="FFFF0000"/>
        </patternFill>
      </fill>
    </dxf>
    <dxf>
      <font>
        <color theme="1"/>
      </font>
      <fill>
        <patternFill>
          <bgColor theme="9" tint="0.59996337778862885"/>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bgColor theme="5" tint="-0.24994659260841701"/>
        </patternFill>
      </fill>
    </dxf>
    <dxf>
      <font>
        <b/>
        <i val="0"/>
        <color theme="0"/>
      </font>
      <fill>
        <patternFill>
          <bgColor theme="5" tint="-0.24994659260841701"/>
        </patternFill>
      </fill>
    </dxf>
    <dxf>
      <fill>
        <patternFill>
          <bgColor theme="5" tint="0.79998168889431442"/>
        </patternFill>
      </fill>
    </dxf>
    <dxf>
      <fill>
        <patternFill>
          <bgColor theme="5" tint="0.79998168889431442"/>
        </patternFill>
      </fill>
    </dxf>
    <dxf>
      <fill>
        <patternFill>
          <bgColor theme="5" tint="0.79998168889431442"/>
        </patternFill>
      </fill>
    </dxf>
    <dxf>
      <font>
        <b/>
        <i val="0"/>
        <color theme="0"/>
      </font>
      <fill>
        <patternFill>
          <bgColor theme="5" tint="-0.24994659260841701"/>
        </patternFill>
      </fill>
    </dxf>
    <dxf>
      <font>
        <b/>
        <i val="0"/>
        <color theme="0"/>
      </font>
      <fill>
        <patternFill>
          <bgColor theme="5" tint="-0.24994659260841701"/>
        </patternFill>
      </fill>
    </dxf>
    <dxf>
      <fill>
        <patternFill>
          <bgColor theme="5" tint="0.79998168889431442"/>
        </patternFill>
      </fill>
    </dxf>
    <dxf>
      <fill>
        <patternFill>
          <bgColor theme="5" tint="0.79998168889431442"/>
        </patternFill>
      </fill>
    </dxf>
    <dxf>
      <font>
        <b/>
        <i val="0"/>
        <color theme="0"/>
      </font>
      <fill>
        <patternFill>
          <bgColor theme="5" tint="-0.24994659260841701"/>
        </patternFill>
      </fill>
    </dxf>
    <dxf>
      <font>
        <b/>
        <i val="0"/>
        <color theme="0"/>
      </font>
      <fill>
        <patternFill>
          <bgColor theme="5" tint="-0.24994659260841701"/>
        </patternFill>
      </fill>
    </dxf>
    <dxf>
      <fill>
        <patternFill>
          <bgColor theme="5" tint="0.79998168889431442"/>
        </patternFill>
      </fill>
    </dxf>
    <dxf>
      <fill>
        <patternFill>
          <bgColor theme="5" tint="0.79998168889431442"/>
        </patternFill>
      </fill>
    </dxf>
    <dxf>
      <font>
        <b/>
        <i val="0"/>
        <color theme="0"/>
      </font>
      <fill>
        <patternFill>
          <bgColor theme="5" tint="-0.24994659260841701"/>
        </patternFill>
      </fill>
    </dxf>
    <dxf>
      <font>
        <b/>
        <i val="0"/>
        <color theme="0"/>
      </font>
      <fill>
        <patternFill>
          <bgColor theme="5" tint="-0.24994659260841701"/>
        </patternFill>
      </fill>
    </dxf>
    <dxf>
      <fill>
        <patternFill>
          <bgColor theme="5" tint="0.79998168889431442"/>
        </patternFill>
      </fill>
    </dxf>
    <dxf>
      <fill>
        <patternFill>
          <bgColor theme="5" tint="0.79998168889431442"/>
        </patternFill>
      </fill>
    </dxf>
    <dxf>
      <font>
        <b/>
        <i val="0"/>
        <color theme="0"/>
      </font>
      <fill>
        <patternFill>
          <bgColor theme="5" tint="-0.24994659260841701"/>
        </patternFill>
      </fill>
    </dxf>
    <dxf>
      <font>
        <b/>
        <i val="0"/>
      </font>
      <fill>
        <patternFill>
          <bgColor theme="5" tint="0.59996337778862885"/>
        </patternFill>
      </fill>
    </dxf>
    <dxf>
      <font>
        <b/>
        <i val="0"/>
        <color theme="0"/>
      </font>
      <fill>
        <patternFill>
          <bgColor theme="5" tint="-0.24994659260841701"/>
        </patternFill>
      </fill>
    </dxf>
    <dxf>
      <font>
        <b/>
        <i val="0"/>
      </font>
      <fill>
        <patternFill>
          <bgColor theme="5" tint="0.59996337778862885"/>
        </patternFill>
      </fill>
    </dxf>
    <dxf>
      <font>
        <b/>
        <i val="0"/>
        <color theme="0"/>
      </font>
      <fill>
        <patternFill>
          <bgColor theme="5" tint="-0.24994659260841701"/>
        </patternFill>
      </fill>
    </dxf>
    <dxf>
      <font>
        <b/>
        <i val="0"/>
      </font>
      <fill>
        <patternFill>
          <bgColor theme="5" tint="0.59996337778862885"/>
        </patternFill>
      </fill>
    </dxf>
    <dxf>
      <fill>
        <patternFill>
          <bgColor theme="5" tint="0.79998168889431442"/>
        </patternFill>
      </fill>
    </dxf>
    <dxf>
      <font>
        <b/>
        <i val="0"/>
        <color theme="0"/>
      </font>
      <fill>
        <patternFill>
          <bgColor theme="5" tint="-0.24994659260841701"/>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numFmt numFmtId="169" formatCode="_(* #,##0.0_);_(* \(#,##0.0\);_(* &quot;-&quot;?_);_(@_)"/>
      <border>
        <bottom/>
      </border>
    </dxf>
    <dxf>
      <numFmt numFmtId="169" formatCode="_(* #,##0.0_);_(* \(#,##0.0\);_(* &quot;-&quot;?_);_(@_)"/>
    </dxf>
    <dxf>
      <numFmt numFmtId="170" formatCode="_(&quot;$&quot;* #,##0.0_);_(&quot;$&quot;* \(#,##0.0\);_(&quot;$&quot;* &quot;-&quot;?_);_(@_)"/>
      <border>
        <bottom/>
      </border>
    </dxf>
    <dxf>
      <font>
        <b/>
        <i val="0"/>
      </font>
      <numFmt numFmtId="170" formatCode="_(&quot;$&quot;* #,##0.0_);_(&quot;$&quot;* \(#,##0.0\);_(&quot;$&quot;* &quot;-&quot;?_);_(@_)"/>
    </dxf>
    <dxf>
      <numFmt numFmtId="170" formatCode="_(&quot;$&quot;* #,##0.0_);_(&quot;$&quot;* \(#,##0.0\);_(&quot;$&quot;* &quot;-&quot;?_);_(@_)"/>
    </dxf>
    <dxf>
      <numFmt numFmtId="170" formatCode="_(&quot;$&quot;* #,##0.0_);_(&quot;$&quot;* \(#,##0.0\);_(&quot;$&quot;* &quot;-&quot;?_);_(@_)"/>
      <border>
        <bottom/>
      </border>
    </dxf>
    <dxf>
      <numFmt numFmtId="169" formatCode="_(* #,##0.0_);_(* \(#,##0.0\);_(* &quot;-&quot;?_);_(@_)"/>
    </dxf>
    <dxf>
      <numFmt numFmtId="169" formatCode="_(* #,##0.0_);_(* \(#,##0.0\);_(* &quot;-&quot;?_);_(@_)"/>
      <border>
        <bottom/>
      </border>
    </dxf>
    <dxf>
      <numFmt numFmtId="170" formatCode="_(&quot;$&quot;* #,##0.0_);_(&quot;$&quot;* \(#,##0.0\);_(&quot;$&quot;* &quot;-&quot;?_);_(@_)"/>
    </dxf>
    <dxf>
      <numFmt numFmtId="34" formatCode="_(&quot;$&quot;* #,##0.00_);_(&quot;$&quot;* \(#,##0.00\);_(&quot;$&quot;* &quot;-&quot;??_);_(@_)"/>
    </dxf>
    <dxf>
      <numFmt numFmtId="34" formatCode="_(&quot;$&quot;* #,##0.00_);_(&quot;$&quot;* \(#,##0.00\);_(&quot;$&quot;* &quot;-&quot;??_);_(@_)"/>
      <border>
        <bottom/>
      </border>
    </dxf>
    <dxf>
      <numFmt numFmtId="35" formatCode="_(* #,##0.00_);_(* \(#,##0.00\);_(* &quot;-&quot;??_);_(@_)"/>
    </dxf>
    <dxf>
      <numFmt numFmtId="35" formatCode="_(* #,##0.00_);_(* \(#,##0.00\);_(* &quot;-&quot;??_);_(@_)"/>
      <border>
        <bottom/>
      </border>
    </dxf>
    <dxf>
      <font>
        <b/>
        <i val="0"/>
      </font>
      <numFmt numFmtId="34" formatCode="_(&quot;$&quot;* #,##0.00_);_(&quot;$&quot;* \(#,##0.00\);_(&quot;$&quot;* &quot;-&quot;??_);_(@_)"/>
    </dxf>
    <dxf>
      <font>
        <b/>
        <i val="0"/>
        <color auto="1"/>
      </font>
      <numFmt numFmtId="34" formatCode="_(&quot;$&quot;* #,##0.00_);_(&quot;$&quot;* \(#,##0.00\);_(&quot;$&quot;* &quot;-&quot;??_);_(@_)"/>
      <fill>
        <patternFill>
          <bgColor theme="2" tint="-0.24994659260841701"/>
        </patternFill>
      </fill>
    </dxf>
    <dxf>
      <font>
        <b/>
        <i val="0"/>
      </font>
      <numFmt numFmtId="170" formatCode="_(&quot;$&quot;* #,##0.0_);_(&quot;$&quot;* \(#,##0.0\);_(&quot;$&quot;* &quot;-&quot;?_);_(@_)"/>
      <fill>
        <patternFill>
          <bgColor theme="2" tint="-0.24994659260841701"/>
        </patternFill>
      </fill>
    </dxf>
    <dxf>
      <font>
        <b/>
        <i val="0"/>
      </font>
      <numFmt numFmtId="170" formatCode="_(&quot;$&quot;* #,##0.0_);_(&quot;$&quot;* \(#,##0.0\);_(&quot;$&quot;* &quot;-&quot;?_);_(@_)"/>
    </dxf>
    <dxf>
      <font>
        <b/>
        <i val="0"/>
      </font>
      <numFmt numFmtId="170" formatCode="_(&quot;$&quot;* #,##0.0_);_(&quot;$&quot;* \(#,##0.0\);_(&quot;$&quot;* &quot;-&quot;?_);_(@_)"/>
      <border>
        <top style="thin">
          <color auto="1"/>
        </top>
        <bottom style="thin">
          <color auto="1"/>
        </bottom>
      </border>
    </dxf>
    <dxf>
      <font>
        <b/>
        <i val="0"/>
      </font>
      <numFmt numFmtId="34" formatCode="_(&quot;$&quot;* #,##0.00_);_(&quot;$&quot;* \(#,##0.00\);_(&quot;$&quot;* &quot;-&quot;??_);_(@_)"/>
      <border>
        <top style="thin">
          <color auto="1"/>
        </top>
        <bottom style="thin">
          <color auto="1"/>
        </bottom>
      </border>
    </dxf>
    <dxf>
      <font>
        <b/>
        <i/>
        <color theme="0"/>
      </font>
      <fill>
        <patternFill>
          <bgColor theme="5" tint="-0.24994659260841701"/>
        </patternFill>
      </fill>
    </dxf>
    <dxf>
      <font>
        <b/>
        <i val="0"/>
      </font>
      <fill>
        <patternFill>
          <bgColor theme="2" tint="-0.24994659260841701"/>
        </patternFill>
      </fill>
    </dxf>
    <dxf>
      <numFmt numFmtId="170" formatCode="_(&quot;$&quot;* #,##0.0_);_(&quot;$&quot;* \(#,##0.0\);_(&quot;$&quot;* &quot;-&quot;?_);_(@_)"/>
    </dxf>
    <dxf>
      <font>
        <b/>
        <i val="0"/>
      </font>
      <numFmt numFmtId="170" formatCode="_(&quot;$&quot;* #,##0.0_);_(&quot;$&quot;* \(#,##0.0\);_(&quot;$&quot;* &quot;-&quot;?_);_(@_)"/>
      <border>
        <top style="thin">
          <color auto="1"/>
        </top>
        <bottom style="thin">
          <color auto="1"/>
        </bottom>
      </border>
    </dxf>
    <dxf>
      <numFmt numFmtId="35" formatCode="_(* #,##0.00_);_(* \(#,##0.00\);_(* &quot;-&quot;??_);_(@_)"/>
    </dxf>
    <dxf>
      <numFmt numFmtId="35" formatCode="_(* #,##0.00_);_(* \(#,##0.00\);_(* &quot;-&quot;??_);_(@_)"/>
      <border>
        <bottom/>
      </border>
    </dxf>
    <dxf>
      <numFmt numFmtId="34" formatCode="_(&quot;$&quot;* #,##0.00_);_(&quot;$&quot;* \(#,##0.00\);_(&quot;$&quot;* &quot;-&quot;??_);_(@_)"/>
      <border>
        <bottom/>
      </border>
    </dxf>
    <dxf>
      <numFmt numFmtId="169" formatCode="_(* #,##0.0_);_(* \(#,##0.0\);_(* &quot;-&quot;?_);_(@_)"/>
      <border>
        <bottom/>
      </border>
    </dxf>
    <dxf>
      <numFmt numFmtId="170" formatCode="_(&quot;$&quot;* #,##0.0_);_(&quot;$&quot;* \(#,##0.0\);_(&quot;$&quot;* &quot;-&quot;?_);_(@_)"/>
      <border>
        <bottom/>
      </border>
    </dxf>
    <dxf>
      <numFmt numFmtId="34" formatCode="_(&quot;$&quot;* #,##0.00_);_(&quot;$&quot;* \(#,##0.00\);_(&quot;$&quot;* &quot;-&quot;??_);_(@_)"/>
    </dxf>
    <dxf>
      <numFmt numFmtId="170" formatCode="_(&quot;$&quot;* #,##0.0_);_(&quot;$&quot;* \(#,##0.0\);_(&quot;$&quot;* &quot;-&quot;?_);_(@_)"/>
    </dxf>
    <dxf>
      <font>
        <b/>
        <i val="0"/>
      </font>
      <numFmt numFmtId="170" formatCode="_(&quot;$&quot;* #,##0.0_);_(&quot;$&quot;* \(#,##0.0\);_(&quot;$&quot;* &quot;-&quot;?_);_(@_)"/>
    </dxf>
    <dxf>
      <numFmt numFmtId="169" formatCode="_(* #,##0.0_);_(* \(#,##0.0\);_(* &quot;-&quot;?_);_(@_)"/>
      <border>
        <bottom/>
      </border>
    </dxf>
    <dxf>
      <numFmt numFmtId="169" formatCode="_(* #,##0.0_);_(* \(#,##0.0\);_(* &quot;-&quot;?_);_(@_)"/>
    </dxf>
    <dxf>
      <font>
        <b/>
        <i val="0"/>
      </font>
      <numFmt numFmtId="34" formatCode="_(&quot;$&quot;* #,##0.00_);_(&quot;$&quot;* \(#,##0.00\);_(&quot;$&quot;* &quot;-&quot;??_);_(@_)"/>
      <border>
        <top style="thin">
          <color auto="1"/>
        </top>
        <bottom style="thin">
          <color auto="1"/>
        </bottom>
      </border>
    </dxf>
    <dxf>
      <numFmt numFmtId="170" formatCode="_(&quot;$&quot;* #,##0.0_);_(&quot;$&quot;* \(#,##0.0\);_(&quot;$&quot;* &quot;-&quot;?_);_(@_)"/>
      <border>
        <bottom/>
      </border>
    </dxf>
    <dxf>
      <font>
        <b/>
        <i val="0"/>
        <color auto="1"/>
      </font>
      <fill>
        <patternFill>
          <bgColor theme="5" tint="0.39994506668294322"/>
        </patternFill>
      </fill>
    </dxf>
    <dxf>
      <font>
        <b/>
        <i val="0"/>
      </font>
      <fill>
        <patternFill>
          <bgColor theme="2" tint="-0.24994659260841701"/>
        </patternFill>
      </fill>
    </dxf>
    <dxf>
      <font>
        <b val="0"/>
        <i/>
      </font>
      <fill>
        <patternFill>
          <bgColor theme="2"/>
        </patternFill>
      </fill>
    </dxf>
    <dxf>
      <font>
        <color theme="0"/>
      </font>
      <border>
        <left/>
        <right/>
        <bottom/>
        <vertical/>
        <horizontal/>
      </border>
    </dxf>
    <dxf>
      <font>
        <b/>
        <i val="0"/>
        <color theme="0"/>
      </font>
      <fill>
        <patternFill>
          <bgColor theme="1"/>
        </patternFill>
      </fill>
    </dxf>
    <dxf>
      <font>
        <b/>
        <i val="0"/>
        <color theme="0"/>
      </font>
      <fill>
        <patternFill>
          <bgColor theme="1"/>
        </patternFill>
      </fill>
    </dxf>
    <dxf>
      <font>
        <color auto="1"/>
      </font>
      <border>
        <bottom/>
        <vertical/>
        <horizontal/>
      </border>
    </dxf>
    <dxf>
      <font>
        <color auto="1"/>
      </font>
      <border>
        <bottom/>
        <vertical/>
        <horizontal/>
      </border>
    </dxf>
    <dxf>
      <border>
        <left/>
        <vertical/>
        <horizontal/>
      </border>
    </dxf>
    <dxf>
      <font>
        <color theme="0"/>
      </font>
      <fill>
        <patternFill>
          <bgColor theme="0"/>
        </patternFill>
      </fill>
      <border>
        <right/>
        <bottom/>
        <vertical/>
        <horizontal/>
      </border>
    </dxf>
    <dxf>
      <numFmt numFmtId="35" formatCode="_(* #,##0.00_);_(* \(#,##0.00\);_(* &quot;-&quot;??_);_(@_)"/>
      <border>
        <bottom/>
      </border>
    </dxf>
    <dxf>
      <numFmt numFmtId="35" formatCode="_(* #,##0.00_);_(* \(#,##0.00\);_(* &quot;-&quot;??_);_(@_)"/>
    </dxf>
    <dxf>
      <numFmt numFmtId="169" formatCode="_(* #,##0.0_);_(* \(#,##0.0\);_(* &quot;-&quot;?_);_(@_)"/>
      <border>
        <bottom/>
      </border>
    </dxf>
    <dxf>
      <numFmt numFmtId="169" formatCode="_(* #,##0.0_);_(* \(#,##0.0\);_(* &quot;-&quot;?_);_(@_)"/>
    </dxf>
    <dxf>
      <font>
        <b/>
        <i val="0"/>
      </font>
      <numFmt numFmtId="34" formatCode="_(&quot;$&quot;* #,##0.00_);_(&quot;$&quot;* \(#,##0.00\);_(&quot;$&quot;* &quot;-&quot;??_);_(@_)"/>
      <border>
        <top style="thin">
          <color auto="1"/>
        </top>
        <bottom style="thin">
          <color auto="1"/>
        </bottom>
      </border>
    </dxf>
    <dxf>
      <font>
        <b/>
        <i val="0"/>
      </font>
      <numFmt numFmtId="170" formatCode="_(&quot;$&quot;* #,##0.0_);_(&quot;$&quot;* \(#,##0.0\);_(&quot;$&quot;* &quot;-&quot;?_);_(@_)"/>
      <border>
        <top style="thin">
          <color auto="1"/>
        </top>
        <bottom style="thin">
          <color auto="1"/>
        </bottom>
      </border>
    </dxf>
    <dxf>
      <font>
        <b/>
        <i val="0"/>
      </font>
      <fill>
        <patternFill>
          <bgColor theme="2" tint="-0.24994659260841701"/>
        </patternFill>
      </fill>
    </dxf>
    <dxf>
      <font>
        <color theme="0"/>
      </font>
      <border>
        <left/>
        <right/>
        <bottom/>
        <vertical/>
        <horizontal/>
      </border>
    </dxf>
    <dxf>
      <font>
        <b/>
        <i val="0"/>
        <color auto="1"/>
      </font>
      <fill>
        <patternFill>
          <bgColor theme="5" tint="0.39994506668294322"/>
        </patternFill>
      </fill>
    </dxf>
    <dxf>
      <font>
        <color auto="1"/>
      </font>
      <border>
        <bottom/>
        <vertical/>
        <horizontal/>
      </border>
    </dxf>
    <dxf>
      <font>
        <color auto="1"/>
      </font>
      <border>
        <bottom/>
        <vertical/>
        <horizontal/>
      </border>
    </dxf>
    <dxf>
      <numFmt numFmtId="35" formatCode="_(* #,##0.00_);_(* \(#,##0.00\);_(* &quot;-&quot;??_);_(@_)"/>
    </dxf>
    <dxf>
      <numFmt numFmtId="34" formatCode="_(&quot;$&quot;* #,##0.00_);_(&quot;$&quot;* \(#,##0.00\);_(&quot;$&quot;* &quot;-&quot;??_);_(@_)"/>
      <border>
        <bottom/>
      </border>
    </dxf>
    <dxf>
      <numFmt numFmtId="34" formatCode="_(&quot;$&quot;* #,##0.00_);_(&quot;$&quot;* \(#,##0.00\);_(&quot;$&quot;* &quot;-&quot;??_);_(@_)"/>
      <border>
        <top style="thin">
          <color auto="1"/>
        </top>
        <bottom style="thin">
          <color auto="1"/>
        </bottom>
      </border>
    </dxf>
    <dxf>
      <font>
        <b/>
        <i val="0"/>
      </font>
      <numFmt numFmtId="170" formatCode="_(&quot;$&quot;* #,##0.0_);_(&quot;$&quot;* \(#,##0.0\);_(&quot;$&quot;* &quot;-&quot;?_);_(@_)"/>
      <border>
        <top style="thin">
          <color auto="1"/>
        </top>
      </border>
    </dxf>
    <dxf>
      <numFmt numFmtId="169" formatCode="_(* #,##0.0_);_(* \(#,##0.0\);_(* &quot;-&quot;?_);_(@_)"/>
      <border>
        <bottom/>
      </border>
    </dxf>
    <dxf>
      <numFmt numFmtId="169" formatCode="_(* #,##0.0_);_(* \(#,##0.0\);_(* &quot;-&quot;?_);_(@_)"/>
    </dxf>
    <dxf>
      <numFmt numFmtId="170" formatCode="_(&quot;$&quot;* #,##0.0_);_(&quot;$&quot;* \(#,##0.0\);_(&quot;$&quot;* &quot;-&quot;?_);_(@_)"/>
      <border>
        <bottom/>
      </border>
    </dxf>
    <dxf>
      <numFmt numFmtId="170" formatCode="_(&quot;$&quot;* #,##0.0_);_(&quot;$&quot;* \(#,##0.0\);_(&quot;$&quot;* &quot;-&quot;?_);_(@_)"/>
      <border>
        <top style="thin">
          <color auto="1"/>
        </top>
        <bottom style="thin">
          <color auto="1"/>
        </bottom>
      </border>
    </dxf>
    <dxf>
      <numFmt numFmtId="169" formatCode="_(* #,##0.0_);_(* \(#,##0.0\);_(* &quot;-&quot;?_);_(@_)"/>
      <border>
        <bottom/>
      </border>
    </dxf>
    <dxf>
      <numFmt numFmtId="169" formatCode="_(* #,##0.0_);_(* \(#,##0.0\);_(* &quot;-&quot;?_);_(@_)"/>
    </dxf>
    <dxf>
      <numFmt numFmtId="170" formatCode="_(&quot;$&quot;* #,##0.0_);_(&quot;$&quot;* \(#,##0.0\);_(&quot;$&quot;* &quot;-&quot;?_);_(@_)"/>
      <border>
        <bottom/>
      </border>
    </dxf>
    <dxf>
      <numFmt numFmtId="170" formatCode="_(&quot;$&quot;* #,##0.0_);_(&quot;$&quot;* \(#,##0.0\);_(&quot;$&quot;* &quot;-&quot;?_);_(@_)"/>
    </dxf>
    <dxf>
      <font>
        <b/>
        <i val="0"/>
      </font>
      <numFmt numFmtId="34" formatCode="_(&quot;$&quot;* #,##0.00_);_(&quot;$&quot;* \(#,##0.00\);_(&quot;$&quot;* &quot;-&quot;??_);_(@_)"/>
    </dxf>
    <dxf>
      <numFmt numFmtId="35" formatCode="_(* #,##0.00_);_(* \(#,##0.00\);_(* &quot;-&quot;??_);_(@_)"/>
      <border>
        <bottom/>
      </border>
    </dxf>
    <dxf>
      <font>
        <b/>
        <i val="0"/>
      </font>
      <fill>
        <patternFill>
          <bgColor theme="2" tint="-0.24994659260841701"/>
        </patternFill>
      </fill>
    </dxf>
    <dxf>
      <font>
        <color theme="0"/>
      </font>
      <border>
        <left/>
        <right/>
        <bottom/>
        <vertical/>
        <horizontal/>
      </border>
    </dxf>
    <dxf>
      <font>
        <b/>
        <i val="0"/>
        <color auto="1"/>
      </font>
      <fill>
        <patternFill>
          <bgColor theme="5" tint="0.39994506668294322"/>
        </patternFill>
      </fill>
    </dxf>
    <dxf>
      <font>
        <b/>
        <i val="0"/>
        <color theme="0"/>
      </font>
      <fill>
        <patternFill>
          <bgColor theme="1"/>
        </patternFill>
      </fill>
    </dxf>
    <dxf>
      <font>
        <color auto="1"/>
      </font>
      <border>
        <bottom/>
        <vertical/>
        <horizontal/>
      </border>
    </dxf>
    <dxf>
      <font>
        <color auto="1"/>
      </font>
      <border>
        <bottom/>
        <vertical/>
        <horizontal/>
      </border>
    </dxf>
    <dxf>
      <numFmt numFmtId="169" formatCode="_(* #,##0.0_);_(* \(#,##0.0\);_(* &quot;-&quot;?_);_(@_)"/>
      <border>
        <bottom/>
      </border>
    </dxf>
    <dxf>
      <numFmt numFmtId="34" formatCode="_(&quot;$&quot;* #,##0.00_);_(&quot;$&quot;* \(#,##0.00\);_(&quot;$&quot;* &quot;-&quot;??_);_(@_)"/>
      <border>
        <top style="thin">
          <color auto="1"/>
        </top>
        <bottom style="thin">
          <color auto="1"/>
        </bottom>
      </border>
    </dxf>
    <dxf>
      <numFmt numFmtId="34" formatCode="_(&quot;$&quot;* #,##0.00_);_(&quot;$&quot;* \(#,##0.00\);_(&quot;$&quot;* &quot;-&quot;??_);_(@_)"/>
      <border>
        <bottom/>
      </border>
    </dxf>
    <dxf>
      <numFmt numFmtId="35" formatCode="_(* #,##0.00_);_(* \(#,##0.00\);_(* &quot;-&quot;??_);_(@_)"/>
    </dxf>
    <dxf>
      <numFmt numFmtId="35" formatCode="_(* #,##0.00_);_(* \(#,##0.00\);_(* &quot;-&quot;??_);_(@_)"/>
      <border>
        <bottom/>
      </border>
    </dxf>
    <dxf>
      <numFmt numFmtId="170" formatCode="_(&quot;$&quot;* #,##0.0_);_(&quot;$&quot;* \(#,##0.0\);_(&quot;$&quot;* &quot;-&quot;?_);_(@_)"/>
      <border>
        <top style="thin">
          <color auto="1"/>
        </top>
        <bottom style="thin">
          <color auto="1"/>
        </bottom>
      </border>
    </dxf>
    <dxf>
      <numFmt numFmtId="170" formatCode="_(&quot;$&quot;* #,##0.0_);_(&quot;$&quot;* \(#,##0.0\);_(&quot;$&quot;* &quot;-&quot;?_);_(@_)"/>
      <border>
        <bottom/>
      </border>
    </dxf>
    <dxf>
      <numFmt numFmtId="169" formatCode="_(* #,##0.0_);_(* \(#,##0.0\);_(* &quot;-&quot;?_);_(@_)"/>
    </dxf>
    <dxf>
      <font>
        <color theme="0"/>
      </font>
      <border>
        <left/>
        <right/>
        <bottom/>
        <vertical/>
        <horizontal/>
      </border>
    </dxf>
    <dxf>
      <font>
        <b val="0"/>
        <i/>
      </font>
      <fill>
        <patternFill>
          <bgColor theme="2"/>
        </patternFill>
      </fill>
    </dxf>
    <dxf>
      <font>
        <b/>
        <i val="0"/>
        <color theme="0"/>
      </font>
      <fill>
        <patternFill>
          <bgColor theme="1"/>
        </patternFill>
      </fill>
    </dxf>
    <dxf>
      <font>
        <b/>
        <i val="0"/>
        <color theme="0"/>
      </font>
      <fill>
        <patternFill>
          <bgColor theme="1"/>
        </patternFill>
      </fill>
    </dxf>
    <dxf>
      <font>
        <color auto="1"/>
      </font>
      <border>
        <bottom/>
        <vertical/>
        <horizontal/>
      </border>
    </dxf>
    <dxf>
      <font>
        <color auto="1"/>
      </font>
      <border>
        <bottom/>
        <vertical/>
        <horizontal/>
      </border>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numFmt numFmtId="34" formatCode="_(&quot;$&quot;* #,##0.00_);_(&quot;$&quot;* \(#,##0.00\);_(&quot;$&quot;* &quot;-&quot;??_);_(@_)"/>
    </dxf>
    <dxf>
      <numFmt numFmtId="35" formatCode="_(* #,##0.00_);_(* \(#,##0.00\);_(* &quot;-&quot;??_);_(@_)"/>
    </dxf>
    <dxf>
      <font>
        <b/>
        <i val="0"/>
        <color theme="0"/>
      </font>
      <fill>
        <patternFill>
          <bgColor rgb="FFFF0000"/>
        </patternFill>
      </fill>
    </dxf>
    <dxf>
      <font>
        <b/>
        <i val="0"/>
        <color auto="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font>
    </dxf>
    <dxf>
      <font>
        <b/>
        <i val="0"/>
        <color theme="0"/>
      </font>
      <fill>
        <patternFill>
          <fgColor theme="1"/>
          <bgColor theme="1"/>
        </patternFill>
      </fill>
    </dxf>
    <dxf>
      <font>
        <b val="0"/>
        <i/>
      </font>
    </dxf>
    <dxf>
      <numFmt numFmtId="34" formatCode="_(&quot;$&quot;* #,##0.00_);_(&quot;$&quot;* \(#,##0.00\);_(&quot;$&quot;* &quot;-&quot;??_);_(@_)"/>
    </dxf>
    <dxf>
      <numFmt numFmtId="35" formatCode="_(* #,##0.00_);_(* \(#,##0.00\);_(* &quot;-&quot;??_);_(@_)"/>
    </dxf>
    <dxf>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numFmt numFmtId="34" formatCode="_(&quot;$&quot;* #,##0.00_);_(&quot;$&quot;* \(#,##0.00\);_(&quot;$&quot;* &quot;-&quot;??_);_(@_)"/>
    </dxf>
    <dxf>
      <numFmt numFmtId="35" formatCode="_(* #,##0.00_);_(* \(#,##0.00\);_(* &quot;-&quot;??_);_(@_)"/>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font>
        <b/>
        <i val="0"/>
        <color theme="0"/>
      </font>
      <fill>
        <patternFill>
          <bgColor theme="9" tint="-0.24994659260841701"/>
        </patternFill>
      </fill>
    </dxf>
    <dxf>
      <font>
        <b/>
        <i val="0"/>
        <color theme="1"/>
      </font>
      <fill>
        <patternFill>
          <bgColor rgb="FFFFFF00"/>
        </patternFill>
      </fill>
    </dxf>
    <dxf>
      <font>
        <b val="0"/>
        <i/>
      </font>
    </dxf>
    <dxf>
      <font>
        <b/>
        <i val="0"/>
      </font>
      <fill>
        <patternFill>
          <bgColor theme="2" tint="-9.9948118533890809E-2"/>
        </patternFill>
      </fill>
    </dxf>
    <dxf>
      <font>
        <b/>
        <i/>
      </font>
    </dxf>
    <dxf>
      <font>
        <b/>
        <i val="0"/>
        <color theme="0"/>
      </font>
      <fill>
        <patternFill>
          <fgColor theme="1"/>
          <bgColor theme="1" tint="0.34998626667073579"/>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dxf>
    <dxf>
      <numFmt numFmtId="34" formatCode="_(&quot;$&quot;* #,##0.00_);_(&quot;$&quot;* \(#,##0.00\);_(&quot;$&quot;* &quot;-&quot;??_);_(@_)"/>
      <border>
        <top style="thin">
          <color auto="1"/>
        </top>
        <bottom style="thin">
          <color auto="1"/>
        </bottom>
      </border>
    </dxf>
    <dxf>
      <font>
        <b/>
        <i val="0"/>
        <color theme="1"/>
      </font>
      <fill>
        <patternFill>
          <bgColor rgb="FFFFFF00"/>
        </patternFill>
      </fill>
    </dxf>
    <dxf>
      <font>
        <b/>
        <i val="0"/>
        <color theme="0"/>
      </font>
      <fill>
        <patternFill>
          <bgColor theme="9" tint="-0.24994659260841701"/>
        </patternFill>
      </fill>
    </dxf>
    <dxf>
      <font>
        <b val="0"/>
        <i/>
      </font>
      <fill>
        <patternFill patternType="none">
          <bgColor auto="1"/>
        </patternFill>
      </fill>
    </dxf>
    <dxf>
      <font>
        <b/>
        <i val="0"/>
        <color theme="0"/>
      </font>
      <fill>
        <patternFill>
          <fgColor theme="1"/>
          <bgColor theme="1"/>
        </patternFill>
      </fill>
    </dxf>
    <dxf>
      <font>
        <b/>
        <i val="0"/>
      </font>
      <fill>
        <patternFill>
          <bgColor theme="2" tint="-9.9948118533890809E-2"/>
        </patternFill>
      </fill>
    </dxf>
    <dxf>
      <numFmt numFmtId="34" formatCode="_(&quot;$&quot;* #,##0.00_);_(&quot;$&quot;* \(#,##0.00\);_(&quot;$&quot;* &quot;-&quot;??_);_(@_)"/>
    </dxf>
    <dxf>
      <numFmt numFmtId="35" formatCode="_(* #,##0.00_);_(* \(#,##0.00\);_(* &quot;-&quot;??_);_(@_)"/>
    </dxf>
    <dxf>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font>
        <b/>
        <i val="0"/>
        <color theme="0"/>
      </font>
      <fill>
        <patternFill>
          <bgColor rgb="FFFF0000"/>
        </patternFill>
      </fill>
    </dxf>
    <dxf>
      <font>
        <b/>
        <i val="0"/>
        <color auto="1"/>
      </font>
      <fill>
        <patternFill>
          <bgColor rgb="FFFFFF00"/>
        </patternFill>
      </fill>
    </dxf>
    <dxf>
      <font>
        <b/>
        <i val="0"/>
        <color theme="0"/>
      </font>
      <fill>
        <patternFill>
          <bgColor theme="9" tint="-0.24994659260841701"/>
        </patternFill>
      </fill>
    </dxf>
    <dxf>
      <font>
        <b val="0"/>
        <i/>
      </font>
    </dxf>
    <dxf>
      <font>
        <b/>
        <i/>
      </font>
    </dxf>
    <dxf>
      <font>
        <b/>
        <i val="0"/>
        <color theme="0"/>
      </font>
      <fill>
        <patternFill>
          <fgColor theme="1"/>
          <bgColor theme="1"/>
        </patternFill>
      </fill>
    </dxf>
    <dxf>
      <font>
        <b/>
        <i val="0"/>
      </font>
      <fill>
        <patternFill>
          <bgColor theme="2" tint="-9.9948118533890809E-2"/>
        </patternFill>
      </fill>
    </dxf>
    <dxf>
      <fill>
        <patternFill>
          <bgColor theme="4" tint="0.79998168889431442"/>
        </patternFill>
      </fill>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5" formatCode="_(* #,##0.00_);_(* \(#,##0.00\);_(*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ont>
        <color theme="0"/>
      </font>
    </dxf>
    <dxf>
      <font>
        <color theme="0"/>
      </font>
      <fill>
        <patternFill>
          <fgColor theme="0"/>
        </patternFill>
      </fil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ill>
        <patternFill patternType="solid">
          <fgColor indexed="64"/>
          <bgColor theme="0"/>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b/>
        <i val="0"/>
      </font>
      <fill>
        <patternFill>
          <bgColor theme="9" tint="0.79998168889431442"/>
        </patternFill>
      </fill>
    </dxf>
    <dxf>
      <font>
        <b/>
        <i val="0"/>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165" formatCode="_(* #,##0_);_(* \(#,##0\);_(* &quot;-&quot;??_);_(@_)"/>
    </dxf>
    <dxf>
      <numFmt numFmtId="0" formatCode="Genera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898"/>
      <tableStyleElement type="headerRow" dxfId="897"/>
    </tableStyle>
  </tableStyles>
  <colors>
    <mruColors>
      <color rgb="FFFF4B4B"/>
      <color rgb="FFFFC8C8"/>
      <color rgb="FF00E600"/>
      <color rgb="FFE2FADA"/>
      <color rgb="FFFFD5D5"/>
      <color rgb="FFFF8C8C"/>
      <color rgb="FFFF7878"/>
      <color rgb="FFFF7575"/>
      <color rgb="FFFA6400"/>
      <color rgb="FFFFC8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hyperlink" Target="#Analysis_Help!A1"/><Relationship Id="rId1" Type="http://schemas.openxmlformats.org/officeDocument/2006/relationships/hyperlink" Target="#Tools!A1"/></Relationships>
</file>

<file path=xl/drawings/_rels/drawing4.xml.rels><?xml version="1.0" encoding="UTF-8" standalone="yes"?>
<Relationships xmlns="http://schemas.openxmlformats.org/package/2006/relationships"><Relationship Id="rId1" Type="http://schemas.openxmlformats.org/officeDocument/2006/relationships/hyperlink" Target="#Journal!A1"/></Relationships>
</file>

<file path=xl/drawings/_rels/drawing5.xml.rels><?xml version="1.0" encoding="UTF-8" standalone="yes"?>
<Relationships xmlns="http://schemas.openxmlformats.org/package/2006/relationships"><Relationship Id="rId1"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editAs="absolute">
    <xdr:from>
      <xdr:col>16</xdr:col>
      <xdr:colOff>203502</xdr:colOff>
      <xdr:row>3</xdr:row>
      <xdr:rowOff>174931</xdr:rowOff>
    </xdr:from>
    <xdr:to>
      <xdr:col>17</xdr:col>
      <xdr:colOff>347079</xdr:colOff>
      <xdr:row>5</xdr:row>
      <xdr:rowOff>100937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157610" y="679023"/>
          <a:ext cx="774132" cy="28942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16</xdr:col>
      <xdr:colOff>222989</xdr:colOff>
      <xdr:row>2</xdr:row>
      <xdr:rowOff>6466</xdr:rowOff>
    </xdr:from>
    <xdr:to>
      <xdr:col>18</xdr:col>
      <xdr:colOff>166614</xdr:colOff>
      <xdr:row>3</xdr:row>
      <xdr:rowOff>93786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177097" y="317128"/>
          <a:ext cx="1183780" cy="280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editAs="absolute">
    <xdr:from>
      <xdr:col>19</xdr:col>
      <xdr:colOff>53395</xdr:colOff>
      <xdr:row>4</xdr:row>
      <xdr:rowOff>1099</xdr:rowOff>
    </xdr:from>
    <xdr:to>
      <xdr:col>21</xdr:col>
      <xdr:colOff>125638</xdr:colOff>
      <xdr:row>5</xdr:row>
      <xdr:rowOff>106693</xdr:rowOff>
    </xdr:to>
    <xdr:sp macro="" textlink="">
      <xdr:nvSpPr>
        <xdr:cNvPr id="6" name="Rectangle: Rounded Corners 1">
          <a:extLst>
            <a:ext uri="{FF2B5EF4-FFF2-40B4-BE49-F238E27FC236}">
              <a16:creationId xmlns:a16="http://schemas.microsoft.com/office/drawing/2014/main" id="{6C5E1DC0-FD17-4DF9-8597-2FBE944E18D8}"/>
            </a:ext>
            <a:ext uri="{147F2762-F138-4A5C-976F-8EAC2B608ADB}">
              <a16:predDERef xmlns:a16="http://schemas.microsoft.com/office/drawing/2014/main" pred="{871DD5EA-355C-455B-92B0-49CEBD12DCE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VPd3dyOVd0aEpNcTR2YUpQZ0R5Y2tCVEJycUVOTXUxek9NTEE0M3ExS2pfdw&quot;}"/>
            </a:ext>
          </a:extLst>
        </xdr:cNvPr>
        <xdr:cNvSpPr/>
      </xdr:nvSpPr>
      <xdr:spPr>
        <a:xfrm>
          <a:off x="9606970" y="686899"/>
          <a:ext cx="1291443" cy="2865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Capture_Ts</a:t>
          </a:r>
        </a:p>
      </xdr:txBody>
    </xdr:sp>
    <xdr:clientData/>
  </xdr:twoCellAnchor>
  <xdr:twoCellAnchor>
    <xdr:from>
      <xdr:col>19</xdr:col>
      <xdr:colOff>72390</xdr:colOff>
      <xdr:row>2</xdr:row>
      <xdr:rowOff>34143</xdr:rowOff>
    </xdr:from>
    <xdr:to>
      <xdr:col>20</xdr:col>
      <xdr:colOff>384345</xdr:colOff>
      <xdr:row>3</xdr:row>
      <xdr:rowOff>137942</xdr:rowOff>
    </xdr:to>
    <xdr:sp macro="" textlink="">
      <xdr:nvSpPr>
        <xdr:cNvPr id="4" name="Rectangle: Rounded Corners 3">
          <a:extLst>
            <a:ext uri="{FF2B5EF4-FFF2-40B4-BE49-F238E27FC236}">
              <a16:creationId xmlns:a16="http://schemas.microsoft.com/office/drawing/2014/main" id="{CAC38968-20F5-4A86-85EF-C1074B8CC370}"/>
            </a:ext>
            <a:ext uri="{147F2762-F138-4A5C-976F-8EAC2B608ADB}">
              <a16:predDERef xmlns:a16="http://schemas.microsoft.com/office/drawing/2014/main" pred="{6C5E1DC0-FD17-4DF9-8597-2FBE944E18D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9856470" y="346563"/>
          <a:ext cx="921555" cy="29429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83820</xdr:colOff>
      <xdr:row>2</xdr:row>
      <xdr:rowOff>22860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3820" y="4419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24</xdr:col>
      <xdr:colOff>124480</xdr:colOff>
      <xdr:row>0</xdr:row>
      <xdr:rowOff>155547</xdr:rowOff>
    </xdr:from>
    <xdr:to>
      <xdr:col>24</xdr:col>
      <xdr:colOff>1398193</xdr:colOff>
      <xdr:row>1</xdr:row>
      <xdr:rowOff>158087</xdr:rowOff>
    </xdr:to>
    <xdr:sp macro="" textlink="">
      <xdr:nvSpPr>
        <xdr:cNvPr id="3" name="Rectangle: Rounded Corners 2">
          <a:extLst>
            <a:ext uri="{FF2B5EF4-FFF2-40B4-BE49-F238E27FC236}">
              <a16:creationId xmlns:a16="http://schemas.microsoft.com/office/drawing/2014/main" id="{2B6FFE47-49AA-4417-8F08-313950AB16F1}"/>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18056328" y="155547"/>
          <a:ext cx="1273713" cy="300714"/>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twoCellAnchor>
    <xdr:from>
      <xdr:col>24</xdr:col>
      <xdr:colOff>2557670</xdr:colOff>
      <xdr:row>0</xdr:row>
      <xdr:rowOff>191824</xdr:rowOff>
    </xdr:from>
    <xdr:to>
      <xdr:col>25</xdr:col>
      <xdr:colOff>563991</xdr:colOff>
      <xdr:row>1</xdr:row>
      <xdr:rowOff>186744</xdr:rowOff>
    </xdr:to>
    <xdr:sp macro="" textlink="">
      <xdr:nvSpPr>
        <xdr:cNvPr id="2" name="Rectangle: Rounded Corners 1">
          <a:extLst>
            <a:ext uri="{FF2B5EF4-FFF2-40B4-BE49-F238E27FC236}">
              <a16:creationId xmlns:a16="http://schemas.microsoft.com/office/drawing/2014/main" id="{AE64E9D2-0CDC-47FE-93A6-332E357A9BA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VPd3dyOVd0aEpNcTR2YUpQZ0R5Y2tCVEJycUVOTXUxek9NTEE0M3ExS2pfdw&quot;}"/>
            </a:ext>
          </a:extLst>
        </xdr:cNvPr>
        <xdr:cNvSpPr/>
      </xdr:nvSpPr>
      <xdr:spPr>
        <a:xfrm>
          <a:off x="20489518" y="191824"/>
          <a:ext cx="1037756" cy="293094"/>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5</xdr:col>
      <xdr:colOff>129540</xdr:colOff>
      <xdr:row>2</xdr:row>
      <xdr:rowOff>121920</xdr:rowOff>
    </xdr:from>
    <xdr:to>
      <xdr:col>6</xdr:col>
      <xdr:colOff>139811</xdr:colOff>
      <xdr:row>4</xdr:row>
      <xdr:rowOff>32468</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BA0D5881-C48E-4E91-BEC5-CF05646AE549}"/>
            </a:ext>
          </a:extLst>
        </xdr:cNvPr>
        <xdr:cNvSpPr/>
      </xdr:nvSpPr>
      <xdr:spPr>
        <a:xfrm>
          <a:off x="4937760" y="365760"/>
          <a:ext cx="795131" cy="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46281</xdr:colOff>
      <xdr:row>2</xdr:row>
      <xdr:rowOff>4707</xdr:rowOff>
    </xdr:from>
    <xdr:to>
      <xdr:col>0</xdr:col>
      <xdr:colOff>732081</xdr:colOff>
      <xdr:row>3</xdr:row>
      <xdr:rowOff>113375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C4DDB9A-775D-4FE8-BF55-350165677FE1}"/>
            </a:ext>
          </a:extLst>
        </xdr:cNvPr>
        <xdr:cNvSpPr/>
      </xdr:nvSpPr>
      <xdr:spPr>
        <a:xfrm>
          <a:off x="46281" y="370467"/>
          <a:ext cx="68580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editAs="oneCell">
    <xdr:from>
      <xdr:col>1</xdr:col>
      <xdr:colOff>0</xdr:colOff>
      <xdr:row>0</xdr:row>
      <xdr:rowOff>51436</xdr:rowOff>
    </xdr:from>
    <xdr:to>
      <xdr:col>6</xdr:col>
      <xdr:colOff>916474</xdr:colOff>
      <xdr:row>1</xdr:row>
      <xdr:rowOff>146686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497431</xdr:colOff>
      <xdr:row>1</xdr:row>
      <xdr:rowOff>144780</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556852</xdr:colOff>
      <xdr:row>1</xdr:row>
      <xdr:rowOff>144780</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896" dataDxfId="895">
  <autoFilter ref="C4:D11" xr:uid="{482AB25E-D019-46FA-B7BB-FEB2C3CA4E8F}"/>
  <tableColumns count="2">
    <tableColumn id="1" xr3:uid="{54315034-850B-4CCD-BB5C-1142B2E958FB}" name="ACCOUNT TYPE LABELS" dataDxfId="894"/>
    <tableColumn id="2" xr3:uid="{5C4AF96E-3C52-4162-850E-5A187DCCE09E}" name="Used" dataDxfId="893">
      <calculatedColumnFormula>IF(MD_Account_Type_Labels[[#This Row],[ACCOUNT TYPE LABELS]]="","",IFERROR(IF(SEARCH(MD_Account_Type_Labels[[#This Row],[ACCOUNT TYPE LABELS]],ProblemData!$E$241)&gt;0,1,0),""))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892" dataDxfId="891" headerRowBorderDxfId="889" tableBorderDxfId="890" totalsRowBorderDxfId="888">
  <autoFilter ref="C14:E20" xr:uid="{8AB7E65B-FE57-4A43-A4C2-BE8F7FD53CB6}"/>
  <tableColumns count="3">
    <tableColumn id="1" xr3:uid="{86E6692F-916D-477C-9554-E7F69FBAA0A0}" name="CASH FLOW STATEMENT LABELS" dataDxfId="887"/>
    <tableColumn id="2" xr3:uid="{3C6049F8-578C-4A5E-906E-587C15AE9DE5}" name="Used" dataDxfId="886">
      <calculatedColumnFormula>IF(MD_CF_Labels[[#This Row],[CASH FLOW STATEMENT LABELS]]="","",IFERROR(IF(SEARCH(MD_CF_Labels[[#This Row],[CASH FLOW STATEMENT LABELS]],ProblemData!$E$242)&gt;0,1,0),""))</calculatedColumnFormula>
    </tableColumn>
    <tableColumn id="3" xr3:uid="{187AA945-F3EE-4F45-BB57-B53CEFEBE324}" name="Include on Student List if Used" dataDxfId="88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884" dataDxfId="883" headerRowBorderDxfId="881" tableBorderDxfId="882">
  <autoFilter ref="C55:J78" xr:uid="{A9E74DF4-DF82-4C5C-BFEA-0B8B1B0D6A4E}"/>
  <tableColumns count="8">
    <tableColumn id="1" xr3:uid="{67DF2624-99F1-4DE9-BBA7-EF6D0603A14C}" name="Account Name" dataDxfId="880"/>
    <tableColumn id="2" xr3:uid="{F9C41FF0-FA8C-4CBF-BD47-7E0460B35761}" name="Abbr" dataDxfId="879"/>
    <tableColumn id="3" xr3:uid="{B01D8C3E-F547-4161-BA9A-BAB8916110F8}" name="IncreasedBy" dataDxfId="878"/>
    <tableColumn id="4" xr3:uid="{E16E6374-E2FA-48C4-AB84-F95970F14E2D}" name="C/NC" dataDxfId="877"/>
    <tableColumn id="5" xr3:uid="{1413B834-E2F7-4B5A-87E1-67B50B94FC30}" name="Num" dataDxfId="876">
      <calculatedColumnFormula>G55+1</calculatedColumnFormula>
    </tableColumn>
    <tableColumn id="6" xr3:uid="{4DBE8C9B-F377-4C4A-B3EF-205F80113AFB}" name="Definition" dataDxfId="875"/>
    <tableColumn id="7" xr3:uid="{971A50C0-A3F6-4344-9E40-904DA4DA8A19}" name="Used" dataDxfId="874">
      <calculatedColumnFormula>IF(MD_Asset[[#This Row],[Account Name]]="","",IFERROR(IF(SEARCH(MD_Asset[[#This Row],[Account Name]],ProblemData!$E$241)&gt;0,1,0),""))</calculatedColumnFormula>
    </tableColumn>
    <tableColumn id="8" xr3:uid="{4246301E-7A27-4F96-B52F-9034DEBD9A71}" name="NI_CFO_Recon" dataDxfId="87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872" dataDxfId="871" headerRowBorderDxfId="869" tableBorderDxfId="870">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868"/>
    <tableColumn id="2" xr3:uid="{4ACD15E1-CC97-4846-BC56-8F40BCF47B75}" name="Abbr" dataDxfId="867"/>
    <tableColumn id="3" xr3:uid="{24250252-A3E7-4A11-8251-7EED48F0E692}" name="IncreasedBy" dataDxfId="866"/>
    <tableColumn id="4" xr3:uid="{FA6E0FA9-B937-47D9-AB94-6FAB8F3F7976}" name="C/NC" dataDxfId="865"/>
    <tableColumn id="5" xr3:uid="{B5216291-F156-4686-B58C-4041648ED1CE}" name="Num" dataDxfId="864">
      <calculatedColumnFormula>G82+1</calculatedColumnFormula>
    </tableColumn>
    <tableColumn id="6" xr3:uid="{F02CC045-0030-4A28-80FC-DB1663FCB417}" name="Definition" dataDxfId="863"/>
    <tableColumn id="7" xr3:uid="{88DD3E58-E12C-4E7E-8DDB-C9FBE6FD4B73}" name="Used" dataDxfId="862">
      <calculatedColumnFormula>IF(MD_Liability[[#This Row],[Account Name]]="","",IFERROR(IF(SEARCH(MD_Liability[[#This Row],[Account Name]],ProblemData!$E$241)&gt;0,1,0),""))</calculatedColumnFormula>
    </tableColumn>
    <tableColumn id="8" xr3:uid="{B0C12323-D82F-4C7E-B625-513150CA36B7}" name="NI_CFO_Recon" dataDxfId="86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860" dataDxfId="859" headerRowBorderDxfId="857" tableBorderDxfId="858">
  <autoFilter ref="C115:J128" xr:uid="{DD0AB45A-A1C8-4A1E-9225-FDFCCA12569F}"/>
  <tableColumns count="8">
    <tableColumn id="1" xr3:uid="{1E5BB34C-F6AC-471A-9BE5-1223FD841A38}" name="Account Name" dataDxfId="856"/>
    <tableColumn id="2" xr3:uid="{F3AB8AB9-891B-4FDC-B110-CDF237F1728A}" name="Abbr" dataDxfId="855"/>
    <tableColumn id="3" xr3:uid="{ABE9F3AA-B8A3-4110-843F-82DBAD87EEDD}" name="IncreasedBy" dataDxfId="854"/>
    <tableColumn id="4" xr3:uid="{6AB1C710-ABCC-4E10-B85A-E15AD9007AF9}" name="C/NC" dataDxfId="853"/>
    <tableColumn id="5" xr3:uid="{CCE54330-F3A6-4FE0-8D36-ADC027585ECF}" name="Num" dataDxfId="852">
      <calculatedColumnFormula>G115+1</calculatedColumnFormula>
    </tableColumn>
    <tableColumn id="6" xr3:uid="{A9A5319E-E865-4B2C-A369-125C5B5983F6}" name="Definition" dataDxfId="851"/>
    <tableColumn id="7" xr3:uid="{4944DB4B-8D7D-449A-BF01-0F4FB51D4639}" name="Used" dataDxfId="850">
      <calculatedColumnFormula>IF(MD_Equity[[#This Row],[Account Name]]="","",IFERROR(IF(SEARCH(MD_Equity[[#This Row],[Account Name]],ProblemData!#REF!)&gt;0,1,0),""))</calculatedColumnFormula>
    </tableColumn>
    <tableColumn id="8" xr3:uid="{5A971EC2-3366-4EB1-9AD1-B9914AAB0D31}" name="NI_CFO_Recon" dataDxfId="84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848">
  <autoFilter ref="C134:I144" xr:uid="{35092080-D33E-4040-B5BF-68F10209FF52}"/>
  <tableColumns count="7">
    <tableColumn id="1" xr3:uid="{FD594531-F17B-49EC-8A2E-0C43F6CBA817}" name="Account Name" dataDxfId="847"/>
    <tableColumn id="2" xr3:uid="{E4711200-87DC-410E-8267-0B4E5DFC5134}" name="Abbr" dataDxfId="846"/>
    <tableColumn id="3" xr3:uid="{59E72B4F-BB8E-4576-83DC-13D2B392E9AF}" name="IncreasedBy" dataDxfId="845"/>
    <tableColumn id="4" xr3:uid="{D910189D-57E0-4326-A375-033CF9F7E132}" name="C/NC" dataDxfId="844"/>
    <tableColumn id="5" xr3:uid="{5E47D7BB-EAF8-4EED-8ACF-8D4697B29ECC}" name="Num" dataDxfId="843">
      <calculatedColumnFormula>G134+1</calculatedColumnFormula>
    </tableColumn>
    <tableColumn id="6" xr3:uid="{D0FBD5D3-AB09-4515-A1BA-32E8AFFDF8CC}" name="Definition" dataDxfId="842"/>
    <tableColumn id="7" xr3:uid="{A8627A5B-C0EF-47EA-990F-AEE105D4697B}" name="Used" dataDxfId="841">
      <calculatedColumnFormula>IF(MD_Revenue[[#This Row],[Account Name]]="","",IFERROR(IF(SEARCH(MD_Revenue[[#This Row],[Account Name]],ProblemData!$E$241)&gt;0,1,0),""))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840">
  <autoFilter ref="C148:I166" xr:uid="{ABD27711-0F43-40C2-AFF7-32901D2B9512}"/>
  <tableColumns count="7">
    <tableColumn id="1" xr3:uid="{6ECEAD07-536C-42B6-A1A7-5F83C29ED822}" name="Account Name" dataDxfId="839"/>
    <tableColumn id="2" xr3:uid="{DE5D7DDC-D3A3-407F-ABDB-708A6E27CF91}" name="Abbr" dataDxfId="838"/>
    <tableColumn id="3" xr3:uid="{D025E4E2-97A4-4359-8264-B0C1EF474B3E}" name="IncreasedBy" dataDxfId="837"/>
    <tableColumn id="4" xr3:uid="{8F6F0ECD-D256-4783-876D-8919BAF45EEB}" name="C/NC" dataDxfId="836"/>
    <tableColumn id="5" xr3:uid="{45816497-20CC-45F3-9026-B71CD4C792C1}" name="Num" dataDxfId="835">
      <calculatedColumnFormula>G148+1</calculatedColumnFormula>
    </tableColumn>
    <tableColumn id="6" xr3:uid="{0F45C404-5B0A-41C5-B72A-FEF0E48D6805}" name="Definition" dataDxfId="834"/>
    <tableColumn id="7" xr3:uid="{35DF8A14-AEB5-4053-B232-0EC5BA5FEAF0}" name="Used" dataDxfId="833">
      <calculatedColumnFormula>IF(MD_Expense[[#This Row],[Account Name]]="","",IFERROR(IF(SEARCH(MD_Expense[[#This Row],[Account Name]],ProblemData!$E$241)&gt;0,1,0),""))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832">
  <autoFilter ref="C170:I180" xr:uid="{DD852A74-B672-46DB-B176-10B04EF29135}"/>
  <tableColumns count="7">
    <tableColumn id="1" xr3:uid="{F265035A-A2C1-4A77-8C28-5F9CA1C71A05}" name="Account Name" dataDxfId="831"/>
    <tableColumn id="2" xr3:uid="{E655C753-8EC3-45D7-B4EE-F7BA05026CD6}" name="Abbr" dataDxfId="830"/>
    <tableColumn id="3" xr3:uid="{85946BD7-6763-4E6E-8825-F13D8B91F56C}" name="IncreasedBy" dataDxfId="829"/>
    <tableColumn id="4" xr3:uid="{E420F667-B4BE-46DB-A7B4-E3B64ECB5C86}" name="C/NC" dataDxfId="828"/>
    <tableColumn id="5" xr3:uid="{EA7B939C-5D92-46A6-AD0D-41BA035A2094}" name="Num" dataDxfId="827">
      <calculatedColumnFormula>G170+1</calculatedColumnFormula>
    </tableColumn>
    <tableColumn id="6" xr3:uid="{11750510-C5F4-47CE-92EC-E6FB12B28BBE}" name="Definition" dataDxfId="826"/>
    <tableColumn id="7" xr3:uid="{DDE1953B-09AC-427C-94DE-1A7EB999377A}" name="Used" dataDxfId="825">
      <calculatedColumnFormula>IF(MD_Gain[[#This Row],[Account Name]]="","",IFERROR(IF(SEARCH(MD_Gain[[#This Row],[Account Name]],ProblemData!$E$241)&gt;0,1,0),""))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824">
  <autoFilter ref="C184:I194" xr:uid="{B6A6F150-572B-4428-92CD-101A20E1DC65}"/>
  <tableColumns count="7">
    <tableColumn id="1" xr3:uid="{568C5153-E381-42E1-9B4A-337B41044B02}" name="Account Name" dataDxfId="823"/>
    <tableColumn id="2" xr3:uid="{F3B52697-EE9C-4B96-9EF3-3DC2ABD0CC3C}" name="Abbr" dataDxfId="822"/>
    <tableColumn id="3" xr3:uid="{AA4583A2-5197-4C65-97D3-2EAC89457A60}" name="IncreasedBy" dataDxfId="821"/>
    <tableColumn id="4" xr3:uid="{92D47A67-593F-455D-8AAC-5B816ECA8B6A}" name="C/NC" dataDxfId="820"/>
    <tableColumn id="5" xr3:uid="{269DD63A-D37B-4724-8BED-F741CD4B4517}" name="Num" dataDxfId="819">
      <calculatedColumnFormula>G184+1</calculatedColumnFormula>
    </tableColumn>
    <tableColumn id="6" xr3:uid="{1700165E-F392-4A1D-B949-4C97BA5217AF}" name="Definition" dataDxfId="818"/>
    <tableColumn id="7" xr3:uid="{A1BDEE12-425C-41D3-9DF4-14E2C92C22E4}" name="Used" dataDxfId="817">
      <calculatedColumnFormula>IF(MD_Loss[[#This Row],[Account Name]]="","",IFERROR(IF(SEARCH(MD_Loss[[#This Row],[Account Name]],ProblemData!$E$241)&gt;0,1,0),""))</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816" dataDxfId="815" tableBorderDxfId="814">
  <autoFilter ref="C199:C208" xr:uid="{15E746EA-AB79-4CF7-9FD8-FA0F894A5010}"/>
  <tableColumns count="1">
    <tableColumn id="1" xr3:uid="{E6B71A45-3D50-45E3-AA10-0B15ED1B5D48}" name="Cash Flow Code" dataDxfId="81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812" headerRowBorderDxfId="810" tableBorderDxfId="811" totalsRowBorderDxfId="809">
  <autoFilter ref="C218:F232" xr:uid="{C616CEA9-5080-4808-BDB1-F71232F7E716}"/>
  <tableColumns count="4">
    <tableColumn id="1" xr3:uid="{AEA0029D-1419-41F8-B5BE-4DAA53C0AA4F}" name="Transaction Description" dataDxfId="808"/>
    <tableColumn id="2" xr3:uid="{8785777E-E123-4EE7-BA15-BF26A6E676D9}" name="Involve Cash" dataDxfId="807"/>
    <tableColumn id="3" xr3:uid="{23C825EF-4E2F-4198-B659-790D0BFDE970}" name="Abbr" dataDxfId="806"/>
    <tableColumn id="4" xr3:uid="{19F8696F-45AD-4768-9AAB-70672E12C776}" name="Used"/>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05" headerRowBorderDxfId="803" tableBorderDxfId="804" totalsRowBorderDxfId="802">
  <autoFilter ref="C237:F254" xr:uid="{4A58ED0E-68F3-4FC0-BAA2-1AC833C25D8E}"/>
  <tableColumns count="4">
    <tableColumn id="1" xr3:uid="{4EEE9569-8E80-4224-8224-61EB81CF18EE}" name="Transaction Description" dataDxfId="801"/>
    <tableColumn id="2" xr3:uid="{7BAABED6-2DD1-4287-BE4F-0D706DB0307B}" name="Involve Cash" dataDxfId="800"/>
    <tableColumn id="3" xr3:uid="{2FEA8C6C-D5D6-42DC-94ED-A3F7CD551792}" name="Abbr" dataDxfId="799"/>
    <tableColumn id="4" xr3:uid="{04C8296D-30DF-4EBF-8F39-480D90D1C281}" name="Used"/>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798" headerRowBorderDxfId="796" tableBorderDxfId="797" totalsRowBorderDxfId="795">
  <autoFilter ref="C259:F270" xr:uid="{DE2EA558-BB0E-40C4-B6F0-1240843BB96C}"/>
  <tableColumns count="4">
    <tableColumn id="1" xr3:uid="{A00D58DC-F04F-4EFD-AC7C-ADCD5ECD1B13}" name="Transaction Description" dataDxfId="794"/>
    <tableColumn id="2" xr3:uid="{F449B289-D063-46D6-A64C-A1EA668B7B50}" name="Involve Cash" dataDxfId="793"/>
    <tableColumn id="3" xr3:uid="{7ACB462B-7B3F-4694-BBF5-84D53CBF2055}" name="Abbr" dataDxfId="792"/>
    <tableColumn id="4" xr3:uid="{414618B0-EB64-4755-B5C1-F3476E0A378F}" name="Use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91" headerRowBorderDxfId="789" tableBorderDxfId="790" totalsRowBorderDxfId="788">
  <autoFilter ref="C275:F280" xr:uid="{9E9A985E-88A0-48CF-862E-B5F4881DDFCD}"/>
  <tableColumns count="4">
    <tableColumn id="1" xr3:uid="{47F1A34D-6800-4DCF-8FCB-0DE214A05CC9}" name="Transaction Description" dataDxfId="787"/>
    <tableColumn id="2" xr3:uid="{4668BA3F-7D61-4492-BD2F-04BB58CEA274}" name="Involve Cash" dataDxfId="786"/>
    <tableColumn id="3" xr3:uid="{1566F9FD-4FB1-4F36-B3E3-82DA7C5CBC21}" name="Abbr" dataDxfId="785"/>
    <tableColumn id="4" xr3:uid="{A760BD89-DFDD-4A80-9765-92419CB75952}" name="Use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784" headerRowBorderDxfId="782" tableBorderDxfId="783" totalsRowBorderDxfId="781">
  <autoFilter ref="C285:F291" xr:uid="{0729C75C-27D2-44B7-AF50-A962A025DB9B}"/>
  <tableColumns count="4">
    <tableColumn id="1" xr3:uid="{3B453950-0E9E-472B-8620-FFA3ECFEBBE0}" name="Transaction Description" dataDxfId="780"/>
    <tableColumn id="2" xr3:uid="{9C64EDDE-342A-49E8-815B-0711294A9330}" name="Involve Cash" dataDxfId="779"/>
    <tableColumn id="3" xr3:uid="{686780C2-9187-4AB0-9CD1-29DC5E3D54E1}" name="Abbr" dataDxfId="778"/>
    <tableColumn id="4" xr3:uid="{F15FB0A3-D085-4A89-88F1-7AB6E7F7C8A7}" name="Used"/>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777" headerRowBorderDxfId="775" tableBorderDxfId="776" totalsRowBorderDxfId="774">
  <autoFilter ref="C306:F311" xr:uid="{42DDC1A5-A56F-4624-8FC3-CAAE3967D8E6}"/>
  <tableColumns count="4">
    <tableColumn id="1" xr3:uid="{EB248B06-F1EB-4A12-B235-61A0C3CD3176}" name="Transaction Description" dataDxfId="773"/>
    <tableColumn id="2" xr3:uid="{E717F6C1-6705-4E13-BC9A-53D9CB334AB9}" name="Involve Cash" dataDxfId="772"/>
    <tableColumn id="3" xr3:uid="{B7BA5CD0-7693-4B70-B051-9141B5E19DB7}" name="Abbr" dataDxfId="771"/>
    <tableColumn id="4" xr3:uid="{DCBF946B-17A4-4F5B-9922-16F380A33F22}" name="Used"/>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770" headerRowBorderDxfId="768" tableBorderDxfId="769" totalsRowBorderDxfId="767">
  <autoFilter ref="C316:F322" xr:uid="{661F8EE2-5E12-43C7-9024-5C943F06C7A4}"/>
  <tableColumns count="4">
    <tableColumn id="1" xr3:uid="{6D246571-AFDE-4260-AD55-ED1F76D0F257}" name="Transaction Description" dataDxfId="766"/>
    <tableColumn id="2" xr3:uid="{690B5402-AB09-4A0D-BDAF-7254886D0A6E}" name="Involve Cash" dataDxfId="765"/>
    <tableColumn id="3" xr3:uid="{91DB3A5C-2641-4201-A239-FC0EBD8AA4FC}" name="Abbr" dataDxfId="764"/>
    <tableColumn id="4" xr3:uid="{E4344A0B-5EC6-486C-AF26-FF6870BA33EE}" name="Used"/>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763" headerRowBorderDxfId="761" tableBorderDxfId="762" totalsRowBorderDxfId="760">
  <autoFilter ref="C212:E214" xr:uid="{E6BE81E0-D525-4F77-88B8-29B22D14CF2A}"/>
  <tableColumns count="3">
    <tableColumn id="1" xr3:uid="{D8A22C0D-B114-49A4-8FA0-3575E1D524FA}" name="Transaction Description" dataDxfId="759"/>
    <tableColumn id="2" xr3:uid="{CA06CB41-D773-474F-AD2D-FED76BE57D52}" name="Involve Cash" dataDxfId="758"/>
    <tableColumn id="3" xr3:uid="{ACB6E10C-0753-4C00-9ABC-CBE6AEEF394C}" name="Abbr" dataDxfId="757"/>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756" headerRowBorderDxfId="754" tableBorderDxfId="755" totalsRowBorderDxfId="753">
  <autoFilter ref="C296:F301" xr:uid="{98D5C726-06EF-454F-AA62-EC9EF3142704}"/>
  <tableColumns count="4">
    <tableColumn id="1" xr3:uid="{0C52A55B-3F30-4237-9247-93A2398C607F}" name="Transaction Description" dataDxfId="752"/>
    <tableColumn id="2" xr3:uid="{2BCDF74B-EA86-4267-840A-962729DB7F77}" name="Involve Cash" dataDxfId="751"/>
    <tableColumn id="3" xr3:uid="{955BA70F-4722-459D-95E8-784A9B77D681}" name="Abbr" dataDxfId="750"/>
    <tableColumn id="4" xr3:uid="{5C1A1E6B-286E-4571-96BC-24440DA1E2A5}" name="Used"/>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749" dataDxfId="748" headerRowBorderDxfId="746" tableBorderDxfId="747" totalsRowBorderDxfId="745">
  <autoFilter ref="C36:D47" xr:uid="{9CA587B0-269B-4933-BF56-E041DC8579CE}"/>
  <tableColumns count="2">
    <tableColumn id="1" xr3:uid="{DC2E1B61-7BE0-47B3-98C9-DD8069CAFA28}" name="LEVELS OF FEEDBACK" dataDxfId="744"/>
    <tableColumn id="2" xr3:uid="{730D16AA-4E1B-44CE-875F-E44105F45474}" name="Selected" dataDxfId="74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742" headerRowBorderDxfId="740" tableBorderDxfId="741" totalsRowBorderDxfId="739">
  <autoFilter ref="C26:D32" xr:uid="{00C42A25-5AD0-4224-83F9-95795158168D}"/>
  <tableColumns count="2">
    <tableColumn id="1" xr3:uid="{C78C0CB6-900E-41A8-9FCF-B567B31D8DAA}" name="LEVELS OF FINANCIAL STATEMENT AUTOMATION" dataDxfId="738"/>
    <tableColumn id="2" xr3:uid="{EC80E489-CC9F-41DA-84B3-973BC6A665E6}" name="Selected" dataDxfId="737" dataCellStyle="Comma"/>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1:D531" totalsRowShown="0" headerRowDxfId="736" headerRowBorderDxfId="734" tableBorderDxfId="735" totalsRowBorderDxfId="733">
  <autoFilter ref="C511:D531" xr:uid="{8063A89C-232B-420B-A143-3EF4F9E450A8}"/>
  <tableColumns count="2">
    <tableColumn id="1" xr3:uid="{6951519F-8EF9-4E7A-869F-C30C5D98D225}" name="PURPOSE" dataDxfId="732"/>
    <tableColumn id="2" xr3:uid="{F3D3ED8F-F0B7-4CFE-A837-5D567095CD75}" name="Used" dataDxfId="731">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48:C563" totalsRowShown="0" headerRowDxfId="730" dataDxfId="729" headerRowBorderDxfId="727" tableBorderDxfId="728" totalsRowBorderDxfId="726">
  <autoFilter ref="C548:C563" xr:uid="{2526D5BB-5463-4D92-979D-A1927BB23599}"/>
  <tableColumns count="1">
    <tableColumn id="1" xr3:uid="{ECD76633-A379-4967-98C0-1C9AC10B2D14}" name="Requirement" dataDxfId="72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724">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23">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399" totalsRowShown="0" headerRowDxfId="722">
  <autoFilter ref="C378:C399"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1:C636" totalsRowShown="0">
  <autoFilter ref="C631:C636" xr:uid="{D209CA21-3589-465F-98C3-780EB4E8DE45}"/>
  <tableColumns count="1">
    <tableColumn id="1" xr3:uid="{3F3CA05A-61D0-48C1-B34C-F9C9E9D7D045}" name="Nam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38:C640" totalsRowShown="0">
  <autoFilter ref="C638:C640"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3:C645" totalsRowShown="0">
  <autoFilter ref="C643:C645"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47:P666" totalsRowShown="0">
  <autoFilter ref="C647:P666"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14" xr3:uid="{01E0FD55-EFD8-43B3-B07D-9BEFE04D1333}" name="IssueDate" dataDxfId="721">
      <calculatedColumnFormula>_xlfn.XLOOKUP(Entities[[#This Row],[End Date]],End,H669:H688)</calculatedColumnFormula>
    </tableColumn>
    <tableColumn id="6" xr3:uid="{F91DB5B4-D90B-48AB-B3E9-F02595E7B5E8}" name="Period"/>
    <tableColumn id="7" xr3:uid="{EA6B893A-4BC7-47CB-B719-A2E615253145}" name="Units"/>
    <tableColumn id="8" xr3:uid="{F3FE2988-B951-4104-AFF2-94C3CC3CF072}" name="OutstandingCommon" dataDxfId="720" dataCellStyle="Comma"/>
    <tableColumn id="9" xr3:uid="{BCB8F01A-DBD0-44FD-91EC-4F50BA7E5CC6}" name="Par"/>
    <tableColumn id="10" xr3:uid="{CA54E7D0-0E99-4562-AE72-DBEC34A0FCBF}" name="DeprMethod"/>
    <tableColumn id="11" xr3:uid="{03E221B9-1F67-4942-B1FF-24ECDD45B9B2}" name="InventoryMethod"/>
    <tableColumn id="12" xr3:uid="{DE66BB07-4ADF-4A59-8205-75B482379F98}" name="Treasury Stock"/>
    <tableColumn id="13" xr3:uid="{4D782FA5-5F1D-4D2D-881C-B518BCBC41A8}" name="RevRec"/>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719">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1:C403" totalsRowShown="0">
  <autoFilter ref="C401:C403"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6:D409" totalsRowShown="0">
  <autoFilter ref="C406:D409"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1:D414" totalsRowShown="0">
  <autoFilter ref="C411:D414"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6:D443" totalsRowShown="0" dataDxfId="718">
  <autoFilter ref="C416:D443" xr:uid="{D978A7D1-07C2-4F0C-B153-B9107CCDEBD1}"/>
  <tableColumns count="2">
    <tableColumn id="1" xr3:uid="{CCD95D5A-E3FF-442D-8DDB-E99FD2EFE073}" name="Example" dataDxfId="717"/>
    <tableColumn id="2" xr3:uid="{F420FEA8-087F-4676-A455-1374F1EEAD2D}" name="Category" dataDxfId="716"/>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4:J176" totalsRowShown="0" headerRowDxfId="708" dataDxfId="707">
  <autoFilter ref="E154:J176" xr:uid="{09B6CBC8-0E66-48C3-B1B0-19B80F5300DE}"/>
  <tableColumns count="6">
    <tableColumn id="1" xr3:uid="{C95E1CFE-B707-4263-89C1-B5C58C689763}" name="Account"/>
    <tableColumn id="2" xr3:uid="{E70EE9A1-9F0B-4CE5-9D5A-94D858FD1531}" name="Amount" dataDxfId="706" dataCellStyle="Comma"/>
    <tableColumn id="3" xr3:uid="{76F1928F-7790-4A7B-B557-60DAF4A9DB71}" name="IncreasedBy" dataDxfId="705">
      <calculatedColumnFormula>IF(BegBalanceSheet_Assets[[#This Row],[Account]]="","",_xlfn.XLOOKUP(BegBalanceSheet_Assets[[#This Row],[Account]],MD_Asset[Account Name],MD_Asset[IncreasedBy]))</calculatedColumnFormula>
    </tableColumn>
    <tableColumn id="4" xr3:uid="{4256ECCE-5AB6-4DD6-BEC1-77BB54423BB3}" name="Num" dataDxfId="704"/>
    <tableColumn id="5" xr3:uid="{70BCD453-CAB3-4112-9FD0-BE2BB317DE05}" name="Current/Non-Current" dataDxfId="703">
      <calculatedColumnFormula>IF(BegBalanceSheet_Assets[[#This Row],[Account]]="","",_xlfn.XLOOKUP(BegBalanceSheet_Assets[[#This Row],[Account]],MD_Asset[Account Name],MD_Asset[C/NC]))</calculatedColumnFormula>
    </tableColumn>
    <tableColumn id="6" xr3:uid="{12FF5705-9B21-4A8E-A325-0F08D809FAED}" name="Abbr" dataDxfId="702">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1:J203" totalsRowShown="0" headerRowDxfId="701" dataDxfId="700">
  <autoFilter ref="E181:J203" xr:uid="{A559C6E5-DC3F-4C73-827E-34402911AF07}"/>
  <tableColumns count="6">
    <tableColumn id="1" xr3:uid="{DEC82EB3-8CD0-4422-AB9C-4DAD4F514731}" name="Account"/>
    <tableColumn id="2" xr3:uid="{3B51B962-31DB-45CB-91A1-C952191DD18D}" name="Amount" dataDxfId="699" dataCellStyle="Comma"/>
    <tableColumn id="3" xr3:uid="{ECE8B97B-5B8E-47E7-A483-944FE0257BC2}" name="IncreasedBy" dataDxfId="698"/>
    <tableColumn id="4" xr3:uid="{89934FEA-EAA4-429D-9051-394E93CA52BD}" name="Num" dataDxfId="697"/>
    <tableColumn id="5" xr3:uid="{19BAEBBD-B691-4E22-9AEE-864CEA23A5B9}" name="Current/Non-Current" dataDxfId="696">
      <calculatedColumnFormula>IF(BegBalanceSheet_Liabilities[[#This Row],[Account]]="","",_xlfn.XLOOKUP(BegBalanceSheet_Liabilities[[#This Row],[Account]],MD_Liability[Account Name],MD_Liability[C/NC]))</calculatedColumnFormula>
    </tableColumn>
    <tableColumn id="6" xr3:uid="{BA7E299E-6128-4ADE-9351-F1E1A4506958}" name="Abbr" dataDxfId="695">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8:I219" totalsRowShown="0" headerRowDxfId="694" dataDxfId="693">
  <autoFilter ref="E208:I219" xr:uid="{B7E58724-9041-4195-80EF-5A064C308E2C}"/>
  <tableColumns count="5">
    <tableColumn id="1" xr3:uid="{5E468915-95F7-4AB7-952C-5B1E55BB0715}" name="Account"/>
    <tableColumn id="2" xr3:uid="{FE62F6D3-25F1-4286-89F7-E314C9EC9F43}" name="Amount" dataDxfId="692" dataCellStyle="Comma"/>
    <tableColumn id="3" xr3:uid="{23E949B4-2F6D-438D-BB73-060B774D2B54}" name="IncreasedBy" dataDxfId="691">
      <calculatedColumnFormula>IF(BegBalanceSheet_Equities[[#This Row],[Account]]="","",_xlfn.XLOOKUP(BegBalanceSheet_Equities[[#This Row],[Account]],MD_Equity[Account Name],MD_Equity[IncreasedBy]))</calculatedColumnFormula>
    </tableColumn>
    <tableColumn id="4" xr3:uid="{ADD6B0D9-ABBF-42AD-9251-C8D711895015}" name="Num" dataDxfId="690"/>
    <tableColumn id="5" xr3:uid="{7D3BB027-839B-4202-9A69-21EDE11F27B2}" name="Abbr" dataDxfId="689">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50" totalsRowShown="0" headerRowDxfId="688" tableBorderDxfId="687">
  <autoFilter ref="D34:F50" xr:uid="{91A3B848-88DF-496C-BB8E-B2A418F1D599}"/>
  <tableColumns count="3">
    <tableColumn id="1" xr3:uid="{F238ECCC-D03A-4216-AF86-D9ACC613BBEB}" name="Item" dataDxfId="686"/>
    <tableColumn id="2" xr3:uid="{92F765C4-1403-4543-84E4-2BD6DCE7548D}" name="Tab" dataDxfId="685"/>
    <tableColumn id="3" xr3:uid="{0B3964CB-C056-44E0-9D40-A6D799DA7069}" name="Action" dataDxfId="684"/>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75">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74">
      <calculatedColumnFormula>IF(B12="","",B12)</calculatedColumnFormula>
    </tableColumn>
    <tableColumn id="2" xr3:uid="{CC7CBA9C-CC27-4F9D-A1A2-87C9772ABB2A}" name="Accnt Type" dataDxfId="673">
      <calculatedColumnFormula>IFERROR(_xlfn.IFNA(INDEX(ProblemData!$C$78:$AM$145,MATCH(J12+0.1,ProblemData!$C$78:$C$145,0),MATCH(C12,ProblemData!$C$78:$AM$78,0)),""),"")</calculatedColumnFormula>
    </tableColumn>
    <tableColumn id="3" xr3:uid="{809B3A88-FA54-400B-A854-7EA3E4621FE9}" name="Debit Account" dataDxfId="672">
      <calculatedColumnFormula>IFERROR(_xlfn.IFNA(IF(INDEX(ProblemData!$C$78:$AM$145,MATCH(J12+0.3,ProblemData!$C$78:$C$145,0),MATCH(C12,ProblemData!$C$78:$AM$78,0))="Debit",INDEX(ProblemData!$C$78:$AM$145,MATCH(J12+0.2,ProblemData!$C$78:$C$145,0),MATCH(C12,ProblemData!$C$78:$AM$78,0)),""),""),"")</calculatedColumnFormula>
    </tableColumn>
    <tableColumn id="4" xr3:uid="{7B8716DF-2416-44CC-9BF3-F9893A6884DD}" name="Credit Account" dataDxfId="671">
      <calculatedColumnFormula>IFERROR(_xlfn.IFNA(IF(INDEX(ProblemData!$C$78:$AM$145,MATCH(J12+0.3,ProblemData!$C$78:$C$145,0),MATCH(C12,ProblemData!$C$78:$AM$78,0))="Credit",INDEX(ProblemData!$C$78:$AM$145,MATCH(J12+0.2,ProblemData!$C$78:$C$145,0),MATCH(C12,ProblemData!$C$78:$AM$78,0)),""),""),"")</calculatedColumnFormula>
    </tableColumn>
    <tableColumn id="5" xr3:uid="{61B2A969-691F-4823-A7FD-A59F8A0A92E8}" name="Dr Amt" dataDxfId="670" dataCellStyle="Comma">
      <calculatedColumnFormula>_xlfn.IFNA(IF(JournalAnswer[[#This Row],[Debit Account]]&lt;&gt;"",INDEX(ProblemData!$C$78:$AM$145,MATCH(J12+0.4,ProblemData!$C$78:$C$145,0),MATCH(C12,ProblemData!$C$78:$AM$78,0)),""),"")</calculatedColumnFormula>
    </tableColumn>
    <tableColumn id="6" xr3:uid="{37F86128-65A2-4AB5-A6C8-A1CE9374BAA7}" name="Cr Amt" dataDxfId="669" dataCellStyle="Comma">
      <calculatedColumnFormula>_xlfn.IFNA(IF(JournalAnswer[[#This Row],[Credit Account]]&lt;&gt;"",INDEX(ProblemData!$C$78:$AM$145,MATCH(J12+0.4,ProblemData!$C$78:$C$145,0),MATCH(C12,ProblemData!$C$78:$AM$78,0)),""),"")</calculatedColumnFormula>
    </tableColumn>
    <tableColumn id="7" xr3:uid="{D11D1D54-FA72-462A-A9BE-76C941A20E0E}" name="Cash Flow" dataDxfId="668">
      <calculatedColumnFormula array="1">IF(JournalAnswer[[#This Row],[Debit Account]]="Cash",INDEX(ProblemData!$E$238:$AM$238,1,JournalAnswer[[#This Row],[Transaction '#]]),IF(JournalAnswer[[#This Row],[Credit Account]]="Cash",INDEX(ProblemData!$E$238:$AM$238,1,JournalAnswer[[#This Row],[Transaction '#]]),""))</calculatedColumnFormula>
    </tableColumn>
    <tableColumn id="12" xr3:uid="{82C7B954-D7D8-4A5F-A563-4879E5B72FB1}" name="Movement #" dataDxfId="667">
      <calculatedColumnFormula>IF(JournalAnswer[[#This Row],[Transaction '#]]="","",IF(JournalAnswer[[#This Row],[Transaction '#]]=C11,J11+1,1))</calculatedColumnFormula>
    </tableColumn>
    <tableColumn id="15" xr3:uid="{09DCF706-1CF4-4221-AA87-59998BE0867F}" name="Cash" dataDxfId="666"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65">
      <calculatedColumnFormula array="1">IFERROR(INDEX(ProblemData!$E$239:$AM$239,1,JournalAnswer[[#This Row],[Transaction '#]]),"")</calculatedColumnFormula>
    </tableColumn>
    <tableColumn id="9" xr3:uid="{160EAA83-7B97-4C21-A2EA-439ABC3BDAF8}" name="ref2" dataDxfId="664">
      <calculatedColumnFormula>IF(JournalAnswer[[#This Row],[ref1]]="","",IF(NOT(ISBLANK(JournalAnswer[[#This Row],[Transaction '#]])),JournalAnswer[[#This Row],[ref1]]&amp;JournalAnswer[[#This Row],[Movement '#]],""))</calculatedColumnFormula>
    </tableColumn>
    <tableColumn id="8" xr3:uid="{4A109203-667C-41BA-B34F-AADCCF108B57}" name="ref3" dataDxfId="663">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11:N197" totalsRowShown="0" headerRowDxfId="652">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651"/>
    <tableColumn id="2" xr3:uid="{E094EC9F-7FC6-40C9-897C-23CC29114955}" name="Accnt Type" dataDxfId="650"/>
    <tableColumn id="3" xr3:uid="{0CA921F8-E428-493D-8568-48E53B521ECE}" name="Debit Account" dataDxfId="649"/>
    <tableColumn id="4" xr3:uid="{3BE4FAB2-D608-4602-B35F-0194CD1AAF37}" name="Credit Account" dataDxfId="648"/>
    <tableColumn id="5" xr3:uid="{F82866AF-344B-4862-9625-318E3621B4C7}" name="Dr Amt" dataDxfId="647" dataCellStyle="Comma"/>
    <tableColumn id="6" xr3:uid="{80E8CA5A-7F32-4567-97F3-1BF555C41F53}" name="Cr Amt" dataDxfId="646" dataCellStyle="Comma"/>
    <tableColumn id="7" xr3:uid="{D566DDB8-DFFF-4FE0-9863-FE8296782AF9}" name="Cash Flow" dataDxfId="645"/>
    <tableColumn id="12" xr3:uid="{54233AFF-CD5E-48B3-9C27-692D9600AC9B}" name="Movement #" dataDxfId="644">
      <calculatedColumnFormula>IF(Journal[[#This Row],[Transaction '#]]="","",IF(Journal[[#This Row],[Transaction '#]]=C11,J11+1,1))</calculatedColumnFormula>
    </tableColumn>
    <tableColumn id="15" xr3:uid="{0E5A8B47-485F-4771-A41E-A4CDE0C22AA8}" name="Cash" dataDxfId="643"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642">
      <calculatedColumnFormula array="1">IF(Journal[[#This Row],[Transaction '#]]&lt;&gt;"",IFERROR(INDEX(ProblemData!$E$239:$AM$239,1,Journal[[#This Row],[Transaction '#]]),""),"")</calculatedColumnFormula>
    </tableColumn>
    <tableColumn id="9" xr3:uid="{4B27C4EB-BD21-473D-8D47-B9E5C89E0DBD}" name="ref2" dataDxfId="641">
      <calculatedColumnFormula>IF(Journal[[#This Row],[ref1]]="","",IF(NOT(ISBLANK(Journal[[#This Row],[Transaction '#]])),Journal[[#This Row],[ref1]]&amp;Journal[[#This Row],[Movement '#]],""))</calculatedColumnFormula>
    </tableColumn>
    <tableColumn id="8" xr3:uid="{A270AA13-7071-42EF-A046-B4DCC9F77039}" name="ref3" dataDxfId="640">
      <calculatedColumnFormula>OR(Journal[[#This Row],[ref1]]="",ISNUMBER(MATCH(Journal[[#This Row],[ref1]], Operating[Abbr], 0)), "Found", "Not Found"="Found")</calculatedColumnFormula>
    </tableColumn>
  </tableColumns>
  <tableStyleInfo name="Table Style Journal"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639">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638"/>
    <tableColumn id="2" xr3:uid="{C979E1DE-98E0-4265-8B66-94D8E2538908}" name="Account"/>
    <tableColumn id="4" xr3:uid="{A340225C-70A7-49E5-8A4B-7951DB8EAE1D}" name="Used" dataDxfId="637" dataCellStyle="Comma">
      <calculatedColumnFormula>IF(ABS(CFS_CFO[[#This Row],[AmtJournal]])&gt;0,1,0)</calculatedColumnFormula>
    </tableColumn>
    <tableColumn id="5" xr3:uid="{35BB5300-E4A7-4622-92F7-A839F3F7FD8F}" name="Order" dataDxfId="636" dataCellStyle="Comma"/>
    <tableColumn id="3" xr3:uid="{4F107228-F841-439B-BA39-90E3723B1C90}" name="AmtJournal" dataDxfId="635" dataCellStyle="Comma"/>
    <tableColumn id="6" xr3:uid="{1D750789-0B80-4A6E-8F89-6851FD86F1AF}" name="AmtAnswer" dataDxfId="634" dataCellStyle="Comma"/>
    <tableColumn id="7" xr3:uid="{E72AFA70-B67D-477D-9661-6B7CBB6DCF92}" name="AmtFSBuilder" dataDxfId="633" dataCellStyle="Comma"/>
    <tableColumn id="8" xr3:uid="{F67CB5F2-7C00-46C7-B4E1-74173CB7AFDC}" name="UsedJournal" dataDxfId="632" dataCellStyle="Comma">
      <calculatedColumnFormula>IF(CFS_CFO[[#This Row],[AmtJournal]]&lt;&gt;0,1,0)</calculatedColumnFormula>
    </tableColumn>
    <tableColumn id="9" xr3:uid="{B11D44D5-50AC-4871-8F86-178DC90306BD}" name="UsedAnswer" dataDxfId="631" dataCellStyle="Comma">
      <calculatedColumnFormula>IF(CFS_CFO[[#This Row],[AmtAnswer]]&lt;&gt;0,1,0)</calculatedColumnFormula>
    </tableColumn>
    <tableColumn id="10" xr3:uid="{3C05333E-633A-4162-819C-3832126E1E72}" name="UsedFSBuilder" dataDxfId="630" dataCellStyle="Comma">
      <calculatedColumnFormula>IF(CFS_CFO[[#This Row],[AmtFSBuilder]]&lt;&gt;0,1,0)</calculatedColumnFormula>
    </tableColumn>
  </tableColumns>
  <tableStyleInfo name="TableStyleMedium2" showFirstColumn="0" showLastColumn="0" showRowStripes="0"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7" totalsRowShown="0" headerRowDxfId="629">
  <autoFilter ref="AP33:AY47"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628"/>
    <tableColumn id="2" xr3:uid="{7D0C8268-C7FE-40F1-BD1F-EE0F898D09D0}" name="Account"/>
    <tableColumn id="4" xr3:uid="{22EE3FCD-134F-469C-9767-64394179CDD5}" name="Used" dataDxfId="627" dataCellStyle="Comma">
      <calculatedColumnFormula>IF(ABS(CFS_CFF[[#This Row],[AmtJournal]])&gt;0,1,0)</calculatedColumnFormula>
    </tableColumn>
    <tableColumn id="5" xr3:uid="{047EC8F9-EECC-42B5-86A3-81CD4A26A912}" name="Order" dataDxfId="626"/>
    <tableColumn id="3" xr3:uid="{A32B1B92-9CE3-4A49-9510-C6B886FCF425}" name="AmtJournal" dataDxfId="625" dataCellStyle="Comma"/>
    <tableColumn id="6" xr3:uid="{1CF345F6-8754-4B3A-820D-46333E0BF949}" name="AmtAnswer" dataDxfId="624" dataCellStyle="Comma"/>
    <tableColumn id="7" xr3:uid="{9606AF00-8794-485E-A2CB-B752C076AAFC}" name="AmtFSBuilder" dataDxfId="623" dataCellStyle="Comma"/>
    <tableColumn id="8" xr3:uid="{385B7CAF-B948-4DE2-AE18-666FD9FF7827}" name="UsedJournal" dataDxfId="622" dataCellStyle="Comma">
      <calculatedColumnFormula>IF(CFS_CFF[[#This Row],[AmtJournal]]&lt;&gt;0,1,0)</calculatedColumnFormula>
    </tableColumn>
    <tableColumn id="9" xr3:uid="{ABC5E567-EFA4-4C47-89DB-CEDE2319E38F}" name="UsedAnswer" dataDxfId="621" dataCellStyle="Comma">
      <calculatedColumnFormula>IF(CFS_CFF[[#This Row],[AmtAnswer]]&lt;&gt;0,1,0)</calculatedColumnFormula>
    </tableColumn>
    <tableColumn id="10" xr3:uid="{86BB094A-05E8-45EF-8F83-7E665B2B5CDD}" name="UsedFSBuilder" dataDxfId="620" dataCellStyle="Comma">
      <calculatedColumnFormula>IF(CFS_CFF[[#This Row],[AmtFSBuilder]]&lt;&gt;0,1,0)</calculatedColumnFormula>
    </tableColumn>
  </tableColumns>
  <tableStyleInfo name="TableStyleMedium2" showFirstColumn="0" showLastColumn="0" showRowStripes="0"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1:AY54" totalsRowShown="0" headerRowDxfId="619">
  <autoFilter ref="AP51:AY54"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618"/>
    <tableColumn id="2" xr3:uid="{FDB7C03D-9C43-43F7-A3FA-9486954781A4}" name="Account"/>
    <tableColumn id="4" xr3:uid="{CC0225AE-5F62-4F2E-A970-4CD61A5ED5E6}" name="Used" dataDxfId="617">
      <calculatedColumnFormula>IF(ABS(CFSummary[[#This Row],[AmtJournal]])&gt;0,1,0)</calculatedColumnFormula>
    </tableColumn>
    <tableColumn id="5" xr3:uid="{6CBCFDAA-355F-4E59-A9EB-2CC0BEED4AF7}" name="Order" dataDxfId="616"/>
    <tableColumn id="3" xr3:uid="{2EE0972A-88F0-410C-BC17-55FF63114E75}" name="AmtJournal" dataDxfId="615" dataCellStyle="Comma"/>
    <tableColumn id="6" xr3:uid="{98F870A3-5FCA-4012-AFA9-F21C5084B405}" name="AmtAnswer" dataDxfId="614"/>
    <tableColumn id="7" xr3:uid="{EA3EA3A8-12C8-4198-B0C8-836D230F18D1}" name="AmtFSBuilder" dataDxfId="613"/>
    <tableColumn id="8" xr3:uid="{5D5D65E6-700A-4D05-ABBE-DEAB73176FDA}" name="UsedJournal" dataDxfId="612" dataCellStyle="Comma">
      <calculatedColumnFormula>IF(CFSummary[[#This Row],[AmtJournal]]&lt;&gt;0,1,0)</calculatedColumnFormula>
    </tableColumn>
    <tableColumn id="9" xr3:uid="{FFAE4671-A64B-4931-A733-470EFC9142E2}" name="UsedAnswer" dataDxfId="611" dataCellStyle="Comma">
      <calculatedColumnFormula>IF(CFSummary[[#This Row],[AmtAnswer]]&lt;&gt;0,1,0)</calculatedColumnFormula>
    </tableColumn>
    <tableColumn id="10" xr3:uid="{181EE744-778D-4E6A-8C91-CA55B4A4AD7C}" name="UsedFSBuilder" dataDxfId="610" dataCellStyle="Comma">
      <calculatedColumnFormula>IF(CFSummary[[#This Row],[AmtFSBuilder]]&lt;&gt;0,1,0)</calculatedColumnFormula>
    </tableColumn>
  </tableColumns>
  <tableStyleInfo name="TableStyleMedium2" showFirstColumn="0" showLastColumn="0" showRowStripes="0"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7:AY62" totalsRowShown="0" headerRowDxfId="609">
  <autoFilter ref="AP57:AY62"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608">
      <calculatedColumnFormula array="1">_xlfn.IFS(Noncash_IF[[#This Row],[UsedAnswer]]=1,6,Noncash_IF[[#This Row],[UsedAnswer]]=0,8)</calculatedColumnFormula>
    </tableColumn>
    <tableColumn id="2" xr3:uid="{A695D8E3-75C1-41B3-A6D4-5F8250EBD504}" name="Account"/>
    <tableColumn id="4" xr3:uid="{0C1F8588-99E8-4E52-B71A-5A08F394951A}" name="Used" dataDxfId="607" dataCellStyle="Comma">
      <calculatedColumnFormula>IF(ABS(Noncash_IF[[#This Row],[AmtJournal]])&gt;0,1,0)</calculatedColumnFormula>
    </tableColumn>
    <tableColumn id="5" xr3:uid="{0B82389B-4ACD-4A0B-9049-A5E80406C645}" name="Order" dataDxfId="606" dataCellStyle="Comma"/>
    <tableColumn id="3" xr3:uid="{426B1C28-3064-4CED-9DD5-103009CD4DE2}" name="AmtJournal" dataDxfId="605" dataCellStyle="Currency"/>
    <tableColumn id="6" xr3:uid="{8DD68E16-5546-437F-8D33-D655720CA653}" name="AmtAnswer" dataDxfId="604" dataCellStyle="Currency"/>
    <tableColumn id="7" xr3:uid="{711E9051-D65C-4A77-97CC-32D43728651C}" name="AmtFSBuilder" dataDxfId="603" dataCellStyle="Currency"/>
    <tableColumn id="8" xr3:uid="{F58435D5-7AB2-4FDC-9B4F-8973349247FB}" name="UsedJournal" dataDxfId="602" dataCellStyle="Comma">
      <calculatedColumnFormula>IF(Noncash_IF[[#This Row],[AmtJournal]]&lt;&gt;0,1,0)</calculatedColumnFormula>
    </tableColumn>
    <tableColumn id="9" xr3:uid="{64E6A657-5239-425A-BF54-7183827FD7B4}" name="UsedAnswer" dataDxfId="601" dataCellStyle="Comma">
      <calculatedColumnFormula>IF(Noncash_IF[[#This Row],[AmtAnswer]]&lt;&gt;0,1,0)</calculatedColumnFormula>
    </tableColumn>
    <tableColumn id="10" xr3:uid="{B8D9C671-D9A2-4670-8D6C-29DC37920B81}" name="UsedFSBuilder" dataDxfId="600" dataCellStyle="Comma">
      <calculatedColumnFormula>IF(Noncash_IF[[#This Row],[AmtFSBuilder]]&lt;&gt;0,1,0)</calculatedColumnFormula>
    </tableColumn>
  </tableColumns>
  <tableStyleInfo name="TableStyleMedium2" showFirstColumn="0"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599">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598"/>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597" dataCellStyle="Comma"/>
    <tableColumn id="6" xr3:uid="{FAB344C6-1BA2-4BEC-9076-94DFE05F6CA2}" name="AmtAnswer" dataDxfId="596" dataCellStyle="Comma"/>
    <tableColumn id="7" xr3:uid="{6C8BF49C-A390-4400-B3B1-15F36A9D525A}" name="AmtFSBuilder" dataDxfId="595" dataCellStyle="Comma"/>
    <tableColumn id="8" xr3:uid="{71E3EC72-439B-4585-A612-EEC44FFE2BE7}" name="UsedJournal" dataDxfId="594" dataCellStyle="Comma">
      <calculatedColumnFormula>IF(CFS_CFI[[#This Row],[AmtJournal]]&lt;&gt;0,1,0)</calculatedColumnFormula>
    </tableColumn>
    <tableColumn id="9" xr3:uid="{7D552421-AFBF-4A05-A442-ED6D3875FF4E}" name="UsedAnswer" dataDxfId="593" dataCellStyle="Comma">
      <calculatedColumnFormula>IF(CFS_CFI[[#This Row],[AmtAnswer]]&lt;&gt;0,1,0)</calculatedColumnFormula>
    </tableColumn>
    <tableColumn id="10" xr3:uid="{D908AAC1-D260-48A3-B63C-C94040167B05}" name="UsedFSBuilder" dataDxfId="592" dataCellStyle="Comma">
      <calculatedColumnFormula>IF(CFS_CFI[[#This Row],[AmtFSBuilder]]&lt;&gt;0,1,0)</calculatedColumnFormula>
    </tableColumn>
  </tableColumns>
  <tableStyleInfo name="TableStyleMedium2" showFirstColumn="0" showLastColumn="0" showRowStripes="0"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591">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590"/>
    <tableColumn id="1" xr3:uid="{561C194A-A776-42F5-BF22-2C6848E1EA5A}" name="Account"/>
    <tableColumn id="4" xr3:uid="{3F47EF13-617B-47DD-B7AF-7CF011B3A922}" name="Used" dataDxfId="589" dataCellStyle="Comma">
      <calculatedColumnFormula>_xlfn.XLOOKUP(BCurrAssets[[#This Row],[Account]],MD_Asset[Account Name],MD_Asset[Used])</calculatedColumnFormula>
    </tableColumn>
    <tableColumn id="5" xr3:uid="{17C1BC8F-151D-4115-809E-9AB8820AAF79}" name="Order" dataDxfId="588" dataCellStyle="Comma"/>
    <tableColumn id="2" xr3:uid="{11F71E89-F7C2-454B-8115-F19FA5E61EFA}" name="Amt" dataDxfId="587" dataCellStyle="Comma"/>
  </tableColumns>
  <tableStyleInfo name="TableStyleMedium2" showFirstColumn="0" showLastColumn="0" showRowStripes="0"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586"/>
    <tableColumn id="1" xr3:uid="{9FE0EA84-BC21-40DB-A254-5F33AC450BFC}" name="Account"/>
    <tableColumn id="3" xr3:uid="{07704EFD-4F84-4F1D-88EF-587A68C418E6}" name="Used" dataDxfId="585" dataCellStyle="Comma"/>
    <tableColumn id="4" xr3:uid="{BA36FE0B-61AD-41C8-B1C9-76D8E10E1563}" name="Order" dataDxfId="584" dataCellStyle="Comma"/>
    <tableColumn id="2" xr3:uid="{0F441A19-1404-4F65-9B27-991C937F705A}" name="Amt" dataDxfId="583" dataCellStyle="Comma"/>
  </tableColumns>
  <tableStyleInfo name="TableStyleMedium2" showFirstColumn="0" showLastColumn="0" showRowStripes="0"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582">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581"/>
    <tableColumn id="2" xr3:uid="{15EABE1E-ADCB-47EF-A1CC-FB40DDD413AF}" name="Account"/>
    <tableColumn id="4" xr3:uid="{3446D35B-E133-4503-BAEF-ADFC89172FF0}" name="Used" dataDxfId="580" dataCellStyle="Comma"/>
    <tableColumn id="5" xr3:uid="{E0189AB4-DEA5-41C3-8E77-72B4306BCF66}" name="Order" dataDxfId="579" dataCellStyle="Comma"/>
    <tableColumn id="3" xr3:uid="{33073D69-1DFF-426E-A0F1-4A81735B0042}" name="Amt" dataDxfId="578" dataCellStyle="Comma"/>
  </tableColumns>
  <tableStyleInfo name="TableStyleMedium2" showFirstColumn="0" showLastColumn="0" showRowStripes="0"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577" headerRowBorderDxfId="575" tableBorderDxfId="576">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574"/>
    <tableColumn id="2" xr3:uid="{11FF11E6-4E54-484B-B0DD-0BB874F94388}" name="Account"/>
    <tableColumn id="4" xr3:uid="{389BC542-B71B-4F0F-B1FA-5D9F2E84C3EC}" name="Used" dataDxfId="573" dataCellStyle="Comma"/>
    <tableColumn id="5" xr3:uid="{B4F1A7FF-D5CD-4CFE-B746-BD7C2F91AC95}" name="Order" dataDxfId="572" dataCellStyle="Comma"/>
    <tableColumn id="3" xr3:uid="{256315AA-495F-4F58-A9E6-6CA9A6D68E47}" name="Amt" dataDxfId="571" dataCellStyle="Comma"/>
  </tableColumns>
  <tableStyleInfo name="TableStyleMedium2" showFirstColumn="0" showLastColumn="0" showRowStripes="0"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570" headerRowBorderDxfId="568" tableBorderDxfId="569">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567">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566"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565" dataCellStyle="Comma"/>
    <tableColumn id="3" xr3:uid="{F5377A7F-0140-4E65-B102-9C1FDBF7CF7E}" name="Amt" dataDxfId="564" dataCellStyle="Comma">
      <calculatedColumnFormula>_xlfn.IFNA(_xlfn.XLOOKUP(C77,BegBalanceSheet_Equities[Account],BegBalanceSheet_Equities[Amount]),0)</calculatedColumnFormula>
    </tableColumn>
  </tableColumns>
  <tableStyleInfo name="TableStyleMedium2" showFirstColumn="0" showLastColumn="0" showRowStripes="0"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563">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562">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561"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560" dataCellStyle="Comma"/>
    <tableColumn id="3" xr3:uid="{7AB45A2B-2C08-44D0-A1E1-E192B63477A1}" name="AmtJournal" dataDxfId="559" dataCellStyle="Comma">
      <calculatedColumnFormula>SUMIFS(Journal[Cr Amt],Journal[Credit Account],I10,Journal[ref1],"&lt;&gt;CL")</calculatedColumnFormula>
    </tableColumn>
    <tableColumn id="6" xr3:uid="{5995A2F5-A16D-4733-9127-D81DEBCAB6F3}" name="AmtAnswer" dataDxfId="558" dataCellStyle="Comma">
      <calculatedColumnFormula>SUMIFS(JournalAnswer[Cr Amt],JournalAnswer[Credit Account],I10,JournalAnswer[ref1],"&lt;&gt;CL")</calculatedColumnFormula>
    </tableColumn>
    <tableColumn id="7" xr3:uid="{DF153ADB-A0C4-432B-87B3-B014F1666789}" name="AmtFSBuilder" dataDxfId="557" dataCellStyle="Comma">
      <calculatedColumnFormula array="1">IF(IS_Revenues[[#This Row],[Account]]&lt;&gt;"",_xlfn._xlws.FILTER(FSBuilder[Amount],FSBuilder[Account or Explanation]=IS_Revenues[[#This Row],[Account]],0),"")</calculatedColumnFormula>
    </tableColumn>
    <tableColumn id="8" xr3:uid="{6F199195-2ED8-4035-A89A-72B2D219A4DD}" name="UsedJournal" dataDxfId="556" dataCellStyle="Comma">
      <calculatedColumnFormula>IS_Revenues[[#This Row],[Used]]*(IS_Revenues[[#This Row],[AmtJournal]]&lt;&gt;0)</calculatedColumnFormula>
    </tableColumn>
    <tableColumn id="9" xr3:uid="{ACE17015-CC95-4A6F-AA2D-B52339A25225}" name="UsedAnswer" dataDxfId="555" dataCellStyle="Comma">
      <calculatedColumnFormula>IS_Revenues[[#This Row],[Used]]*(IS_Revenues[[#This Row],[AmtAnswer]]&lt;&gt;0)</calculatedColumnFormula>
    </tableColumn>
    <tableColumn id="10" xr3:uid="{D86A3FCD-DBE6-4BAF-A80A-72D86E4A1FEB}" name="UsedFSBuilder" dataDxfId="554" dataCellStyle="Comma">
      <calculatedColumnFormula>IS_Revenues[[#This Row],[Used]]*(IS_Revenues[[#This Row],[AmtFSBuilder]]&lt;&gt;0)*Financial_Statement_Builder!$K$121</calculatedColumnFormula>
    </tableColumn>
  </tableColumns>
  <tableStyleInfo name="TableStyleMedium2" showFirstColumn="0" showLastColumn="0" showRowStripes="0"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553" headerRowBorderDxfId="551" tableBorderDxfId="552">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550">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549"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548" dataCellStyle="Comma"/>
    <tableColumn id="3" xr3:uid="{4365BCCB-4B5C-4DF2-9A46-28AFCF9DE28C}" name="AmtJournal" dataDxfId="547" dataCellStyle="Comma">
      <calculatedColumnFormula>SUMIFS(Journal[Dr Amt],Journal[Debit Account],I19,Journal[ref1],"&lt;&gt;CL")</calculatedColumnFormula>
    </tableColumn>
    <tableColumn id="6" xr3:uid="{0708CB6D-A19E-4BED-83C7-3E62514B20E9}" name="AmtAnswer" dataDxfId="546" dataCellStyle="Comma">
      <calculatedColumnFormula>SUMIFS(JournalAnswer[Dr Amt],JournalAnswer[Debit Account],I19,JournalAnswer[ref1],"&lt;&gt;CL")</calculatedColumnFormula>
    </tableColumn>
    <tableColumn id="7" xr3:uid="{95BCC85B-D155-4AF7-832E-D2893F703DB2}" name="AmtFSBuilder" dataDxfId="545" dataCellStyle="Comma">
      <calculatedColumnFormula array="1">IF(IS_Expenses[[#This Row],[Account]]&lt;&gt;"",_xlfn._xlws.FILTER(FSBuilder[Amount],FSBuilder[Account or Explanation]=IS_Expenses[[#This Row],[Account]],0),"")</calculatedColumnFormula>
    </tableColumn>
    <tableColumn id="8" xr3:uid="{A8A0D61E-314D-4F65-AB45-6CFC3A46CA34}" name="UsedJournal" dataDxfId="544" dataCellStyle="Comma">
      <calculatedColumnFormula>IS_Expenses[[#This Row],[Used]]*(IS_Expenses[[#This Row],[AmtJournal]]&lt;&gt;0)</calculatedColumnFormula>
    </tableColumn>
    <tableColumn id="9" xr3:uid="{D8D79DB2-3D71-4503-9023-1CB7EC354D68}" name="UsedAnswer" dataDxfId="543" dataCellStyle="Comma">
      <calculatedColumnFormula>IS_Expenses[[#This Row],[Used]]*(IS_Expenses[[#This Row],[AmtAnswer]]&lt;&gt;0)</calculatedColumnFormula>
    </tableColumn>
    <tableColumn id="10" xr3:uid="{A3CE7176-834B-4E44-BE5B-A74A8ADB5FEA}" name="UsedFSBuilder" dataDxfId="542" dataCellStyle="Comma">
      <calculatedColumnFormula>IS_Expenses[[#This Row],[Used]]*(IS_Expenses[[#This Row],[AmtFSBuilder]]&lt;&gt;0)*Financial_Statement_Builder!$K$122</calculatedColumnFormula>
    </tableColumn>
  </tableColumns>
  <tableStyleInfo name="TableStyleMedium2" showFirstColumn="0" showLastColumn="0" showRowStripes="0"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541" headerRowBorderDxfId="539" tableBorderDxfId="540">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538">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537"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536" dataCellStyle="Comma">
      <calculatedColumnFormula>IS_Gains[[#This Row],[Used]]</calculatedColumnFormula>
    </tableColumn>
    <tableColumn id="3" xr3:uid="{C69D25B7-2811-4DE0-9EE3-4D1008CC57AC}" name="AmtJournal" dataDxfId="535" dataCellStyle="Comma">
      <calculatedColumnFormula>SUMIFS(Journal[Cr Amt],Journal[Credit Account],I36,Journal[ref1],"&lt;&gt;CL")</calculatedColumnFormula>
    </tableColumn>
    <tableColumn id="6" xr3:uid="{D188D3E4-9F93-4B5D-A49C-2B613984C38D}" name="AmtAnswer" dataDxfId="534" dataCellStyle="Comma">
      <calculatedColumnFormula>SUMIFS(JournalAnswer[Cr Amt],JournalAnswer[Credit Account],I36,JournalAnswer[ref1],"&lt;&gt;CL")</calculatedColumnFormula>
    </tableColumn>
    <tableColumn id="7" xr3:uid="{164F7945-01C2-43CC-85E9-CC6E6100A4B7}" name="AmtFSBuilder" dataDxfId="533" dataCellStyle="Comma">
      <calculatedColumnFormula array="1">IF(IS_Gains[[#This Row],[Account]]&lt;&gt;"",_xlfn._xlws.FILTER(FSBuilder[Amount],FSBuilder[Account or Explanation]=IS_Gains[[#This Row],[Account]],0),"")</calculatedColumnFormula>
    </tableColumn>
    <tableColumn id="8" xr3:uid="{1B6A7503-B5B1-4E63-B47C-D333D02B7945}" name="UsedJournal" dataDxfId="532" dataCellStyle="Comma">
      <calculatedColumnFormula>IS_Gains[[#This Row],[Used]]*(IS_Gains[[#This Row],[AmtJournal]]&lt;&gt;0)</calculatedColumnFormula>
    </tableColumn>
    <tableColumn id="9" xr3:uid="{6EEBA404-45AA-458E-978F-9D126EE4813F}" name="UsedAnswer" dataDxfId="531" dataCellStyle="Comma">
      <calculatedColumnFormula>IS_Gains[[#This Row],[Used]]*(IS_Gains[[#This Row],[AmtAnswer]]&lt;&gt;0)</calculatedColumnFormula>
    </tableColumn>
    <tableColumn id="10" xr3:uid="{1DAAB9C0-04D8-4DF2-A698-B9144A5BCB05}" name="UsedFSBuilder" dataDxfId="530" dataCellStyle="Comma">
      <calculatedColumnFormula>IS_Gains[[#This Row],[Used]]*(IS_Gains[[#This Row],[AmtFSBuilder]]&lt;&gt;0)*Financial_Statement_Builder!$K$123</calculatedColumnFormula>
    </tableColumn>
  </tableColumns>
  <tableStyleInfo name="TableStyleMedium2" showFirstColumn="0" showLastColumn="0" showRowStripes="0"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529" headerRowBorderDxfId="527" tableBorderDxfId="528">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526">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525"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524" dataCellStyle="Comma">
      <calculatedColumnFormula>IS_Losses[[#This Row],[Used]]</calculatedColumnFormula>
    </tableColumn>
    <tableColumn id="3" xr3:uid="{0443DBCD-4B7B-48FF-B44C-70DF96D293C3}" name="AmtJournal" dataDxfId="523" dataCellStyle="Comma">
      <calculatedColumnFormula>SUMIFS(Journal[Dr Amt],Journal[Debit Account],I46,Journal[ref1],"&lt;&gt;CL")</calculatedColumnFormula>
    </tableColumn>
    <tableColumn id="6" xr3:uid="{B236751E-63DD-49D0-BA7A-49DCB432EC81}" name="AmtAnswer" dataDxfId="522" dataCellStyle="Comma">
      <calculatedColumnFormula>SUMIFS(JournalAnswer[Dr Amt],JournalAnswer[Debit Account],I46,JournalAnswer[ref1],"&lt;&gt;CL")</calculatedColumnFormula>
    </tableColumn>
    <tableColumn id="7" xr3:uid="{7DE7A66B-1C7C-40F4-BAAF-DA107899C190}" name="AmtFSBuilder" dataDxfId="521" dataCellStyle="Comma">
      <calculatedColumnFormula array="1">IF(IS_Losses[[#This Row],[Account]]&lt;&gt;"",_xlfn._xlws.FILTER(FSBuilder[Amount],FSBuilder[Account or Explanation]=IS_Losses[[#This Row],[Account]],0),"")</calculatedColumnFormula>
    </tableColumn>
    <tableColumn id="8" xr3:uid="{229AE4C8-37D1-4A7F-AC94-DE3CBBEB822A}" name="UsedJournal" dataDxfId="520" dataCellStyle="Comma">
      <calculatedColumnFormula>IS_Losses[[#This Row],[Used]]*(IS_Losses[[#This Row],[AmtJournal]]&lt;&gt;0)</calculatedColumnFormula>
    </tableColumn>
    <tableColumn id="9" xr3:uid="{B84868FB-114F-4EE2-9445-EDEABDE5F42D}" name="UsedAnswer" dataDxfId="519" dataCellStyle="Comma">
      <calculatedColumnFormula>IS_Losses[[#This Row],[Used]]*(IS_Losses[[#This Row],[AmtAnswer]]&lt;&gt;0)</calculatedColumnFormula>
    </tableColumn>
    <tableColumn id="10" xr3:uid="{3495D9AB-1B39-4151-979A-9A10CC246B50}" name="UsedFSBuilder" dataDxfId="518" dataCellStyle="Comma">
      <calculatedColumnFormula>IS_Losses[[#This Row],[Used]]*(IS_Losses[[#This Row],[AmtFSBuilder]]&lt;&gt;0)*Financial_Statement_Builder!$K$124</calculatedColumnFormula>
    </tableColumn>
  </tableColumns>
  <tableStyleInfo name="TableStyleMedium2" showFirstColumn="0" showLastColumn="0" showRowStripes="0"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517" dataDxfId="516" tableBorderDxfId="515">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514"/>
    <tableColumn id="2" xr3:uid="{6BD4CCD8-57A6-4DA7-BC61-4410D3F047F6}" name="Account"/>
    <tableColumn id="4" xr3:uid="{3FEE1BAF-5AA2-493E-A4B3-59CD85D2D131}" name="Used" dataDxfId="513"/>
    <tableColumn id="5" xr3:uid="{EC892AE4-D34F-4C59-B1FB-C3453C8081A5}" name="Order" dataDxfId="512"/>
    <tableColumn id="3" xr3:uid="{D0298E0F-A9DE-4679-A59A-5C8B76D60DA7}" name="AmtJournal" dataDxfId="511"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510">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509">
      <calculatedColumnFormula array="1">IF(OCI[[#This Row],[Account]]&lt;&gt;"",_xlfn._xlws.FILTER(FSBuilder[Amount],FSBuilder[Account or Explanation]=OCI[[#This Row],[Account]],0),"")</calculatedColumnFormula>
    </tableColumn>
    <tableColumn id="8" xr3:uid="{BA1E7655-2E8F-454F-B42C-1F28E81D9A35}" name="UsedJournal" dataDxfId="508" dataCellStyle="Comma">
      <calculatedColumnFormula>OCI[[#This Row],[Used]]*(OCI[[#This Row],[AmtJournal]]&lt;&gt;0)</calculatedColumnFormula>
    </tableColumn>
    <tableColumn id="9" xr3:uid="{BC8875B6-03E5-4FBB-AB15-58A272F623FB}" name="UsedAnswer" dataDxfId="507" dataCellStyle="Comma">
      <calculatedColumnFormula>OCI[[#This Row],[Used]]*(OCI[[#This Row],[AmtAnswer]]&lt;&gt;0)</calculatedColumnFormula>
    </tableColumn>
    <tableColumn id="10" xr3:uid="{E547EE7F-3626-402B-B6E3-3332096FCD68}" name="UsedFSBuilder" dataDxfId="506" dataCellStyle="Comma">
      <calculatedColumnFormula>OCI[[#This Row],[Used]]*(OCI[[#This Row],[AmtFSBuilder]]&lt;&gt;0)</calculatedColumnFormula>
    </tableColumn>
  </tableColumns>
  <tableStyleInfo name="TableStyleMedium2" showFirstColumn="0" showLastColumn="0" showRowStripes="0"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505" dataDxfId="504" headerRowBorderDxfId="502" tableBorderDxfId="503"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501">
      <calculatedColumnFormula>IF(NI_CFO_Recon_Gains[[#This Row],[Used]]=1,7,8)</calculatedColumnFormula>
    </tableColumn>
    <tableColumn id="2" xr3:uid="{89768613-5F56-4FED-A267-CDAF7DDA594F}" name="Account"/>
    <tableColumn id="4" xr3:uid="{539062B2-8F2F-485A-A7AB-A946F1B9481F}" name="Used" dataDxfId="500" dataCellStyle="Comma">
      <calculatedColumnFormula>IF(ABS(NI_CFO_Recon_Gains[[#This Row],[AmtJournal]])&gt;0,1,0)</calculatedColumnFormula>
    </tableColumn>
    <tableColumn id="5" xr3:uid="{7EC65547-A83C-4CD7-A203-FA9033ABB41E}" name="Order" dataDxfId="499" dataCellStyle="Comma"/>
    <tableColumn id="3" xr3:uid="{8E21EE18-9345-43B9-9050-CA8AB2B5A830}" name="AmtJournal" dataDxfId="498" dataCellStyle="Comma"/>
    <tableColumn id="6" xr3:uid="{06EF57C4-F43F-4ECE-BAA8-8EC645F449B7}" name="AmtAnswer" dataDxfId="497" dataCellStyle="Comma">
      <calculatedColumnFormula>-SUMIF(JournalAnswer[Credit Account],#REF!,JournalAnswer[Cr Amt])</calculatedColumnFormula>
    </tableColumn>
    <tableColumn id="7" xr3:uid="{8FECE9DA-340D-42F0-BF75-40413D49CFE6}" name="AmtFSBuilder" dataDxfId="496" dataCellStyle="Comma">
      <calculatedColumnFormula array="1">IF(NI_CFO_Recon_Gains[[#This Row],[Account]]&lt;&gt;"",_xlfn._xlws.FILTER(FSBuilder[Amount],(FSBuilder[Account or Explanation]=NI_CFO_Recon_Gains[[#This Row],[Account]])*(FSBuilder[Statement]="Cash Flow Statement"),0),0)</calculatedColumnFormula>
    </tableColumn>
    <tableColumn id="8" xr3:uid="{D8C8CE1F-7237-4D27-A7DE-E4AD7F7577D2}" name="UsedJournal" dataDxfId="495" dataCellStyle="Comma">
      <calculatedColumnFormula>IF(ABS(NI_CFO_Recon_Gains[[#This Row],[AmtJournal]])&gt;0,1,0)</calculatedColumnFormula>
    </tableColumn>
    <tableColumn id="9" xr3:uid="{F4F3B3C0-92ED-406E-8F8C-C449046F2711}" name="UsedAnswer" dataDxfId="494" dataCellStyle="Comma">
      <calculatedColumnFormula>IF(ABS(NI_CFO_Recon_Gains[[#This Row],[AmtAnswer]])&gt;0,1,0)</calculatedColumnFormula>
    </tableColumn>
    <tableColumn id="10" xr3:uid="{4A7CBBC6-6BB6-4AD7-9FD4-7B080421163B}" name="UsedFSBuilder" dataDxfId="493" dataCellStyle="Comma">
      <calculatedColumnFormula>IF(ABS(NI_CFO_Recon_Gains[[#This Row],[AmtFSBuilder]])&gt;0,1,0)</calculatedColumnFormula>
    </tableColumn>
  </tableColumns>
  <tableStyleInfo name="TableStyleMedium2" showFirstColumn="0" showLastColumn="0" showRowStripes="0"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492" dataDxfId="491" headerRowBorderDxfId="489" tableBorderDxfId="490"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488">
      <calculatedColumnFormula>IF(NI_CFO_Recon_Losses[[#This Row],[Used]]=1,7,8)</calculatedColumnFormula>
    </tableColumn>
    <tableColumn id="2" xr3:uid="{161C1AAA-DAFA-45CC-B71F-93741CD42CC8}" name="Account"/>
    <tableColumn id="4" xr3:uid="{27E521A3-7864-4784-BAE5-E9EFE7179F20}" name="Used" dataDxfId="487" dataCellStyle="Comma">
      <calculatedColumnFormula>IF(ABS(NI_CFO_Recon_Losses[[#This Row],[AmtJournal]])&gt;0,1,0)</calculatedColumnFormula>
    </tableColumn>
    <tableColumn id="5" xr3:uid="{0E2834CE-EDDF-41A7-BC61-A2D01ABC9CD2}" name="Order" dataDxfId="486" dataCellStyle="Comma"/>
    <tableColumn id="3" xr3:uid="{61D5EF8D-6024-4333-BA78-78DC06661CE8}" name="AmtJournal" dataDxfId="485" dataCellStyle="Comma">
      <calculatedColumnFormula>SUMIF(Journal[Debit Account],BB20,Journal[Dr Amt])</calculatedColumnFormula>
    </tableColumn>
    <tableColumn id="6" xr3:uid="{040379AC-9F11-49FA-BED9-2B1132A5FBAA}" name="AmtAnswer" dataDxfId="484" dataCellStyle="Comma">
      <calculatedColumnFormula>SUMIF(JournalAnswer[Debit Account],#REF!,JournalAnswer[Dr Amt])</calculatedColumnFormula>
    </tableColumn>
    <tableColumn id="7" xr3:uid="{0A66C726-702C-450E-9004-5734B19A1BBD}" name="AmtFSBuilder" dataDxfId="483" dataCellStyle="Comma">
      <calculatedColumnFormula array="1">IF(NI_CFO_Recon_Losses[[#This Row],[Account]]&lt;&gt;"",_xlfn._xlws.FILTER(FSBuilder[Amount],(FSBuilder[Account or Explanation]=NI_CFO_Recon_Losses[[#This Row],[Account]])*(FSBuilder[Statement]="Cash Flow Statement"),0),0)</calculatedColumnFormula>
    </tableColumn>
    <tableColumn id="8" xr3:uid="{F1B57CA5-1095-4CD3-AA19-29CFD0D3E116}" name="UsedJournal" dataDxfId="482" dataCellStyle="Comma">
      <calculatedColumnFormula>IF(ABS(NI_CFO_Recon_Losses[[#This Row],[AmtJournal]])&gt;0,1,0)</calculatedColumnFormula>
    </tableColumn>
    <tableColumn id="9" xr3:uid="{88ED515D-8E74-4CB0-8F40-5A487942305C}" name="UsedAnswer" dataDxfId="481" dataCellStyle="Comma">
      <calculatedColumnFormula>IF(ABS(NI_CFO_Recon_Losses[[#This Row],[AmtAnswer]])&gt;0,1,0)</calculatedColumnFormula>
    </tableColumn>
    <tableColumn id="10" xr3:uid="{A17B31AB-381D-4220-AA7D-B48C833AA79C}" name="UsedFSBuilder" dataDxfId="480" dataCellStyle="Comma">
      <calculatedColumnFormula>IF(ABS(NI_CFO_Recon_Losses[[#This Row],[AmtFSBuilder]])&gt;0,1,0)</calculatedColumnFormula>
    </tableColumn>
  </tableColumns>
  <tableStyleInfo name="TableStyleMedium2" showFirstColumn="0" showLastColumn="0" showRowStripes="0"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479" dataDxfId="478" headerRowBorderDxfId="476" tableBorderDxfId="477"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475">
      <calculatedColumnFormula>IF(NI_CFO_Recon_Other[[#This Row],[Used]]=1,7,8)</calculatedColumnFormula>
    </tableColumn>
    <tableColumn id="2" xr3:uid="{A5B1CF8A-8BD8-42B9-88F3-3FEA32039137}" name="Account"/>
    <tableColumn id="4" xr3:uid="{C6183EE5-C4EE-4F7D-925B-6B64C3DF2508}" name="Used" dataDxfId="474" dataCellStyle="Comma">
      <calculatedColumnFormula>IF(ABS(NI_CFO_Recon_Other[[#This Row],[AmtJournal]])&gt;0,1,0)</calculatedColumnFormula>
    </tableColumn>
    <tableColumn id="5" xr3:uid="{0966E7C8-EE38-4189-8B49-8CAE5430115F}" name="Order" dataDxfId="473" dataCellStyle="Comma"/>
    <tableColumn id="3" xr3:uid="{EFF01D3C-1A9D-4FDF-AB94-E2895C2A0F8C}" name="AmtJournal" dataDxfId="472" dataCellStyle="Comma"/>
    <tableColumn id="6" xr3:uid="{FF4D95C3-9140-4E97-8625-D8EF2FCDD749}" name="AmtAnswer" dataDxfId="471" dataCellStyle="Comma"/>
    <tableColumn id="7" xr3:uid="{F8253E37-881B-4DA4-82A6-9E5A0FBBC5B2}" name="AmtFSBuilder" dataDxfId="470"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469" dataCellStyle="Comma">
      <calculatedColumnFormula>IF(ABS(NI_CFO_Recon_Other[[#This Row],[AmtJournal]])&gt;0,1,0)</calculatedColumnFormula>
    </tableColumn>
    <tableColumn id="9" xr3:uid="{CAFB8D68-A0A9-41AB-909A-951C7DE9D9B5}" name="UsedAnswer" dataDxfId="468" dataCellStyle="Comma">
      <calculatedColumnFormula>IF(ABS(NI_CFO_Recon_Other[[#This Row],[AmtAnswer]])&gt;0,1,0)</calculatedColumnFormula>
    </tableColumn>
    <tableColumn id="10" xr3:uid="{BCFE4412-31A2-4269-881F-F7B14D005693}" name="UsedFSBuilder" dataDxfId="467" dataCellStyle="Comma">
      <calculatedColumnFormula>IF(ABS(NI_CFO_Recon_Other[[#This Row],[AmtFSBuilder]])&gt;0,1,0)</calculatedColumnFormula>
    </tableColumn>
  </tableColumns>
  <tableStyleInfo name="TableStyleMedium2" showFirstColumn="0" showLastColumn="0" showRowStripes="0"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466" headerRowBorderDxfId="464" tableBorderDxfId="465">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463">
      <calculatedColumnFormula>IF(NI_CFO_Recon_Assets[[#This Row],[Used]]=1,7,8)</calculatedColumnFormula>
    </tableColumn>
    <tableColumn id="2" xr3:uid="{16F61B74-591E-4BC7-8539-5228FAE28F78}" name="Account"/>
    <tableColumn id="4" xr3:uid="{EF2F3F6D-4C1C-42AB-B52F-A110DE59E042}" name="Used" dataDxfId="462" dataCellStyle="Comma">
      <calculatedColumnFormula>IF(ABS(NI_CFO_Recon_Assets[[#This Row],[AmtJournal]])&gt;0,1,0)</calculatedColumnFormula>
    </tableColumn>
    <tableColumn id="5" xr3:uid="{3E6F783D-CC7A-4AA4-B47D-66AA3154A93E}" name="Order" dataDxfId="461"/>
    <tableColumn id="3" xr3:uid="{627C1042-E758-465C-A99B-42E17393D5E3}" name="AmtJournal" dataDxfId="460">
      <calculatedColumnFormula>SUMIFS(Journal[Cr Amt],Journal[Credit Account],BB39,Journal[ref3],"TRUE")-SUMIFS(Journal[Dr Amt],Journal[Debit Account],BB39,Journal[ref3],"TRUE")</calculatedColumnFormula>
    </tableColumn>
    <tableColumn id="6" xr3:uid="{81887509-0E15-40D2-8328-0045D594B774}" name="AmtAnswer" dataDxfId="459">
      <calculatedColumnFormula>SUMIFS(JournalAnswer[Cr Amt],JournalAnswer[Credit Account],BE39,JournalAnswer[ref3],"TRUE")-SUMIFS(JournalAnswer[Dr Amt],JournalAnswer[Debit Account],BE39,JournalAnswer[ref3],"TRUE")</calculatedColumnFormula>
    </tableColumn>
    <tableColumn id="7" xr3:uid="{C6A6A5BB-A4E3-4305-B69B-F6556DFE4901}" name="AmtFSBuilder" dataDxfId="458">
      <calculatedColumnFormula array="1">IF(NI_CFO_Recon_Assets[[#This Row],[Account]]&lt;&gt;"",_xlfn._xlws.FILTER(FSBuilder[Amount],(FSBuilder[Account or Explanation]=NI_CFO_Recon_Assets[[#This Row],[Account]])*(FSBuilder[Statement]="Cash Flow Statement"),0),0)</calculatedColumnFormula>
    </tableColumn>
    <tableColumn id="8" xr3:uid="{26EB7737-1933-45D4-BAB7-3950FD6CA960}" name="UsedJournal" dataDxfId="457">
      <calculatedColumnFormula>IF(ABS(NI_CFO_Recon_Assets[[#This Row],[AmtJournal]])&gt;0,1,0)</calculatedColumnFormula>
    </tableColumn>
    <tableColumn id="9" xr3:uid="{F1F1C8F9-A14E-43E6-A8F7-A182A6E5EA5C}" name="UsedAnswer" dataDxfId="456">
      <calculatedColumnFormula>IF(ABS(NI_CFO_Recon_Assets[[#This Row],[AmtAnswer]])&gt;0,1,0)</calculatedColumnFormula>
    </tableColumn>
    <tableColumn id="10" xr3:uid="{FA5BC2F5-B565-4E8D-9C0A-E05FC8083A7B}" name="UsedFSBuilder" dataDxfId="455">
      <calculatedColumnFormula>IF(ABS(NI_CFO_Recon_Assets[[#This Row],[AmtFSBuilder]])&gt;0,1,0)</calculatedColumnFormula>
    </tableColumn>
  </tableColumns>
  <tableStyleInfo name="TableStyleMedium2" showFirstColumn="0" showLastColumn="0" showRowStripes="0"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454" headerRowBorderDxfId="452" tableBorderDxfId="453">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451">
      <calculatedColumnFormula>IF(NI_CFO_Recon_Liabilities[[#This Row],[Used]]=1,7,8)</calculatedColumnFormula>
    </tableColumn>
    <tableColumn id="2" xr3:uid="{833A6A82-1AC0-4434-89CB-DBFDEF981F57}" name="Account"/>
    <tableColumn id="4" xr3:uid="{7A9A9689-F2DE-4D6A-8A9A-7856ABAD5BED}" name="Used" dataDxfId="450">
      <calculatedColumnFormula>IF(ABS(NI_CFO_Recon_Liabilities[[#This Row],[AmtJournal]])&gt;0,1,0)</calculatedColumnFormula>
    </tableColumn>
    <tableColumn id="5" xr3:uid="{78D2EA5E-E253-4140-B02E-F7D512E0974C}" name="Order" dataDxfId="449"/>
    <tableColumn id="3" xr3:uid="{1A8F577A-F79B-4461-A2FB-EB0F2535E818}" name="AmtJournal" dataDxfId="448">
      <calculatedColumnFormula>-SUMIFS(Journal[Dr Amt],Journal[Debit Account],BB57,Journal[ref3],"TRUE")+SUMIFS(Journal[Cr Amt],Journal[Credit Account],BB57,Journal[ref3],"TRUE")</calculatedColumnFormula>
    </tableColumn>
    <tableColumn id="6" xr3:uid="{BFE55495-5DCA-46CC-9E35-2D247D796696}" name="AmtAnswer" dataDxfId="447"/>
    <tableColumn id="7" xr3:uid="{C9DB0F61-5BCC-487A-8E4C-4D04E43D4093}" name="AmtFSBuilder" dataDxfId="446">
      <calculatedColumnFormula array="1">IF(NI_CFO_Recon_Liabilities[[#This Row],[Account]]&lt;&gt;"",_xlfn._xlws.FILTER(FSBuilder[Amount],(FSBuilder[Account or Explanation]=NI_CFO_Recon_Liabilities[[#This Row],[Account]])*(FSBuilder[Statement]="Cash Flow Statement"),0),0)</calculatedColumnFormula>
    </tableColumn>
    <tableColumn id="8" xr3:uid="{81EDA308-2327-4C07-A9FD-4BB98A8ED22B}" name="UsedJournal" dataDxfId="445"/>
    <tableColumn id="9" xr3:uid="{01CC87E7-7A89-4004-8C50-A3E52EF1D9A9}" name="UsedAnswer" dataDxfId="444"/>
    <tableColumn id="10" xr3:uid="{C8297405-53DC-4F71-A5D5-2B6EC2DEC512}" name="UsedFSBuilder" dataDxfId="443"/>
  </tableColumns>
  <tableStyleInfo name="TableStyleMedium2" showFirstColumn="0" showLastColumn="0" showRowStripes="0"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442" headerRowBorderDxfId="440" tableBorderDxfId="441">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439">
      <calculatedColumnFormula>IF(ReqdDisclosures124[[#This Row],[Used]]=1,7,8)</calculatedColumnFormula>
    </tableColumn>
    <tableColumn id="2" xr3:uid="{167C22A0-763F-4E97-A2FF-26FE6537AF19}" name="Account"/>
    <tableColumn id="4" xr3:uid="{447C905C-242A-47B7-A8BF-F5270644A488}" name="Used" dataDxfId="438">
      <calculatedColumnFormula>IF(ABS(ReqdDisclosures124[[#This Row],[AmtJournal]])&gt;0,1,0)</calculatedColumnFormula>
    </tableColumn>
    <tableColumn id="5" xr3:uid="{6A4ED484-7AE2-4D85-B9B9-F0B415252212}" name="Order" dataDxfId="437"/>
    <tableColumn id="3" xr3:uid="{1A252CC3-4E09-423C-B9FF-BA4315675173}" name="AmtJournal" dataDxfId="436" dataCellStyle="Currency">
      <calculatedColumnFormula>SUMIFS(Journal[Cr Amt],Journal[ref1],"PdInt",Journal[Credit Account],"Cash")</calculatedColumnFormula>
    </tableColumn>
    <tableColumn id="6" xr3:uid="{EEA342CD-0B5B-403B-910C-05A5D0855AF6}" name="AmtAnswer" dataDxfId="435"/>
    <tableColumn id="7" xr3:uid="{51D4097F-262F-45C5-82F3-D34B0CC98F7D}" name="AmtFSBuilder" dataDxfId="434">
      <calculatedColumnFormula array="1">IF(ReqdDisclosures124[[#This Row],[Account]]&lt;&gt;"",_xlfn._xlws.FILTER(FSBuilder[Amount],FSBuilder[Account or Explanation]=ReqdDisclosures124[[#This Row],[Account]],0),0)</calculatedColumnFormula>
    </tableColumn>
    <tableColumn id="8" xr3:uid="{63B33E74-010E-434C-978E-534BB32B5209}" name="UsedJournal" dataDxfId="433">
      <calculatedColumnFormula>IF(ABS(ReqdDisclosures124[[#This Row],[AmtJournal]])&gt;0,1,0)</calculatedColumnFormula>
    </tableColumn>
    <tableColumn id="9" xr3:uid="{C4B0CC89-59B0-42C0-80EC-DAE7F97579B3}" name="UsedAnswer" dataDxfId="432">
      <calculatedColumnFormula>IF(ABS(ReqdDisclosures124[[#This Row],[AmtAnswer]])&gt;0,1,0)</calculatedColumnFormula>
    </tableColumn>
    <tableColumn id="10" xr3:uid="{618B6853-FF95-47DF-9626-7B55D2C75D10}" name="UsedFSBuilder" dataDxfId="431">
      <calculatedColumnFormula>IF(ABS(ReqdDisclosures124[[#This Row],[AmtFSBuilder]])&gt;0,1,0)</calculatedColumnFormula>
    </tableColumn>
  </tableColumns>
  <tableStyleInfo name="TableStyleMedium2" showFirstColumn="0" showLastColumn="0" showRowStripes="0"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430">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429"/>
    <tableColumn id="1" xr3:uid="{4BA8DD7F-6554-43D5-A1B2-319CD061BF0B}" name="Account"/>
    <tableColumn id="4" xr3:uid="{68CAB12D-34BA-4282-BF6C-2E9AA6AD207F}" name="Used" dataDxfId="428" dataCellStyle="Comma">
      <calculatedColumnFormula>_xlfn.XLOOKUP(ECurrAssets[[#This Row],[Account]],MD_Asset[Account Name],MD_Asset[Used])</calculatedColumnFormula>
    </tableColumn>
    <tableColumn id="5" xr3:uid="{4A6AE5F9-BE68-4E8A-A07B-C9BD7C120518}" name="Order" dataDxfId="427" dataCellStyle="Comma"/>
    <tableColumn id="2" xr3:uid="{8D43CDAA-3DFA-4454-B5EA-EC273CF4FB28}" name="AmtJournal" dataDxfId="426"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425">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424"/>
    <tableColumn id="1" xr3:uid="{5467160E-441A-48E8-A897-D3D9123922D5}" name="Account"/>
    <tableColumn id="3" xr3:uid="{82FDA316-28EE-4AB5-BC10-327409276627}" name="Used" dataDxfId="423" dataCellStyle="Comma"/>
    <tableColumn id="4" xr3:uid="{E0018FD6-1F33-4D89-BA04-CEB75FC1F018}" name="Order" dataDxfId="422" dataCellStyle="Comma"/>
    <tableColumn id="2" xr3:uid="{FAB5C5BE-2509-4030-B006-1373D31D1173}" name="AmtJournal" dataDxfId="421"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420">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419"/>
    <tableColumn id="2" xr3:uid="{604CBE83-513D-4ADA-8D26-89962B691595}" name="Account"/>
    <tableColumn id="4" xr3:uid="{0C5AC6D9-C2FE-4FB7-BBBA-5AF59E963C31}" name="Used" dataDxfId="418" dataCellStyle="Comma"/>
    <tableColumn id="5" xr3:uid="{1FB480BF-B2A7-4CFF-8D0C-208DC44AFC49}" name="Order" dataDxfId="417" dataCellStyle="Comma"/>
    <tableColumn id="3" xr3:uid="{F19C840C-FDD9-434A-892F-8BF0E6B2FCE9}" name="AmtJournal" dataDxfId="416"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415">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414" headerRowBorderDxfId="412" tableBorderDxfId="413">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411"/>
    <tableColumn id="2" xr3:uid="{0E215F89-1270-4B3D-BE49-EC6E82574EAB}" name="Account"/>
    <tableColumn id="4" xr3:uid="{C75D607F-DC63-49F2-B11A-1CD33519AF3A}" name="Used" dataDxfId="410" dataCellStyle="Comma"/>
    <tableColumn id="5" xr3:uid="{3DDAD8DE-1C31-4747-9372-06BBAD23F3E7}" name="Order" dataDxfId="409" dataCellStyle="Comma"/>
    <tableColumn id="3" xr3:uid="{AFC353F0-5D5F-45AB-9871-273B1F79B91D}" name="AmtJournal" dataDxfId="408"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407" dataCellStyle="Currency"/>
    <tableColumn id="7" xr3:uid="{AE868802-12AD-48FE-ACBB-1DD6F45C20E1}" name="AmtFSBuilder" dataDxfId="406" dataCellStyle="Currency"/>
    <tableColumn id="8" xr3:uid="{315E809D-D946-40A4-93FC-5CD36761A996}" name="UsedJournal" dataDxfId="405" dataCellStyle="Currency">
      <calculatedColumnFormula>ENonCurrLiabs[[#This Row],[Used]]*(ENonCurrLiabs[[#This Row],[AmtJournal]]&lt;&gt;0)</calculatedColumnFormula>
    </tableColumn>
    <tableColumn id="9" xr3:uid="{D0AEC8F8-4D9F-4239-808B-BD10A49D31C1}" name="UsedAnswer" dataDxfId="404" dataCellStyle="Currency">
      <calculatedColumnFormula>ENonCurrLiabs[[#This Row],[Used]]*(ENonCurrLiabs[[#This Row],[AmtAnswer]]&lt;&gt;0)</calculatedColumnFormula>
    </tableColumn>
    <tableColumn id="10" xr3:uid="{9987CF8E-F309-4F3E-90FC-19EFAB3C3EA3}" name="UsedFSBuilder" dataDxfId="403"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402" headerRowBorderDxfId="400" tableBorderDxfId="401">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399">
      <calculatedColumnFormula array="1">_xlfn.IFS(AND(EEquities[[#This Row],[Used]]=1,EEquities[[#This Row],[Order]]=1),6,AND(EEquities[[#This Row],[Used]]=1,EEquities[[#This Row],[Order]]&gt;1),7,EEquities[[#This Row],[Used]]=0,8)</calculatedColumnFormula>
    </tableColumn>
    <tableColumn id="2" xr3:uid="{D7A96956-7015-4EFA-9D0E-13A710CA19AD}" name="Account"/>
    <tableColumn id="4" xr3:uid="{5447DB54-AF06-471B-8468-84269028FB8E}" name="Used" dataDxfId="398"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397" dataCellStyle="Comma"/>
    <tableColumn id="3" xr3:uid="{CDF3FCF3-D26A-4F5C-8FE0-BDE39C9A3E05}" name="AmtJournal" dataDxfId="396"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calculatedColumnFormula array="1">IF(EEquities[[#This Row],[Account]]&lt;&gt;"",_xlfn._xlws.FILTER(FSBuilder[Amount],(FSBuilder[Account or Explanation]=EEquities[[#This Row],[Account]])*(FSBuilder[Statement]="Ending Balance Sheet"),0),0)</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395" headerRowBorderDxfId="393" tableBorderDxfId="394">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392">
      <calculatedColumnFormula>IF(NI_CFO_Recon_Adjs[[#This Row],[Used]]=1,7,8)</calculatedColumnFormula>
    </tableColumn>
    <tableColumn id="2" xr3:uid="{7C02BA10-811A-4040-97DF-4CF123197B97}" name="Account" dataDxfId="391"/>
    <tableColumn id="4" xr3:uid="{85BBFFB2-4528-48B7-B4DE-5413D1D8B5EB}" name="Used" dataDxfId="390" dataCellStyle="Comma">
      <calculatedColumnFormula>IF(ABS(NI_CFO_Recon_Adjs[[#This Row],[AmtJournal]])&gt;0,1,0)</calculatedColumnFormula>
    </tableColumn>
    <tableColumn id="5" xr3:uid="{1A8015FD-D659-4CF7-A3D0-8D5505EFB4D8}" name="Order"/>
    <tableColumn id="3" xr3:uid="{C3F5E93B-B3AB-495E-BBED-51A764558578}" name="AmtJournal" dataDxfId="389" dataCellStyle="Comma"/>
    <tableColumn id="6" xr3:uid="{2277BC0B-58FA-4BDF-BEB6-FC238CC592D0}" name="AmtAnswer" dataDxfId="388" dataCellStyle="Comma"/>
    <tableColumn id="7" xr3:uid="{8C516145-2FAD-4177-9314-81675A07A34B}" name="AmtFSBuilder">
      <calculatedColumnFormula array="1">IF(NI_CFO_Recon_Adjs[[#This Row],[Account]]&lt;&gt;"",_xlfn._xlws.FILTER(FSBuilder[Amount],(FSBuilder[Account or Explanation]=NI_CFO_Recon_Adjs[[#This Row],[Account]])*(FSBuilder[Statement]="Cash Flow Statement"),0),0)</calculatedColumnFormula>
    </tableColumn>
    <tableColumn id="8" xr3:uid="{67DB8645-E4AC-46C5-AE5F-B8F5699214D5}" name="UsedJournal" dataDxfId="387">
      <calculatedColumnFormula>IF(ABS(NI_CFO_Recon_Adjs[[#This Row],[AmtJournal]])&gt;0,1,0)</calculatedColumnFormula>
    </tableColumn>
    <tableColumn id="9" xr3:uid="{95635E97-68A4-45D4-8CF7-46A1ECB841CC}" name="UsedAnswer" dataDxfId="386">
      <calculatedColumnFormula>IF(ABS(NI_CFO_Recon_Adjs[[#This Row],[AmtAnswer]])&gt;0,1,0)</calculatedColumnFormula>
    </tableColumn>
    <tableColumn id="10" xr3:uid="{7786D72E-27A5-4DDB-87D3-791EEDBD7E23}" name="UsedFSBuilder" dataDxfId="385">
      <calculatedColumnFormula>IF(ABS(NI_CFO_Recon_Adjs[[#This Row],[AmtFSBuilder]])&gt;0,1,0)</calculatedColumnFormula>
    </tableColumn>
  </tableColumns>
  <tableStyleInfo name="TableStyleMedium2" showFirstColumn="0" showLastColumn="0" showRowStripes="0"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384" headerRowBorderDxfId="382" tableBorderDxfId="383">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381">
      <calculatedColumnFormula>IF(NI_CFO_Recon_Chs_Ops[[#This Row],[Order]]=1,7,8)</calculatedColumnFormula>
    </tableColumn>
    <tableColumn id="2" xr3:uid="{B48B3083-7663-4DFC-AC48-86AAA2CC728D}" name="Account" dataDxfId="380"/>
    <tableColumn id="3" xr3:uid="{FB9A69CC-2279-4C7D-8043-C69347B292A2}" name="Used" dataDxfId="379" dataCellStyle="Comma">
      <calculatedColumnFormula>IF(ABS(NI_CFO_Recon_Chs_Ops[[#This Row],[AmtJournal]])&gt;0,1,0)</calculatedColumnFormula>
    </tableColumn>
    <tableColumn id="4" xr3:uid="{D3913622-DA64-4B44-9441-3807567E35D9}" name="Order" dataDxfId="378" dataCellStyle="Comma"/>
    <tableColumn id="5" xr3:uid="{4501ADFF-94A4-437C-8688-9795CFA938BC}" name="AmtJournal" dataDxfId="377" dataCellStyle="Comma"/>
    <tableColumn id="6" xr3:uid="{C8731654-D0A7-4F61-B195-29A0A1E96CB5}" name="AmtAnswer" dataDxfId="376" dataCellStyle="Comma"/>
    <tableColumn id="7" xr3:uid="{A324FE78-9F4B-4003-AC94-7F3BA7BF7E0F}" name="AmtFSBuilder" dataDxfId="375" dataCellStyle="Comma">
      <calculatedColumnFormula array="1">IF(NI_CFO_Recon_Chs_Ops[[#This Row],[Account]]&lt;&gt;"",_xlfn._xlws.FILTER(FSBuilder[Amount],(FSBuilder[Account or Explanation]=NI_CFO_Recon_Chs_Ops[[#This Row],[Account]])*(FSBuilder[Statement]="Cash Flow Statement"),0),0)</calculatedColumnFormula>
    </tableColumn>
    <tableColumn id="8" xr3:uid="{789EC7FA-3803-4100-885F-9EF6CB1177E3}" name="UsedJournal" dataDxfId="374">
      <calculatedColumnFormula>IF(ABS(NI_CFO_Recon_Chs_Ops[[#This Row],[AmtJournal]])&gt;0,1,0)</calculatedColumnFormula>
    </tableColumn>
    <tableColumn id="9" xr3:uid="{E2047A3E-069E-4A4D-9BE6-6EEAFC47B914}" name="UsedAnswer" dataDxfId="373">
      <calculatedColumnFormula>IF(ABS(NI_CFO_Recon_Chs_Ops[[#This Row],[AmtAnswer]])&gt;0,1,0)</calculatedColumnFormula>
    </tableColumn>
    <tableColumn id="10" xr3:uid="{DC506B5F-8006-4367-BB73-314FE54A906D}" name="UsedFSBuilder" dataDxfId="372">
      <calculatedColumnFormula>IF(ABS(NI_CFO_Recon_Chs_Ops[[#This Row],[AmtFSBuilder]])&gt;0,1,0)</calculatedColumnFormula>
    </tableColumn>
  </tableColumns>
  <tableStyleInfo name="TableStyleMedium2" showFirstColumn="0" showLastColumn="0" showRowStripes="0"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371" headerRowBorderDxfId="370">
  <autoFilter ref="B116:C137" xr:uid="{7231CA03-5472-498E-9920-53FF390C75B7}"/>
  <tableColumns count="2">
    <tableColumn id="1" xr3:uid="{27B17D86-AE19-4C68-BD27-9B1427AD4A6A}" name="FC" dataDxfId="369"/>
    <tableColumn id="2" xr3:uid="{F9ABA2A9-42A7-4012-88D9-989B1A4961E2}" name="Note"/>
  </tableColumns>
  <tableStyleInfo name="TableStyleLight9"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G21" totalsRowShown="0" headerRowDxfId="368">
  <autoFilter ref="AE8:AG21" xr:uid="{E8E65671-DA11-47CA-8AD5-77610D2899DA}"/>
  <tableColumns count="3">
    <tableColumn id="1" xr3:uid="{932C7BF9-BEDE-4864-A999-B9C44B29BF29}" name="Item" dataDxfId="367"/>
    <tableColumn id="2" xr3:uid="{BEC2EAAA-3AE1-49EC-9818-4D24B9790CF7}" name="AmtJournal" dataCellStyle="Comma"/>
    <tableColumn id="3" xr3:uid="{7C4D34BC-4687-4B8C-9BEE-1896432B1B82}" name="AmtAnswer" dataCellStyle="Comma"/>
  </tableColumns>
  <tableStyleInfo name="TableStyleLight9"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310" dataDxfId="309" headerRowBorderDxfId="307" tableBorderDxfId="30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306"/>
    <tableColumn id="2" xr3:uid="{266F0460-DFE8-4B54-B7FB-8BF472A46C7C}" name="Category" dataDxfId="305"/>
    <tableColumn id="3" xr3:uid="{0EC6E89F-319E-408D-8C04-34D16F6F7BE3}" name="Account or Explanation">
      <calculatedColumnFormula>IF(F115&lt;&gt;"",F115,"")</calculatedColumnFormula>
    </tableColumn>
    <tableColumn id="4" xr3:uid="{F96BD9D3-DFB0-4849-9142-D98B5C121370}" name="Amount" dataDxfId="304"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threadedComments/threadedComment2.xml><?xml version="1.0" encoding="utf-8"?>
<ThreadedComments xmlns="http://schemas.microsoft.com/office/spreadsheetml/2018/threadedcomments" xmlns:x="http://schemas.openxmlformats.org/spreadsheetml/2006/main">
  <threadedComment ref="Q173" dT="2024-12-11T20:46:08.36" personId="{EE698E82-96FD-4A99-B117-2CEA1A5E98D3}" id="{DFFC2918-917A-4D4C-BC3A-E638AB84C53F}">
    <text>These codes don’t exist yet. I have to differentiate CS and APIC parts of these transactions somehow.</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3.xml.rels><?xml version="1.0" encoding="UTF-8" standalone="yes"?>
<Relationships xmlns="http://schemas.openxmlformats.org/package/2006/relationships"><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9" Type="http://schemas.openxmlformats.org/officeDocument/2006/relationships/table" Target="../tables/table38.xml"/><Relationship Id="rId21" Type="http://schemas.openxmlformats.org/officeDocument/2006/relationships/table" Target="../tables/table20.xml"/><Relationship Id="rId34" Type="http://schemas.openxmlformats.org/officeDocument/2006/relationships/table" Target="../tables/table33.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29" Type="http://schemas.openxmlformats.org/officeDocument/2006/relationships/table" Target="../tables/table28.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32" Type="http://schemas.openxmlformats.org/officeDocument/2006/relationships/table" Target="../tables/table31.xml"/><Relationship Id="rId37" Type="http://schemas.openxmlformats.org/officeDocument/2006/relationships/table" Target="../tables/table36.xml"/><Relationship Id="rId40" Type="http://schemas.openxmlformats.org/officeDocument/2006/relationships/table" Target="../tables/table39.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10" Type="http://schemas.openxmlformats.org/officeDocument/2006/relationships/table" Target="../tables/table9.xml"/><Relationship Id="rId19" Type="http://schemas.openxmlformats.org/officeDocument/2006/relationships/table" Target="../tables/table18.xml"/><Relationship Id="rId31" Type="http://schemas.openxmlformats.org/officeDocument/2006/relationships/table" Target="../tables/table30.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 Id="rId35" Type="http://schemas.openxmlformats.org/officeDocument/2006/relationships/table" Target="../tables/table34.xml"/><Relationship Id="rId8" Type="http://schemas.openxmlformats.org/officeDocument/2006/relationships/table" Target="../tables/table7.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2.bin"/><Relationship Id="rId5" Type="http://schemas.openxmlformats.org/officeDocument/2006/relationships/table" Target="../tables/table43.xml"/><Relationship Id="rId4" Type="http://schemas.openxmlformats.org/officeDocument/2006/relationships/table" Target="../tables/table4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3" Type="http://schemas.openxmlformats.org/officeDocument/2006/relationships/table" Target="../tables/table56.xml"/><Relationship Id="rId18" Type="http://schemas.openxmlformats.org/officeDocument/2006/relationships/table" Target="../tables/table61.xml"/><Relationship Id="rId26" Type="http://schemas.openxmlformats.org/officeDocument/2006/relationships/table" Target="../tables/table69.xml"/><Relationship Id="rId3" Type="http://schemas.openxmlformats.org/officeDocument/2006/relationships/table" Target="../tables/table46.xml"/><Relationship Id="rId21" Type="http://schemas.openxmlformats.org/officeDocument/2006/relationships/table" Target="../tables/table64.xml"/><Relationship Id="rId7" Type="http://schemas.openxmlformats.org/officeDocument/2006/relationships/table" Target="../tables/table50.xml"/><Relationship Id="rId12" Type="http://schemas.openxmlformats.org/officeDocument/2006/relationships/table" Target="../tables/table55.xml"/><Relationship Id="rId17" Type="http://schemas.openxmlformats.org/officeDocument/2006/relationships/table" Target="../tables/table60.xml"/><Relationship Id="rId25" Type="http://schemas.openxmlformats.org/officeDocument/2006/relationships/table" Target="../tables/table68.xml"/><Relationship Id="rId33" Type="http://schemas.openxmlformats.org/officeDocument/2006/relationships/comments" Target="../comments2.xml"/><Relationship Id="rId2" Type="http://schemas.openxmlformats.org/officeDocument/2006/relationships/vmlDrawing" Target="../drawings/vmlDrawing2.vml"/><Relationship Id="rId16" Type="http://schemas.openxmlformats.org/officeDocument/2006/relationships/table" Target="../tables/table59.xml"/><Relationship Id="rId20" Type="http://schemas.openxmlformats.org/officeDocument/2006/relationships/table" Target="../tables/table63.xml"/><Relationship Id="rId29" Type="http://schemas.openxmlformats.org/officeDocument/2006/relationships/table" Target="../tables/table72.xml"/><Relationship Id="rId1" Type="http://schemas.openxmlformats.org/officeDocument/2006/relationships/drawing" Target="../drawings/drawing2.xml"/><Relationship Id="rId6" Type="http://schemas.openxmlformats.org/officeDocument/2006/relationships/table" Target="../tables/table49.xml"/><Relationship Id="rId11" Type="http://schemas.openxmlformats.org/officeDocument/2006/relationships/table" Target="../tables/table54.xml"/><Relationship Id="rId24" Type="http://schemas.openxmlformats.org/officeDocument/2006/relationships/table" Target="../tables/table67.xml"/><Relationship Id="rId32" Type="http://schemas.openxmlformats.org/officeDocument/2006/relationships/table" Target="../tables/table75.xml"/><Relationship Id="rId5" Type="http://schemas.openxmlformats.org/officeDocument/2006/relationships/table" Target="../tables/table48.xml"/><Relationship Id="rId15" Type="http://schemas.openxmlformats.org/officeDocument/2006/relationships/table" Target="../tables/table58.xml"/><Relationship Id="rId23" Type="http://schemas.openxmlformats.org/officeDocument/2006/relationships/table" Target="../tables/table66.xml"/><Relationship Id="rId28" Type="http://schemas.openxmlformats.org/officeDocument/2006/relationships/table" Target="../tables/table71.xml"/><Relationship Id="rId10" Type="http://schemas.openxmlformats.org/officeDocument/2006/relationships/table" Target="../tables/table53.xml"/><Relationship Id="rId19" Type="http://schemas.openxmlformats.org/officeDocument/2006/relationships/table" Target="../tables/table62.xml"/><Relationship Id="rId31" Type="http://schemas.openxmlformats.org/officeDocument/2006/relationships/table" Target="../tables/table74.xml"/><Relationship Id="rId4" Type="http://schemas.openxmlformats.org/officeDocument/2006/relationships/table" Target="../tables/table47.xml"/><Relationship Id="rId9" Type="http://schemas.openxmlformats.org/officeDocument/2006/relationships/table" Target="../tables/table52.xml"/><Relationship Id="rId14" Type="http://schemas.openxmlformats.org/officeDocument/2006/relationships/table" Target="../tables/table57.xml"/><Relationship Id="rId22" Type="http://schemas.openxmlformats.org/officeDocument/2006/relationships/table" Target="../tables/table65.xml"/><Relationship Id="rId27" Type="http://schemas.openxmlformats.org/officeDocument/2006/relationships/table" Target="../tables/table70.xml"/><Relationship Id="rId30" Type="http://schemas.openxmlformats.org/officeDocument/2006/relationships/table" Target="../tables/table73.xml"/><Relationship Id="rId8" Type="http://schemas.openxmlformats.org/officeDocument/2006/relationships/table" Target="../tables/table5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6.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5"/>
  <cols>
    <col min="1" max="1" width="25.7109375" bestFit="1" customWidth="1"/>
    <col min="2" max="2" width="97.42578125" bestFit="1"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9</v>
      </c>
    </row>
    <row r="7" spans="1:2">
      <c r="A7" t="s">
        <v>11</v>
      </c>
      <c r="B7" t="s">
        <v>9</v>
      </c>
    </row>
    <row r="8" spans="1:2">
      <c r="A8" t="s">
        <v>12</v>
      </c>
      <c r="B8" t="s">
        <v>9</v>
      </c>
    </row>
    <row r="9" spans="1:2">
      <c r="A9" t="s">
        <v>13</v>
      </c>
      <c r="B9" t="s">
        <v>9</v>
      </c>
    </row>
    <row r="10" spans="1:2">
      <c r="A10" t="s">
        <v>14</v>
      </c>
      <c r="B10" t="s">
        <v>9</v>
      </c>
    </row>
    <row r="11" spans="1:2">
      <c r="A11" t="s">
        <v>15</v>
      </c>
      <c r="B11" t="s">
        <v>16</v>
      </c>
    </row>
    <row r="12" spans="1:2">
      <c r="A12" t="s">
        <v>17</v>
      </c>
      <c r="B12" t="s">
        <v>18</v>
      </c>
    </row>
    <row r="13" spans="1:2">
      <c r="A13" t="s">
        <v>19</v>
      </c>
      <c r="B13" t="s">
        <v>18</v>
      </c>
    </row>
    <row r="14" spans="1:2">
      <c r="A14" t="s">
        <v>20</v>
      </c>
      <c r="B14" t="s">
        <v>18</v>
      </c>
    </row>
    <row r="15" spans="1:2">
      <c r="A15" t="s">
        <v>21</v>
      </c>
      <c r="B15" t="s">
        <v>18</v>
      </c>
    </row>
    <row r="16" spans="1:2">
      <c r="A16" t="s">
        <v>22</v>
      </c>
      <c r="B16" t="s">
        <v>18</v>
      </c>
    </row>
    <row r="17" spans="1:2">
      <c r="A17" t="s">
        <v>23</v>
      </c>
      <c r="B17" t="s">
        <v>18</v>
      </c>
    </row>
    <row r="18" spans="1:2">
      <c r="A18" t="s">
        <v>24</v>
      </c>
      <c r="B18" t="s">
        <v>18</v>
      </c>
    </row>
    <row r="19" spans="1:2">
      <c r="A19" t="s">
        <v>25</v>
      </c>
      <c r="B19" t="s">
        <v>18</v>
      </c>
    </row>
    <row r="20" spans="1:2">
      <c r="A20" t="s">
        <v>26</v>
      </c>
      <c r="B20" t="s">
        <v>18</v>
      </c>
    </row>
    <row r="21" spans="1:2">
      <c r="A21" t="s">
        <v>27</v>
      </c>
      <c r="B21" t="s">
        <v>28</v>
      </c>
    </row>
    <row r="22" spans="1:2">
      <c r="A22" t="s">
        <v>29</v>
      </c>
      <c r="B22" t="s">
        <v>30</v>
      </c>
    </row>
    <row r="23" spans="1:2">
      <c r="A23" t="s">
        <v>31</v>
      </c>
      <c r="B23" t="s">
        <v>32</v>
      </c>
    </row>
    <row r="24" spans="1:2">
      <c r="A24" t="s">
        <v>33</v>
      </c>
      <c r="B24" t="s">
        <v>34</v>
      </c>
    </row>
    <row r="25" spans="1:2">
      <c r="A25" t="s">
        <v>35</v>
      </c>
      <c r="B25" t="s">
        <v>36</v>
      </c>
    </row>
    <row r="26" spans="1:2">
      <c r="A26" t="s">
        <v>37</v>
      </c>
      <c r="B26" t="s">
        <v>38</v>
      </c>
    </row>
    <row r="27" spans="1:2">
      <c r="A27" t="s">
        <v>39</v>
      </c>
      <c r="B27" t="s">
        <v>40</v>
      </c>
    </row>
    <row r="28" spans="1:2">
      <c r="A28" t="s">
        <v>41</v>
      </c>
      <c r="B28" t="s">
        <v>42</v>
      </c>
    </row>
    <row r="29" spans="1:2">
      <c r="A29" t="s">
        <v>43</v>
      </c>
      <c r="B29" t="s">
        <v>44</v>
      </c>
    </row>
    <row r="30" spans="1:2">
      <c r="A30" t="s">
        <v>45</v>
      </c>
      <c r="B30" t="s">
        <v>46</v>
      </c>
    </row>
    <row r="31" spans="1:2">
      <c r="A31" t="s">
        <v>47</v>
      </c>
      <c r="B31" t="s">
        <v>46</v>
      </c>
    </row>
    <row r="32" spans="1:2">
      <c r="A32" t="s">
        <v>48</v>
      </c>
      <c r="B32" t="s">
        <v>49</v>
      </c>
    </row>
    <row r="33" spans="1:2">
      <c r="A33" t="s">
        <v>50</v>
      </c>
      <c r="B33" t="s">
        <v>51</v>
      </c>
    </row>
    <row r="34" spans="1:2">
      <c r="A34" t="s">
        <v>52</v>
      </c>
      <c r="B34"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5"/>
  <cols>
    <col min="2" max="2" width="11.5703125" bestFit="1" customWidth="1"/>
  </cols>
  <sheetData>
    <row r="2" spans="2:3">
      <c r="B2">
        <v>1</v>
      </c>
      <c r="C2" t="s">
        <v>54</v>
      </c>
    </row>
    <row r="3" spans="2:3">
      <c r="B3">
        <v>2</v>
      </c>
      <c r="C3" t="s">
        <v>55</v>
      </c>
    </row>
    <row r="4" spans="2:3">
      <c r="B4">
        <v>3</v>
      </c>
      <c r="C4" t="s">
        <v>56</v>
      </c>
    </row>
    <row r="5" spans="2:3">
      <c r="B5">
        <v>4</v>
      </c>
      <c r="C5" t="s">
        <v>57</v>
      </c>
    </row>
    <row r="6" spans="2:3">
      <c r="B6">
        <v>5</v>
      </c>
      <c r="C6" t="s">
        <v>58</v>
      </c>
    </row>
    <row r="7" spans="2:3">
      <c r="B7">
        <v>6</v>
      </c>
      <c r="C7" t="s">
        <v>59</v>
      </c>
    </row>
    <row r="8" spans="2:3">
      <c r="B8">
        <v>7</v>
      </c>
      <c r="C8" t="s">
        <v>60</v>
      </c>
    </row>
    <row r="9" spans="2:3">
      <c r="B9">
        <v>8</v>
      </c>
      <c r="C9" t="s">
        <v>61</v>
      </c>
    </row>
    <row r="10" spans="2:3">
      <c r="B10">
        <v>9</v>
      </c>
      <c r="C10" t="s">
        <v>62</v>
      </c>
    </row>
    <row r="11" spans="2:3">
      <c r="B11">
        <v>10</v>
      </c>
      <c r="C11" t="s">
        <v>36</v>
      </c>
    </row>
    <row r="12" spans="2:3">
      <c r="B12">
        <v>11</v>
      </c>
      <c r="C12" t="s">
        <v>63</v>
      </c>
    </row>
    <row r="15" spans="2:3">
      <c r="C15" t="s">
        <v>64</v>
      </c>
    </row>
    <row r="16" spans="2:3">
      <c r="C16" t="s">
        <v>65</v>
      </c>
    </row>
    <row r="17" spans="3:3">
      <c r="C17" t="s">
        <v>66</v>
      </c>
    </row>
    <row r="18" spans="3:3">
      <c r="C18" t="s">
        <v>67</v>
      </c>
    </row>
    <row r="21" spans="3:3">
      <c r="C21" t="s">
        <v>68</v>
      </c>
    </row>
    <row r="22" spans="3:3">
      <c r="C22" t="s">
        <v>69</v>
      </c>
    </row>
    <row r="23" spans="3:3">
      <c r="C23" t="s">
        <v>70</v>
      </c>
    </row>
    <row r="24" spans="3:3">
      <c r="C24" t="s">
        <v>71</v>
      </c>
    </row>
    <row r="25" spans="3:3">
      <c r="C25" t="s">
        <v>20</v>
      </c>
    </row>
    <row r="26" spans="3:3">
      <c r="C26" t="s">
        <v>17</v>
      </c>
    </row>
    <row r="27" spans="3:3">
      <c r="C27" t="s">
        <v>19</v>
      </c>
    </row>
    <row r="28" spans="3:3">
      <c r="C28"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690"/>
  <sheetViews>
    <sheetView topLeftCell="A196" workbookViewId="0">
      <selection activeCell="H519" sqref="H519"/>
    </sheetView>
  </sheetViews>
  <sheetFormatPr defaultRowHeight="14.4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19.140625" customWidth="1"/>
    <col min="31" max="31" width="18.42578125" customWidth="1"/>
    <col min="32" max="33" width="11.42578125" customWidth="1"/>
  </cols>
  <sheetData>
    <row r="2" spans="2:21" ht="16.350000000000001" customHeight="1">
      <c r="B2" s="17" t="s">
        <v>73</v>
      </c>
      <c r="C2" s="18"/>
      <c r="D2" s="18"/>
      <c r="E2" s="18"/>
      <c r="F2" s="18"/>
      <c r="G2" s="18"/>
      <c r="H2" s="18"/>
      <c r="I2" s="18"/>
      <c r="J2" s="18"/>
      <c r="K2" s="18"/>
      <c r="L2" s="18"/>
      <c r="M2" s="18"/>
      <c r="N2" s="18"/>
    </row>
    <row r="3" spans="2:21" ht="15" hidden="1" outlineLevel="1" thickBot="1"/>
    <row r="4" spans="2:21" ht="15" hidden="1" outlineLevel="1" thickBot="1">
      <c r="C4" s="15" t="s">
        <v>74</v>
      </c>
      <c r="D4" s="15" t="s">
        <v>75</v>
      </c>
      <c r="F4" t="str">
        <f>"MD_Account_Type_Labels[ACCOUNT TYPE LABELS]"</f>
        <v>MD_Account_Type_Labels[ACCOUNT TYPE LABELS]</v>
      </c>
      <c r="L4" s="196" t="s">
        <v>76</v>
      </c>
    </row>
    <row r="5" spans="2:21" hidden="1" outlineLevel="1">
      <c r="C5" s="1" t="s">
        <v>77</v>
      </c>
      <c r="D5" s="22">
        <f>IF(MD_Account_Type_Labels[[#This Row],[ACCOUNT TYPE LABELS]]="","",IFERROR(IF(SEARCH(MD_Account_Type_Labels[[#This Row],[ACCOUNT TYPE LABELS]],ProblemData!$E$241)&gt;0,1,0),""))</f>
        <v>1</v>
      </c>
      <c r="L5" s="194" t="str" cm="1">
        <f t="array" ref="L5:L10">IFERROR(_xlfn._xlws.FILTER(MD_Account_Type_Labels[ACCOUNT TYPE LABELS],MD_Account_Type_Labels[Used]=1),"")</f>
        <v>Asset</v>
      </c>
      <c r="T5" s="5"/>
      <c r="U5" s="11"/>
    </row>
    <row r="6" spans="2:21" hidden="1" outlineLevel="1">
      <c r="C6" s="1" t="s">
        <v>78</v>
      </c>
      <c r="D6" s="22">
        <f>IF(MD_Account_Type_Labels[[#This Row],[ACCOUNT TYPE LABELS]]="","",IFERROR(IF(SEARCH(MD_Account_Type_Labels[[#This Row],[ACCOUNT TYPE LABELS]],ProblemData!$E$241)&gt;0,1,0),""))</f>
        <v>1</v>
      </c>
      <c r="L6" s="194" t="str">
        <v>Liability</v>
      </c>
    </row>
    <row r="7" spans="2:21" hidden="1" outlineLevel="1">
      <c r="C7" s="1" t="s">
        <v>79</v>
      </c>
      <c r="D7" s="22">
        <f>IF(MD_Account_Type_Labels[[#This Row],[ACCOUNT TYPE LABELS]]="","",IFERROR(IF(SEARCH(MD_Account_Type_Labels[[#This Row],[ACCOUNT TYPE LABELS]],ProblemData!$E$241)&gt;0,1,0),""))</f>
        <v>1</v>
      </c>
      <c r="L7" s="194" t="str">
        <v>Equity</v>
      </c>
    </row>
    <row r="8" spans="2:21" hidden="1" outlineLevel="1">
      <c r="C8" s="1" t="s">
        <v>80</v>
      </c>
      <c r="D8" s="22">
        <f>IF(MD_Account_Type_Labels[[#This Row],[ACCOUNT TYPE LABELS]]="","",IFERROR(IF(SEARCH(MD_Account_Type_Labels[[#This Row],[ACCOUNT TYPE LABELS]],ProblemData!$E$241)&gt;0,1,0),""))</f>
        <v>1</v>
      </c>
      <c r="L8" s="194" t="str">
        <v>Revenue</v>
      </c>
    </row>
    <row r="9" spans="2:21" hidden="1" outlineLevel="1">
      <c r="C9" s="1" t="s">
        <v>81</v>
      </c>
      <c r="D9" s="22">
        <f>IF(MD_Account_Type_Labels[[#This Row],[ACCOUNT TYPE LABELS]]="","",IFERROR(IF(SEARCH(MD_Account_Type_Labels[[#This Row],[ACCOUNT TYPE LABELS]],ProblemData!$E$241)&gt;0,1,0),""))</f>
        <v>1</v>
      </c>
      <c r="L9" s="194" t="str">
        <v>Expense</v>
      </c>
    </row>
    <row r="10" spans="2:21" hidden="1" outlineLevel="1">
      <c r="C10" s="1" t="s">
        <v>82</v>
      </c>
      <c r="D10" s="22" t="str">
        <f>IF(MD_Account_Type_Labels[[#This Row],[ACCOUNT TYPE LABELS]]="","",IFERROR(IF(SEARCH(MD_Account_Type_Labels[[#This Row],[ACCOUNT TYPE LABELS]],ProblemData!$E$241)&gt;0,1,0),""))</f>
        <v/>
      </c>
      <c r="L10" s="194" t="str">
        <v>Loss</v>
      </c>
    </row>
    <row r="11" spans="2:21" ht="15" hidden="1" outlineLevel="1" thickBot="1">
      <c r="C11" s="1" t="s">
        <v>83</v>
      </c>
      <c r="D11" s="22">
        <f>IF(MD_Account_Type_Labels[[#This Row],[ACCOUNT TYPE LABELS]]="","",IFERROR(IF(SEARCH(MD_Account_Type_Labels[[#This Row],[ACCOUNT TYPE LABELS]],ProblemData!$E$241)&gt;0,1,0),""))</f>
        <v>1</v>
      </c>
      <c r="L11" s="195"/>
    </row>
    <row r="12" spans="2:21" hidden="1" outlineLevel="1"/>
    <row r="13" spans="2:21" ht="15" hidden="1" outlineLevel="1" thickBot="1"/>
    <row r="14" spans="2:21" ht="15" hidden="1" outlineLevel="1" thickBot="1">
      <c r="C14" s="16" t="s">
        <v>84</v>
      </c>
      <c r="D14" s="16" t="s">
        <v>75</v>
      </c>
      <c r="E14" s="16" t="s">
        <v>85</v>
      </c>
      <c r="K14" s="404" t="s">
        <v>86</v>
      </c>
      <c r="L14" s="404" t="s">
        <v>87</v>
      </c>
    </row>
    <row r="15" spans="2:21" hidden="1" outlineLevel="1">
      <c r="C15" s="7" t="s">
        <v>20</v>
      </c>
      <c r="D15" s="22">
        <f>IF(MD_CF_Labels[[#This Row],[CASH FLOW STATEMENT LABELS]]="","",IFERROR(IF(SEARCH(MD_CF_Labels[[#This Row],[CASH FLOW STATEMENT LABELS]],ProblemData!$E$242)&gt;0,1,0),""))</f>
        <v>1</v>
      </c>
      <c r="E15" s="406">
        <v>1</v>
      </c>
      <c r="K15" s="194" t="str" cm="1">
        <f t="array" ref="K15:K17">IFERROR(_xlfn._xlws.FILTER(MD_CF_Labels[CASH FLOW STATEMENT LABELS],(MD_CF_Labels[Used]=1)*MD_CF_Labels[Include on Student List if Used]=1),"")</f>
        <v>Operating</v>
      </c>
      <c r="L15" s="405" t="str" cm="1">
        <f t="array" ref="L15:L19">IFERROR(_xlfn._xlws.FILTER(MD_CF_Labels[CASH FLOW STATEMENT LABELS],MD_CF_Labels[Used]=1),"")</f>
        <v>Operating</v>
      </c>
    </row>
    <row r="16" spans="2:21" hidden="1" outlineLevel="1">
      <c r="C16" s="8" t="s">
        <v>17</v>
      </c>
      <c r="D16" s="22">
        <f>IF(MD_CF_Labels[[#This Row],[CASH FLOW STATEMENT LABELS]]="","",IFERROR(IF(SEARCH(MD_CF_Labels[[#This Row],[CASH FLOW STATEMENT LABELS]],ProblemData!$E$242)&gt;0,1,0),""))</f>
        <v>1</v>
      </c>
      <c r="E16" s="8">
        <v>1</v>
      </c>
      <c r="K16" s="194" t="str">
        <v>Investing</v>
      </c>
      <c r="L16" s="194" t="str">
        <v>Investing</v>
      </c>
    </row>
    <row r="17" spans="2:14" hidden="1" outlineLevel="1">
      <c r="C17" s="7" t="s">
        <v>19</v>
      </c>
      <c r="D17" s="22">
        <f>IF(MD_CF_Labels[[#This Row],[CASH FLOW STATEMENT LABELS]]="","",IFERROR(IF(SEARCH(MD_CF_Labels[[#This Row],[CASH FLOW STATEMENT LABELS]],ProblemData!$E$242)&gt;0,1,0),""))</f>
        <v>1</v>
      </c>
      <c r="E17" s="8">
        <v>1</v>
      </c>
      <c r="K17" s="194" t="str">
        <v>Financing</v>
      </c>
      <c r="L17" s="194" t="str">
        <v>Financing</v>
      </c>
    </row>
    <row r="18" spans="2:14" ht="15" hidden="1" outlineLevel="1" thickBot="1">
      <c r="C18" s="8" t="s">
        <v>26</v>
      </c>
      <c r="D18" s="22">
        <f>IF(MD_CF_Labels[[#This Row],[CASH FLOW STATEMENT LABELS]]="","",IFERROR(IF(SEARCH(MD_CF_Labels[[#This Row],[CASH FLOW STATEMENT LABELS]],ProblemData!$E$242)&gt;0,1,0),""))</f>
        <v>1</v>
      </c>
      <c r="E18" s="8">
        <v>0</v>
      </c>
      <c r="K18" s="195"/>
      <c r="L18" s="194" t="str">
        <v>Noncash_Investing</v>
      </c>
    </row>
    <row r="19" spans="2:14" hidden="1" outlineLevel="1">
      <c r="C19" s="7" t="s">
        <v>21</v>
      </c>
      <c r="D19" s="22">
        <f>IF(MD_CF_Labels[[#This Row],[CASH FLOW STATEMENT LABELS]]="","",IFERROR(IF(SEARCH(MD_CF_Labels[[#This Row],[CASH FLOW STATEMENT LABELS]],ProblemData!$E$242)&gt;0,1,0),""))</f>
        <v>1</v>
      </c>
      <c r="E19" s="8">
        <v>0</v>
      </c>
      <c r="L19" s="194" t="str">
        <v>Noncash_Financing</v>
      </c>
    </row>
    <row r="20" spans="2:14" ht="15" hidden="1" outlineLevel="1" thickBot="1">
      <c r="C20" s="14" t="s">
        <v>88</v>
      </c>
      <c r="D20" s="22" t="str">
        <f>IF(MD_CF_Labels[[#This Row],[CASH FLOW STATEMENT LABELS]]="","",IFERROR(IF(SEARCH(MD_CF_Labels[[#This Row],[CASH FLOW STATEMENT LABELS]],ProblemData!$E$242)&gt;0,1,0),""))</f>
        <v/>
      </c>
      <c r="E20" s="14">
        <v>0</v>
      </c>
      <c r="L20" s="195"/>
    </row>
    <row r="21" spans="2:14" hidden="1" outlineLevel="1"/>
    <row r="22" spans="2:14" hidden="1" outlineLevel="1"/>
    <row r="23" spans="2:14" collapsed="1"/>
    <row r="24" spans="2:14" ht="17.45">
      <c r="B24" s="17" t="s">
        <v>89</v>
      </c>
      <c r="C24" s="18"/>
      <c r="D24" s="18"/>
      <c r="E24" s="18"/>
      <c r="F24" s="18"/>
      <c r="G24" s="18"/>
      <c r="H24" s="18"/>
      <c r="I24" s="18"/>
      <c r="J24" s="18"/>
      <c r="K24" s="18"/>
      <c r="L24" s="18"/>
      <c r="M24" s="18"/>
      <c r="N24" s="18"/>
    </row>
    <row r="25" spans="2:14" hidden="1" outlineLevel="1"/>
    <row r="26" spans="2:14" hidden="1" outlineLevel="1">
      <c r="C26" s="328" t="s">
        <v>90</v>
      </c>
      <c r="D26" s="329" t="s">
        <v>91</v>
      </c>
      <c r="F26" t="str">
        <f>"MD_FS_Automation[LEVELS OF FINANCIAL STATEMENT AUTOMATION]"</f>
        <v>MD_FS_Automation[LEVELS OF FINANCIAL STATEMENT AUTOMATION]</v>
      </c>
    </row>
    <row r="27" spans="2:14" hidden="1" outlineLevel="1">
      <c r="C27" s="330" t="s">
        <v>92</v>
      </c>
      <c r="D27" s="337" t="str">
        <f>IF(ProblemData!$E$3=MD_FS_Automation[[#This Row],[LEVELS OF FINANCIAL STATEMENT AUTOMATION]],1,"")</f>
        <v/>
      </c>
    </row>
    <row r="28" spans="2:14" hidden="1" outlineLevel="1">
      <c r="C28" s="331" t="s">
        <v>93</v>
      </c>
      <c r="D28" s="338" t="str">
        <f>IF(ProblemData!$E$3=MD_FS_Automation[[#This Row],[LEVELS OF FINANCIAL STATEMENT AUTOMATION]],1,"")</f>
        <v/>
      </c>
    </row>
    <row r="29" spans="2:14" hidden="1" outlineLevel="1">
      <c r="C29" s="330" t="s">
        <v>94</v>
      </c>
      <c r="D29" s="337" t="str">
        <f>IF(ProblemData!$E$3=MD_FS_Automation[[#This Row],[LEVELS OF FINANCIAL STATEMENT AUTOMATION]],1,"")</f>
        <v/>
      </c>
    </row>
    <row r="30" spans="2:14" hidden="1" outlineLevel="1">
      <c r="C30" s="331" t="s">
        <v>95</v>
      </c>
      <c r="D30" s="338" t="str">
        <f>IF(ProblemData!$E$3=MD_FS_Automation[[#This Row],[LEVELS OF FINANCIAL STATEMENT AUTOMATION]],1,"")</f>
        <v/>
      </c>
    </row>
    <row r="31" spans="2:14" hidden="1" outlineLevel="1">
      <c r="C31" s="330" t="s">
        <v>96</v>
      </c>
      <c r="D31" s="337" t="str">
        <f>IF(ProblemData!$E$3=MD_FS_Automation[[#This Row],[LEVELS OF FINANCIAL STATEMENT AUTOMATION]],1,"")</f>
        <v/>
      </c>
    </row>
    <row r="32" spans="2:14" hidden="1" outlineLevel="1">
      <c r="C32" s="333" t="s">
        <v>97</v>
      </c>
      <c r="D32" s="339" t="str">
        <f>IF(ProblemData!$E$3=MD_FS_Automation[[#This Row],[LEVELS OF FINANCIAL STATEMENT AUTOMATION]],1,"")</f>
        <v/>
      </c>
    </row>
    <row r="33" spans="2:14" hidden="1" outlineLevel="1"/>
    <row r="34" spans="2:14" ht="17.45" hidden="1" outlineLevel="1">
      <c r="B34" s="17" t="s">
        <v>98</v>
      </c>
      <c r="C34" s="18"/>
      <c r="D34" s="18"/>
      <c r="E34" s="18"/>
      <c r="F34" s="18"/>
      <c r="G34" s="18"/>
      <c r="H34" s="18"/>
      <c r="I34" s="18"/>
      <c r="J34" s="18"/>
      <c r="K34" s="18"/>
      <c r="L34" s="18"/>
      <c r="M34" s="18"/>
      <c r="N34" s="18"/>
    </row>
    <row r="35" spans="2:14" ht="17.45" hidden="1" outlineLevel="1">
      <c r="B35" s="327"/>
    </row>
    <row r="36" spans="2:14" hidden="1" outlineLevel="1">
      <c r="C36" s="16" t="s">
        <v>99</v>
      </c>
      <c r="D36" s="16" t="s">
        <v>91</v>
      </c>
      <c r="E36" s="11"/>
      <c r="F36" t="str">
        <f>"MD_Feedback[LEVELS OF FEEDBACK]"</f>
        <v>MD_Feedback[LEVELS OF FEEDBACK]</v>
      </c>
    </row>
    <row r="37" spans="2:14" hidden="1" outlineLevel="1">
      <c r="C37" s="330" t="s">
        <v>92</v>
      </c>
      <c r="D37" s="340" t="str">
        <f>IF(ProblemData!$E$10=MD_Feedback[[#This Row],[LEVELS OF FEEDBACK]],1,"")</f>
        <v/>
      </c>
    </row>
    <row r="38" spans="2:14" hidden="1" outlineLevel="1">
      <c r="C38" s="331" t="s">
        <v>100</v>
      </c>
      <c r="D38" s="8" t="str">
        <f>IF(ProblemData!$E$10=MD_Feedback[[#This Row],[LEVELS OF FEEDBACK]],1,"")</f>
        <v/>
      </c>
    </row>
    <row r="39" spans="2:14" hidden="1" outlineLevel="1">
      <c r="C39" s="330" t="s">
        <v>101</v>
      </c>
      <c r="D39" s="7" t="str">
        <f>IF(ProblemData!$E$10=MD_Feedback[[#This Row],[LEVELS OF FEEDBACK]],1,"")</f>
        <v/>
      </c>
    </row>
    <row r="40" spans="2:14" hidden="1" outlineLevel="1">
      <c r="C40" s="331" t="s">
        <v>102</v>
      </c>
      <c r="D40" s="8" t="str">
        <f>IF(ProblemData!$E$10=MD_Feedback[[#This Row],[LEVELS OF FEEDBACK]],1,"")</f>
        <v/>
      </c>
    </row>
    <row r="41" spans="2:14" hidden="1" outlineLevel="1">
      <c r="C41" s="330"/>
      <c r="D41" s="7" t="str">
        <f>IF(ProblemData!$E$10=MD_Feedback[[#This Row],[LEVELS OF FEEDBACK]],1,"")</f>
        <v/>
      </c>
    </row>
    <row r="42" spans="2:14" hidden="1" outlineLevel="1">
      <c r="C42" s="331"/>
      <c r="D42" s="8" t="str">
        <f>IF(ProblemData!$E$10=MD_Feedback[[#This Row],[LEVELS OF FEEDBACK]],1,"")</f>
        <v/>
      </c>
    </row>
    <row r="43" spans="2:14" hidden="1" outlineLevel="1">
      <c r="C43" s="330"/>
      <c r="D43" s="7" t="str">
        <f>IF(ProblemData!$E$10=MD_Feedback[[#This Row],[LEVELS OF FEEDBACK]],1,"")</f>
        <v/>
      </c>
    </row>
    <row r="44" spans="2:14" hidden="1" outlineLevel="1">
      <c r="C44" s="331"/>
      <c r="D44" s="8" t="str">
        <f>IF(ProblemData!$E$10=MD_Feedback[[#This Row],[LEVELS OF FEEDBACK]],1,"")</f>
        <v/>
      </c>
    </row>
    <row r="45" spans="2:14" hidden="1" outlineLevel="1">
      <c r="C45" s="330"/>
      <c r="D45" s="7" t="str">
        <f>IF(ProblemData!$E$10=MD_Feedback[[#This Row],[LEVELS OF FEEDBACK]],1,"")</f>
        <v/>
      </c>
    </row>
    <row r="46" spans="2:14" hidden="1" outlineLevel="1">
      <c r="C46" s="331"/>
      <c r="D46" s="8" t="str">
        <f>IF(ProblemData!$E$10=MD_Feedback[[#This Row],[LEVELS OF FEEDBACK]],1,"")</f>
        <v/>
      </c>
    </row>
    <row r="47" spans="2:14" hidden="1" outlineLevel="1">
      <c r="C47" s="332"/>
      <c r="D47" s="50" t="str">
        <f>IF(ProblemData!$E$10=MD_Feedback[[#This Row],[LEVELS OF FEEDBACK]],1,"")</f>
        <v/>
      </c>
    </row>
    <row r="48" spans="2:14" hidden="1" outlineLevel="1"/>
    <row r="49" spans="1:30" collapsed="1"/>
    <row r="50" spans="1:30" ht="17.45">
      <c r="B50" s="17" t="s">
        <v>103</v>
      </c>
      <c r="C50" s="18"/>
      <c r="D50" s="18"/>
      <c r="E50" s="18"/>
      <c r="F50" s="18"/>
      <c r="G50" s="18"/>
      <c r="H50" s="18"/>
      <c r="I50" s="18"/>
      <c r="J50" s="18"/>
      <c r="K50" s="18"/>
      <c r="L50" s="18"/>
      <c r="M50" s="18"/>
      <c r="N50" s="18"/>
    </row>
    <row r="51" spans="1:30" hidden="1" outlineLevel="1"/>
    <row r="52" spans="1:30" ht="15.6" hidden="1" outlineLevel="1">
      <c r="B52" s="26" t="s">
        <v>104</v>
      </c>
      <c r="C52" s="10"/>
      <c r="D52" s="10"/>
      <c r="E52" s="10"/>
      <c r="F52" s="10"/>
      <c r="G52" s="10"/>
      <c r="H52" s="10"/>
      <c r="I52" s="10"/>
      <c r="J52" s="10"/>
      <c r="K52" s="10"/>
      <c r="L52" s="10"/>
      <c r="M52" s="10"/>
      <c r="N52" s="10"/>
    </row>
    <row r="53" spans="1:30" hidden="1" outlineLevel="1"/>
    <row r="54" spans="1:30" ht="15.6" hidden="1" outlineLevel="1">
      <c r="A54" s="5"/>
      <c r="B54" s="5"/>
      <c r="C54" s="632" t="s">
        <v>65</v>
      </c>
      <c r="D54" s="632"/>
      <c r="E54" s="632"/>
      <c r="F54" s="632"/>
      <c r="G54" s="632"/>
      <c r="H54" s="632"/>
      <c r="I54" s="632"/>
      <c r="J54" s="203"/>
      <c r="AD54" t="e" cm="1">
        <f t="array" aca="1" ref="AD54" ca="1">_xlfn._xlws.FILTER(INDIRECT(J54,FALSE),INDIRECT(J54,FALSE)&lt;&gt;"")</f>
        <v>#REF!</v>
      </c>
    </row>
    <row r="55" spans="1:30" hidden="1" outlineLevel="1">
      <c r="C55" s="62" t="s">
        <v>105</v>
      </c>
      <c r="D55" s="62" t="s">
        <v>106</v>
      </c>
      <c r="E55" s="62" t="s">
        <v>107</v>
      </c>
      <c r="F55" s="62" t="s">
        <v>108</v>
      </c>
      <c r="G55" s="62" t="s">
        <v>109</v>
      </c>
      <c r="H55" s="62" t="s">
        <v>110</v>
      </c>
      <c r="I55" s="62" t="s">
        <v>75</v>
      </c>
      <c r="J55" s="62" t="s">
        <v>111</v>
      </c>
      <c r="L55" s="111" t="s">
        <v>112</v>
      </c>
      <c r="N55" s="111" t="s">
        <v>113</v>
      </c>
    </row>
    <row r="56" spans="1:30" hidden="1" outlineLevel="1">
      <c r="C56" s="68"/>
      <c r="D56" s="69"/>
      <c r="E56" s="69"/>
      <c r="F56" s="69"/>
      <c r="G56" s="70"/>
      <c r="H56" s="68"/>
      <c r="I56" s="71" t="str">
        <f>IF(MD_Asset[[#This Row],[Account Name]]="","",IFERROR(IF(SEARCH(MD_Asset[[#This Row],[Account Name]],ProblemData!$E$241)&gt;0,1,0),""))</f>
        <v/>
      </c>
      <c r="J56" s="71" t="str">
        <f>IF(MD_Asset[[#This Row],[Abbr]]="","",IFERROR(IF(SEARCH(MD_Asset[[#This Row],[Abbr]],ProblemData!$E$241)&gt;0,1,0),""))</f>
        <v/>
      </c>
      <c r="K56" s="11" t="s">
        <v>114</v>
      </c>
      <c r="L56" s="44" t="str" cm="1">
        <f t="array" ref="L56:L60">IFERROR(_xlfn._xlws.FILTER(MD_Asset[[#All],[Account Name]],MD_Asset[[#All],[Used]]=1),"")</f>
        <v>Cash</v>
      </c>
      <c r="N56" s="44" t="str" cm="1">
        <f t="array" ref="N56:N68">_xlfn.VSTACK(AssetUsed,LiabilityUsed,EquityUsed,RevenueUsed,ExpenseUsed)</f>
        <v>Cash</v>
      </c>
      <c r="O56" t="str" cm="1">
        <f t="array" aca="1" ref="O56:O68" ca="1">_xlfn.SORTBY(_xlfn.ANCHORARRAY(N56), _xlfn.RANDARRAY(ROWS(_xlfn.ANCHORARRAY(N56))))</f>
        <v>Cash</v>
      </c>
    </row>
    <row r="57" spans="1:30" hidden="1" outlineLevel="1">
      <c r="C57" s="21" t="s">
        <v>115</v>
      </c>
      <c r="D57" s="22" t="s">
        <v>116</v>
      </c>
      <c r="E57" s="22" t="s">
        <v>117</v>
      </c>
      <c r="F57" s="22" t="s">
        <v>118</v>
      </c>
      <c r="G57" s="24">
        <v>1</v>
      </c>
      <c r="H57" s="21" t="s">
        <v>119</v>
      </c>
      <c r="I57" s="22">
        <f>IF(MD_Asset[[#This Row],[Account Name]]="","",IFERROR(IF(SEARCH(MD_Asset[[#This Row],[Account Name]],ProblemData!$E$241)&gt;0,1,0),""))</f>
        <v>1</v>
      </c>
      <c r="J57" s="1"/>
      <c r="L57" s="44" t="str">
        <v>Accounts Receivable</v>
      </c>
      <c r="N57" s="44" t="str">
        <v>Accounts Receivable</v>
      </c>
      <c r="O57" t="str">
        <f ca="1"/>
        <v>Accounts Payable</v>
      </c>
    </row>
    <row r="58" spans="1:30" hidden="1" outlineLevel="1">
      <c r="C58" s="19" t="s">
        <v>120</v>
      </c>
      <c r="D58" s="20" t="s">
        <v>121</v>
      </c>
      <c r="E58" s="20" t="s">
        <v>117</v>
      </c>
      <c r="F58" s="20" t="s">
        <v>118</v>
      </c>
      <c r="G58" s="25">
        <f>G57+1</f>
        <v>2</v>
      </c>
      <c r="H58" s="19" t="s">
        <v>122</v>
      </c>
      <c r="I58" s="22">
        <f>IF(MD_Asset[[#This Row],[Account Name]]="","",IFERROR(IF(SEARCH(MD_Asset[[#This Row],[Account Name]],ProblemData!$E$241)&gt;0,1,0),""))</f>
        <v>1</v>
      </c>
      <c r="J58" s="1">
        <v>1</v>
      </c>
      <c r="L58" s="44" t="str">
        <v>Inventories</v>
      </c>
      <c r="N58" s="44" t="str">
        <v>Inventories</v>
      </c>
      <c r="O58" t="str">
        <f ca="1"/>
        <v>Common Stock</v>
      </c>
    </row>
    <row r="59" spans="1:30" hidden="1" outlineLevel="1">
      <c r="C59" s="21" t="s">
        <v>123</v>
      </c>
      <c r="D59" s="22" t="s">
        <v>124</v>
      </c>
      <c r="E59" s="22" t="s">
        <v>125</v>
      </c>
      <c r="F59" s="22" t="s">
        <v>118</v>
      </c>
      <c r="G59" s="24">
        <f t="shared" ref="G59:G72" si="0">G58+1</f>
        <v>3</v>
      </c>
      <c r="H59" s="21" t="s">
        <v>126</v>
      </c>
      <c r="I59" s="22" t="str">
        <f>IF(MD_Asset[[#This Row],[Account Name]]="","",IFERROR(IF(SEARCH(MD_Asset[[#This Row],[Account Name]],ProblemData!$E$241)&gt;0,1,0),""))</f>
        <v/>
      </c>
      <c r="J59" s="1">
        <v>1</v>
      </c>
      <c r="L59" s="44" t="str">
        <v>Property, Plant &amp; Equipment</v>
      </c>
      <c r="N59" s="44" t="str">
        <v>Property, Plant &amp; Equipment</v>
      </c>
      <c r="O59" t="str">
        <f ca="1"/>
        <v>Property, Plant &amp; Equipment</v>
      </c>
    </row>
    <row r="60" spans="1:30" hidden="1" outlineLevel="1">
      <c r="C60" s="19" t="s">
        <v>127</v>
      </c>
      <c r="D60" s="20" t="s">
        <v>128</v>
      </c>
      <c r="E60" s="20" t="s">
        <v>117</v>
      </c>
      <c r="F60" s="20" t="s">
        <v>118</v>
      </c>
      <c r="G60" s="25">
        <f t="shared" si="0"/>
        <v>4</v>
      </c>
      <c r="H60" s="19" t="s">
        <v>129</v>
      </c>
      <c r="I60" s="22" t="str">
        <f>IF(MD_Asset[[#This Row],[Account Name]]="","",IFERROR(IF(SEARCH(MD_Asset[[#This Row],[Account Name]],ProblemData!$E$241)&gt;0,1,0),""))</f>
        <v/>
      </c>
      <c r="J60" s="1"/>
      <c r="L60" s="44" t="str">
        <v>Land</v>
      </c>
      <c r="N60" s="44" t="str">
        <v>Land</v>
      </c>
      <c r="O60" t="str">
        <f ca="1"/>
        <v>Inventories</v>
      </c>
    </row>
    <row r="61" spans="1:30" hidden="1" outlineLevel="1">
      <c r="C61" s="21" t="s">
        <v>130</v>
      </c>
      <c r="D61" s="22" t="s">
        <v>131</v>
      </c>
      <c r="E61" s="22" t="s">
        <v>117</v>
      </c>
      <c r="F61" s="22" t="s">
        <v>118</v>
      </c>
      <c r="G61" s="24">
        <f t="shared" si="0"/>
        <v>5</v>
      </c>
      <c r="H61" s="21" t="s">
        <v>132</v>
      </c>
      <c r="I61" s="22">
        <f>IF(MD_Asset[[#This Row],[Account Name]]="","",IFERROR(IF(SEARCH(MD_Asset[[#This Row],[Account Name]],ProblemData!$E$241)&gt;0,1,0),""))</f>
        <v>1</v>
      </c>
      <c r="J61" s="1">
        <v>1</v>
      </c>
      <c r="L61" s="44"/>
      <c r="N61" s="44" t="str">
        <v>Accounts Payable</v>
      </c>
      <c r="O61" t="str">
        <f ca="1"/>
        <v>Loans Payable</v>
      </c>
    </row>
    <row r="62" spans="1:30" hidden="1" outlineLevel="1">
      <c r="C62" s="21" t="s">
        <v>133</v>
      </c>
      <c r="D62" s="22" t="s">
        <v>134</v>
      </c>
      <c r="E62" s="22" t="s">
        <v>117</v>
      </c>
      <c r="F62" s="22" t="s">
        <v>118</v>
      </c>
      <c r="G62" s="24">
        <f t="shared" si="0"/>
        <v>6</v>
      </c>
      <c r="H62" s="21" t="s">
        <v>135</v>
      </c>
      <c r="I62" s="22" t="str">
        <f>IF(MD_Asset[[#This Row],[Account Name]]="","",IFERROR(IF(SEARCH(MD_Asset[[#This Row],[Account Name]],ProblemData!$E$241)&gt;0,1,0),""))</f>
        <v/>
      </c>
      <c r="J62" s="1">
        <v>1</v>
      </c>
      <c r="L62" s="44"/>
      <c r="N62" s="44" t="str">
        <v>Dividends Payable</v>
      </c>
      <c r="O62" t="str">
        <f ca="1"/>
        <v>Retained Earnings</v>
      </c>
    </row>
    <row r="63" spans="1:30" hidden="1" outlineLevel="1">
      <c r="C63" s="21" t="s">
        <v>136</v>
      </c>
      <c r="D63" s="22" t="s">
        <v>137</v>
      </c>
      <c r="E63" s="22" t="s">
        <v>117</v>
      </c>
      <c r="F63" s="22" t="s">
        <v>118</v>
      </c>
      <c r="G63" s="24">
        <f t="shared" si="0"/>
        <v>7</v>
      </c>
      <c r="H63" s="21" t="s">
        <v>138</v>
      </c>
      <c r="I63" s="22" t="str">
        <f>IF(MD_Asset[[#This Row],[Account Name]]="","",IFERROR(IF(SEARCH(MD_Asset[[#This Row],[Account Name]],ProblemData!$E$241)&gt;0,1,0),""))</f>
        <v/>
      </c>
      <c r="J63" s="1">
        <v>1</v>
      </c>
      <c r="L63" s="44"/>
      <c r="N63" s="44" t="str">
        <v>Unearned Revenue</v>
      </c>
      <c r="O63" t="str">
        <f ca="1"/>
        <v>Sales</v>
      </c>
    </row>
    <row r="64" spans="1:30" hidden="1" outlineLevel="1">
      <c r="C64" s="21" t="s">
        <v>139</v>
      </c>
      <c r="D64" s="22" t="s">
        <v>140</v>
      </c>
      <c r="E64" s="22" t="s">
        <v>117</v>
      </c>
      <c r="F64" s="22" t="s">
        <v>118</v>
      </c>
      <c r="G64" s="24">
        <f t="shared" si="0"/>
        <v>8</v>
      </c>
      <c r="H64" s="21" t="s">
        <v>141</v>
      </c>
      <c r="I64" s="22" t="str">
        <f>IF(MD_Asset[[#This Row],[Account Name]]="","",IFERROR(IF(SEARCH(MD_Asset[[#This Row],[Account Name]],ProblemData!$E$241)&gt;0,1,0),""))</f>
        <v/>
      </c>
      <c r="J64" s="1">
        <v>1</v>
      </c>
      <c r="L64" s="44"/>
      <c r="N64" s="44" t="str">
        <v>Loans Payable</v>
      </c>
      <c r="O64" t="str">
        <f ca="1"/>
        <v>Unearned Revenue</v>
      </c>
    </row>
    <row r="65" spans="3:15" hidden="1" outlineLevel="1">
      <c r="C65" s="21" t="s">
        <v>142</v>
      </c>
      <c r="D65" s="22" t="s">
        <v>143</v>
      </c>
      <c r="E65" s="22" t="s">
        <v>117</v>
      </c>
      <c r="F65" s="22" t="s">
        <v>144</v>
      </c>
      <c r="G65" s="24">
        <f t="shared" si="0"/>
        <v>9</v>
      </c>
      <c r="H65" s="21" t="s">
        <v>145</v>
      </c>
      <c r="I65" s="22">
        <f>IF(MD_Asset[[#This Row],[Account Name]]="","",IFERROR(IF(SEARCH(MD_Asset[[#This Row],[Account Name]],ProblemData!$E$241)&gt;0,1,0),""))</f>
        <v>1</v>
      </c>
      <c r="J65" s="1"/>
      <c r="L65" s="44"/>
      <c r="N65" s="44" t="str">
        <v>Common Stock</v>
      </c>
      <c r="O65" t="str">
        <f ca="1"/>
        <v>Cost of Goods Sold</v>
      </c>
    </row>
    <row r="66" spans="3:15" hidden="1" outlineLevel="1">
      <c r="C66" s="21" t="s">
        <v>146</v>
      </c>
      <c r="D66" s="22" t="s">
        <v>147</v>
      </c>
      <c r="E66" s="22" t="s">
        <v>125</v>
      </c>
      <c r="F66" s="22" t="s">
        <v>144</v>
      </c>
      <c r="G66" s="24">
        <f t="shared" si="0"/>
        <v>10</v>
      </c>
      <c r="H66" s="21" t="s">
        <v>148</v>
      </c>
      <c r="I66" s="22" t="str">
        <f>IF(MD_Asset[[#This Row],[Account Name]]="","",IFERROR(IF(SEARCH(MD_Asset[[#This Row],[Account Name]],ProblemData!$E$241)&gt;0,1,0),""))</f>
        <v/>
      </c>
      <c r="J66" s="1"/>
      <c r="L66" s="44"/>
      <c r="N66" s="44" t="str">
        <v>Retained Earnings</v>
      </c>
      <c r="O66" t="str">
        <f ca="1"/>
        <v>Accounts Receivable</v>
      </c>
    </row>
    <row r="67" spans="3:15" hidden="1" outlineLevel="1">
      <c r="C67" s="21" t="s">
        <v>149</v>
      </c>
      <c r="D67" s="22" t="s">
        <v>150</v>
      </c>
      <c r="E67" s="22" t="s">
        <v>117</v>
      </c>
      <c r="F67" s="22" t="s">
        <v>144</v>
      </c>
      <c r="G67" s="24">
        <f t="shared" si="0"/>
        <v>11</v>
      </c>
      <c r="H67" s="21" t="s">
        <v>151</v>
      </c>
      <c r="I67" s="22" t="str">
        <f>IF(MD_Asset[[#This Row],[Account Name]]="","",IFERROR(IF(SEARCH(MD_Asset[[#This Row],[Account Name]],ProblemData!$E$241)&gt;0,1,0),""))</f>
        <v/>
      </c>
      <c r="J67" s="1"/>
      <c r="L67" s="44"/>
      <c r="N67" s="44" t="str">
        <v>Sales</v>
      </c>
      <c r="O67" t="str">
        <f ca="1"/>
        <v>Dividends Payable</v>
      </c>
    </row>
    <row r="68" spans="3:15" hidden="1" outlineLevel="1">
      <c r="C68" s="21" t="s">
        <v>152</v>
      </c>
      <c r="D68" s="22" t="s">
        <v>153</v>
      </c>
      <c r="E68" s="22" t="s">
        <v>117</v>
      </c>
      <c r="F68" s="22" t="s">
        <v>144</v>
      </c>
      <c r="G68" s="24">
        <f t="shared" si="0"/>
        <v>12</v>
      </c>
      <c r="H68" s="21" t="s">
        <v>154</v>
      </c>
      <c r="I68" s="22" t="str">
        <f>IF(MD_Asset[[#This Row],[Account Name]]="","",IFERROR(IF(SEARCH(MD_Asset[[#This Row],[Account Name]],ProblemData!$E$241)&gt;0,1,0),""))</f>
        <v/>
      </c>
      <c r="J68" s="1"/>
      <c r="L68" s="44"/>
      <c r="N68" s="44" t="str">
        <v>Cost of Goods Sold</v>
      </c>
      <c r="O68" t="str">
        <f ca="1"/>
        <v>Land</v>
      </c>
    </row>
    <row r="69" spans="3:15" hidden="1" outlineLevel="1">
      <c r="C69" s="21" t="s">
        <v>155</v>
      </c>
      <c r="D69" s="22" t="s">
        <v>156</v>
      </c>
      <c r="E69" s="22" t="s">
        <v>117</v>
      </c>
      <c r="F69" s="22" t="s">
        <v>144</v>
      </c>
      <c r="G69" s="24">
        <f t="shared" si="0"/>
        <v>13</v>
      </c>
      <c r="H69" s="21" t="s">
        <v>157</v>
      </c>
      <c r="I69" s="22" t="str">
        <f>IF(MD_Asset[[#This Row],[Account Name]]="","",IFERROR(IF(SEARCH(MD_Asset[[#This Row],[Account Name]],ProblemData!$E$241)&gt;0,1,0),""))</f>
        <v/>
      </c>
      <c r="J69" s="1">
        <v>1</v>
      </c>
      <c r="L69" s="44"/>
      <c r="N69" s="44"/>
    </row>
    <row r="70" spans="3:15" hidden="1" outlineLevel="1">
      <c r="C70" s="21" t="s">
        <v>158</v>
      </c>
      <c r="D70" s="22" t="s">
        <v>159</v>
      </c>
      <c r="E70" s="22" t="s">
        <v>117</v>
      </c>
      <c r="F70" s="22" t="s">
        <v>144</v>
      </c>
      <c r="G70" s="24">
        <f t="shared" si="0"/>
        <v>14</v>
      </c>
      <c r="H70" s="21" t="s">
        <v>160</v>
      </c>
      <c r="I70" s="22" t="str">
        <f>IF(MD_Asset[[#This Row],[Account Name]]="","",IFERROR(IF(SEARCH(MD_Asset[[#This Row],[Account Name]],ProblemData!$E$241)&gt;0,1,0),""))</f>
        <v/>
      </c>
      <c r="J70" s="1"/>
      <c r="L70" s="44"/>
      <c r="N70" s="44"/>
    </row>
    <row r="71" spans="3:15" hidden="1" outlineLevel="1">
      <c r="C71" s="21" t="s">
        <v>161</v>
      </c>
      <c r="D71" s="22" t="s">
        <v>162</v>
      </c>
      <c r="E71" s="22" t="s">
        <v>125</v>
      </c>
      <c r="F71" s="22" t="s">
        <v>144</v>
      </c>
      <c r="G71" s="24">
        <f t="shared" si="0"/>
        <v>15</v>
      </c>
      <c r="H71" s="21" t="s">
        <v>163</v>
      </c>
      <c r="I71" s="22" t="str">
        <f>IF(MD_Asset[[#This Row],[Account Name]]="","",IFERROR(IF(SEARCH(MD_Asset[[#This Row],[Account Name]],ProblemData!$E$241)&gt;0,1,0),""))</f>
        <v/>
      </c>
      <c r="J71" s="1"/>
      <c r="L71" s="44"/>
      <c r="N71" s="44"/>
    </row>
    <row r="72" spans="3:15" hidden="1" outlineLevel="1">
      <c r="C72" s="21" t="s">
        <v>164</v>
      </c>
      <c r="D72" s="22" t="s">
        <v>165</v>
      </c>
      <c r="E72" s="22" t="s">
        <v>117</v>
      </c>
      <c r="F72" s="22" t="s">
        <v>144</v>
      </c>
      <c r="G72" s="24">
        <f t="shared" si="0"/>
        <v>16</v>
      </c>
      <c r="H72" s="21" t="s">
        <v>166</v>
      </c>
      <c r="I72" s="22">
        <f>IF(MD_Asset[[#This Row],[Account Name]]="","",IFERROR(IF(SEARCH(MD_Asset[[#This Row],[Account Name]],ProblemData!$E$241)&gt;0,1,0),""))</f>
        <v>1</v>
      </c>
      <c r="J72" s="1"/>
      <c r="L72" s="44"/>
      <c r="N72" s="44"/>
    </row>
    <row r="73" spans="3:15" hidden="1" outlineLevel="1">
      <c r="C73" s="21"/>
      <c r="D73" s="22"/>
      <c r="E73" s="22"/>
      <c r="F73" s="22"/>
      <c r="G73" s="24">
        <f t="shared" ref="G73:G78" si="1">G72+1</f>
        <v>17</v>
      </c>
      <c r="H73" s="21"/>
      <c r="I73" s="22" t="str">
        <f>IF(MD_Asset[[#This Row],[Account Name]]="","",IFERROR(IF(SEARCH(MD_Asset[[#This Row],[Account Name]],ProblemData!$E$241)&gt;0,1,0),""))</f>
        <v/>
      </c>
      <c r="J73" s="1"/>
      <c r="L73" s="44"/>
      <c r="N73" s="44"/>
    </row>
    <row r="74" spans="3:15" hidden="1" outlineLevel="1">
      <c r="C74" s="21"/>
      <c r="D74" s="22"/>
      <c r="E74" s="22"/>
      <c r="F74" s="22"/>
      <c r="G74" s="24">
        <f t="shared" si="1"/>
        <v>18</v>
      </c>
      <c r="H74" s="21"/>
      <c r="I74" s="22" t="str">
        <f>IF(MD_Asset[[#This Row],[Account Name]]="","",IFERROR(IF(SEARCH(MD_Asset[[#This Row],[Account Name]],ProblemData!$E$241)&gt;0,1,0),""))</f>
        <v/>
      </c>
      <c r="J74" s="1"/>
      <c r="L74" s="44"/>
      <c r="N74" s="44"/>
    </row>
    <row r="75" spans="3:15" hidden="1" outlineLevel="1">
      <c r="C75" s="21"/>
      <c r="D75" s="22"/>
      <c r="E75" s="22"/>
      <c r="F75" s="22"/>
      <c r="G75" s="24">
        <f t="shared" si="1"/>
        <v>19</v>
      </c>
      <c r="H75" s="21"/>
      <c r="I75" s="22" t="str">
        <f>IF(MD_Asset[[#This Row],[Account Name]]="","",IFERROR(IF(SEARCH(MD_Asset[[#This Row],[Account Name]],ProblemData!$E$241)&gt;0,1,0),""))</f>
        <v/>
      </c>
      <c r="J75" s="1"/>
      <c r="L75" s="44"/>
      <c r="N75" s="44"/>
    </row>
    <row r="76" spans="3:15" hidden="1" outlineLevel="1">
      <c r="C76" s="21"/>
      <c r="D76" s="22"/>
      <c r="E76" s="22"/>
      <c r="F76" s="22"/>
      <c r="G76" s="24">
        <f t="shared" si="1"/>
        <v>20</v>
      </c>
      <c r="H76" s="21"/>
      <c r="I76" s="22" t="str">
        <f>IF(MD_Asset[[#This Row],[Account Name]]="","",IFERROR(IF(SEARCH(MD_Asset[[#This Row],[Account Name]],ProblemData!$E$241)&gt;0,1,0),""))</f>
        <v/>
      </c>
      <c r="J76" s="1"/>
      <c r="L76" s="44"/>
      <c r="N76" s="44"/>
    </row>
    <row r="77" spans="3:15" hidden="1" outlineLevel="1">
      <c r="C77" s="21"/>
      <c r="D77" s="22"/>
      <c r="E77" s="22"/>
      <c r="F77" s="22"/>
      <c r="G77" s="24">
        <f t="shared" si="1"/>
        <v>21</v>
      </c>
      <c r="H77" s="21"/>
      <c r="I77" s="22" t="str">
        <f>IF(MD_Asset[[#This Row],[Account Name]]="","",IFERROR(IF(SEARCH(MD_Asset[[#This Row],[Account Name]],ProblemData!$E$241)&gt;0,1,0),""))</f>
        <v/>
      </c>
      <c r="J77" s="1"/>
      <c r="L77" s="44"/>
      <c r="N77" s="44"/>
    </row>
    <row r="78" spans="3:15" hidden="1" outlineLevel="1">
      <c r="C78" s="63"/>
      <c r="D78" s="64"/>
      <c r="E78" s="64"/>
      <c r="F78" s="64"/>
      <c r="G78" s="65">
        <f t="shared" si="1"/>
        <v>22</v>
      </c>
      <c r="H78" s="63"/>
      <c r="I78" s="64" t="str">
        <f>IF(MD_Asset[[#This Row],[Account Name]]="","",IFERROR(IF(SEARCH(MD_Asset[[#This Row],[Account Name]],ProblemData!$E$241)&gt;0,1,0),""))</f>
        <v/>
      </c>
      <c r="J78" s="1"/>
      <c r="L78" s="112"/>
      <c r="N78" s="112"/>
    </row>
    <row r="79" spans="3:15" hidden="1" outlineLevel="1"/>
    <row r="80" spans="3:15" hidden="1" outlineLevel="1"/>
    <row r="81" spans="3:12" ht="15.6" hidden="1" outlineLevel="1">
      <c r="C81" s="632" t="s">
        <v>66</v>
      </c>
      <c r="D81" s="632"/>
      <c r="E81" s="632"/>
      <c r="F81" s="632"/>
      <c r="G81" s="632"/>
      <c r="H81" s="632"/>
      <c r="I81" s="632"/>
      <c r="J81" s="203"/>
    </row>
    <row r="82" spans="3:12" hidden="1" outlineLevel="1">
      <c r="C82" s="62" t="s">
        <v>105</v>
      </c>
      <c r="D82" s="62" t="s">
        <v>106</v>
      </c>
      <c r="E82" s="62" t="s">
        <v>107</v>
      </c>
      <c r="F82" s="62" t="s">
        <v>108</v>
      </c>
      <c r="G82" s="62" t="s">
        <v>109</v>
      </c>
      <c r="H82" s="62" t="s">
        <v>110</v>
      </c>
      <c r="I82" s="62" t="s">
        <v>75</v>
      </c>
      <c r="J82" s="62" t="s">
        <v>111</v>
      </c>
      <c r="L82" s="117" t="s">
        <v>167</v>
      </c>
    </row>
    <row r="83" spans="3:12" hidden="1" outlineLevel="1">
      <c r="C83" s="21" t="s">
        <v>168</v>
      </c>
      <c r="D83" s="22" t="s">
        <v>169</v>
      </c>
      <c r="E83" s="22" t="s">
        <v>125</v>
      </c>
      <c r="F83" s="22" t="s">
        <v>118</v>
      </c>
      <c r="G83" s="24">
        <v>1</v>
      </c>
      <c r="H83" s="21" t="s">
        <v>170</v>
      </c>
      <c r="I83" s="22">
        <f>IF(MD_Liability[[#This Row],[Account Name]]="","",IFERROR(IF(SEARCH(MD_Liability[[#This Row],[Account Name]],ProblemData!$E$241)&gt;0,1,0),""))</f>
        <v>1</v>
      </c>
      <c r="J83" s="1">
        <v>1</v>
      </c>
      <c r="K83" s="11" t="s">
        <v>114</v>
      </c>
      <c r="L83" s="45" t="str" cm="1">
        <f t="array" ref="L83:L86">IFERROR(_xlfn._xlws.FILTER(MD_Liability[[#All],[Account Name]],MD_Liability[[#All],[Used]]=1),"")</f>
        <v>Accounts Payable</v>
      </c>
    </row>
    <row r="84" spans="3:12" hidden="1" outlineLevel="1">
      <c r="C84" s="21" t="s">
        <v>171</v>
      </c>
      <c r="D84" s="22" t="s">
        <v>172</v>
      </c>
      <c r="E84" s="22" t="s">
        <v>125</v>
      </c>
      <c r="F84" s="22" t="s">
        <v>118</v>
      </c>
      <c r="G84" s="24">
        <f t="shared" ref="G84:G111" si="2">G83+1</f>
        <v>2</v>
      </c>
      <c r="H84" s="21" t="s">
        <v>173</v>
      </c>
      <c r="I84" s="22" t="str">
        <f>IF(MD_Liability[[#This Row],[Account Name]]="","",IFERROR(IF(SEARCH(MD_Liability[[#This Row],[Account Name]],ProblemData!$E$241)&gt;0,1,0),""))</f>
        <v/>
      </c>
      <c r="J84" s="1">
        <v>1</v>
      </c>
      <c r="L84" s="44" t="str">
        <v>Dividends Payable</v>
      </c>
    </row>
    <row r="85" spans="3:12" hidden="1" outlineLevel="1">
      <c r="C85" s="21" t="s">
        <v>174</v>
      </c>
      <c r="D85" s="22" t="s">
        <v>175</v>
      </c>
      <c r="E85" s="22" t="s">
        <v>125</v>
      </c>
      <c r="F85" s="22" t="s">
        <v>118</v>
      </c>
      <c r="G85" s="24">
        <f t="shared" si="2"/>
        <v>3</v>
      </c>
      <c r="H85" s="21" t="s">
        <v>176</v>
      </c>
      <c r="I85" s="22" t="str">
        <f>IF(MD_Liability[[#This Row],[Account Name]]="","",IFERROR(IF(SEARCH(MD_Liability[[#This Row],[Account Name]],ProblemData!$E$241)&gt;0,1,0),""))</f>
        <v/>
      </c>
      <c r="J85" s="1">
        <v>1</v>
      </c>
      <c r="L85" s="44" t="str">
        <v>Unearned Revenue</v>
      </c>
    </row>
    <row r="86" spans="3:12" hidden="1" outlineLevel="1">
      <c r="C86" s="21" t="s">
        <v>177</v>
      </c>
      <c r="D86" s="22" t="s">
        <v>178</v>
      </c>
      <c r="E86" s="22" t="s">
        <v>125</v>
      </c>
      <c r="F86" s="22" t="s">
        <v>118</v>
      </c>
      <c r="G86" s="24">
        <f t="shared" si="2"/>
        <v>4</v>
      </c>
      <c r="H86" s="21" t="s">
        <v>179</v>
      </c>
      <c r="I86" s="22">
        <f>IF(MD_Liability[[#This Row],[Account Name]]="","",IFERROR(IF(SEARCH(MD_Liability[[#This Row],[Account Name]],ProblemData!$E$241)&gt;0,1,0),""))</f>
        <v>1</v>
      </c>
      <c r="J86" s="1"/>
      <c r="L86" s="44" t="str">
        <v>Loans Payable</v>
      </c>
    </row>
    <row r="87" spans="3:12" hidden="1" outlineLevel="1">
      <c r="C87" s="21" t="s">
        <v>180</v>
      </c>
      <c r="D87" s="22" t="s">
        <v>181</v>
      </c>
      <c r="E87" s="22" t="s">
        <v>125</v>
      </c>
      <c r="F87" s="22" t="s">
        <v>118</v>
      </c>
      <c r="G87" s="24">
        <f t="shared" si="2"/>
        <v>5</v>
      </c>
      <c r="H87" s="21" t="s">
        <v>182</v>
      </c>
      <c r="I87" s="22" t="str">
        <f>IF(MD_Liability[[#This Row],[Account Name]]="","",IFERROR(IF(SEARCH(MD_Liability[[#This Row],[Account Name]],ProblemData!$E$241)&gt;0,1,0),""))</f>
        <v/>
      </c>
      <c r="J87" s="1">
        <v>1</v>
      </c>
      <c r="L87" s="44"/>
    </row>
    <row r="88" spans="3:12" hidden="1" outlineLevel="1">
      <c r="C88" s="21" t="s">
        <v>183</v>
      </c>
      <c r="D88" s="22" t="s">
        <v>184</v>
      </c>
      <c r="E88" s="22" t="s">
        <v>125</v>
      </c>
      <c r="F88" s="22" t="s">
        <v>118</v>
      </c>
      <c r="G88" s="24">
        <f t="shared" si="2"/>
        <v>6</v>
      </c>
      <c r="H88" s="21" t="s">
        <v>160</v>
      </c>
      <c r="I88" s="22" t="str">
        <f>IF(MD_Liability[[#This Row],[Account Name]]="","",IFERROR(IF(SEARCH(MD_Liability[[#This Row],[Account Name]],ProblemData!$E$241)&gt;0,1,0),""))</f>
        <v/>
      </c>
      <c r="J88" s="1">
        <v>1</v>
      </c>
      <c r="L88" s="44"/>
    </row>
    <row r="89" spans="3:12" hidden="1" outlineLevel="1">
      <c r="C89" s="21" t="s">
        <v>185</v>
      </c>
      <c r="D89" s="22" t="s">
        <v>186</v>
      </c>
      <c r="E89" s="22" t="s">
        <v>125</v>
      </c>
      <c r="F89" s="22" t="s">
        <v>118</v>
      </c>
      <c r="G89" s="24">
        <f t="shared" si="2"/>
        <v>7</v>
      </c>
      <c r="H89" s="21" t="s">
        <v>187</v>
      </c>
      <c r="I89" s="22">
        <f>IF(MD_Liability[[#This Row],[Account Name]]="","",IFERROR(IF(SEARCH(MD_Liability[[#This Row],[Account Name]],ProblemData!$E$241)&gt;0,1,0),""))</f>
        <v>1</v>
      </c>
      <c r="J89" s="1">
        <v>1</v>
      </c>
      <c r="L89" s="44"/>
    </row>
    <row r="90" spans="3:12" hidden="1" outlineLevel="1">
      <c r="C90" s="21" t="s">
        <v>188</v>
      </c>
      <c r="D90" s="22" t="s">
        <v>189</v>
      </c>
      <c r="E90" s="22" t="s">
        <v>125</v>
      </c>
      <c r="F90" s="22" t="s">
        <v>118</v>
      </c>
      <c r="G90" s="24">
        <f t="shared" si="2"/>
        <v>8</v>
      </c>
      <c r="H90" s="21" t="s">
        <v>190</v>
      </c>
      <c r="I90" s="22" t="str">
        <f>IF(MD_Liability[[#This Row],[Account Name]]="","",IFERROR(IF(SEARCH(MD_Liability[[#This Row],[Account Name]],ProblemData!$E$241)&gt;0,1,0),""))</f>
        <v/>
      </c>
      <c r="J90" s="1">
        <v>1</v>
      </c>
      <c r="L90" s="44"/>
    </row>
    <row r="91" spans="3:12" hidden="1" outlineLevel="1">
      <c r="C91" s="21" t="s">
        <v>191</v>
      </c>
      <c r="D91" s="22" t="s">
        <v>192</v>
      </c>
      <c r="E91" s="22" t="s">
        <v>125</v>
      </c>
      <c r="F91" s="22" t="s">
        <v>118</v>
      </c>
      <c r="G91" s="24">
        <f t="shared" si="2"/>
        <v>9</v>
      </c>
      <c r="H91" s="21" t="s">
        <v>193</v>
      </c>
      <c r="I91" s="22" t="str">
        <f>IF(MD_Liability[[#This Row],[Account Name]]="","",IFERROR(IF(SEARCH(MD_Liability[[#This Row],[Account Name]],ProblemData!$E$241)&gt;0,1,0),""))</f>
        <v/>
      </c>
      <c r="J91" s="1">
        <v>1</v>
      </c>
      <c r="L91" s="44"/>
    </row>
    <row r="92" spans="3:12" hidden="1" outlineLevel="1">
      <c r="C92" s="21" t="s">
        <v>194</v>
      </c>
      <c r="D92" s="22" t="s">
        <v>195</v>
      </c>
      <c r="E92" s="22" t="s">
        <v>125</v>
      </c>
      <c r="F92" s="22" t="s">
        <v>118</v>
      </c>
      <c r="G92" s="24">
        <f t="shared" si="2"/>
        <v>10</v>
      </c>
      <c r="H92" s="21" t="s">
        <v>196</v>
      </c>
      <c r="I92" s="22" t="str">
        <f>IF(MD_Liability[[#This Row],[Account Name]]="","",IFERROR(IF(SEARCH(MD_Liability[[#This Row],[Account Name]],ProblemData!$E$241)&gt;0,1,0),""))</f>
        <v/>
      </c>
      <c r="J92" s="1"/>
      <c r="L92" s="44"/>
    </row>
    <row r="93" spans="3:12" hidden="1" outlineLevel="1">
      <c r="C93" s="21" t="s">
        <v>197</v>
      </c>
      <c r="D93" s="22" t="s">
        <v>198</v>
      </c>
      <c r="E93" s="22" t="s">
        <v>125</v>
      </c>
      <c r="F93" s="22" t="s">
        <v>118</v>
      </c>
      <c r="G93" s="24">
        <f t="shared" si="2"/>
        <v>11</v>
      </c>
      <c r="H93" s="21" t="s">
        <v>199</v>
      </c>
      <c r="I93" s="22" t="str">
        <f>IF(MD_Liability[[#This Row],[Account Name]]="","",IFERROR(IF(SEARCH(MD_Liability[[#This Row],[Account Name]],ProblemData!$E$241)&gt;0,1,0),""))</f>
        <v/>
      </c>
      <c r="J93" s="1">
        <v>1</v>
      </c>
      <c r="L93" s="44"/>
    </row>
    <row r="94" spans="3:12" hidden="1" outlineLevel="1">
      <c r="C94" s="21" t="s">
        <v>200</v>
      </c>
      <c r="D94" s="22" t="s">
        <v>201</v>
      </c>
      <c r="E94" s="22" t="s">
        <v>125</v>
      </c>
      <c r="F94" s="22" t="s">
        <v>118</v>
      </c>
      <c r="G94" s="24">
        <f t="shared" si="2"/>
        <v>12</v>
      </c>
      <c r="H94" s="21" t="s">
        <v>202</v>
      </c>
      <c r="I94" s="22" t="str">
        <f>IF(MD_Liability[[#This Row],[Account Name]]="","",IFERROR(IF(SEARCH(MD_Liability[[#This Row],[Account Name]],ProblemData!$E$241)&gt;0,1,0),""))</f>
        <v/>
      </c>
      <c r="J94" s="1">
        <v>1</v>
      </c>
      <c r="L94" s="44"/>
    </row>
    <row r="95" spans="3:12" hidden="1" outlineLevel="1">
      <c r="C95" s="21" t="s">
        <v>203</v>
      </c>
      <c r="D95" s="22" t="s">
        <v>204</v>
      </c>
      <c r="E95" s="22" t="s">
        <v>125</v>
      </c>
      <c r="F95" s="22" t="s">
        <v>118</v>
      </c>
      <c r="G95" s="24">
        <f t="shared" si="2"/>
        <v>13</v>
      </c>
      <c r="H95" s="21" t="s">
        <v>205</v>
      </c>
      <c r="I95" s="22" t="str">
        <f>IF(MD_Liability[[#This Row],[Account Name]]="","",IFERROR(IF(SEARCH(MD_Liability[[#This Row],[Account Name]],ProblemData!$E$241)&gt;0,1,0),""))</f>
        <v/>
      </c>
      <c r="J95" s="1">
        <v>1</v>
      </c>
      <c r="L95" s="44"/>
    </row>
    <row r="96" spans="3:12" hidden="1" outlineLevel="1">
      <c r="C96" s="21" t="s">
        <v>206</v>
      </c>
      <c r="D96" s="22" t="s">
        <v>207</v>
      </c>
      <c r="E96" s="22" t="s">
        <v>125</v>
      </c>
      <c r="F96" s="22" t="s">
        <v>118</v>
      </c>
      <c r="G96" s="24">
        <f t="shared" si="2"/>
        <v>14</v>
      </c>
      <c r="H96" s="21" t="s">
        <v>173</v>
      </c>
      <c r="I96" s="22" t="str">
        <f>IF(MD_Liability[[#This Row],[Account Name]]="","",IFERROR(IF(SEARCH(MD_Liability[[#This Row],[Account Name]],ProblemData!$E$241)&gt;0,1,0),""))</f>
        <v/>
      </c>
      <c r="J96" s="1">
        <v>1</v>
      </c>
      <c r="L96" s="44"/>
    </row>
    <row r="97" spans="3:17" hidden="1" outlineLevel="1">
      <c r="C97" s="21" t="s">
        <v>208</v>
      </c>
      <c r="D97" s="22" t="s">
        <v>209</v>
      </c>
      <c r="E97" s="22" t="s">
        <v>125</v>
      </c>
      <c r="F97" s="22" t="s">
        <v>118</v>
      </c>
      <c r="G97" s="24">
        <f t="shared" si="2"/>
        <v>15</v>
      </c>
      <c r="H97" s="21" t="s">
        <v>210</v>
      </c>
      <c r="I97" s="22" t="str">
        <f>IF(MD_Liability[[#This Row],[Account Name]]="","",IFERROR(IF(SEARCH(MD_Liability[[#This Row],[Account Name]],ProblemData!$E$241)&gt;0,1,0),""))</f>
        <v/>
      </c>
      <c r="J97" s="1"/>
      <c r="L97" s="44"/>
    </row>
    <row r="98" spans="3:17" hidden="1" outlineLevel="1">
      <c r="C98" s="21" t="s">
        <v>211</v>
      </c>
      <c r="D98" s="22" t="s">
        <v>212</v>
      </c>
      <c r="E98" s="22" t="s">
        <v>125</v>
      </c>
      <c r="F98" s="22" t="s">
        <v>144</v>
      </c>
      <c r="G98" s="24">
        <f t="shared" si="2"/>
        <v>16</v>
      </c>
      <c r="H98" s="21" t="s">
        <v>213</v>
      </c>
      <c r="I98" s="22" t="str">
        <f>IF(MD_Liability[[#This Row],[Account Name]]="","",IFERROR(IF(SEARCH(MD_Liability[[#This Row],[Account Name]],ProblemData!$E$241)&gt;0,1,0),""))</f>
        <v/>
      </c>
      <c r="J98" s="1"/>
      <c r="L98" s="44"/>
    </row>
    <row r="99" spans="3:17" hidden="1" outlineLevel="1">
      <c r="C99" s="21" t="s">
        <v>214</v>
      </c>
      <c r="D99" s="22" t="s">
        <v>215</v>
      </c>
      <c r="E99" s="22" t="s">
        <v>125</v>
      </c>
      <c r="F99" s="22" t="s">
        <v>144</v>
      </c>
      <c r="G99" s="24">
        <f t="shared" si="2"/>
        <v>17</v>
      </c>
      <c r="H99" s="21" t="s">
        <v>216</v>
      </c>
      <c r="I99" s="22" t="str">
        <f>IF(MD_Liability[[#This Row],[Account Name]]="","",IFERROR(IF(SEARCH(MD_Liability[[#This Row],[Account Name]],ProblemData!$E$241)&gt;0,1,0),""))</f>
        <v/>
      </c>
      <c r="J99" s="1"/>
      <c r="L99" s="44"/>
    </row>
    <row r="100" spans="3:17" hidden="1" outlineLevel="1">
      <c r="C100" s="21" t="s">
        <v>217</v>
      </c>
      <c r="D100" s="22" t="s">
        <v>218</v>
      </c>
      <c r="E100" s="22" t="s">
        <v>125</v>
      </c>
      <c r="F100" s="22" t="s">
        <v>144</v>
      </c>
      <c r="G100" s="24">
        <f t="shared" si="2"/>
        <v>18</v>
      </c>
      <c r="H100" s="21" t="s">
        <v>219</v>
      </c>
      <c r="I100" s="22" t="str">
        <f>IF(MD_Liability[[#This Row],[Account Name]]="","",IFERROR(IF(SEARCH(MD_Liability[[#This Row],[Account Name]],ProblemData!$E$241)&gt;0,1,0),""))</f>
        <v/>
      </c>
      <c r="J100" s="1"/>
      <c r="L100" s="44"/>
    </row>
    <row r="101" spans="3:17" hidden="1" outlineLevel="1">
      <c r="C101" s="21" t="s">
        <v>220</v>
      </c>
      <c r="D101" s="22" t="s">
        <v>221</v>
      </c>
      <c r="E101" s="22" t="s">
        <v>125</v>
      </c>
      <c r="F101" s="22" t="s">
        <v>144</v>
      </c>
      <c r="G101" s="24">
        <f t="shared" si="2"/>
        <v>19</v>
      </c>
      <c r="H101" s="21" t="s">
        <v>222</v>
      </c>
      <c r="I101" s="22" t="str">
        <f>IF(MD_Liability[[#This Row],[Account Name]]="","",IFERROR(IF(SEARCH(MD_Liability[[#This Row],[Account Name]],ProblemData!$E$241)&gt;0,1,0),""))</f>
        <v/>
      </c>
      <c r="J101" s="1"/>
      <c r="L101" s="44"/>
    </row>
    <row r="102" spans="3:17" hidden="1" outlineLevel="1">
      <c r="C102" s="21" t="s">
        <v>223</v>
      </c>
      <c r="D102" s="22" t="s">
        <v>224</v>
      </c>
      <c r="E102" s="22" t="s">
        <v>125</v>
      </c>
      <c r="F102" s="22" t="s">
        <v>144</v>
      </c>
      <c r="G102" s="24">
        <f t="shared" si="2"/>
        <v>20</v>
      </c>
      <c r="H102" s="21" t="s">
        <v>225</v>
      </c>
      <c r="I102" s="22" t="str">
        <f>IF(MD_Liability[[#This Row],[Account Name]]="","",IFERROR(IF(SEARCH(MD_Liability[[#This Row],[Account Name]],ProblemData!$E$241)&gt;0,1,0),""))</f>
        <v/>
      </c>
      <c r="J102" s="1">
        <v>1</v>
      </c>
      <c r="L102" s="44"/>
    </row>
    <row r="103" spans="3:17" hidden="1" outlineLevel="1">
      <c r="C103" s="21" t="s">
        <v>226</v>
      </c>
      <c r="D103" s="22" t="s">
        <v>227</v>
      </c>
      <c r="E103" s="22" t="s">
        <v>125</v>
      </c>
      <c r="F103" s="22" t="s">
        <v>144</v>
      </c>
      <c r="G103" s="24">
        <f t="shared" si="2"/>
        <v>21</v>
      </c>
      <c r="H103" s="21" t="s">
        <v>228</v>
      </c>
      <c r="I103" s="22">
        <f>IF(MD_Liability[[#This Row],[Account Name]]="","",IFERROR(IF(SEARCH(MD_Liability[[#This Row],[Account Name]],ProblemData!$E$241)&gt;0,1,0),""))</f>
        <v>1</v>
      </c>
      <c r="J103" s="1"/>
      <c r="L103" s="44"/>
    </row>
    <row r="104" spans="3:17" hidden="1" outlineLevel="1">
      <c r="C104" s="21" t="s">
        <v>229</v>
      </c>
      <c r="D104" s="22" t="s">
        <v>230</v>
      </c>
      <c r="E104" s="22" t="s">
        <v>125</v>
      </c>
      <c r="F104" s="22" t="s">
        <v>144</v>
      </c>
      <c r="G104" s="24">
        <f t="shared" si="2"/>
        <v>22</v>
      </c>
      <c r="H104" s="21" t="s">
        <v>213</v>
      </c>
      <c r="I104" s="22" t="str">
        <f>IF(MD_Liability[[#This Row],[Account Name]]="","",IFERROR(IF(SEARCH(MD_Liability[[#This Row],[Account Name]],ProblemData!$E$241)&gt;0,1,0),""))</f>
        <v/>
      </c>
      <c r="J104" s="1"/>
      <c r="L104" s="44"/>
    </row>
    <row r="105" spans="3:17" hidden="1" outlineLevel="1">
      <c r="C105" s="21" t="s">
        <v>231</v>
      </c>
      <c r="D105" s="22" t="s">
        <v>232</v>
      </c>
      <c r="E105" s="22" t="s">
        <v>125</v>
      </c>
      <c r="F105" s="22" t="s">
        <v>144</v>
      </c>
      <c r="G105" s="24">
        <f t="shared" si="2"/>
        <v>23</v>
      </c>
      <c r="H105" s="21" t="s">
        <v>233</v>
      </c>
      <c r="I105" s="22" t="str">
        <f>IF(MD_Liability[[#This Row],[Account Name]]="","",IFERROR(IF(SEARCH(MD_Liability[[#This Row],[Account Name]],ProblemData!$E$241)&gt;0,1,0),""))</f>
        <v/>
      </c>
      <c r="J105" s="1"/>
      <c r="L105" s="44"/>
    </row>
    <row r="106" spans="3:17" hidden="1" outlineLevel="1">
      <c r="C106" s="21" t="s">
        <v>234</v>
      </c>
      <c r="D106" s="22" t="s">
        <v>235</v>
      </c>
      <c r="E106" s="22" t="s">
        <v>125</v>
      </c>
      <c r="F106" s="22" t="s">
        <v>118</v>
      </c>
      <c r="G106" s="24">
        <f t="shared" si="2"/>
        <v>24</v>
      </c>
      <c r="H106" s="21"/>
      <c r="I106" s="22" t="str">
        <f>IF(MD_Liability[[#This Row],[Account Name]]="","",IFERROR(IF(SEARCH(MD_Liability[[#This Row],[Account Name]],ProblemData!$E$241)&gt;0,1,0),""))</f>
        <v/>
      </c>
      <c r="J106" s="1"/>
      <c r="L106" s="44"/>
    </row>
    <row r="107" spans="3:17" hidden="1" outlineLevel="1">
      <c r="C107" s="21" t="s">
        <v>236</v>
      </c>
      <c r="D107" s="22" t="s">
        <v>237</v>
      </c>
      <c r="E107" s="22" t="s">
        <v>125</v>
      </c>
      <c r="F107" s="22" t="s">
        <v>144</v>
      </c>
      <c r="G107" s="24">
        <f t="shared" si="2"/>
        <v>25</v>
      </c>
      <c r="H107" s="21"/>
      <c r="I107" s="22" t="str">
        <f>IF(MD_Liability[[#This Row],[Account Name]]="","",IFERROR(IF(SEARCH(MD_Liability[[#This Row],[Account Name]],ProblemData!$E$241)&gt;0,1,0),""))</f>
        <v/>
      </c>
      <c r="J107" s="1"/>
      <c r="L107" s="44"/>
    </row>
    <row r="108" spans="3:17" hidden="1" outlineLevel="1">
      <c r="C108" s="21"/>
      <c r="D108" s="22"/>
      <c r="E108" s="22"/>
      <c r="F108" s="22"/>
      <c r="G108" s="24">
        <f t="shared" si="2"/>
        <v>26</v>
      </c>
      <c r="H108" s="21"/>
      <c r="I108" s="22" t="str">
        <f>IF(MD_Liability[[#This Row],[Account Name]]="","",IFERROR(IF(SEARCH(MD_Liability[[#This Row],[Account Name]],ProblemData!$E$241)&gt;0,1,0),""))</f>
        <v/>
      </c>
      <c r="J108" s="1"/>
      <c r="L108" s="44"/>
    </row>
    <row r="109" spans="3:17" hidden="1" outlineLevel="1">
      <c r="C109" s="21"/>
      <c r="D109" s="22"/>
      <c r="E109" s="22"/>
      <c r="F109" s="22"/>
      <c r="G109" s="24">
        <f t="shared" si="2"/>
        <v>27</v>
      </c>
      <c r="H109" s="21"/>
      <c r="I109" s="22" t="str">
        <f>IF(MD_Liability[[#This Row],[Account Name]]="","",IFERROR(IF(SEARCH(MD_Liability[[#This Row],[Account Name]],ProblemData!$E$241)&gt;0,1,0),""))</f>
        <v/>
      </c>
      <c r="J109" s="1"/>
      <c r="L109" s="44"/>
    </row>
    <row r="110" spans="3:17" hidden="1" outlineLevel="1">
      <c r="C110" s="63"/>
      <c r="D110" s="64"/>
      <c r="E110" s="64"/>
      <c r="F110" s="64"/>
      <c r="G110" s="24">
        <f t="shared" si="2"/>
        <v>28</v>
      </c>
      <c r="H110" s="63"/>
      <c r="I110" s="22" t="str">
        <f>IF(MD_Liability[[#This Row],[Account Name]]="","",IFERROR(IF(SEARCH(MD_Liability[[#This Row],[Account Name]],ProblemData!$E$241)&gt;0,1,0),""))</f>
        <v/>
      </c>
      <c r="J110" s="1"/>
      <c r="L110" s="44"/>
    </row>
    <row r="111" spans="3:17" ht="15.6" hidden="1" outlineLevel="1">
      <c r="C111" s="21"/>
      <c r="D111" s="22"/>
      <c r="E111" s="22"/>
      <c r="F111" s="22"/>
      <c r="G111" s="24">
        <f t="shared" si="2"/>
        <v>29</v>
      </c>
      <c r="H111" s="21"/>
      <c r="I111" s="22" t="str">
        <f>IF(MD_Liability[[#This Row],[Account Name]]="","",IFERROR(IF(SEARCH(MD_Liability[[#This Row],[Account Name]],ProblemData!$E$241)&gt;0,1,0),""))</f>
        <v/>
      </c>
      <c r="J111" s="1"/>
      <c r="K111" s="478" t="s">
        <v>67</v>
      </c>
      <c r="L111" s="478"/>
      <c r="M111" s="478"/>
      <c r="N111" s="478"/>
      <c r="O111" s="478"/>
      <c r="P111" s="478"/>
      <c r="Q111" s="478"/>
    </row>
    <row r="112" spans="3:17" hidden="1" outlineLevel="1">
      <c r="D112" s="1"/>
      <c r="E112" s="1"/>
      <c r="F112" s="1"/>
      <c r="G112" s="1"/>
      <c r="H112" s="6"/>
    </row>
    <row r="113" spans="3:14" hidden="1" outlineLevel="1">
      <c r="D113" s="1"/>
      <c r="E113" s="1"/>
      <c r="F113" s="1"/>
      <c r="G113" s="1"/>
      <c r="H113" s="6"/>
    </row>
    <row r="114" spans="3:14" ht="15.6" hidden="1" outlineLevel="1">
      <c r="C114" s="632" t="s">
        <v>67</v>
      </c>
      <c r="D114" s="632"/>
      <c r="E114" s="632"/>
      <c r="F114" s="632"/>
      <c r="G114" s="632"/>
      <c r="H114" s="632"/>
      <c r="I114" s="632"/>
      <c r="J114" s="478"/>
    </row>
    <row r="115" spans="3:14" hidden="1" outlineLevel="1">
      <c r="C115" s="62" t="s">
        <v>105</v>
      </c>
      <c r="D115" s="62" t="s">
        <v>106</v>
      </c>
      <c r="E115" s="62" t="s">
        <v>107</v>
      </c>
      <c r="F115" s="62" t="s">
        <v>108</v>
      </c>
      <c r="G115" s="62" t="s">
        <v>109</v>
      </c>
      <c r="H115" s="62" t="s">
        <v>110</v>
      </c>
      <c r="I115" s="62" t="s">
        <v>75</v>
      </c>
      <c r="J115" s="62" t="s">
        <v>111</v>
      </c>
      <c r="L115" s="117" t="s">
        <v>238</v>
      </c>
      <c r="N115" s="111" t="s">
        <v>239</v>
      </c>
    </row>
    <row r="116" spans="3:14" hidden="1" outlineLevel="1">
      <c r="C116" s="72"/>
      <c r="D116" s="72"/>
      <c r="E116" s="72"/>
      <c r="F116" s="72"/>
      <c r="G116" s="73"/>
      <c r="H116" s="72"/>
      <c r="I116" s="72"/>
      <c r="J116" s="72"/>
      <c r="K116" s="11" t="s">
        <v>114</v>
      </c>
      <c r="L116" s="45" t="str" cm="1">
        <f t="array" ref="L116:L117">IFERROR(_xlfn._xlws.FILTER(MD_Equity[[#All],[Account Name]],MD_Equity[[#All],[Used]]=1),"")</f>
        <v>Common Stock</v>
      </c>
      <c r="N116" s="44" t="str" cm="1">
        <f t="array" ref="N116:N119">_xlfn.VSTACK(RevenueUsed,ExpenseUsed,GainUsed,LossUsed)</f>
        <v>Sales</v>
      </c>
    </row>
    <row r="117" spans="3:14" hidden="1" outlineLevel="1">
      <c r="C117" s="21" t="s">
        <v>240</v>
      </c>
      <c r="D117" s="22" t="s">
        <v>241</v>
      </c>
      <c r="E117" s="22" t="s">
        <v>125</v>
      </c>
      <c r="F117" s="22"/>
      <c r="G117" s="24">
        <v>1</v>
      </c>
      <c r="H117" s="21" t="s">
        <v>242</v>
      </c>
      <c r="I117" s="22" t="str">
        <f>IF(MD_Equity[[#This Row],[Account Name]]="","",IFERROR(IF(SEARCH(MD_Equity[[#This Row],[Account Name]],ProblemData!$E$241)&gt;0,1,0),""))</f>
        <v/>
      </c>
      <c r="J117" s="1"/>
      <c r="L117" s="44" t="str">
        <v>Retained Earnings</v>
      </c>
      <c r="N117" s="44" t="str">
        <v>Cost of Goods Sold</v>
      </c>
    </row>
    <row r="118" spans="3:14" hidden="1" outlineLevel="1">
      <c r="C118" s="21" t="s">
        <v>243</v>
      </c>
      <c r="D118" s="22" t="s">
        <v>244</v>
      </c>
      <c r="E118" s="22" t="s">
        <v>125</v>
      </c>
      <c r="F118" s="22"/>
      <c r="G118" s="24">
        <f>G117+1</f>
        <v>2</v>
      </c>
      <c r="H118" s="21" t="s">
        <v>245</v>
      </c>
      <c r="I118" s="22">
        <f>IF(MD_Equity[[#This Row],[Account Name]]="","",IFERROR(IF(SEARCH(MD_Equity[[#This Row],[Account Name]],ProblemData!$E$241)&gt;0,1,0),""))</f>
        <v>1</v>
      </c>
      <c r="J118" s="1"/>
      <c r="L118" s="44"/>
      <c r="N118" s="44" t="str">
        <v/>
      </c>
    </row>
    <row r="119" spans="3:14" hidden="1" outlineLevel="1">
      <c r="C119" s="21" t="s">
        <v>246</v>
      </c>
      <c r="D119" s="22" t="s">
        <v>247</v>
      </c>
      <c r="E119" s="22" t="s">
        <v>125</v>
      </c>
      <c r="F119" s="22"/>
      <c r="G119" s="24">
        <f t="shared" ref="G119:G128" si="3">G118+1</f>
        <v>3</v>
      </c>
      <c r="H119" s="21" t="s">
        <v>248</v>
      </c>
      <c r="I119" s="22" t="str">
        <f>IF(MD_Equity[[#This Row],[Account Name]]="","",IFERROR(IF(SEARCH(MD_Equity[[#This Row],[Account Name]],ProblemData!$E$241)&gt;0,1,0),""))</f>
        <v/>
      </c>
      <c r="J119" s="1"/>
      <c r="L119" s="44"/>
      <c r="N119" s="44" t="str">
        <v/>
      </c>
    </row>
    <row r="120" spans="3:14" hidden="1" outlineLevel="1">
      <c r="C120" s="21" t="s">
        <v>249</v>
      </c>
      <c r="D120" s="22" t="s">
        <v>250</v>
      </c>
      <c r="E120" s="22" t="s">
        <v>125</v>
      </c>
      <c r="F120" s="22"/>
      <c r="G120" s="24">
        <f t="shared" si="3"/>
        <v>4</v>
      </c>
      <c r="H120" s="21" t="s">
        <v>251</v>
      </c>
      <c r="I120" s="22" t="str">
        <f>IF(MD_Equity[[#This Row],[Account Name]]="","",IFERROR(IF(SEARCH(MD_Equity[[#This Row],[Account Name]],ProblemData!$E$241)&gt;0,1,0),""))</f>
        <v/>
      </c>
      <c r="J120" s="1"/>
      <c r="L120" s="44"/>
      <c r="N120" s="44"/>
    </row>
    <row r="121" spans="3:14" hidden="1" outlineLevel="1">
      <c r="C121" s="21" t="s">
        <v>252</v>
      </c>
      <c r="D121" s="22" t="s">
        <v>253</v>
      </c>
      <c r="E121" s="22" t="s">
        <v>125</v>
      </c>
      <c r="F121" s="22"/>
      <c r="G121" s="24">
        <f t="shared" si="3"/>
        <v>5</v>
      </c>
      <c r="H121" s="21" t="s">
        <v>254</v>
      </c>
      <c r="I121" s="22">
        <f>IF(MD_Equity[[#This Row],[Account Name]]="","",IFERROR(IF(SEARCH(MD_Equity[[#This Row],[Account Name]],ProblemData!$E$241)&gt;0,1,0),""))</f>
        <v>1</v>
      </c>
      <c r="J121" s="1"/>
      <c r="L121" s="44"/>
      <c r="N121" s="44"/>
    </row>
    <row r="122" spans="3:14" hidden="1" outlineLevel="1">
      <c r="C122" s="21" t="s">
        <v>255</v>
      </c>
      <c r="D122" s="22" t="s">
        <v>256</v>
      </c>
      <c r="E122" s="22" t="s">
        <v>117</v>
      </c>
      <c r="F122" s="22"/>
      <c r="G122" s="24">
        <f t="shared" si="3"/>
        <v>6</v>
      </c>
      <c r="H122" s="21" t="s">
        <v>257</v>
      </c>
      <c r="I122" s="22" t="str">
        <f>IF(MD_Equity[[#This Row],[Account Name]]="","",IFERROR(IF(SEARCH(MD_Equity[[#This Row],[Account Name]],ProblemData!$E$241)&gt;0,1,0),""))</f>
        <v/>
      </c>
      <c r="J122" s="1"/>
      <c r="L122" s="44"/>
      <c r="N122" s="44"/>
    </row>
    <row r="123" spans="3:14" hidden="1" outlineLevel="1">
      <c r="C123" s="140" t="s">
        <v>258</v>
      </c>
      <c r="D123" s="22" t="s">
        <v>259</v>
      </c>
      <c r="E123" s="22" t="s">
        <v>117</v>
      </c>
      <c r="F123" s="22"/>
      <c r="G123" s="24">
        <f t="shared" si="3"/>
        <v>7</v>
      </c>
      <c r="H123" s="21"/>
      <c r="I123" s="22" t="str">
        <f>IF(MD_Equity[[#This Row],[Account Name]]="","",IFERROR(IF(SEARCH(MD_Equity[[#This Row],[Account Name]],ProblemData!$E$241)&gt;0,1,0),""))</f>
        <v/>
      </c>
      <c r="J123" s="1"/>
      <c r="L123" s="44"/>
      <c r="N123" s="44"/>
    </row>
    <row r="124" spans="3:14" hidden="1" outlineLevel="1">
      <c r="C124" s="21"/>
      <c r="D124" s="22"/>
      <c r="E124" s="22"/>
      <c r="F124" s="22"/>
      <c r="G124" s="24">
        <f t="shared" si="3"/>
        <v>8</v>
      </c>
      <c r="H124" s="21"/>
      <c r="I124" s="22" t="str">
        <f>IF(MD_Equity[[#This Row],[Account Name]]="","",IFERROR(IF(SEARCH(MD_Equity[[#This Row],[Account Name]],ProblemData!$E$241)&gt;0,1,0),""))</f>
        <v/>
      </c>
      <c r="J124" s="1"/>
      <c r="L124" s="44"/>
      <c r="N124" s="44"/>
    </row>
    <row r="125" spans="3:14" hidden="1" outlineLevel="1">
      <c r="C125" s="21"/>
      <c r="D125" s="22"/>
      <c r="E125" s="22"/>
      <c r="F125" s="22"/>
      <c r="G125" s="24">
        <f t="shared" si="3"/>
        <v>9</v>
      </c>
      <c r="H125" s="21"/>
      <c r="I125" s="22" t="str">
        <f>IF(MD_Equity[[#This Row],[Account Name]]="","",IFERROR(IF(SEARCH(MD_Equity[[#This Row],[Account Name]],ProblemData!$E$241)&gt;0,1,0),""))</f>
        <v/>
      </c>
      <c r="J125" s="1"/>
      <c r="L125" s="44"/>
      <c r="N125" s="44"/>
    </row>
    <row r="126" spans="3:14" hidden="1" outlineLevel="1">
      <c r="C126" s="21"/>
      <c r="D126" s="22"/>
      <c r="E126" s="22"/>
      <c r="F126" s="22"/>
      <c r="G126" s="24">
        <f t="shared" si="3"/>
        <v>10</v>
      </c>
      <c r="H126" s="21"/>
      <c r="I126" s="22" t="str">
        <f>IF(MD_Equity[[#This Row],[Account Name]]="","",IFERROR(IF(SEARCH(MD_Equity[[#This Row],[Account Name]],ProblemData!$E$241)&gt;0,1,0),""))</f>
        <v/>
      </c>
      <c r="J126" s="1"/>
      <c r="L126" s="44"/>
      <c r="N126" s="44"/>
    </row>
    <row r="127" spans="3:14" hidden="1" outlineLevel="1">
      <c r="C127" s="21"/>
      <c r="D127" s="22"/>
      <c r="E127" s="22"/>
      <c r="F127" s="22"/>
      <c r="G127" s="24">
        <f t="shared" si="3"/>
        <v>11</v>
      </c>
      <c r="H127" s="21"/>
      <c r="I127" s="22" t="str">
        <f>IF(MD_Equity[[#This Row],[Account Name]]="","",IFERROR(IF(SEARCH(MD_Equity[[#This Row],[Account Name]],ProblemData!$E$241)&gt;0,1,0),""))</f>
        <v/>
      </c>
      <c r="J127" s="1"/>
      <c r="L127" s="44"/>
      <c r="N127" s="44"/>
    </row>
    <row r="128" spans="3:14" hidden="1" outlineLevel="1">
      <c r="C128" s="21"/>
      <c r="D128" s="22"/>
      <c r="E128" s="22"/>
      <c r="F128" s="22"/>
      <c r="G128" s="24">
        <f t="shared" si="3"/>
        <v>12</v>
      </c>
      <c r="H128" s="21"/>
      <c r="I128" s="22" t="str">
        <f>IF(MD_Equity[[#This Row],[Account Name]]="","",IFERROR(IF(SEARCH(MD_Equity[[#This Row],[Account Name]],ProblemData!$E$241)&gt;0,1,0),""))</f>
        <v/>
      </c>
      <c r="J128" s="1"/>
      <c r="L128" s="112"/>
      <c r="N128" s="44"/>
    </row>
    <row r="129" spans="2:14" hidden="1" outlineLevel="1">
      <c r="N129" s="44"/>
    </row>
    <row r="130" spans="2:14" hidden="1" outlineLevel="1">
      <c r="N130" s="44"/>
    </row>
    <row r="131" spans="2:14" ht="15.6" hidden="1" outlineLevel="1">
      <c r="B131" s="26" t="s">
        <v>260</v>
      </c>
      <c r="C131" s="10"/>
      <c r="D131" s="10"/>
      <c r="E131" s="10"/>
      <c r="F131" s="10"/>
      <c r="G131" s="10"/>
      <c r="H131" s="10"/>
      <c r="I131" s="10"/>
      <c r="J131" s="10"/>
      <c r="K131" s="10"/>
      <c r="L131" s="10"/>
      <c r="M131" s="10"/>
      <c r="N131" s="44"/>
    </row>
    <row r="132" spans="2:14" hidden="1" outlineLevel="1">
      <c r="N132" s="44"/>
    </row>
    <row r="133" spans="2:14" ht="15.6" hidden="1" outlineLevel="1">
      <c r="C133" s="632" t="s">
        <v>69</v>
      </c>
      <c r="D133" s="632"/>
      <c r="E133" s="632"/>
      <c r="F133" s="632"/>
      <c r="G133" s="632"/>
      <c r="H133" s="632"/>
      <c r="I133" s="632"/>
      <c r="N133" s="44"/>
    </row>
    <row r="134" spans="2:14" hidden="1" outlineLevel="1">
      <c r="C134" s="23" t="s">
        <v>105</v>
      </c>
      <c r="D134" s="23" t="s">
        <v>106</v>
      </c>
      <c r="E134" s="23" t="s">
        <v>107</v>
      </c>
      <c r="F134" s="23" t="s">
        <v>108</v>
      </c>
      <c r="G134" s="23" t="s">
        <v>109</v>
      </c>
      <c r="H134" s="23" t="s">
        <v>110</v>
      </c>
      <c r="I134" s="62" t="s">
        <v>75</v>
      </c>
      <c r="L134" s="117" t="s">
        <v>261</v>
      </c>
      <c r="N134" s="44"/>
    </row>
    <row r="135" spans="2:14" hidden="1" outlineLevel="1">
      <c r="C135" s="72"/>
      <c r="D135" s="72"/>
      <c r="E135" s="72"/>
      <c r="F135" s="72"/>
      <c r="G135" s="73"/>
      <c r="H135" s="72"/>
      <c r="I135" s="72" t="str">
        <f>IF(MD_Revenue[[#This Row],[Account Name]]="","",IFERROR(IF(SEARCH(MD_Revenue[[#This Row],[Account Name]],ProblemData!$E$241)&gt;0,1,0),""))</f>
        <v/>
      </c>
      <c r="J135" s="11" t="s">
        <v>114</v>
      </c>
      <c r="L135" s="45" t="str" cm="1">
        <f t="array" ref="L135">IFERROR(_xlfn._xlws.FILTER(MD_Revenue[[#All],[Account Name]],MD_Revenue[[#All],[Used]]=1),"")</f>
        <v>Sales</v>
      </c>
      <c r="N135" s="44"/>
    </row>
    <row r="136" spans="2:14" hidden="1" outlineLevel="1">
      <c r="C136" s="21" t="s">
        <v>262</v>
      </c>
      <c r="D136" s="22" t="s">
        <v>263</v>
      </c>
      <c r="E136" s="22" t="s">
        <v>125</v>
      </c>
      <c r="F136" s="22"/>
      <c r="G136" s="24">
        <v>1</v>
      </c>
      <c r="H136" s="21" t="s">
        <v>264</v>
      </c>
      <c r="I136" s="22">
        <f>IF(MD_Revenue[[#This Row],[Account Name]]="","",IFERROR(IF(SEARCH(MD_Revenue[[#This Row],[Account Name]],ProblemData!$E$241)&gt;0,1,0),""))</f>
        <v>1</v>
      </c>
      <c r="L136" s="44"/>
      <c r="N136" s="44"/>
    </row>
    <row r="137" spans="2:14" hidden="1" outlineLevel="1">
      <c r="C137" s="21" t="s">
        <v>265</v>
      </c>
      <c r="D137" s="22" t="s">
        <v>266</v>
      </c>
      <c r="E137" s="22" t="s">
        <v>125</v>
      </c>
      <c r="F137" s="22"/>
      <c r="G137" s="24">
        <f>G136+1</f>
        <v>2</v>
      </c>
      <c r="H137" s="21" t="s">
        <v>267</v>
      </c>
      <c r="I137" s="22" t="str">
        <f>IF(MD_Revenue[[#This Row],[Account Name]]="","",IFERROR(IF(SEARCH(MD_Revenue[[#This Row],[Account Name]],ProblemData!$E$241)&gt;0,1,0),""))</f>
        <v/>
      </c>
      <c r="J137" s="5"/>
      <c r="K137" s="5"/>
      <c r="L137" s="44"/>
      <c r="N137" s="44"/>
    </row>
    <row r="138" spans="2:14" hidden="1" outlineLevel="1">
      <c r="C138" s="21" t="s">
        <v>268</v>
      </c>
      <c r="D138" s="22" t="s">
        <v>269</v>
      </c>
      <c r="E138" s="22" t="s">
        <v>125</v>
      </c>
      <c r="F138" s="22"/>
      <c r="G138" s="24">
        <f t="shared" ref="G138:G142" si="4">G137+1</f>
        <v>3</v>
      </c>
      <c r="H138" s="21" t="s">
        <v>270</v>
      </c>
      <c r="I138" s="22" t="str">
        <f>IF(MD_Revenue[[#This Row],[Account Name]]="","",IFERROR(IF(SEARCH(MD_Revenue[[#This Row],[Account Name]],ProblemData!$E$241)&gt;0,1,0),""))</f>
        <v/>
      </c>
      <c r="J138" s="5"/>
      <c r="K138" s="5"/>
      <c r="L138" s="44"/>
      <c r="N138" s="112"/>
    </row>
    <row r="139" spans="2:14" hidden="1" outlineLevel="1">
      <c r="C139" s="21" t="s">
        <v>271</v>
      </c>
      <c r="D139" s="22" t="s">
        <v>272</v>
      </c>
      <c r="E139" s="22" t="s">
        <v>125</v>
      </c>
      <c r="F139" s="22"/>
      <c r="G139" s="24">
        <f t="shared" si="4"/>
        <v>4</v>
      </c>
      <c r="H139" s="21" t="s">
        <v>273</v>
      </c>
      <c r="I139" s="22" t="str">
        <f>IF(MD_Revenue[[#This Row],[Account Name]]="","",IFERROR(IF(SEARCH(MD_Revenue[[#This Row],[Account Name]],ProblemData!$E$241)&gt;0,1,0),""))</f>
        <v/>
      </c>
      <c r="J139" s="5"/>
      <c r="K139" s="5"/>
      <c r="L139" s="44"/>
    </row>
    <row r="140" spans="2:14" hidden="1" outlineLevel="1">
      <c r="C140" s="21"/>
      <c r="D140" s="22"/>
      <c r="E140" s="22"/>
      <c r="F140" s="22"/>
      <c r="G140" s="24">
        <f t="shared" si="4"/>
        <v>5</v>
      </c>
      <c r="H140" s="21"/>
      <c r="I140" s="22" t="str">
        <f>IF(MD_Revenue[[#This Row],[Account Name]]="","",IFERROR(IF(SEARCH(MD_Revenue[[#This Row],[Account Name]],ProblemData!$E$241)&gt;0,1,0),""))</f>
        <v/>
      </c>
      <c r="J140" s="5"/>
      <c r="K140" s="5"/>
      <c r="L140" s="44"/>
    </row>
    <row r="141" spans="2:14" hidden="1" outlineLevel="1">
      <c r="C141" s="21"/>
      <c r="D141" s="22"/>
      <c r="E141" s="22"/>
      <c r="F141" s="22"/>
      <c r="G141" s="24">
        <f t="shared" si="4"/>
        <v>6</v>
      </c>
      <c r="H141" s="21"/>
      <c r="I141" s="22" t="str">
        <f>IF(MD_Revenue[[#This Row],[Account Name]]="","",IFERROR(IF(SEARCH(MD_Revenue[[#This Row],[Account Name]],ProblemData!$E$241)&gt;0,1,0),""))</f>
        <v/>
      </c>
      <c r="J141" s="5"/>
      <c r="K141" s="5"/>
      <c r="L141" s="44"/>
    </row>
    <row r="142" spans="2:14" hidden="1" outlineLevel="1">
      <c r="C142" s="21"/>
      <c r="D142" s="22"/>
      <c r="E142" s="22"/>
      <c r="F142" s="22"/>
      <c r="G142" s="24">
        <f t="shared" si="4"/>
        <v>7</v>
      </c>
      <c r="H142" s="21"/>
      <c r="I142" s="22" t="str">
        <f>IF(MD_Revenue[[#This Row],[Account Name]]="","",IFERROR(IF(SEARCH(MD_Revenue[[#This Row],[Account Name]],ProblemData!$E$241)&gt;0,1,0),""))</f>
        <v/>
      </c>
      <c r="J142" s="5"/>
      <c r="K142" s="5"/>
      <c r="L142" s="44"/>
    </row>
    <row r="143" spans="2:14" hidden="1" outlineLevel="1">
      <c r="C143" s="21"/>
      <c r="D143" s="22"/>
      <c r="E143" s="22"/>
      <c r="F143" s="22"/>
      <c r="G143" s="24">
        <f t="shared" ref="G143:G144" si="5">G142+1</f>
        <v>8</v>
      </c>
      <c r="H143" s="21"/>
      <c r="I143" s="22" t="str">
        <f>IF(MD_Revenue[[#This Row],[Account Name]]="","",IFERROR(IF(SEARCH(MD_Revenue[[#This Row],[Account Name]],ProblemData!$E$241)&gt;0,1,0),""))</f>
        <v/>
      </c>
      <c r="J143" s="5"/>
      <c r="K143" s="5"/>
      <c r="L143" s="44"/>
    </row>
    <row r="144" spans="2:14" hidden="1" outlineLevel="1">
      <c r="C144" s="21"/>
      <c r="D144" s="22"/>
      <c r="E144" s="22"/>
      <c r="F144" s="22"/>
      <c r="G144" s="24">
        <f t="shared" si="5"/>
        <v>9</v>
      </c>
      <c r="H144" s="21"/>
      <c r="I144" s="22" t="str">
        <f>IF(MD_Revenue[[#This Row],[Account Name]]="","",IFERROR(IF(SEARCH(MD_Revenue[[#This Row],[Account Name]],ProblemData!$E$241)&gt;0,1,0),""))</f>
        <v/>
      </c>
      <c r="J144" s="5"/>
      <c r="K144" s="5"/>
      <c r="L144" s="112"/>
    </row>
    <row r="145" spans="2:14" hidden="1" outlineLevel="1">
      <c r="J145" s="5"/>
      <c r="K145" s="5"/>
    </row>
    <row r="146" spans="2:14" ht="15.6" hidden="1" outlineLevel="1">
      <c r="B146" s="27"/>
      <c r="C146" s="5"/>
      <c r="D146" s="5"/>
      <c r="E146" s="5"/>
      <c r="F146" s="5"/>
      <c r="G146" s="5"/>
      <c r="H146" s="5"/>
      <c r="I146" s="5"/>
      <c r="J146" s="5"/>
      <c r="K146" s="5"/>
      <c r="L146" s="5"/>
      <c r="M146" s="5"/>
      <c r="N146" s="5"/>
    </row>
    <row r="147" spans="2:14" ht="15.6" hidden="1" outlineLevel="1">
      <c r="C147" s="632" t="s">
        <v>70</v>
      </c>
      <c r="D147" s="632"/>
      <c r="E147" s="632"/>
      <c r="F147" s="632"/>
      <c r="G147" s="632"/>
      <c r="H147" s="632"/>
      <c r="I147" s="632"/>
      <c r="J147" s="5"/>
      <c r="K147" s="5"/>
    </row>
    <row r="148" spans="2:14" hidden="1" outlineLevel="1">
      <c r="C148" s="23" t="s">
        <v>105</v>
      </c>
      <c r="D148" s="23" t="s">
        <v>106</v>
      </c>
      <c r="E148" s="23" t="s">
        <v>107</v>
      </c>
      <c r="F148" s="23" t="s">
        <v>108</v>
      </c>
      <c r="G148" s="23" t="s">
        <v>109</v>
      </c>
      <c r="H148" s="23" t="s">
        <v>110</v>
      </c>
      <c r="I148" s="62" t="s">
        <v>75</v>
      </c>
      <c r="J148" s="5"/>
      <c r="K148" s="5"/>
      <c r="L148" s="117" t="s">
        <v>274</v>
      </c>
    </row>
    <row r="149" spans="2:14" hidden="1" outlineLevel="1">
      <c r="C149" s="72"/>
      <c r="D149" s="72"/>
      <c r="E149" s="72"/>
      <c r="F149" s="72"/>
      <c r="G149" s="73"/>
      <c r="H149" s="72"/>
      <c r="I149" s="72" t="str">
        <f>IF(MD_Expense[[#This Row],[Account Name]]="","",IFERROR(IF(SEARCH(MD_Expense[[#This Row],[Account Name]],ProblemData!$E$241)&gt;0,1,0),""))</f>
        <v/>
      </c>
      <c r="J149" s="11" t="s">
        <v>114</v>
      </c>
      <c r="K149" s="5"/>
      <c r="L149" s="45" t="str" cm="1">
        <f t="array" ref="L149">IFERROR(_xlfn._xlws.FILTER(MD_Expense[[#All],[Account Name]],MD_Expense[[#All],[Used]]=1),"")</f>
        <v>Cost of Goods Sold</v>
      </c>
    </row>
    <row r="150" spans="2:14" hidden="1" outlineLevel="1">
      <c r="C150" s="21" t="s">
        <v>275</v>
      </c>
      <c r="D150" s="22" t="s">
        <v>276</v>
      </c>
      <c r="E150" s="22" t="s">
        <v>117</v>
      </c>
      <c r="F150" s="22"/>
      <c r="G150" s="24">
        <v>1</v>
      </c>
      <c r="H150" s="21" t="s">
        <v>277</v>
      </c>
      <c r="I150" s="22">
        <f>IF(MD_Expense[[#This Row],[Account Name]]="","",IFERROR(IF(SEARCH(MD_Expense[[#This Row],[Account Name]],ProblemData!$E$241)&gt;0,1,0),""))</f>
        <v>1</v>
      </c>
      <c r="J150" s="5"/>
      <c r="K150" s="5"/>
      <c r="L150" s="44"/>
    </row>
    <row r="151" spans="2:14" hidden="1" outlineLevel="1">
      <c r="C151" s="21" t="s">
        <v>278</v>
      </c>
      <c r="D151" s="22" t="s">
        <v>279</v>
      </c>
      <c r="E151" s="22" t="s">
        <v>117</v>
      </c>
      <c r="F151" s="22"/>
      <c r="G151" s="24">
        <f>G150+1</f>
        <v>2</v>
      </c>
      <c r="H151" s="21" t="s">
        <v>280</v>
      </c>
      <c r="I151" s="22" t="str">
        <f>IF(MD_Expense[[#This Row],[Account Name]]="","",IFERROR(IF(SEARCH(MD_Expense[[#This Row],[Account Name]],ProblemData!$E$241)&gt;0,1,0),""))</f>
        <v/>
      </c>
      <c r="J151" s="5"/>
      <c r="K151" s="5"/>
      <c r="L151" s="44"/>
    </row>
    <row r="152" spans="2:14" hidden="1" outlineLevel="1">
      <c r="C152" s="21" t="s">
        <v>281</v>
      </c>
      <c r="D152" s="22" t="s">
        <v>282</v>
      </c>
      <c r="E152" s="22" t="s">
        <v>117</v>
      </c>
      <c r="F152" s="22"/>
      <c r="G152" s="24">
        <f t="shared" ref="G152:G158" si="6">G151+1</f>
        <v>3</v>
      </c>
      <c r="H152" s="21" t="s">
        <v>283</v>
      </c>
      <c r="I152" s="22" t="str">
        <f>IF(MD_Expense[[#This Row],[Account Name]]="","",IFERROR(IF(SEARCH(MD_Expense[[#This Row],[Account Name]],ProblemData!$E$241)&gt;0,1,0),""))</f>
        <v/>
      </c>
      <c r="J152" s="5"/>
      <c r="K152" s="5"/>
      <c r="L152" s="44"/>
    </row>
    <row r="153" spans="2:14" hidden="1" outlineLevel="1">
      <c r="C153" s="21" t="s">
        <v>284</v>
      </c>
      <c r="D153" s="22" t="s">
        <v>285</v>
      </c>
      <c r="E153" s="22" t="s">
        <v>117</v>
      </c>
      <c r="F153" s="22"/>
      <c r="G153" s="24">
        <f t="shared" si="6"/>
        <v>4</v>
      </c>
      <c r="H153" s="21" t="s">
        <v>286</v>
      </c>
      <c r="I153" s="22" t="str">
        <f>IF(MD_Expense[[#This Row],[Account Name]]="","",IFERROR(IF(SEARCH(MD_Expense[[#This Row],[Account Name]],ProblemData!$E$241)&gt;0,1,0),""))</f>
        <v/>
      </c>
      <c r="J153" s="5"/>
      <c r="K153" s="5"/>
      <c r="L153" s="44"/>
    </row>
    <row r="154" spans="2:14" hidden="1" outlineLevel="1">
      <c r="C154" s="21" t="s">
        <v>287</v>
      </c>
      <c r="D154" s="22" t="s">
        <v>288</v>
      </c>
      <c r="E154" s="22" t="s">
        <v>117</v>
      </c>
      <c r="F154" s="22"/>
      <c r="G154" s="24">
        <f t="shared" si="6"/>
        <v>5</v>
      </c>
      <c r="H154" s="21" t="s">
        <v>289</v>
      </c>
      <c r="I154" s="22" t="str">
        <f>IF(MD_Expense[[#This Row],[Account Name]]="","",IFERROR(IF(SEARCH(MD_Expense[[#This Row],[Account Name]],ProblemData!$E$241)&gt;0,1,0),""))</f>
        <v/>
      </c>
      <c r="J154" s="5"/>
      <c r="K154" s="5"/>
      <c r="L154" s="44"/>
    </row>
    <row r="155" spans="2:14" hidden="1" outlineLevel="1">
      <c r="C155" s="21" t="s">
        <v>290</v>
      </c>
      <c r="D155" s="22" t="s">
        <v>291</v>
      </c>
      <c r="E155" s="22" t="s">
        <v>117</v>
      </c>
      <c r="F155" s="22"/>
      <c r="G155" s="24">
        <f t="shared" si="6"/>
        <v>6</v>
      </c>
      <c r="H155" s="21" t="s">
        <v>292</v>
      </c>
      <c r="I155" s="22" t="str">
        <f>IF(MD_Expense[[#This Row],[Account Name]]="","",IFERROR(IF(SEARCH(MD_Expense[[#This Row],[Account Name]],ProblemData!$E$241)&gt;0,1,0),""))</f>
        <v/>
      </c>
      <c r="J155" s="5"/>
      <c r="K155" s="5"/>
      <c r="L155" s="44"/>
    </row>
    <row r="156" spans="2:14" hidden="1" outlineLevel="1">
      <c r="C156" s="21" t="s">
        <v>293</v>
      </c>
      <c r="D156" s="22" t="s">
        <v>294</v>
      </c>
      <c r="E156" s="22" t="s">
        <v>117</v>
      </c>
      <c r="F156" s="22"/>
      <c r="G156" s="24">
        <f t="shared" si="6"/>
        <v>7</v>
      </c>
      <c r="H156" s="21" t="s">
        <v>295</v>
      </c>
      <c r="I156" s="22" t="str">
        <f>IF(MD_Expense[[#This Row],[Account Name]]="","",IFERROR(IF(SEARCH(MD_Expense[[#This Row],[Account Name]],ProblemData!$E$241)&gt;0,1,0),""))</f>
        <v/>
      </c>
      <c r="J156" s="5"/>
      <c r="K156" s="5"/>
      <c r="L156" s="44"/>
    </row>
    <row r="157" spans="2:14" hidden="1" outlineLevel="1">
      <c r="C157" s="21" t="s">
        <v>296</v>
      </c>
      <c r="D157" s="22" t="s">
        <v>297</v>
      </c>
      <c r="E157" s="22" t="s">
        <v>117</v>
      </c>
      <c r="F157" s="22"/>
      <c r="G157" s="24">
        <f t="shared" si="6"/>
        <v>8</v>
      </c>
      <c r="H157" s="21" t="s">
        <v>298</v>
      </c>
      <c r="I157" s="22" t="str">
        <f>IF(MD_Expense[[#This Row],[Account Name]]="","",IFERROR(IF(SEARCH(MD_Expense[[#This Row],[Account Name]],ProblemData!$E$241)&gt;0,1,0),""))</f>
        <v/>
      </c>
      <c r="J157" s="5"/>
      <c r="K157" s="5"/>
      <c r="L157" s="44"/>
    </row>
    <row r="158" spans="2:14" hidden="1" outlineLevel="1">
      <c r="C158" s="21" t="s">
        <v>299</v>
      </c>
      <c r="D158" s="22" t="s">
        <v>300</v>
      </c>
      <c r="E158" s="22" t="s">
        <v>117</v>
      </c>
      <c r="F158" s="22"/>
      <c r="G158" s="24">
        <f t="shared" si="6"/>
        <v>9</v>
      </c>
      <c r="H158" s="21" t="s">
        <v>301</v>
      </c>
      <c r="I158" s="22" t="str">
        <f>IF(MD_Expense[[#This Row],[Account Name]]="","",IFERROR(IF(SEARCH(MD_Expense[[#This Row],[Account Name]],ProblemData!$E$241)&gt;0,1,0),""))</f>
        <v/>
      </c>
      <c r="J158" s="5"/>
      <c r="K158" s="5"/>
      <c r="L158" s="44"/>
    </row>
    <row r="159" spans="2:14" hidden="1" outlineLevel="1">
      <c r="C159" s="21" t="s">
        <v>302</v>
      </c>
      <c r="D159" s="22" t="s">
        <v>303</v>
      </c>
      <c r="E159" s="22" t="s">
        <v>117</v>
      </c>
      <c r="F159" s="22"/>
      <c r="G159" s="24">
        <f t="shared" ref="G159:G162" si="7">G158+1</f>
        <v>10</v>
      </c>
      <c r="H159" s="21" t="s">
        <v>304</v>
      </c>
      <c r="I159" s="22" t="str">
        <f>IF(MD_Expense[[#This Row],[Account Name]]="","",IFERROR(IF(SEARCH(MD_Expense[[#This Row],[Account Name]],ProblemData!$E$241)&gt;0,1,0),""))</f>
        <v/>
      </c>
      <c r="J159" s="5"/>
      <c r="K159" s="5"/>
      <c r="L159" s="44"/>
    </row>
    <row r="160" spans="2:14" hidden="1" outlineLevel="1">
      <c r="C160" s="21" t="s">
        <v>305</v>
      </c>
      <c r="D160" s="22" t="s">
        <v>306</v>
      </c>
      <c r="E160" s="22" t="s">
        <v>117</v>
      </c>
      <c r="F160" s="22"/>
      <c r="G160" s="24">
        <f t="shared" si="7"/>
        <v>11</v>
      </c>
      <c r="H160" s="21" t="s">
        <v>307</v>
      </c>
      <c r="I160" s="22" t="str">
        <f>IF(MD_Expense[[#This Row],[Account Name]]="","",IFERROR(IF(SEARCH(MD_Expense[[#This Row],[Account Name]],ProblemData!$E$241)&gt;0,1,0),""))</f>
        <v/>
      </c>
      <c r="L160" s="44"/>
    </row>
    <row r="161" spans="3:12" hidden="1" outlineLevel="1">
      <c r="C161" s="21"/>
      <c r="D161" s="22"/>
      <c r="E161" s="22"/>
      <c r="F161" s="22"/>
      <c r="G161" s="24">
        <f t="shared" si="7"/>
        <v>12</v>
      </c>
      <c r="H161" s="21"/>
      <c r="I161" s="22" t="str">
        <f>IF(MD_Expense[[#This Row],[Account Name]]="","",IFERROR(IF(SEARCH(MD_Expense[[#This Row],[Account Name]],ProblemData!$E$241)&gt;0,1,0),""))</f>
        <v/>
      </c>
      <c r="L161" s="44"/>
    </row>
    <row r="162" spans="3:12" hidden="1" outlineLevel="1">
      <c r="C162" s="21"/>
      <c r="D162" s="22"/>
      <c r="E162" s="22"/>
      <c r="F162" s="22"/>
      <c r="G162" s="24">
        <f t="shared" si="7"/>
        <v>13</v>
      </c>
      <c r="H162" s="21"/>
      <c r="I162" s="22" t="str">
        <f>IF(MD_Expense[[#This Row],[Account Name]]="","",IFERROR(IF(SEARCH(MD_Expense[[#This Row],[Account Name]],ProblemData!$E$241)&gt;0,1,0),""))</f>
        <v/>
      </c>
      <c r="L162" s="44"/>
    </row>
    <row r="163" spans="3:12" hidden="1" outlineLevel="1">
      <c r="C163" s="21"/>
      <c r="D163" s="22"/>
      <c r="E163" s="22"/>
      <c r="F163" s="22"/>
      <c r="G163" s="24">
        <f t="shared" ref="G163" si="8">G162+1</f>
        <v>14</v>
      </c>
      <c r="H163" s="21"/>
      <c r="I163" s="22" t="str">
        <f>IF(MD_Expense[[#This Row],[Account Name]]="","",IFERROR(IF(SEARCH(MD_Expense[[#This Row],[Account Name]],ProblemData!$E$241)&gt;0,1,0),""))</f>
        <v/>
      </c>
      <c r="L163" s="44"/>
    </row>
    <row r="164" spans="3:12" hidden="1" outlineLevel="1">
      <c r="C164" s="63"/>
      <c r="D164" s="64"/>
      <c r="E164" s="64"/>
      <c r="F164" s="64"/>
      <c r="G164" s="65">
        <f>G163+1</f>
        <v>15</v>
      </c>
      <c r="H164" s="63"/>
      <c r="I164" s="1" t="str">
        <f>IF(MD_Expense[[#This Row],[Account Name]]="","",IFERROR(IF(SEARCH(MD_Expense[[#This Row],[Account Name]],ProblemData!$E$241)&gt;0,1,0),""))</f>
        <v/>
      </c>
      <c r="L164" s="44"/>
    </row>
    <row r="165" spans="3:12" hidden="1" outlineLevel="1">
      <c r="C165" s="63"/>
      <c r="D165" s="64"/>
      <c r="E165" s="64"/>
      <c r="F165" s="64"/>
      <c r="G165" s="65">
        <f>G164+1</f>
        <v>16</v>
      </c>
      <c r="H165" s="63"/>
      <c r="I165" s="1" t="str">
        <f>IF(MD_Expense[[#This Row],[Account Name]]="","",IFERROR(IF(SEARCH(MD_Expense[[#This Row],[Account Name]],ProblemData!$E$241)&gt;0,1,0),""))</f>
        <v/>
      </c>
      <c r="L165" s="44"/>
    </row>
    <row r="166" spans="3:12" hidden="1" outlineLevel="1">
      <c r="C166" s="63"/>
      <c r="D166" s="64"/>
      <c r="E166" s="64"/>
      <c r="F166" s="64"/>
      <c r="G166" s="65">
        <f>G165+1</f>
        <v>17</v>
      </c>
      <c r="H166" s="63"/>
      <c r="I166" t="str">
        <f>IF(MD_Expense[[#This Row],[Account Name]]="","",IFERROR(IF(SEARCH(MD_Expense[[#This Row],[Account Name]],ProblemData!$E$241)&gt;0,1,0),""))</f>
        <v/>
      </c>
      <c r="L166" s="112"/>
    </row>
    <row r="167" spans="3:12" hidden="1" outlineLevel="1">
      <c r="C167" s="5"/>
    </row>
    <row r="168" spans="3:12" hidden="1" outlineLevel="1">
      <c r="C168" s="5"/>
    </row>
    <row r="169" spans="3:12" ht="15.6" hidden="1" outlineLevel="1">
      <c r="C169" s="632" t="s">
        <v>308</v>
      </c>
      <c r="D169" s="632"/>
      <c r="E169" s="632"/>
      <c r="F169" s="632"/>
      <c r="G169" s="632"/>
      <c r="H169" s="632"/>
      <c r="I169" s="632"/>
    </row>
    <row r="170" spans="3:12" hidden="1" outlineLevel="1">
      <c r="C170" s="23" t="s">
        <v>105</v>
      </c>
      <c r="D170" s="23" t="s">
        <v>106</v>
      </c>
      <c r="E170" s="23" t="s">
        <v>107</v>
      </c>
      <c r="F170" s="23" t="s">
        <v>108</v>
      </c>
      <c r="G170" s="23" t="s">
        <v>109</v>
      </c>
      <c r="H170" s="23" t="s">
        <v>110</v>
      </c>
      <c r="I170" s="62" t="s">
        <v>75</v>
      </c>
      <c r="L170" s="117" t="s">
        <v>309</v>
      </c>
    </row>
    <row r="171" spans="3:12" hidden="1" outlineLevel="1">
      <c r="C171" s="72"/>
      <c r="D171" s="72"/>
      <c r="E171" s="72"/>
      <c r="F171" s="72"/>
      <c r="G171" s="73"/>
      <c r="H171" s="72"/>
      <c r="I171" s="72" t="str">
        <f>IF(MD_Gain[[#This Row],[Account Name]]="","",IFERROR(IF(SEARCH(MD_Gain[[#This Row],[Account Name]],ProblemData!$E$241)&gt;0,1,0),""))</f>
        <v/>
      </c>
      <c r="J171" s="11" t="s">
        <v>114</v>
      </c>
      <c r="L171" s="45" t="str" cm="1">
        <f t="array" ref="L171">IFERROR(_xlfn._xlws.FILTER(MD_Gain[[#All],[Account Name]],MD_Gain[[#All],[Used]]=1),"")</f>
        <v/>
      </c>
    </row>
    <row r="172" spans="3:12" hidden="1" outlineLevel="1">
      <c r="C172" s="21" t="s">
        <v>310</v>
      </c>
      <c r="D172" s="22" t="s">
        <v>311</v>
      </c>
      <c r="E172" s="22" t="s">
        <v>125</v>
      </c>
      <c r="F172" s="22"/>
      <c r="G172" s="24">
        <v>1</v>
      </c>
      <c r="H172" s="21" t="s">
        <v>312</v>
      </c>
      <c r="I172" s="22" t="str">
        <f>IF(MD_Gain[[#This Row],[Account Name]]="","",IFERROR(IF(SEARCH(MD_Gain[[#This Row],[Account Name]],ProblemData!$E$241)&gt;0,1,0),""))</f>
        <v/>
      </c>
      <c r="L172" s="44"/>
    </row>
    <row r="173" spans="3:12" hidden="1" outlineLevel="1">
      <c r="C173" s="21" t="s">
        <v>313</v>
      </c>
      <c r="D173" s="22" t="s">
        <v>314</v>
      </c>
      <c r="E173" s="22" t="s">
        <v>125</v>
      </c>
      <c r="F173" s="22"/>
      <c r="G173" s="24">
        <f>G172+1</f>
        <v>2</v>
      </c>
      <c r="H173" s="21" t="s">
        <v>315</v>
      </c>
      <c r="I173" s="22" t="str">
        <f>IF(MD_Gain[[#This Row],[Account Name]]="","",IFERROR(IF(SEARCH(MD_Gain[[#This Row],[Account Name]],ProblemData!$E$241)&gt;0,1,0),""))</f>
        <v/>
      </c>
      <c r="L173" s="44"/>
    </row>
    <row r="174" spans="3:12" hidden="1" outlineLevel="1">
      <c r="C174" s="21" t="s">
        <v>316</v>
      </c>
      <c r="D174" s="22" t="s">
        <v>317</v>
      </c>
      <c r="E174" s="22" t="s">
        <v>125</v>
      </c>
      <c r="F174" s="22"/>
      <c r="G174" s="24">
        <f t="shared" ref="G174:G180" si="9">G173+1</f>
        <v>3</v>
      </c>
      <c r="H174" s="21" t="s">
        <v>318</v>
      </c>
      <c r="I174" s="22" t="str">
        <f>IF(MD_Gain[[#This Row],[Account Name]]="","",IFERROR(IF(SEARCH(MD_Gain[[#This Row],[Account Name]],ProblemData!$E$241)&gt;0,1,0),""))</f>
        <v/>
      </c>
      <c r="L174" s="44"/>
    </row>
    <row r="175" spans="3:12" hidden="1" outlineLevel="1">
      <c r="C175" s="21" t="s">
        <v>319</v>
      </c>
      <c r="D175" s="22" t="s">
        <v>320</v>
      </c>
      <c r="E175" s="22" t="s">
        <v>125</v>
      </c>
      <c r="F175" s="22"/>
      <c r="G175" s="24">
        <f t="shared" si="9"/>
        <v>4</v>
      </c>
      <c r="H175" s="21" t="s">
        <v>321</v>
      </c>
      <c r="I175" s="22" t="str">
        <f>IF(MD_Gain[[#This Row],[Account Name]]="","",IFERROR(IF(SEARCH(MD_Gain[[#This Row],[Account Name]],ProblemData!$E$241)&gt;0,1,0),""))</f>
        <v/>
      </c>
      <c r="L175" s="44"/>
    </row>
    <row r="176" spans="3:12" hidden="1" outlineLevel="1">
      <c r="C176" s="21" t="s">
        <v>322</v>
      </c>
      <c r="D176" s="22" t="s">
        <v>323</v>
      </c>
      <c r="E176" s="22" t="s">
        <v>125</v>
      </c>
      <c r="F176" s="22"/>
      <c r="G176" s="24">
        <f t="shared" si="9"/>
        <v>5</v>
      </c>
      <c r="H176" s="21" t="s">
        <v>324</v>
      </c>
      <c r="I176" s="22" t="str">
        <f>IF(MD_Gain[[#This Row],[Account Name]]="","",IFERROR(IF(SEARCH(MD_Gain[[#This Row],[Account Name]],ProblemData!$E$241)&gt;0,1,0),""))</f>
        <v/>
      </c>
      <c r="L176" s="44"/>
    </row>
    <row r="177" spans="3:12" hidden="1" outlineLevel="1">
      <c r="C177" s="21"/>
      <c r="D177" s="22"/>
      <c r="E177" s="22"/>
      <c r="F177" s="22"/>
      <c r="G177" s="24">
        <f t="shared" si="9"/>
        <v>6</v>
      </c>
      <c r="H177" s="21"/>
      <c r="I177" s="22" t="str">
        <f>IF(MD_Gain[[#This Row],[Account Name]]="","",IFERROR(IF(SEARCH(MD_Gain[[#This Row],[Account Name]],ProblemData!$E$241)&gt;0,1,0),""))</f>
        <v/>
      </c>
      <c r="L177" s="44"/>
    </row>
    <row r="178" spans="3:12" hidden="1" outlineLevel="1">
      <c r="C178" s="21"/>
      <c r="D178" s="22"/>
      <c r="E178" s="22"/>
      <c r="F178" s="22"/>
      <c r="G178" s="24">
        <f t="shared" si="9"/>
        <v>7</v>
      </c>
      <c r="H178" s="21"/>
      <c r="I178" s="22" t="str">
        <f>IF(MD_Gain[[#This Row],[Account Name]]="","",IFERROR(IF(SEARCH(MD_Gain[[#This Row],[Account Name]],ProblemData!$E$241)&gt;0,1,0),""))</f>
        <v/>
      </c>
      <c r="L178" s="44"/>
    </row>
    <row r="179" spans="3:12" hidden="1" outlineLevel="1">
      <c r="C179" s="21"/>
      <c r="D179" s="22"/>
      <c r="E179" s="22"/>
      <c r="F179" s="22"/>
      <c r="G179" s="24">
        <f t="shared" si="9"/>
        <v>8</v>
      </c>
      <c r="H179" s="21"/>
      <c r="I179" s="22" t="str">
        <f>IF(MD_Gain[[#This Row],[Account Name]]="","",IFERROR(IF(SEARCH(MD_Gain[[#This Row],[Account Name]],ProblemData!$E$241)&gt;0,1,0),""))</f>
        <v/>
      </c>
      <c r="L179" s="44"/>
    </row>
    <row r="180" spans="3:12" hidden="1" outlineLevel="1">
      <c r="C180" s="21"/>
      <c r="D180" s="22"/>
      <c r="E180" s="22"/>
      <c r="F180" s="22"/>
      <c r="G180" s="24">
        <f t="shared" si="9"/>
        <v>9</v>
      </c>
      <c r="H180" s="21"/>
      <c r="I180" s="22" t="str">
        <f>IF(MD_Gain[[#This Row],[Account Name]]="","",IFERROR(IF(SEARCH(MD_Gain[[#This Row],[Account Name]],ProblemData!$E$241)&gt;0,1,0),""))</f>
        <v/>
      </c>
      <c r="L180" s="112"/>
    </row>
    <row r="181" spans="3:12" hidden="1" outlineLevel="1"/>
    <row r="182" spans="3:12" hidden="1" outlineLevel="1"/>
    <row r="183" spans="3:12" ht="15.6" hidden="1" outlineLevel="1">
      <c r="C183" s="632" t="s">
        <v>83</v>
      </c>
      <c r="D183" s="632"/>
      <c r="E183" s="632"/>
      <c r="F183" s="632"/>
      <c r="G183" s="632"/>
      <c r="H183" s="632"/>
      <c r="I183" s="632"/>
    </row>
    <row r="184" spans="3:12" hidden="1" outlineLevel="1">
      <c r="C184" s="23" t="s">
        <v>105</v>
      </c>
      <c r="D184" s="23" t="s">
        <v>106</v>
      </c>
      <c r="E184" s="23" t="s">
        <v>107</v>
      </c>
      <c r="F184" s="23" t="s">
        <v>108</v>
      </c>
      <c r="G184" s="23" t="s">
        <v>109</v>
      </c>
      <c r="H184" s="23" t="s">
        <v>110</v>
      </c>
      <c r="I184" s="62" t="s">
        <v>75</v>
      </c>
      <c r="L184" s="117" t="s">
        <v>325</v>
      </c>
    </row>
    <row r="185" spans="3:12" hidden="1" outlineLevel="1">
      <c r="C185" s="72"/>
      <c r="D185" s="72"/>
      <c r="E185" s="72"/>
      <c r="F185" s="72"/>
      <c r="G185" s="73"/>
      <c r="H185" s="72"/>
      <c r="I185" s="72" t="str">
        <f>IF(MD_Loss[[#This Row],[Account Name]]="","",IFERROR(IF(SEARCH(MD_Loss[[#This Row],[Account Name]],ProblemData!$E$241)&gt;0,1,0),""))</f>
        <v/>
      </c>
      <c r="J185" s="11" t="s">
        <v>114</v>
      </c>
      <c r="L185" s="45" t="str" cm="1">
        <f t="array" ref="L185">IFERROR(_xlfn._xlws.FILTER(MD_Loss[[#All],[Account Name]],MD_Loss[[#All],[Used]]=1),"")</f>
        <v/>
      </c>
    </row>
    <row r="186" spans="3:12" hidden="1" outlineLevel="1">
      <c r="C186" s="21" t="s">
        <v>326</v>
      </c>
      <c r="D186" s="22" t="s">
        <v>327</v>
      </c>
      <c r="E186" s="22" t="s">
        <v>117</v>
      </c>
      <c r="F186" s="22"/>
      <c r="G186" s="24">
        <v>1</v>
      </c>
      <c r="H186" s="21" t="s">
        <v>328</v>
      </c>
      <c r="I186" s="22" t="str">
        <f>IF(MD_Loss[[#This Row],[Account Name]]="","",IFERROR(IF(SEARCH(MD_Loss[[#This Row],[Account Name]],ProblemData!$E$241)&gt;0,1,0),""))</f>
        <v/>
      </c>
      <c r="L186" s="44"/>
    </row>
    <row r="187" spans="3:12" hidden="1" outlineLevel="1">
      <c r="C187" s="21" t="s">
        <v>329</v>
      </c>
      <c r="D187" s="22" t="s">
        <v>330</v>
      </c>
      <c r="E187" s="22" t="s">
        <v>117</v>
      </c>
      <c r="F187" s="22"/>
      <c r="G187" s="24">
        <f>G186+1</f>
        <v>2</v>
      </c>
      <c r="H187" s="21" t="s">
        <v>331</v>
      </c>
      <c r="I187" s="22" t="str">
        <f>IF(MD_Loss[[#This Row],[Account Name]]="","",IFERROR(IF(SEARCH(MD_Loss[[#This Row],[Account Name]],ProblemData!$E$241)&gt;0,1,0),""))</f>
        <v/>
      </c>
      <c r="L187" s="44"/>
    </row>
    <row r="188" spans="3:12" hidden="1" outlineLevel="1">
      <c r="C188" s="21" t="s">
        <v>332</v>
      </c>
      <c r="D188" s="22" t="s">
        <v>333</v>
      </c>
      <c r="E188" s="22" t="s">
        <v>117</v>
      </c>
      <c r="F188" s="22"/>
      <c r="G188" s="24">
        <f t="shared" ref="G188:G194" si="10">G187+1</f>
        <v>3</v>
      </c>
      <c r="H188" s="21" t="s">
        <v>334</v>
      </c>
      <c r="I188" s="22" t="str">
        <f>IF(MD_Loss[[#This Row],[Account Name]]="","",IFERROR(IF(SEARCH(MD_Loss[[#This Row],[Account Name]],ProblemData!$E$241)&gt;0,1,0),""))</f>
        <v/>
      </c>
      <c r="L188" s="44"/>
    </row>
    <row r="189" spans="3:12" hidden="1" outlineLevel="1">
      <c r="C189" s="21" t="s">
        <v>335</v>
      </c>
      <c r="D189" s="22" t="s">
        <v>336</v>
      </c>
      <c r="E189" s="22" t="s">
        <v>117</v>
      </c>
      <c r="F189" s="22"/>
      <c r="G189" s="24">
        <f t="shared" si="10"/>
        <v>4</v>
      </c>
      <c r="H189" s="21" t="s">
        <v>321</v>
      </c>
      <c r="I189" s="22" t="str">
        <f>IF(MD_Loss[[#This Row],[Account Name]]="","",IFERROR(IF(SEARCH(MD_Loss[[#This Row],[Account Name]],ProblemData!$E$241)&gt;0,1,0),""))</f>
        <v/>
      </c>
      <c r="L189" s="44"/>
    </row>
    <row r="190" spans="3:12" hidden="1" outlineLevel="1">
      <c r="C190" s="21" t="s">
        <v>337</v>
      </c>
      <c r="D190" s="22" t="s">
        <v>338</v>
      </c>
      <c r="E190" s="22" t="s">
        <v>117</v>
      </c>
      <c r="F190" s="22"/>
      <c r="G190" s="24">
        <f t="shared" si="10"/>
        <v>5</v>
      </c>
      <c r="H190" s="21" t="s">
        <v>339</v>
      </c>
      <c r="I190" s="22" t="str">
        <f>IF(MD_Loss[[#This Row],[Account Name]]="","",IFERROR(IF(SEARCH(MD_Loss[[#This Row],[Account Name]],ProblemData!$E$241)&gt;0,1,0),""))</f>
        <v/>
      </c>
      <c r="L190" s="44"/>
    </row>
    <row r="191" spans="3:12" hidden="1" outlineLevel="1">
      <c r="C191" s="21"/>
      <c r="D191" s="22"/>
      <c r="E191" s="22"/>
      <c r="F191" s="22"/>
      <c r="G191" s="24">
        <f t="shared" si="10"/>
        <v>6</v>
      </c>
      <c r="H191" s="21"/>
      <c r="I191" s="22" t="str">
        <f>IF(MD_Loss[[#This Row],[Account Name]]="","",IFERROR(IF(SEARCH(MD_Loss[[#This Row],[Account Name]],ProblemData!$E$241)&gt;0,1,0),""))</f>
        <v/>
      </c>
      <c r="L191" s="44"/>
    </row>
    <row r="192" spans="3:12" hidden="1" outlineLevel="1">
      <c r="C192" s="21"/>
      <c r="D192" s="22"/>
      <c r="E192" s="22"/>
      <c r="F192" s="22"/>
      <c r="G192" s="24">
        <f t="shared" si="10"/>
        <v>7</v>
      </c>
      <c r="H192" s="21"/>
      <c r="I192" s="22" t="str">
        <f>IF(MD_Loss[[#This Row],[Account Name]]="","",IFERROR(IF(SEARCH(MD_Loss[[#This Row],[Account Name]],ProblemData!$E$241)&gt;0,1,0),""))</f>
        <v/>
      </c>
      <c r="L192" s="44"/>
    </row>
    <row r="193" spans="2:14" hidden="1" outlineLevel="1">
      <c r="C193" s="21"/>
      <c r="D193" s="22"/>
      <c r="E193" s="22"/>
      <c r="F193" s="22"/>
      <c r="G193" s="24">
        <f t="shared" si="10"/>
        <v>8</v>
      </c>
      <c r="H193" s="21"/>
      <c r="I193" s="22" t="str">
        <f>IF(MD_Loss[[#This Row],[Account Name]]="","",IFERROR(IF(SEARCH(MD_Loss[[#This Row],[Account Name]],ProblemData!$E$241)&gt;0,1,0),""))</f>
        <v/>
      </c>
      <c r="L193" s="44"/>
    </row>
    <row r="194" spans="2:14" hidden="1" outlineLevel="1">
      <c r="C194" s="21"/>
      <c r="D194" s="22"/>
      <c r="E194" s="22"/>
      <c r="F194" s="22"/>
      <c r="G194" s="24">
        <f t="shared" si="10"/>
        <v>9</v>
      </c>
      <c r="H194" s="21"/>
      <c r="I194" s="22" t="str">
        <f>IF(MD_Loss[[#This Row],[Account Name]]="","",IFERROR(IF(SEARCH(MD_Loss[[#This Row],[Account Name]],ProblemData!$E$241)&gt;0,1,0),""))</f>
        <v/>
      </c>
      <c r="L194" s="112"/>
    </row>
    <row r="195" spans="2:14" hidden="1" outlineLevel="1"/>
    <row r="196" spans="2:14" collapsed="1"/>
    <row r="197" spans="2:14" ht="17.45">
      <c r="B197" s="17" t="s">
        <v>340</v>
      </c>
      <c r="C197" s="18"/>
      <c r="D197" s="18"/>
      <c r="E197" s="18"/>
      <c r="F197" s="18"/>
      <c r="G197" s="18"/>
      <c r="H197" s="18"/>
      <c r="I197" s="18"/>
      <c r="J197" s="18"/>
      <c r="K197" s="18"/>
      <c r="L197" s="18"/>
      <c r="M197" s="18"/>
      <c r="N197" s="18"/>
    </row>
    <row r="198" spans="2:14" hidden="1" outlineLevel="1"/>
    <row r="199" spans="2:14" hidden="1" outlineLevel="1">
      <c r="C199" s="118" t="s">
        <v>16</v>
      </c>
      <c r="E199" t="str">
        <f>"CashFlow_Codes[Cash Flow Code]"</f>
        <v>CashFlow_Codes[Cash Flow Code]</v>
      </c>
    </row>
    <row r="200" spans="2:14" hidden="1" outlineLevel="1">
      <c r="C200" s="1" t="s">
        <v>25</v>
      </c>
    </row>
    <row r="201" spans="2:14" hidden="1" outlineLevel="1">
      <c r="C201" s="1" t="s">
        <v>20</v>
      </c>
    </row>
    <row r="202" spans="2:14" hidden="1" outlineLevel="1">
      <c r="C202" s="1" t="s">
        <v>17</v>
      </c>
    </row>
    <row r="203" spans="2:14" hidden="1" outlineLevel="1">
      <c r="C203" s="1" t="s">
        <v>19</v>
      </c>
    </row>
    <row r="204" spans="2:14" hidden="1" outlineLevel="1">
      <c r="C204" s="1" t="s">
        <v>26</v>
      </c>
    </row>
    <row r="205" spans="2:14" hidden="1" outlineLevel="1">
      <c r="C205" s="1" t="s">
        <v>23</v>
      </c>
    </row>
    <row r="206" spans="2:14" hidden="1" outlineLevel="1">
      <c r="C206" s="1" t="s">
        <v>21</v>
      </c>
    </row>
    <row r="207" spans="2:14" hidden="1" outlineLevel="1">
      <c r="C207" s="1" t="s">
        <v>341</v>
      </c>
    </row>
    <row r="208" spans="2:14" hidden="1" outlineLevel="1">
      <c r="C208" s="1" t="s">
        <v>24</v>
      </c>
    </row>
    <row r="209" spans="3:6" hidden="1" outlineLevel="1"/>
    <row r="210" spans="3:6" hidden="1" outlineLevel="1"/>
    <row r="211" spans="3:6" hidden="1" outlineLevel="1">
      <c r="C211" s="633" t="s">
        <v>342</v>
      </c>
      <c r="D211" s="633"/>
      <c r="E211" s="633"/>
    </row>
    <row r="212" spans="3:6" hidden="1" outlineLevel="1">
      <c r="C212" s="126" t="s">
        <v>343</v>
      </c>
      <c r="D212" s="127" t="s">
        <v>344</v>
      </c>
      <c r="E212" s="127" t="s">
        <v>106</v>
      </c>
    </row>
    <row r="213" spans="3:6" hidden="1" outlineLevel="1">
      <c r="C213" s="2" t="s">
        <v>25</v>
      </c>
      <c r="D213" s="7" t="s">
        <v>345</v>
      </c>
      <c r="E213" s="7"/>
    </row>
    <row r="214" spans="3:6" hidden="1" outlineLevel="1">
      <c r="C214" s="3" t="s">
        <v>346</v>
      </c>
      <c r="D214" s="8" t="s">
        <v>345</v>
      </c>
      <c r="E214" s="8" t="s">
        <v>347</v>
      </c>
    </row>
    <row r="215" spans="3:6" hidden="1" outlineLevel="1"/>
    <row r="216" spans="3:6" hidden="1" outlineLevel="1"/>
    <row r="217" spans="3:6" hidden="1" outlineLevel="1">
      <c r="C217" s="631" t="s">
        <v>17</v>
      </c>
      <c r="D217" s="631"/>
      <c r="E217" s="631"/>
      <c r="F217" s="203"/>
    </row>
    <row r="218" spans="3:6" hidden="1" outlineLevel="1">
      <c r="C218" s="126" t="s">
        <v>343</v>
      </c>
      <c r="D218" s="127" t="s">
        <v>344</v>
      </c>
      <c r="E218" s="127" t="s">
        <v>106</v>
      </c>
      <c r="F218" s="402" t="s">
        <v>75</v>
      </c>
    </row>
    <row r="219" spans="3:6" hidden="1" outlineLevel="1">
      <c r="C219" s="2" t="s">
        <v>348</v>
      </c>
      <c r="D219" s="7" t="s">
        <v>349</v>
      </c>
      <c r="E219" s="7" t="s">
        <v>350</v>
      </c>
      <c r="F219" s="216"/>
    </row>
    <row r="220" spans="3:6" hidden="1" outlineLevel="1">
      <c r="C220" s="3" t="s">
        <v>351</v>
      </c>
      <c r="D220" s="8" t="s">
        <v>349</v>
      </c>
      <c r="E220" s="8" t="s">
        <v>352</v>
      </c>
    </row>
    <row r="221" spans="3:6" hidden="1" outlineLevel="1">
      <c r="C221" s="2" t="s">
        <v>353</v>
      </c>
      <c r="D221" s="7" t="s">
        <v>349</v>
      </c>
      <c r="E221" s="7" t="s">
        <v>354</v>
      </c>
    </row>
    <row r="222" spans="3:6" hidden="1" outlineLevel="1">
      <c r="C222" s="3" t="s">
        <v>355</v>
      </c>
      <c r="D222" s="8" t="s">
        <v>349</v>
      </c>
      <c r="E222" s="8" t="s">
        <v>356</v>
      </c>
    </row>
    <row r="223" spans="3:6" hidden="1" outlineLevel="1">
      <c r="C223" s="2" t="s">
        <v>357</v>
      </c>
      <c r="D223" s="7" t="s">
        <v>349</v>
      </c>
      <c r="E223" s="7" t="s">
        <v>358</v>
      </c>
    </row>
    <row r="224" spans="3:6" hidden="1" outlineLevel="1">
      <c r="C224" s="3" t="s">
        <v>359</v>
      </c>
      <c r="D224" s="8" t="s">
        <v>349</v>
      </c>
      <c r="E224" s="8" t="s">
        <v>360</v>
      </c>
    </row>
    <row r="225" spans="3:6" hidden="1" outlineLevel="1">
      <c r="C225" s="2" t="s">
        <v>361</v>
      </c>
      <c r="D225" s="7" t="s">
        <v>349</v>
      </c>
      <c r="E225" s="7" t="s">
        <v>362</v>
      </c>
    </row>
    <row r="226" spans="3:6" hidden="1" outlineLevel="1">
      <c r="C226" s="3" t="s">
        <v>363</v>
      </c>
      <c r="D226" s="8" t="s">
        <v>349</v>
      </c>
      <c r="E226" s="8" t="s">
        <v>364</v>
      </c>
    </row>
    <row r="227" spans="3:6" hidden="1" outlineLevel="1">
      <c r="C227" s="2" t="s">
        <v>365</v>
      </c>
      <c r="D227" s="7" t="s">
        <v>349</v>
      </c>
      <c r="E227" s="7" t="s">
        <v>366</v>
      </c>
    </row>
    <row r="228" spans="3:6" hidden="1" outlineLevel="1">
      <c r="C228" s="3" t="s">
        <v>367</v>
      </c>
      <c r="D228" s="8" t="s">
        <v>349</v>
      </c>
      <c r="E228" s="8" t="s">
        <v>368</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631" t="s">
        <v>19</v>
      </c>
      <c r="D236" s="631"/>
      <c r="E236" s="631"/>
      <c r="F236" s="203"/>
    </row>
    <row r="237" spans="3:6" hidden="1" outlineLevel="1">
      <c r="C237" s="126" t="s">
        <v>343</v>
      </c>
      <c r="D237" s="127" t="s">
        <v>344</v>
      </c>
      <c r="E237" s="127" t="s">
        <v>106</v>
      </c>
      <c r="F237" s="402" t="s">
        <v>75</v>
      </c>
    </row>
    <row r="238" spans="3:6" hidden="1" outlineLevel="1">
      <c r="C238" s="2" t="s">
        <v>369</v>
      </c>
      <c r="D238" s="7" t="s">
        <v>349</v>
      </c>
      <c r="E238" s="7" t="s">
        <v>370</v>
      </c>
    </row>
    <row r="239" spans="3:6" hidden="1" outlineLevel="1">
      <c r="C239" s="3" t="s">
        <v>371</v>
      </c>
      <c r="D239" s="8" t="s">
        <v>349</v>
      </c>
      <c r="E239" s="8" t="s">
        <v>372</v>
      </c>
    </row>
    <row r="240" spans="3:6" hidden="1" outlineLevel="1">
      <c r="C240" s="2" t="s">
        <v>373</v>
      </c>
      <c r="D240" s="7" t="s">
        <v>349</v>
      </c>
      <c r="E240" s="7" t="s">
        <v>374</v>
      </c>
    </row>
    <row r="241" spans="3:6" hidden="1" outlineLevel="1">
      <c r="C241" s="3" t="s">
        <v>375</v>
      </c>
      <c r="D241" s="8" t="s">
        <v>349</v>
      </c>
      <c r="E241" s="8" t="s">
        <v>376</v>
      </c>
    </row>
    <row r="242" spans="3:6" hidden="1" outlineLevel="1">
      <c r="C242" s="2" t="s">
        <v>377</v>
      </c>
      <c r="D242" s="7" t="s">
        <v>349</v>
      </c>
      <c r="E242" s="7" t="s">
        <v>378</v>
      </c>
    </row>
    <row r="243" spans="3:6" hidden="1" outlineLevel="1">
      <c r="C243" s="3" t="s">
        <v>379</v>
      </c>
      <c r="D243" s="8" t="s">
        <v>349</v>
      </c>
      <c r="E243" s="8" t="s">
        <v>380</v>
      </c>
    </row>
    <row r="244" spans="3:6" hidden="1" outlineLevel="1">
      <c r="C244" s="2" t="s">
        <v>381</v>
      </c>
      <c r="D244" s="7" t="s">
        <v>349</v>
      </c>
      <c r="E244" s="7" t="s">
        <v>382</v>
      </c>
    </row>
    <row r="245" spans="3:6" hidden="1" outlineLevel="1">
      <c r="C245" s="3" t="s">
        <v>383</v>
      </c>
      <c r="D245" s="8" t="s">
        <v>349</v>
      </c>
      <c r="E245" s="8" t="s">
        <v>384</v>
      </c>
    </row>
    <row r="246" spans="3:6" hidden="1" outlineLevel="1">
      <c r="C246" s="2" t="s">
        <v>385</v>
      </c>
      <c r="D246" s="7" t="s">
        <v>349</v>
      </c>
      <c r="E246" s="7" t="s">
        <v>386</v>
      </c>
    </row>
    <row r="247" spans="3:6" hidden="1" outlineLevel="1">
      <c r="C247" s="3" t="s">
        <v>387</v>
      </c>
      <c r="D247" s="8" t="s">
        <v>349</v>
      </c>
      <c r="E247" s="8" t="s">
        <v>388</v>
      </c>
    </row>
    <row r="248" spans="3:6" hidden="1" outlineLevel="1">
      <c r="C248" s="2" t="s">
        <v>389</v>
      </c>
      <c r="D248" s="7" t="s">
        <v>349</v>
      </c>
      <c r="E248" s="7" t="s">
        <v>390</v>
      </c>
    </row>
    <row r="249" spans="3:6" hidden="1" outlineLevel="1">
      <c r="C249" s="3" t="s">
        <v>391</v>
      </c>
      <c r="D249" s="8" t="s">
        <v>349</v>
      </c>
      <c r="E249" s="8" t="s">
        <v>392</v>
      </c>
    </row>
    <row r="250" spans="3:6" hidden="1" outlineLevel="1">
      <c r="C250" s="2" t="s">
        <v>393</v>
      </c>
      <c r="D250" s="7" t="s">
        <v>349</v>
      </c>
      <c r="E250" s="7" t="s">
        <v>394</v>
      </c>
    </row>
    <row r="251" spans="3:6" hidden="1" outlineLevel="1">
      <c r="C251" s="603" t="s">
        <v>395</v>
      </c>
      <c r="D251" s="604" t="s">
        <v>349</v>
      </c>
      <c r="E251" s="604" t="s">
        <v>396</v>
      </c>
      <c r="F251" s="605"/>
    </row>
    <row r="252" spans="3:6" hidden="1" outlineLevel="1">
      <c r="C252" s="2"/>
      <c r="D252" s="7"/>
      <c r="E252" s="7"/>
    </row>
    <row r="253" spans="3:6" hidden="1" outlineLevel="1">
      <c r="C253" s="3"/>
      <c r="D253" s="8"/>
      <c r="E253" s="8"/>
    </row>
    <row r="254" spans="3:6" hidden="1" outlineLevel="1">
      <c r="C254" s="49"/>
      <c r="D254" s="50"/>
      <c r="E254" s="50"/>
    </row>
    <row r="255" spans="3:6" hidden="1" outlineLevel="1"/>
    <row r="256" spans="3:6" hidden="1" outlineLevel="1"/>
    <row r="257" spans="3:6" hidden="1" outlineLevel="1"/>
    <row r="258" spans="3:6" hidden="1" outlineLevel="1">
      <c r="C258" s="631" t="s">
        <v>20</v>
      </c>
      <c r="D258" s="631"/>
      <c r="E258" s="631"/>
      <c r="F258" s="203"/>
    </row>
    <row r="259" spans="3:6" hidden="1" outlineLevel="1">
      <c r="C259" s="126" t="s">
        <v>343</v>
      </c>
      <c r="D259" s="127" t="s">
        <v>344</v>
      </c>
      <c r="E259" s="127" t="s">
        <v>106</v>
      </c>
      <c r="F259" s="402" t="s">
        <v>75</v>
      </c>
    </row>
    <row r="260" spans="3:6" hidden="1" outlineLevel="1">
      <c r="C260" s="2" t="s">
        <v>397</v>
      </c>
      <c r="D260" s="7" t="s">
        <v>349</v>
      </c>
      <c r="E260" s="7" t="s">
        <v>398</v>
      </c>
    </row>
    <row r="261" spans="3:6" hidden="1" outlineLevel="1">
      <c r="C261" s="3" t="s">
        <v>399</v>
      </c>
      <c r="D261" s="8" t="s">
        <v>349</v>
      </c>
      <c r="E261" s="8" t="s">
        <v>400</v>
      </c>
    </row>
    <row r="262" spans="3:6" hidden="1" outlineLevel="1">
      <c r="C262" s="2" t="s">
        <v>401</v>
      </c>
      <c r="D262" s="7" t="s">
        <v>349</v>
      </c>
      <c r="E262" s="7" t="s">
        <v>402</v>
      </c>
    </row>
    <row r="263" spans="3:6" hidden="1" outlineLevel="1">
      <c r="C263" s="3" t="s">
        <v>403</v>
      </c>
      <c r="D263" s="8" t="s">
        <v>349</v>
      </c>
      <c r="E263" s="8" t="s">
        <v>404</v>
      </c>
    </row>
    <row r="264" spans="3:6" hidden="1" outlineLevel="1">
      <c r="C264" s="2" t="s">
        <v>405</v>
      </c>
      <c r="D264" s="7" t="s">
        <v>349</v>
      </c>
      <c r="E264" s="7" t="s">
        <v>406</v>
      </c>
    </row>
    <row r="265" spans="3:6" hidden="1" outlineLevel="1">
      <c r="C265" s="3" t="s">
        <v>407</v>
      </c>
      <c r="D265" s="8" t="s">
        <v>349</v>
      </c>
      <c r="E265" s="8" t="s">
        <v>408</v>
      </c>
    </row>
    <row r="266" spans="3:6" hidden="1" outlineLevel="1">
      <c r="C266" s="2" t="s">
        <v>409</v>
      </c>
      <c r="D266" s="7" t="s">
        <v>349</v>
      </c>
      <c r="E266" s="7" t="s">
        <v>410</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631" t="s">
        <v>411</v>
      </c>
      <c r="D274" s="631"/>
      <c r="E274" s="631"/>
      <c r="F274" s="203"/>
    </row>
    <row r="275" spans="3:6" hidden="1" outlineLevel="1">
      <c r="C275" s="126" t="s">
        <v>343</v>
      </c>
      <c r="D275" s="127" t="s">
        <v>344</v>
      </c>
      <c r="E275" s="127" t="s">
        <v>106</v>
      </c>
      <c r="F275" s="402" t="s">
        <v>75</v>
      </c>
    </row>
    <row r="276" spans="3:6" hidden="1" outlineLevel="1">
      <c r="C276" s="2" t="s">
        <v>412</v>
      </c>
      <c r="D276" s="7" t="s">
        <v>345</v>
      </c>
      <c r="E276" s="7" t="s">
        <v>413</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9"/>
      <c r="D280" s="50"/>
      <c r="E280" s="50"/>
    </row>
    <row r="281" spans="3:6" hidden="1" outlineLevel="1"/>
    <row r="282" spans="3:6" hidden="1" outlineLevel="1"/>
    <row r="283" spans="3:6" hidden="1" outlineLevel="1"/>
    <row r="284" spans="3:6" hidden="1" outlineLevel="1">
      <c r="C284" s="631" t="s">
        <v>414</v>
      </c>
      <c r="D284" s="631"/>
      <c r="E284" s="631"/>
      <c r="F284" s="203"/>
    </row>
    <row r="285" spans="3:6" hidden="1" outlineLevel="1">
      <c r="C285" s="126" t="s">
        <v>343</v>
      </c>
      <c r="D285" s="127" t="s">
        <v>344</v>
      </c>
      <c r="E285" s="127" t="s">
        <v>106</v>
      </c>
      <c r="F285" s="402" t="s">
        <v>75</v>
      </c>
    </row>
    <row r="286" spans="3:6" hidden="1" outlineLevel="1">
      <c r="C286" s="2" t="s">
        <v>415</v>
      </c>
      <c r="D286" s="7" t="s">
        <v>345</v>
      </c>
      <c r="E286" s="7" t="s">
        <v>416</v>
      </c>
    </row>
    <row r="287" spans="3:6" hidden="1" outlineLevel="1">
      <c r="C287" s="3" t="s">
        <v>417</v>
      </c>
      <c r="D287" s="8" t="s">
        <v>345</v>
      </c>
      <c r="E287" s="8" t="s">
        <v>418</v>
      </c>
    </row>
    <row r="288" spans="3:6" hidden="1" outlineLevel="1">
      <c r="C288" s="606" t="s">
        <v>419</v>
      </c>
      <c r="D288" s="607" t="s">
        <v>345</v>
      </c>
      <c r="E288" s="607" t="s">
        <v>420</v>
      </c>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631" t="s">
        <v>421</v>
      </c>
      <c r="D295" s="631"/>
      <c r="E295" s="631"/>
      <c r="F295" s="203"/>
    </row>
    <row r="296" spans="3:6" hidden="1" outlineLevel="1">
      <c r="C296" s="126" t="s">
        <v>343</v>
      </c>
      <c r="D296" s="127" t="s">
        <v>344</v>
      </c>
      <c r="E296" s="127" t="s">
        <v>106</v>
      </c>
      <c r="F296" s="402" t="s">
        <v>75</v>
      </c>
    </row>
    <row r="297" spans="3:6" hidden="1" outlineLevel="1">
      <c r="C297" s="3" t="s">
        <v>422</v>
      </c>
      <c r="D297" s="8" t="s">
        <v>345</v>
      </c>
      <c r="E297" s="8" t="s">
        <v>423</v>
      </c>
    </row>
    <row r="298" spans="3:6" hidden="1" outlineLevel="1">
      <c r="C298" s="3" t="s">
        <v>424</v>
      </c>
      <c r="D298" s="8" t="s">
        <v>345</v>
      </c>
      <c r="E298" s="8" t="s">
        <v>425</v>
      </c>
    </row>
    <row r="299" spans="3:6" hidden="1" outlineLevel="1">
      <c r="C299" s="2"/>
      <c r="D299" s="7"/>
      <c r="E299" s="7"/>
    </row>
    <row r="300" spans="3:6" hidden="1" outlineLevel="1">
      <c r="C300" s="3"/>
      <c r="D300" s="8"/>
      <c r="E300" s="8"/>
    </row>
    <row r="301" spans="3:6" hidden="1" outlineLevel="1">
      <c r="C301" s="49"/>
      <c r="D301" s="50"/>
      <c r="E301" s="50"/>
    </row>
    <row r="302" spans="3:6" hidden="1" outlineLevel="1"/>
    <row r="303" spans="3:6" hidden="1" outlineLevel="1"/>
    <row r="304" spans="3:6" hidden="1" outlineLevel="1"/>
    <row r="305" spans="3:6" hidden="1" outlineLevel="1">
      <c r="C305" s="631" t="s">
        <v>426</v>
      </c>
      <c r="D305" s="631"/>
      <c r="E305" s="631"/>
      <c r="F305" s="203"/>
    </row>
    <row r="306" spans="3:6" hidden="1" outlineLevel="1">
      <c r="C306" s="126" t="s">
        <v>343</v>
      </c>
      <c r="D306" s="127" t="s">
        <v>344</v>
      </c>
      <c r="E306" s="127" t="s">
        <v>106</v>
      </c>
      <c r="F306" s="402" t="s">
        <v>75</v>
      </c>
    </row>
    <row r="307" spans="3:6" hidden="1" outlineLevel="1">
      <c r="C307" s="3" t="s">
        <v>427</v>
      </c>
      <c r="D307" s="8" t="s">
        <v>345</v>
      </c>
      <c r="E307" s="8" t="s">
        <v>428</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9"/>
      <c r="D311" s="50"/>
      <c r="E311" s="50"/>
    </row>
    <row r="312" spans="3:6" hidden="1" outlineLevel="1"/>
    <row r="313" spans="3:6" hidden="1" outlineLevel="1"/>
    <row r="314" spans="3:6" hidden="1" outlineLevel="1"/>
    <row r="315" spans="3:6" hidden="1" outlineLevel="1">
      <c r="C315" s="631" t="s">
        <v>429</v>
      </c>
      <c r="D315" s="631"/>
      <c r="E315" s="631"/>
      <c r="F315" s="203"/>
    </row>
    <row r="316" spans="3:6" hidden="1" outlineLevel="1">
      <c r="C316" s="126" t="s">
        <v>343</v>
      </c>
      <c r="D316" s="127" t="s">
        <v>344</v>
      </c>
      <c r="E316" s="127" t="s">
        <v>106</v>
      </c>
      <c r="F316" s="402" t="s">
        <v>75</v>
      </c>
    </row>
    <row r="317" spans="3:6" hidden="1" outlineLevel="1">
      <c r="C317" s="2" t="s">
        <v>430</v>
      </c>
      <c r="D317" s="7" t="s">
        <v>345</v>
      </c>
      <c r="E317" s="7" t="s">
        <v>425</v>
      </c>
    </row>
    <row r="318" spans="3:6" hidden="1" outlineLevel="1">
      <c r="C318" s="3" t="s">
        <v>431</v>
      </c>
      <c r="D318" s="8" t="s">
        <v>345</v>
      </c>
      <c r="E318" s="8" t="s">
        <v>423</v>
      </c>
    </row>
    <row r="319" spans="3:6" hidden="1" outlineLevel="1">
      <c r="C319" s="2" t="s">
        <v>432</v>
      </c>
      <c r="D319" s="7" t="s">
        <v>345</v>
      </c>
      <c r="E319" s="7" t="s">
        <v>433</v>
      </c>
    </row>
    <row r="320" spans="3:6" hidden="1" outlineLevel="1">
      <c r="C320" s="3" t="s">
        <v>434</v>
      </c>
      <c r="D320" s="8" t="s">
        <v>345</v>
      </c>
      <c r="E320" s="8" t="s">
        <v>435</v>
      </c>
    </row>
    <row r="321" spans="2:14" hidden="1" outlineLevel="1">
      <c r="C321" s="2" t="s">
        <v>436</v>
      </c>
      <c r="D321" s="7" t="s">
        <v>437</v>
      </c>
      <c r="E321" s="7" t="s">
        <v>438</v>
      </c>
    </row>
    <row r="322" spans="2:14" hidden="1" outlineLevel="1">
      <c r="C322" s="3"/>
      <c r="D322" s="8"/>
      <c r="E322" s="8"/>
    </row>
    <row r="323" spans="2:14" collapsed="1"/>
    <row r="324" spans="2:14" ht="17.45">
      <c r="B324" s="17" t="s">
        <v>439</v>
      </c>
      <c r="C324" s="18"/>
      <c r="D324" s="18"/>
      <c r="E324" s="18"/>
      <c r="F324" s="18"/>
      <c r="G324" s="18"/>
      <c r="H324" s="18"/>
      <c r="I324" s="18"/>
      <c r="J324" s="18"/>
      <c r="K324" s="18"/>
      <c r="L324" s="18"/>
      <c r="M324" s="18"/>
      <c r="N324" s="18"/>
    </row>
    <row r="325" spans="2:14" hidden="1" outlineLevel="1"/>
    <row r="326" spans="2:14" hidden="1" outlineLevel="1">
      <c r="C326" t="s">
        <v>32</v>
      </c>
    </row>
    <row r="327" spans="2:14" hidden="1" outlineLevel="1">
      <c r="C327" t="s">
        <v>440</v>
      </c>
    </row>
    <row r="328" spans="2:14" hidden="1" outlineLevel="1">
      <c r="C328" t="s">
        <v>441</v>
      </c>
    </row>
    <row r="329" spans="2:14" hidden="1" outlineLevel="1">
      <c r="C329" t="s">
        <v>442</v>
      </c>
    </row>
    <row r="330" spans="2:14" hidden="1" outlineLevel="1">
      <c r="C330" t="s">
        <v>443</v>
      </c>
    </row>
    <row r="331" spans="2:14" hidden="1" outlineLevel="1">
      <c r="C331" t="s">
        <v>444</v>
      </c>
    </row>
    <row r="332" spans="2:14" hidden="1" outlineLevel="1">
      <c r="C332" t="s">
        <v>445</v>
      </c>
    </row>
    <row r="333" spans="2:14" hidden="1" outlineLevel="1"/>
    <row r="334" spans="2:14" hidden="1" outlineLevel="1">
      <c r="C334" t="s">
        <v>34</v>
      </c>
    </row>
    <row r="335" spans="2:14" hidden="1" outlineLevel="1">
      <c r="C335" t="s">
        <v>446</v>
      </c>
    </row>
    <row r="336" spans="2:14" hidden="1" outlineLevel="1">
      <c r="C336" t="s">
        <v>447</v>
      </c>
    </row>
    <row r="337" spans="3:3" hidden="1" outlineLevel="1">
      <c r="C337" t="s">
        <v>448</v>
      </c>
    </row>
    <row r="338" spans="3:3" hidden="1" outlineLevel="1">
      <c r="C338" t="s">
        <v>449</v>
      </c>
    </row>
    <row r="339" spans="3:3" hidden="1" outlineLevel="1">
      <c r="C339" t="s">
        <v>450</v>
      </c>
    </row>
    <row r="340" spans="3:3" hidden="1" outlineLevel="1"/>
    <row r="341" spans="3:3" hidden="1" outlineLevel="1">
      <c r="C341" t="s">
        <v>36</v>
      </c>
    </row>
    <row r="342" spans="3:3" hidden="1" outlineLevel="1">
      <c r="C342" t="s">
        <v>451</v>
      </c>
    </row>
    <row r="343" spans="3:3" hidden="1" outlineLevel="1">
      <c r="C343" t="s">
        <v>452</v>
      </c>
    </row>
    <row r="344" spans="3:3" hidden="1" outlineLevel="1">
      <c r="C344" t="s">
        <v>453</v>
      </c>
    </row>
    <row r="345" spans="3:3" hidden="1" outlineLevel="1">
      <c r="C345" t="s">
        <v>454</v>
      </c>
    </row>
    <row r="346" spans="3:3" hidden="1" outlineLevel="1">
      <c r="C346" t="s">
        <v>455</v>
      </c>
    </row>
    <row r="347" spans="3:3" hidden="1" outlineLevel="1">
      <c r="C347" t="s">
        <v>456</v>
      </c>
    </row>
    <row r="348" spans="3:3" hidden="1" outlineLevel="1">
      <c r="C348" t="s">
        <v>457</v>
      </c>
    </row>
    <row r="349" spans="3:3" hidden="1" outlineLevel="1">
      <c r="C349" t="s">
        <v>24</v>
      </c>
    </row>
    <row r="350" spans="3:3" hidden="1" outlineLevel="1"/>
    <row r="351" spans="3:3" hidden="1" outlineLevel="1">
      <c r="C351" s="5" t="s">
        <v>44</v>
      </c>
    </row>
    <row r="352" spans="3:3" hidden="1" outlineLevel="1">
      <c r="C352" t="s">
        <v>458</v>
      </c>
    </row>
    <row r="353" spans="3:3" hidden="1" outlineLevel="1">
      <c r="C353" t="s">
        <v>459</v>
      </c>
    </row>
    <row r="354" spans="3:3" hidden="1" outlineLevel="1">
      <c r="C354" t="s">
        <v>460</v>
      </c>
    </row>
    <row r="355" spans="3:3" hidden="1" outlineLevel="1">
      <c r="C355" t="s">
        <v>461</v>
      </c>
    </row>
    <row r="356" spans="3:3" hidden="1" outlineLevel="1"/>
    <row r="357" spans="3:3" hidden="1" outlineLevel="1">
      <c r="C357" s="5" t="s">
        <v>42</v>
      </c>
    </row>
    <row r="358" spans="3:3" hidden="1" outlineLevel="1">
      <c r="C358" t="s">
        <v>462</v>
      </c>
    </row>
    <row r="359" spans="3:3" hidden="1" outlineLevel="1">
      <c r="C359" t="s">
        <v>463</v>
      </c>
    </row>
    <row r="360" spans="3:3" hidden="1" outlineLevel="1">
      <c r="C360" t="s">
        <v>464</v>
      </c>
    </row>
    <row r="361" spans="3:3" hidden="1" outlineLevel="1">
      <c r="C361" t="s">
        <v>465</v>
      </c>
    </row>
    <row r="362" spans="3:3" hidden="1" outlineLevel="1"/>
    <row r="363" spans="3:3" hidden="1" outlineLevel="1">
      <c r="C363" t="s">
        <v>466</v>
      </c>
    </row>
    <row r="364" spans="3:3" hidden="1" outlineLevel="1">
      <c r="C364" t="s">
        <v>467</v>
      </c>
    </row>
    <row r="365" spans="3:3" hidden="1" outlineLevel="1">
      <c r="C365" t="s">
        <v>468</v>
      </c>
    </row>
    <row r="366" spans="3:3" hidden="1" outlineLevel="1">
      <c r="C366" t="s">
        <v>469</v>
      </c>
    </row>
    <row r="367" spans="3:3" hidden="1" outlineLevel="1"/>
    <row r="368" spans="3:3" hidden="1" outlineLevel="1"/>
    <row r="369" spans="2:14" collapsed="1"/>
    <row r="370" spans="2:14" ht="17.45">
      <c r="B370" s="17" t="s">
        <v>470</v>
      </c>
      <c r="C370" s="18"/>
      <c r="D370" s="18"/>
      <c r="E370" s="18"/>
      <c r="F370" s="18"/>
      <c r="G370" s="18"/>
      <c r="H370" s="18"/>
      <c r="I370" s="18"/>
      <c r="J370" s="18"/>
      <c r="K370" s="18"/>
      <c r="L370" s="18"/>
      <c r="M370" s="18"/>
      <c r="N370" s="18"/>
    </row>
    <row r="371" spans="2:14" hidden="1" outlineLevel="1"/>
    <row r="372" spans="2:14" hidden="1" outlineLevel="1">
      <c r="C372" s="5" t="s">
        <v>471</v>
      </c>
      <c r="D372" s="5" t="s">
        <v>472</v>
      </c>
    </row>
    <row r="373" spans="2:14" hidden="1" outlineLevel="1">
      <c r="C373" s="9" t="s">
        <v>473</v>
      </c>
      <c r="D373" t="s">
        <v>474</v>
      </c>
    </row>
    <row r="374" spans="2:14" hidden="1" outlineLevel="1">
      <c r="C374" t="s">
        <v>475</v>
      </c>
      <c r="D374" t="s">
        <v>476</v>
      </c>
    </row>
    <row r="375" spans="2:14" hidden="1" outlineLevel="1">
      <c r="C375" t="s">
        <v>477</v>
      </c>
      <c r="D375" t="s">
        <v>478</v>
      </c>
    </row>
    <row r="376" spans="2:14" hidden="1" outlineLevel="1">
      <c r="C376" s="9" t="s">
        <v>479</v>
      </c>
      <c r="D376" t="s">
        <v>480</v>
      </c>
    </row>
    <row r="377" spans="2:14" hidden="1" outlineLevel="1"/>
    <row r="378" spans="2:14" hidden="1" outlineLevel="1">
      <c r="C378" s="5" t="s">
        <v>481</v>
      </c>
    </row>
    <row r="379" spans="2:14" hidden="1" outlineLevel="1">
      <c r="C379" t="s">
        <v>482</v>
      </c>
    </row>
    <row r="380" spans="2:14" hidden="1" outlineLevel="1">
      <c r="C380" t="s">
        <v>483</v>
      </c>
    </row>
    <row r="381" spans="2:14" hidden="1" outlineLevel="1">
      <c r="C381" t="s">
        <v>484</v>
      </c>
    </row>
    <row r="382" spans="2:14" hidden="1" outlineLevel="1">
      <c r="C382" t="s">
        <v>485</v>
      </c>
    </row>
    <row r="383" spans="2:14" hidden="1" outlineLevel="1">
      <c r="C383" t="s">
        <v>486</v>
      </c>
    </row>
    <row r="384" spans="2:14" hidden="1" outlineLevel="1">
      <c r="C384" t="s">
        <v>487</v>
      </c>
    </row>
    <row r="385" spans="1:3" hidden="1" outlineLevel="1">
      <c r="C385" t="s">
        <v>488</v>
      </c>
    </row>
    <row r="386" spans="1:3" hidden="1" outlineLevel="1">
      <c r="C386" t="s">
        <v>489</v>
      </c>
    </row>
    <row r="387" spans="1:3" hidden="1" outlineLevel="1">
      <c r="C387" t="s">
        <v>490</v>
      </c>
    </row>
    <row r="388" spans="1:3" hidden="1" outlineLevel="1">
      <c r="C388" t="s">
        <v>491</v>
      </c>
    </row>
    <row r="389" spans="1:3" hidden="1" outlineLevel="1">
      <c r="C389" t="s">
        <v>492</v>
      </c>
    </row>
    <row r="390" spans="1:3" hidden="1" outlineLevel="1">
      <c r="C390" t="s">
        <v>493</v>
      </c>
    </row>
    <row r="391" spans="1:3" hidden="1" outlineLevel="1">
      <c r="C391" t="s">
        <v>494</v>
      </c>
    </row>
    <row r="392" spans="1:3" hidden="1" outlineLevel="1">
      <c r="C392" t="s">
        <v>495</v>
      </c>
    </row>
    <row r="393" spans="1:3" hidden="1" outlineLevel="1">
      <c r="C393" t="s">
        <v>496</v>
      </c>
    </row>
    <row r="394" spans="1:3" hidden="1" outlineLevel="1">
      <c r="C394" t="s">
        <v>497</v>
      </c>
    </row>
    <row r="395" spans="1:3" hidden="1" outlineLevel="1">
      <c r="A395" s="5"/>
      <c r="B395" s="5"/>
      <c r="C395" t="s">
        <v>498</v>
      </c>
    </row>
    <row r="396" spans="1:3" hidden="1" outlineLevel="1">
      <c r="C396" t="s">
        <v>499</v>
      </c>
    </row>
    <row r="397" spans="1:3" hidden="1" outlineLevel="1">
      <c r="C397" t="s">
        <v>500</v>
      </c>
    </row>
    <row r="398" spans="1:3" hidden="1" outlineLevel="1">
      <c r="C398" t="s">
        <v>501</v>
      </c>
    </row>
    <row r="399" spans="1:3" hidden="1" outlineLevel="1">
      <c r="C399" t="s">
        <v>502</v>
      </c>
    </row>
    <row r="400" spans="1:3" hidden="1" outlineLevel="1"/>
    <row r="401" spans="3:8" hidden="1" outlineLevel="1">
      <c r="C401" t="s">
        <v>503</v>
      </c>
    </row>
    <row r="402" spans="3:8" hidden="1" outlineLevel="1">
      <c r="C402" t="s">
        <v>504</v>
      </c>
    </row>
    <row r="403" spans="3:8" hidden="1" outlineLevel="1">
      <c r="C403" t="s">
        <v>505</v>
      </c>
    </row>
    <row r="404" spans="3:8" hidden="1" outlineLevel="1"/>
    <row r="405" spans="3:8" hidden="1" outlineLevel="1"/>
    <row r="406" spans="3:8" hidden="1" outlineLevel="1">
      <c r="C406" t="s">
        <v>506</v>
      </c>
      <c r="D406" t="s">
        <v>507</v>
      </c>
    </row>
    <row r="407" spans="3:8" hidden="1" outlineLevel="1">
      <c r="C407" t="s">
        <v>508</v>
      </c>
      <c r="D407" t="s">
        <v>509</v>
      </c>
    </row>
    <row r="408" spans="3:8" hidden="1" outlineLevel="1">
      <c r="C408" t="s">
        <v>510</v>
      </c>
      <c r="D408" t="s">
        <v>511</v>
      </c>
    </row>
    <row r="409" spans="3:8" hidden="1" outlineLevel="1">
      <c r="C409" t="s">
        <v>512</v>
      </c>
      <c r="D409" t="s">
        <v>513</v>
      </c>
    </row>
    <row r="410" spans="3:8" hidden="1" outlineLevel="1"/>
    <row r="411" spans="3:8" hidden="1" outlineLevel="1">
      <c r="C411" t="s">
        <v>506</v>
      </c>
      <c r="D411" t="s">
        <v>507</v>
      </c>
    </row>
    <row r="412" spans="3:8" hidden="1" outlineLevel="1">
      <c r="C412" t="s">
        <v>514</v>
      </c>
      <c r="D412" t="s">
        <v>515</v>
      </c>
    </row>
    <row r="413" spans="3:8" hidden="1" outlineLevel="1">
      <c r="C413" t="s">
        <v>516</v>
      </c>
      <c r="D413" t="s">
        <v>517</v>
      </c>
    </row>
    <row r="414" spans="3:8" hidden="1" outlineLevel="1">
      <c r="C414" t="s">
        <v>518</v>
      </c>
      <c r="D414" t="s">
        <v>519</v>
      </c>
    </row>
    <row r="415" spans="3:8" ht="15" hidden="1" outlineLevel="1" thickBot="1"/>
    <row r="416" spans="3:8" hidden="1" outlineLevel="1">
      <c r="C416" t="s">
        <v>520</v>
      </c>
      <c r="D416" t="s">
        <v>521</v>
      </c>
      <c r="H416" s="468" t="s">
        <v>522</v>
      </c>
    </row>
    <row r="417" spans="1:8" hidden="1" outlineLevel="1">
      <c r="C417" s="224" t="s">
        <v>523</v>
      </c>
      <c r="D417" s="224" t="s">
        <v>508</v>
      </c>
      <c r="E417" s="224"/>
      <c r="H417" s="194" t="e" cm="1" vm="1">
        <f t="array" ref="H417">_xlfn._xlws.FILTER(MD_EquityChangeExamples[Example],MD_EquityChangeExamples[Category]=Analysis_Help!D61)</f>
        <v>#VALUE!</v>
      </c>
    </row>
    <row r="418" spans="1:8" hidden="1" outlineLevel="1">
      <c r="C418" s="224" t="s">
        <v>524</v>
      </c>
      <c r="D418" s="224" t="s">
        <v>508</v>
      </c>
      <c r="E418" s="224"/>
      <c r="H418" s="194"/>
    </row>
    <row r="419" spans="1:8" hidden="1" outlineLevel="1">
      <c r="C419" s="224" t="s">
        <v>525</v>
      </c>
      <c r="D419" s="224" t="s">
        <v>508</v>
      </c>
      <c r="E419" s="224"/>
      <c r="H419" s="194"/>
    </row>
    <row r="420" spans="1:8" hidden="1" outlineLevel="1">
      <c r="C420" s="224" t="s">
        <v>526</v>
      </c>
      <c r="D420" s="224" t="s">
        <v>508</v>
      </c>
      <c r="E420" s="224"/>
      <c r="H420" s="194"/>
    </row>
    <row r="421" spans="1:8" hidden="1" outlineLevel="1">
      <c r="A421" s="11"/>
      <c r="B421" s="11"/>
      <c r="C421" s="224" t="s">
        <v>527</v>
      </c>
      <c r="D421" s="224" t="s">
        <v>510</v>
      </c>
      <c r="E421" s="224"/>
      <c r="H421" s="194"/>
    </row>
    <row r="422" spans="1:8" hidden="1" outlineLevel="1">
      <c r="A422" s="5"/>
      <c r="B422" s="5"/>
      <c r="C422" s="224" t="s">
        <v>528</v>
      </c>
      <c r="D422" s="224" t="s">
        <v>510</v>
      </c>
      <c r="E422" s="224"/>
      <c r="H422" s="194"/>
    </row>
    <row r="423" spans="1:8" hidden="1" outlineLevel="1">
      <c r="C423" s="224" t="s">
        <v>529</v>
      </c>
      <c r="D423" s="224" t="s">
        <v>510</v>
      </c>
      <c r="E423" s="224"/>
      <c r="H423" s="194"/>
    </row>
    <row r="424" spans="1:8" hidden="1" outlineLevel="1">
      <c r="C424" s="224" t="s">
        <v>530</v>
      </c>
      <c r="D424" s="224" t="s">
        <v>510</v>
      </c>
      <c r="E424" s="224"/>
      <c r="H424" s="194"/>
    </row>
    <row r="425" spans="1:8" hidden="1" outlineLevel="1">
      <c r="C425" s="224" t="s">
        <v>531</v>
      </c>
      <c r="D425" s="224" t="s">
        <v>510</v>
      </c>
      <c r="E425" s="224"/>
      <c r="H425" s="194"/>
    </row>
    <row r="426" spans="1:8" hidden="1" outlineLevel="1">
      <c r="C426" s="224" t="s">
        <v>532</v>
      </c>
      <c r="D426" s="224" t="s">
        <v>510</v>
      </c>
      <c r="E426" s="224"/>
      <c r="H426" s="194"/>
    </row>
    <row r="427" spans="1:8" hidden="1" outlineLevel="1">
      <c r="C427" s="224" t="s">
        <v>533</v>
      </c>
      <c r="D427" s="224" t="s">
        <v>512</v>
      </c>
      <c r="E427" s="224"/>
      <c r="H427" s="194"/>
    </row>
    <row r="428" spans="1:8" hidden="1" outlineLevel="1">
      <c r="C428" s="224" t="s">
        <v>534</v>
      </c>
      <c r="D428" s="224" t="s">
        <v>512</v>
      </c>
      <c r="E428" s="224"/>
      <c r="H428" s="194"/>
    </row>
    <row r="429" spans="1:8" hidden="1" outlineLevel="1">
      <c r="C429" s="224" t="s">
        <v>535</v>
      </c>
      <c r="D429" s="224" t="s">
        <v>514</v>
      </c>
      <c r="E429" s="224"/>
      <c r="H429" s="194"/>
    </row>
    <row r="430" spans="1:8" hidden="1" outlineLevel="1">
      <c r="C430" s="224" t="s">
        <v>536</v>
      </c>
      <c r="D430" s="224" t="s">
        <v>514</v>
      </c>
      <c r="E430" s="224"/>
      <c r="H430" s="194"/>
    </row>
    <row r="431" spans="1:8" hidden="1" outlineLevel="1">
      <c r="C431" s="224" t="s">
        <v>537</v>
      </c>
      <c r="D431" s="224" t="s">
        <v>514</v>
      </c>
      <c r="E431" s="224"/>
      <c r="H431" s="194"/>
    </row>
    <row r="432" spans="1:8" hidden="1" outlineLevel="1">
      <c r="C432" s="224" t="s">
        <v>538</v>
      </c>
      <c r="D432" s="224" t="s">
        <v>514</v>
      </c>
      <c r="E432" s="224"/>
      <c r="H432" s="194"/>
    </row>
    <row r="433" spans="3:33" hidden="1" outlineLevel="1">
      <c r="C433" s="224" t="s">
        <v>539</v>
      </c>
      <c r="D433" s="224" t="s">
        <v>516</v>
      </c>
      <c r="E433" s="224"/>
      <c r="H433" s="194"/>
    </row>
    <row r="434" spans="3:33" hidden="1" outlineLevel="1">
      <c r="C434" s="224" t="s">
        <v>540</v>
      </c>
      <c r="D434" s="224" t="s">
        <v>516</v>
      </c>
      <c r="E434" s="224"/>
      <c r="H434" s="194"/>
    </row>
    <row r="435" spans="3:33" hidden="1" outlineLevel="1">
      <c r="C435" s="224" t="s">
        <v>541</v>
      </c>
      <c r="D435" s="224" t="s">
        <v>516</v>
      </c>
      <c r="E435" s="224"/>
      <c r="H435" s="194"/>
    </row>
    <row r="436" spans="3:33" hidden="1" outlineLevel="1">
      <c r="C436" s="224" t="s">
        <v>542</v>
      </c>
      <c r="D436" s="224" t="s">
        <v>516</v>
      </c>
      <c r="E436" s="224"/>
      <c r="H436" s="194"/>
    </row>
    <row r="437" spans="3:33" hidden="1" outlineLevel="1">
      <c r="C437" s="224" t="s">
        <v>543</v>
      </c>
      <c r="D437" s="224" t="s">
        <v>516</v>
      </c>
      <c r="E437" s="224"/>
      <c r="H437" s="194"/>
    </row>
    <row r="438" spans="3:33" ht="15" hidden="1" outlineLevel="1" thickBot="1">
      <c r="C438" s="224" t="s">
        <v>544</v>
      </c>
      <c r="D438" s="224" t="s">
        <v>516</v>
      </c>
      <c r="E438" s="224"/>
      <c r="H438" s="195"/>
    </row>
    <row r="439" spans="3:33" hidden="1" outlineLevel="1">
      <c r="C439" s="224" t="s">
        <v>545</v>
      </c>
      <c r="D439" s="224" t="s">
        <v>516</v>
      </c>
      <c r="E439" s="224"/>
    </row>
    <row r="440" spans="3:33" hidden="1" outlineLevel="1">
      <c r="C440" s="224" t="s">
        <v>546</v>
      </c>
      <c r="D440" s="224" t="s">
        <v>516</v>
      </c>
      <c r="E440" s="224"/>
    </row>
    <row r="441" spans="3:33" hidden="1" outlineLevel="1">
      <c r="C441" t="s">
        <v>547</v>
      </c>
      <c r="D441" s="224" t="s">
        <v>518</v>
      </c>
      <c r="E441" s="224"/>
    </row>
    <row r="442" spans="3:33" hidden="1" outlineLevel="1">
      <c r="C442" s="224" t="s">
        <v>548</v>
      </c>
      <c r="D442" s="224" t="s">
        <v>518</v>
      </c>
      <c r="E442" s="224"/>
    </row>
    <row r="443" spans="3:33" hidden="1" outlineLevel="1">
      <c r="C443" s="224" t="s">
        <v>549</v>
      </c>
      <c r="D443" s="224" t="s">
        <v>518</v>
      </c>
      <c r="E443" s="224"/>
    </row>
    <row r="444" spans="3:33" hidden="1" outlineLevel="1">
      <c r="C444" s="224"/>
      <c r="D444" s="224"/>
      <c r="E444" s="224"/>
    </row>
    <row r="445" spans="3:33" hidden="1" outlineLevel="1">
      <c r="D445" s="224"/>
      <c r="E445" s="224"/>
    </row>
    <row r="446" spans="3:33" hidden="1" outlineLevel="1">
      <c r="D446" s="224"/>
      <c r="E446" s="224"/>
    </row>
    <row r="447" spans="3:33" ht="15" hidden="1" outlineLevel="1" thickBot="1">
      <c r="C447" s="423" t="s">
        <v>550</v>
      </c>
      <c r="E447" s="224"/>
      <c r="AA447" s="423" t="s">
        <v>551</v>
      </c>
      <c r="AB447" s="423">
        <f>Analysis_Help!D4</f>
        <v>0</v>
      </c>
      <c r="AC447" s="293" t="s">
        <v>552</v>
      </c>
      <c r="AD447" s="202"/>
      <c r="AE447" s="202"/>
      <c r="AF447" s="202"/>
      <c r="AG447" s="202"/>
    </row>
    <row r="448" spans="3:33" ht="15" hidden="1" outlineLevel="1" thickBot="1">
      <c r="C448" t="s">
        <v>553</v>
      </c>
      <c r="D448" s="224"/>
      <c r="E448" s="224"/>
      <c r="AC448" s="250"/>
      <c r="AD448" s="251"/>
      <c r="AE448" s="251"/>
      <c r="AF448" s="251"/>
      <c r="AG448" s="252"/>
    </row>
    <row r="449" spans="3:35" hidden="1" outlineLevel="1">
      <c r="AC449" s="254" t="str" cm="1">
        <f t="array" ref="AC449">_xlfn.IFS(OR(Analysis_Help!C138=0,Analysis_Help!C138=""),"",OR(Analysis_Help!C138&lt;&gt;"",Analysis_Help!C138&gt;0),Analysis_Help!C138)</f>
        <v/>
      </c>
      <c r="AD449" s="255" t="str" cm="1">
        <f t="array" ref="AD449">_xlfn.IFS(OR(Analysis_Help!D138=0,Analysis_Help!D138=""),"",OR(Analysis_Help!D138&lt;&gt;"",Analysis_Help!D138&gt;0),Analysis_Help!D138)</f>
        <v/>
      </c>
      <c r="AE449" s="256" t="str" cm="1">
        <f t="array" ref="AE449">_xlfn.IFS(OR(Analysis_Help!E138=0,Analysis_Help!E138=""),"",OR(Analysis_Help!E138&lt;&gt;"",Analysis_Help!E138&gt;0),Analysis_Help!E138)</f>
        <v/>
      </c>
      <c r="AF449" s="257" t="str" cm="1">
        <f t="array" ref="AF449">_xlfn.IFS(OR(Analysis_Help!F138=0,Analysis_Help!F138=""),"",OR(Analysis_Help!F138&lt;&gt;"",Analysis_Help!F138&gt;0),Analysis_Help!F138)</f>
        <v/>
      </c>
      <c r="AG449" s="258" t="str" cm="1">
        <f t="array" ref="AG449">_xlfn.IFS(OR(Analysis_Help!G138=0,Analysis_Help!G138=""),"",OR(Analysis_Help!G138&lt;&gt;"",Analysis_Help!G138&gt;0),Analysis_Help!G138)</f>
        <v/>
      </c>
      <c r="AH449" t="str" cm="1">
        <f t="array" aca="1" ref="AH449" ca="1">_xlfn.IFNA(_xlfn.IFS(AI449="----","",AI449&lt;&gt;"----",ISNUMBER(MATCH(AI449,AI491:AI506,0))),"FALSE")</f>
        <v/>
      </c>
      <c r="AI449" t="str">
        <f>_xlfn.TEXTJOIN("-",FALSE,AC449:AG449)</f>
        <v>----</v>
      </c>
    </row>
    <row r="450" spans="3:35" hidden="1" outlineLevel="1">
      <c r="AC450" s="260" t="str" cm="1">
        <f t="array" ref="AC450">_xlfn.IFS(OR(Analysis_Help!C139=0,Analysis_Help!C139=""),"",OR(Analysis_Help!C139&lt;&gt;"",Analysis_Help!C139&gt;0),Analysis_Help!C139)</f>
        <v/>
      </c>
      <c r="AD450" s="261" t="str" cm="1">
        <f t="array" ref="AD450">_xlfn.IFS(OR(Analysis_Help!D139=0,Analysis_Help!D139=""),"",OR(Analysis_Help!D139&lt;&gt;"",Analysis_Help!D139&gt;0),Analysis_Help!D139)</f>
        <v/>
      </c>
      <c r="AE450" s="204" t="str" cm="1">
        <f t="array" ref="AE450">_xlfn.IFS(OR(Analysis_Help!E139=0,Analysis_Help!E139=""),"",OR(Analysis_Help!E139&lt;&gt;"",Analysis_Help!E139&gt;0),Analysis_Help!E139)</f>
        <v/>
      </c>
      <c r="AF450" s="262" t="str" cm="1">
        <f t="array" ref="AF450">_xlfn.IFS(OR(Analysis_Help!F139=0,Analysis_Help!F139=""),"",OR(Analysis_Help!F139&lt;&gt;"",Analysis_Help!F139&gt;0),Analysis_Help!F139)</f>
        <v/>
      </c>
      <c r="AG450" s="263" t="str" cm="1">
        <f t="array" ref="AG450">_xlfn.IFS(OR(Analysis_Help!G139=0,Analysis_Help!G139=""),"",OR(Analysis_Help!G139&lt;&gt;"",Analysis_Help!G139&gt;0),Analysis_Help!G139)</f>
        <v/>
      </c>
      <c r="AH450" t="str" cm="1">
        <f t="array" ref="AH450">_xlfn.IFNA(_xlfn.IFS(AI450="----","",AI450&lt;&gt;"----",ISNUMBER(MATCH(AI450,AI492:AI507,0))),"FALSE")</f>
        <v/>
      </c>
      <c r="AI450" t="str">
        <f t="shared" ref="AI450:AI464" si="11">_xlfn.TEXTJOIN("-",FALSE,AC450:AG450)</f>
        <v>----</v>
      </c>
    </row>
    <row r="451" spans="3:35" hidden="1" outlineLevel="1">
      <c r="AC451" s="260" t="str" cm="1">
        <f t="array" ref="AC451">_xlfn.IFS(OR(Analysis_Help!C140=0,Analysis_Help!C140=""),"",OR(Analysis_Help!C140&lt;&gt;"",Analysis_Help!C140&gt;0),Analysis_Help!C140)</f>
        <v/>
      </c>
      <c r="AD451" s="261" t="str" cm="1">
        <f t="array" ref="AD451">_xlfn.IFS(OR(Analysis_Help!D140=0,Analysis_Help!D140=""),"",OR(Analysis_Help!D140&lt;&gt;"",Analysis_Help!D140&gt;0),Analysis_Help!D140)</f>
        <v/>
      </c>
      <c r="AE451" s="204" t="str" cm="1">
        <f t="array" ref="AE451">_xlfn.IFS(OR(Analysis_Help!E140=0,Analysis_Help!E140=""),"",OR(Analysis_Help!E140&lt;&gt;"",Analysis_Help!E140&gt;0),Analysis_Help!E140)</f>
        <v/>
      </c>
      <c r="AF451" s="262" t="str" cm="1">
        <f t="array" ref="AF451">_xlfn.IFS(OR(Analysis_Help!F140=0,Analysis_Help!F140=""),"",OR(Analysis_Help!F140&lt;&gt;"",Analysis_Help!F140&gt;0),Analysis_Help!F140)</f>
        <v/>
      </c>
      <c r="AG451" s="263" t="str" cm="1">
        <f t="array" ref="AG451">_xlfn.IFS(OR(Analysis_Help!G140=0,Analysis_Help!G140=""),"",OR(Analysis_Help!G140&lt;&gt;"",Analysis_Help!G140&gt;0),Analysis_Help!G140)</f>
        <v/>
      </c>
      <c r="AH451" t="str" cm="1">
        <f t="array" ref="AH451">_xlfn.IFNA(_xlfn.IFS(AI451="----","",AI451&lt;&gt;"----",ISNUMBER(MATCH(AI451,AI493:AI508,0))),"FALSE")</f>
        <v/>
      </c>
      <c r="AI451" t="str">
        <f t="shared" si="11"/>
        <v>----</v>
      </c>
    </row>
    <row r="452" spans="3:35" hidden="1" outlineLevel="1">
      <c r="AC452" s="260" t="str" cm="1">
        <f t="array" ref="AC452">_xlfn.IFS(OR(Analysis_Help!C141=0,Analysis_Help!C141=""),"",OR(Analysis_Help!C141&lt;&gt;"",Analysis_Help!C141&gt;0),Analysis_Help!C141)</f>
        <v/>
      </c>
      <c r="AD452" s="261" t="str" cm="1">
        <f t="array" ref="AD452">_xlfn.IFS(OR(Analysis_Help!D141=0,Analysis_Help!D141=""),"",OR(Analysis_Help!D141&lt;&gt;"",Analysis_Help!D141&gt;0),Analysis_Help!D141)</f>
        <v/>
      </c>
      <c r="AE452" s="204" t="str" cm="1">
        <f t="array" ref="AE452">_xlfn.IFS(OR(Analysis_Help!E141=0,Analysis_Help!E141=""),"",OR(Analysis_Help!E141&lt;&gt;"",Analysis_Help!E141&gt;0),Analysis_Help!E141)</f>
        <v/>
      </c>
      <c r="AF452" s="262" t="str" cm="1">
        <f t="array" ref="AF452">_xlfn.IFS(OR(Analysis_Help!F141=0,Analysis_Help!F141=""),"",OR(Analysis_Help!F141&lt;&gt;"",Analysis_Help!F141&gt;0),Analysis_Help!F141)</f>
        <v/>
      </c>
      <c r="AG452" s="263" t="str" cm="1">
        <f t="array" ref="AG452">_xlfn.IFS(OR(Analysis_Help!G141=0,Analysis_Help!G141=""),"",OR(Analysis_Help!G141&lt;&gt;"",Analysis_Help!G141&gt;0),Analysis_Help!G141)</f>
        <v/>
      </c>
      <c r="AH452" t="str" cm="1">
        <f t="array" ref="AH452">_xlfn.IFNA(_xlfn.IFS(AI452="----","",AI452&lt;&gt;"----",ISNUMBER(MATCH(AI452,AI494:AI509,0))),"FALSE")</f>
        <v/>
      </c>
      <c r="AI452" t="str">
        <f t="shared" si="11"/>
        <v>----</v>
      </c>
    </row>
    <row r="453" spans="3:35" hidden="1" outlineLevel="1">
      <c r="C453" s="224"/>
      <c r="D453" s="224"/>
      <c r="E453" s="224"/>
      <c r="AC453" s="260" t="str" cm="1">
        <f t="array" ref="AC453">_xlfn.IFS(OR(Analysis_Help!C142=0,Analysis_Help!C142=""),"",OR(Analysis_Help!C142&lt;&gt;"",Analysis_Help!C142&gt;0),Analysis_Help!C142)</f>
        <v/>
      </c>
      <c r="AD453" s="261" t="str" cm="1">
        <f t="array" ref="AD453">_xlfn.IFS(OR(Analysis_Help!D142=0,Analysis_Help!D142=""),"",OR(Analysis_Help!D142&lt;&gt;"",Analysis_Help!D142&gt;0),Analysis_Help!D142)</f>
        <v/>
      </c>
      <c r="AE453" s="204" t="str" cm="1">
        <f t="array" ref="AE453">_xlfn.IFS(OR(Analysis_Help!E142=0,Analysis_Help!E142=""),"",OR(Analysis_Help!E142&lt;&gt;"",Analysis_Help!E142&gt;0),Analysis_Help!E142)</f>
        <v/>
      </c>
      <c r="AF453" s="262" t="str" cm="1">
        <f t="array" ref="AF453">_xlfn.IFS(OR(Analysis_Help!F142=0,Analysis_Help!F142=""),"",OR(Analysis_Help!F142&lt;&gt;"",Analysis_Help!F142&gt;0),Analysis_Help!F142)</f>
        <v/>
      </c>
      <c r="AG453" s="263" t="str" cm="1">
        <f t="array" ref="AG453">_xlfn.IFS(OR(Analysis_Help!G142=0,Analysis_Help!G142=""),"",OR(Analysis_Help!G142&lt;&gt;"",Analysis_Help!G142&gt;0),Analysis_Help!G142)</f>
        <v/>
      </c>
      <c r="AH453" t="str" cm="1">
        <f t="array" ref="AH453">_xlfn.IFNA(_xlfn.IFS(AI453="----","",AI453&lt;&gt;"----",ISNUMBER(MATCH(AI453,AI495:AI510,0))),"FALSE")</f>
        <v/>
      </c>
      <c r="AI453" t="str">
        <f t="shared" si="11"/>
        <v>----</v>
      </c>
    </row>
    <row r="454" spans="3:35" hidden="1" outlineLevel="1">
      <c r="C454" s="224"/>
      <c r="D454" s="224"/>
      <c r="E454" s="224"/>
      <c r="AC454" s="260" t="str" cm="1">
        <f t="array" ref="AC454">_xlfn.IFS(OR(Analysis_Help!C143=0,Analysis_Help!C143=""),"",OR(Analysis_Help!C143&lt;&gt;"",Analysis_Help!C143&gt;0),Analysis_Help!C143)</f>
        <v/>
      </c>
      <c r="AD454" s="261" t="str" cm="1">
        <f t="array" ref="AD454">_xlfn.IFS(OR(Analysis_Help!D143=0,Analysis_Help!D143=""),"",OR(Analysis_Help!D143&lt;&gt;"",Analysis_Help!D143&gt;0),Analysis_Help!D143)</f>
        <v/>
      </c>
      <c r="AE454" s="204" t="str" cm="1">
        <f t="array" ref="AE454">_xlfn.IFS(OR(Analysis_Help!E143=0,Analysis_Help!E143=""),"",OR(Analysis_Help!E143&lt;&gt;"",Analysis_Help!E143&gt;0),Analysis_Help!E143)</f>
        <v/>
      </c>
      <c r="AF454" s="262" t="str" cm="1">
        <f t="array" ref="AF454">_xlfn.IFS(OR(Analysis_Help!F143=0,Analysis_Help!F143=""),"",OR(Analysis_Help!F143&lt;&gt;"",Analysis_Help!F143&gt;0),Analysis_Help!F143)</f>
        <v/>
      </c>
      <c r="AG454" s="263" t="str" cm="1">
        <f t="array" ref="AG454">_xlfn.IFS(OR(Analysis_Help!G143=0,Analysis_Help!G143=""),"",OR(Analysis_Help!G143&lt;&gt;"",Analysis_Help!G143&gt;0),Analysis_Help!G143)</f>
        <v/>
      </c>
      <c r="AH454" t="str" cm="1">
        <f t="array" ref="AH454">_xlfn.IFNA(_xlfn.IFS(AI454="----","",AI454&lt;&gt;"----",ISNUMBER(MATCH(AI454,AI496:AI511,0))),"FALSE")</f>
        <v/>
      </c>
      <c r="AI454" t="str">
        <f t="shared" si="11"/>
        <v>----</v>
      </c>
    </row>
    <row r="455" spans="3:35" hidden="1" outlineLevel="1">
      <c r="C455" s="224"/>
      <c r="D455" s="224"/>
      <c r="E455" s="224"/>
      <c r="AC455" s="260" t="str" cm="1">
        <f t="array" ref="AC455">_xlfn.IFS(OR(Analysis_Help!C144=0,Analysis_Help!C144=""),"",OR(Analysis_Help!C144&lt;&gt;"",Analysis_Help!C144&gt;0),Analysis_Help!C144)</f>
        <v/>
      </c>
      <c r="AD455" s="261" t="str" cm="1">
        <f t="array" ref="AD455">_xlfn.IFS(OR(Analysis_Help!D144=0,Analysis_Help!D144=""),"",OR(Analysis_Help!D144&lt;&gt;"",Analysis_Help!D144&gt;0),Analysis_Help!D144)</f>
        <v/>
      </c>
      <c r="AE455" s="204" t="str" cm="1">
        <f t="array" ref="AE455">_xlfn.IFS(OR(Analysis_Help!E144=0,Analysis_Help!E144=""),"",OR(Analysis_Help!E144&lt;&gt;"",Analysis_Help!E144&gt;0),Analysis_Help!E144)</f>
        <v/>
      </c>
      <c r="AF455" s="262" t="str" cm="1">
        <f t="array" ref="AF455">_xlfn.IFS(OR(Analysis_Help!F144=0,Analysis_Help!F144=""),"",OR(Analysis_Help!F144&lt;&gt;"",Analysis_Help!F144&gt;0),Analysis_Help!F144)</f>
        <v/>
      </c>
      <c r="AG455" s="263" t="str" cm="1">
        <f t="array" ref="AG455">_xlfn.IFS(OR(Analysis_Help!G144=0,Analysis_Help!G144=""),"",OR(Analysis_Help!G144&lt;&gt;"",Analysis_Help!G144&gt;0),Analysis_Help!G144)</f>
        <v/>
      </c>
      <c r="AH455" t="str" cm="1">
        <f t="array" ref="AH455">_xlfn.IFNA(_xlfn.IFS(AI455="----","",AI455&lt;&gt;"----",ISNUMBER(MATCH(AI455,AI497:AI512,0))),"FALSE")</f>
        <v/>
      </c>
      <c r="AI455" t="str">
        <f t="shared" si="11"/>
        <v>----</v>
      </c>
    </row>
    <row r="456" spans="3:35" hidden="1" outlineLevel="1">
      <c r="C456" s="224"/>
      <c r="D456" s="224"/>
      <c r="E456" s="224"/>
      <c r="AC456" s="260" t="str" cm="1">
        <f t="array" ref="AC456">_xlfn.IFS(OR(Analysis_Help!C145=0,Analysis_Help!C145=""),"",OR(Analysis_Help!C145&lt;&gt;"",Analysis_Help!C145&gt;0),Analysis_Help!C145)</f>
        <v/>
      </c>
      <c r="AD456" s="261" t="str" cm="1">
        <f t="array" ref="AD456">_xlfn.IFS(OR(Analysis_Help!D145=0,Analysis_Help!D145=""),"",OR(Analysis_Help!D145&lt;&gt;"",Analysis_Help!D145&gt;0),Analysis_Help!D145)</f>
        <v/>
      </c>
      <c r="AE456" s="204" t="str" cm="1">
        <f t="array" ref="AE456">_xlfn.IFS(OR(Analysis_Help!E145=0,Analysis_Help!E145=""),"",OR(Analysis_Help!E145&lt;&gt;"",Analysis_Help!E145&gt;0),Analysis_Help!E145)</f>
        <v/>
      </c>
      <c r="AF456" s="262" t="str" cm="1">
        <f t="array" ref="AF456">_xlfn.IFS(OR(Analysis_Help!F145=0,Analysis_Help!F145=""),"",OR(Analysis_Help!F145&lt;&gt;"",Analysis_Help!F145&gt;0),Analysis_Help!F145)</f>
        <v/>
      </c>
      <c r="AG456" s="263" t="str" cm="1">
        <f t="array" ref="AG456">_xlfn.IFS(OR(Analysis_Help!G145=0,Analysis_Help!G145=""),"",OR(Analysis_Help!G145&lt;&gt;"",Analysis_Help!G145&gt;0),Analysis_Help!G145)</f>
        <v/>
      </c>
      <c r="AH456" t="str" cm="1">
        <f t="array" ref="AH456">_xlfn.IFNA(_xlfn.IFS(AI456="----","",AI456&lt;&gt;"----",ISNUMBER(MATCH(AI456,AI498:AI513,0))),"FALSE")</f>
        <v/>
      </c>
      <c r="AI456" t="str">
        <f t="shared" si="11"/>
        <v>----</v>
      </c>
    </row>
    <row r="457" spans="3:35" hidden="1" outlineLevel="1">
      <c r="C457" s="224"/>
      <c r="D457" s="224"/>
      <c r="E457" s="224"/>
      <c r="AC457" s="260" t="str" cm="1">
        <f t="array" ref="AC457">_xlfn.IFS(OR(Analysis_Help!C146=0,Analysis_Help!C146=""),"",OR(Analysis_Help!C146&lt;&gt;"",Analysis_Help!C146&gt;0),Analysis_Help!C146)</f>
        <v/>
      </c>
      <c r="AD457" s="261" t="str" cm="1">
        <f t="array" ref="AD457">_xlfn.IFS(OR(Analysis_Help!D146=0,Analysis_Help!D146=""),"",OR(Analysis_Help!D146&lt;&gt;"",Analysis_Help!D146&gt;0),Analysis_Help!D146)</f>
        <v/>
      </c>
      <c r="AE457" s="204" t="str" cm="1">
        <f t="array" ref="AE457">_xlfn.IFS(OR(Analysis_Help!E146=0,Analysis_Help!E146=""),"",OR(Analysis_Help!E146&lt;&gt;"",Analysis_Help!E146&gt;0),Analysis_Help!E146)</f>
        <v/>
      </c>
      <c r="AF457" s="262" t="str" cm="1">
        <f t="array" ref="AF457">_xlfn.IFS(OR(Analysis_Help!F146=0,Analysis_Help!F146=""),"",OR(Analysis_Help!F146&lt;&gt;"",Analysis_Help!F146&gt;0),Analysis_Help!F146)</f>
        <v/>
      </c>
      <c r="AG457" s="263" t="str" cm="1">
        <f t="array" ref="AG457">_xlfn.IFS(OR(Analysis_Help!G146=0,Analysis_Help!G146=""),"",OR(Analysis_Help!G146&lt;&gt;"",Analysis_Help!G146&gt;0),Analysis_Help!G146)</f>
        <v/>
      </c>
      <c r="AH457" t="str" cm="1">
        <f t="array" ref="AH457">_xlfn.IFNA(_xlfn.IFS(AI457="----","",AI457&lt;&gt;"----",ISNUMBER(MATCH(AI457,AI499:AI514,0))),"FALSE")</f>
        <v/>
      </c>
      <c r="AI457" t="str">
        <f t="shared" si="11"/>
        <v>----</v>
      </c>
    </row>
    <row r="458" spans="3:35" hidden="1" outlineLevel="1">
      <c r="C458" s="224"/>
      <c r="D458" s="224"/>
      <c r="E458" s="224"/>
      <c r="AC458" s="260" t="str" cm="1">
        <f t="array" ref="AC458">_xlfn.IFS(OR(Analysis_Help!C147=0,Analysis_Help!C147=""),"",OR(Analysis_Help!C147&lt;&gt;"",Analysis_Help!C147&gt;0),Analysis_Help!C147)</f>
        <v/>
      </c>
      <c r="AD458" s="261" t="str" cm="1">
        <f t="array" ref="AD458">_xlfn.IFS(OR(Analysis_Help!D147=0,Analysis_Help!D147=""),"",OR(Analysis_Help!D147&lt;&gt;"",Analysis_Help!D147&gt;0),Analysis_Help!D147)</f>
        <v/>
      </c>
      <c r="AE458" s="204" t="str" cm="1">
        <f t="array" ref="AE458">_xlfn.IFS(OR(Analysis_Help!E147=0,Analysis_Help!E147=""),"",OR(Analysis_Help!E147&lt;&gt;"",Analysis_Help!E147&gt;0),Analysis_Help!E147)</f>
        <v/>
      </c>
      <c r="AF458" s="262" t="str" cm="1">
        <f t="array" ref="AF458">_xlfn.IFS(OR(Analysis_Help!F147=0,Analysis_Help!F147=""),"",OR(Analysis_Help!F147&lt;&gt;"",Analysis_Help!F147&gt;0),Analysis_Help!F147)</f>
        <v/>
      </c>
      <c r="AG458" s="263" t="str" cm="1">
        <f t="array" ref="AG458">_xlfn.IFS(OR(Analysis_Help!G147=0,Analysis_Help!G147=""),"",OR(Analysis_Help!G147&lt;&gt;"",Analysis_Help!G147&gt;0),Analysis_Help!G147)</f>
        <v/>
      </c>
      <c r="AH458" t="str" cm="1">
        <f t="array" ref="AH458">_xlfn.IFNA(_xlfn.IFS(AI458="----","",AI458&lt;&gt;"----",ISNUMBER(MATCH(AI458,AI500:AI515,0))),"FALSE")</f>
        <v/>
      </c>
      <c r="AI458" t="str">
        <f t="shared" si="11"/>
        <v>----</v>
      </c>
    </row>
    <row r="459" spans="3:35" hidden="1" outlineLevel="1">
      <c r="C459" s="224"/>
      <c r="D459" s="224"/>
      <c r="E459" s="224"/>
      <c r="AC459" s="260" t="str" cm="1">
        <f t="array" ref="AC459">_xlfn.IFS(OR(Analysis_Help!C148=0,Analysis_Help!C148=""),"",OR(Analysis_Help!C148&lt;&gt;"",Analysis_Help!C148&gt;0),Analysis_Help!C148)</f>
        <v/>
      </c>
      <c r="AD459" s="261" t="str" cm="1">
        <f t="array" ref="AD459">_xlfn.IFS(OR(Analysis_Help!D148=0,Analysis_Help!D148=""),"",OR(Analysis_Help!D148&lt;&gt;"",Analysis_Help!D148&gt;0),Analysis_Help!D148)</f>
        <v/>
      </c>
      <c r="AE459" s="204" t="str" cm="1">
        <f t="array" ref="AE459">_xlfn.IFS(OR(Analysis_Help!E148=0,Analysis_Help!E148=""),"",OR(Analysis_Help!E148&lt;&gt;"",Analysis_Help!E148&gt;0),Analysis_Help!E148)</f>
        <v/>
      </c>
      <c r="AF459" s="262" t="str" cm="1">
        <f t="array" ref="AF459">_xlfn.IFS(OR(Analysis_Help!F148=0,Analysis_Help!F148=""),"",OR(Analysis_Help!F148&lt;&gt;"",Analysis_Help!F148&gt;0),Analysis_Help!F148)</f>
        <v/>
      </c>
      <c r="AG459" s="263" t="str" cm="1">
        <f t="array" ref="AG459">_xlfn.IFS(OR(Analysis_Help!G148=0,Analysis_Help!G148=""),"",OR(Analysis_Help!G148&lt;&gt;"",Analysis_Help!G148&gt;0),Analysis_Help!G148)</f>
        <v/>
      </c>
      <c r="AH459" t="str" cm="1">
        <f t="array" ref="AH459">_xlfn.IFNA(_xlfn.IFS(AI459="----","",AI459&lt;&gt;"----",ISNUMBER(MATCH(AI459,AI501:AI516,0))),"FALSE")</f>
        <v/>
      </c>
      <c r="AI459" t="str">
        <f t="shared" si="11"/>
        <v>----</v>
      </c>
    </row>
    <row r="460" spans="3:35" hidden="1" outlineLevel="1">
      <c r="C460" s="224"/>
      <c r="D460" s="224"/>
      <c r="E460" s="224"/>
      <c r="AC460" s="260" t="str" cm="1">
        <f t="array" ref="AC460">_xlfn.IFS(OR(Analysis_Help!C149=0,Analysis_Help!C149=""),"",OR(Analysis_Help!C149&lt;&gt;"",Analysis_Help!C149&gt;0),Analysis_Help!C149)</f>
        <v/>
      </c>
      <c r="AD460" s="261" t="str" cm="1">
        <f t="array" ref="AD460">_xlfn.IFS(OR(Analysis_Help!D149=0,Analysis_Help!D149=""),"",OR(Analysis_Help!D149&lt;&gt;"",Analysis_Help!D149&gt;0),Analysis_Help!D149)</f>
        <v/>
      </c>
      <c r="AE460" s="204" t="str" cm="1">
        <f t="array" ref="AE460">_xlfn.IFS(OR(Analysis_Help!E149=0,Analysis_Help!E149=""),"",OR(Analysis_Help!E149&lt;&gt;"",Analysis_Help!E149&gt;0),Analysis_Help!E149)</f>
        <v/>
      </c>
      <c r="AF460" s="262" t="str" cm="1">
        <f t="array" ref="AF460">_xlfn.IFS(OR(Analysis_Help!F149=0,Analysis_Help!F149=""),"",OR(Analysis_Help!F149&lt;&gt;"",Analysis_Help!F149&gt;0),Analysis_Help!F149)</f>
        <v/>
      </c>
      <c r="AG460" s="263" t="str" cm="1">
        <f t="array" ref="AG460">_xlfn.IFS(OR(Analysis_Help!G149=0,Analysis_Help!G149=""),"",OR(Analysis_Help!G149&lt;&gt;"",Analysis_Help!G149&gt;0),Analysis_Help!G149)</f>
        <v/>
      </c>
      <c r="AH460" t="str" cm="1">
        <f t="array" ref="AH460">_xlfn.IFNA(_xlfn.IFS(AI460="----","",AI460&lt;&gt;"----",ISNUMBER(MATCH(AI460,AI502:AI517,0))),"FALSE")</f>
        <v/>
      </c>
      <c r="AI460" t="str">
        <f t="shared" si="11"/>
        <v>----</v>
      </c>
    </row>
    <row r="461" spans="3:35" hidden="1" outlineLevel="1">
      <c r="C461" s="224"/>
      <c r="D461" s="224"/>
      <c r="E461" s="224"/>
      <c r="AC461" s="260" t="str" cm="1">
        <f t="array" ref="AC461">_xlfn.IFS(OR(Analysis_Help!C150=0,Analysis_Help!C150=""),"",OR(Analysis_Help!C150&lt;&gt;"",Analysis_Help!C150&gt;0),Analysis_Help!C150)</f>
        <v/>
      </c>
      <c r="AD461" s="261" t="str" cm="1">
        <f t="array" ref="AD461">_xlfn.IFS(OR(Analysis_Help!D150=0,Analysis_Help!D150=""),"",OR(Analysis_Help!D150&lt;&gt;"",Analysis_Help!D150&gt;0),Analysis_Help!D150)</f>
        <v/>
      </c>
      <c r="AE461" s="204" t="str" cm="1">
        <f t="array" ref="AE461">_xlfn.IFS(OR(Analysis_Help!E150=0,Analysis_Help!E150=""),"",OR(Analysis_Help!E150&lt;&gt;"",Analysis_Help!E150&gt;0),Analysis_Help!E150)</f>
        <v/>
      </c>
      <c r="AF461" s="262" t="str" cm="1">
        <f t="array" ref="AF461">_xlfn.IFS(OR(Analysis_Help!F150=0,Analysis_Help!F150=""),"",OR(Analysis_Help!F150&lt;&gt;"",Analysis_Help!F150&gt;0),Analysis_Help!F150)</f>
        <v/>
      </c>
      <c r="AG461" s="263" t="str" cm="1">
        <f t="array" ref="AG461">_xlfn.IFS(OR(Analysis_Help!G150=0,Analysis_Help!G150=""),"",OR(Analysis_Help!G150&lt;&gt;"",Analysis_Help!G150&gt;0),Analysis_Help!G150)</f>
        <v/>
      </c>
      <c r="AH461" t="str" cm="1">
        <f t="array" ref="AH461">_xlfn.IFNA(_xlfn.IFS(AI461="----","",AI461&lt;&gt;"----",ISNUMBER(MATCH(AI461,AI503:AI518,0))),"FALSE")</f>
        <v/>
      </c>
      <c r="AI461" t="str">
        <f t="shared" si="11"/>
        <v>----</v>
      </c>
    </row>
    <row r="462" spans="3:35" hidden="1" outlineLevel="1">
      <c r="C462" s="224"/>
      <c r="D462" s="224"/>
      <c r="E462" s="224"/>
      <c r="AC462" s="260" t="str" cm="1">
        <f t="array" ref="AC462">_xlfn.IFS(OR(Analysis_Help!C151=0,Analysis_Help!C151=""),"",OR(Analysis_Help!C151&lt;&gt;"",Analysis_Help!C151&gt;0),Analysis_Help!C151)</f>
        <v/>
      </c>
      <c r="AD462" s="261" t="str" cm="1">
        <f t="array" ref="AD462">_xlfn.IFS(OR(Analysis_Help!D151=0,Analysis_Help!D151=""),"",OR(Analysis_Help!D151&lt;&gt;"",Analysis_Help!D151&gt;0),Analysis_Help!D151)</f>
        <v/>
      </c>
      <c r="AE462" s="204" t="str" cm="1">
        <f t="array" ref="AE462">_xlfn.IFS(OR(Analysis_Help!E151=0,Analysis_Help!E151=""),"",OR(Analysis_Help!E151&lt;&gt;"",Analysis_Help!E151&gt;0),Analysis_Help!E151)</f>
        <v/>
      </c>
      <c r="AF462" s="262" t="str" cm="1">
        <f t="array" ref="AF462">_xlfn.IFS(OR(Analysis_Help!F151=0,Analysis_Help!F151=""),"",OR(Analysis_Help!F151&lt;&gt;"",Analysis_Help!F151&gt;0),Analysis_Help!F151)</f>
        <v/>
      </c>
      <c r="AG462" s="263" t="str" cm="1">
        <f t="array" ref="AG462">_xlfn.IFS(OR(Analysis_Help!G151=0,Analysis_Help!G151=""),"",OR(Analysis_Help!G151&lt;&gt;"",Analysis_Help!G151&gt;0),Analysis_Help!G151)</f>
        <v/>
      </c>
      <c r="AH462" t="str" cm="1">
        <f t="array" ref="AH462">_xlfn.IFNA(_xlfn.IFS(AI462="----","",AI462&lt;&gt;"----",ISNUMBER(MATCH(AI462,AI504:AI519,0))),"FALSE")</f>
        <v/>
      </c>
      <c r="AI462" t="str">
        <f t="shared" si="11"/>
        <v>----</v>
      </c>
    </row>
    <row r="463" spans="3:35" hidden="1" outlineLevel="1">
      <c r="C463" s="224"/>
      <c r="D463" s="224"/>
      <c r="E463" s="224"/>
      <c r="AC463" s="260" t="str" cm="1">
        <f t="array" ref="AC463">_xlfn.IFS(OR(Analysis_Help!C152=0,Analysis_Help!C152=""),"",OR(Analysis_Help!C152&lt;&gt;"",Analysis_Help!C152&gt;0),Analysis_Help!C152)</f>
        <v/>
      </c>
      <c r="AD463" s="261" t="str" cm="1">
        <f t="array" ref="AD463">_xlfn.IFS(OR(Analysis_Help!D152=0,Analysis_Help!D152=""),"",OR(Analysis_Help!D152&lt;&gt;"",Analysis_Help!D152&gt;0),Analysis_Help!D152)</f>
        <v/>
      </c>
      <c r="AE463" s="204" t="str" cm="1">
        <f t="array" ref="AE463">_xlfn.IFS(OR(Analysis_Help!E152=0,Analysis_Help!E152=""),"",OR(Analysis_Help!E152&lt;&gt;"",Analysis_Help!E152&gt;0),Analysis_Help!E152)</f>
        <v/>
      </c>
      <c r="AF463" s="262" t="str" cm="1">
        <f t="array" ref="AF463">_xlfn.IFS(OR(Analysis_Help!F152=0,Analysis_Help!F152=""),"",OR(Analysis_Help!F152&lt;&gt;"",Analysis_Help!F152&gt;0),Analysis_Help!F152)</f>
        <v/>
      </c>
      <c r="AG463" s="263" t="str" cm="1">
        <f t="array" ref="AG463">_xlfn.IFS(OR(Analysis_Help!G152=0,Analysis_Help!G152=""),"",OR(Analysis_Help!G152&lt;&gt;"",Analysis_Help!G152&gt;0),Analysis_Help!G152)</f>
        <v/>
      </c>
      <c r="AH463" t="str" cm="1">
        <f t="array" ref="AH463">_xlfn.IFNA(_xlfn.IFS(AI463="----","",AI463&lt;&gt;"----",ISNUMBER(MATCH(AI463,AI505:AI520,0))),"FALSE")</f>
        <v/>
      </c>
      <c r="AI463" t="str">
        <f t="shared" si="11"/>
        <v>----</v>
      </c>
    </row>
    <row r="464" spans="3:35" ht="15" hidden="1" outlineLevel="1" thickBot="1">
      <c r="C464" s="224"/>
      <c r="D464" s="224"/>
      <c r="E464" s="224"/>
      <c r="AC464" s="264" t="str" cm="1">
        <f t="array" ref="AC464">_xlfn.IFS(OR(Analysis_Help!C153=0,Analysis_Help!C153=""),"",OR(Analysis_Help!C153&lt;&gt;"",Analysis_Help!C153&gt;0),Analysis_Help!C153)</f>
        <v/>
      </c>
      <c r="AD464" s="265" t="str" cm="1">
        <f t="array" ref="AD464">_xlfn.IFS(OR(Analysis_Help!D153=0,Analysis_Help!D153=""),"",OR(Analysis_Help!D153&lt;&gt;"",Analysis_Help!D153&gt;0),Analysis_Help!D153)</f>
        <v/>
      </c>
      <c r="AE464" s="266" t="str" cm="1">
        <f t="array" ref="AE464">_xlfn.IFS(OR(Analysis_Help!E153=0,Analysis_Help!E153=""),"",OR(Analysis_Help!E153&lt;&gt;"",Analysis_Help!E153&gt;0),Analysis_Help!E153)</f>
        <v/>
      </c>
      <c r="AF464" s="267" t="str" cm="1">
        <f t="array" ref="AF464">_xlfn.IFS(OR(Analysis_Help!F153=0,Analysis_Help!F153=""),"",OR(Analysis_Help!F153&lt;&gt;"",Analysis_Help!F153&gt;0),Analysis_Help!F153)</f>
        <v/>
      </c>
      <c r="AG464" s="39" t="str" cm="1">
        <f t="array" ref="AG464">_xlfn.IFS(OR(Analysis_Help!G153=0,Analysis_Help!G153=""),"",OR(Analysis_Help!G153&lt;&gt;"",Analysis_Help!G153&gt;0),Analysis_Help!G153)</f>
        <v/>
      </c>
      <c r="AH464" t="str" cm="1">
        <f t="array" ref="AH464">_xlfn.IFNA(_xlfn.IFS(AI464="----","",AI464&lt;&gt;"----",ISNUMBER(MATCH(AI464,AI506:AI521,0))),"FALSE")</f>
        <v/>
      </c>
      <c r="AI464" t="str">
        <f t="shared" si="11"/>
        <v>----</v>
      </c>
    </row>
    <row r="465" spans="3:5" hidden="1" outlineLevel="1">
      <c r="C465" s="224"/>
      <c r="D465" s="224"/>
      <c r="E465" s="224"/>
    </row>
    <row r="466" spans="3:5" hidden="1" outlineLevel="1">
      <c r="C466" s="224"/>
      <c r="D466" s="224"/>
      <c r="E466" s="224"/>
    </row>
    <row r="467" spans="3:5" hidden="1" outlineLevel="1">
      <c r="C467" s="224"/>
      <c r="D467" s="224"/>
      <c r="E467" s="224"/>
    </row>
    <row r="468" spans="3:5" hidden="1" outlineLevel="1">
      <c r="C468" s="224"/>
      <c r="D468" s="224"/>
      <c r="E468" s="224"/>
    </row>
    <row r="469" spans="3:5" hidden="1" outlineLevel="1">
      <c r="C469" s="224"/>
      <c r="D469" s="224"/>
      <c r="E469" s="224"/>
    </row>
    <row r="470" spans="3:5" hidden="1" outlineLevel="1">
      <c r="C470" s="224"/>
      <c r="D470" s="224"/>
      <c r="E470" s="224"/>
    </row>
    <row r="471" spans="3:5" hidden="1" outlineLevel="1">
      <c r="C471" s="224"/>
      <c r="D471" s="224"/>
      <c r="E471" s="224"/>
    </row>
    <row r="472" spans="3:5" hidden="1" outlineLevel="1"/>
    <row r="473" spans="3:5" hidden="1" outlineLevel="1"/>
    <row r="474" spans="3:5" hidden="1" outlineLevel="1"/>
    <row r="475" spans="3:5" hidden="1" outlineLevel="1">
      <c r="C475" s="423" t="s">
        <v>554</v>
      </c>
      <c r="D475" s="224"/>
      <c r="E475" s="224"/>
    </row>
    <row r="476" spans="3:5" hidden="1" outlineLevel="1">
      <c r="C476" s="224" t="str" cm="1">
        <f t="array" aca="1" ref="C476" ca="1">IFERROR(_xlfn._xlws.FILTER(JournalAnswer[Accnt Type]:JournalAnswer[Cr Amt],JournalAnswer[Transaction '#]=AB447,"No Entry Found"),"")</f>
        <v>No Entry Found</v>
      </c>
      <c r="D476" s="224"/>
      <c r="E476" s="224"/>
    </row>
    <row r="477" spans="3:5" hidden="1" outlineLevel="1">
      <c r="C477" s="224"/>
      <c r="D477" s="224"/>
      <c r="E477" s="224"/>
    </row>
    <row r="478" spans="3:5" hidden="1" outlineLevel="1">
      <c r="C478" s="224"/>
      <c r="D478" s="224"/>
      <c r="E478" s="224"/>
    </row>
    <row r="479" spans="3:5" hidden="1" outlineLevel="1">
      <c r="C479" s="224"/>
      <c r="D479" s="224"/>
      <c r="E479" s="224"/>
    </row>
    <row r="480" spans="3:5" hidden="1" outlineLevel="1">
      <c r="C480" s="224"/>
      <c r="D480" s="224"/>
      <c r="E480" s="224"/>
    </row>
    <row r="481" spans="3:35" hidden="1" outlineLevel="1">
      <c r="C481" s="224"/>
      <c r="D481" s="224"/>
      <c r="E481" s="224"/>
    </row>
    <row r="482" spans="3:35" hidden="1" outlineLevel="1">
      <c r="C482" s="224"/>
      <c r="D482" s="224"/>
      <c r="E482" s="224"/>
    </row>
    <row r="483" spans="3:35" hidden="1" outlineLevel="1">
      <c r="C483" s="224"/>
      <c r="D483" s="224"/>
      <c r="E483" s="224"/>
    </row>
    <row r="484" spans="3:35" hidden="1" outlineLevel="1">
      <c r="C484" s="224"/>
      <c r="D484" s="224"/>
      <c r="E484" s="224"/>
    </row>
    <row r="485" spans="3:35" hidden="1" outlineLevel="1">
      <c r="C485" s="224"/>
      <c r="D485" s="224"/>
      <c r="E485" s="224"/>
    </row>
    <row r="486" spans="3:35" hidden="1" outlineLevel="1">
      <c r="C486" s="224"/>
      <c r="D486" s="224"/>
      <c r="E486" s="224"/>
    </row>
    <row r="487" spans="3:35" hidden="1" outlineLevel="1">
      <c r="C487" s="224"/>
      <c r="D487" s="224"/>
      <c r="E487" s="224"/>
    </row>
    <row r="488" spans="3:35" hidden="1" outlineLevel="1">
      <c r="C488" s="224"/>
      <c r="D488" s="224"/>
      <c r="E488" s="224"/>
    </row>
    <row r="489" spans="3:35" ht="15" hidden="1" outlineLevel="1" thickBot="1">
      <c r="C489" s="224"/>
      <c r="D489" s="224"/>
      <c r="E489" s="224"/>
      <c r="AC489" s="293" t="s">
        <v>555</v>
      </c>
      <c r="AD489" s="202"/>
      <c r="AE489" s="202"/>
      <c r="AF489" s="202"/>
      <c r="AG489" s="202"/>
    </row>
    <row r="490" spans="3:35" ht="15" hidden="1" outlineLevel="1" thickBot="1">
      <c r="C490" s="224"/>
      <c r="D490" s="224"/>
      <c r="E490" s="224"/>
      <c r="AC490" s="250"/>
      <c r="AD490" s="251"/>
      <c r="AE490" s="251"/>
      <c r="AF490" s="251"/>
      <c r="AG490" s="252"/>
    </row>
    <row r="491" spans="3:35" hidden="1" outlineLevel="1">
      <c r="C491" s="224"/>
      <c r="D491" s="224"/>
      <c r="E491" s="224"/>
      <c r="AC491" s="254" t="str" cm="1">
        <f t="array" aca="1" ref="AC491" ca="1">IFERROR(_xlfn._xlws.FILTER(JournalAnswer[Accnt Type]:JournalAnswer[Cr Amt],JournalAnswer[Transaction '#]=AB447,"No Entry Found"),"")</f>
        <v>No Entry Found</v>
      </c>
      <c r="AD491" s="255"/>
      <c r="AE491" s="256"/>
      <c r="AF491" s="257"/>
      <c r="AG491" s="258"/>
      <c r="AI491" t="str">
        <f ca="1">_xlfn.TEXTJOIN("-",FALSE,AC491:AG491)</f>
        <v>No Entry Found----</v>
      </c>
    </row>
    <row r="492" spans="3:35" hidden="1" outlineLevel="1">
      <c r="C492" s="224"/>
      <c r="D492" s="224"/>
      <c r="E492" s="224"/>
      <c r="AC492" s="260"/>
      <c r="AD492" s="261"/>
      <c r="AE492" s="204"/>
      <c r="AF492" s="262"/>
      <c r="AG492" s="263"/>
      <c r="AI492" t="str">
        <f t="shared" ref="AI492:AI506" si="12">_xlfn.TEXTJOIN("-",FALSE,AC492:AG492)</f>
        <v>----</v>
      </c>
    </row>
    <row r="493" spans="3:35" hidden="1" outlineLevel="1">
      <c r="C493" s="224"/>
      <c r="D493" s="224"/>
      <c r="E493" s="224"/>
      <c r="AC493" s="260"/>
      <c r="AD493" s="261"/>
      <c r="AE493" s="204"/>
      <c r="AF493" s="262"/>
      <c r="AG493" s="263"/>
      <c r="AI493" t="str">
        <f t="shared" si="12"/>
        <v>----</v>
      </c>
    </row>
    <row r="494" spans="3:35" hidden="1" outlineLevel="1">
      <c r="C494" s="224"/>
      <c r="D494" s="224"/>
      <c r="E494" s="224"/>
      <c r="AC494" s="260"/>
      <c r="AD494" s="261"/>
      <c r="AE494" s="204"/>
      <c r="AF494" s="262"/>
      <c r="AG494" s="263"/>
      <c r="AI494" t="str">
        <f t="shared" si="12"/>
        <v>----</v>
      </c>
    </row>
    <row r="495" spans="3:35" hidden="1" outlineLevel="1">
      <c r="C495" s="224"/>
      <c r="D495" s="224"/>
      <c r="E495" s="224"/>
      <c r="AC495" s="260"/>
      <c r="AD495" s="261"/>
      <c r="AE495" s="204"/>
      <c r="AF495" s="262"/>
      <c r="AG495" s="263"/>
      <c r="AI495" t="str">
        <f t="shared" si="12"/>
        <v>----</v>
      </c>
    </row>
    <row r="496" spans="3:35" hidden="1" outlineLevel="1">
      <c r="C496" s="224"/>
      <c r="D496" s="224"/>
      <c r="E496" s="224"/>
      <c r="AC496" s="260"/>
      <c r="AD496" s="261"/>
      <c r="AE496" s="204"/>
      <c r="AF496" s="262"/>
      <c r="AG496" s="263"/>
      <c r="AI496" t="str">
        <f t="shared" si="12"/>
        <v>----</v>
      </c>
    </row>
    <row r="497" spans="2:35" hidden="1" outlineLevel="1">
      <c r="C497" s="224"/>
      <c r="D497" s="224"/>
      <c r="E497" s="224"/>
      <c r="AC497" s="260"/>
      <c r="AD497" s="261"/>
      <c r="AE497" s="204"/>
      <c r="AF497" s="262"/>
      <c r="AG497" s="263"/>
      <c r="AI497" t="str">
        <f t="shared" si="12"/>
        <v>----</v>
      </c>
    </row>
    <row r="498" spans="2:35" hidden="1" outlineLevel="1">
      <c r="C498" s="224"/>
      <c r="D498" s="224"/>
      <c r="E498" s="224"/>
      <c r="AC498" s="260"/>
      <c r="AD498" s="261"/>
      <c r="AE498" s="204"/>
      <c r="AF498" s="262"/>
      <c r="AG498" s="263"/>
      <c r="AI498" t="str">
        <f t="shared" si="12"/>
        <v>----</v>
      </c>
    </row>
    <row r="499" spans="2:35" hidden="1" outlineLevel="1">
      <c r="C499" s="224"/>
      <c r="D499" s="224"/>
      <c r="E499" s="224"/>
      <c r="AC499" s="260"/>
      <c r="AD499" s="261"/>
      <c r="AE499" s="204"/>
      <c r="AF499" s="262"/>
      <c r="AG499" s="263"/>
      <c r="AI499" t="str">
        <f t="shared" si="12"/>
        <v>----</v>
      </c>
    </row>
    <row r="500" spans="2:35" hidden="1" outlineLevel="1">
      <c r="C500" s="224"/>
      <c r="D500" s="224"/>
      <c r="E500" s="224"/>
      <c r="AC500" s="260"/>
      <c r="AD500" s="261"/>
      <c r="AE500" s="204"/>
      <c r="AF500" s="262"/>
      <c r="AG500" s="263"/>
      <c r="AI500" t="str">
        <f t="shared" si="12"/>
        <v>----</v>
      </c>
    </row>
    <row r="501" spans="2:35" hidden="1" outlineLevel="1">
      <c r="C501" s="224"/>
      <c r="D501" s="224"/>
      <c r="E501" s="224"/>
      <c r="AC501" s="260"/>
      <c r="AD501" s="261"/>
      <c r="AE501" s="204"/>
      <c r="AF501" s="262"/>
      <c r="AG501" s="263"/>
      <c r="AI501" t="str">
        <f t="shared" si="12"/>
        <v>----</v>
      </c>
    </row>
    <row r="502" spans="2:35" hidden="1" outlineLevel="1">
      <c r="C502" s="224"/>
      <c r="D502" s="224"/>
      <c r="E502" s="224"/>
      <c r="AC502" s="260"/>
      <c r="AD502" s="261"/>
      <c r="AE502" s="204"/>
      <c r="AF502" s="262"/>
      <c r="AG502" s="263"/>
      <c r="AI502" t="str">
        <f t="shared" si="12"/>
        <v>----</v>
      </c>
    </row>
    <row r="503" spans="2:35" hidden="1" outlineLevel="1">
      <c r="C503" s="224"/>
      <c r="D503" s="224"/>
      <c r="E503" s="224"/>
      <c r="AC503" s="260"/>
      <c r="AD503" s="261"/>
      <c r="AE503" s="204"/>
      <c r="AF503" s="262"/>
      <c r="AG503" s="263"/>
      <c r="AI503" t="str">
        <f t="shared" si="12"/>
        <v>----</v>
      </c>
    </row>
    <row r="504" spans="2:35" hidden="1" outlineLevel="1">
      <c r="C504" s="224"/>
      <c r="D504" s="224"/>
      <c r="E504" s="224"/>
      <c r="AC504" s="260"/>
      <c r="AD504" s="261"/>
      <c r="AE504" s="204"/>
      <c r="AF504" s="262"/>
      <c r="AG504" s="263"/>
      <c r="AI504" t="str">
        <f t="shared" si="12"/>
        <v>----</v>
      </c>
    </row>
    <row r="505" spans="2:35" hidden="1" outlineLevel="1">
      <c r="C505" s="224"/>
      <c r="D505" s="224"/>
      <c r="E505" s="224"/>
      <c r="AC505" s="260"/>
      <c r="AD505" s="261"/>
      <c r="AE505" s="204"/>
      <c r="AF505" s="262"/>
      <c r="AG505" s="263"/>
      <c r="AI505" t="str">
        <f t="shared" si="12"/>
        <v>----</v>
      </c>
    </row>
    <row r="506" spans="2:35" ht="15" hidden="1" outlineLevel="1" thickBot="1">
      <c r="C506" s="224"/>
      <c r="D506" s="224"/>
      <c r="E506" s="224"/>
      <c r="AC506" s="264"/>
      <c r="AD506" s="265"/>
      <c r="AE506" s="266"/>
      <c r="AF506" s="267"/>
      <c r="AG506" s="39"/>
      <c r="AI506" t="str">
        <f t="shared" si="12"/>
        <v>----</v>
      </c>
    </row>
    <row r="507" spans="2:35" hidden="1" outlineLevel="1"/>
    <row r="508" spans="2:35" ht="15" collapsed="1" thickBot="1">
      <c r="AA508" s="5" t="s">
        <v>556</v>
      </c>
      <c r="AD508">
        <f>16-COUNTIF(AD491:AD506,"")</f>
        <v>0</v>
      </c>
      <c r="AE508">
        <f>16-COUNTIF(AE491:AE506,"")</f>
        <v>0</v>
      </c>
      <c r="AF508" s="248">
        <f>SUM(AF491:AF506)</f>
        <v>0</v>
      </c>
      <c r="AG508" s="248">
        <f>SUM(AG491:AG506)</f>
        <v>0</v>
      </c>
    </row>
    <row r="509" spans="2:35" ht="18" thickBot="1">
      <c r="B509" s="17" t="s">
        <v>557</v>
      </c>
      <c r="C509" s="18"/>
      <c r="D509" s="18"/>
      <c r="E509" s="18"/>
      <c r="F509" s="18"/>
      <c r="G509" s="18"/>
      <c r="H509" s="18"/>
      <c r="I509" s="18"/>
      <c r="J509" s="18"/>
      <c r="K509" s="18"/>
      <c r="L509" s="18"/>
      <c r="M509" s="18"/>
      <c r="N509" s="18"/>
      <c r="AA509">
        <f>Analysis_Help!C163</f>
        <v>0</v>
      </c>
      <c r="AC509" s="470" t="s">
        <v>558</v>
      </c>
      <c r="AD509" s="471" t="s">
        <v>559</v>
      </c>
    </row>
    <row r="510" spans="2:35" ht="15" outlineLevel="1" thickBot="1">
      <c r="AA510">
        <f>Analysis_Help!C165</f>
        <v>0</v>
      </c>
      <c r="AC510" s="207" t="e" cm="1" vm="1">
        <f t="array" ref="AC510">_xlfn._xlws.FILTER(AC491:AC506,AD491:AD506&lt;&gt;"")</f>
        <v>#VALUE!</v>
      </c>
      <c r="AD510" s="206" t="e" cm="1" vm="1">
        <f t="array" ref="AD510">_xlfn._xlws.FILTER(AC491:AC506,AE491:AE506&lt;&gt;"")</f>
        <v>#VALUE!</v>
      </c>
    </row>
    <row r="511" spans="2:35" outlineLevel="1">
      <c r="C511" s="342" t="s">
        <v>38</v>
      </c>
      <c r="D511" s="342" t="s">
        <v>75</v>
      </c>
      <c r="F511" s="614" t="s">
        <v>560</v>
      </c>
      <c r="AA511">
        <f>Analysis_Help!C167</f>
        <v>0</v>
      </c>
      <c r="AC511" s="107"/>
      <c r="AD511" s="108"/>
    </row>
    <row r="512" spans="2:35" outlineLevel="1">
      <c r="C512" s="2" t="s">
        <v>561</v>
      </c>
      <c r="D512" s="602">
        <f>_xlfn.XLOOKUP(MD_ProblemPurposes[[#This Row],[PURPOSE]],ProblemData!$E$27:$E$31,ProblemData!$H$27:$H$31,0)</f>
        <v>1</v>
      </c>
      <c r="F512" s="194" t="str" cm="1">
        <f t="array" ref="F512:F514">_xlfn._xlws.FILTER(MD_ProblemPurposes[PURPOSE],MD_ProblemPurposes[Used]=1,"")</f>
        <v>Expand your financial vocabulary.</v>
      </c>
      <c r="AC512" s="107"/>
      <c r="AD512" s="108"/>
    </row>
    <row r="513" spans="3:30" outlineLevel="1">
      <c r="C513" s="3" t="s">
        <v>562</v>
      </c>
      <c r="D513" s="602">
        <f>_xlfn.XLOOKUP(MD_ProblemPurposes[[#This Row],[PURPOSE]],ProblemData!$E$27:$E$31,ProblemData!$H$27:$H$31,0)</f>
        <v>1</v>
      </c>
      <c r="F513" s="194" t="str">
        <v>Use the Accounting Identity to analyze transactions.</v>
      </c>
      <c r="AA513" s="5" t="s">
        <v>563</v>
      </c>
      <c r="AC513" s="107"/>
      <c r="AD513" s="108"/>
    </row>
    <row r="514" spans="3:30" outlineLevel="1">
      <c r="C514" s="2" t="s">
        <v>564</v>
      </c>
      <c r="D514" s="602">
        <f>_xlfn.XLOOKUP(MD_ProblemPurposes[[#This Row],[PURPOSE]],ProblemData!$E$27:$E$31,ProblemData!$H$27:$H$31,0)</f>
        <v>0</v>
      </c>
      <c r="F514" s="194" t="str">
        <v>Learn how to use the Analysis_Help</v>
      </c>
      <c r="AA514" t="s">
        <v>117</v>
      </c>
      <c r="AB514" t="b">
        <f>ISNUMBER(MATCH(AA510,_xlfn.ANCHORARRAY(AC510),0))</f>
        <v>0</v>
      </c>
      <c r="AC514" s="107"/>
      <c r="AD514" s="108"/>
    </row>
    <row r="515" spans="3:30" outlineLevel="1">
      <c r="C515" s="3" t="s">
        <v>565</v>
      </c>
      <c r="D515" s="602">
        <f>_xlfn.XLOOKUP(MD_ProblemPurposes[[#This Row],[PURPOSE]],ProblemData!$E$27:$E$31,ProblemData!$H$27:$H$31,0)</f>
        <v>0</v>
      </c>
      <c r="F515" s="194"/>
      <c r="AA515" t="s">
        <v>125</v>
      </c>
      <c r="AB515" t="b">
        <f>ISNUMBER(MATCH(AA510,_xlfn.ANCHORARRAY(AD510),0))</f>
        <v>0</v>
      </c>
      <c r="AC515" s="107"/>
      <c r="AD515" s="108"/>
    </row>
    <row r="516" spans="3:30" outlineLevel="1">
      <c r="C516" s="2" t="s">
        <v>566</v>
      </c>
      <c r="D516" s="602">
        <f>_xlfn.XLOOKUP(MD_ProblemPurposes[[#This Row],[PURPOSE]],ProblemData!$E$27:$E$31,ProblemData!$H$27:$H$31,0)</f>
        <v>0</v>
      </c>
      <c r="F516" s="194"/>
      <c r="AC516" s="107"/>
      <c r="AD516" s="108"/>
    </row>
    <row r="517" spans="3:30" outlineLevel="1">
      <c r="C517" s="3" t="s">
        <v>567</v>
      </c>
      <c r="D517" s="602">
        <f>_xlfn.XLOOKUP(MD_ProblemPurposes[[#This Row],[PURPOSE]],ProblemData!$E$27:$E$31,ProblemData!$H$27:$H$31,0)</f>
        <v>0</v>
      </c>
      <c r="F517" s="194"/>
      <c r="AA517" s="5" t="s">
        <v>105</v>
      </c>
      <c r="AC517" s="107"/>
      <c r="AD517" s="108"/>
    </row>
    <row r="518" spans="3:30" outlineLevel="1">
      <c r="C518" s="2" t="s">
        <v>568</v>
      </c>
      <c r="D518" s="602">
        <f>_xlfn.XLOOKUP(MD_ProblemPurposes[[#This Row],[PURPOSE]],ProblemData!$E$27:$E$31,ProblemData!$H$27:$H$31,0)</f>
        <v>0</v>
      </c>
      <c r="F518" s="194"/>
      <c r="AA518" t="s">
        <v>117</v>
      </c>
      <c r="AB518" t="b">
        <f>ISNUMBER(MATCH(AA511,AD491:AD506,0))</f>
        <v>0</v>
      </c>
      <c r="AC518" s="107"/>
      <c r="AD518" s="108"/>
    </row>
    <row r="519" spans="3:30" outlineLevel="1">
      <c r="C519" s="3" t="s">
        <v>569</v>
      </c>
      <c r="D519" s="602">
        <f>_xlfn.XLOOKUP(MD_ProblemPurposes[[#This Row],[PURPOSE]],ProblemData!$E$27:$E$31,ProblemData!$H$27:$H$31,0)</f>
        <v>0</v>
      </c>
      <c r="F519" s="194"/>
      <c r="AA519" t="s">
        <v>125</v>
      </c>
      <c r="AB519" t="b">
        <f>ISNUMBER(MATCH(AA511,AE491:AE506,0))</f>
        <v>0</v>
      </c>
      <c r="AC519" s="107"/>
      <c r="AD519" s="108"/>
    </row>
    <row r="520" spans="3:30" outlineLevel="1">
      <c r="C520" s="2" t="s">
        <v>570</v>
      </c>
      <c r="D520" s="602">
        <f>_xlfn.XLOOKUP(MD_ProblemPurposes[[#This Row],[PURPOSE]],ProblemData!$E$27:$E$31,ProblemData!$H$27:$H$31,0)</f>
        <v>0</v>
      </c>
      <c r="F520" s="194"/>
      <c r="AC520" s="107"/>
      <c r="AD520" s="108"/>
    </row>
    <row r="521" spans="3:30" outlineLevel="1">
      <c r="C521" s="3" t="s">
        <v>571</v>
      </c>
      <c r="D521" s="602">
        <f>_xlfn.XLOOKUP(MD_ProblemPurposes[[#This Row],[PURPOSE]],ProblemData!$E$27:$E$31,ProblemData!$H$27:$H$31,0)</f>
        <v>0</v>
      </c>
      <c r="F521" s="194"/>
      <c r="AC521" s="107"/>
      <c r="AD521" s="108"/>
    </row>
    <row r="522" spans="3:30" outlineLevel="1">
      <c r="C522" s="2" t="s">
        <v>572</v>
      </c>
      <c r="D522" s="602">
        <f>_xlfn.XLOOKUP(MD_ProblemPurposes[[#This Row],[PURPOSE]],ProblemData!$E$27:$E$31,ProblemData!$H$27:$H$31,0)</f>
        <v>0</v>
      </c>
      <c r="F522" s="194"/>
      <c r="AC522" s="107"/>
      <c r="AD522" s="108"/>
    </row>
    <row r="523" spans="3:30" outlineLevel="1">
      <c r="C523" s="3" t="s">
        <v>573</v>
      </c>
      <c r="D523" s="602">
        <f>_xlfn.XLOOKUP(MD_ProblemPurposes[[#This Row],[PURPOSE]],ProblemData!$E$27:$E$31,ProblemData!$H$27:$H$31,0)</f>
        <v>0</v>
      </c>
      <c r="F523" s="194"/>
      <c r="AC523" s="107"/>
      <c r="AD523" s="108"/>
    </row>
    <row r="524" spans="3:30" ht="15" outlineLevel="1" thickBot="1">
      <c r="C524" s="2" t="s">
        <v>574</v>
      </c>
      <c r="D524" s="602">
        <f>_xlfn.XLOOKUP(MD_ProblemPurposes[[#This Row],[PURPOSE]],ProblemData!$E$27:$E$31,ProblemData!$H$27:$H$31,0)</f>
        <v>0</v>
      </c>
      <c r="F524" s="194"/>
      <c r="AC524" s="109"/>
      <c r="AD524" s="110"/>
    </row>
    <row r="525" spans="3:30" outlineLevel="1">
      <c r="C525" s="3" t="s">
        <v>575</v>
      </c>
      <c r="D525" s="602">
        <f>_xlfn.XLOOKUP(MD_ProblemPurposes[[#This Row],[PURPOSE]],ProblemData!$E$27:$E$31,ProblemData!$H$27:$H$31,0)</f>
        <v>0</v>
      </c>
      <c r="F525" s="194"/>
    </row>
    <row r="526" spans="3:30" outlineLevel="1">
      <c r="C526" s="2" t="s">
        <v>576</v>
      </c>
      <c r="D526" s="602">
        <f>_xlfn.XLOOKUP(MD_ProblemPurposes[[#This Row],[PURPOSE]],ProblemData!$E$27:$E$31,ProblemData!$H$27:$H$31,0)</f>
        <v>0</v>
      </c>
      <c r="F526" s="194"/>
    </row>
    <row r="527" spans="3:30" outlineLevel="1">
      <c r="C527" s="3" t="s">
        <v>577</v>
      </c>
      <c r="D527" s="602">
        <f>_xlfn.XLOOKUP(MD_ProblemPurposes[[#This Row],[PURPOSE]],ProblemData!$E$27:$E$31,ProblemData!$H$27:$H$31,0)</f>
        <v>0</v>
      </c>
      <c r="F527" s="194"/>
    </row>
    <row r="528" spans="3:30" outlineLevel="1">
      <c r="C528" s="3" t="s">
        <v>578</v>
      </c>
      <c r="D528" s="602">
        <f>_xlfn.XLOOKUP(MD_ProblemPurposes[[#This Row],[PURPOSE]],ProblemData!$E$27:$E$31,ProblemData!$H$27:$H$31,0)</f>
        <v>0</v>
      </c>
      <c r="F528" s="194"/>
    </row>
    <row r="529" spans="3:6" outlineLevel="1">
      <c r="C529" s="3" t="s">
        <v>579</v>
      </c>
      <c r="D529" s="602">
        <f>_xlfn.XLOOKUP(MD_ProblemPurposes[[#This Row],[PURPOSE]],ProblemData!$E$27:$E$31,ProblemData!$H$27:$H$31,0)</f>
        <v>1</v>
      </c>
      <c r="F529" s="194"/>
    </row>
    <row r="530" spans="3:6" outlineLevel="1">
      <c r="C530" s="3" t="s">
        <v>580</v>
      </c>
      <c r="D530" s="602">
        <f>_xlfn.XLOOKUP(MD_ProblemPurposes[[#This Row],[PURPOSE]],ProblemData!$E$27:$E$31,ProblemData!$H$27:$H$31,0)</f>
        <v>0</v>
      </c>
      <c r="F530" s="194"/>
    </row>
    <row r="531" spans="3:6" ht="15" outlineLevel="1" thickBot="1">
      <c r="C531" s="51" t="s">
        <v>581</v>
      </c>
      <c r="D531" s="602">
        <f>_xlfn.XLOOKUP(MD_ProblemPurposes[[#This Row],[PURPOSE]],ProblemData!$E$27:$E$31,ProblemData!$H$27:$H$31,0)</f>
        <v>0</v>
      </c>
      <c r="F531" s="195"/>
    </row>
    <row r="532" spans="3:6" outlineLevel="1"/>
    <row r="533" spans="3:6" outlineLevel="1"/>
    <row r="534" spans="3:6" outlineLevel="1"/>
    <row r="535" spans="3:6" outlineLevel="1"/>
    <row r="536" spans="3:6" outlineLevel="1">
      <c r="C536" t="s">
        <v>582</v>
      </c>
    </row>
    <row r="537" spans="3:6" outlineLevel="1">
      <c r="C537" t="s">
        <v>583</v>
      </c>
    </row>
    <row r="538" spans="3:6" outlineLevel="1">
      <c r="C538" t="s">
        <v>584</v>
      </c>
    </row>
    <row r="539" spans="3:6" outlineLevel="1">
      <c r="C539" t="s">
        <v>585</v>
      </c>
    </row>
    <row r="540" spans="3:6" outlineLevel="1">
      <c r="C540" t="s">
        <v>586</v>
      </c>
    </row>
    <row r="541" spans="3:6" outlineLevel="1">
      <c r="C541" t="s">
        <v>587</v>
      </c>
    </row>
    <row r="542" spans="3:6" outlineLevel="1">
      <c r="C542" t="s">
        <v>588</v>
      </c>
    </row>
    <row r="543" spans="3:6" outlineLevel="1">
      <c r="C543" t="s">
        <v>589</v>
      </c>
    </row>
    <row r="544" spans="3:6" outlineLevel="1">
      <c r="C544" t="s">
        <v>590</v>
      </c>
    </row>
    <row r="545" spans="3:4" outlineLevel="1">
      <c r="C545" t="s">
        <v>591</v>
      </c>
    </row>
    <row r="546" spans="3:4" outlineLevel="1">
      <c r="C546" t="s">
        <v>592</v>
      </c>
    </row>
    <row r="547" spans="3:4" outlineLevel="1"/>
    <row r="548" spans="3:4" outlineLevel="1">
      <c r="C548" s="345" t="s">
        <v>40</v>
      </c>
    </row>
    <row r="549" spans="3:4" outlineLevel="1">
      <c r="C549" s="4" t="s">
        <v>593</v>
      </c>
    </row>
    <row r="550" spans="3:4" outlineLevel="1">
      <c r="C550" s="3" t="s">
        <v>594</v>
      </c>
    </row>
    <row r="551" spans="3:4" outlineLevel="1">
      <c r="C551" s="2" t="s">
        <v>595</v>
      </c>
    </row>
    <row r="552" spans="3:4" outlineLevel="1">
      <c r="C552" s="3" t="s">
        <v>596</v>
      </c>
      <c r="D552" s="11"/>
    </row>
    <row r="553" spans="3:4" outlineLevel="1">
      <c r="C553" s="2" t="s">
        <v>597</v>
      </c>
    </row>
    <row r="554" spans="3:4" outlineLevel="1">
      <c r="C554" s="3" t="s">
        <v>598</v>
      </c>
    </row>
    <row r="555" spans="3:4" outlineLevel="1">
      <c r="C555" s="2" t="s">
        <v>599</v>
      </c>
    </row>
    <row r="556" spans="3:4" outlineLevel="1">
      <c r="C556" s="3" t="s">
        <v>600</v>
      </c>
    </row>
    <row r="557" spans="3:4" outlineLevel="1">
      <c r="C557" s="2" t="s">
        <v>601</v>
      </c>
    </row>
    <row r="558" spans="3:4" outlineLevel="1">
      <c r="C558" s="3" t="s">
        <v>602</v>
      </c>
    </row>
    <row r="559" spans="3:4" outlineLevel="1">
      <c r="C559" s="4" t="s">
        <v>603</v>
      </c>
    </row>
    <row r="560" spans="3:4" outlineLevel="1">
      <c r="C560" s="3" t="s">
        <v>604</v>
      </c>
    </row>
    <row r="561" spans="2:7" outlineLevel="1">
      <c r="C561" s="4"/>
    </row>
    <row r="562" spans="2:7" outlineLevel="1">
      <c r="C562" s="3"/>
    </row>
    <row r="563" spans="2:7" outlineLevel="1">
      <c r="C563" s="4"/>
    </row>
    <row r="564" spans="2:7" outlineLevel="1"/>
    <row r="565" spans="2:7" outlineLevel="1"/>
    <row r="566" spans="2:7" outlineLevel="1"/>
    <row r="567" spans="2:7" outlineLevel="1"/>
    <row r="568" spans="2:7" outlineLevel="1"/>
    <row r="569" spans="2:7" outlineLevel="1">
      <c r="G569" s="11"/>
    </row>
    <row r="570" spans="2:7" outlineLevel="1">
      <c r="B570" s="46" t="s">
        <v>605</v>
      </c>
      <c r="C570" s="47" t="s">
        <v>40</v>
      </c>
      <c r="D570" s="47" t="s">
        <v>606</v>
      </c>
      <c r="E570" s="48" t="s">
        <v>607</v>
      </c>
    </row>
    <row r="571" spans="2:7" outlineLevel="1">
      <c r="B571" s="52" t="s">
        <v>349</v>
      </c>
      <c r="C571" s="53" t="s">
        <v>593</v>
      </c>
      <c r="D571" s="50" t="s">
        <v>608</v>
      </c>
      <c r="E571" s="54">
        <v>1</v>
      </c>
    </row>
    <row r="572" spans="2:7" outlineLevel="1">
      <c r="B572" s="55" t="s">
        <v>349</v>
      </c>
      <c r="C572" s="51" t="s">
        <v>594</v>
      </c>
      <c r="D572" s="14" t="s">
        <v>609</v>
      </c>
      <c r="E572" s="56">
        <v>1</v>
      </c>
    </row>
    <row r="573" spans="2:7" outlineLevel="1">
      <c r="B573" s="52" t="s">
        <v>349</v>
      </c>
      <c r="C573" s="49" t="s">
        <v>595</v>
      </c>
      <c r="D573" s="50" t="s">
        <v>52</v>
      </c>
      <c r="E573" s="54">
        <v>1</v>
      </c>
    </row>
    <row r="574" spans="2:7" outlineLevel="1">
      <c r="B574" s="55" t="s">
        <v>349</v>
      </c>
      <c r="C574" s="51" t="s">
        <v>596</v>
      </c>
      <c r="D574" s="14" t="s">
        <v>52</v>
      </c>
      <c r="E574" s="56">
        <v>1</v>
      </c>
    </row>
    <row r="575" spans="2:7" outlineLevel="1">
      <c r="B575" s="52" t="s">
        <v>349</v>
      </c>
      <c r="C575" s="49" t="s">
        <v>597</v>
      </c>
      <c r="D575" s="50" t="s">
        <v>609</v>
      </c>
      <c r="E575" s="54">
        <v>1</v>
      </c>
    </row>
    <row r="576" spans="2:7" outlineLevel="1">
      <c r="B576" s="55" t="s">
        <v>349</v>
      </c>
      <c r="C576" s="51" t="s">
        <v>598</v>
      </c>
      <c r="D576" s="14" t="s">
        <v>609</v>
      </c>
      <c r="E576" s="56">
        <v>1</v>
      </c>
    </row>
    <row r="577" spans="2:5" outlineLevel="1">
      <c r="B577" s="52" t="s">
        <v>349</v>
      </c>
      <c r="C577" s="49" t="s">
        <v>599</v>
      </c>
      <c r="D577" s="50" t="s">
        <v>609</v>
      </c>
      <c r="E577" s="54">
        <v>1</v>
      </c>
    </row>
    <row r="578" spans="2:5" outlineLevel="1">
      <c r="B578" s="55" t="s">
        <v>345</v>
      </c>
      <c r="C578" s="51" t="s">
        <v>610</v>
      </c>
      <c r="D578" s="14" t="s">
        <v>609</v>
      </c>
      <c r="E578" s="56">
        <v>1</v>
      </c>
    </row>
    <row r="579" spans="2:5" outlineLevel="1">
      <c r="B579" s="52" t="s">
        <v>345</v>
      </c>
      <c r="C579" s="49" t="s">
        <v>611</v>
      </c>
      <c r="D579" s="50" t="s">
        <v>612</v>
      </c>
      <c r="E579" s="54">
        <v>1</v>
      </c>
    </row>
    <row r="580" spans="2:5" outlineLevel="1">
      <c r="B580" s="55" t="s">
        <v>345</v>
      </c>
      <c r="C580" s="51" t="s">
        <v>613</v>
      </c>
      <c r="D580" s="14" t="s">
        <v>609</v>
      </c>
      <c r="E580" s="56">
        <v>1</v>
      </c>
    </row>
    <row r="581" spans="2:5" outlineLevel="1">
      <c r="B581" s="52" t="s">
        <v>349</v>
      </c>
      <c r="C581" s="53" t="s">
        <v>593</v>
      </c>
      <c r="D581" s="50" t="s">
        <v>608</v>
      </c>
      <c r="E581" s="54">
        <v>2</v>
      </c>
    </row>
    <row r="582" spans="2:5" outlineLevel="1">
      <c r="B582" s="55" t="s">
        <v>349</v>
      </c>
      <c r="C582" s="51" t="s">
        <v>614</v>
      </c>
      <c r="D582" s="14" t="s">
        <v>615</v>
      </c>
      <c r="E582" s="56">
        <v>2</v>
      </c>
    </row>
    <row r="583" spans="2:5" outlineLevel="1">
      <c r="B583" s="52" t="s">
        <v>349</v>
      </c>
      <c r="C583" s="49" t="s">
        <v>595</v>
      </c>
      <c r="D583" s="50" t="s">
        <v>52</v>
      </c>
      <c r="E583" s="54">
        <v>2</v>
      </c>
    </row>
    <row r="584" spans="2:5" outlineLevel="1">
      <c r="B584" s="55" t="s">
        <v>349</v>
      </c>
      <c r="C584" s="51" t="s">
        <v>596</v>
      </c>
      <c r="D584" s="14" t="s">
        <v>52</v>
      </c>
      <c r="E584" s="56">
        <v>2</v>
      </c>
    </row>
    <row r="585" spans="2:5" outlineLevel="1">
      <c r="B585" s="52" t="s">
        <v>349</v>
      </c>
      <c r="C585" s="49" t="s">
        <v>597</v>
      </c>
      <c r="D585" s="50" t="s">
        <v>615</v>
      </c>
      <c r="E585" s="54">
        <v>2</v>
      </c>
    </row>
    <row r="586" spans="2:5" outlineLevel="1">
      <c r="B586" s="55" t="s">
        <v>349</v>
      </c>
      <c r="C586" s="51" t="s">
        <v>598</v>
      </c>
      <c r="D586" s="14" t="s">
        <v>615</v>
      </c>
      <c r="E586" s="56">
        <v>2</v>
      </c>
    </row>
    <row r="587" spans="2:5" outlineLevel="1">
      <c r="B587" s="52" t="s">
        <v>349</v>
      </c>
      <c r="C587" s="49" t="s">
        <v>616</v>
      </c>
      <c r="D587" s="50" t="s">
        <v>615</v>
      </c>
      <c r="E587" s="54">
        <v>2</v>
      </c>
    </row>
    <row r="588" spans="2:5" outlineLevel="1">
      <c r="B588" s="55" t="s">
        <v>349</v>
      </c>
      <c r="C588" s="51" t="s">
        <v>610</v>
      </c>
      <c r="D588" s="14" t="s">
        <v>615</v>
      </c>
      <c r="E588" s="56">
        <v>2</v>
      </c>
    </row>
    <row r="589" spans="2:5" outlineLevel="1">
      <c r="B589" s="52" t="s">
        <v>349</v>
      </c>
      <c r="C589" s="49" t="s">
        <v>611</v>
      </c>
      <c r="D589" s="50" t="s">
        <v>612</v>
      </c>
      <c r="E589" s="54">
        <v>2</v>
      </c>
    </row>
    <row r="590" spans="2:5" outlineLevel="1">
      <c r="B590" s="55" t="s">
        <v>349</v>
      </c>
      <c r="C590" s="51" t="s">
        <v>613</v>
      </c>
      <c r="D590" s="14" t="s">
        <v>615</v>
      </c>
      <c r="E590" s="56">
        <v>2</v>
      </c>
    </row>
    <row r="591" spans="2:5" outlineLevel="1">
      <c r="B591" s="52" t="s">
        <v>349</v>
      </c>
      <c r="C591" s="53" t="s">
        <v>593</v>
      </c>
      <c r="D591" s="50" t="s">
        <v>608</v>
      </c>
      <c r="E591" s="54">
        <v>3</v>
      </c>
    </row>
    <row r="592" spans="2:5" outlineLevel="1">
      <c r="B592" s="55" t="s">
        <v>349</v>
      </c>
      <c r="C592" s="51" t="s">
        <v>614</v>
      </c>
      <c r="D592" s="14" t="s">
        <v>617</v>
      </c>
      <c r="E592" s="56">
        <v>3</v>
      </c>
    </row>
    <row r="593" spans="2:5" outlineLevel="1">
      <c r="B593" s="52" t="s">
        <v>349</v>
      </c>
      <c r="C593" s="49" t="s">
        <v>595</v>
      </c>
      <c r="D593" s="50" t="s">
        <v>52</v>
      </c>
      <c r="E593" s="54">
        <v>3</v>
      </c>
    </row>
    <row r="594" spans="2:5" outlineLevel="1">
      <c r="B594" s="55" t="s">
        <v>349</v>
      </c>
      <c r="C594" s="51" t="s">
        <v>596</v>
      </c>
      <c r="D594" s="14" t="s">
        <v>52</v>
      </c>
      <c r="E594" s="56">
        <v>3</v>
      </c>
    </row>
    <row r="595" spans="2:5" outlineLevel="1">
      <c r="B595" s="52" t="s">
        <v>349</v>
      </c>
      <c r="C595" s="49" t="s">
        <v>618</v>
      </c>
      <c r="D595" s="50" t="s">
        <v>617</v>
      </c>
      <c r="E595" s="54">
        <v>3</v>
      </c>
    </row>
    <row r="596" spans="2:5" outlineLevel="1">
      <c r="B596" s="55" t="s">
        <v>349</v>
      </c>
      <c r="C596" s="51" t="s">
        <v>598</v>
      </c>
      <c r="D596" s="14" t="s">
        <v>617</v>
      </c>
      <c r="E596" s="56">
        <v>3</v>
      </c>
    </row>
    <row r="597" spans="2:5" outlineLevel="1">
      <c r="B597" s="52" t="s">
        <v>349</v>
      </c>
      <c r="C597" s="49" t="s">
        <v>616</v>
      </c>
      <c r="D597" s="50" t="s">
        <v>617</v>
      </c>
      <c r="E597" s="54">
        <v>3</v>
      </c>
    </row>
    <row r="598" spans="2:5" outlineLevel="1">
      <c r="B598" s="55" t="s">
        <v>349</v>
      </c>
      <c r="C598" s="51" t="s">
        <v>610</v>
      </c>
      <c r="D598" s="14" t="s">
        <v>617</v>
      </c>
      <c r="E598" s="56">
        <v>3</v>
      </c>
    </row>
    <row r="599" spans="2:5" outlineLevel="1">
      <c r="B599" s="52" t="s">
        <v>349</v>
      </c>
      <c r="C599" s="49" t="s">
        <v>611</v>
      </c>
      <c r="D599" s="50" t="s">
        <v>612</v>
      </c>
      <c r="E599" s="54">
        <v>3</v>
      </c>
    </row>
    <row r="600" spans="2:5" outlineLevel="1">
      <c r="B600" s="55" t="s">
        <v>349</v>
      </c>
      <c r="C600" s="51" t="s">
        <v>613</v>
      </c>
      <c r="D600" s="14" t="s">
        <v>617</v>
      </c>
      <c r="E600" s="56">
        <v>3</v>
      </c>
    </row>
    <row r="601" spans="2:5" outlineLevel="1">
      <c r="B601" s="52" t="s">
        <v>349</v>
      </c>
      <c r="C601" s="53" t="s">
        <v>593</v>
      </c>
      <c r="D601" s="50" t="s">
        <v>608</v>
      </c>
      <c r="E601" s="54">
        <v>4</v>
      </c>
    </row>
    <row r="602" spans="2:5" outlineLevel="1">
      <c r="B602" s="55" t="s">
        <v>349</v>
      </c>
      <c r="C602" s="51" t="s">
        <v>614</v>
      </c>
      <c r="D602" s="14" t="s">
        <v>619</v>
      </c>
      <c r="E602" s="56">
        <v>4</v>
      </c>
    </row>
    <row r="603" spans="2:5" outlineLevel="1">
      <c r="B603" s="52" t="s">
        <v>349</v>
      </c>
      <c r="C603" s="49" t="s">
        <v>595</v>
      </c>
      <c r="D603" s="50" t="s">
        <v>52</v>
      </c>
      <c r="E603" s="54">
        <v>4</v>
      </c>
    </row>
    <row r="604" spans="2:5" outlineLevel="1">
      <c r="B604" s="55" t="s">
        <v>349</v>
      </c>
      <c r="C604" s="51" t="s">
        <v>596</v>
      </c>
      <c r="D604" s="14" t="s">
        <v>52</v>
      </c>
      <c r="E604" s="56">
        <v>4</v>
      </c>
    </row>
    <row r="605" spans="2:5" outlineLevel="1">
      <c r="B605" s="52" t="s">
        <v>349</v>
      </c>
      <c r="C605" s="49" t="s">
        <v>618</v>
      </c>
      <c r="D605" s="50" t="s">
        <v>619</v>
      </c>
      <c r="E605" s="54">
        <v>4</v>
      </c>
    </row>
    <row r="606" spans="2:5" outlineLevel="1">
      <c r="B606" s="55" t="s">
        <v>349</v>
      </c>
      <c r="C606" s="51" t="s">
        <v>620</v>
      </c>
      <c r="D606" s="14" t="s">
        <v>619</v>
      </c>
      <c r="E606" s="56">
        <v>4</v>
      </c>
    </row>
    <row r="607" spans="2:5" outlineLevel="1">
      <c r="B607" s="52" t="s">
        <v>349</v>
      </c>
      <c r="C607" s="49" t="s">
        <v>616</v>
      </c>
      <c r="D607" s="50" t="s">
        <v>619</v>
      </c>
      <c r="E607" s="54">
        <v>4</v>
      </c>
    </row>
    <row r="608" spans="2:5" outlineLevel="1">
      <c r="B608" s="55" t="s">
        <v>349</v>
      </c>
      <c r="C608" s="51" t="s">
        <v>610</v>
      </c>
      <c r="D608" s="14" t="s">
        <v>619</v>
      </c>
      <c r="E608" s="56">
        <v>4</v>
      </c>
    </row>
    <row r="609" spans="2:5" outlineLevel="1">
      <c r="B609" s="52" t="s">
        <v>349</v>
      </c>
      <c r="C609" s="49" t="s">
        <v>611</v>
      </c>
      <c r="D609" s="50" t="s">
        <v>612</v>
      </c>
      <c r="E609" s="54">
        <v>4</v>
      </c>
    </row>
    <row r="610" spans="2:5" outlineLevel="1">
      <c r="B610" s="55" t="s">
        <v>349</v>
      </c>
      <c r="C610" s="51" t="s">
        <v>613</v>
      </c>
      <c r="D610" s="14" t="s">
        <v>619</v>
      </c>
      <c r="E610" s="56">
        <v>4</v>
      </c>
    </row>
    <row r="611" spans="2:5" outlineLevel="1">
      <c r="B611" s="52" t="s">
        <v>349</v>
      </c>
      <c r="C611" s="53" t="s">
        <v>593</v>
      </c>
      <c r="D611" s="50" t="s">
        <v>608</v>
      </c>
      <c r="E611" s="54">
        <v>5</v>
      </c>
    </row>
    <row r="612" spans="2:5" outlineLevel="1">
      <c r="B612" s="55" t="s">
        <v>349</v>
      </c>
      <c r="C612" s="51" t="s">
        <v>614</v>
      </c>
      <c r="D612" s="14" t="s">
        <v>621</v>
      </c>
      <c r="E612" s="56">
        <v>5</v>
      </c>
    </row>
    <row r="613" spans="2:5" outlineLevel="1">
      <c r="B613" s="52" t="s">
        <v>349</v>
      </c>
      <c r="C613" s="49" t="s">
        <v>595</v>
      </c>
      <c r="D613" s="50" t="s">
        <v>52</v>
      </c>
      <c r="E613" s="54">
        <v>5</v>
      </c>
    </row>
    <row r="614" spans="2:5" outlineLevel="1">
      <c r="B614" s="55" t="s">
        <v>349</v>
      </c>
      <c r="C614" s="51" t="s">
        <v>596</v>
      </c>
      <c r="D614" s="14" t="s">
        <v>52</v>
      </c>
      <c r="E614" s="56">
        <v>5</v>
      </c>
    </row>
    <row r="615" spans="2:5" outlineLevel="1">
      <c r="B615" s="52" t="s">
        <v>349</v>
      </c>
      <c r="C615" s="49" t="s">
        <v>618</v>
      </c>
      <c r="D615" s="50" t="s">
        <v>621</v>
      </c>
      <c r="E615" s="54">
        <v>5</v>
      </c>
    </row>
    <row r="616" spans="2:5" outlineLevel="1">
      <c r="B616" s="55" t="s">
        <v>349</v>
      </c>
      <c r="C616" s="51" t="s">
        <v>620</v>
      </c>
      <c r="D616" s="14" t="s">
        <v>621</v>
      </c>
      <c r="E616" s="56">
        <v>5</v>
      </c>
    </row>
    <row r="617" spans="2:5" outlineLevel="1">
      <c r="B617" s="52" t="s">
        <v>349</v>
      </c>
      <c r="C617" s="49" t="s">
        <v>616</v>
      </c>
      <c r="D617" s="50" t="s">
        <v>621</v>
      </c>
      <c r="E617" s="54">
        <v>5</v>
      </c>
    </row>
    <row r="618" spans="2:5" outlineLevel="1">
      <c r="B618" s="55" t="s">
        <v>349</v>
      </c>
      <c r="C618" s="51" t="s">
        <v>622</v>
      </c>
      <c r="D618" s="14" t="s">
        <v>621</v>
      </c>
      <c r="E618" s="56">
        <v>5</v>
      </c>
    </row>
    <row r="619" spans="2:5" outlineLevel="1">
      <c r="B619" s="52" t="s">
        <v>349</v>
      </c>
      <c r="C619" s="49" t="s">
        <v>611</v>
      </c>
      <c r="D619" s="50" t="s">
        <v>612</v>
      </c>
      <c r="E619" s="54">
        <v>5</v>
      </c>
    </row>
    <row r="620" spans="2:5" outlineLevel="1">
      <c r="B620" s="55" t="s">
        <v>349</v>
      </c>
      <c r="C620" s="51" t="s">
        <v>613</v>
      </c>
      <c r="D620" s="14" t="s">
        <v>621</v>
      </c>
      <c r="E620" s="56">
        <v>5</v>
      </c>
    </row>
    <row r="621" spans="2:5" outlineLevel="1">
      <c r="B621" s="52" t="s">
        <v>349</v>
      </c>
      <c r="C621" s="53" t="s">
        <v>593</v>
      </c>
      <c r="D621" s="50" t="s">
        <v>608</v>
      </c>
      <c r="E621" s="54">
        <v>6</v>
      </c>
    </row>
    <row r="622" spans="2:5" outlineLevel="1">
      <c r="B622" s="55" t="s">
        <v>349</v>
      </c>
      <c r="C622" s="51" t="s">
        <v>614</v>
      </c>
      <c r="D622" s="14" t="s">
        <v>621</v>
      </c>
      <c r="E622" s="56">
        <v>6</v>
      </c>
    </row>
    <row r="623" spans="2:5" outlineLevel="1">
      <c r="B623" s="52" t="s">
        <v>349</v>
      </c>
      <c r="C623" s="49" t="s">
        <v>595</v>
      </c>
      <c r="D623" s="50" t="s">
        <v>52</v>
      </c>
      <c r="E623" s="54">
        <v>6</v>
      </c>
    </row>
    <row r="624" spans="2:5" outlineLevel="1">
      <c r="B624" s="55" t="s">
        <v>349</v>
      </c>
      <c r="C624" s="51" t="s">
        <v>596</v>
      </c>
      <c r="D624" s="14" t="s">
        <v>52</v>
      </c>
      <c r="E624" s="56">
        <v>6</v>
      </c>
    </row>
    <row r="625" spans="2:5" outlineLevel="1">
      <c r="B625" s="52" t="s">
        <v>349</v>
      </c>
      <c r="C625" s="49" t="s">
        <v>618</v>
      </c>
      <c r="D625" s="50" t="s">
        <v>621</v>
      </c>
      <c r="E625" s="54">
        <v>6</v>
      </c>
    </row>
    <row r="626" spans="2:5" outlineLevel="1">
      <c r="B626" s="55" t="s">
        <v>349</v>
      </c>
      <c r="C626" s="51" t="s">
        <v>620</v>
      </c>
      <c r="D626" s="14" t="s">
        <v>621</v>
      </c>
      <c r="E626" s="56">
        <v>6</v>
      </c>
    </row>
    <row r="627" spans="2:5" outlineLevel="1">
      <c r="B627" s="52" t="s">
        <v>349</v>
      </c>
      <c r="C627" s="49" t="s">
        <v>616</v>
      </c>
      <c r="D627" s="50" t="s">
        <v>621</v>
      </c>
      <c r="E627" s="54">
        <v>6</v>
      </c>
    </row>
    <row r="628" spans="2:5" outlineLevel="1">
      <c r="B628" s="57" t="s">
        <v>349</v>
      </c>
      <c r="C628" s="3" t="s">
        <v>623</v>
      </c>
      <c r="D628" s="8" t="s">
        <v>621</v>
      </c>
      <c r="E628" s="58">
        <v>6</v>
      </c>
    </row>
    <row r="629" spans="2:5" outlineLevel="1"/>
    <row r="630" spans="2:5" outlineLevel="1"/>
    <row r="631" spans="2:5" outlineLevel="1">
      <c r="C631" t="s">
        <v>624</v>
      </c>
    </row>
    <row r="632" spans="2:5" outlineLevel="1">
      <c r="C632" t="s">
        <v>625</v>
      </c>
    </row>
    <row r="633" spans="2:5" outlineLevel="1">
      <c r="C633" t="s">
        <v>586</v>
      </c>
    </row>
    <row r="634" spans="2:5" outlineLevel="1">
      <c r="C634" t="s">
        <v>587</v>
      </c>
    </row>
    <row r="635" spans="2:5" outlineLevel="1">
      <c r="C635" t="s">
        <v>626</v>
      </c>
    </row>
    <row r="636" spans="2:5" outlineLevel="1">
      <c r="C636" t="s">
        <v>627</v>
      </c>
    </row>
    <row r="637" spans="2:5" outlineLevel="1"/>
    <row r="638" spans="2:5" outlineLevel="1">
      <c r="C638" t="s">
        <v>628</v>
      </c>
    </row>
    <row r="639" spans="2:5" outlineLevel="1">
      <c r="C639" t="s">
        <v>629</v>
      </c>
    </row>
    <row r="640" spans="2:5" outlineLevel="1">
      <c r="C640" t="str">
        <f>"for the "&amp;Period&amp;" Ended"</f>
        <v>for the Year Ended</v>
      </c>
    </row>
    <row r="641" spans="3:16" outlineLevel="1"/>
    <row r="642" spans="3:16" outlineLevel="1"/>
    <row r="643" spans="3:16" outlineLevel="1">
      <c r="C643" t="s">
        <v>630</v>
      </c>
    </row>
    <row r="644" spans="3:16" outlineLevel="1">
      <c r="C644" t="str">
        <f>BegDate</f>
        <v>12/31/20x0</v>
      </c>
    </row>
    <row r="645" spans="3:16" outlineLevel="1">
      <c r="C645" t="str">
        <f>EndDate</f>
        <v>12/31/20x1</v>
      </c>
    </row>
    <row r="646" spans="3:16" outlineLevel="1"/>
    <row r="647" spans="3:16" outlineLevel="1">
      <c r="C647" t="s">
        <v>624</v>
      </c>
      <c r="D647" t="s">
        <v>631</v>
      </c>
      <c r="E647" t="s">
        <v>632</v>
      </c>
      <c r="F647" t="s">
        <v>633</v>
      </c>
      <c r="G647" t="s">
        <v>634</v>
      </c>
      <c r="H647" t="s">
        <v>635</v>
      </c>
      <c r="I647" t="s">
        <v>636</v>
      </c>
      <c r="J647" t="s">
        <v>36</v>
      </c>
      <c r="K647" t="s">
        <v>637</v>
      </c>
      <c r="L647" t="s">
        <v>638</v>
      </c>
      <c r="M647" t="s">
        <v>639</v>
      </c>
      <c r="N647" t="s">
        <v>640</v>
      </c>
      <c r="O647" t="s">
        <v>255</v>
      </c>
      <c r="P647" t="s">
        <v>641</v>
      </c>
    </row>
    <row r="648" spans="3:16" outlineLevel="1">
      <c r="C648" t="s">
        <v>642</v>
      </c>
      <c r="D648" t="s">
        <v>643</v>
      </c>
      <c r="E648" t="s">
        <v>446</v>
      </c>
      <c r="F648" t="s">
        <v>644</v>
      </c>
      <c r="G648" t="s">
        <v>645</v>
      </c>
      <c r="H648" t="str">
        <f>_xlfn.XLOOKUP(Entities[[#This Row],[End Date]],End,H669:H688)</f>
        <v>3/31/20x6</v>
      </c>
      <c r="I648" t="s">
        <v>646</v>
      </c>
      <c r="J648" t="s">
        <v>452</v>
      </c>
      <c r="K648" s="444">
        <v>1000</v>
      </c>
      <c r="L648">
        <v>60</v>
      </c>
      <c r="M648" t="s">
        <v>458</v>
      </c>
      <c r="N648" t="s">
        <v>462</v>
      </c>
      <c r="O648">
        <v>0</v>
      </c>
      <c r="P648" t="s">
        <v>647</v>
      </c>
    </row>
    <row r="649" spans="3:16" outlineLevel="1">
      <c r="C649" t="s">
        <v>648</v>
      </c>
      <c r="D649" t="s">
        <v>643</v>
      </c>
      <c r="E649" t="s">
        <v>446</v>
      </c>
      <c r="H649">
        <f>_xlfn.XLOOKUP(Entities[[#This Row],[End Date]],End,H670:H689)</f>
        <v>0</v>
      </c>
      <c r="K649" s="444"/>
    </row>
    <row r="650" spans="3:16" outlineLevel="1">
      <c r="C650" t="s">
        <v>649</v>
      </c>
      <c r="D650" t="s">
        <v>643</v>
      </c>
      <c r="E650" t="s">
        <v>449</v>
      </c>
      <c r="H650">
        <f>_xlfn.XLOOKUP(Entities[[#This Row],[End Date]],End,H671:H690)</f>
        <v>0</v>
      </c>
      <c r="K650" s="444"/>
    </row>
    <row r="651" spans="3:16" outlineLevel="1">
      <c r="C651" t="s">
        <v>650</v>
      </c>
      <c r="D651" t="s">
        <v>643</v>
      </c>
      <c r="E651" t="s">
        <v>446</v>
      </c>
      <c r="H651">
        <f>_xlfn.XLOOKUP(Entities[[#This Row],[End Date]],End,H672:H691)</f>
        <v>0</v>
      </c>
      <c r="K651" s="444"/>
    </row>
    <row r="652" spans="3:16" outlineLevel="1">
      <c r="C652" t="s">
        <v>651</v>
      </c>
      <c r="D652" t="s">
        <v>643</v>
      </c>
      <c r="H652">
        <f>_xlfn.XLOOKUP(Entities[[#This Row],[End Date]],End,H673:H692)</f>
        <v>0</v>
      </c>
      <c r="K652" s="444"/>
    </row>
    <row r="653" spans="3:16" outlineLevel="1">
      <c r="C653" t="s">
        <v>652</v>
      </c>
      <c r="D653" t="s">
        <v>643</v>
      </c>
      <c r="H653">
        <f>_xlfn.XLOOKUP(Entities[[#This Row],[End Date]],End,H674:H693)</f>
        <v>0</v>
      </c>
      <c r="K653" s="444"/>
    </row>
    <row r="654" spans="3:16" outlineLevel="1">
      <c r="C654" t="s">
        <v>653</v>
      </c>
      <c r="D654" t="s">
        <v>643</v>
      </c>
      <c r="E654" t="s">
        <v>449</v>
      </c>
      <c r="F654" t="s">
        <v>654</v>
      </c>
      <c r="G654" t="s">
        <v>644</v>
      </c>
      <c r="H654" t="str">
        <f>_xlfn.XLOOKUP(Entities[[#This Row],[End Date]],End,H675:H694)</f>
        <v>3/31/20x2</v>
      </c>
      <c r="I654" t="s">
        <v>646</v>
      </c>
      <c r="J654" t="s">
        <v>453</v>
      </c>
      <c r="K654" s="444">
        <v>50000</v>
      </c>
      <c r="L654" t="s">
        <v>92</v>
      </c>
      <c r="M654" t="s">
        <v>458</v>
      </c>
      <c r="N654" t="s">
        <v>462</v>
      </c>
      <c r="O654">
        <v>0</v>
      </c>
      <c r="P654" t="s">
        <v>469</v>
      </c>
    </row>
    <row r="655" spans="3:16" outlineLevel="1">
      <c r="C655" t="s">
        <v>655</v>
      </c>
      <c r="D655" t="s">
        <v>643</v>
      </c>
      <c r="H655">
        <f>_xlfn.XLOOKUP(Entities[[#This Row],[End Date]],End,H676:H695)</f>
        <v>0</v>
      </c>
      <c r="K655" s="444"/>
    </row>
    <row r="656" spans="3:16" outlineLevel="1">
      <c r="C656" t="s">
        <v>656</v>
      </c>
      <c r="D656" t="s">
        <v>643</v>
      </c>
      <c r="H656">
        <f>_xlfn.XLOOKUP(Entities[[#This Row],[End Date]],End,H677:H696)</f>
        <v>0</v>
      </c>
      <c r="K656" s="444"/>
    </row>
    <row r="657" spans="3:16" outlineLevel="1">
      <c r="C657" t="s">
        <v>657</v>
      </c>
      <c r="D657" t="s">
        <v>643</v>
      </c>
      <c r="H657">
        <f>_xlfn.XLOOKUP(Entities[[#This Row],[End Date]],End,H678:H697)</f>
        <v>0</v>
      </c>
      <c r="K657" s="444"/>
    </row>
    <row r="658" spans="3:16" outlineLevel="1">
      <c r="C658" t="s">
        <v>658</v>
      </c>
      <c r="D658" t="s">
        <v>643</v>
      </c>
      <c r="H658">
        <f>_xlfn.XLOOKUP(Entities[[#This Row],[End Date]],End,H679:H698)</f>
        <v>0</v>
      </c>
      <c r="K658" s="444"/>
    </row>
    <row r="659" spans="3:16" outlineLevel="1">
      <c r="C659" t="s">
        <v>659</v>
      </c>
      <c r="D659" t="s">
        <v>643</v>
      </c>
      <c r="H659">
        <f>_xlfn.XLOOKUP(Entities[[#This Row],[End Date]],End,H680:H699)</f>
        <v>0</v>
      </c>
      <c r="K659" s="444"/>
    </row>
    <row r="660" spans="3:16" outlineLevel="1">
      <c r="C660" t="s">
        <v>660</v>
      </c>
      <c r="D660" t="s">
        <v>643</v>
      </c>
      <c r="H660">
        <f>_xlfn.XLOOKUP(Entities[[#This Row],[End Date]],End,H681:H700)</f>
        <v>0</v>
      </c>
      <c r="K660" s="444"/>
    </row>
    <row r="661" spans="3:16" outlineLevel="1">
      <c r="C661" t="s">
        <v>661</v>
      </c>
      <c r="D661" t="s">
        <v>643</v>
      </c>
      <c r="H661">
        <f>_xlfn.XLOOKUP(Entities[[#This Row],[End Date]],End,H682:H701)</f>
        <v>0</v>
      </c>
      <c r="K661" s="444"/>
    </row>
    <row r="662" spans="3:16" outlineLevel="1">
      <c r="C662" t="s">
        <v>662</v>
      </c>
      <c r="D662" t="s">
        <v>643</v>
      </c>
      <c r="H662">
        <f>_xlfn.XLOOKUP(Entities[[#This Row],[End Date]],End,H683:H702)</f>
        <v>0</v>
      </c>
      <c r="K662" s="444"/>
    </row>
    <row r="663" spans="3:16" outlineLevel="1">
      <c r="C663" t="s">
        <v>663</v>
      </c>
      <c r="D663" t="s">
        <v>643</v>
      </c>
      <c r="H663">
        <f>_xlfn.XLOOKUP(Entities[[#This Row],[End Date]],End,H684:H703)</f>
        <v>0</v>
      </c>
      <c r="K663" s="444"/>
    </row>
    <row r="664" spans="3:16" outlineLevel="1">
      <c r="C664" t="s">
        <v>664</v>
      </c>
      <c r="D664" t="s">
        <v>643</v>
      </c>
      <c r="H664">
        <f>_xlfn.XLOOKUP(Entities[[#This Row],[End Date]],End,H685:H704)</f>
        <v>0</v>
      </c>
      <c r="K664" s="444"/>
    </row>
    <row r="665" spans="3:16" outlineLevel="1">
      <c r="C665" t="s">
        <v>665</v>
      </c>
      <c r="D665" t="s">
        <v>643</v>
      </c>
      <c r="H665">
        <f>_xlfn.XLOOKUP(Entities[[#This Row],[End Date]],End,H686:H705)</f>
        <v>0</v>
      </c>
      <c r="K665" s="444"/>
    </row>
    <row r="666" spans="3:16" outlineLevel="1">
      <c r="C666" t="s">
        <v>666</v>
      </c>
      <c r="D666" t="s">
        <v>440</v>
      </c>
      <c r="E666" t="s">
        <v>449</v>
      </c>
      <c r="F666" t="s">
        <v>667</v>
      </c>
      <c r="G666" t="s">
        <v>668</v>
      </c>
      <c r="H666">
        <f>_xlfn.XLOOKUP(Entities[[#This Row],[End Date]],End,H687:H706)</f>
        <v>0</v>
      </c>
      <c r="I666" t="s">
        <v>669</v>
      </c>
      <c r="J666" t="s">
        <v>452</v>
      </c>
      <c r="K666" s="444">
        <v>191000</v>
      </c>
      <c r="L666">
        <v>1</v>
      </c>
      <c r="M666" t="s">
        <v>458</v>
      </c>
      <c r="N666" t="s">
        <v>462</v>
      </c>
      <c r="O666">
        <v>9000</v>
      </c>
      <c r="P666" t="s">
        <v>469</v>
      </c>
    </row>
    <row r="667" spans="3:16" outlineLevel="1"/>
    <row r="668" spans="3:16" ht="15" outlineLevel="1" thickBot="1">
      <c r="F668" t="s">
        <v>670</v>
      </c>
      <c r="G668" t="s">
        <v>671</v>
      </c>
      <c r="H668" t="s">
        <v>635</v>
      </c>
    </row>
    <row r="669" spans="3:16" outlineLevel="1">
      <c r="F669" s="515" t="s">
        <v>672</v>
      </c>
      <c r="G669" s="515" t="s">
        <v>672</v>
      </c>
      <c r="H669" t="s">
        <v>673</v>
      </c>
    </row>
    <row r="670" spans="3:16" outlineLevel="1">
      <c r="F670" s="516" t="s">
        <v>668</v>
      </c>
      <c r="G670" s="516" t="s">
        <v>668</v>
      </c>
      <c r="H670" t="s">
        <v>674</v>
      </c>
    </row>
    <row r="671" spans="3:16" outlineLevel="1">
      <c r="F671" s="516" t="s">
        <v>675</v>
      </c>
      <c r="G671" s="516" t="s">
        <v>675</v>
      </c>
      <c r="H671" t="s">
        <v>676</v>
      </c>
    </row>
    <row r="672" spans="3:16" outlineLevel="1">
      <c r="F672" s="516" t="s">
        <v>654</v>
      </c>
      <c r="G672" s="516" t="s">
        <v>654</v>
      </c>
      <c r="H672" t="s">
        <v>677</v>
      </c>
    </row>
    <row r="673" spans="6:8" outlineLevel="1">
      <c r="F673" s="516" t="s">
        <v>644</v>
      </c>
      <c r="G673" s="516" t="s">
        <v>644</v>
      </c>
      <c r="H673" t="s">
        <v>678</v>
      </c>
    </row>
    <row r="674" spans="6:8" outlineLevel="1">
      <c r="F674" s="516" t="s">
        <v>645</v>
      </c>
      <c r="G674" s="516" t="s">
        <v>645</v>
      </c>
      <c r="H674" t="s">
        <v>679</v>
      </c>
    </row>
    <row r="675" spans="6:8" outlineLevel="1">
      <c r="F675" s="516" t="s">
        <v>680</v>
      </c>
      <c r="G675" s="516" t="s">
        <v>680</v>
      </c>
      <c r="H675" t="s">
        <v>681</v>
      </c>
    </row>
    <row r="676" spans="6:8" outlineLevel="1">
      <c r="F676" s="516" t="s">
        <v>682</v>
      </c>
      <c r="G676" s="516" t="s">
        <v>682</v>
      </c>
      <c r="H676" t="s">
        <v>683</v>
      </c>
    </row>
    <row r="677" spans="6:8" outlineLevel="1">
      <c r="F677" s="516" t="s">
        <v>684</v>
      </c>
      <c r="G677" s="516" t="s">
        <v>684</v>
      </c>
      <c r="H677" t="s">
        <v>685</v>
      </c>
    </row>
    <row r="678" spans="6:8" outlineLevel="1">
      <c r="F678" s="516" t="s">
        <v>686</v>
      </c>
      <c r="G678" s="516" t="s">
        <v>686</v>
      </c>
      <c r="H678" t="s">
        <v>687</v>
      </c>
    </row>
    <row r="679" spans="6:8" outlineLevel="1">
      <c r="F679" s="516" t="s">
        <v>667</v>
      </c>
      <c r="G679" s="516" t="s">
        <v>668</v>
      </c>
      <c r="H679" t="s">
        <v>674</v>
      </c>
    </row>
    <row r="680" spans="6:8" outlineLevel="1">
      <c r="F680" s="516"/>
      <c r="G680" s="516"/>
    </row>
    <row r="681" spans="6:8" outlineLevel="1">
      <c r="F681" s="516"/>
      <c r="G681" s="516"/>
    </row>
    <row r="682" spans="6:8" outlineLevel="1">
      <c r="F682" s="516"/>
      <c r="G682" s="516"/>
    </row>
    <row r="683" spans="6:8" outlineLevel="1">
      <c r="F683" s="516"/>
      <c r="G683" s="516"/>
    </row>
    <row r="684" spans="6:8" outlineLevel="1">
      <c r="F684" s="516"/>
      <c r="G684" s="516"/>
    </row>
    <row r="685" spans="6:8" outlineLevel="1">
      <c r="F685" s="516"/>
      <c r="G685" s="516"/>
    </row>
    <row r="686" spans="6:8" outlineLevel="1">
      <c r="F686" s="516"/>
      <c r="G686" s="516"/>
    </row>
    <row r="687" spans="6:8" outlineLevel="1">
      <c r="F687" s="516"/>
      <c r="G687" s="516"/>
    </row>
    <row r="688" spans="6:8" ht="15" outlineLevel="1" thickBot="1">
      <c r="F688" s="517"/>
      <c r="G688" s="517"/>
    </row>
    <row r="689" outlineLevel="1"/>
    <row r="690" outlineLevel="1"/>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disablePrompts="1" count="10">
    <dataValidation type="list" allowBlank="1" showInputMessage="1" showErrorMessage="1" sqref="B571:B628" xr:uid="{6A99AC6B-CE6C-4AEF-9583-11AF44136AB4}">
      <formula1>"YES,NO"</formula1>
    </dataValidation>
    <dataValidation type="list" allowBlank="1" showInputMessage="1" showErrorMessage="1" sqref="F7" xr:uid="{54EE3F57-48CE-4938-A1C3-18F961C2F0A5}">
      <formula1>INDIRECT($F$4)</formula1>
    </dataValidation>
    <dataValidation type="list" allowBlank="1" showInputMessage="1" sqref="I648:I666" xr:uid="{ACE6091C-D461-46BE-AC2E-6308D77F9537}">
      <formula1>"Month,Quarter,Year"</formula1>
    </dataValidation>
    <dataValidation type="list" allowBlank="1" showInputMessage="1" showErrorMessage="1" sqref="F648:F666" xr:uid="{BEA88178-6E2F-4731-8473-A267963557A4}">
      <formula1>Begin</formula1>
    </dataValidation>
    <dataValidation type="list" allowBlank="1" showInputMessage="1" showErrorMessage="1" sqref="G648:H666" xr:uid="{E11D3572-BA56-488F-8B23-5339647A402A}">
      <formula1>End</formula1>
    </dataValidation>
    <dataValidation type="list" allowBlank="1" showInputMessage="1" sqref="J648:J666" xr:uid="{56D85DAE-FE92-4A69-B1F5-00DBA19C0A52}">
      <formula1>INDIRECT("MD_Units")</formula1>
    </dataValidation>
    <dataValidation type="list" allowBlank="1" showInputMessage="1" sqref="M648:M666" xr:uid="{30082CF5-4419-49E9-BBB3-D2FE6B471ECE}">
      <formula1>INDIRECT("MD_DepreciationMethod")</formula1>
    </dataValidation>
    <dataValidation type="list" allowBlank="1" showInputMessage="1" sqref="N648:N666" xr:uid="{87A2E872-3687-4F47-8AA4-B3E0E9BC801C}">
      <formula1>INDIRECT("MD_InventoryMethod")</formula1>
    </dataValidation>
    <dataValidation type="list" allowBlank="1" showInputMessage="1" sqref="E648:E666" xr:uid="{221C7C4E-2A82-4AA4-A0C5-AD36F5DACC93}">
      <formula1>INDIRECT("MD_ActivitiesNature")</formula1>
    </dataValidation>
    <dataValidation type="list" allowBlank="1" showInputMessage="1" sqref="P648:P666" xr:uid="{117DF520-5F2B-465B-BECD-1B639AC32FA8}">
      <formula1>INDIRECT("MD_RevenueRecognition")</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875"/>
  <sheetViews>
    <sheetView topLeftCell="A57" workbookViewId="0">
      <selection activeCell="E853" sqref="E853"/>
    </sheetView>
  </sheetViews>
  <sheetFormatPr defaultRowHeight="14.45" outlineLevelRow="1"/>
  <cols>
    <col min="1" max="1" width="5.140625" customWidth="1"/>
    <col min="2" max="3" width="6"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45">
      <c r="B1" s="17" t="s">
        <v>688</v>
      </c>
      <c r="C1" s="18"/>
      <c r="D1" s="18"/>
      <c r="E1" s="18"/>
      <c r="F1" s="18"/>
      <c r="G1" s="18"/>
      <c r="H1" s="18"/>
      <c r="I1" s="18"/>
      <c r="J1" s="18"/>
      <c r="K1" s="18"/>
      <c r="L1" s="18"/>
      <c r="M1" s="18"/>
      <c r="N1" s="18"/>
    </row>
    <row r="2" spans="2:14" ht="15" hidden="1" outlineLevel="1" thickBot="1"/>
    <row r="3" spans="2:14" ht="15" hidden="1" outlineLevel="1" thickBot="1">
      <c r="D3" s="296" t="s">
        <v>689</v>
      </c>
      <c r="E3" s="573" t="s">
        <v>690</v>
      </c>
    </row>
    <row r="4" spans="2:14" ht="15" hidden="1" outlineLevel="1" thickBot="1">
      <c r="D4" s="574" t="s">
        <v>691</v>
      </c>
      <c r="E4" s="575" t="b">
        <v>1</v>
      </c>
    </row>
    <row r="5" spans="2:14" hidden="1" outlineLevel="1">
      <c r="D5" s="574" t="s">
        <v>692</v>
      </c>
      <c r="E5" s="575" t="b">
        <v>0</v>
      </c>
    </row>
    <row r="6" spans="2:14" hidden="1" outlineLevel="1">
      <c r="D6" s="564" t="s">
        <v>36</v>
      </c>
      <c r="E6" s="562" t="b">
        <v>0</v>
      </c>
    </row>
    <row r="7" spans="2:14" hidden="1" outlineLevel="1">
      <c r="D7" s="564" t="s">
        <v>693</v>
      </c>
      <c r="E7" s="562" t="b">
        <v>0</v>
      </c>
    </row>
    <row r="8" spans="2:14" hidden="1" outlineLevel="1">
      <c r="D8" s="564" t="s">
        <v>694</v>
      </c>
      <c r="E8" s="562" t="b">
        <v>0</v>
      </c>
    </row>
    <row r="9" spans="2:14" ht="15" hidden="1" outlineLevel="1" thickBot="1">
      <c r="D9" s="576" t="s">
        <v>636</v>
      </c>
      <c r="E9" s="563" t="b">
        <v>0</v>
      </c>
    </row>
    <row r="10" spans="2:14" hidden="1" outlineLevel="1">
      <c r="D10" s="564" t="s">
        <v>583</v>
      </c>
      <c r="E10" s="562" t="b">
        <v>1</v>
      </c>
    </row>
    <row r="11" spans="2:14" hidden="1" outlineLevel="1">
      <c r="D11" s="565" t="s">
        <v>586</v>
      </c>
      <c r="E11" s="562" t="b">
        <v>1</v>
      </c>
    </row>
    <row r="12" spans="2:14" hidden="1" outlineLevel="1">
      <c r="D12" s="564" t="s">
        <v>695</v>
      </c>
      <c r="E12" s="562" t="b">
        <v>1</v>
      </c>
    </row>
    <row r="13" spans="2:14" hidden="1" outlineLevel="1">
      <c r="D13" s="565" t="s">
        <v>696</v>
      </c>
      <c r="E13" s="562" t="b">
        <v>1</v>
      </c>
    </row>
    <row r="14" spans="2:14" hidden="1" outlineLevel="1">
      <c r="D14" s="565" t="s">
        <v>626</v>
      </c>
      <c r="E14" s="562" t="b">
        <v>1</v>
      </c>
    </row>
    <row r="15" spans="2:14" hidden="1" outlineLevel="1">
      <c r="D15" s="565" t="s">
        <v>697</v>
      </c>
      <c r="E15" s="562" t="b">
        <v>1</v>
      </c>
    </row>
    <row r="16" spans="2:14" hidden="1" outlineLevel="1">
      <c r="D16" s="565" t="s">
        <v>698</v>
      </c>
      <c r="E16" s="562" t="b">
        <v>1</v>
      </c>
    </row>
    <row r="17" spans="4:8" ht="15" hidden="1" outlineLevel="1" thickBot="1">
      <c r="D17" s="566" t="s">
        <v>592</v>
      </c>
      <c r="E17" s="563" t="b">
        <v>1</v>
      </c>
      <c r="F17" s="299"/>
      <c r="G17" s="341"/>
    </row>
    <row r="18" spans="4:8" hidden="1" outlineLevel="1">
      <c r="D18" s="299"/>
      <c r="E18" s="299"/>
      <c r="F18" s="299"/>
      <c r="G18" s="341"/>
    </row>
    <row r="19" spans="4:8" hidden="1" outlineLevel="1">
      <c r="D19" s="561" t="s">
        <v>471</v>
      </c>
      <c r="E19" s="561" t="s">
        <v>699</v>
      </c>
      <c r="F19" s="299"/>
      <c r="G19" s="341"/>
    </row>
    <row r="20" spans="4:8" hidden="1" outlineLevel="1">
      <c r="D20" s="299"/>
      <c r="E20" s="299"/>
      <c r="F20" s="299"/>
      <c r="G20" s="341"/>
    </row>
    <row r="21" spans="4:8" hidden="1" outlineLevel="1">
      <c r="D21" s="299"/>
      <c r="E21" s="299"/>
      <c r="F21" s="299"/>
      <c r="G21" s="341"/>
    </row>
    <row r="22" spans="4:8" hidden="1" outlineLevel="1">
      <c r="D22" s="341"/>
      <c r="E22" s="341"/>
      <c r="F22" s="341"/>
      <c r="G22" s="341"/>
    </row>
    <row r="23" spans="4:8" hidden="1" outlineLevel="1">
      <c r="D23" s="341"/>
      <c r="E23" s="341"/>
      <c r="F23" s="341"/>
      <c r="G23" s="341"/>
    </row>
    <row r="24" spans="4:8" hidden="1" outlineLevel="1">
      <c r="D24" s="341"/>
      <c r="E24" s="341"/>
      <c r="F24" s="341"/>
      <c r="G24" s="341"/>
    </row>
    <row r="25" spans="4:8" hidden="1" outlineLevel="1">
      <c r="D25" s="341"/>
    </row>
    <row r="26" spans="4:8" hidden="1" outlineLevel="1">
      <c r="D26" s="633" t="s">
        <v>700</v>
      </c>
      <c r="E26" s="633"/>
      <c r="F26" s="633"/>
      <c r="G26" s="633"/>
    </row>
    <row r="27" spans="4:8" hidden="1" outlineLevel="1">
      <c r="D27" s="343">
        <v>1</v>
      </c>
      <c r="E27" s="768" t="s">
        <v>561</v>
      </c>
      <c r="F27" s="769"/>
      <c r="G27" s="770"/>
      <c r="H27" s="42">
        <v>1</v>
      </c>
    </row>
    <row r="28" spans="4:8" hidden="1" outlineLevel="1">
      <c r="D28" s="344">
        <v>2</v>
      </c>
      <c r="E28" s="768" t="s">
        <v>562</v>
      </c>
      <c r="F28" s="769"/>
      <c r="G28" s="770"/>
      <c r="H28" s="42">
        <v>1</v>
      </c>
    </row>
    <row r="29" spans="4:8" hidden="1" outlineLevel="1">
      <c r="D29" s="343">
        <v>3</v>
      </c>
      <c r="E29" s="768" t="s">
        <v>579</v>
      </c>
      <c r="F29" s="769"/>
      <c r="G29" s="770"/>
      <c r="H29" s="42">
        <v>1</v>
      </c>
    </row>
    <row r="30" spans="4:8" hidden="1" outlineLevel="1">
      <c r="D30" s="344">
        <v>4</v>
      </c>
      <c r="E30" s="768"/>
      <c r="F30" s="769"/>
      <c r="G30" s="770"/>
      <c r="H30" s="42">
        <v>1</v>
      </c>
    </row>
    <row r="31" spans="4:8" hidden="1" outlineLevel="1">
      <c r="D31" s="343">
        <v>5</v>
      </c>
      <c r="E31" s="768"/>
      <c r="F31" s="769"/>
      <c r="G31" s="770"/>
      <c r="H31" s="42">
        <v>1</v>
      </c>
    </row>
    <row r="32" spans="4:8" hidden="1" outlineLevel="1">
      <c r="D32" s="43"/>
      <c r="E32" s="346"/>
      <c r="F32" s="346"/>
    </row>
    <row r="33" spans="4:6" hidden="1" outlineLevel="1">
      <c r="D33" s="633" t="s">
        <v>701</v>
      </c>
      <c r="E33" s="633"/>
      <c r="F33" s="633"/>
    </row>
    <row r="34" spans="4:6" hidden="1" outlineLevel="1">
      <c r="D34" s="461" t="s">
        <v>689</v>
      </c>
      <c r="E34" s="461" t="s">
        <v>606</v>
      </c>
      <c r="F34" s="461" t="s">
        <v>702</v>
      </c>
    </row>
    <row r="35" spans="4:6" hidden="1" outlineLevel="1">
      <c r="D35" s="347" t="s">
        <v>703</v>
      </c>
      <c r="E35" s="466" t="s">
        <v>503</v>
      </c>
      <c r="F35" s="456" t="s">
        <v>704</v>
      </c>
    </row>
    <row r="36" spans="4:6" hidden="1" outlineLevel="1">
      <c r="D36" s="347" t="s">
        <v>582</v>
      </c>
      <c r="E36" s="466" t="s">
        <v>705</v>
      </c>
      <c r="F36" s="456" t="s">
        <v>704</v>
      </c>
    </row>
    <row r="37" spans="4:6" hidden="1" outlineLevel="1">
      <c r="D37" s="347" t="s">
        <v>583</v>
      </c>
      <c r="E37" s="466" t="s">
        <v>706</v>
      </c>
      <c r="F37" s="456" t="s">
        <v>704</v>
      </c>
    </row>
    <row r="38" spans="4:6" hidden="1" outlineLevel="1">
      <c r="D38" s="347" t="s">
        <v>584</v>
      </c>
      <c r="E38" s="466" t="s">
        <v>52</v>
      </c>
      <c r="F38" s="456" t="s">
        <v>704</v>
      </c>
    </row>
    <row r="39" spans="4:6" hidden="1" outlineLevel="1">
      <c r="D39" s="347" t="s">
        <v>585</v>
      </c>
      <c r="E39" s="466" t="s">
        <v>52</v>
      </c>
      <c r="F39" s="456" t="s">
        <v>704</v>
      </c>
    </row>
    <row r="40" spans="4:6" hidden="1" outlineLevel="1">
      <c r="D40" s="347" t="s">
        <v>586</v>
      </c>
      <c r="E40" s="466" t="s">
        <v>706</v>
      </c>
      <c r="F40" s="456" t="s">
        <v>704</v>
      </c>
    </row>
    <row r="41" spans="4:6" hidden="1" outlineLevel="1">
      <c r="D41" s="347" t="s">
        <v>695</v>
      </c>
      <c r="E41" s="466" t="s">
        <v>706</v>
      </c>
      <c r="F41" s="456" t="s">
        <v>704</v>
      </c>
    </row>
    <row r="42" spans="4:6" hidden="1" outlineLevel="1">
      <c r="D42" s="347" t="s">
        <v>587</v>
      </c>
      <c r="E42" s="466" t="s">
        <v>706</v>
      </c>
      <c r="F42" s="456" t="s">
        <v>704</v>
      </c>
    </row>
    <row r="43" spans="4:6" hidden="1" outlineLevel="1">
      <c r="D43" s="347" t="s">
        <v>588</v>
      </c>
      <c r="E43" s="466" t="s">
        <v>52</v>
      </c>
      <c r="F43" s="456" t="s">
        <v>704</v>
      </c>
    </row>
    <row r="44" spans="4:6" hidden="1" outlineLevel="1">
      <c r="D44" s="347" t="s">
        <v>589</v>
      </c>
      <c r="E44" s="466" t="s">
        <v>706</v>
      </c>
      <c r="F44" s="456" t="s">
        <v>704</v>
      </c>
    </row>
    <row r="45" spans="4:6" hidden="1" outlineLevel="1">
      <c r="D45" s="347" t="s">
        <v>590</v>
      </c>
      <c r="E45" s="466" t="s">
        <v>707</v>
      </c>
      <c r="F45" s="456" t="s">
        <v>704</v>
      </c>
    </row>
    <row r="46" spans="4:6" hidden="1" outlineLevel="1">
      <c r="D46" s="347" t="s">
        <v>591</v>
      </c>
      <c r="E46" s="466" t="s">
        <v>706</v>
      </c>
      <c r="F46" s="456" t="s">
        <v>704</v>
      </c>
    </row>
    <row r="47" spans="4:6" hidden="1" outlineLevel="1">
      <c r="D47" s="347" t="s">
        <v>708</v>
      </c>
      <c r="E47" s="466" t="s">
        <v>706</v>
      </c>
      <c r="F47" s="456" t="s">
        <v>704</v>
      </c>
    </row>
    <row r="48" spans="4:6" hidden="1" outlineLevel="1">
      <c r="D48" s="347" t="s">
        <v>709</v>
      </c>
      <c r="E48" s="466" t="s">
        <v>706</v>
      </c>
      <c r="F48" s="456" t="s">
        <v>704</v>
      </c>
    </row>
    <row r="49" spans="2:14" hidden="1" outlineLevel="1">
      <c r="D49" s="462" t="s">
        <v>592</v>
      </c>
      <c r="E49" s="467" t="s">
        <v>706</v>
      </c>
      <c r="F49" s="463" t="s">
        <v>704</v>
      </c>
    </row>
    <row r="50" spans="2:14" hidden="1" outlineLevel="1">
      <c r="D50" s="462" t="s">
        <v>710</v>
      </c>
      <c r="E50" s="467" t="s">
        <v>711</v>
      </c>
      <c r="F50" s="463" t="s">
        <v>712</v>
      </c>
    </row>
    <row r="51" spans="2:14" hidden="1" outlineLevel="1">
      <c r="D51" s="5"/>
      <c r="E51" s="5"/>
    </row>
    <row r="52" spans="2:14" hidden="1" outlineLevel="1">
      <c r="D52" s="5"/>
      <c r="E52" s="5"/>
    </row>
    <row r="53" spans="2:14" hidden="1" outlineLevel="1">
      <c r="D53" s="5"/>
      <c r="E53" s="5"/>
    </row>
    <row r="54" spans="2:14" hidden="1" outlineLevel="1">
      <c r="D54" s="5"/>
      <c r="E54" s="5"/>
    </row>
    <row r="55" spans="2:14" hidden="1" outlineLevel="1">
      <c r="D55" s="5"/>
      <c r="E55" s="5"/>
    </row>
    <row r="56" spans="2:14" hidden="1" outlineLevel="1">
      <c r="D56" s="5"/>
      <c r="E56" s="5"/>
    </row>
    <row r="57" spans="2:14" collapsed="1"/>
    <row r="58" spans="2:14" ht="17.45">
      <c r="B58" s="17" t="s">
        <v>439</v>
      </c>
      <c r="C58" s="18"/>
      <c r="D58" s="18"/>
      <c r="E58" s="18"/>
      <c r="F58" s="18"/>
      <c r="G58" s="18"/>
      <c r="H58" s="18"/>
      <c r="I58" s="18"/>
      <c r="J58" s="18"/>
      <c r="K58" s="18"/>
      <c r="L58" s="18"/>
      <c r="M58" s="18"/>
      <c r="N58" s="18"/>
    </row>
    <row r="59" spans="2:14" hidden="1" outlineLevel="1"/>
    <row r="60" spans="2:14" hidden="1" outlineLevel="1">
      <c r="D60" s="525" t="s">
        <v>439</v>
      </c>
      <c r="E60" s="525"/>
    </row>
    <row r="61" spans="2:14" hidden="1" outlineLevel="1">
      <c r="D61" s="474" t="s">
        <v>713</v>
      </c>
      <c r="E61" s="475" t="s">
        <v>714</v>
      </c>
    </row>
    <row r="62" spans="2:14" hidden="1" outlineLevel="1">
      <c r="D62" s="347" t="s">
        <v>715</v>
      </c>
      <c r="E62" s="476" t="s">
        <v>643</v>
      </c>
    </row>
    <row r="63" spans="2:14" hidden="1" outlineLevel="1">
      <c r="D63" s="474" t="s">
        <v>34</v>
      </c>
      <c r="E63" s="476" t="s">
        <v>447</v>
      </c>
    </row>
    <row r="64" spans="2:14" hidden="1" outlineLevel="1">
      <c r="D64" s="347" t="s">
        <v>633</v>
      </c>
      <c r="E64" s="476" t="s">
        <v>672</v>
      </c>
    </row>
    <row r="65" spans="2:41" hidden="1" outlineLevel="1">
      <c r="D65" s="474" t="s">
        <v>634</v>
      </c>
      <c r="E65" s="476" t="s">
        <v>668</v>
      </c>
    </row>
    <row r="66" spans="2:41" hidden="1" outlineLevel="1">
      <c r="D66" s="474" t="s">
        <v>716</v>
      </c>
      <c r="E66" s="476">
        <v>0</v>
      </c>
    </row>
    <row r="67" spans="2:41" hidden="1" outlineLevel="1">
      <c r="D67" s="347" t="s">
        <v>636</v>
      </c>
      <c r="E67" s="476" t="s">
        <v>646</v>
      </c>
    </row>
    <row r="68" spans="2:41" hidden="1" outlineLevel="1">
      <c r="D68" s="474" t="s">
        <v>36</v>
      </c>
      <c r="E68" s="476" t="s">
        <v>452</v>
      </c>
    </row>
    <row r="69" spans="2:41" hidden="1" outlineLevel="1">
      <c r="D69" s="347" t="s">
        <v>717</v>
      </c>
      <c r="E69" s="502">
        <v>1000</v>
      </c>
    </row>
    <row r="70" spans="2:41" hidden="1" outlineLevel="1">
      <c r="D70" s="474" t="s">
        <v>718</v>
      </c>
      <c r="E70" s="503">
        <v>0</v>
      </c>
    </row>
    <row r="71" spans="2:41" hidden="1" outlineLevel="1">
      <c r="D71" s="347" t="s">
        <v>719</v>
      </c>
      <c r="E71" s="502">
        <v>0</v>
      </c>
    </row>
    <row r="72" spans="2:41" hidden="1" outlineLevel="1">
      <c r="D72" s="347" t="s">
        <v>44</v>
      </c>
      <c r="E72" s="476" t="s">
        <v>458</v>
      </c>
    </row>
    <row r="73" spans="2:41" hidden="1" outlineLevel="1">
      <c r="D73" s="347" t="s">
        <v>42</v>
      </c>
      <c r="E73" s="476" t="s">
        <v>462</v>
      </c>
    </row>
    <row r="74" spans="2:41" hidden="1" outlineLevel="1">
      <c r="D74" s="474" t="s">
        <v>466</v>
      </c>
      <c r="E74" s="476" t="s">
        <v>469</v>
      </c>
    </row>
    <row r="75" spans="2:41" collapsed="1"/>
    <row r="76" spans="2:41" ht="17.45">
      <c r="B76" s="17" t="s">
        <v>720</v>
      </c>
      <c r="C76" s="18"/>
      <c r="D76" s="18"/>
      <c r="E76" s="18"/>
      <c r="F76" s="18"/>
      <c r="G76" s="18"/>
      <c r="H76" s="18"/>
      <c r="I76" s="18"/>
      <c r="J76" s="18"/>
      <c r="K76" s="18"/>
      <c r="L76" s="18"/>
      <c r="M76" s="18"/>
      <c r="N76" s="18"/>
    </row>
    <row r="77" spans="2:41" ht="15" hidden="1" outlineLevel="1" thickBot="1">
      <c r="D77" s="5"/>
    </row>
    <row r="78" spans="2:41" s="6" customFormat="1" hidden="1" outlineLevel="1">
      <c r="C78" s="12"/>
      <c r="D78" s="123" t="s">
        <v>721</v>
      </c>
      <c r="E78" s="124">
        <v>1</v>
      </c>
      <c r="F78" s="124">
        <v>2</v>
      </c>
      <c r="G78" s="124">
        <v>3</v>
      </c>
      <c r="H78" s="124">
        <v>4</v>
      </c>
      <c r="I78" s="124">
        <v>5</v>
      </c>
      <c r="J78" s="124">
        <v>6</v>
      </c>
      <c r="K78" s="124">
        <v>7</v>
      </c>
      <c r="L78" s="124">
        <v>8</v>
      </c>
      <c r="M78" s="124">
        <v>9</v>
      </c>
      <c r="N78" s="124">
        <v>10</v>
      </c>
      <c r="O78" s="124">
        <v>11</v>
      </c>
      <c r="P78" s="124">
        <v>12</v>
      </c>
      <c r="Q78" s="124">
        <v>13</v>
      </c>
      <c r="R78" s="124">
        <v>14</v>
      </c>
      <c r="S78" s="124">
        <v>15</v>
      </c>
      <c r="T78" s="124">
        <v>16</v>
      </c>
      <c r="U78" s="124">
        <v>17</v>
      </c>
      <c r="V78" s="124">
        <v>18</v>
      </c>
      <c r="W78" s="124">
        <v>19</v>
      </c>
      <c r="X78" s="124">
        <v>20</v>
      </c>
      <c r="Y78" s="124">
        <v>21</v>
      </c>
      <c r="Z78" s="124">
        <v>22</v>
      </c>
      <c r="AA78" s="124">
        <v>23</v>
      </c>
      <c r="AB78" s="124">
        <v>24</v>
      </c>
      <c r="AC78" s="124">
        <v>25</v>
      </c>
      <c r="AD78" s="124">
        <v>26</v>
      </c>
      <c r="AE78" s="124">
        <v>27</v>
      </c>
      <c r="AF78" s="124">
        <v>28</v>
      </c>
      <c r="AG78" s="124">
        <v>29</v>
      </c>
      <c r="AH78" s="124">
        <v>30</v>
      </c>
      <c r="AI78" s="124">
        <v>31</v>
      </c>
      <c r="AJ78" s="124">
        <v>32</v>
      </c>
      <c r="AK78" s="124">
        <v>33</v>
      </c>
      <c r="AL78" s="124">
        <v>34</v>
      </c>
      <c r="AM78" s="124">
        <v>35</v>
      </c>
      <c r="AN78" s="494" t="s">
        <v>722</v>
      </c>
      <c r="AO78"/>
    </row>
    <row r="79" spans="2:41" s="13" customFormat="1" ht="163.35" hidden="1" customHeight="1" outlineLevel="1">
      <c r="C79" s="28"/>
      <c r="D79" s="31" t="s">
        <v>723</v>
      </c>
      <c r="E79" s="29" t="s">
        <v>724</v>
      </c>
      <c r="F79" s="29" t="s">
        <v>725</v>
      </c>
      <c r="G79" s="29" t="s">
        <v>726</v>
      </c>
      <c r="H79" s="29" t="s">
        <v>727</v>
      </c>
      <c r="I79" s="29" t="s">
        <v>728</v>
      </c>
      <c r="J79" s="29" t="s">
        <v>729</v>
      </c>
      <c r="K79" s="29" t="s">
        <v>730</v>
      </c>
      <c r="L79" s="29" t="s">
        <v>731</v>
      </c>
      <c r="M79" s="29" t="s">
        <v>732</v>
      </c>
      <c r="N79" s="29" t="s">
        <v>733</v>
      </c>
      <c r="O79" s="29" t="s">
        <v>734</v>
      </c>
      <c r="P79" s="29" t="s">
        <v>735</v>
      </c>
      <c r="Q79" s="29" t="s">
        <v>736</v>
      </c>
      <c r="R79" s="29" t="s">
        <v>737</v>
      </c>
      <c r="S79" s="29" t="s">
        <v>738</v>
      </c>
      <c r="T79" s="29" t="s">
        <v>739</v>
      </c>
      <c r="U79" s="29" t="s">
        <v>740</v>
      </c>
      <c r="V79" s="29" t="s">
        <v>741</v>
      </c>
      <c r="W79" s="29" t="s">
        <v>742</v>
      </c>
      <c r="X79" s="29" t="s">
        <v>743</v>
      </c>
      <c r="Y79" s="29" t="s">
        <v>744</v>
      </c>
      <c r="Z79" s="29" t="s">
        <v>745</v>
      </c>
      <c r="AA79" s="29" t="s">
        <v>746</v>
      </c>
      <c r="AB79" s="29"/>
      <c r="AC79" s="29"/>
      <c r="AD79" s="29"/>
      <c r="AE79" s="29"/>
      <c r="AF79" s="29"/>
      <c r="AG79" s="29"/>
      <c r="AH79" s="29"/>
      <c r="AI79" s="29"/>
      <c r="AJ79" s="29"/>
      <c r="AK79" s="29"/>
      <c r="AL79" s="29"/>
      <c r="AM79" s="29"/>
      <c r="AN79" s="29"/>
      <c r="AO79"/>
    </row>
    <row r="80" spans="2:41" hidden="1" outlineLevel="1">
      <c r="C80" s="28"/>
      <c r="D80" s="32" t="s">
        <v>747</v>
      </c>
      <c r="E80" s="30" t="s">
        <v>748</v>
      </c>
      <c r="F80" s="30" t="s">
        <v>748</v>
      </c>
      <c r="G80" s="30" t="s">
        <v>748</v>
      </c>
      <c r="H80" s="30" t="s">
        <v>748</v>
      </c>
      <c r="I80" s="30" t="s">
        <v>748</v>
      </c>
      <c r="J80" s="30" t="s">
        <v>748</v>
      </c>
      <c r="K80" s="30" t="s">
        <v>748</v>
      </c>
      <c r="L80" s="30" t="s">
        <v>748</v>
      </c>
      <c r="M80" s="30" t="s">
        <v>748</v>
      </c>
      <c r="N80" s="30" t="s">
        <v>748</v>
      </c>
      <c r="O80" s="30" t="s">
        <v>748</v>
      </c>
      <c r="P80" s="30" t="s">
        <v>437</v>
      </c>
      <c r="Q80" s="30" t="s">
        <v>748</v>
      </c>
      <c r="R80" s="30" t="s">
        <v>748</v>
      </c>
      <c r="S80" s="30" t="s">
        <v>437</v>
      </c>
      <c r="T80" s="30" t="s">
        <v>437</v>
      </c>
      <c r="U80" s="30" t="s">
        <v>437</v>
      </c>
      <c r="V80" s="30" t="s">
        <v>437</v>
      </c>
      <c r="W80" s="30" t="s">
        <v>748</v>
      </c>
      <c r="X80" s="30" t="s">
        <v>748</v>
      </c>
      <c r="Y80" s="30" t="s">
        <v>437</v>
      </c>
      <c r="Z80" s="30" t="s">
        <v>748</v>
      </c>
      <c r="AA80" s="30" t="s">
        <v>748</v>
      </c>
      <c r="AB80" s="30"/>
      <c r="AC80" s="30"/>
      <c r="AD80" s="30"/>
      <c r="AE80" s="30"/>
      <c r="AF80" s="30"/>
      <c r="AG80" s="30"/>
      <c r="AH80" s="30"/>
      <c r="AI80" s="30"/>
      <c r="AJ80" s="30"/>
      <c r="AK80" s="30"/>
      <c r="AL80" s="30"/>
      <c r="AM80" s="30"/>
      <c r="AN80" s="30"/>
    </row>
    <row r="81" spans="1:40" hidden="1" outlineLevel="1">
      <c r="C81" s="28"/>
      <c r="D81" s="32" t="s">
        <v>749</v>
      </c>
      <c r="E81" s="30" t="s">
        <v>750</v>
      </c>
      <c r="F81" s="30" t="s">
        <v>751</v>
      </c>
      <c r="G81" s="30" t="s">
        <v>750</v>
      </c>
      <c r="H81" s="30" t="s">
        <v>752</v>
      </c>
      <c r="I81" s="30" t="s">
        <v>752</v>
      </c>
      <c r="J81" s="30" t="s">
        <v>753</v>
      </c>
      <c r="K81" s="30" t="s">
        <v>754</v>
      </c>
      <c r="L81" s="30" t="s">
        <v>755</v>
      </c>
      <c r="M81" s="30" t="s">
        <v>756</v>
      </c>
      <c r="N81" s="30" t="s">
        <v>757</v>
      </c>
      <c r="O81" s="30" t="s">
        <v>758</v>
      </c>
      <c r="P81" s="30" t="s">
        <v>759</v>
      </c>
      <c r="Q81" s="30" t="s">
        <v>760</v>
      </c>
      <c r="R81" s="30" t="s">
        <v>760</v>
      </c>
      <c r="S81" s="30" t="s">
        <v>759</v>
      </c>
      <c r="T81" s="30" t="s">
        <v>759</v>
      </c>
      <c r="U81" s="30" t="s">
        <v>759</v>
      </c>
      <c r="V81" s="30" t="s">
        <v>759</v>
      </c>
      <c r="W81" s="30" t="s">
        <v>761</v>
      </c>
      <c r="X81" s="30" t="s">
        <v>762</v>
      </c>
      <c r="Y81" s="30" t="s">
        <v>763</v>
      </c>
      <c r="Z81" s="30" t="s">
        <v>764</v>
      </c>
      <c r="AA81" s="30" t="s">
        <v>765</v>
      </c>
      <c r="AB81" s="30"/>
      <c r="AC81" s="30"/>
      <c r="AD81" s="30"/>
      <c r="AE81" s="30"/>
      <c r="AF81" s="30"/>
      <c r="AG81" s="30"/>
      <c r="AH81" s="30"/>
      <c r="AI81" s="30"/>
      <c r="AJ81" s="30"/>
      <c r="AK81" s="30"/>
      <c r="AL81" s="30"/>
      <c r="AM81" s="30"/>
      <c r="AN81" s="30"/>
    </row>
    <row r="82" spans="1:40" hidden="1" outlineLevel="1">
      <c r="C82" s="28"/>
      <c r="D82" s="75" t="s">
        <v>766</v>
      </c>
      <c r="E82" s="76" t="s">
        <v>19</v>
      </c>
      <c r="F82" s="76" t="s">
        <v>19</v>
      </c>
      <c r="G82" s="76" t="s">
        <v>20</v>
      </c>
      <c r="H82" s="76" t="s">
        <v>341</v>
      </c>
      <c r="I82" s="76" t="s">
        <v>341</v>
      </c>
      <c r="J82" s="76" t="s">
        <v>20</v>
      </c>
      <c r="K82" s="76" t="s">
        <v>23</v>
      </c>
      <c r="L82" s="76" t="s">
        <v>20</v>
      </c>
      <c r="M82" s="76" t="s">
        <v>20</v>
      </c>
      <c r="N82" s="76" t="s">
        <v>20</v>
      </c>
      <c r="O82" s="76" t="s">
        <v>20</v>
      </c>
      <c r="P82" s="76"/>
      <c r="Q82" s="76" t="s">
        <v>23</v>
      </c>
      <c r="R82" s="76" t="s">
        <v>21</v>
      </c>
      <c r="S82" s="76"/>
      <c r="T82" s="76"/>
      <c r="U82" s="76"/>
      <c r="V82" s="76"/>
      <c r="W82" s="76" t="s">
        <v>23</v>
      </c>
      <c r="X82" s="76" t="s">
        <v>20</v>
      </c>
      <c r="Y82" s="76"/>
      <c r="Z82" s="76" t="s">
        <v>21</v>
      </c>
      <c r="AA82" s="76" t="s">
        <v>19</v>
      </c>
      <c r="AB82" s="76"/>
      <c r="AC82" s="76"/>
      <c r="AD82" s="76"/>
      <c r="AE82" s="76"/>
      <c r="AF82" s="76"/>
      <c r="AG82" s="76"/>
      <c r="AH82" s="76"/>
      <c r="AI82" s="76"/>
      <c r="AJ82" s="76"/>
      <c r="AK82" s="76"/>
      <c r="AL82" s="76"/>
      <c r="AM82" s="76"/>
      <c r="AN82" s="30"/>
    </row>
    <row r="83" spans="1:40" s="74" customFormat="1" ht="29.85" hidden="1" customHeight="1" outlineLevel="1">
      <c r="A83"/>
      <c r="D83" s="120" t="s">
        <v>767</v>
      </c>
      <c r="E83" s="119" t="s">
        <v>369</v>
      </c>
      <c r="F83" s="119" t="s">
        <v>395</v>
      </c>
      <c r="G83" s="119" t="s">
        <v>397</v>
      </c>
      <c r="H83" s="119" t="s">
        <v>415</v>
      </c>
      <c r="I83" s="119" t="s">
        <v>419</v>
      </c>
      <c r="J83" s="119" t="s">
        <v>399</v>
      </c>
      <c r="K83" s="119"/>
      <c r="L83" s="119" t="s">
        <v>399</v>
      </c>
      <c r="M83" s="119" t="s">
        <v>399</v>
      </c>
      <c r="N83" s="119" t="s">
        <v>397</v>
      </c>
      <c r="O83" s="119" t="s">
        <v>397</v>
      </c>
      <c r="P83" s="119"/>
      <c r="Q83" s="119"/>
      <c r="R83" s="119"/>
      <c r="S83" s="119"/>
      <c r="T83" s="119"/>
      <c r="U83" s="119"/>
      <c r="V83" s="119"/>
      <c r="W83" s="119"/>
      <c r="X83" s="119" t="s">
        <v>397</v>
      </c>
      <c r="Y83" s="119"/>
      <c r="Z83" s="119"/>
      <c r="AA83" s="119" t="s">
        <v>768</v>
      </c>
      <c r="AB83" s="119"/>
      <c r="AC83" s="119"/>
      <c r="AD83" s="119"/>
      <c r="AE83" s="119"/>
      <c r="AF83" s="119"/>
      <c r="AG83" s="119"/>
      <c r="AH83" s="119"/>
      <c r="AI83" s="119"/>
      <c r="AJ83" s="119"/>
      <c r="AK83" s="119"/>
      <c r="AL83" s="119"/>
      <c r="AM83" s="119"/>
      <c r="AN83" s="119"/>
    </row>
    <row r="84" spans="1:40" s="74" customFormat="1" ht="28.5" hidden="1" customHeight="1" outlineLevel="1">
      <c r="A84"/>
      <c r="B84" s="122" t="s">
        <v>769</v>
      </c>
      <c r="C84" s="122" t="s">
        <v>722</v>
      </c>
      <c r="D84" s="121" t="s">
        <v>770</v>
      </c>
      <c r="E84" s="336" t="str">
        <f t="shared" ref="E84:AK84" si="0">IF(E237=0,"",IF(E237=INT(E237),"All 4 Fields Nonempty","Make Sure each movement has the 4 fields filled out"))</f>
        <v>All 4 Fields Nonempty</v>
      </c>
      <c r="F84" s="336" t="str">
        <f t="shared" si="0"/>
        <v>All 4 Fields Nonempty</v>
      </c>
      <c r="G84" s="336" t="str">
        <f t="shared" si="0"/>
        <v>All 4 Fields Nonempty</v>
      </c>
      <c r="H84" s="336" t="str">
        <f t="shared" si="0"/>
        <v>All 4 Fields Nonempty</v>
      </c>
      <c r="I84" s="336" t="str">
        <f>IF(I237=0,"",IF(I237=INT(I237),"All 4 Fields Nonempty","Make Sure each movement has the 4 fields filled out"))</f>
        <v>All 4 Fields Nonempty</v>
      </c>
      <c r="J84" s="336" t="str">
        <f t="shared" si="0"/>
        <v>All 4 Fields Nonempty</v>
      </c>
      <c r="K84" s="336" t="str">
        <f t="shared" si="0"/>
        <v>All 4 Fields Nonempty</v>
      </c>
      <c r="L84" s="336" t="str">
        <f t="shared" si="0"/>
        <v>All 4 Fields Nonempty</v>
      </c>
      <c r="M84" s="336" t="str">
        <f t="shared" si="0"/>
        <v>All 4 Fields Nonempty</v>
      </c>
      <c r="N84" s="336" t="str">
        <f t="shared" si="0"/>
        <v>All 4 Fields Nonempty</v>
      </c>
      <c r="O84" s="336" t="str">
        <f t="shared" si="0"/>
        <v>All 4 Fields Nonempty</v>
      </c>
      <c r="P84" s="336" t="str">
        <f t="shared" si="0"/>
        <v/>
      </c>
      <c r="Q84" s="336" t="str">
        <f t="shared" si="0"/>
        <v>All 4 Fields Nonempty</v>
      </c>
      <c r="R84" s="336" t="str">
        <f t="shared" si="0"/>
        <v>All 4 Fields Nonempty</v>
      </c>
      <c r="S84" s="336" t="str">
        <f t="shared" si="0"/>
        <v/>
      </c>
      <c r="T84" s="336" t="str">
        <f t="shared" si="0"/>
        <v/>
      </c>
      <c r="U84" s="336" t="str">
        <f t="shared" si="0"/>
        <v/>
      </c>
      <c r="V84" s="336" t="str">
        <f t="shared" si="0"/>
        <v/>
      </c>
      <c r="W84" s="336" t="str">
        <f t="shared" si="0"/>
        <v>All 4 Fields Nonempty</v>
      </c>
      <c r="X84" s="336" t="str">
        <f t="shared" si="0"/>
        <v>All 4 Fields Nonempty</v>
      </c>
      <c r="Y84" s="336" t="str">
        <f t="shared" si="0"/>
        <v/>
      </c>
      <c r="Z84" s="336" t="str">
        <f t="shared" si="0"/>
        <v>All 4 Fields Nonempty</v>
      </c>
      <c r="AA84" s="336" t="str">
        <f t="shared" si="0"/>
        <v>All 4 Fields Nonempty</v>
      </c>
      <c r="AB84" s="336" t="str">
        <f t="shared" si="0"/>
        <v/>
      </c>
      <c r="AC84" s="336" t="str">
        <f t="shared" si="0"/>
        <v/>
      </c>
      <c r="AD84" s="336" t="str">
        <f t="shared" si="0"/>
        <v/>
      </c>
      <c r="AE84" s="336" t="str">
        <f t="shared" si="0"/>
        <v/>
      </c>
      <c r="AF84" s="336" t="str">
        <f t="shared" si="0"/>
        <v/>
      </c>
      <c r="AG84" s="336" t="str">
        <f t="shared" si="0"/>
        <v/>
      </c>
      <c r="AH84" s="336" t="str">
        <f t="shared" si="0"/>
        <v/>
      </c>
      <c r="AI84" s="336" t="str">
        <f t="shared" si="0"/>
        <v/>
      </c>
      <c r="AJ84" s="336" t="str">
        <f t="shared" si="0"/>
        <v/>
      </c>
      <c r="AK84" s="336" t="str">
        <f t="shared" si="0"/>
        <v/>
      </c>
      <c r="AL84" s="336" t="str">
        <f t="shared" ref="AL84:AM84" si="1">IF(AL237=0,"",IF(AL237=INT(AL237),"All 4 Fields Nonempty","Make Sure each movement has the 4 fields filled out"))</f>
        <v/>
      </c>
      <c r="AM84" s="336" t="str">
        <f t="shared" si="1"/>
        <v/>
      </c>
      <c r="AN84" s="336"/>
    </row>
    <row r="85" spans="1:40" s="74" customFormat="1" ht="28.5" hidden="1" customHeight="1" outlineLevel="1">
      <c r="A85"/>
      <c r="B85" s="334"/>
      <c r="C85" s="334"/>
      <c r="D85" s="121" t="s">
        <v>771</v>
      </c>
      <c r="E85" s="335" cm="1">
        <f t="array" ref="E85">IF(ROUND(SUM(IF((E86:E145="Debit")*(ISNUMBER(E87:E146)),E87:E146,0))-SUM(IF((E86:E145="Credit")*(ISNUMBER(E87:E146)),E87:E146,0)),2)=0,0,ROUND(SUM(IF((E86:E145="Debit")*(ISNUMBER(E87:E146)),E87:E146,0))-SUM(IF((E86:E145="Credit")*(ISNUMBER(E87:E146)),E87:E146,0)),2))</f>
        <v>0</v>
      </c>
      <c r="F85" s="335" cm="1">
        <f t="array" ref="F85">IF(ROUND(SUM(IF((F86:F145="Debit")*(ISNUMBER(F87:F146)),F87:F146,0))-SUM(IF((F86:F145="Credit")*(ISNUMBER(F87:F146)),F87:F146,0)),2)=0,0,ROUND(SUM(IF((F86:F145="Debit")*(ISNUMBER(F87:F146)),F87:F146,0))-SUM(IF((F86:F145="Credit")*(ISNUMBER(F87:F146)),F87:F146,0)),2))</f>
        <v>0</v>
      </c>
      <c r="G85" s="335" cm="1">
        <f t="array" ref="G85">IF(ROUND(SUM(IF((G86:G145="Debit")*(ISNUMBER(G87:G146)),G87:G146,0))-SUM(IF((G86:G145="Credit")*(ISNUMBER(G87:G146)),G87:G146,0)),2)=0,0,ROUND(SUM(IF((G86:G145="Debit")*(ISNUMBER(G87:G146)),G87:G146,0))-SUM(IF((G86:G145="Credit")*(ISNUMBER(G87:G146)),G87:G146,0)),2))</f>
        <v>0</v>
      </c>
      <c r="H85" s="335" cm="1">
        <f t="array" ref="H85">IF(ROUND(SUM(IF((H86:H145="Debit")*(ISNUMBER(H87:H146)),H87:H146,0))-SUM(IF((H86:H145="Credit")*(ISNUMBER(H87:H146)),H87:H146,0)),2)=0,0,ROUND(SUM(IF((H86:H145="Debit")*(ISNUMBER(H87:H146)),H87:H146,0))-SUM(IF((H86:H145="Credit")*(ISNUMBER(H87:H146)),H87:H146,0)),2))</f>
        <v>0</v>
      </c>
      <c r="I85" s="335" cm="1">
        <f t="array" ref="I85">IF(ROUND(SUM(IF((I86:I145="Debit")*(ISNUMBER(I87:I146)),I87:I146,0))-SUM(IF((I86:I145="Credit")*(ISNUMBER(I87:I146)),I87:I146,0)),2)=0,0,ROUND(SUM(IF((I86:I145="Debit")*(ISNUMBER(I87:I146)),I87:I146,0))-SUM(IF((I86:I145="Credit")*(ISNUMBER(I87:I146)),I87:I146,0)),2))</f>
        <v>0</v>
      </c>
      <c r="J85" s="335" cm="1">
        <f t="array" ref="J85">IF(ROUND(SUM(IF((J86:J145="Debit")*(ISNUMBER(J87:J146)),J87:J146,0))-SUM(IF((J86:J145="Credit")*(ISNUMBER(J87:J146)),J87:J146,0)),2)=0,0,ROUND(SUM(IF((J86:J145="Debit")*(ISNUMBER(J87:J146)),J87:J146,0))-SUM(IF((J86:J145="Credit")*(ISNUMBER(J87:J146)),J87:J146,0)),2))</f>
        <v>0</v>
      </c>
      <c r="K85" s="335" cm="1">
        <f t="array" ref="K85">IF(ROUND(SUM(IF((K86:K145="Debit")*(ISNUMBER(K87:K146)),K87:K146,0))-SUM(IF((K86:K145="Credit")*(ISNUMBER(K87:K146)),K87:K146,0)),2)=0,0,ROUND(SUM(IF((K86:K145="Debit")*(ISNUMBER(K87:K146)),K87:K146,0))-SUM(IF((K86:K145="Credit")*(ISNUMBER(K87:K146)),K87:K146,0)),2))</f>
        <v>0</v>
      </c>
      <c r="L85" s="335" cm="1">
        <f t="array" ref="L85">IF(ROUND(SUM(IF((L86:L145="Debit")*(ISNUMBER(L87:L146)),L87:L146,0))-SUM(IF((L86:L145="Credit")*(ISNUMBER(L87:L146)),L87:L146,0)),2)=0,0,ROUND(SUM(IF((L86:L145="Debit")*(ISNUMBER(L87:L146)),L87:L146,0))-SUM(IF((L86:L145="Credit")*(ISNUMBER(L87:L146)),L87:L146,0)),2))</f>
        <v>0</v>
      </c>
      <c r="M85" s="335" cm="1">
        <f t="array" ref="M85">IF(ROUND(SUM(IF((M86:M145="Debit")*(ISNUMBER(M87:M146)),M87:M146,0))-SUM(IF((M86:M145="Credit")*(ISNUMBER(M87:M146)),M87:M146,0)),2)=0,0,ROUND(SUM(IF((M86:M145="Debit")*(ISNUMBER(M87:M146)),M87:M146,0))-SUM(IF((M86:M145="Credit")*(ISNUMBER(M87:M146)),M87:M146,0)),2))</f>
        <v>0</v>
      </c>
      <c r="N85" s="335" cm="1">
        <f t="array" ref="N85">IF(ROUND(SUM(IF((N86:N145="Debit")*(ISNUMBER(N87:N146)),N87:N146,0))-SUM(IF((N86:N145="Credit")*(ISNUMBER(N87:N146)),N87:N146,0)),2)=0,0,ROUND(SUM(IF((N86:N145="Debit")*(ISNUMBER(N87:N146)),N87:N146,0))-SUM(IF((N86:N145="Credit")*(ISNUMBER(N87:N146)),N87:N146,0)),2))</f>
        <v>0</v>
      </c>
      <c r="O85" s="335" cm="1">
        <f t="array" ref="O85">IF(ROUND(SUM(IF((O86:O145="Debit")*(ISNUMBER(O87:O146)),O87:O146,0))-SUM(IF((O86:O145="Credit")*(ISNUMBER(O87:O146)),O87:O146,0)),2)=0,0,ROUND(SUM(IF((O86:O145="Debit")*(ISNUMBER(O87:O146)),O87:O146,0))-SUM(IF((O86:O145="Credit")*(ISNUMBER(O87:O146)),O87:O146,0)),2))</f>
        <v>0</v>
      </c>
      <c r="P85" s="335" cm="1">
        <f t="array" ref="P85">IF(ROUND(SUM(IF((P86:P145="Debit")*(ISNUMBER(P87:P146)),P87:P146,0))-SUM(IF((P86:P145="Credit")*(ISNUMBER(P87:P146)),P87:P146,0)),2)=0,0,ROUND(SUM(IF((P86:P145="Debit")*(ISNUMBER(P87:P146)),P87:P146,0))-SUM(IF((P86:P145="Credit")*(ISNUMBER(P87:P146)),P87:P146,0)),2))</f>
        <v>0</v>
      </c>
      <c r="Q85" s="335" cm="1">
        <f t="array" ref="Q85">IF(ROUND(SUM(IF((Q86:Q145="Debit")*(ISNUMBER(Q87:Q146)),Q87:Q146,0))-SUM(IF((Q86:Q145="Credit")*(ISNUMBER(Q87:Q146)),Q87:Q146,0)),2)=0,0,ROUND(SUM(IF((Q86:Q145="Debit")*(ISNUMBER(Q87:Q146)),Q87:Q146,0))-SUM(IF((Q86:Q145="Credit")*(ISNUMBER(Q87:Q146)),Q87:Q146,0)),2))</f>
        <v>0</v>
      </c>
      <c r="R85" s="335" cm="1">
        <f t="array" ref="R85">IF(ROUND(SUM(IF((R86:R145="Debit")*(ISNUMBER(R87:R146)),R87:R146,0))-SUM(IF((R86:R145="Credit")*(ISNUMBER(R87:R146)),R87:R146,0)),2)=0,0,ROUND(SUM(IF((R86:R145="Debit")*(ISNUMBER(R87:R146)),R87:R146,0))-SUM(IF((R86:R145="Credit")*(ISNUMBER(R87:R146)),R87:R146,0)),2))</f>
        <v>0</v>
      </c>
      <c r="S85" s="335" cm="1">
        <f t="array" ref="S85">IF(ROUND(SUM(IF((S86:S145="Debit")*(ISNUMBER(S87:S146)),S87:S146,0))-SUM(IF((S86:S145="Credit")*(ISNUMBER(S87:S146)),S87:S146,0)),2)=0,0,ROUND(SUM(IF((S86:S145="Debit")*(ISNUMBER(S87:S146)),S87:S146,0))-SUM(IF((S86:S145="Credit")*(ISNUMBER(S87:S146)),S87:S146,0)),2))</f>
        <v>0</v>
      </c>
      <c r="T85" s="335" cm="1">
        <f t="array" ref="T85">IF(ROUND(SUM(IF((T86:T145="Debit")*(ISNUMBER(T87:T146)),T87:T146,0))-SUM(IF((T86:T145="Credit")*(ISNUMBER(T87:T146)),T87:T146,0)),2)=0,0,ROUND(SUM(IF((T86:T145="Debit")*(ISNUMBER(T87:T146)),T87:T146,0))-SUM(IF((T86:T145="Credit")*(ISNUMBER(T87:T146)),T87:T146,0)),2))</f>
        <v>0</v>
      </c>
      <c r="U85" s="335" cm="1">
        <f t="array" ref="U85">IF(ROUND(SUM(IF((U86:U145="Debit")*(ISNUMBER(U87:U146)),U87:U146,0))-SUM(IF((U86:U145="Credit")*(ISNUMBER(U87:U146)),U87:U146,0)),2)=0,0,ROUND(SUM(IF((U86:U145="Debit")*(ISNUMBER(U87:U146)),U87:U146,0))-SUM(IF((U86:U145="Credit")*(ISNUMBER(U87:U146)),U87:U146,0)),2))</f>
        <v>0</v>
      </c>
      <c r="V85" s="335" cm="1">
        <f t="array" ref="V85">IF(ROUND(SUM(IF((V86:V145="Debit")*(ISNUMBER(V87:V146)),V87:V146,0))-SUM(IF((V86:V145="Credit")*(ISNUMBER(V87:V146)),V87:V146,0)),2)=0,0,ROUND(SUM(IF((V86:V145="Debit")*(ISNUMBER(V87:V146)),V87:V146,0))-SUM(IF((V86:V145="Credit")*(ISNUMBER(V87:V146)),V87:V146,0)),2))</f>
        <v>0</v>
      </c>
      <c r="W85" s="335" cm="1">
        <f t="array" ref="W85">IF(ROUND(SUM(IF((W86:W145="Debit")*(ISNUMBER(W87:W146)),W87:W146,0))-SUM(IF((W86:W145="Credit")*(ISNUMBER(W87:W146)),W87:W146,0)),2)=0,0,ROUND(SUM(IF((W86:W145="Debit")*(ISNUMBER(W87:W146)),W87:W146,0))-SUM(IF((W86:W145="Credit")*(ISNUMBER(W87:W146)),W87:W146,0)),2))</f>
        <v>0</v>
      </c>
      <c r="X85" s="335" cm="1">
        <f t="array" ref="X85">IF(ROUND(SUM(IF((X86:X145="Debit")*(ISNUMBER(X87:X146)),X87:X146,0))-SUM(IF((X86:X145="Credit")*(ISNUMBER(X87:X146)),X87:X146,0)),2)=0,0,ROUND(SUM(IF((X86:X145="Debit")*(ISNUMBER(X87:X146)),X87:X146,0))-SUM(IF((X86:X145="Credit")*(ISNUMBER(X87:X146)),X87:X146,0)),2))</f>
        <v>0</v>
      </c>
      <c r="Y85" s="335" cm="1">
        <f t="array" ref="Y85">IF(ROUND(SUM(IF((Y86:Y145="Debit")*(ISNUMBER(Y87:Y146)),Y87:Y146,0))-SUM(IF((Y86:Y145="Credit")*(ISNUMBER(Y87:Y146)),Y87:Y146,0)),2)=0,0,ROUND(SUM(IF((Y86:Y145="Debit")*(ISNUMBER(Y87:Y146)),Y87:Y146,0))-SUM(IF((Y86:Y145="Credit")*(ISNUMBER(Y87:Y146)),Y87:Y146,0)),2))</f>
        <v>0</v>
      </c>
      <c r="Z85" s="335" cm="1">
        <f t="array" ref="Z85">IF(ROUND(SUM(IF((Z86:Z145="Debit")*(ISNUMBER(Z87:Z146)),Z87:Z146,0))-SUM(IF((Z86:Z145="Credit")*(ISNUMBER(Z87:Z146)),Z87:Z146,0)),2)=0,0,ROUND(SUM(IF((Z86:Z145="Debit")*(ISNUMBER(Z87:Z146)),Z87:Z146,0))-SUM(IF((Z86:Z145="Credit")*(ISNUMBER(Z87:Z146)),Z87:Z146,0)),2))</f>
        <v>0</v>
      </c>
      <c r="AA85" s="335" cm="1">
        <f t="array" ref="AA85">IF(ROUND(SUM(IF((AA86:AA145="Debit")*(ISNUMBER(AA87:AA146)),AA87:AA146,0))-SUM(IF((AA86:AA145="Credit")*(ISNUMBER(AA87:AA146)),AA87:AA146,0)),2)=0,0,ROUND(SUM(IF((AA86:AA145="Debit")*(ISNUMBER(AA87:AA146)),AA87:AA146,0))-SUM(IF((AA86:AA145="Credit")*(ISNUMBER(AA87:AA146)),AA87:AA146,0)),2))</f>
        <v>0</v>
      </c>
      <c r="AB85" s="335" cm="1">
        <f t="array" ref="AB85">IF(ROUND(SUM(IF((AB86:AB145="Debit")*(ISNUMBER(AB87:AB146)),AB87:AB146,0))-SUM(IF((AB86:AB145="Credit")*(ISNUMBER(AB87:AB146)),AB87:AB146,0)),2)=0,0,ROUND(SUM(IF((AB86:AB145="Debit")*(ISNUMBER(AB87:AB146)),AB87:AB146,0))-SUM(IF((AB86:AB145="Credit")*(ISNUMBER(AB87:AB146)),AB87:AB146,0)),2))</f>
        <v>0</v>
      </c>
      <c r="AC85" s="335" cm="1">
        <f t="array" ref="AC85">IF(ROUND(SUM(IF((AC86:AC145="Debit")*(ISNUMBER(AC87:AC146)),AC87:AC146,0))-SUM(IF((AC86:AC145="Credit")*(ISNUMBER(AC87:AC146)),AC87:AC146,0)),2)=0,0,ROUND(SUM(IF((AC86:AC145="Debit")*(ISNUMBER(AC87:AC146)),AC87:AC146,0))-SUM(IF((AC86:AC145="Credit")*(ISNUMBER(AC87:AC146)),AC87:AC146,0)),2))</f>
        <v>0</v>
      </c>
      <c r="AD85" s="335" cm="1">
        <f t="array" ref="AD85">IF(ROUND(SUM(IF((AD86:AD145="Debit")*(ISNUMBER(AD87:AD146)),AD87:AD146,0))-SUM(IF((AD86:AD145="Credit")*(ISNUMBER(AD87:AD146)),AD87:AD146,0)),2)=0,0,ROUND(SUM(IF((AD86:AD145="Debit")*(ISNUMBER(AD87:AD146)),AD87:AD146,0))-SUM(IF((AD86:AD145="Credit")*(ISNUMBER(AD87:AD146)),AD87:AD146,0)),2))</f>
        <v>0</v>
      </c>
      <c r="AE85" s="335" cm="1">
        <f t="array" ref="AE85">IF(ROUND(SUM(IF((AE86:AE145="Debit")*(ISNUMBER(AE87:AE146)),AE87:AE146,0))-SUM(IF((AE86:AE145="Credit")*(ISNUMBER(AE87:AE146)),AE87:AE146,0)),2)=0,0,ROUND(SUM(IF((AE86:AE145="Debit")*(ISNUMBER(AE87:AE146)),AE87:AE146,0))-SUM(IF((AE86:AE145="Credit")*(ISNUMBER(AE87:AE146)),AE87:AE146,0)),2))</f>
        <v>0</v>
      </c>
      <c r="AF85" s="335" cm="1">
        <f t="array" ref="AF85">IF(ROUND(SUM(IF((AF86:AF145="Debit")*(ISNUMBER(AF87:AF146)),AF87:AF146,0))-SUM(IF((AF86:AF145="Credit")*(ISNUMBER(AF87:AF146)),AF87:AF146,0)),2)=0,0,ROUND(SUM(IF((AF86:AF145="Debit")*(ISNUMBER(AF87:AF146)),AF87:AF146,0))-SUM(IF((AF86:AF145="Credit")*(ISNUMBER(AF87:AF146)),AF87:AF146,0)),2))</f>
        <v>0</v>
      </c>
      <c r="AG85" s="335" cm="1">
        <f t="array" ref="AG85">IF(ROUND(SUM(IF((AG86:AG145="Debit")*(ISNUMBER(AG87:AG146)),AG87:AG146,0))-SUM(IF((AG86:AG145="Credit")*(ISNUMBER(AG87:AG146)),AG87:AG146,0)),2)=0,0,ROUND(SUM(IF((AG86:AG145="Debit")*(ISNUMBER(AG87:AG146)),AG87:AG146,0))-SUM(IF((AG86:AG145="Credit")*(ISNUMBER(AG87:AG146)),AG87:AG146,0)),2))</f>
        <v>0</v>
      </c>
      <c r="AH85" s="335" cm="1">
        <f t="array" ref="AH85">IF(ROUND(SUM(IF((AH86:AH145="Debit")*(ISNUMBER(AH87:AH146)),AH87:AH146,0))-SUM(IF((AH86:AH145="Credit")*(ISNUMBER(AH87:AH146)),AH87:AH146,0)),2)=0,0,ROUND(SUM(IF((AH86:AH145="Debit")*(ISNUMBER(AH87:AH146)),AH87:AH146,0))-SUM(IF((AH86:AH145="Credit")*(ISNUMBER(AH87:AH146)),AH87:AH146,0)),2))</f>
        <v>0</v>
      </c>
      <c r="AI85" s="335" cm="1">
        <f t="array" ref="AI85">IF(ROUND(SUM(IF((AI86:AI145="Debit")*(ISNUMBER(AI87:AI146)),AI87:AI146,0))-SUM(IF((AI86:AI145="Credit")*(ISNUMBER(AI87:AI146)),AI87:AI146,0)),2)=0,0,ROUND(SUM(IF((AI86:AI145="Debit")*(ISNUMBER(AI87:AI146)),AI87:AI146,0))-SUM(IF((AI86:AI145="Credit")*(ISNUMBER(AI87:AI146)),AI87:AI146,0)),2))</f>
        <v>0</v>
      </c>
      <c r="AJ85" s="335" cm="1">
        <f t="array" ref="AJ85">IF(ROUND(SUM(IF((AJ86:AJ145="Debit")*(ISNUMBER(AJ87:AJ146)),AJ87:AJ146,0))-SUM(IF((AJ86:AJ145="Credit")*(ISNUMBER(AJ87:AJ146)),AJ87:AJ146,0)),2)=0,0,ROUND(SUM(IF((AJ86:AJ145="Debit")*(ISNUMBER(AJ87:AJ146)),AJ87:AJ146,0))-SUM(IF((AJ86:AJ145="Credit")*(ISNUMBER(AJ87:AJ146)),AJ87:AJ146,0)),2))</f>
        <v>0</v>
      </c>
      <c r="AK85" s="335" cm="1">
        <f t="array" ref="AK85">IF(ROUND(SUM(IF((AK86:AK145="Debit")*(ISNUMBER(AK87:AK146)),AK87:AK146,0))-SUM(IF((AK86:AK145="Credit")*(ISNUMBER(AK87:AK146)),AK87:AK146,0)),2)=0,0,ROUND(SUM(IF((AK86:AK145="Debit")*(ISNUMBER(AK87:AK146)),AK87:AK146,0))-SUM(IF((AK86:AK145="Credit")*(ISNUMBER(AK87:AK146)),AK87:AK146,0)),2))</f>
        <v>0</v>
      </c>
      <c r="AL85" s="335" cm="1">
        <f t="array" ref="AL85">IF(ROUND(SUM(IF((AL86:AL145="Debit")*(ISNUMBER(AL87:AL146)),AL87:AL146,0))-SUM(IF((AL86:AL145="Credit")*(ISNUMBER(AL87:AL146)),AL87:AL146,0)),2)=0,0,ROUND(SUM(IF((AL86:AL145="Debit")*(ISNUMBER(AL87:AL146)),AL87:AL146,0))-SUM(IF((AL86:AL145="Credit")*(ISNUMBER(AL87:AL146)),AL87:AL146,0)),2))</f>
        <v>0</v>
      </c>
      <c r="AM85" s="335" cm="1">
        <f t="array" ref="AM85">IF(ROUND(SUM(IF((AM86:AM145="Debit")*(ISNUMBER(AM87:AM146)),AM87:AM146,0))-SUM(IF((AM86:AM145="Credit")*(ISNUMBER(AM87:AM146)),AM87:AM146,0)),2)=0,0,ROUND(SUM(IF((AM86:AM145="Debit")*(ISNUMBER(AM87:AM146)),AM87:AM146,0))-SUM(IF((AM86:AM145="Credit")*(ISNUMBER(AM87:AM146)),AM87:AM146,0)),2))</f>
        <v>0</v>
      </c>
      <c r="AN85" s="495"/>
    </row>
    <row r="86" spans="1:40" ht="15" hidden="1" customHeight="1" outlineLevel="1">
      <c r="B86" s="77">
        <v>1</v>
      </c>
      <c r="C86" s="77">
        <v>1.1000000000000001</v>
      </c>
      <c r="D86" s="78" t="s">
        <v>563</v>
      </c>
      <c r="E86" s="79" t="s">
        <v>77</v>
      </c>
      <c r="F86" s="79" t="s">
        <v>77</v>
      </c>
      <c r="G86" s="79" t="s">
        <v>77</v>
      </c>
      <c r="H86" s="79" t="s">
        <v>77</v>
      </c>
      <c r="I86" s="79" t="s">
        <v>77</v>
      </c>
      <c r="J86" s="79" t="s">
        <v>77</v>
      </c>
      <c r="K86" s="79" t="s">
        <v>77</v>
      </c>
      <c r="L86" s="79" t="s">
        <v>78</v>
      </c>
      <c r="M86" s="79" t="s">
        <v>77</v>
      </c>
      <c r="N86" s="79" t="s">
        <v>77</v>
      </c>
      <c r="O86" s="79" t="s">
        <v>77</v>
      </c>
      <c r="P86" s="79"/>
      <c r="Q86" s="79" t="s">
        <v>81</v>
      </c>
      <c r="R86" s="79" t="s">
        <v>83</v>
      </c>
      <c r="S86" s="79"/>
      <c r="T86" s="79"/>
      <c r="U86" s="79"/>
      <c r="V86" s="79"/>
      <c r="W86" s="79" t="s">
        <v>77</v>
      </c>
      <c r="X86" s="79" t="s">
        <v>77</v>
      </c>
      <c r="Y86" s="79"/>
      <c r="Z86" s="79" t="s">
        <v>79</v>
      </c>
      <c r="AA86" s="79" t="s">
        <v>78</v>
      </c>
      <c r="AB86" s="79"/>
      <c r="AC86" s="79"/>
      <c r="AD86" s="79"/>
      <c r="AE86" s="79"/>
      <c r="AF86" s="79"/>
      <c r="AG86" s="79"/>
      <c r="AH86" s="79"/>
      <c r="AI86" s="188"/>
      <c r="AJ86" s="188"/>
      <c r="AK86" s="188"/>
      <c r="AL86" s="188"/>
      <c r="AM86" s="188"/>
      <c r="AN86" s="496">
        <f>C86</f>
        <v>1.1000000000000001</v>
      </c>
    </row>
    <row r="87" spans="1:40" hidden="1" outlineLevel="1">
      <c r="B87" s="80">
        <v>1</v>
      </c>
      <c r="C87" s="80">
        <v>1.2</v>
      </c>
      <c r="D87" s="35" t="s">
        <v>105</v>
      </c>
      <c r="E87" s="33" t="s">
        <v>115</v>
      </c>
      <c r="F87" s="33" t="s">
        <v>115</v>
      </c>
      <c r="G87" s="33" t="s">
        <v>115</v>
      </c>
      <c r="H87" s="33" t="s">
        <v>142</v>
      </c>
      <c r="I87" s="33" t="s">
        <v>142</v>
      </c>
      <c r="J87" s="33" t="s">
        <v>130</v>
      </c>
      <c r="K87" s="33" t="s">
        <v>130</v>
      </c>
      <c r="L87" s="33" t="s">
        <v>168</v>
      </c>
      <c r="M87" s="33" t="s">
        <v>130</v>
      </c>
      <c r="N87" s="33" t="s">
        <v>115</v>
      </c>
      <c r="O87" s="33" t="s">
        <v>115</v>
      </c>
      <c r="P87" s="33"/>
      <c r="Q87" s="33" t="s">
        <v>275</v>
      </c>
      <c r="R87" s="33" t="s">
        <v>772</v>
      </c>
      <c r="S87" s="33"/>
      <c r="T87" s="33"/>
      <c r="U87" s="33"/>
      <c r="V87" s="33"/>
      <c r="W87" s="33" t="s">
        <v>120</v>
      </c>
      <c r="X87" s="33" t="s">
        <v>115</v>
      </c>
      <c r="Y87" s="33"/>
      <c r="Z87" s="33" t="s">
        <v>252</v>
      </c>
      <c r="AA87" s="33" t="s">
        <v>177</v>
      </c>
      <c r="AB87" s="33"/>
      <c r="AC87" s="33"/>
      <c r="AD87" s="33"/>
      <c r="AE87" s="33"/>
      <c r="AF87" s="33"/>
      <c r="AG87" s="33"/>
      <c r="AH87" s="33"/>
      <c r="AI87" s="189"/>
      <c r="AJ87" s="189"/>
      <c r="AK87" s="189"/>
      <c r="AL87" s="189"/>
      <c r="AM87" s="189"/>
      <c r="AN87" s="497">
        <f t="shared" ref="AN87:AN145" si="2">C87</f>
        <v>1.2</v>
      </c>
    </row>
    <row r="88" spans="1:40" hidden="1" outlineLevel="1">
      <c r="B88" s="80">
        <v>1</v>
      </c>
      <c r="C88" s="80">
        <v>1.3</v>
      </c>
      <c r="D88" s="35" t="s">
        <v>773</v>
      </c>
      <c r="E88" s="33" t="s">
        <v>117</v>
      </c>
      <c r="F88" s="33" t="s">
        <v>117</v>
      </c>
      <c r="G88" s="33" t="s">
        <v>117</v>
      </c>
      <c r="H88" s="33" t="s">
        <v>117</v>
      </c>
      <c r="I88" s="33" t="s">
        <v>117</v>
      </c>
      <c r="J88" s="33" t="s">
        <v>117</v>
      </c>
      <c r="K88" s="33" t="s">
        <v>117</v>
      </c>
      <c r="L88" s="33" t="s">
        <v>117</v>
      </c>
      <c r="M88" s="33" t="s">
        <v>117</v>
      </c>
      <c r="N88" s="33" t="s">
        <v>117</v>
      </c>
      <c r="O88" s="33" t="s">
        <v>117</v>
      </c>
      <c r="P88" s="33"/>
      <c r="Q88" s="33" t="s">
        <v>117</v>
      </c>
      <c r="R88" s="33" t="s">
        <v>117</v>
      </c>
      <c r="S88" s="33"/>
      <c r="T88" s="33"/>
      <c r="U88" s="33"/>
      <c r="V88" s="33"/>
      <c r="W88" s="33" t="s">
        <v>117</v>
      </c>
      <c r="X88" s="33" t="s">
        <v>117</v>
      </c>
      <c r="Y88" s="33"/>
      <c r="Z88" s="33" t="s">
        <v>117</v>
      </c>
      <c r="AA88" s="33" t="s">
        <v>117</v>
      </c>
      <c r="AB88" s="33"/>
      <c r="AC88" s="33"/>
      <c r="AD88" s="33"/>
      <c r="AE88" s="33"/>
      <c r="AF88" s="33"/>
      <c r="AG88" s="33"/>
      <c r="AH88" s="33"/>
      <c r="AI88" s="189"/>
      <c r="AJ88" s="189"/>
      <c r="AK88" s="189"/>
      <c r="AL88" s="189"/>
      <c r="AM88" s="189"/>
      <c r="AN88" s="497">
        <f t="shared" si="2"/>
        <v>1.3</v>
      </c>
    </row>
    <row r="89" spans="1:40" hidden="1" outlineLevel="1">
      <c r="B89" s="80">
        <v>1</v>
      </c>
      <c r="C89" s="80">
        <v>1.4</v>
      </c>
      <c r="D89" s="35" t="s">
        <v>774</v>
      </c>
      <c r="E89" s="33">
        <v>50</v>
      </c>
      <c r="F89" s="33">
        <v>50</v>
      </c>
      <c r="G89" s="33">
        <v>50</v>
      </c>
      <c r="H89" s="33">
        <v>50</v>
      </c>
      <c r="I89" s="33">
        <v>50</v>
      </c>
      <c r="J89" s="33">
        <v>18</v>
      </c>
      <c r="K89" s="33">
        <v>18</v>
      </c>
      <c r="L89" s="33">
        <v>17</v>
      </c>
      <c r="M89" s="33">
        <v>18</v>
      </c>
      <c r="N89" s="33">
        <v>18</v>
      </c>
      <c r="O89" s="33">
        <v>8</v>
      </c>
      <c r="P89" s="33"/>
      <c r="Q89" s="33">
        <v>6</v>
      </c>
      <c r="R89" s="33">
        <v>6</v>
      </c>
      <c r="S89" s="33"/>
      <c r="T89" s="33"/>
      <c r="U89" s="33"/>
      <c r="V89" s="33"/>
      <c r="W89" s="33">
        <v>15</v>
      </c>
      <c r="X89" s="33">
        <v>15</v>
      </c>
      <c r="Y89" s="33"/>
      <c r="Z89" s="33">
        <v>2</v>
      </c>
      <c r="AA89" s="33">
        <v>2</v>
      </c>
      <c r="AB89" s="33"/>
      <c r="AC89" s="33"/>
      <c r="AD89" s="33"/>
      <c r="AE89" s="33"/>
      <c r="AF89" s="33"/>
      <c r="AG89" s="33"/>
      <c r="AH89" s="33"/>
      <c r="AI89" s="189"/>
      <c r="AJ89" s="189"/>
      <c r="AK89" s="189"/>
      <c r="AL89" s="189"/>
      <c r="AM89" s="189"/>
      <c r="AN89" s="497">
        <f t="shared" si="2"/>
        <v>1.4</v>
      </c>
    </row>
    <row r="90" spans="1:40" hidden="1" outlineLevel="1">
      <c r="B90" s="81">
        <v>2</v>
      </c>
      <c r="C90" s="81">
        <v>2.1</v>
      </c>
      <c r="D90" s="36" t="s">
        <v>563</v>
      </c>
      <c r="E90" s="67" t="s">
        <v>79</v>
      </c>
      <c r="F90" s="67" t="s">
        <v>78</v>
      </c>
      <c r="G90" s="67" t="s">
        <v>80</v>
      </c>
      <c r="H90" s="67" t="s">
        <v>79</v>
      </c>
      <c r="I90" s="67" t="s">
        <v>78</v>
      </c>
      <c r="J90" s="67" t="s">
        <v>77</v>
      </c>
      <c r="K90" s="67" t="s">
        <v>78</v>
      </c>
      <c r="L90" s="67" t="s">
        <v>77</v>
      </c>
      <c r="M90" s="67" t="s">
        <v>77</v>
      </c>
      <c r="N90" s="67" t="s">
        <v>80</v>
      </c>
      <c r="O90" s="67" t="s">
        <v>78</v>
      </c>
      <c r="P90" s="67"/>
      <c r="Q90" s="67" t="s">
        <v>77</v>
      </c>
      <c r="R90" s="67" t="s">
        <v>77</v>
      </c>
      <c r="S90" s="67"/>
      <c r="T90" s="67"/>
      <c r="U90" s="67"/>
      <c r="V90" s="67"/>
      <c r="W90" s="67" t="s">
        <v>80</v>
      </c>
      <c r="X90" s="67" t="s">
        <v>77</v>
      </c>
      <c r="Y90" s="67"/>
      <c r="Z90" s="67" t="s">
        <v>78</v>
      </c>
      <c r="AA90" s="67" t="s">
        <v>77</v>
      </c>
      <c r="AB90" s="67"/>
      <c r="AC90" s="67"/>
      <c r="AD90" s="67"/>
      <c r="AE90" s="67"/>
      <c r="AF90" s="67"/>
      <c r="AG90" s="67"/>
      <c r="AH90" s="67"/>
      <c r="AI90" s="190"/>
      <c r="AJ90" s="190"/>
      <c r="AK90" s="190"/>
      <c r="AL90" s="190"/>
      <c r="AM90" s="190"/>
      <c r="AN90" s="497">
        <f t="shared" si="2"/>
        <v>2.1</v>
      </c>
    </row>
    <row r="91" spans="1:40" hidden="1" outlineLevel="1">
      <c r="B91" s="81">
        <v>2</v>
      </c>
      <c r="C91" s="81">
        <v>2.2000000000000002</v>
      </c>
      <c r="D91" s="36" t="s">
        <v>105</v>
      </c>
      <c r="E91" s="67" t="s">
        <v>243</v>
      </c>
      <c r="F91" s="67" t="s">
        <v>226</v>
      </c>
      <c r="G91" s="67" t="s">
        <v>775</v>
      </c>
      <c r="H91" s="67" t="s">
        <v>243</v>
      </c>
      <c r="I91" s="67" t="s">
        <v>226</v>
      </c>
      <c r="J91" s="67" t="s">
        <v>115</v>
      </c>
      <c r="K91" s="67" t="s">
        <v>168</v>
      </c>
      <c r="L91" s="67" t="s">
        <v>115</v>
      </c>
      <c r="M91" s="67" t="s">
        <v>115</v>
      </c>
      <c r="N91" s="67" t="s">
        <v>262</v>
      </c>
      <c r="O91" s="67" t="s">
        <v>185</v>
      </c>
      <c r="P91" s="67"/>
      <c r="Q91" s="67" t="s">
        <v>130</v>
      </c>
      <c r="R91" s="67" t="s">
        <v>130</v>
      </c>
      <c r="S91" s="67"/>
      <c r="T91" s="67"/>
      <c r="U91" s="67"/>
      <c r="V91" s="67"/>
      <c r="W91" s="67" t="s">
        <v>775</v>
      </c>
      <c r="X91" s="67" t="s">
        <v>120</v>
      </c>
      <c r="Y91" s="67"/>
      <c r="Z91" s="67" t="s">
        <v>177</v>
      </c>
      <c r="AA91" s="67" t="s">
        <v>115</v>
      </c>
      <c r="AB91" s="67"/>
      <c r="AC91" s="67"/>
      <c r="AD91" s="67"/>
      <c r="AE91" s="67"/>
      <c r="AF91" s="67"/>
      <c r="AG91" s="67"/>
      <c r="AH91" s="67"/>
      <c r="AI91" s="190"/>
      <c r="AJ91" s="190"/>
      <c r="AK91" s="190"/>
      <c r="AL91" s="190"/>
      <c r="AM91" s="190"/>
      <c r="AN91" s="497">
        <f t="shared" si="2"/>
        <v>2.2000000000000002</v>
      </c>
    </row>
    <row r="92" spans="1:40" hidden="1" outlineLevel="1">
      <c r="B92" s="81">
        <v>2</v>
      </c>
      <c r="C92" s="81">
        <v>2.2999999999999998</v>
      </c>
      <c r="D92" s="36" t="s">
        <v>773</v>
      </c>
      <c r="E92" s="67" t="s">
        <v>125</v>
      </c>
      <c r="F92" s="67" t="s">
        <v>125</v>
      </c>
      <c r="G92" s="67" t="s">
        <v>125</v>
      </c>
      <c r="H92" s="67" t="s">
        <v>125</v>
      </c>
      <c r="I92" s="67" t="s">
        <v>125</v>
      </c>
      <c r="J92" s="67" t="s">
        <v>125</v>
      </c>
      <c r="K92" s="67" t="s">
        <v>125</v>
      </c>
      <c r="L92" s="67" t="s">
        <v>125</v>
      </c>
      <c r="M92" s="67" t="s">
        <v>125</v>
      </c>
      <c r="N92" s="67" t="s">
        <v>125</v>
      </c>
      <c r="O92" s="67" t="s">
        <v>125</v>
      </c>
      <c r="P92" s="67"/>
      <c r="Q92" s="67" t="s">
        <v>125</v>
      </c>
      <c r="R92" s="67" t="s">
        <v>125</v>
      </c>
      <c r="S92" s="67"/>
      <c r="T92" s="67"/>
      <c r="U92" s="67"/>
      <c r="V92" s="67"/>
      <c r="W92" s="67" t="s">
        <v>125</v>
      </c>
      <c r="X92" s="67" t="s">
        <v>125</v>
      </c>
      <c r="Y92" s="67"/>
      <c r="Z92" s="67" t="s">
        <v>125</v>
      </c>
      <c r="AA92" s="67" t="s">
        <v>125</v>
      </c>
      <c r="AB92" s="67"/>
      <c r="AC92" s="67"/>
      <c r="AD92" s="67"/>
      <c r="AE92" s="67"/>
      <c r="AF92" s="67"/>
      <c r="AG92" s="67"/>
      <c r="AH92" s="67"/>
      <c r="AI92" s="190"/>
      <c r="AJ92" s="190"/>
      <c r="AK92" s="190"/>
      <c r="AL92" s="190"/>
      <c r="AM92" s="190"/>
      <c r="AN92" s="497">
        <f t="shared" si="2"/>
        <v>2.2999999999999998</v>
      </c>
    </row>
    <row r="93" spans="1:40" hidden="1" outlineLevel="1">
      <c r="B93" s="81">
        <v>2</v>
      </c>
      <c r="C93" s="81">
        <v>2.4</v>
      </c>
      <c r="D93" s="36" t="s">
        <v>774</v>
      </c>
      <c r="E93" s="34">
        <v>50</v>
      </c>
      <c r="F93" s="34">
        <v>50</v>
      </c>
      <c r="G93" s="34">
        <v>50</v>
      </c>
      <c r="H93" s="34">
        <v>50</v>
      </c>
      <c r="I93" s="34">
        <v>50</v>
      </c>
      <c r="J93" s="34">
        <v>18</v>
      </c>
      <c r="K93" s="34">
        <v>18</v>
      </c>
      <c r="L93" s="34">
        <v>17</v>
      </c>
      <c r="M93" s="34">
        <v>17</v>
      </c>
      <c r="N93" s="34">
        <v>18</v>
      </c>
      <c r="O93" s="34">
        <v>8</v>
      </c>
      <c r="P93" s="34"/>
      <c r="Q93" s="34">
        <v>6</v>
      </c>
      <c r="R93" s="34">
        <v>6</v>
      </c>
      <c r="S93" s="34"/>
      <c r="T93" s="34"/>
      <c r="U93" s="34"/>
      <c r="V93" s="34"/>
      <c r="W93" s="34">
        <v>15</v>
      </c>
      <c r="X93" s="34">
        <v>15</v>
      </c>
      <c r="Y93" s="34"/>
      <c r="Z93" s="34">
        <v>2</v>
      </c>
      <c r="AA93" s="34">
        <v>2</v>
      </c>
      <c r="AB93" s="34"/>
      <c r="AC93" s="34"/>
      <c r="AD93" s="34"/>
      <c r="AE93" s="34"/>
      <c r="AF93" s="34"/>
      <c r="AG93" s="34"/>
      <c r="AH93" s="34"/>
      <c r="AI93" s="191"/>
      <c r="AJ93" s="191"/>
      <c r="AK93" s="191"/>
      <c r="AL93" s="191"/>
      <c r="AM93" s="191"/>
      <c r="AN93" s="497">
        <f t="shared" si="2"/>
        <v>2.4</v>
      </c>
    </row>
    <row r="94" spans="1:40" hidden="1" outlineLevel="1">
      <c r="B94" s="80">
        <v>3</v>
      </c>
      <c r="C94" s="80">
        <v>3.1</v>
      </c>
      <c r="D94" s="35" t="s">
        <v>563</v>
      </c>
      <c r="E94" s="33"/>
      <c r="F94" s="33"/>
      <c r="G94" s="33"/>
      <c r="H94" s="33"/>
      <c r="I94" s="33"/>
      <c r="J94" s="33"/>
      <c r="K94" s="33"/>
      <c r="L94" s="33"/>
      <c r="M94" s="33" t="s">
        <v>78</v>
      </c>
      <c r="N94" s="33"/>
      <c r="O94" s="33"/>
      <c r="P94" s="33"/>
      <c r="Q94" s="33"/>
      <c r="R94" s="33"/>
      <c r="S94" s="33"/>
      <c r="T94" s="33"/>
      <c r="U94" s="33"/>
      <c r="V94" s="33"/>
      <c r="W94" s="33"/>
      <c r="X94" s="33"/>
      <c r="Y94" s="33"/>
      <c r="Z94" s="33"/>
      <c r="AA94" s="33"/>
      <c r="AB94" s="33"/>
      <c r="AC94" s="33"/>
      <c r="AD94" s="33"/>
      <c r="AE94" s="33"/>
      <c r="AF94" s="33"/>
      <c r="AG94" s="33"/>
      <c r="AH94" s="33"/>
      <c r="AI94" s="189"/>
      <c r="AJ94" s="189"/>
      <c r="AK94" s="189"/>
      <c r="AL94" s="189"/>
      <c r="AM94" s="189"/>
      <c r="AN94" s="497">
        <f t="shared" si="2"/>
        <v>3.1</v>
      </c>
    </row>
    <row r="95" spans="1:40" hidden="1" outlineLevel="1">
      <c r="B95" s="80">
        <v>3</v>
      </c>
      <c r="C95" s="80">
        <v>3.2</v>
      </c>
      <c r="D95" s="35" t="s">
        <v>105</v>
      </c>
      <c r="E95" s="33"/>
      <c r="F95" s="33"/>
      <c r="G95" s="33"/>
      <c r="H95" s="33"/>
      <c r="I95" s="33"/>
      <c r="J95" s="33"/>
      <c r="K95" s="33"/>
      <c r="L95" s="33"/>
      <c r="M95" s="33" t="s">
        <v>168</v>
      </c>
      <c r="N95" s="33"/>
      <c r="O95" s="33"/>
      <c r="P95" s="33"/>
      <c r="Q95" s="33"/>
      <c r="R95" s="33"/>
      <c r="S95" s="33"/>
      <c r="T95" s="33"/>
      <c r="U95" s="33"/>
      <c r="V95" s="33"/>
      <c r="W95" s="33"/>
      <c r="X95" s="33"/>
      <c r="Y95" s="33"/>
      <c r="Z95" s="33"/>
      <c r="AA95" s="33"/>
      <c r="AB95" s="33"/>
      <c r="AC95" s="33"/>
      <c r="AD95" s="33"/>
      <c r="AE95" s="33"/>
      <c r="AF95" s="33"/>
      <c r="AG95" s="33"/>
      <c r="AH95" s="33"/>
      <c r="AI95" s="189"/>
      <c r="AJ95" s="189"/>
      <c r="AK95" s="189"/>
      <c r="AL95" s="189"/>
      <c r="AM95" s="189"/>
      <c r="AN95" s="497">
        <f t="shared" si="2"/>
        <v>3.2</v>
      </c>
    </row>
    <row r="96" spans="1:40" hidden="1" outlineLevel="1">
      <c r="B96" s="80">
        <v>3</v>
      </c>
      <c r="C96" s="80">
        <v>3.3</v>
      </c>
      <c r="D96" s="35" t="s">
        <v>773</v>
      </c>
      <c r="E96" s="33"/>
      <c r="F96" s="33"/>
      <c r="G96" s="33"/>
      <c r="H96" s="33"/>
      <c r="I96" s="33"/>
      <c r="J96" s="33"/>
      <c r="K96" s="33"/>
      <c r="L96" s="33"/>
      <c r="M96" s="33" t="s">
        <v>125</v>
      </c>
      <c r="N96" s="33"/>
      <c r="O96" s="33"/>
      <c r="P96" s="33"/>
      <c r="Q96" s="33"/>
      <c r="R96" s="33"/>
      <c r="S96" s="33"/>
      <c r="T96" s="33"/>
      <c r="U96" s="33"/>
      <c r="V96" s="33"/>
      <c r="W96" s="33"/>
      <c r="X96" s="33"/>
      <c r="Y96" s="33"/>
      <c r="Z96" s="33"/>
      <c r="AA96" s="33"/>
      <c r="AB96" s="33"/>
      <c r="AC96" s="33"/>
      <c r="AD96" s="33"/>
      <c r="AE96" s="33"/>
      <c r="AF96" s="33"/>
      <c r="AG96" s="33"/>
      <c r="AH96" s="33"/>
      <c r="AI96" s="189"/>
      <c r="AJ96" s="189"/>
      <c r="AK96" s="189"/>
      <c r="AL96" s="189"/>
      <c r="AM96" s="189"/>
      <c r="AN96" s="497">
        <f t="shared" si="2"/>
        <v>3.3</v>
      </c>
    </row>
    <row r="97" spans="2:40" hidden="1" outlineLevel="1">
      <c r="B97" s="80">
        <v>3</v>
      </c>
      <c r="C97" s="80">
        <v>3.4</v>
      </c>
      <c r="D97" s="35" t="s">
        <v>774</v>
      </c>
      <c r="E97" s="33"/>
      <c r="F97" s="33"/>
      <c r="G97" s="33"/>
      <c r="H97" s="33"/>
      <c r="I97" s="33"/>
      <c r="J97" s="33"/>
      <c r="K97" s="33"/>
      <c r="L97" s="33"/>
      <c r="M97" s="33">
        <v>1</v>
      </c>
      <c r="N97" s="33"/>
      <c r="O97" s="33"/>
      <c r="P97" s="33"/>
      <c r="Q97" s="33"/>
      <c r="R97" s="33"/>
      <c r="S97" s="33"/>
      <c r="T97" s="33"/>
      <c r="U97" s="33"/>
      <c r="V97" s="33"/>
      <c r="W97" s="33"/>
      <c r="X97" s="33"/>
      <c r="Y97" s="33"/>
      <c r="Z97" s="33"/>
      <c r="AA97" s="33"/>
      <c r="AB97" s="33"/>
      <c r="AC97" s="33"/>
      <c r="AD97" s="33"/>
      <c r="AE97" s="33"/>
      <c r="AF97" s="33"/>
      <c r="AG97" s="33"/>
      <c r="AH97" s="33"/>
      <c r="AI97" s="189"/>
      <c r="AJ97" s="189"/>
      <c r="AK97" s="189"/>
      <c r="AL97" s="189"/>
      <c r="AM97" s="189"/>
      <c r="AN97" s="497">
        <f t="shared" si="2"/>
        <v>3.4</v>
      </c>
    </row>
    <row r="98" spans="2:40" hidden="1" outlineLevel="1">
      <c r="B98" s="81">
        <v>4</v>
      </c>
      <c r="C98" s="81">
        <v>4.0999999999999996</v>
      </c>
      <c r="D98" s="36" t="s">
        <v>563</v>
      </c>
      <c r="E98" s="67"/>
      <c r="F98" s="67"/>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190"/>
      <c r="AJ98" s="190"/>
      <c r="AK98" s="190"/>
      <c r="AL98" s="190"/>
      <c r="AM98" s="190"/>
      <c r="AN98" s="497">
        <f t="shared" si="2"/>
        <v>4.0999999999999996</v>
      </c>
    </row>
    <row r="99" spans="2:40" hidden="1" outlineLevel="1">
      <c r="B99" s="81">
        <v>4</v>
      </c>
      <c r="C99" s="81">
        <v>4.2</v>
      </c>
      <c r="D99" s="36" t="s">
        <v>105</v>
      </c>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190"/>
      <c r="AJ99" s="190"/>
      <c r="AK99" s="190"/>
      <c r="AL99" s="190"/>
      <c r="AM99" s="190"/>
      <c r="AN99" s="497">
        <f t="shared" si="2"/>
        <v>4.2</v>
      </c>
    </row>
    <row r="100" spans="2:40" hidden="1" outlineLevel="1">
      <c r="B100" s="81">
        <v>4</v>
      </c>
      <c r="C100" s="81">
        <v>4.3</v>
      </c>
      <c r="D100" s="36" t="s">
        <v>773</v>
      </c>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190"/>
      <c r="AJ100" s="190"/>
      <c r="AK100" s="190"/>
      <c r="AL100" s="190"/>
      <c r="AM100" s="190"/>
      <c r="AN100" s="497">
        <f t="shared" si="2"/>
        <v>4.3</v>
      </c>
    </row>
    <row r="101" spans="2:40" hidden="1" outlineLevel="1">
      <c r="B101" s="81">
        <v>4</v>
      </c>
      <c r="C101" s="81">
        <v>4.4000000000000004</v>
      </c>
      <c r="D101" s="36" t="s">
        <v>774</v>
      </c>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191"/>
      <c r="AJ101" s="191"/>
      <c r="AK101" s="191"/>
      <c r="AL101" s="191"/>
      <c r="AM101" s="191"/>
      <c r="AN101" s="497">
        <f t="shared" si="2"/>
        <v>4.4000000000000004</v>
      </c>
    </row>
    <row r="102" spans="2:40" hidden="1" outlineLevel="1">
      <c r="B102" s="80">
        <v>5</v>
      </c>
      <c r="C102" s="80">
        <v>5.0999999999999996</v>
      </c>
      <c r="D102" s="35" t="s">
        <v>563</v>
      </c>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189"/>
      <c r="AJ102" s="189"/>
      <c r="AK102" s="189"/>
      <c r="AL102" s="189"/>
      <c r="AM102" s="189"/>
      <c r="AN102" s="497">
        <f t="shared" si="2"/>
        <v>5.0999999999999996</v>
      </c>
    </row>
    <row r="103" spans="2:40" hidden="1" outlineLevel="1">
      <c r="B103" s="80">
        <v>5</v>
      </c>
      <c r="C103" s="80">
        <v>5.2</v>
      </c>
      <c r="D103" s="35" t="s">
        <v>105</v>
      </c>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189"/>
      <c r="AJ103" s="189"/>
      <c r="AK103" s="189"/>
      <c r="AL103" s="189"/>
      <c r="AM103" s="189"/>
      <c r="AN103" s="497">
        <f t="shared" si="2"/>
        <v>5.2</v>
      </c>
    </row>
    <row r="104" spans="2:40" hidden="1" outlineLevel="1">
      <c r="B104" s="80">
        <v>5</v>
      </c>
      <c r="C104" s="80">
        <v>5.3</v>
      </c>
      <c r="D104" s="35" t="s">
        <v>773</v>
      </c>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189"/>
      <c r="AJ104" s="189"/>
      <c r="AK104" s="189"/>
      <c r="AL104" s="189"/>
      <c r="AM104" s="189"/>
      <c r="AN104" s="497">
        <f t="shared" si="2"/>
        <v>5.3</v>
      </c>
    </row>
    <row r="105" spans="2:40" hidden="1" outlineLevel="1">
      <c r="B105" s="80">
        <v>5</v>
      </c>
      <c r="C105" s="80">
        <v>5.4</v>
      </c>
      <c r="D105" s="35" t="s">
        <v>774</v>
      </c>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189"/>
      <c r="AJ105" s="189"/>
      <c r="AK105" s="189"/>
      <c r="AL105" s="189"/>
      <c r="AM105" s="189"/>
      <c r="AN105" s="497">
        <f t="shared" si="2"/>
        <v>5.4</v>
      </c>
    </row>
    <row r="106" spans="2:40" hidden="1" outlineLevel="1">
      <c r="B106" s="81">
        <v>6</v>
      </c>
      <c r="C106" s="81">
        <v>6.1</v>
      </c>
      <c r="D106" s="36" t="s">
        <v>563</v>
      </c>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190"/>
      <c r="AJ106" s="190"/>
      <c r="AK106" s="190"/>
      <c r="AL106" s="190"/>
      <c r="AM106" s="190"/>
      <c r="AN106" s="497">
        <f t="shared" si="2"/>
        <v>6.1</v>
      </c>
    </row>
    <row r="107" spans="2:40" hidden="1" outlineLevel="1">
      <c r="B107" s="81">
        <v>6</v>
      </c>
      <c r="C107" s="81">
        <v>6.2</v>
      </c>
      <c r="D107" s="36" t="s">
        <v>105</v>
      </c>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190"/>
      <c r="AJ107" s="190"/>
      <c r="AK107" s="190"/>
      <c r="AL107" s="190"/>
      <c r="AM107" s="190"/>
      <c r="AN107" s="497">
        <f t="shared" si="2"/>
        <v>6.2</v>
      </c>
    </row>
    <row r="108" spans="2:40" hidden="1" outlineLevel="1">
      <c r="B108" s="81">
        <v>6</v>
      </c>
      <c r="C108" s="81">
        <v>6.3</v>
      </c>
      <c r="D108" s="36" t="s">
        <v>773</v>
      </c>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190"/>
      <c r="AJ108" s="190"/>
      <c r="AK108" s="190"/>
      <c r="AL108" s="190"/>
      <c r="AM108" s="190"/>
      <c r="AN108" s="497">
        <f t="shared" si="2"/>
        <v>6.3</v>
      </c>
    </row>
    <row r="109" spans="2:40" hidden="1" outlineLevel="1">
      <c r="B109" s="81">
        <v>6</v>
      </c>
      <c r="C109" s="81">
        <v>6.4</v>
      </c>
      <c r="D109" s="36" t="s">
        <v>774</v>
      </c>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191"/>
      <c r="AJ109" s="191"/>
      <c r="AK109" s="191"/>
      <c r="AL109" s="191"/>
      <c r="AM109" s="191"/>
      <c r="AN109" s="497">
        <f t="shared" si="2"/>
        <v>6.4</v>
      </c>
    </row>
    <row r="110" spans="2:40" hidden="1" outlineLevel="1">
      <c r="B110" s="80">
        <v>7</v>
      </c>
      <c r="C110" s="80">
        <v>7.1</v>
      </c>
      <c r="D110" s="35" t="s">
        <v>563</v>
      </c>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189"/>
      <c r="AJ110" s="189"/>
      <c r="AK110" s="189"/>
      <c r="AL110" s="189"/>
      <c r="AM110" s="189"/>
      <c r="AN110" s="497">
        <f t="shared" si="2"/>
        <v>7.1</v>
      </c>
    </row>
    <row r="111" spans="2:40" hidden="1" outlineLevel="1">
      <c r="B111" s="80">
        <v>7</v>
      </c>
      <c r="C111" s="80">
        <v>7.2</v>
      </c>
      <c r="D111" s="35" t="s">
        <v>105</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89"/>
      <c r="AJ111" s="189"/>
      <c r="AK111" s="189"/>
      <c r="AL111" s="189"/>
      <c r="AM111" s="189"/>
      <c r="AN111" s="497">
        <f t="shared" si="2"/>
        <v>7.2</v>
      </c>
    </row>
    <row r="112" spans="2:40" hidden="1" outlineLevel="1">
      <c r="B112" s="80">
        <v>7</v>
      </c>
      <c r="C112" s="80">
        <v>7.3</v>
      </c>
      <c r="D112" s="35" t="s">
        <v>773</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89"/>
      <c r="AJ112" s="189"/>
      <c r="AK112" s="189"/>
      <c r="AL112" s="189"/>
      <c r="AM112" s="189"/>
      <c r="AN112" s="497">
        <f t="shared" si="2"/>
        <v>7.3</v>
      </c>
    </row>
    <row r="113" spans="2:40" hidden="1" outlineLevel="1">
      <c r="B113" s="80">
        <v>7</v>
      </c>
      <c r="C113" s="80">
        <v>7.4</v>
      </c>
      <c r="D113" s="35" t="s">
        <v>774</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89"/>
      <c r="AJ113" s="189"/>
      <c r="AK113" s="189"/>
      <c r="AL113" s="189"/>
      <c r="AM113" s="189"/>
      <c r="AN113" s="497">
        <f t="shared" si="2"/>
        <v>7.4</v>
      </c>
    </row>
    <row r="114" spans="2:40" hidden="1" outlineLevel="1">
      <c r="B114" s="81">
        <v>8</v>
      </c>
      <c r="C114" s="81">
        <v>8.1</v>
      </c>
      <c r="D114" s="36" t="s">
        <v>563</v>
      </c>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190"/>
      <c r="AJ114" s="190"/>
      <c r="AK114" s="190"/>
      <c r="AL114" s="190"/>
      <c r="AM114" s="190"/>
      <c r="AN114" s="497">
        <f t="shared" si="2"/>
        <v>8.1</v>
      </c>
    </row>
    <row r="115" spans="2:40" hidden="1" outlineLevel="1">
      <c r="B115" s="81">
        <v>8</v>
      </c>
      <c r="C115" s="81">
        <v>8.1999999999999993</v>
      </c>
      <c r="D115" s="36" t="s">
        <v>105</v>
      </c>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190"/>
      <c r="AJ115" s="190"/>
      <c r="AK115" s="190"/>
      <c r="AL115" s="190"/>
      <c r="AM115" s="190"/>
      <c r="AN115" s="497">
        <f t="shared" si="2"/>
        <v>8.1999999999999993</v>
      </c>
    </row>
    <row r="116" spans="2:40" hidden="1" outlineLevel="1">
      <c r="B116" s="81">
        <v>8</v>
      </c>
      <c r="C116" s="81">
        <v>8.3000000000000007</v>
      </c>
      <c r="D116" s="36" t="s">
        <v>773</v>
      </c>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190"/>
      <c r="AJ116" s="190"/>
      <c r="AK116" s="190"/>
      <c r="AL116" s="190"/>
      <c r="AM116" s="190"/>
      <c r="AN116" s="497">
        <f t="shared" si="2"/>
        <v>8.3000000000000007</v>
      </c>
    </row>
    <row r="117" spans="2:40" hidden="1" outlineLevel="1">
      <c r="B117" s="81">
        <v>8</v>
      </c>
      <c r="C117" s="81">
        <v>8.4</v>
      </c>
      <c r="D117" s="36" t="s">
        <v>774</v>
      </c>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191"/>
      <c r="AJ117" s="191"/>
      <c r="AK117" s="191"/>
      <c r="AL117" s="191"/>
      <c r="AM117" s="191"/>
      <c r="AN117" s="497">
        <f t="shared" si="2"/>
        <v>8.4</v>
      </c>
    </row>
    <row r="118" spans="2:40" hidden="1" outlineLevel="1">
      <c r="B118" s="80">
        <v>9</v>
      </c>
      <c r="C118" s="80">
        <v>9.1</v>
      </c>
      <c r="D118" s="35" t="s">
        <v>563</v>
      </c>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189"/>
      <c r="AJ118" s="189"/>
      <c r="AK118" s="189"/>
      <c r="AL118" s="189"/>
      <c r="AM118" s="189"/>
      <c r="AN118" s="497">
        <f t="shared" si="2"/>
        <v>9.1</v>
      </c>
    </row>
    <row r="119" spans="2:40" hidden="1" outlineLevel="1">
      <c r="B119" s="80">
        <v>9</v>
      </c>
      <c r="C119" s="80">
        <v>9.1999999999999993</v>
      </c>
      <c r="D119" s="35" t="s">
        <v>105</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89"/>
      <c r="AJ119" s="189"/>
      <c r="AK119" s="189"/>
      <c r="AL119" s="189"/>
      <c r="AM119" s="189"/>
      <c r="AN119" s="497">
        <f t="shared" si="2"/>
        <v>9.1999999999999993</v>
      </c>
    </row>
    <row r="120" spans="2:40" hidden="1" outlineLevel="1">
      <c r="B120" s="80">
        <v>9</v>
      </c>
      <c r="C120" s="80">
        <v>9.3000000000000007</v>
      </c>
      <c r="D120" s="35" t="s">
        <v>773</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89"/>
      <c r="AJ120" s="189"/>
      <c r="AK120" s="189"/>
      <c r="AL120" s="189"/>
      <c r="AM120" s="189"/>
      <c r="AN120" s="497">
        <f t="shared" si="2"/>
        <v>9.3000000000000007</v>
      </c>
    </row>
    <row r="121" spans="2:40" hidden="1" outlineLevel="1">
      <c r="B121" s="80">
        <v>9</v>
      </c>
      <c r="C121" s="80">
        <v>9.4</v>
      </c>
      <c r="D121" s="35" t="s">
        <v>774</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89"/>
      <c r="AJ121" s="189"/>
      <c r="AK121" s="189"/>
      <c r="AL121" s="189"/>
      <c r="AM121" s="189"/>
      <c r="AN121" s="497">
        <f t="shared" si="2"/>
        <v>9.4</v>
      </c>
    </row>
    <row r="122" spans="2:40" hidden="1" outlineLevel="1">
      <c r="B122" s="81">
        <v>10</v>
      </c>
      <c r="C122" s="81">
        <v>10.1</v>
      </c>
      <c r="D122" s="36" t="s">
        <v>563</v>
      </c>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190"/>
      <c r="AJ122" s="190"/>
      <c r="AK122" s="190"/>
      <c r="AL122" s="190"/>
      <c r="AM122" s="190"/>
      <c r="AN122" s="497">
        <f t="shared" si="2"/>
        <v>10.1</v>
      </c>
    </row>
    <row r="123" spans="2:40" hidden="1" outlineLevel="1">
      <c r="B123" s="81">
        <v>10</v>
      </c>
      <c r="C123" s="81">
        <v>10.199999999999999</v>
      </c>
      <c r="D123" s="36" t="s">
        <v>105</v>
      </c>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190"/>
      <c r="AJ123" s="190"/>
      <c r="AK123" s="190"/>
      <c r="AL123" s="190"/>
      <c r="AM123" s="190"/>
      <c r="AN123" s="497">
        <f t="shared" si="2"/>
        <v>10.199999999999999</v>
      </c>
    </row>
    <row r="124" spans="2:40" hidden="1" outlineLevel="1">
      <c r="B124" s="81">
        <v>10</v>
      </c>
      <c r="C124" s="81">
        <v>10.3</v>
      </c>
      <c r="D124" s="36" t="s">
        <v>773</v>
      </c>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190"/>
      <c r="AJ124" s="190"/>
      <c r="AK124" s="190"/>
      <c r="AL124" s="190"/>
      <c r="AM124" s="190"/>
      <c r="AN124" s="497">
        <f t="shared" si="2"/>
        <v>10.3</v>
      </c>
    </row>
    <row r="125" spans="2:40" hidden="1" outlineLevel="1">
      <c r="B125" s="81">
        <v>10</v>
      </c>
      <c r="C125" s="81">
        <v>10.4</v>
      </c>
      <c r="D125" s="36" t="s">
        <v>774</v>
      </c>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191"/>
      <c r="AJ125" s="191"/>
      <c r="AK125" s="191"/>
      <c r="AL125" s="191"/>
      <c r="AM125" s="191"/>
      <c r="AN125" s="497">
        <f t="shared" si="2"/>
        <v>10.4</v>
      </c>
    </row>
    <row r="126" spans="2:40" hidden="1" outlineLevel="1">
      <c r="B126" s="80">
        <v>11</v>
      </c>
      <c r="C126" s="80">
        <v>11.1</v>
      </c>
      <c r="D126" s="35" t="s">
        <v>563</v>
      </c>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189"/>
      <c r="AJ126" s="189"/>
      <c r="AK126" s="189"/>
      <c r="AL126" s="189"/>
      <c r="AM126" s="189"/>
      <c r="AN126" s="497">
        <f t="shared" si="2"/>
        <v>11.1</v>
      </c>
    </row>
    <row r="127" spans="2:40" hidden="1" outlineLevel="1">
      <c r="B127" s="80">
        <v>11</v>
      </c>
      <c r="C127" s="80">
        <v>11.2</v>
      </c>
      <c r="D127" s="35" t="s">
        <v>105</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89"/>
      <c r="AJ127" s="189"/>
      <c r="AK127" s="189"/>
      <c r="AL127" s="189"/>
      <c r="AM127" s="189"/>
      <c r="AN127" s="497">
        <f t="shared" si="2"/>
        <v>11.2</v>
      </c>
    </row>
    <row r="128" spans="2:40" hidden="1" outlineLevel="1">
      <c r="B128" s="80">
        <v>11</v>
      </c>
      <c r="C128" s="80">
        <v>11.3</v>
      </c>
      <c r="D128" s="35" t="s">
        <v>773</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89"/>
      <c r="AJ128" s="189"/>
      <c r="AK128" s="189"/>
      <c r="AL128" s="189"/>
      <c r="AM128" s="189"/>
      <c r="AN128" s="497">
        <f t="shared" si="2"/>
        <v>11.3</v>
      </c>
    </row>
    <row r="129" spans="2:40" hidden="1" outlineLevel="1">
      <c r="B129" s="80">
        <v>11</v>
      </c>
      <c r="C129" s="80">
        <v>11.4</v>
      </c>
      <c r="D129" s="35" t="s">
        <v>774</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89"/>
      <c r="AJ129" s="189"/>
      <c r="AK129" s="189"/>
      <c r="AL129" s="189"/>
      <c r="AM129" s="189"/>
      <c r="AN129" s="497">
        <f t="shared" si="2"/>
        <v>11.4</v>
      </c>
    </row>
    <row r="130" spans="2:40" hidden="1" outlineLevel="1">
      <c r="B130" s="81">
        <v>12</v>
      </c>
      <c r="C130" s="81">
        <v>12.1</v>
      </c>
      <c r="D130" s="36" t="s">
        <v>563</v>
      </c>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190"/>
      <c r="AJ130" s="190"/>
      <c r="AK130" s="190"/>
      <c r="AL130" s="190"/>
      <c r="AM130" s="190"/>
      <c r="AN130" s="497">
        <f t="shared" si="2"/>
        <v>12.1</v>
      </c>
    </row>
    <row r="131" spans="2:40" hidden="1" outlineLevel="1">
      <c r="B131" s="81">
        <v>12</v>
      </c>
      <c r="C131" s="81">
        <v>12.2</v>
      </c>
      <c r="D131" s="36" t="s">
        <v>105</v>
      </c>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190"/>
      <c r="AJ131" s="190"/>
      <c r="AK131" s="190"/>
      <c r="AL131" s="190"/>
      <c r="AM131" s="190"/>
      <c r="AN131" s="497">
        <f t="shared" si="2"/>
        <v>12.2</v>
      </c>
    </row>
    <row r="132" spans="2:40" hidden="1" outlineLevel="1">
      <c r="B132" s="81">
        <v>12</v>
      </c>
      <c r="C132" s="81">
        <v>12.3</v>
      </c>
      <c r="D132" s="36" t="s">
        <v>773</v>
      </c>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190"/>
      <c r="AJ132" s="190"/>
      <c r="AK132" s="190"/>
      <c r="AL132" s="190"/>
      <c r="AM132" s="190"/>
      <c r="AN132" s="497">
        <f t="shared" si="2"/>
        <v>12.3</v>
      </c>
    </row>
    <row r="133" spans="2:40" hidden="1" outlineLevel="1">
      <c r="B133" s="81">
        <v>12</v>
      </c>
      <c r="C133" s="81">
        <v>12.4</v>
      </c>
      <c r="D133" s="36" t="s">
        <v>774</v>
      </c>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191"/>
      <c r="AJ133" s="191"/>
      <c r="AK133" s="191"/>
      <c r="AL133" s="191"/>
      <c r="AM133" s="191"/>
      <c r="AN133" s="497">
        <f t="shared" si="2"/>
        <v>12.4</v>
      </c>
    </row>
    <row r="134" spans="2:40" hidden="1" outlineLevel="1">
      <c r="B134" s="80">
        <v>13</v>
      </c>
      <c r="C134" s="80">
        <v>13.1</v>
      </c>
      <c r="D134" s="35" t="s">
        <v>563</v>
      </c>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189"/>
      <c r="AJ134" s="189"/>
      <c r="AK134" s="189"/>
      <c r="AL134" s="189"/>
      <c r="AM134" s="189"/>
      <c r="AN134" s="497">
        <f t="shared" si="2"/>
        <v>13.1</v>
      </c>
    </row>
    <row r="135" spans="2:40" hidden="1" outlineLevel="1">
      <c r="B135" s="80">
        <v>13</v>
      </c>
      <c r="C135" s="80">
        <v>13.2</v>
      </c>
      <c r="D135" s="35" t="s">
        <v>105</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89"/>
      <c r="AJ135" s="189"/>
      <c r="AK135" s="189"/>
      <c r="AL135" s="189"/>
      <c r="AM135" s="189"/>
      <c r="AN135" s="497">
        <f t="shared" si="2"/>
        <v>13.2</v>
      </c>
    </row>
    <row r="136" spans="2:40" hidden="1" outlineLevel="1">
      <c r="B136" s="80">
        <v>13</v>
      </c>
      <c r="C136" s="80">
        <v>13.3</v>
      </c>
      <c r="D136" s="35" t="s">
        <v>773</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89"/>
      <c r="AJ136" s="189"/>
      <c r="AK136" s="189"/>
      <c r="AL136" s="189"/>
      <c r="AM136" s="189"/>
      <c r="AN136" s="497">
        <f t="shared" si="2"/>
        <v>13.3</v>
      </c>
    </row>
    <row r="137" spans="2:40" hidden="1" outlineLevel="1">
      <c r="B137" s="80">
        <v>13</v>
      </c>
      <c r="C137" s="80">
        <v>13.4</v>
      </c>
      <c r="D137" s="35" t="s">
        <v>774</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89"/>
      <c r="AJ137" s="189"/>
      <c r="AK137" s="189"/>
      <c r="AL137" s="189"/>
      <c r="AM137" s="189"/>
      <c r="AN137" s="497">
        <f t="shared" si="2"/>
        <v>13.4</v>
      </c>
    </row>
    <row r="138" spans="2:40" hidden="1" outlineLevel="1">
      <c r="B138" s="81">
        <v>14</v>
      </c>
      <c r="C138" s="81">
        <v>14.1</v>
      </c>
      <c r="D138" s="36" t="s">
        <v>563</v>
      </c>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190"/>
      <c r="AJ138" s="190"/>
      <c r="AK138" s="190"/>
      <c r="AL138" s="190"/>
      <c r="AM138" s="190"/>
      <c r="AN138" s="497">
        <f t="shared" si="2"/>
        <v>14.1</v>
      </c>
    </row>
    <row r="139" spans="2:40" hidden="1" outlineLevel="1">
      <c r="B139" s="81">
        <v>14</v>
      </c>
      <c r="C139" s="81">
        <v>14.2</v>
      </c>
      <c r="D139" s="36" t="s">
        <v>105</v>
      </c>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190"/>
      <c r="AJ139" s="190"/>
      <c r="AK139" s="190"/>
      <c r="AL139" s="190"/>
      <c r="AM139" s="190"/>
      <c r="AN139" s="497">
        <f t="shared" si="2"/>
        <v>14.2</v>
      </c>
    </row>
    <row r="140" spans="2:40" hidden="1" outlineLevel="1">
      <c r="B140" s="81">
        <v>14</v>
      </c>
      <c r="C140" s="81">
        <v>14.3</v>
      </c>
      <c r="D140" s="36" t="s">
        <v>773</v>
      </c>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190"/>
      <c r="AJ140" s="190"/>
      <c r="AK140" s="190"/>
      <c r="AL140" s="190"/>
      <c r="AM140" s="190"/>
      <c r="AN140" s="497">
        <f t="shared" si="2"/>
        <v>14.3</v>
      </c>
    </row>
    <row r="141" spans="2:40" hidden="1" outlineLevel="1">
      <c r="B141" s="81">
        <v>14</v>
      </c>
      <c r="C141" s="81">
        <v>14.4</v>
      </c>
      <c r="D141" s="36" t="s">
        <v>774</v>
      </c>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191"/>
      <c r="AJ141" s="191"/>
      <c r="AK141" s="191"/>
      <c r="AL141" s="191"/>
      <c r="AM141" s="191"/>
      <c r="AN141" s="497">
        <f t="shared" si="2"/>
        <v>14.4</v>
      </c>
    </row>
    <row r="142" spans="2:40" hidden="1" outlineLevel="1">
      <c r="B142" s="80">
        <v>15</v>
      </c>
      <c r="C142" s="80">
        <v>15.1</v>
      </c>
      <c r="D142" s="35" t="s">
        <v>563</v>
      </c>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189"/>
      <c r="AJ142" s="189"/>
      <c r="AK142" s="189"/>
      <c r="AL142" s="189"/>
      <c r="AM142" s="189"/>
      <c r="AN142" s="497">
        <f t="shared" si="2"/>
        <v>15.1</v>
      </c>
    </row>
    <row r="143" spans="2:40" hidden="1" outlineLevel="1">
      <c r="B143" s="80">
        <v>15</v>
      </c>
      <c r="C143" s="80">
        <v>15.2</v>
      </c>
      <c r="D143" s="35" t="s">
        <v>105</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89"/>
      <c r="AJ143" s="189"/>
      <c r="AK143" s="189"/>
      <c r="AL143" s="189"/>
      <c r="AM143" s="189"/>
      <c r="AN143" s="497">
        <f t="shared" si="2"/>
        <v>15.2</v>
      </c>
    </row>
    <row r="144" spans="2:40" hidden="1" outlineLevel="1">
      <c r="B144" s="80">
        <v>15</v>
      </c>
      <c r="C144" s="80">
        <v>15.3</v>
      </c>
      <c r="D144" s="35" t="s">
        <v>773</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89"/>
      <c r="AJ144" s="189"/>
      <c r="AK144" s="189"/>
      <c r="AL144" s="189"/>
      <c r="AM144" s="189"/>
      <c r="AN144" s="497">
        <f t="shared" si="2"/>
        <v>15.3</v>
      </c>
    </row>
    <row r="145" spans="2:41" hidden="1" outlineLevel="1">
      <c r="B145" s="82">
        <v>15</v>
      </c>
      <c r="C145" s="82">
        <v>15.4</v>
      </c>
      <c r="D145" s="83" t="s">
        <v>774</v>
      </c>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192"/>
      <c r="AJ145" s="192"/>
      <c r="AK145" s="192"/>
      <c r="AL145" s="192"/>
      <c r="AM145" s="192"/>
      <c r="AN145" s="498">
        <f t="shared" si="2"/>
        <v>15.4</v>
      </c>
    </row>
    <row r="146" spans="2:41" hidden="1" outlineLevel="1"/>
    <row r="147" spans="2:41" hidden="1" outlineLevel="1"/>
    <row r="148" spans="2:41" hidden="1" outlineLevel="1">
      <c r="C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row>
    <row r="149" spans="2:41" collapsed="1">
      <c r="C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ht="18">
      <c r="B150" s="479" t="s">
        <v>776</v>
      </c>
      <c r="C150" s="479"/>
      <c r="D150" s="479"/>
      <c r="E150" s="479"/>
      <c r="F150" s="479"/>
      <c r="G150" s="479"/>
      <c r="H150" s="479"/>
      <c r="I150" s="479"/>
      <c r="J150" s="479"/>
      <c r="K150" s="479"/>
      <c r="L150" s="479"/>
      <c r="M150" s="479"/>
      <c r="N150" s="479"/>
      <c r="O150" s="499"/>
      <c r="P150" s="499"/>
      <c r="Q150" s="499"/>
      <c r="R150" s="499"/>
      <c r="S150" s="499"/>
      <c r="T150" s="499"/>
      <c r="U150" s="499"/>
      <c r="V150" s="499"/>
      <c r="W150" s="499"/>
      <c r="X150" s="499"/>
      <c r="Y150" s="499"/>
      <c r="Z150" s="499"/>
      <c r="AA150" s="499"/>
      <c r="AB150" s="499"/>
      <c r="AC150" s="499"/>
      <c r="AD150" s="499"/>
      <c r="AE150" s="499"/>
      <c r="AF150" s="499"/>
      <c r="AG150" s="499"/>
      <c r="AH150" s="499"/>
      <c r="AI150" s="499"/>
      <c r="AJ150" s="499"/>
      <c r="AK150" s="499"/>
      <c r="AL150" s="499"/>
      <c r="AM150" s="499"/>
      <c r="AN150" s="499"/>
      <c r="AO150" s="499"/>
    </row>
    <row r="151" spans="2:41" hidden="1" outlineLevel="1">
      <c r="C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row>
    <row r="152" spans="2:41" hidden="1" outlineLevel="1">
      <c r="C152" s="28"/>
      <c r="E152" s="28"/>
      <c r="F152" s="28"/>
      <c r="G152" s="28"/>
      <c r="H152" s="28"/>
      <c r="I152" s="28"/>
      <c r="J152" s="28"/>
      <c r="K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t="15" hidden="1" outlineLevel="1" thickBot="1">
      <c r="C153" s="28"/>
      <c r="D153" s="524"/>
      <c r="E153" s="525" t="s">
        <v>65</v>
      </c>
      <c r="F153" s="525"/>
      <c r="G153" s="525"/>
      <c r="H153" s="525"/>
      <c r="I153" s="525"/>
      <c r="J153" s="526"/>
      <c r="K153" s="28" t="s">
        <v>777</v>
      </c>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c r="C154" s="28"/>
      <c r="D154" s="482" t="s">
        <v>778</v>
      </c>
      <c r="E154" s="129" t="s">
        <v>779</v>
      </c>
      <c r="F154" s="128" t="s">
        <v>774</v>
      </c>
      <c r="G154" s="128" t="s">
        <v>107</v>
      </c>
      <c r="H154" s="128" t="s">
        <v>109</v>
      </c>
      <c r="I154" s="128" t="s">
        <v>780</v>
      </c>
      <c r="J154" s="128" t="s">
        <v>106</v>
      </c>
      <c r="K154" s="28" t="str" cm="1">
        <f t="array" ref="K154:K158">AssetUsed</f>
        <v>Cash</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idden="1" outlineLevel="1">
      <c r="C155" s="28"/>
      <c r="D155" s="464" t="s">
        <v>164</v>
      </c>
      <c r="E155" t="s">
        <v>115</v>
      </c>
      <c r="F155" s="197">
        <v>0</v>
      </c>
      <c r="G155" s="28" t="str">
        <f>IF(BegBalanceSheet_Assets[[#This Row],[Account]]="","",_xlfn.XLOOKUP(BegBalanceSheet_Assets[[#This Row],[Account]],MD_Asset[Account Name],MD_Asset[IncreasedBy]))</f>
        <v>Debit</v>
      </c>
      <c r="H155" s="28">
        <v>1</v>
      </c>
      <c r="I155" s="28" t="str">
        <f>IF(BegBalanceSheet_Assets[[#This Row],[Account]]="","",_xlfn.XLOOKUP(BegBalanceSheet_Assets[[#This Row],[Account]],MD_Asset[Account Name],MD_Asset[C/NC]))</f>
        <v>C</v>
      </c>
      <c r="J155" s="28" t="str">
        <f>IF(BegBalanceSheet_Assets[[#This Row],[Account]]="","",_xlfn.XLOOKUP(BegBalanceSheet_Assets[[#This Row],[Account]],MD_Asset[Account Name],MD_Asset[Abbr]))</f>
        <v>CSH</v>
      </c>
      <c r="K155" s="28" t="str">
        <v>Accounts Receivable</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c r="D156" s="481"/>
      <c r="E156" t="s">
        <v>120</v>
      </c>
      <c r="F156" s="197">
        <v>0</v>
      </c>
      <c r="G156" s="28" t="str">
        <f>IF(BegBalanceSheet_Assets[[#This Row],[Account]]="","",_xlfn.XLOOKUP(BegBalanceSheet_Assets[[#This Row],[Account]],MD_Asset[Account Name],MD_Asset[IncreasedBy]))</f>
        <v>Debit</v>
      </c>
      <c r="H156" s="28">
        <v>2</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AR</v>
      </c>
      <c r="K156" s="28" t="str">
        <v>Inventories</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c r="D157" s="481"/>
      <c r="E157" t="s">
        <v>130</v>
      </c>
      <c r="F157" s="197">
        <v>0</v>
      </c>
      <c r="G157" s="28" t="str">
        <f>IF(BegBalanceSheet_Assets[[#This Row],[Account]]="","",_xlfn.XLOOKUP(BegBalanceSheet_Assets[[#This Row],[Account]],MD_Asset[Account Name],MD_Asset[IncreasedBy]))</f>
        <v>Debit</v>
      </c>
      <c r="H157" s="28">
        <v>3</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Inv</v>
      </c>
      <c r="K157" s="28" t="str">
        <v>Property, Plant &amp; Equipment</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c r="D158" s="481"/>
      <c r="E158" t="s">
        <v>142</v>
      </c>
      <c r="F158" s="197">
        <v>0</v>
      </c>
      <c r="G158" s="28" t="str">
        <f>IF(BegBalanceSheet_Assets[[#This Row],[Account]]="","",_xlfn.XLOOKUP(BegBalanceSheet_Assets[[#This Row],[Account]],MD_Asset[Account Name],MD_Asset[IncreasedBy]))</f>
        <v>Debit</v>
      </c>
      <c r="H158" s="28">
        <v>4</v>
      </c>
      <c r="I158" s="28" t="str">
        <f>IF(BegBalanceSheet_Assets[[#This Row],[Account]]="","",_xlfn.XLOOKUP(BegBalanceSheet_Assets[[#This Row],[Account]],MD_Asset[Account Name],MD_Asset[C/NC]))</f>
        <v>NC</v>
      </c>
      <c r="J158" s="28" t="str">
        <f>IF(BegBalanceSheet_Assets[[#This Row],[Account]]="","",_xlfn.XLOOKUP(BegBalanceSheet_Assets[[#This Row],[Account]],MD_Asset[Account Name],MD_Asset[Abbr]))</f>
        <v>PPE</v>
      </c>
      <c r="K158" s="28" t="str">
        <v>Land</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c r="D159" s="481"/>
      <c r="E159" t="s">
        <v>164</v>
      </c>
      <c r="F159" s="197">
        <v>0</v>
      </c>
      <c r="G159" s="28" t="str">
        <f>IF(BegBalanceSheet_Assets[[#This Row],[Account]]="","",_xlfn.XLOOKUP(BegBalanceSheet_Assets[[#This Row],[Account]],MD_Asset[Account Name],MD_Asset[IncreasedBy]))</f>
        <v>Debit</v>
      </c>
      <c r="H159" s="28">
        <v>5</v>
      </c>
      <c r="I159" s="28" t="str">
        <f>IF(BegBalanceSheet_Assets[[#This Row],[Account]]="","",_xlfn.XLOOKUP(BegBalanceSheet_Assets[[#This Row],[Account]],MD_Asset[Account Name],MD_Asset[C/NC]))</f>
        <v>NC</v>
      </c>
      <c r="J159" s="28" t="str">
        <f>IF(BegBalanceSheet_Assets[[#This Row],[Account]]="","",_xlfn.XLOOKUP(BegBalanceSheet_Assets[[#This Row],[Account]],MD_Asset[Account Name],MD_Asset[Abbr]))</f>
        <v>LND</v>
      </c>
      <c r="K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c r="D160" s="481"/>
      <c r="F160" s="197"/>
      <c r="G160" s="28" t="str">
        <f>IF(BegBalanceSheet_Assets[[#This Row],[Account]]="","",_xlfn.XLOOKUP(BegBalanceSheet_Assets[[#This Row],[Account]],MD_Asset[Account Name],MD_Asset[IncreasedBy]))</f>
        <v/>
      </c>
      <c r="H160" s="28">
        <v>6</v>
      </c>
      <c r="I160" s="28" t="str">
        <f>IF(BegBalanceSheet_Assets[[#This Row],[Account]]="","",_xlfn.XLOOKUP(BegBalanceSheet_Assets[[#This Row],[Account]],MD_Asset[Account Name],MD_Asset[C/NC]))</f>
        <v/>
      </c>
      <c r="J160" s="28" t="str">
        <f>IF(BegBalanceSheet_Assets[[#This Row],[Account]]="","",_xlfn.XLOOKUP(BegBalanceSheet_Assets[[#This Row],[Account]],MD_Asset[Account Name],MD_Asset[Abbr]))</f>
        <v/>
      </c>
      <c r="K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c r="D161" s="481"/>
      <c r="F161" s="197"/>
      <c r="G161" s="28" t="str">
        <f>IF(BegBalanceSheet_Assets[[#This Row],[Account]]="","",_xlfn.XLOOKUP(BegBalanceSheet_Assets[[#This Row],[Account]],MD_Asset[Account Name],MD_Asset[IncreasedBy]))</f>
        <v/>
      </c>
      <c r="H161" s="28">
        <v>7</v>
      </c>
      <c r="I161" s="28" t="str">
        <f>IF(BegBalanceSheet_Assets[[#This Row],[Account]]="","",_xlfn.XLOOKUP(BegBalanceSheet_Assets[[#This Row],[Account]],MD_Asset[Account Name],MD_Asset[C/NC]))</f>
        <v/>
      </c>
      <c r="J161" s="28" t="str">
        <f>IF(BegBalanceSheet_Assets[[#This Row],[Account]]="","",_xlfn.XLOOKUP(BegBalanceSheet_Assets[[#This Row],[Account]],MD_Asset[Account Name],MD_Asset[Abbr]))</f>
        <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c r="D162" s="481"/>
      <c r="F162" s="197"/>
      <c r="G162" s="28" t="str">
        <f>IF(BegBalanceSheet_Assets[[#This Row],[Account]]="","",_xlfn.XLOOKUP(BegBalanceSheet_Assets[[#This Row],[Account]],MD_Asset[Account Name],MD_Asset[IncreasedBy]))</f>
        <v/>
      </c>
      <c r="H162" s="28">
        <v>8</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81"/>
      <c r="F163" s="197"/>
      <c r="G163" s="28" t="str">
        <f>IF(BegBalanceSheet_Assets[[#This Row],[Account]]="","",_xlfn.XLOOKUP(BegBalanceSheet_Assets[[#This Row],[Account]],MD_Asset[Account Name],MD_Asset[IncreasedBy]))</f>
        <v/>
      </c>
      <c r="H163" s="28">
        <v>9</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81"/>
      <c r="F164" s="197"/>
      <c r="G164" s="28" t="str">
        <f>IF(BegBalanceSheet_Assets[[#This Row],[Account]]="","",_xlfn.XLOOKUP(BegBalanceSheet_Assets[[#This Row],[Account]],MD_Asset[Account Name],MD_Asset[IncreasedBy]))</f>
        <v/>
      </c>
      <c r="H164" s="28">
        <v>10</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81"/>
      <c r="F165" s="197"/>
      <c r="G165" s="28" t="str">
        <f>IF(BegBalanceSheet_Assets[[#This Row],[Account]]="","",_xlfn.XLOOKUP(BegBalanceSheet_Assets[[#This Row],[Account]],MD_Asset[Account Name],MD_Asset[IncreasedBy]))</f>
        <v/>
      </c>
      <c r="H165" s="28">
        <v>11</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81"/>
      <c r="F166" s="197"/>
      <c r="G166" s="28" t="str">
        <f>IF(BegBalanceSheet_Assets[[#This Row],[Account]]="","",_xlfn.XLOOKUP(BegBalanceSheet_Assets[[#This Row],[Account]],MD_Asset[Account Name],MD_Asset[IncreasedBy]))</f>
        <v/>
      </c>
      <c r="H166" s="28">
        <v>12</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81"/>
      <c r="F167" s="197"/>
      <c r="G167" s="28" t="str">
        <f>IF(BegBalanceSheet_Assets[[#This Row],[Account]]="","",_xlfn.XLOOKUP(BegBalanceSheet_Assets[[#This Row],[Account]],MD_Asset[Account Name],MD_Asset[IncreasedBy]))</f>
        <v/>
      </c>
      <c r="H167" s="28">
        <v>13</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81"/>
      <c r="F168" s="197"/>
      <c r="G168" s="28" t="str">
        <f>IF(BegBalanceSheet_Assets[[#This Row],[Account]]="","",_xlfn.XLOOKUP(BegBalanceSheet_Assets[[#This Row],[Account]],MD_Asset[Account Name],MD_Asset[IncreasedBy]))</f>
        <v/>
      </c>
      <c r="H168" s="28">
        <v>14</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81"/>
      <c r="F169" s="197"/>
      <c r="G169" s="28" t="str">
        <f>IF(BegBalanceSheet_Assets[[#This Row],[Account]]="","",_xlfn.XLOOKUP(BegBalanceSheet_Assets[[#This Row],[Account]],MD_Asset[Account Name],MD_Asset[IncreasedBy]))</f>
        <v/>
      </c>
      <c r="H169" s="28">
        <v>15</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81"/>
      <c r="F170" s="197"/>
      <c r="G170" s="28" t="str">
        <f>IF(BegBalanceSheet_Assets[[#This Row],[Account]]="","",_xlfn.XLOOKUP(BegBalanceSheet_Assets[[#This Row],[Account]],MD_Asset[Account Name],MD_Asset[IncreasedBy]))</f>
        <v/>
      </c>
      <c r="H170" s="28">
        <v>16</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81"/>
      <c r="F171" s="197"/>
      <c r="G171" s="28" t="str">
        <f>IF(BegBalanceSheet_Assets[[#This Row],[Account]]="","",_xlfn.XLOOKUP(BegBalanceSheet_Assets[[#This Row],[Account]],MD_Asset[Account Name],MD_Asset[IncreasedBy]))</f>
        <v/>
      </c>
      <c r="H171" s="28">
        <v>17</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81"/>
      <c r="F172" s="197"/>
      <c r="G172" s="28" t="str">
        <f>IF(BegBalanceSheet_Assets[[#This Row],[Account]]="","",_xlfn.XLOOKUP(BegBalanceSheet_Assets[[#This Row],[Account]],MD_Asset[Account Name],MD_Asset[IncreasedBy]))</f>
        <v/>
      </c>
      <c r="H172" s="28">
        <v>18</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81"/>
      <c r="F173" s="197"/>
      <c r="G173" s="28" t="str">
        <f>IF(BegBalanceSheet_Assets[[#This Row],[Account]]="","",_xlfn.XLOOKUP(BegBalanceSheet_Assets[[#This Row],[Account]],MD_Asset[Account Name],MD_Asset[IncreasedBy]))</f>
        <v/>
      </c>
      <c r="H173" s="28">
        <v>19</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81"/>
      <c r="F174" s="197"/>
      <c r="G174" s="28" t="str">
        <f>IF(BegBalanceSheet_Assets[[#This Row],[Account]]="","",_xlfn.XLOOKUP(BegBalanceSheet_Assets[[#This Row],[Account]],MD_Asset[Account Name],MD_Asset[IncreasedBy]))</f>
        <v/>
      </c>
      <c r="H174" s="28">
        <v>20</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81"/>
      <c r="F175" s="197"/>
      <c r="G175" s="28" t="str">
        <f>IF(BegBalanceSheet_Assets[[#This Row],[Account]]="","",_xlfn.XLOOKUP(BegBalanceSheet_Assets[[#This Row],[Account]],MD_Asset[Account Name],MD_Asset[IncreasedBy]))</f>
        <v/>
      </c>
      <c r="H175" s="28">
        <v>21</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t="15" hidden="1" outlineLevel="1" thickBot="1">
      <c r="C176" s="28"/>
      <c r="D176" s="465"/>
      <c r="F176" s="197"/>
      <c r="G176" s="28" t="str">
        <f>IF(BegBalanceSheet_Assets[[#This Row],[Account]]="","",_xlfn.XLOOKUP(BegBalanceSheet_Assets[[#This Row],[Account]],MD_Asset[Account Name],MD_Asset[IncreasedBy]))</f>
        <v/>
      </c>
      <c r="H176" s="28">
        <v>22</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idden="1" outlineLevel="1">
      <c r="C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524"/>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t="15" hidden="1" outlineLevel="1" thickBot="1">
      <c r="C180" s="28"/>
      <c r="E180" s="525" t="s">
        <v>66</v>
      </c>
      <c r="F180" s="525"/>
      <c r="G180" s="525"/>
      <c r="H180" s="525"/>
      <c r="I180" s="525"/>
      <c r="J180" s="526"/>
      <c r="K180" s="28" t="s">
        <v>781</v>
      </c>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c r="C181" s="28"/>
      <c r="D181" s="482" t="s">
        <v>782</v>
      </c>
      <c r="E181" s="129" t="s">
        <v>779</v>
      </c>
      <c r="F181" s="128" t="s">
        <v>774</v>
      </c>
      <c r="G181" s="128" t="s">
        <v>107</v>
      </c>
      <c r="H181" s="128" t="s">
        <v>109</v>
      </c>
      <c r="I181" s="128" t="s">
        <v>780</v>
      </c>
      <c r="J181" s="128" t="s">
        <v>106</v>
      </c>
      <c r="K181" s="28" t="str" cm="1">
        <f t="array" ref="K181:K184">_xlfn._xlws.FILTER(LiabilityUsed,OR(LiabilityUsed&lt;&gt;0,LiabilityUsed&lt;&gt;""))</f>
        <v>Accounts Payable</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idden="1" outlineLevel="1">
      <c r="C182" s="28"/>
      <c r="D182" s="464"/>
      <c r="E182" t="s">
        <v>168</v>
      </c>
      <c r="F182" s="197">
        <v>0</v>
      </c>
      <c r="G182" s="28" t="str">
        <f>IF(BegBalanceSheet_Liabilities[[#This Row],[Account]]="","",_xlfn.XLOOKUP(BegBalanceSheet_Liabilities[[#This Row],[Account]],MD_Liability[Account Name],MD_Liability[IncreasedBy]))</f>
        <v>Credit</v>
      </c>
      <c r="H182" s="28">
        <v>1</v>
      </c>
      <c r="I182" s="28" t="str">
        <f>IF(BegBalanceSheet_Liabilities[[#This Row],[Account]]="","",_xlfn.XLOOKUP(BegBalanceSheet_Liabilities[[#This Row],[Account]],MD_Liability[Account Name],MD_Liability[C/NC]))</f>
        <v>C</v>
      </c>
      <c r="J182" s="28" t="str">
        <f>IF(BegBalanceSheet_Liabilities[[#This Row],[Account]]="","",_xlfn.XLOOKUP(BegBalanceSheet_Liabilities[[#This Row],[Account]],MD_Liability[Account Name],MD_Liability[Abbr]))</f>
        <v>AP</v>
      </c>
      <c r="K182" s="28" t="str">
        <v>Dividends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c r="D183" s="481"/>
      <c r="E183" t="s">
        <v>177</v>
      </c>
      <c r="F183" s="197">
        <v>0</v>
      </c>
      <c r="G183" s="28" t="str">
        <f>IF(BegBalanceSheet_Liabilities[[#This Row],[Account]]="","",_xlfn.XLOOKUP(BegBalanceSheet_Liabilities[[#This Row],[Account]],MD_Liability[Account Name],MD_Liability[IncreasedBy]))</f>
        <v>Credit</v>
      </c>
      <c r="H183" s="28">
        <v>2</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DP</v>
      </c>
      <c r="K183" s="28" t="str">
        <v>Unearned Revenue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c r="D184" s="481"/>
      <c r="E184" t="s">
        <v>185</v>
      </c>
      <c r="F184" s="197">
        <v>0</v>
      </c>
      <c r="G184" s="28" t="str">
        <f>IF(BegBalanceSheet_Liabilities[[#This Row],[Account]]="","",_xlfn.XLOOKUP(BegBalanceSheet_Liabilities[[#This Row],[Account]],MD_Liability[Account Name],MD_Liability[IncreasedBy]))</f>
        <v>Credit</v>
      </c>
      <c r="H184" s="28">
        <v>3</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UR</v>
      </c>
      <c r="K184" s="28" t="str">
        <v>Loans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c r="D185" s="481"/>
      <c r="E185" t="s">
        <v>226</v>
      </c>
      <c r="F185" s="197">
        <v>0</v>
      </c>
      <c r="G185" s="28" t="str">
        <f>IF(BegBalanceSheet_Liabilities[[#This Row],[Account]]="","",_xlfn.XLOOKUP(BegBalanceSheet_Liabilities[[#This Row],[Account]],MD_Liability[Account Name],MD_Liability[IncreasedBy]))</f>
        <v>Credit</v>
      </c>
      <c r="H185" s="28">
        <v>4</v>
      </c>
      <c r="I185" s="28" t="str">
        <f>IF(BegBalanceSheet_Liabilities[[#This Row],[Account]]="","",_xlfn.XLOOKUP(BegBalanceSheet_Liabilities[[#This Row],[Account]],MD_Liability[Account Name],MD_Liability[C/NC]))</f>
        <v>NC</v>
      </c>
      <c r="J185" s="28" t="str">
        <f>IF(BegBalanceSheet_Liabilities[[#This Row],[Account]]="","",_xlfn.XLOOKUP(BegBalanceSheet_Liabilities[[#This Row],[Account]],MD_Liability[Account Name],MD_Liability[Abbr]))</f>
        <v>LP</v>
      </c>
      <c r="K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c r="D186" s="481"/>
      <c r="F186" s="197"/>
      <c r="G186" s="28" t="str">
        <f>IF(BegBalanceSheet_Liabilities[[#This Row],[Account]]="","",_xlfn.XLOOKUP(BegBalanceSheet_Liabilities[[#This Row],[Account]],MD_Liability[Account Name],MD_Liability[IncreasedBy]))</f>
        <v/>
      </c>
      <c r="H186" s="28">
        <v>5</v>
      </c>
      <c r="I186" s="28" t="str">
        <f>IF(BegBalanceSheet_Liabilities[[#This Row],[Account]]="","",_xlfn.XLOOKUP(BegBalanceSheet_Liabilities[[#This Row],[Account]],MD_Liability[Account Name],MD_Liability[C/NC]))</f>
        <v/>
      </c>
      <c r="J186" s="28" t="str">
        <f>IF(BegBalanceSheet_Liabilities[[#This Row],[Account]]="","",_xlfn.XLOOKUP(BegBalanceSheet_Liabilities[[#This Row],[Account]],MD_Liability[Account Name],MD_Liability[Abbr]))</f>
        <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c r="D187" s="481"/>
      <c r="F187" s="197"/>
      <c r="G187" s="28" t="str">
        <f>IF(BegBalanceSheet_Liabilities[[#This Row],[Account]]="","",_xlfn.XLOOKUP(BegBalanceSheet_Liabilities[[#This Row],[Account]],MD_Liability[Account Name],MD_Liability[IncreasedBy]))</f>
        <v/>
      </c>
      <c r="H187" s="28">
        <v>6</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c r="D188" s="481"/>
      <c r="F188" s="197"/>
      <c r="G188" s="28" t="str">
        <f>IF(BegBalanceSheet_Liabilities[[#This Row],[Account]]="","",_xlfn.XLOOKUP(BegBalanceSheet_Liabilities[[#This Row],[Account]],MD_Liability[Account Name],MD_Liability[IncreasedBy]))</f>
        <v/>
      </c>
      <c r="H188" s="28">
        <v>7</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c r="D189" s="481"/>
      <c r="F189" s="197"/>
      <c r="G189" s="28" t="str">
        <f>IF(BegBalanceSheet_Liabilities[[#This Row],[Account]]="","",_xlfn.XLOOKUP(BegBalanceSheet_Liabilities[[#This Row],[Account]],MD_Liability[Account Name],MD_Liability[IncreasedBy]))</f>
        <v/>
      </c>
      <c r="H189" s="28">
        <v>8</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c r="D190" s="481"/>
      <c r="F190" s="197"/>
      <c r="G190" s="28" t="str">
        <f>IF(BegBalanceSheet_Liabilities[[#This Row],[Account]]="","",_xlfn.XLOOKUP(BegBalanceSheet_Liabilities[[#This Row],[Account]],MD_Liability[Account Name],MD_Liability[IncreasedBy]))</f>
        <v/>
      </c>
      <c r="H190" s="28">
        <v>9</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c r="D191" s="481"/>
      <c r="F191" s="197"/>
      <c r="G191" s="28" t="str">
        <f>IF(BegBalanceSheet_Liabilities[[#This Row],[Account]]="","",_xlfn.XLOOKUP(BegBalanceSheet_Liabilities[[#This Row],[Account]],MD_Liability[Account Name],MD_Liability[IncreasedBy]))</f>
        <v/>
      </c>
      <c r="H191" s="28">
        <v>10</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81"/>
      <c r="F192" s="197"/>
      <c r="G192" s="28" t="str">
        <f>IF(BegBalanceSheet_Liabilities[[#This Row],[Account]]="","",_xlfn.XLOOKUP(BegBalanceSheet_Liabilities[[#This Row],[Account]],MD_Liability[Account Name],MD_Liability[IncreasedBy]))</f>
        <v/>
      </c>
      <c r="H192" s="28">
        <v>11</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81"/>
      <c r="F193" s="197"/>
      <c r="G193" s="28" t="str">
        <f>IF(BegBalanceSheet_Liabilities[[#This Row],[Account]]="","",_xlfn.XLOOKUP(BegBalanceSheet_Liabilities[[#This Row],[Account]],MD_Liability[Account Name],MD_Liability[IncreasedBy]))</f>
        <v/>
      </c>
      <c r="H193" s="28">
        <v>12</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81"/>
      <c r="F194" s="197"/>
      <c r="G194" s="28" t="str">
        <f>IF(BegBalanceSheet_Liabilities[[#This Row],[Account]]="","",_xlfn.XLOOKUP(BegBalanceSheet_Liabilities[[#This Row],[Account]],MD_Liability[Account Name],MD_Liability[IncreasedBy]))</f>
        <v/>
      </c>
      <c r="H194" s="28">
        <v>13</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81"/>
      <c r="F195" s="197"/>
      <c r="G195" s="28" t="str">
        <f>IF(BegBalanceSheet_Liabilities[[#This Row],[Account]]="","",_xlfn.XLOOKUP(BegBalanceSheet_Liabilities[[#This Row],[Account]],MD_Liability[Account Name],MD_Liability[IncreasedBy]))</f>
        <v/>
      </c>
      <c r="H195" s="28">
        <v>14</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81"/>
      <c r="F196" s="197"/>
      <c r="G196" s="28" t="str">
        <f>IF(BegBalanceSheet_Liabilities[[#This Row],[Account]]="","",_xlfn.XLOOKUP(BegBalanceSheet_Liabilities[[#This Row],[Account]],MD_Liability[Account Name],MD_Liability[IncreasedBy]))</f>
        <v/>
      </c>
      <c r="H196" s="28">
        <v>15</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81"/>
      <c r="F197" s="197"/>
      <c r="G197" s="28" t="str">
        <f>IF(BegBalanceSheet_Liabilities[[#This Row],[Account]]="","",_xlfn.XLOOKUP(BegBalanceSheet_Liabilities[[#This Row],[Account]],MD_Liability[Account Name],MD_Liability[IncreasedBy]))</f>
        <v/>
      </c>
      <c r="H197" s="28">
        <v>16</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81"/>
      <c r="F198" s="197"/>
      <c r="G198" s="28" t="str">
        <f>IF(BegBalanceSheet_Liabilities[[#This Row],[Account]]="","",_xlfn.XLOOKUP(BegBalanceSheet_Liabilities[[#This Row],[Account]],MD_Liability[Account Name],MD_Liability[IncreasedBy]))</f>
        <v/>
      </c>
      <c r="H198" s="28">
        <v>17</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81"/>
      <c r="F199" s="197"/>
      <c r="G199" s="28" t="str">
        <f>IF(BegBalanceSheet_Liabilities[[#This Row],[Account]]="","",_xlfn.XLOOKUP(BegBalanceSheet_Liabilities[[#This Row],[Account]],MD_Liability[Account Name],MD_Liability[IncreasedBy]))</f>
        <v/>
      </c>
      <c r="H199" s="28">
        <v>18</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81"/>
      <c r="F200" s="197"/>
      <c r="G200" s="28" t="str">
        <f>IF(BegBalanceSheet_Liabilities[[#This Row],[Account]]="","",_xlfn.XLOOKUP(BegBalanceSheet_Liabilities[[#This Row],[Account]],MD_Liability[Account Name],MD_Liability[IncreasedBy]))</f>
        <v/>
      </c>
      <c r="H200" s="28">
        <v>19</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81"/>
      <c r="F201" s="197"/>
      <c r="G201" s="28" t="str">
        <f>IF(BegBalanceSheet_Liabilities[[#This Row],[Account]]="","",_xlfn.XLOOKUP(BegBalanceSheet_Liabilities[[#This Row],[Account]],MD_Liability[Account Name],MD_Liability[IncreasedBy]))</f>
        <v/>
      </c>
      <c r="H201" s="28">
        <v>20</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81"/>
      <c r="F202" s="197"/>
      <c r="G202" s="28" t="str">
        <f>IF(BegBalanceSheet_Liabilities[[#This Row],[Account]]="","",_xlfn.XLOOKUP(BegBalanceSheet_Liabilities[[#This Row],[Account]],MD_Liability[Account Name],MD_Liability[IncreasedBy]))</f>
        <v/>
      </c>
      <c r="H202" s="28">
        <v>21</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t="15" hidden="1" outlineLevel="1" thickBot="1">
      <c r="C203" s="28"/>
      <c r="D203" s="465"/>
      <c r="F203" s="197"/>
      <c r="G203" s="28" t="str">
        <f>IF(BegBalanceSheet_Liabilities[[#This Row],[Account]]="","",_xlfn.XLOOKUP(BegBalanceSheet_Liabilities[[#This Row],[Account]],MD_Liability[Account Name],MD_Liability[IncreasedBy]))</f>
        <v/>
      </c>
      <c r="H203" s="28">
        <v>22</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idden="1" outlineLevel="1">
      <c r="C204" s="28"/>
      <c r="E204" s="66"/>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6"/>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6"/>
      <c r="F206" s="28"/>
      <c r="G206" s="28"/>
      <c r="H206" s="28"/>
      <c r="I206" s="28"/>
      <c r="J206" s="28"/>
      <c r="K206" s="28"/>
      <c r="L206" s="524"/>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t="15" hidden="1" outlineLevel="1" thickBot="1">
      <c r="C207" s="28"/>
      <c r="E207" s="523" t="s">
        <v>67</v>
      </c>
      <c r="F207" s="523"/>
      <c r="G207" s="523"/>
      <c r="H207" s="523"/>
      <c r="I207" s="523"/>
      <c r="J207" s="28"/>
      <c r="K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c r="C208" s="28"/>
      <c r="D208" s="482" t="s">
        <v>783</v>
      </c>
      <c r="E208" s="129" t="s">
        <v>779</v>
      </c>
      <c r="F208" s="128" t="s">
        <v>774</v>
      </c>
      <c r="G208" s="128" t="s">
        <v>107</v>
      </c>
      <c r="H208" s="128" t="s">
        <v>109</v>
      </c>
      <c r="I208" s="128" t="s">
        <v>106</v>
      </c>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idden="1" outlineLevel="1">
      <c r="C209" s="28"/>
      <c r="D209" s="464"/>
      <c r="E209" t="s">
        <v>243</v>
      </c>
      <c r="F209" s="197">
        <v>0</v>
      </c>
      <c r="G209" s="28" t="str">
        <f>IF(BegBalanceSheet_Equities[[#This Row],[Account]]="","",_xlfn.XLOOKUP(BegBalanceSheet_Equities[[#This Row],[Account]],MD_Equity[Account Name],MD_Equity[IncreasedBy]))</f>
        <v>Credit</v>
      </c>
      <c r="H209" s="28">
        <v>1</v>
      </c>
      <c r="I209" s="28" t="str">
        <f>IF(BegBalanceSheet_Equities[[#This Row],[Account]]="","",_xlfn.XLOOKUP(BegBalanceSheet_Equities[[#This Row],[Account]],MD_Equity[Account Name],MD_Equity[Abbr]))</f>
        <v>CS</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c r="D210" s="481"/>
      <c r="E210" t="s">
        <v>252</v>
      </c>
      <c r="F210" s="197">
        <v>0</v>
      </c>
      <c r="G210" s="28" t="str">
        <f>IF(BegBalanceSheet_Equities[[#This Row],[Account]]="","",_xlfn.XLOOKUP(BegBalanceSheet_Equities[[#This Row],[Account]],MD_Equity[Account Name],MD_Equity[IncreasedBy]))</f>
        <v>Credit</v>
      </c>
      <c r="H210" s="28">
        <v>2</v>
      </c>
      <c r="I210" s="28" t="str">
        <f>IF(BegBalanceSheet_Equities[[#This Row],[Account]]="","",_xlfn.XLOOKUP(BegBalanceSheet_Equities[[#This Row],[Account]],MD_Equity[Account Name],MD_Equity[Abbr]))</f>
        <v>RE</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c r="D211" s="481"/>
      <c r="F211" s="197"/>
      <c r="G211" s="28" t="str">
        <f>IF(BegBalanceSheet_Equities[[#This Row],[Account]]="","",_xlfn.XLOOKUP(BegBalanceSheet_Equities[[#This Row],[Account]],MD_Equity[Account Name],MD_Equity[IncreasedBy]))</f>
        <v/>
      </c>
      <c r="H211" s="28">
        <v>3</v>
      </c>
      <c r="I211" s="28" t="str">
        <f>IF(BegBalanceSheet_Equities[[#This Row],[Account]]="","",_xlfn.XLOOKUP(BegBalanceSheet_Equities[[#This Row],[Account]],MD_Equity[Account Name],MD_Equity[Abbr]))</f>
        <v/>
      </c>
      <c r="J211" s="28"/>
      <c r="K211" s="28" t="s">
        <v>784</v>
      </c>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c r="D212" s="481"/>
      <c r="F212" s="197"/>
      <c r="G212" s="28" t="str">
        <f>IF(BegBalanceSheet_Equities[[#This Row],[Account]]="","",_xlfn.XLOOKUP(BegBalanceSheet_Equities[[#This Row],[Account]],MD_Equity[Account Name],MD_Equity[IncreasedBy]))</f>
        <v/>
      </c>
      <c r="H212" s="28">
        <v>4</v>
      </c>
      <c r="I212" s="28" t="str">
        <f>IF(BegBalanceSheet_Equities[[#This Row],[Account]]="","",_xlfn.XLOOKUP(BegBalanceSheet_Equities[[#This Row],[Account]],MD_Equity[Account Name],MD_Equity[Abbr]))</f>
        <v/>
      </c>
      <c r="J212" s="28"/>
      <c r="K212" s="28" t="str" cm="1">
        <f t="array" ref="K212:K213">_xlfn._xlws.FILTER(EquityUsed,OR(LiabilityUsed&lt;&gt;0,EquityUsed&lt;&gt;""))</f>
        <v>Common Stock</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c r="D213" s="481"/>
      <c r="F213" s="197"/>
      <c r="G213" s="28" t="str">
        <f>IF(BegBalanceSheet_Equities[[#This Row],[Account]]="","",_xlfn.XLOOKUP(BegBalanceSheet_Equities[[#This Row],[Account]],MD_Equity[Account Name],MD_Equity[IncreasedBy]))</f>
        <v/>
      </c>
      <c r="H213" s="28">
        <v>5</v>
      </c>
      <c r="I213" s="28" t="str">
        <f>IF(BegBalanceSheet_Equities[[#This Row],[Account]]="","",_xlfn.XLOOKUP(BegBalanceSheet_Equities[[#This Row],[Account]],MD_Equity[Account Name],MD_Equity[Abbr]))</f>
        <v/>
      </c>
      <c r="J213" s="28"/>
      <c r="K213" s="28" t="str">
        <v>Retained Earnings</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81"/>
      <c r="F214" s="197"/>
      <c r="G214" s="28" t="str">
        <f>IF(BegBalanceSheet_Equities[[#This Row],[Account]]="","",_xlfn.XLOOKUP(BegBalanceSheet_Equities[[#This Row],[Account]],MD_Equity[Account Name],MD_Equity[IncreasedBy]))</f>
        <v/>
      </c>
      <c r="H214" s="28">
        <v>6</v>
      </c>
      <c r="I214" s="28" t="str">
        <f>IF(BegBalanceSheet_Equities[[#This Row],[Account]]="","",_xlfn.XLOOKUP(BegBalanceSheet_Equities[[#This Row],[Account]],MD_Equity[Account Name],MD_Equity[Abbr]))</f>
        <v/>
      </c>
      <c r="J214" s="28"/>
      <c r="K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81"/>
      <c r="F215" s="197"/>
      <c r="G215" s="28" t="str">
        <f>IF(BegBalanceSheet_Equities[[#This Row],[Account]]="","",_xlfn.XLOOKUP(BegBalanceSheet_Equities[[#This Row],[Account]],MD_Equity[Account Name],MD_Equity[IncreasedBy]))</f>
        <v/>
      </c>
      <c r="H215" s="28">
        <v>7</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81"/>
      <c r="F216" s="197"/>
      <c r="G216" s="28" t="str">
        <f>IF(BegBalanceSheet_Equities[[#This Row],[Account]]="","",_xlfn.XLOOKUP(BegBalanceSheet_Equities[[#This Row],[Account]],MD_Equity[Account Name],MD_Equity[IncreasedBy]))</f>
        <v/>
      </c>
      <c r="H216" s="28">
        <v>8</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81"/>
      <c r="F217" s="197"/>
      <c r="G217" s="28" t="str">
        <f>IF(BegBalanceSheet_Equities[[#This Row],[Account]]="","",_xlfn.XLOOKUP(BegBalanceSheet_Equities[[#This Row],[Account]],MD_Equity[Account Name],MD_Equity[IncreasedBy]))</f>
        <v/>
      </c>
      <c r="H217" s="28">
        <v>9</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81"/>
      <c r="F218" s="197"/>
      <c r="G218" s="28" t="str">
        <f>IF(BegBalanceSheet_Equities[[#This Row],[Account]]="","",_xlfn.XLOOKUP(BegBalanceSheet_Equities[[#This Row],[Account]],MD_Equity[Account Name],MD_Equity[IncreasedBy]))</f>
        <v/>
      </c>
      <c r="H218" s="28">
        <v>10</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81"/>
      <c r="F219" s="197"/>
      <c r="G219" s="28" t="str">
        <f>IF(BegBalanceSheet_Equities[[#This Row],[Account]]="","",_xlfn.XLOOKUP(BegBalanceSheet_Equities[[#This Row],[Account]],MD_Equity[Account Name],MD_Equity[IncreasedBy]))</f>
        <v/>
      </c>
      <c r="H219" s="28">
        <v>11</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81"/>
      <c r="E220" s="28"/>
      <c r="F220" s="28"/>
      <c r="G220" s="28"/>
      <c r="H220" s="28"/>
      <c r="I220" s="28"/>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8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8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8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8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8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8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8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8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8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t="15" hidden="1" outlineLevel="1" thickBot="1">
      <c r="C230" s="28"/>
      <c r="D230" s="465"/>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idden="1" outlineLevel="1">
      <c r="C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collapsed="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 r="C233" s="28"/>
      <c r="D233" s="125" t="s">
        <v>785</v>
      </c>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hidden="1" outlineLevel="1">
      <c r="C234" s="28"/>
      <c r="D234" s="66"/>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6"/>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101" t="s">
        <v>786</v>
      </c>
      <c r="E236" s="102">
        <v>1</v>
      </c>
      <c r="F236" s="103">
        <v>2</v>
      </c>
      <c r="G236" s="102">
        <v>3</v>
      </c>
      <c r="H236" s="102">
        <v>4</v>
      </c>
      <c r="I236" s="102">
        <v>5</v>
      </c>
      <c r="J236" s="102">
        <v>6</v>
      </c>
      <c r="K236" s="102">
        <v>7</v>
      </c>
      <c r="L236" s="102">
        <v>8</v>
      </c>
      <c r="M236" s="102">
        <v>9</v>
      </c>
      <c r="N236" s="102">
        <v>10</v>
      </c>
      <c r="O236" s="102">
        <v>11</v>
      </c>
      <c r="P236" s="102">
        <v>12</v>
      </c>
      <c r="Q236" s="102">
        <v>13</v>
      </c>
      <c r="R236" s="102">
        <v>14</v>
      </c>
      <c r="S236" s="102">
        <v>15</v>
      </c>
      <c r="T236" s="102">
        <v>16</v>
      </c>
      <c r="U236" s="102">
        <v>17</v>
      </c>
      <c r="V236" s="102">
        <v>18</v>
      </c>
      <c r="W236" s="102">
        <v>19</v>
      </c>
      <c r="X236" s="102">
        <v>20</v>
      </c>
      <c r="Y236" s="102">
        <v>21</v>
      </c>
      <c r="Z236" s="102">
        <v>22</v>
      </c>
      <c r="AA236" s="102">
        <v>23</v>
      </c>
      <c r="AB236" s="102">
        <v>24</v>
      </c>
      <c r="AC236" s="102">
        <v>25</v>
      </c>
      <c r="AD236" s="102">
        <v>26</v>
      </c>
      <c r="AE236" s="102">
        <v>27</v>
      </c>
      <c r="AF236" s="102">
        <v>28</v>
      </c>
      <c r="AG236" s="102">
        <v>29</v>
      </c>
      <c r="AH236" s="104">
        <v>30</v>
      </c>
      <c r="AI236" s="104">
        <v>31</v>
      </c>
      <c r="AJ236" s="104">
        <v>32</v>
      </c>
      <c r="AK236" s="104">
        <v>33</v>
      </c>
      <c r="AL236" s="104">
        <v>34</v>
      </c>
      <c r="AM236" s="104">
        <v>35</v>
      </c>
      <c r="AN236" s="28"/>
    </row>
    <row r="237" spans="3:40" hidden="1" outlineLevel="1">
      <c r="C237" s="66"/>
      <c r="D237" s="99" t="s">
        <v>787</v>
      </c>
      <c r="E237" s="91">
        <f t="shared" ref="E237:AH237" si="3">COUNTA(E86:E145)/4</f>
        <v>2</v>
      </c>
      <c r="F237" s="100">
        <f t="shared" si="3"/>
        <v>2</v>
      </c>
      <c r="G237" s="91">
        <f t="shared" si="3"/>
        <v>2</v>
      </c>
      <c r="H237" s="91">
        <f t="shared" si="3"/>
        <v>2</v>
      </c>
      <c r="I237" s="91">
        <f t="shared" si="3"/>
        <v>2</v>
      </c>
      <c r="J237" s="91">
        <f t="shared" si="3"/>
        <v>2</v>
      </c>
      <c r="K237" s="91">
        <f t="shared" si="3"/>
        <v>2</v>
      </c>
      <c r="L237" s="91">
        <f t="shared" si="3"/>
        <v>2</v>
      </c>
      <c r="M237" s="91">
        <f t="shared" si="3"/>
        <v>3</v>
      </c>
      <c r="N237" s="91">
        <f t="shared" si="3"/>
        <v>2</v>
      </c>
      <c r="O237" s="91">
        <f t="shared" si="3"/>
        <v>2</v>
      </c>
      <c r="P237" s="91">
        <f t="shared" si="3"/>
        <v>0</v>
      </c>
      <c r="Q237" s="91">
        <f t="shared" si="3"/>
        <v>2</v>
      </c>
      <c r="R237" s="91">
        <f t="shared" si="3"/>
        <v>2</v>
      </c>
      <c r="S237" s="91">
        <f t="shared" si="3"/>
        <v>0</v>
      </c>
      <c r="T237" s="91">
        <f t="shared" si="3"/>
        <v>0</v>
      </c>
      <c r="U237" s="91">
        <f t="shared" si="3"/>
        <v>0</v>
      </c>
      <c r="V237" s="91">
        <f t="shared" si="3"/>
        <v>0</v>
      </c>
      <c r="W237" s="91">
        <f t="shared" si="3"/>
        <v>2</v>
      </c>
      <c r="X237" s="91">
        <f t="shared" si="3"/>
        <v>2</v>
      </c>
      <c r="Y237" s="91">
        <f>COUNTA(Y86:Y145)/4</f>
        <v>0</v>
      </c>
      <c r="Z237" s="91">
        <f t="shared" si="3"/>
        <v>2</v>
      </c>
      <c r="AA237" s="91">
        <f t="shared" si="3"/>
        <v>2</v>
      </c>
      <c r="AB237" s="91">
        <f t="shared" si="3"/>
        <v>0</v>
      </c>
      <c r="AC237" s="91">
        <f t="shared" si="3"/>
        <v>0</v>
      </c>
      <c r="AD237" s="91">
        <f t="shared" si="3"/>
        <v>0</v>
      </c>
      <c r="AE237" s="91">
        <f t="shared" si="3"/>
        <v>0</v>
      </c>
      <c r="AF237" s="91">
        <f t="shared" si="3"/>
        <v>0</v>
      </c>
      <c r="AG237" s="91">
        <f t="shared" si="3"/>
        <v>0</v>
      </c>
      <c r="AH237" s="91">
        <f t="shared" si="3"/>
        <v>0</v>
      </c>
      <c r="AI237" s="91">
        <f t="shared" ref="AI237:AM237" si="4">COUNTA(AI86:AI145)/4</f>
        <v>0</v>
      </c>
      <c r="AJ237" s="91">
        <f t="shared" si="4"/>
        <v>0</v>
      </c>
      <c r="AK237" s="91">
        <f t="shared" si="4"/>
        <v>0</v>
      </c>
      <c r="AL237" s="91">
        <f t="shared" si="4"/>
        <v>0</v>
      </c>
      <c r="AM237" s="91">
        <f t="shared" si="4"/>
        <v>0</v>
      </c>
      <c r="AN237" s="28"/>
    </row>
    <row r="238" spans="3:40" hidden="1" outlineLevel="1">
      <c r="C238" s="66"/>
      <c r="D238" s="99" t="s">
        <v>788</v>
      </c>
      <c r="E238" s="91" t="str">
        <f>IF(E82="","",IF(E82=MasterData!$C$200,"",E82))</f>
        <v>Financing</v>
      </c>
      <c r="F238" s="91" t="str">
        <f>IF(F82="","",IF(F82=MasterData!$C$200,"",F82))</f>
        <v>Financing</v>
      </c>
      <c r="G238" s="91" t="str">
        <f>IF(G82="","",IF(G82=MasterData!$C$200,"",G82))</f>
        <v>Operating</v>
      </c>
      <c r="H238" s="91" t="str">
        <f>IF(H82="","",IF(H82=MasterData!$C$200,"",H82))</f>
        <v>Noncash_Investing_Financing</v>
      </c>
      <c r="I238" s="91" t="str">
        <f>IF(I82="","",IF(I82=MasterData!$C$200,"",I82))</f>
        <v>Noncash_Investing_Financing</v>
      </c>
      <c r="J238" s="91" t="str">
        <f>IF(J82="","",IF(J82=MasterData!$C$200,"",J82))</f>
        <v>Operating</v>
      </c>
      <c r="K238" s="91" t="str">
        <f>IF(K82="","",IF(K82=MasterData!$C$200,"",K82))</f>
        <v>Noncash_Operating</v>
      </c>
      <c r="L238" s="91" t="str">
        <f>IF(L82="","",IF(L82=MasterData!$C$200,"",L82))</f>
        <v>Operating</v>
      </c>
      <c r="M238" s="91" t="str">
        <f>IF(M82="","",IF(M82=MasterData!$C$200,"",M82))</f>
        <v>Operating</v>
      </c>
      <c r="N238" s="91" t="str">
        <f>IF(N82="","",IF(N82=MasterData!$C$200,"",N82))</f>
        <v>Operating</v>
      </c>
      <c r="O238" s="91" t="str">
        <f>IF(O82="","",IF(O82=MasterData!$C$200,"",O82))</f>
        <v>Operating</v>
      </c>
      <c r="P238" s="91" t="str">
        <f>IF(P82="","",IF(P82=MasterData!$C$200,"",P82))</f>
        <v/>
      </c>
      <c r="Q238" s="91" t="str">
        <f>IF(Q82="","",IF(Q82=MasterData!$C$200,"",Q82))</f>
        <v>Noncash_Operating</v>
      </c>
      <c r="R238" s="91" t="str">
        <f>IF(R82="","",IF(R82=MasterData!$C$200,"",R82))</f>
        <v>Noncash_Financing</v>
      </c>
      <c r="S238" s="91" t="str">
        <f>IF(S82="","",IF(S82=MasterData!$C$200,"",S82))</f>
        <v/>
      </c>
      <c r="T238" s="91" t="str">
        <f>IF(T82="","",IF(T82=MasterData!$C$200,"",T82))</f>
        <v/>
      </c>
      <c r="U238" s="91" t="str">
        <f>IF(U82="","",IF(U82=MasterData!$C$200,"",U82))</f>
        <v/>
      </c>
      <c r="V238" s="91" t="str">
        <f>IF(V82="","",IF(V82=MasterData!$C$200,"",V82))</f>
        <v/>
      </c>
      <c r="W238" s="91" t="str">
        <f>IF(W82="","",IF(W82=MasterData!$C$200,"",W82))</f>
        <v>Noncash_Operating</v>
      </c>
      <c r="X238" s="91" t="str">
        <f>IF(X82="","",IF(X82=MasterData!$C$200,"",X82))</f>
        <v>Operating</v>
      </c>
      <c r="Y238" s="91" t="str">
        <f>IF(Y82="","",IF(Y82=MasterData!$C$200,"",Y82))</f>
        <v/>
      </c>
      <c r="Z238" s="91" t="str">
        <f>IF(Z82="","",IF(Z82=MasterData!$C$200,"",Z82))</f>
        <v>Noncash_Financing</v>
      </c>
      <c r="AA238" s="91" t="str">
        <f>IF(AA82="","",IF(AA82=MasterData!$C$200,"",AA82))</f>
        <v>Financing</v>
      </c>
      <c r="AB238" s="91" t="str">
        <f>IF(AB82="","",IF(AB82=MasterData!$C$200,"",AB82))</f>
        <v/>
      </c>
      <c r="AC238" s="91" t="str">
        <f>IF(AC82="","",IF(AC82=MasterData!$C$200,"",AC82))</f>
        <v/>
      </c>
      <c r="AD238" s="91" t="str">
        <f>IF(AD82="","",IF(AD82=MasterData!$C$200,"",AD82))</f>
        <v/>
      </c>
      <c r="AE238" s="91" t="str">
        <f>IF(AE82="","",IF(AE82=MasterData!$C$200,"",AE82))</f>
        <v/>
      </c>
      <c r="AF238" s="91" t="str">
        <f>IF(AF82="","",IF(AF82=MasterData!$C$200,"",AF82))</f>
        <v/>
      </c>
      <c r="AG238" s="91" t="str">
        <f>IF(AG82="","",IF(AG82=MasterData!$C$200,"",AG82))</f>
        <v/>
      </c>
      <c r="AH238" s="91" t="str">
        <f>IF(AH82="","",IF(AH82=MasterData!$C$200,"",AH82))</f>
        <v/>
      </c>
      <c r="AI238" s="91" t="str">
        <f>IF(AI82="","",IF(AI82=MasterData!$C$200,"",AI82))</f>
        <v/>
      </c>
      <c r="AJ238" s="91" t="str">
        <f>IF(AJ82="","",IF(AJ82=MasterData!$C$200,"",AJ82))</f>
        <v/>
      </c>
      <c r="AK238" s="91" t="str">
        <f>IF(AK82="","",IF(AK82=MasterData!$C$200,"",AK82))</f>
        <v/>
      </c>
      <c r="AL238" s="91" t="str">
        <f>IF(AL82="","",IF(AL82=MasterData!$C$200,"",AL82))</f>
        <v/>
      </c>
      <c r="AM238" s="91" t="str">
        <f>IF(AM82="","",IF(AM82=MasterData!$C$200,"",AM82))</f>
        <v/>
      </c>
      <c r="AN238" s="28"/>
    </row>
    <row r="239" spans="3:40" hidden="1" outlineLevel="1">
      <c r="C239" s="66"/>
      <c r="D239" s="99" t="s">
        <v>789</v>
      </c>
      <c r="E239" s="91" t="str">
        <f t="shared" ref="E239:AM239" ca="1" si="5">IF(IFERROR(VLOOKUP(E83,INDIRECT(E82&amp;"[#All]"),3,FALSE),"")=0,"",IFERROR(VLOOKUP(E83,INDIRECT(E82&amp;"[#All]"),3,FALSE),""))</f>
        <v>ICS</v>
      </c>
      <c r="F239" s="91" t="str">
        <f t="shared" ca="1" si="5"/>
        <v>GL</v>
      </c>
      <c r="G239" s="91" t="str">
        <f t="shared" ca="1" si="5"/>
        <v>ColC</v>
      </c>
      <c r="H239" s="91" t="str">
        <f t="shared" ca="1" si="5"/>
        <v>PPEfCS</v>
      </c>
      <c r="I239" s="91" t="str">
        <f t="shared" ca="1" si="5"/>
        <v>PPEfL</v>
      </c>
      <c r="J239" s="91" t="str">
        <f t="shared" ca="1" si="5"/>
        <v>PdS</v>
      </c>
      <c r="K239" s="91" t="str">
        <f t="shared" ca="1" si="5"/>
        <v/>
      </c>
      <c r="L239" s="91" t="str">
        <f t="shared" ca="1" si="5"/>
        <v>PdS</v>
      </c>
      <c r="M239" s="91" t="str">
        <f t="shared" ca="1" si="5"/>
        <v>PdS</v>
      </c>
      <c r="N239" s="91" t="str">
        <f t="shared" ca="1" si="5"/>
        <v>ColC</v>
      </c>
      <c r="O239" s="91" t="str">
        <f t="shared" ca="1" si="5"/>
        <v>ColC</v>
      </c>
      <c r="P239" s="91" t="str">
        <f t="shared" ca="1" si="5"/>
        <v/>
      </c>
      <c r="Q239" s="91" t="str">
        <f t="shared" ca="1" si="5"/>
        <v/>
      </c>
      <c r="R239" s="91" t="str">
        <f t="shared" ca="1" si="5"/>
        <v/>
      </c>
      <c r="S239" s="91" t="str">
        <f t="shared" ca="1" si="5"/>
        <v/>
      </c>
      <c r="T239" s="91" t="str">
        <f t="shared" ca="1" si="5"/>
        <v/>
      </c>
      <c r="U239" s="91" t="str">
        <f t="shared" ca="1" si="5"/>
        <v/>
      </c>
      <c r="V239" s="91" t="str">
        <f t="shared" ca="1" si="5"/>
        <v/>
      </c>
      <c r="W239" s="91" t="str">
        <f t="shared" ca="1" si="5"/>
        <v/>
      </c>
      <c r="X239" s="91" t="str">
        <f t="shared" ca="1" si="5"/>
        <v>ColC</v>
      </c>
      <c r="Y239" s="91" t="str">
        <f t="shared" ca="1" si="5"/>
        <v/>
      </c>
      <c r="Z239" s="91" t="str">
        <f t="shared" ca="1" si="5"/>
        <v/>
      </c>
      <c r="AA239" s="91" t="str">
        <f t="shared" ca="1" si="5"/>
        <v/>
      </c>
      <c r="AB239" s="91" t="str">
        <f t="shared" ca="1" si="5"/>
        <v/>
      </c>
      <c r="AC239" s="91" t="str">
        <f ca="1">IF(IFERROR(VLOOKUP(AC83,INDIRECT(AC82&amp;"[#All]"),3,FALSE),"")=0,"",IFERROR(VLOOKUP(AC83,INDIRECT(AC82&amp;"[#All]"),3,FALSE),""))</f>
        <v/>
      </c>
      <c r="AD239" s="91" t="str">
        <f t="shared" ca="1" si="5"/>
        <v/>
      </c>
      <c r="AE239" s="91" t="str">
        <f t="shared" ca="1" si="5"/>
        <v/>
      </c>
      <c r="AF239" s="91" t="str">
        <f t="shared" ca="1" si="5"/>
        <v/>
      </c>
      <c r="AG239" s="91" t="str">
        <f ca="1">IF(IFERROR(VLOOKUP(AG83,INDIRECT(AG82&amp;"[#All]"),3,FALSE),"")=0,"",IFERROR(VLOOKUP(AG83,INDIRECT(AG82&amp;"[#All]"),3,FALSE),""))</f>
        <v/>
      </c>
      <c r="AH239" s="91" t="str">
        <f t="shared" ca="1" si="5"/>
        <v/>
      </c>
      <c r="AI239" s="91" t="str">
        <f t="shared" ca="1" si="5"/>
        <v/>
      </c>
      <c r="AJ239" s="91" t="str">
        <f t="shared" ca="1" si="5"/>
        <v/>
      </c>
      <c r="AK239" s="91" t="str">
        <f t="shared" ca="1" si="5"/>
        <v/>
      </c>
      <c r="AL239" s="91" t="str">
        <f t="shared" ca="1" si="5"/>
        <v/>
      </c>
      <c r="AM239" s="91" t="str">
        <f t="shared" ca="1" si="5"/>
        <v/>
      </c>
      <c r="AN239" s="28"/>
    </row>
    <row r="240" spans="3:40" hidden="1" outlineLevel="1">
      <c r="C240" s="66"/>
      <c r="D240" s="98" t="s">
        <v>790</v>
      </c>
      <c r="E240" s="90">
        <f>COUNTA(E79:AH79)</f>
        <v>23</v>
      </c>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row>
    <row r="241" spans="3:40" hidden="1" outlineLevel="1">
      <c r="C241" s="28"/>
      <c r="D241" s="98" t="s">
        <v>791</v>
      </c>
      <c r="E241" s="90" t="str">
        <f>_xlfn.CONCAT(E86:AM145)&amp;_xlfn.CONCAT(D155:D176)&amp;_xlfn.CONCAT(D182:D203)&amp;_xlfn.CONCAT(D209:D230)</f>
        <v>AssetAssetAssetAssetAssetAssetAssetLiabilityAssetAssetAssetExpenseLossAssetAssetEquityLiabilityCashCashCashProperty, Plant &amp; EquipmentProperty, Plant &amp; EquipmentInventoriesInventoriesAccounts PayableInventoriesCashCashCost of Goods SoldLoss from Accidental Destruction of InventoryAccounts ReceivableCashRetained EarningsDividends PayableDebitDebitDebitDebitDebitDebitDebitDebitDebitDebitDebitDebitDebitDebitDebitDebitDebit50505050501818171818866151522EquityLiabilityRevenueEquityLiabilityAssetLiabilityAssetAssetRevenueLiabilityAssetAssetRevenueAssetLiabilityAssetCommon StockLoans PayableRevenue from ServicesCommon StockLoans PayableCashAccounts PayableCashCashSalesUnearned RevenueInventoriesInventoriesRevenue from ServicesAccounts ReceivableDividends PayableCashCreditCreditCreditCreditCreditCreditCreditCreditCreditCreditCreditCreditCreditCreditCreditCreditCredit50505050501818171718866151522LiabilityAccounts PayableCredit1Land</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D242" s="193" t="s">
        <v>792</v>
      </c>
      <c r="E242" t="str">
        <f>_xlfn.CONCAT(E238:AM238)</f>
        <v>FinancingFinancingOperatingNoncash_Investing_FinancingNoncash_Investing_FinancingOperatingNoncash_OperatingOperatingOperatingOperatingOperatingNoncash_OperatingNoncash_FinancingNoncash_OperatingOperatingNoncash_FinancingFinancing</v>
      </c>
    </row>
    <row r="243" spans="3:40" ht="15" hidden="1" outlineLevel="1" thickBot="1"/>
    <row r="244" spans="3:40" ht="15" hidden="1" outlineLevel="1" thickBot="1">
      <c r="D244" s="92" t="s">
        <v>786</v>
      </c>
      <c r="E244" s="93" t="s">
        <v>793</v>
      </c>
      <c r="F244" s="93" t="s">
        <v>794</v>
      </c>
      <c r="G244" s="93" t="s">
        <v>795</v>
      </c>
      <c r="H244" s="93" t="s">
        <v>796</v>
      </c>
      <c r="I244" s="93" t="s">
        <v>797</v>
      </c>
      <c r="J244" s="93" t="s">
        <v>798</v>
      </c>
      <c r="K244" s="93" t="s">
        <v>799</v>
      </c>
      <c r="L244" s="93" t="s">
        <v>800</v>
      </c>
      <c r="M244" s="93" t="s">
        <v>801</v>
      </c>
      <c r="N244" s="93" t="s">
        <v>802</v>
      </c>
      <c r="O244" s="93" t="s">
        <v>803</v>
      </c>
      <c r="P244" s="93" t="s">
        <v>804</v>
      </c>
      <c r="Q244" s="93" t="s">
        <v>805</v>
      </c>
      <c r="R244" s="93" t="s">
        <v>806</v>
      </c>
      <c r="S244" s="93" t="s">
        <v>807</v>
      </c>
      <c r="T244" s="94" t="s">
        <v>808</v>
      </c>
    </row>
    <row r="245" spans="3:40" hidden="1" outlineLevel="1">
      <c r="D245" s="91">
        <v>1</v>
      </c>
      <c r="E245" s="91" cm="1">
        <f t="array" ref="E245:E279">TRANSPOSE(E237:AM237)</f>
        <v>2</v>
      </c>
      <c r="F245" s="91">
        <f>IF(E245&gt;0,1,0)</f>
        <v>1</v>
      </c>
      <c r="G245" s="91">
        <f>IF(SUM($F245:F245)=$E245,0,1)</f>
        <v>1</v>
      </c>
      <c r="H245" s="91">
        <f>IF(SUM($F245:G245)=$E245,0,1)</f>
        <v>0</v>
      </c>
      <c r="I245" s="91">
        <f>IF(SUM($F245:H245)=$E245,0,1)</f>
        <v>0</v>
      </c>
      <c r="J245" s="91">
        <f>IF(SUM($F245:I245)=$E245,0,1)</f>
        <v>0</v>
      </c>
      <c r="K245" s="91">
        <f>IF(SUM($F245:J245)=$E245,0,1)</f>
        <v>0</v>
      </c>
      <c r="L245" s="91">
        <f>IF(SUM($F245:K245)=$E245,0,1)</f>
        <v>0</v>
      </c>
      <c r="M245" s="91">
        <f>IF(SUM($F245:L245)=$E245,0,1)</f>
        <v>0</v>
      </c>
      <c r="N245" s="91">
        <f>IF(SUM($F245:M245)=$E245,0,1)</f>
        <v>0</v>
      </c>
      <c r="O245" s="91">
        <f>IF(SUM($F245:N245)=$E245,0,1)</f>
        <v>0</v>
      </c>
      <c r="P245" s="91">
        <f>IF(SUM($F245:O245)=$E245,0,1)</f>
        <v>0</v>
      </c>
      <c r="Q245" s="91">
        <f>IF(SUM($F245:P245)=$E245,0,1)</f>
        <v>0</v>
      </c>
      <c r="R245" s="91">
        <f>IF(SUM($F245:Q245)=$E245,0,1)</f>
        <v>0</v>
      </c>
      <c r="S245" s="91">
        <f>IF(SUM($F245:R245)=$E245,0,1)</f>
        <v>0</v>
      </c>
      <c r="T245" s="91">
        <f>IF(SUM($F245:S245)=$E245,0,1)</f>
        <v>0</v>
      </c>
    </row>
    <row r="246" spans="3:40" hidden="1" outlineLevel="1">
      <c r="D246" s="90">
        <v>2</v>
      </c>
      <c r="E246" s="90">
        <v>2</v>
      </c>
      <c r="F246" s="90">
        <f t="shared" ref="F246:F274" si="6">IF(E246&gt;0,1,0)</f>
        <v>1</v>
      </c>
      <c r="G246" s="90">
        <f>IF(SUM($F246:F246)=$E246,0,1)</f>
        <v>1</v>
      </c>
      <c r="H246" s="90">
        <f>IF(SUM($F246:G246)=$E246,0,1)</f>
        <v>0</v>
      </c>
      <c r="I246" s="90">
        <f>IF(SUM($F246:H246)=$E246,0,1)</f>
        <v>0</v>
      </c>
      <c r="J246" s="90">
        <f>IF(SUM($F246:I246)=$E246,0,1)</f>
        <v>0</v>
      </c>
      <c r="K246" s="90">
        <f>IF(SUM($F246:J246)=$E246,0,1)</f>
        <v>0</v>
      </c>
      <c r="L246" s="90">
        <f>IF(SUM($F246:K246)=$E246,0,1)</f>
        <v>0</v>
      </c>
      <c r="M246" s="90">
        <f>IF(SUM($F246:L246)=$E246,0,1)</f>
        <v>0</v>
      </c>
      <c r="N246" s="90">
        <f>IF(SUM($F246:M246)=$E246,0,1)</f>
        <v>0</v>
      </c>
      <c r="O246" s="90">
        <f>IF(SUM($F246:N246)=$E246,0,1)</f>
        <v>0</v>
      </c>
      <c r="P246" s="90">
        <f>IF(SUM($F246:O246)=$E246,0,1)</f>
        <v>0</v>
      </c>
      <c r="Q246" s="90">
        <f>IF(SUM($F246:P246)=$E246,0,1)</f>
        <v>0</v>
      </c>
      <c r="R246" s="90">
        <f>IF(SUM($F246:Q246)=$E246,0,1)</f>
        <v>0</v>
      </c>
      <c r="S246" s="90">
        <f>IF(SUM($F246:R246)=$E246,0,1)</f>
        <v>0</v>
      </c>
      <c r="T246" s="90">
        <f>IF(SUM($F246:S246)=$E246,0,1)</f>
        <v>0</v>
      </c>
    </row>
    <row r="247" spans="3:40" hidden="1" outlineLevel="1">
      <c r="D247" s="90">
        <v>3</v>
      </c>
      <c r="E247" s="90">
        <v>2</v>
      </c>
      <c r="F247" s="90">
        <f t="shared" si="6"/>
        <v>1</v>
      </c>
      <c r="G247" s="90">
        <f>IF(SUM($F247:F247)=$E247,0,1)</f>
        <v>1</v>
      </c>
      <c r="H247" s="90">
        <f>IF(SUM($F247:G247)=$E247,0,1)</f>
        <v>0</v>
      </c>
      <c r="I247" s="90">
        <f>IF(SUM($F247:H247)=$E247,0,1)</f>
        <v>0</v>
      </c>
      <c r="J247" s="90">
        <f>IF(SUM($F247:I247)=$E247,0,1)</f>
        <v>0</v>
      </c>
      <c r="K247" s="90">
        <f>IF(SUM($F247:J247)=$E247,0,1)</f>
        <v>0</v>
      </c>
      <c r="L247" s="90">
        <f>IF(SUM($F247:K247)=$E247,0,1)</f>
        <v>0</v>
      </c>
      <c r="M247" s="90">
        <f>IF(SUM($F247:L247)=$E247,0,1)</f>
        <v>0</v>
      </c>
      <c r="N247" s="90">
        <f>IF(SUM($F247:M247)=$E247,0,1)</f>
        <v>0</v>
      </c>
      <c r="O247" s="90">
        <f>IF(SUM($F247:N247)=$E247,0,1)</f>
        <v>0</v>
      </c>
      <c r="P247" s="90">
        <f>IF(SUM($F247:O247)=$E247,0,1)</f>
        <v>0</v>
      </c>
      <c r="Q247" s="90">
        <f>IF(SUM($F247:P247)=$E247,0,1)</f>
        <v>0</v>
      </c>
      <c r="R247" s="90">
        <f>IF(SUM($F247:Q247)=$E247,0,1)</f>
        <v>0</v>
      </c>
      <c r="S247" s="90">
        <f>IF(SUM($F247:R247)=$E247,0,1)</f>
        <v>0</v>
      </c>
      <c r="T247" s="90">
        <f>IF(SUM($F247:S247)=$E247,0,1)</f>
        <v>0</v>
      </c>
    </row>
    <row r="248" spans="3:40" hidden="1" outlineLevel="1">
      <c r="D248" s="90">
        <v>4</v>
      </c>
      <c r="E248" s="90">
        <v>2</v>
      </c>
      <c r="F248" s="90">
        <f t="shared" si="6"/>
        <v>1</v>
      </c>
      <c r="G248" s="90">
        <f>IF(SUM($F248:F248)=$E248,0,1)</f>
        <v>1</v>
      </c>
      <c r="H248" s="90">
        <f>IF(SUM($F248:G248)=$E248,0,1)</f>
        <v>0</v>
      </c>
      <c r="I248" s="90">
        <f>IF(SUM($F248:H248)=$E248,0,1)</f>
        <v>0</v>
      </c>
      <c r="J248" s="90">
        <f>IF(SUM($F248:I248)=$E248,0,1)</f>
        <v>0</v>
      </c>
      <c r="K248" s="90">
        <f>IF(SUM($F248:J248)=$E248,0,1)</f>
        <v>0</v>
      </c>
      <c r="L248" s="90">
        <f>IF(SUM($F248:K248)=$E248,0,1)</f>
        <v>0</v>
      </c>
      <c r="M248" s="90">
        <f>IF(SUM($F248:L248)=$E248,0,1)</f>
        <v>0</v>
      </c>
      <c r="N248" s="90">
        <f>IF(SUM($F248:M248)=$E248,0,1)</f>
        <v>0</v>
      </c>
      <c r="O248" s="90">
        <f>IF(SUM($F248:N248)=$E248,0,1)</f>
        <v>0</v>
      </c>
      <c r="P248" s="90">
        <f>IF(SUM($F248:O248)=$E248,0,1)</f>
        <v>0</v>
      </c>
      <c r="Q248" s="90">
        <f>IF(SUM($F248:P248)=$E248,0,1)</f>
        <v>0</v>
      </c>
      <c r="R248" s="90">
        <f>IF(SUM($F248:Q248)=$E248,0,1)</f>
        <v>0</v>
      </c>
      <c r="S248" s="90">
        <f>IF(SUM($F248:R248)=$E248,0,1)</f>
        <v>0</v>
      </c>
      <c r="T248" s="90">
        <f>IF(SUM($F248:S248)=$E248,0,1)</f>
        <v>0</v>
      </c>
    </row>
    <row r="249" spans="3:40" hidden="1" outlineLevel="1">
      <c r="D249" s="90">
        <v>5</v>
      </c>
      <c r="E249" s="90">
        <v>2</v>
      </c>
      <c r="F249" s="90">
        <f t="shared" si="6"/>
        <v>1</v>
      </c>
      <c r="G249" s="90">
        <f>IF(SUM($F249:F249)=$E249,0,1)</f>
        <v>1</v>
      </c>
      <c r="H249" s="90">
        <f>IF(SUM($F249:G249)=$E249,0,1)</f>
        <v>0</v>
      </c>
      <c r="I249" s="90">
        <f>IF(SUM($F249:H249)=$E249,0,1)</f>
        <v>0</v>
      </c>
      <c r="J249" s="90">
        <f>IF(SUM($F249:I249)=$E249,0,1)</f>
        <v>0</v>
      </c>
      <c r="K249" s="90">
        <f>IF(SUM($F249:J249)=$E249,0,1)</f>
        <v>0</v>
      </c>
      <c r="L249" s="90">
        <f>IF(SUM($F249:K249)=$E249,0,1)</f>
        <v>0</v>
      </c>
      <c r="M249" s="90">
        <f>IF(SUM($F249:L249)=$E249,0,1)</f>
        <v>0</v>
      </c>
      <c r="N249" s="90">
        <f>IF(SUM($F249:M249)=$E249,0,1)</f>
        <v>0</v>
      </c>
      <c r="O249" s="90">
        <f>IF(SUM($F249:N249)=$E249,0,1)</f>
        <v>0</v>
      </c>
      <c r="P249" s="90">
        <f>IF(SUM($F249:O249)=$E249,0,1)</f>
        <v>0</v>
      </c>
      <c r="Q249" s="90">
        <f>IF(SUM($F249:P249)=$E249,0,1)</f>
        <v>0</v>
      </c>
      <c r="R249" s="90">
        <f>IF(SUM($F249:Q249)=$E249,0,1)</f>
        <v>0</v>
      </c>
      <c r="S249" s="90">
        <f>IF(SUM($F249:R249)=$E249,0,1)</f>
        <v>0</v>
      </c>
      <c r="T249" s="90">
        <f>IF(SUM($F249:S249)=$E249,0,1)</f>
        <v>0</v>
      </c>
    </row>
    <row r="250" spans="3:40" hidden="1" outlineLevel="1">
      <c r="D250" s="90">
        <v>6</v>
      </c>
      <c r="E250" s="90">
        <v>2</v>
      </c>
      <c r="F250" s="90">
        <f t="shared" si="6"/>
        <v>1</v>
      </c>
      <c r="G250" s="90">
        <f>IF(SUM($F250:F250)=$E250,0,1)</f>
        <v>1</v>
      </c>
      <c r="H250" s="90">
        <f>IF(SUM($F250:G250)=$E250,0,1)</f>
        <v>0</v>
      </c>
      <c r="I250" s="90">
        <f>IF(SUM($F250:H250)=$E250,0,1)</f>
        <v>0</v>
      </c>
      <c r="J250" s="90">
        <f>IF(SUM($F250:I250)=$E250,0,1)</f>
        <v>0</v>
      </c>
      <c r="K250" s="90">
        <f>IF(SUM($F250:J250)=$E250,0,1)</f>
        <v>0</v>
      </c>
      <c r="L250" s="90">
        <f>IF(SUM($F250:K250)=$E250,0,1)</f>
        <v>0</v>
      </c>
      <c r="M250" s="90">
        <f>IF(SUM($F250:L250)=$E250,0,1)</f>
        <v>0</v>
      </c>
      <c r="N250" s="90">
        <f>IF(SUM($F250:M250)=$E250,0,1)</f>
        <v>0</v>
      </c>
      <c r="O250" s="90">
        <f>IF(SUM($F250:N250)=$E250,0,1)</f>
        <v>0</v>
      </c>
      <c r="P250" s="90">
        <f>IF(SUM($F250:O250)=$E250,0,1)</f>
        <v>0</v>
      </c>
      <c r="Q250" s="90">
        <f>IF(SUM($F250:P250)=$E250,0,1)</f>
        <v>0</v>
      </c>
      <c r="R250" s="90">
        <f>IF(SUM($F250:Q250)=$E250,0,1)</f>
        <v>0</v>
      </c>
      <c r="S250" s="90">
        <f>IF(SUM($F250:R250)=$E250,0,1)</f>
        <v>0</v>
      </c>
      <c r="T250" s="90">
        <f>IF(SUM($F250:S250)=$E250,0,1)</f>
        <v>0</v>
      </c>
    </row>
    <row r="251" spans="3:40" hidden="1" outlineLevel="1">
      <c r="D251" s="90">
        <v>7</v>
      </c>
      <c r="E251" s="90">
        <v>2</v>
      </c>
      <c r="F251" s="90">
        <f t="shared" si="6"/>
        <v>1</v>
      </c>
      <c r="G251" s="90">
        <f>IF(SUM($F251:F251)=$E251,0,1)</f>
        <v>1</v>
      </c>
      <c r="H251" s="90">
        <f>IF(SUM($F251:G251)=$E251,0,1)</f>
        <v>0</v>
      </c>
      <c r="I251" s="90">
        <f>IF(SUM($F251:H251)=$E251,0,1)</f>
        <v>0</v>
      </c>
      <c r="J251" s="90">
        <f>IF(SUM($F251:I251)=$E251,0,1)</f>
        <v>0</v>
      </c>
      <c r="K251" s="90">
        <f>IF(SUM($F251:J251)=$E251,0,1)</f>
        <v>0</v>
      </c>
      <c r="L251" s="90">
        <f>IF(SUM($F251:K251)=$E251,0,1)</f>
        <v>0</v>
      </c>
      <c r="M251" s="90">
        <f>IF(SUM($F251:L251)=$E251,0,1)</f>
        <v>0</v>
      </c>
      <c r="N251" s="90">
        <f>IF(SUM($F251:M251)=$E251,0,1)</f>
        <v>0</v>
      </c>
      <c r="O251" s="90">
        <f>IF(SUM($F251:N251)=$E251,0,1)</f>
        <v>0</v>
      </c>
      <c r="P251" s="90">
        <f>IF(SUM($F251:O251)=$E251,0,1)</f>
        <v>0</v>
      </c>
      <c r="Q251" s="90">
        <f>IF(SUM($F251:P251)=$E251,0,1)</f>
        <v>0</v>
      </c>
      <c r="R251" s="90">
        <f>IF(SUM($F251:Q251)=$E251,0,1)</f>
        <v>0</v>
      </c>
      <c r="S251" s="90">
        <f>IF(SUM($F251:R251)=$E251,0,1)</f>
        <v>0</v>
      </c>
      <c r="T251" s="90">
        <f>IF(SUM($F251:S251)=$E251,0,1)</f>
        <v>0</v>
      </c>
    </row>
    <row r="252" spans="3:40" hidden="1" outlineLevel="1">
      <c r="D252" s="90">
        <v>8</v>
      </c>
      <c r="E252" s="90">
        <v>2</v>
      </c>
      <c r="F252" s="90">
        <f t="shared" si="6"/>
        <v>1</v>
      </c>
      <c r="G252" s="90">
        <f>IF(SUM($F252:F252)=$E252,0,1)</f>
        <v>1</v>
      </c>
      <c r="H252" s="90">
        <f>IF(SUM($F252:G252)=$E252,0,1)</f>
        <v>0</v>
      </c>
      <c r="I252" s="90">
        <f>IF(SUM($F252:H252)=$E252,0,1)</f>
        <v>0</v>
      </c>
      <c r="J252" s="90">
        <f>IF(SUM($F252:I252)=$E252,0,1)</f>
        <v>0</v>
      </c>
      <c r="K252" s="90">
        <f>IF(SUM($F252:J252)=$E252,0,1)</f>
        <v>0</v>
      </c>
      <c r="L252" s="90">
        <f>IF(SUM($F252:K252)=$E252,0,1)</f>
        <v>0</v>
      </c>
      <c r="M252" s="90">
        <f>IF(SUM($F252:L252)=$E252,0,1)</f>
        <v>0</v>
      </c>
      <c r="N252" s="90">
        <f>IF(SUM($F252:M252)=$E252,0,1)</f>
        <v>0</v>
      </c>
      <c r="O252" s="90">
        <f>IF(SUM($F252:N252)=$E252,0,1)</f>
        <v>0</v>
      </c>
      <c r="P252" s="90">
        <f>IF(SUM($F252:O252)=$E252,0,1)</f>
        <v>0</v>
      </c>
      <c r="Q252" s="90">
        <f>IF(SUM($F252:P252)=$E252,0,1)</f>
        <v>0</v>
      </c>
      <c r="R252" s="90">
        <f>IF(SUM($F252:Q252)=$E252,0,1)</f>
        <v>0</v>
      </c>
      <c r="S252" s="90">
        <f>IF(SUM($F252:R252)=$E252,0,1)</f>
        <v>0</v>
      </c>
      <c r="T252" s="90">
        <f>IF(SUM($F252:S252)=$E252,0,1)</f>
        <v>0</v>
      </c>
    </row>
    <row r="253" spans="3:40" hidden="1" outlineLevel="1">
      <c r="D253" s="90">
        <v>9</v>
      </c>
      <c r="E253" s="90">
        <v>3</v>
      </c>
      <c r="F253" s="90">
        <f t="shared" si="6"/>
        <v>1</v>
      </c>
      <c r="G253" s="90">
        <f>IF(SUM($F253:F253)=$E253,0,1)</f>
        <v>1</v>
      </c>
      <c r="H253" s="90">
        <f>IF(SUM($F253:G253)=$E253,0,1)</f>
        <v>1</v>
      </c>
      <c r="I253" s="90">
        <f>IF(SUM($F253:H253)=$E253,0,1)</f>
        <v>0</v>
      </c>
      <c r="J253" s="90">
        <f>IF(SUM($F253:I253)=$E253,0,1)</f>
        <v>0</v>
      </c>
      <c r="K253" s="90">
        <f>IF(SUM($F253:J253)=$E253,0,1)</f>
        <v>0</v>
      </c>
      <c r="L253" s="90">
        <f>IF(SUM($F253:K253)=$E253,0,1)</f>
        <v>0</v>
      </c>
      <c r="M253" s="90">
        <f>IF(SUM($F253:L253)=$E253,0,1)</f>
        <v>0</v>
      </c>
      <c r="N253" s="90">
        <f>IF(SUM($F253:M253)=$E253,0,1)</f>
        <v>0</v>
      </c>
      <c r="O253" s="90">
        <f>IF(SUM($F253:N253)=$E253,0,1)</f>
        <v>0</v>
      </c>
      <c r="P253" s="90">
        <f>IF(SUM($F253:O253)=$E253,0,1)</f>
        <v>0</v>
      </c>
      <c r="Q253" s="90">
        <f>IF(SUM($F253:P253)=$E253,0,1)</f>
        <v>0</v>
      </c>
      <c r="R253" s="90">
        <f>IF(SUM($F253:Q253)=$E253,0,1)</f>
        <v>0</v>
      </c>
      <c r="S253" s="90">
        <f>IF(SUM($F253:R253)=$E253,0,1)</f>
        <v>0</v>
      </c>
      <c r="T253" s="90">
        <f>IF(SUM($F253:S253)=$E253,0,1)</f>
        <v>0</v>
      </c>
    </row>
    <row r="254" spans="3:40" hidden="1" outlineLevel="1">
      <c r="D254" s="90">
        <v>10</v>
      </c>
      <c r="E254" s="90">
        <v>2</v>
      </c>
      <c r="F254" s="90">
        <f t="shared" si="6"/>
        <v>1</v>
      </c>
      <c r="G254" s="90">
        <f>IF(SUM($F254:F254)=$E254,0,1)</f>
        <v>1</v>
      </c>
      <c r="H254" s="90">
        <f>IF(SUM($F254:G254)=$E254,0,1)</f>
        <v>0</v>
      </c>
      <c r="I254" s="90">
        <f>IF(SUM($F254:H254)=$E254,0,1)</f>
        <v>0</v>
      </c>
      <c r="J254" s="90">
        <f>IF(SUM($F254:I254)=$E254,0,1)</f>
        <v>0</v>
      </c>
      <c r="K254" s="90">
        <f>IF(SUM($F254:J254)=$E254,0,1)</f>
        <v>0</v>
      </c>
      <c r="L254" s="90">
        <f>IF(SUM($F254:K254)=$E254,0,1)</f>
        <v>0</v>
      </c>
      <c r="M254" s="90">
        <f>IF(SUM($F254:L254)=$E254,0,1)</f>
        <v>0</v>
      </c>
      <c r="N254" s="90">
        <f>IF(SUM($F254:M254)=$E254,0,1)</f>
        <v>0</v>
      </c>
      <c r="O254" s="90">
        <f>IF(SUM($F254:N254)=$E254,0,1)</f>
        <v>0</v>
      </c>
      <c r="P254" s="90">
        <f>IF(SUM($F254:O254)=$E254,0,1)</f>
        <v>0</v>
      </c>
      <c r="Q254" s="90">
        <f>IF(SUM($F254:P254)=$E254,0,1)</f>
        <v>0</v>
      </c>
      <c r="R254" s="90">
        <f>IF(SUM($F254:Q254)=$E254,0,1)</f>
        <v>0</v>
      </c>
      <c r="S254" s="90">
        <f>IF(SUM($F254:R254)=$E254,0,1)</f>
        <v>0</v>
      </c>
      <c r="T254" s="90">
        <f>IF(SUM($F254:S254)=$E254,0,1)</f>
        <v>0</v>
      </c>
    </row>
    <row r="255" spans="3:40" hidden="1" outlineLevel="1">
      <c r="D255" s="90">
        <v>11</v>
      </c>
      <c r="E255" s="90">
        <v>2</v>
      </c>
      <c r="F255" s="90">
        <f t="shared" si="6"/>
        <v>1</v>
      </c>
      <c r="G255" s="90">
        <f>IF(SUM($F255:F255)=$E255,0,1)</f>
        <v>1</v>
      </c>
      <c r="H255" s="90">
        <f>IF(SUM($F255:G255)=$E255,0,1)</f>
        <v>0</v>
      </c>
      <c r="I255" s="90">
        <f>IF(SUM($F255:H255)=$E255,0,1)</f>
        <v>0</v>
      </c>
      <c r="J255" s="90">
        <f>IF(SUM($F255:I255)=$E255,0,1)</f>
        <v>0</v>
      </c>
      <c r="K255" s="90">
        <f>IF(SUM($F255:J255)=$E255,0,1)</f>
        <v>0</v>
      </c>
      <c r="L255" s="90">
        <f>IF(SUM($F255:K255)=$E255,0,1)</f>
        <v>0</v>
      </c>
      <c r="M255" s="90">
        <f>IF(SUM($F255:L255)=$E255,0,1)</f>
        <v>0</v>
      </c>
      <c r="N255" s="90">
        <f>IF(SUM($F255:M255)=$E255,0,1)</f>
        <v>0</v>
      </c>
      <c r="O255" s="90">
        <f>IF(SUM($F255:N255)=$E255,0,1)</f>
        <v>0</v>
      </c>
      <c r="P255" s="90">
        <f>IF(SUM($F255:O255)=$E255,0,1)</f>
        <v>0</v>
      </c>
      <c r="Q255" s="90">
        <f>IF(SUM($F255:P255)=$E255,0,1)</f>
        <v>0</v>
      </c>
      <c r="R255" s="90">
        <f>IF(SUM($F255:Q255)=$E255,0,1)</f>
        <v>0</v>
      </c>
      <c r="S255" s="90">
        <f>IF(SUM($F255:R255)=$E255,0,1)</f>
        <v>0</v>
      </c>
      <c r="T255" s="90">
        <f>IF(SUM($F255:S255)=$E255,0,1)</f>
        <v>0</v>
      </c>
    </row>
    <row r="256" spans="3:40" hidden="1" outlineLevel="1">
      <c r="D256" s="90">
        <v>12</v>
      </c>
      <c r="E256" s="90">
        <v>0</v>
      </c>
      <c r="F256" s="90">
        <f t="shared" si="6"/>
        <v>0</v>
      </c>
      <c r="G256" s="90">
        <f>IF(SUM($F256:F256)=$E256,0,1)</f>
        <v>0</v>
      </c>
      <c r="H256" s="90">
        <f>IF(SUM($F256:G256)=$E256,0,1)</f>
        <v>0</v>
      </c>
      <c r="I256" s="90">
        <f>IF(SUM($F256:H256)=$E256,0,1)</f>
        <v>0</v>
      </c>
      <c r="J256" s="90">
        <f>IF(SUM($F256:I256)=$E256,0,1)</f>
        <v>0</v>
      </c>
      <c r="K256" s="90">
        <f>IF(SUM($F256:J256)=$E256,0,1)</f>
        <v>0</v>
      </c>
      <c r="L256" s="90">
        <f>IF(SUM($F256:K256)=$E256,0,1)</f>
        <v>0</v>
      </c>
      <c r="M256" s="90">
        <f>IF(SUM($F256:L256)=$E256,0,1)</f>
        <v>0</v>
      </c>
      <c r="N256" s="90">
        <f>IF(SUM($F256:M256)=$E256,0,1)</f>
        <v>0</v>
      </c>
      <c r="O256" s="90">
        <f>IF(SUM($F256:N256)=$E256,0,1)</f>
        <v>0</v>
      </c>
      <c r="P256" s="90">
        <f>IF(SUM($F256:O256)=$E256,0,1)</f>
        <v>0</v>
      </c>
      <c r="Q256" s="90">
        <f>IF(SUM($F256:P256)=$E256,0,1)</f>
        <v>0</v>
      </c>
      <c r="R256" s="90">
        <f>IF(SUM($F256:Q256)=$E256,0,1)</f>
        <v>0</v>
      </c>
      <c r="S256" s="90">
        <f>IF(SUM($F256:R256)=$E256,0,1)</f>
        <v>0</v>
      </c>
      <c r="T256" s="90">
        <f>IF(SUM($F256:S256)=$E256,0,1)</f>
        <v>0</v>
      </c>
    </row>
    <row r="257" spans="4:20" hidden="1" outlineLevel="1">
      <c r="D257" s="90">
        <v>13</v>
      </c>
      <c r="E257" s="90">
        <v>2</v>
      </c>
      <c r="F257" s="90">
        <f t="shared" si="6"/>
        <v>1</v>
      </c>
      <c r="G257" s="90">
        <f>IF(SUM($F257:F257)=$E257,0,1)</f>
        <v>1</v>
      </c>
      <c r="H257" s="90">
        <f>IF(SUM($F257:G257)=$E257,0,1)</f>
        <v>0</v>
      </c>
      <c r="I257" s="90">
        <f>IF(SUM($F257:H257)=$E257,0,1)</f>
        <v>0</v>
      </c>
      <c r="J257" s="90">
        <f>IF(SUM($F257:I257)=$E257,0,1)</f>
        <v>0</v>
      </c>
      <c r="K257" s="90">
        <f>IF(SUM($F257:J257)=$E257,0,1)</f>
        <v>0</v>
      </c>
      <c r="L257" s="90">
        <f>IF(SUM($F257:K257)=$E257,0,1)</f>
        <v>0</v>
      </c>
      <c r="M257" s="90">
        <f>IF(SUM($F257:L257)=$E257,0,1)</f>
        <v>0</v>
      </c>
      <c r="N257" s="90">
        <f>IF(SUM($F257:M257)=$E257,0,1)</f>
        <v>0</v>
      </c>
      <c r="O257" s="90">
        <f>IF(SUM($F257:N257)=$E257,0,1)</f>
        <v>0</v>
      </c>
      <c r="P257" s="90">
        <f>IF(SUM($F257:O257)=$E257,0,1)</f>
        <v>0</v>
      </c>
      <c r="Q257" s="90">
        <f>IF(SUM($F257:P257)=$E257,0,1)</f>
        <v>0</v>
      </c>
      <c r="R257" s="90">
        <f>IF(SUM($F257:Q257)=$E257,0,1)</f>
        <v>0</v>
      </c>
      <c r="S257" s="90">
        <f>IF(SUM($F257:R257)=$E257,0,1)</f>
        <v>0</v>
      </c>
      <c r="T257" s="90">
        <f>IF(SUM($F257:S257)=$E257,0,1)</f>
        <v>0</v>
      </c>
    </row>
    <row r="258" spans="4:20" hidden="1" outlineLevel="1">
      <c r="D258" s="90">
        <v>14</v>
      </c>
      <c r="E258" s="90">
        <v>2</v>
      </c>
      <c r="F258" s="90">
        <f t="shared" si="6"/>
        <v>1</v>
      </c>
      <c r="G258" s="90">
        <f>IF(SUM($F258:F258)=$E258,0,1)</f>
        <v>1</v>
      </c>
      <c r="H258" s="90">
        <f>IF(SUM($F258:G258)=$E258,0,1)</f>
        <v>0</v>
      </c>
      <c r="I258" s="90">
        <f>IF(SUM($F258:H258)=$E258,0,1)</f>
        <v>0</v>
      </c>
      <c r="J258" s="90">
        <f>IF(SUM($F258:I258)=$E258,0,1)</f>
        <v>0</v>
      </c>
      <c r="K258" s="90">
        <f>IF(SUM($F258:J258)=$E258,0,1)</f>
        <v>0</v>
      </c>
      <c r="L258" s="90">
        <f>IF(SUM($F258:K258)=$E258,0,1)</f>
        <v>0</v>
      </c>
      <c r="M258" s="90">
        <f>IF(SUM($F258:L258)=$E258,0,1)</f>
        <v>0</v>
      </c>
      <c r="N258" s="90">
        <f>IF(SUM($F258:M258)=$E258,0,1)</f>
        <v>0</v>
      </c>
      <c r="O258" s="90">
        <f>IF(SUM($F258:N258)=$E258,0,1)</f>
        <v>0</v>
      </c>
      <c r="P258" s="90">
        <f>IF(SUM($F258:O258)=$E258,0,1)</f>
        <v>0</v>
      </c>
      <c r="Q258" s="90">
        <f>IF(SUM($F258:P258)=$E258,0,1)</f>
        <v>0</v>
      </c>
      <c r="R258" s="90">
        <f>IF(SUM($F258:Q258)=$E258,0,1)</f>
        <v>0</v>
      </c>
      <c r="S258" s="90">
        <f>IF(SUM($F258:R258)=$E258,0,1)</f>
        <v>0</v>
      </c>
      <c r="T258" s="90">
        <f>IF(SUM($F258:S258)=$E258,0,1)</f>
        <v>0</v>
      </c>
    </row>
    <row r="259" spans="4:20" hidden="1" outlineLevel="1">
      <c r="D259" s="90">
        <v>15</v>
      </c>
      <c r="E259" s="90">
        <v>0</v>
      </c>
      <c r="F259" s="90">
        <f t="shared" si="6"/>
        <v>0</v>
      </c>
      <c r="G259" s="90">
        <f>IF(SUM($F259:F259)=$E259,0,1)</f>
        <v>0</v>
      </c>
      <c r="H259" s="90">
        <f>IF(SUM($F259:G259)=$E259,0,1)</f>
        <v>0</v>
      </c>
      <c r="I259" s="90">
        <f>IF(SUM($F259:H259)=$E259,0,1)</f>
        <v>0</v>
      </c>
      <c r="J259" s="90">
        <f>IF(SUM($F259:I259)=$E259,0,1)</f>
        <v>0</v>
      </c>
      <c r="K259" s="90">
        <f>IF(SUM($F259:J259)=$E259,0,1)</f>
        <v>0</v>
      </c>
      <c r="L259" s="90">
        <f>IF(SUM($F259:K259)=$E259,0,1)</f>
        <v>0</v>
      </c>
      <c r="M259" s="90">
        <f>IF(SUM($F259:L259)=$E259,0,1)</f>
        <v>0</v>
      </c>
      <c r="N259" s="90">
        <f>IF(SUM($F259:M259)=$E259,0,1)</f>
        <v>0</v>
      </c>
      <c r="O259" s="90">
        <f>IF(SUM($F259:N259)=$E259,0,1)</f>
        <v>0</v>
      </c>
      <c r="P259" s="90">
        <f>IF(SUM($F259:O259)=$E259,0,1)</f>
        <v>0</v>
      </c>
      <c r="Q259" s="90">
        <f>IF(SUM($F259:P259)=$E259,0,1)</f>
        <v>0</v>
      </c>
      <c r="R259" s="90">
        <f>IF(SUM($F259:Q259)=$E259,0,1)</f>
        <v>0</v>
      </c>
      <c r="S259" s="90">
        <f>IF(SUM($F259:R259)=$E259,0,1)</f>
        <v>0</v>
      </c>
      <c r="T259" s="90">
        <f>IF(SUM($F259:S259)=$E259,0,1)</f>
        <v>0</v>
      </c>
    </row>
    <row r="260" spans="4:20" hidden="1" outlineLevel="1">
      <c r="D260" s="90">
        <v>16</v>
      </c>
      <c r="E260" s="90">
        <v>0</v>
      </c>
      <c r="F260" s="90">
        <f t="shared" si="6"/>
        <v>0</v>
      </c>
      <c r="G260" s="90">
        <f>IF(SUM($F260:F260)=$E260,0,1)</f>
        <v>0</v>
      </c>
      <c r="H260" s="90">
        <f>IF(SUM($F260:G260)=$E260,0,1)</f>
        <v>0</v>
      </c>
      <c r="I260" s="90">
        <f>IF(SUM($F260:H260)=$E260,0,1)</f>
        <v>0</v>
      </c>
      <c r="J260" s="90">
        <f>IF(SUM($F260:I260)=$E260,0,1)</f>
        <v>0</v>
      </c>
      <c r="K260" s="90">
        <f>IF(SUM($F260:J260)=$E260,0,1)</f>
        <v>0</v>
      </c>
      <c r="L260" s="90">
        <f>IF(SUM($F260:K260)=$E260,0,1)</f>
        <v>0</v>
      </c>
      <c r="M260" s="90">
        <f>IF(SUM($F260:L260)=$E260,0,1)</f>
        <v>0</v>
      </c>
      <c r="N260" s="90">
        <f>IF(SUM($F260:M260)=$E260,0,1)</f>
        <v>0</v>
      </c>
      <c r="O260" s="90">
        <f>IF(SUM($F260:N260)=$E260,0,1)</f>
        <v>0</v>
      </c>
      <c r="P260" s="90">
        <f>IF(SUM($F260:O260)=$E260,0,1)</f>
        <v>0</v>
      </c>
      <c r="Q260" s="90">
        <f>IF(SUM($F260:P260)=$E260,0,1)</f>
        <v>0</v>
      </c>
      <c r="R260" s="90">
        <f>IF(SUM($F260:Q260)=$E260,0,1)</f>
        <v>0</v>
      </c>
      <c r="S260" s="90">
        <f>IF(SUM($F260:R260)=$E260,0,1)</f>
        <v>0</v>
      </c>
      <c r="T260" s="90">
        <f>IF(SUM($F260:S260)=$E260,0,1)</f>
        <v>0</v>
      </c>
    </row>
    <row r="261" spans="4:20" hidden="1" outlineLevel="1">
      <c r="D261" s="90">
        <v>17</v>
      </c>
      <c r="E261" s="90">
        <v>0</v>
      </c>
      <c r="F261" s="90">
        <f t="shared" si="6"/>
        <v>0</v>
      </c>
      <c r="G261" s="90">
        <f>IF(SUM($F261:F261)=$E261,0,1)</f>
        <v>0</v>
      </c>
      <c r="H261" s="90">
        <f>IF(SUM($F261:G261)=$E261,0,1)</f>
        <v>0</v>
      </c>
      <c r="I261" s="90">
        <f>IF(SUM($F261:H261)=$E261,0,1)</f>
        <v>0</v>
      </c>
      <c r="J261" s="90">
        <f>IF(SUM($F261:I261)=$E261,0,1)</f>
        <v>0</v>
      </c>
      <c r="K261" s="90">
        <f>IF(SUM($F261:J261)=$E261,0,1)</f>
        <v>0</v>
      </c>
      <c r="L261" s="90">
        <f>IF(SUM($F261:K261)=$E261,0,1)</f>
        <v>0</v>
      </c>
      <c r="M261" s="90">
        <f>IF(SUM($F261:L261)=$E261,0,1)</f>
        <v>0</v>
      </c>
      <c r="N261" s="90">
        <f>IF(SUM($F261:M261)=$E261,0,1)</f>
        <v>0</v>
      </c>
      <c r="O261" s="90">
        <f>IF(SUM($F261:N261)=$E261,0,1)</f>
        <v>0</v>
      </c>
      <c r="P261" s="90">
        <f>IF(SUM($F261:O261)=$E261,0,1)</f>
        <v>0</v>
      </c>
      <c r="Q261" s="90">
        <f>IF(SUM($F261:P261)=$E261,0,1)</f>
        <v>0</v>
      </c>
      <c r="R261" s="90">
        <f>IF(SUM($F261:Q261)=$E261,0,1)</f>
        <v>0</v>
      </c>
      <c r="S261" s="90">
        <f>IF(SUM($F261:R261)=$E261,0,1)</f>
        <v>0</v>
      </c>
      <c r="T261" s="90">
        <f>IF(SUM($F261:S261)=$E261,0,1)</f>
        <v>0</v>
      </c>
    </row>
    <row r="262" spans="4:20" hidden="1" outlineLevel="1">
      <c r="D262" s="90">
        <v>18</v>
      </c>
      <c r="E262" s="90">
        <v>0</v>
      </c>
      <c r="F262" s="90">
        <f t="shared" si="6"/>
        <v>0</v>
      </c>
      <c r="G262" s="90">
        <f>IF(SUM($F262:F262)=$E262,0,1)</f>
        <v>0</v>
      </c>
      <c r="H262" s="90">
        <f>IF(SUM($F262:G262)=$E262,0,1)</f>
        <v>0</v>
      </c>
      <c r="I262" s="90">
        <f>IF(SUM($F262:H262)=$E262,0,1)</f>
        <v>0</v>
      </c>
      <c r="J262" s="90">
        <f>IF(SUM($F262:I262)=$E262,0,1)</f>
        <v>0</v>
      </c>
      <c r="K262" s="90">
        <f>IF(SUM($F262:J262)=$E262,0,1)</f>
        <v>0</v>
      </c>
      <c r="L262" s="90">
        <f>IF(SUM($F262:K262)=$E262,0,1)</f>
        <v>0</v>
      </c>
      <c r="M262" s="90">
        <f>IF(SUM($F262:L262)=$E262,0,1)</f>
        <v>0</v>
      </c>
      <c r="N262" s="90">
        <f>IF(SUM($F262:M262)=$E262,0,1)</f>
        <v>0</v>
      </c>
      <c r="O262" s="90">
        <f>IF(SUM($F262:N262)=$E262,0,1)</f>
        <v>0</v>
      </c>
      <c r="P262" s="90">
        <f>IF(SUM($F262:O262)=$E262,0,1)</f>
        <v>0</v>
      </c>
      <c r="Q262" s="90">
        <f>IF(SUM($F262:P262)=$E262,0,1)</f>
        <v>0</v>
      </c>
      <c r="R262" s="90">
        <f>IF(SUM($F262:Q262)=$E262,0,1)</f>
        <v>0</v>
      </c>
      <c r="S262" s="90">
        <f>IF(SUM($F262:R262)=$E262,0,1)</f>
        <v>0</v>
      </c>
      <c r="T262" s="90">
        <f>IF(SUM($F262:S262)=$E262,0,1)</f>
        <v>0</v>
      </c>
    </row>
    <row r="263" spans="4:20" hidden="1" outlineLevel="1">
      <c r="D263" s="90">
        <v>19</v>
      </c>
      <c r="E263" s="90">
        <v>2</v>
      </c>
      <c r="F263" s="90">
        <f t="shared" si="6"/>
        <v>1</v>
      </c>
      <c r="G263" s="90">
        <f>IF(SUM($F263:F263)=$E263,0,1)</f>
        <v>1</v>
      </c>
      <c r="H263" s="90">
        <f>IF(SUM($F263:G263)=$E263,0,1)</f>
        <v>0</v>
      </c>
      <c r="I263" s="90">
        <f>IF(SUM($F263:H263)=$E263,0,1)</f>
        <v>0</v>
      </c>
      <c r="J263" s="90">
        <f>IF(SUM($F263:I263)=$E263,0,1)</f>
        <v>0</v>
      </c>
      <c r="K263" s="90">
        <f>IF(SUM($F263:J263)=$E263,0,1)</f>
        <v>0</v>
      </c>
      <c r="L263" s="90">
        <f>IF(SUM($F263:K263)=$E263,0,1)</f>
        <v>0</v>
      </c>
      <c r="M263" s="90">
        <f>IF(SUM($F263:L263)=$E263,0,1)</f>
        <v>0</v>
      </c>
      <c r="N263" s="90">
        <f>IF(SUM($F263:M263)=$E263,0,1)</f>
        <v>0</v>
      </c>
      <c r="O263" s="90">
        <f>IF(SUM($F263:N263)=$E263,0,1)</f>
        <v>0</v>
      </c>
      <c r="P263" s="90">
        <f>IF(SUM($F263:O263)=$E263,0,1)</f>
        <v>0</v>
      </c>
      <c r="Q263" s="90">
        <f>IF(SUM($F263:P263)=$E263,0,1)</f>
        <v>0</v>
      </c>
      <c r="R263" s="90">
        <f>IF(SUM($F263:Q263)=$E263,0,1)</f>
        <v>0</v>
      </c>
      <c r="S263" s="90">
        <f>IF(SUM($F263:R263)=$E263,0,1)</f>
        <v>0</v>
      </c>
      <c r="T263" s="90">
        <f>IF(SUM($F263:S263)=$E263,0,1)</f>
        <v>0</v>
      </c>
    </row>
    <row r="264" spans="4:20" hidden="1" outlineLevel="1">
      <c r="D264" s="90">
        <v>20</v>
      </c>
      <c r="E264" s="90">
        <v>2</v>
      </c>
      <c r="F264" s="90">
        <f t="shared" si="6"/>
        <v>1</v>
      </c>
      <c r="G264" s="90">
        <f>IF(SUM($F264:F264)=$E264,0,1)</f>
        <v>1</v>
      </c>
      <c r="H264" s="90">
        <f>IF(SUM($F264:G264)=$E264,0,1)</f>
        <v>0</v>
      </c>
      <c r="I264" s="90">
        <f>IF(SUM($F264:H264)=$E264,0,1)</f>
        <v>0</v>
      </c>
      <c r="J264" s="90">
        <f>IF(SUM($F264:I264)=$E264,0,1)</f>
        <v>0</v>
      </c>
      <c r="K264" s="90">
        <f>IF(SUM($F264:J264)=$E264,0,1)</f>
        <v>0</v>
      </c>
      <c r="L264" s="90">
        <f>IF(SUM($F264:K264)=$E264,0,1)</f>
        <v>0</v>
      </c>
      <c r="M264" s="90">
        <f>IF(SUM($F264:L264)=$E264,0,1)</f>
        <v>0</v>
      </c>
      <c r="N264" s="90">
        <f>IF(SUM($F264:M264)=$E264,0,1)</f>
        <v>0</v>
      </c>
      <c r="O264" s="90">
        <f>IF(SUM($F264:N264)=$E264,0,1)</f>
        <v>0</v>
      </c>
      <c r="P264" s="90">
        <f>IF(SUM($F264:O264)=$E264,0,1)</f>
        <v>0</v>
      </c>
      <c r="Q264" s="90">
        <f>IF(SUM($F264:P264)=$E264,0,1)</f>
        <v>0</v>
      </c>
      <c r="R264" s="90">
        <f>IF(SUM($F264:Q264)=$E264,0,1)</f>
        <v>0</v>
      </c>
      <c r="S264" s="90">
        <f>IF(SUM($F264:R264)=$E264,0,1)</f>
        <v>0</v>
      </c>
      <c r="T264" s="90">
        <f>IF(SUM($F264:S264)=$E264,0,1)</f>
        <v>0</v>
      </c>
    </row>
    <row r="265" spans="4:20" hidden="1" outlineLevel="1">
      <c r="D265" s="90">
        <v>21</v>
      </c>
      <c r="E265" s="90">
        <v>0</v>
      </c>
      <c r="F265" s="90">
        <f t="shared" si="6"/>
        <v>0</v>
      </c>
      <c r="G265" s="90">
        <f>IF(SUM($F265:F265)=$E265,0,1)</f>
        <v>0</v>
      </c>
      <c r="H265" s="90">
        <f>IF(SUM($F265:G265)=$E265,0,1)</f>
        <v>0</v>
      </c>
      <c r="I265" s="90">
        <f>IF(SUM($F265:H265)=$E265,0,1)</f>
        <v>0</v>
      </c>
      <c r="J265" s="90">
        <f>IF(SUM($F265:I265)=$E265,0,1)</f>
        <v>0</v>
      </c>
      <c r="K265" s="90">
        <f>IF(SUM($F265:J265)=$E265,0,1)</f>
        <v>0</v>
      </c>
      <c r="L265" s="90">
        <f>IF(SUM($F265:K265)=$E265,0,1)</f>
        <v>0</v>
      </c>
      <c r="M265" s="90">
        <f>IF(SUM($F265:L265)=$E265,0,1)</f>
        <v>0</v>
      </c>
      <c r="N265" s="90">
        <f>IF(SUM($F265:M265)=$E265,0,1)</f>
        <v>0</v>
      </c>
      <c r="O265" s="90">
        <f>IF(SUM($F265:N265)=$E265,0,1)</f>
        <v>0</v>
      </c>
      <c r="P265" s="90">
        <f>IF(SUM($F265:O265)=$E265,0,1)</f>
        <v>0</v>
      </c>
      <c r="Q265" s="90">
        <f>IF(SUM($F265:P265)=$E265,0,1)</f>
        <v>0</v>
      </c>
      <c r="R265" s="90">
        <f>IF(SUM($F265:Q265)=$E265,0,1)</f>
        <v>0</v>
      </c>
      <c r="S265" s="90">
        <f>IF(SUM($F265:R265)=$E265,0,1)</f>
        <v>0</v>
      </c>
      <c r="T265" s="90">
        <f>IF(SUM($F265:S265)=$E265,0,1)</f>
        <v>0</v>
      </c>
    </row>
    <row r="266" spans="4:20" hidden="1" outlineLevel="1">
      <c r="D266" s="90">
        <v>22</v>
      </c>
      <c r="E266" s="90">
        <v>2</v>
      </c>
      <c r="F266" s="90">
        <f t="shared" si="6"/>
        <v>1</v>
      </c>
      <c r="G266" s="90">
        <f>IF(SUM($F266:F266)=$E266,0,1)</f>
        <v>1</v>
      </c>
      <c r="H266" s="90">
        <f>IF(SUM($F266:G266)=$E266,0,1)</f>
        <v>0</v>
      </c>
      <c r="I266" s="90">
        <f>IF(SUM($F266:H266)=$E266,0,1)</f>
        <v>0</v>
      </c>
      <c r="J266" s="90">
        <f>IF(SUM($F266:I266)=$E266,0,1)</f>
        <v>0</v>
      </c>
      <c r="K266" s="90">
        <f>IF(SUM($F266:J266)=$E266,0,1)</f>
        <v>0</v>
      </c>
      <c r="L266" s="90">
        <f>IF(SUM($F266:K266)=$E266,0,1)</f>
        <v>0</v>
      </c>
      <c r="M266" s="90">
        <f>IF(SUM($F266:L266)=$E266,0,1)</f>
        <v>0</v>
      </c>
      <c r="N266" s="90">
        <f>IF(SUM($F266:M266)=$E266,0,1)</f>
        <v>0</v>
      </c>
      <c r="O266" s="90">
        <f>IF(SUM($F266:N266)=$E266,0,1)</f>
        <v>0</v>
      </c>
      <c r="P266" s="90">
        <f>IF(SUM($F266:O266)=$E266,0,1)</f>
        <v>0</v>
      </c>
      <c r="Q266" s="90">
        <f>IF(SUM($F266:P266)=$E266,0,1)</f>
        <v>0</v>
      </c>
      <c r="R266" s="90">
        <f>IF(SUM($F266:Q266)=$E266,0,1)</f>
        <v>0</v>
      </c>
      <c r="S266" s="90">
        <f>IF(SUM($F266:R266)=$E266,0,1)</f>
        <v>0</v>
      </c>
      <c r="T266" s="90">
        <f>IF(SUM($F266:S266)=$E266,0,1)</f>
        <v>0</v>
      </c>
    </row>
    <row r="267" spans="4:20" hidden="1" outlineLevel="1">
      <c r="D267" s="90">
        <v>23</v>
      </c>
      <c r="E267" s="90">
        <v>2</v>
      </c>
      <c r="F267" s="90">
        <f t="shared" si="6"/>
        <v>1</v>
      </c>
      <c r="G267" s="90">
        <f>IF(SUM($F267:F267)=$E267,0,1)</f>
        <v>1</v>
      </c>
      <c r="H267" s="90">
        <f>IF(SUM($F267:G267)=$E267,0,1)</f>
        <v>0</v>
      </c>
      <c r="I267" s="90">
        <f>IF(SUM($F267:H267)=$E267,0,1)</f>
        <v>0</v>
      </c>
      <c r="J267" s="90">
        <f>IF(SUM($F267:I267)=$E267,0,1)</f>
        <v>0</v>
      </c>
      <c r="K267" s="90">
        <f>IF(SUM($F267:J267)=$E267,0,1)</f>
        <v>0</v>
      </c>
      <c r="L267" s="90">
        <f>IF(SUM($F267:K267)=$E267,0,1)</f>
        <v>0</v>
      </c>
      <c r="M267" s="90">
        <f>IF(SUM($F267:L267)=$E267,0,1)</f>
        <v>0</v>
      </c>
      <c r="N267" s="90">
        <f>IF(SUM($F267:M267)=$E267,0,1)</f>
        <v>0</v>
      </c>
      <c r="O267" s="90">
        <f>IF(SUM($F267:N267)=$E267,0,1)</f>
        <v>0</v>
      </c>
      <c r="P267" s="90">
        <f>IF(SUM($F267:O267)=$E267,0,1)</f>
        <v>0</v>
      </c>
      <c r="Q267" s="90">
        <f>IF(SUM($F267:P267)=$E267,0,1)</f>
        <v>0</v>
      </c>
      <c r="R267" s="90">
        <f>IF(SUM($F267:Q267)=$E267,0,1)</f>
        <v>0</v>
      </c>
      <c r="S267" s="90">
        <f>IF(SUM($F267:R267)=$E267,0,1)</f>
        <v>0</v>
      </c>
      <c r="T267" s="90">
        <f>IF(SUM($F267:S267)=$E267,0,1)</f>
        <v>0</v>
      </c>
    </row>
    <row r="268" spans="4:20" hidden="1" outlineLevel="1">
      <c r="D268" s="90">
        <v>24</v>
      </c>
      <c r="E268" s="90">
        <v>0</v>
      </c>
      <c r="F268" s="90">
        <f t="shared" si="6"/>
        <v>0</v>
      </c>
      <c r="G268" s="90">
        <f>IF(SUM($F268:F268)=$E268,0,1)</f>
        <v>0</v>
      </c>
      <c r="H268" s="90">
        <f>IF(SUM($F268:G268)=$E268,0,1)</f>
        <v>0</v>
      </c>
      <c r="I268" s="90">
        <f>IF(SUM($F268:H268)=$E268,0,1)</f>
        <v>0</v>
      </c>
      <c r="J268" s="90">
        <f>IF(SUM($F268:I268)=$E268,0,1)</f>
        <v>0</v>
      </c>
      <c r="K268" s="90">
        <f>IF(SUM($F268:J268)=$E268,0,1)</f>
        <v>0</v>
      </c>
      <c r="L268" s="90">
        <f>IF(SUM($F268:K268)=$E268,0,1)</f>
        <v>0</v>
      </c>
      <c r="M268" s="90">
        <f>IF(SUM($F268:L268)=$E268,0,1)</f>
        <v>0</v>
      </c>
      <c r="N268" s="90">
        <f>IF(SUM($F268:M268)=$E268,0,1)</f>
        <v>0</v>
      </c>
      <c r="O268" s="90">
        <f>IF(SUM($F268:N268)=$E268,0,1)</f>
        <v>0</v>
      </c>
      <c r="P268" s="90">
        <f>IF(SUM($F268:O268)=$E268,0,1)</f>
        <v>0</v>
      </c>
      <c r="Q268" s="90">
        <f>IF(SUM($F268:P268)=$E268,0,1)</f>
        <v>0</v>
      </c>
      <c r="R268" s="90">
        <f>IF(SUM($F268:Q268)=$E268,0,1)</f>
        <v>0</v>
      </c>
      <c r="S268" s="90">
        <f>IF(SUM($F268:R268)=$E268,0,1)</f>
        <v>0</v>
      </c>
      <c r="T268" s="90">
        <f>IF(SUM($F268:S268)=$E268,0,1)</f>
        <v>0</v>
      </c>
    </row>
    <row r="269" spans="4:20" hidden="1" outlineLevel="1">
      <c r="D269" s="90">
        <v>25</v>
      </c>
      <c r="E269" s="90">
        <v>0</v>
      </c>
      <c r="F269" s="90">
        <f t="shared" si="6"/>
        <v>0</v>
      </c>
      <c r="G269" s="90">
        <f>IF(SUM($F269:F269)=$E269,0,1)</f>
        <v>0</v>
      </c>
      <c r="H269" s="90">
        <f>IF(SUM($F269:G269)=$E269,0,1)</f>
        <v>0</v>
      </c>
      <c r="I269" s="90">
        <f>IF(SUM($F269:H269)=$E269,0,1)</f>
        <v>0</v>
      </c>
      <c r="J269" s="90">
        <f>IF(SUM($F269:I269)=$E269,0,1)</f>
        <v>0</v>
      </c>
      <c r="K269" s="90">
        <f>IF(SUM($F269:J269)=$E269,0,1)</f>
        <v>0</v>
      </c>
      <c r="L269" s="90">
        <f>IF(SUM($F269:K269)=$E269,0,1)</f>
        <v>0</v>
      </c>
      <c r="M269" s="90">
        <f>IF(SUM($F269:L269)=$E269,0,1)</f>
        <v>0</v>
      </c>
      <c r="N269" s="90">
        <f>IF(SUM($F269:M269)=$E269,0,1)</f>
        <v>0</v>
      </c>
      <c r="O269" s="90">
        <f>IF(SUM($F269:N269)=$E269,0,1)</f>
        <v>0</v>
      </c>
      <c r="P269" s="90">
        <f>IF(SUM($F269:O269)=$E269,0,1)</f>
        <v>0</v>
      </c>
      <c r="Q269" s="90">
        <f>IF(SUM($F269:P269)=$E269,0,1)</f>
        <v>0</v>
      </c>
      <c r="R269" s="90">
        <f>IF(SUM($F269:Q269)=$E269,0,1)</f>
        <v>0</v>
      </c>
      <c r="S269" s="90">
        <f>IF(SUM($F269:R269)=$E269,0,1)</f>
        <v>0</v>
      </c>
      <c r="T269" s="90">
        <f>IF(SUM($F269:S269)=$E269,0,1)</f>
        <v>0</v>
      </c>
    </row>
    <row r="270" spans="4:20" hidden="1" outlineLevel="1">
      <c r="D270" s="90">
        <v>26</v>
      </c>
      <c r="E270" s="90">
        <v>0</v>
      </c>
      <c r="F270" s="90">
        <f t="shared" si="6"/>
        <v>0</v>
      </c>
      <c r="G270" s="90">
        <f>IF(SUM($F270:F270)=$E270,0,1)</f>
        <v>0</v>
      </c>
      <c r="H270" s="90">
        <f>IF(SUM($F270:G270)=$E270,0,1)</f>
        <v>0</v>
      </c>
      <c r="I270" s="90">
        <f>IF(SUM($F270:H270)=$E270,0,1)</f>
        <v>0</v>
      </c>
      <c r="J270" s="90">
        <f>IF(SUM($F270:I270)=$E270,0,1)</f>
        <v>0</v>
      </c>
      <c r="K270" s="90">
        <f>IF(SUM($F270:J270)=$E270,0,1)</f>
        <v>0</v>
      </c>
      <c r="L270" s="90">
        <f>IF(SUM($F270:K270)=$E270,0,1)</f>
        <v>0</v>
      </c>
      <c r="M270" s="90">
        <f>IF(SUM($F270:L270)=$E270,0,1)</f>
        <v>0</v>
      </c>
      <c r="N270" s="90">
        <f>IF(SUM($F270:M270)=$E270,0,1)</f>
        <v>0</v>
      </c>
      <c r="O270" s="90">
        <f>IF(SUM($F270:N270)=$E270,0,1)</f>
        <v>0</v>
      </c>
      <c r="P270" s="90">
        <f>IF(SUM($F270:O270)=$E270,0,1)</f>
        <v>0</v>
      </c>
      <c r="Q270" s="90">
        <f>IF(SUM($F270:P270)=$E270,0,1)</f>
        <v>0</v>
      </c>
      <c r="R270" s="90">
        <f>IF(SUM($F270:Q270)=$E270,0,1)</f>
        <v>0</v>
      </c>
      <c r="S270" s="90">
        <f>IF(SUM($F270:R270)=$E270,0,1)</f>
        <v>0</v>
      </c>
      <c r="T270" s="90">
        <f>IF(SUM($F270:S270)=$E270,0,1)</f>
        <v>0</v>
      </c>
    </row>
    <row r="271" spans="4:20" hidden="1" outlineLevel="1">
      <c r="D271" s="90">
        <v>27</v>
      </c>
      <c r="E271" s="90">
        <v>0</v>
      </c>
      <c r="F271" s="90">
        <f t="shared" si="6"/>
        <v>0</v>
      </c>
      <c r="G271" s="90">
        <f>IF(SUM($F271:F271)=$E271,0,1)</f>
        <v>0</v>
      </c>
      <c r="H271" s="90">
        <f>IF(SUM($F271:G271)=$E271,0,1)</f>
        <v>0</v>
      </c>
      <c r="I271" s="90">
        <f>IF(SUM($F271:H271)=$E271,0,1)</f>
        <v>0</v>
      </c>
      <c r="J271" s="90">
        <f>IF(SUM($F271:I271)=$E271,0,1)</f>
        <v>0</v>
      </c>
      <c r="K271" s="90">
        <f>IF(SUM($F271:J271)=$E271,0,1)</f>
        <v>0</v>
      </c>
      <c r="L271" s="90">
        <f>IF(SUM($F271:K271)=$E271,0,1)</f>
        <v>0</v>
      </c>
      <c r="M271" s="90">
        <f>IF(SUM($F271:L271)=$E271,0,1)</f>
        <v>0</v>
      </c>
      <c r="N271" s="90">
        <f>IF(SUM($F271:M271)=$E271,0,1)</f>
        <v>0</v>
      </c>
      <c r="O271" s="90">
        <f>IF(SUM($F271:N271)=$E271,0,1)</f>
        <v>0</v>
      </c>
      <c r="P271" s="90">
        <f>IF(SUM($F271:O271)=$E271,0,1)</f>
        <v>0</v>
      </c>
      <c r="Q271" s="90">
        <f>IF(SUM($F271:P271)=$E271,0,1)</f>
        <v>0</v>
      </c>
      <c r="R271" s="90">
        <f>IF(SUM($F271:Q271)=$E271,0,1)</f>
        <v>0</v>
      </c>
      <c r="S271" s="90">
        <f>IF(SUM($F271:R271)=$E271,0,1)</f>
        <v>0</v>
      </c>
      <c r="T271" s="90">
        <f>IF(SUM($F271:S271)=$E271,0,1)</f>
        <v>0</v>
      </c>
    </row>
    <row r="272" spans="4:20" hidden="1" outlineLevel="1">
      <c r="D272" s="90">
        <v>28</v>
      </c>
      <c r="E272" s="90">
        <v>0</v>
      </c>
      <c r="F272" s="90">
        <f t="shared" si="6"/>
        <v>0</v>
      </c>
      <c r="G272" s="90">
        <f>IF(SUM($F272:F272)=$E272,0,1)</f>
        <v>0</v>
      </c>
      <c r="H272" s="90">
        <f>IF(SUM($F272:G272)=$E272,0,1)</f>
        <v>0</v>
      </c>
      <c r="I272" s="90">
        <f>IF(SUM($F272:H272)=$E272,0,1)</f>
        <v>0</v>
      </c>
      <c r="J272" s="90">
        <f>IF(SUM($F272:I272)=$E272,0,1)</f>
        <v>0</v>
      </c>
      <c r="K272" s="90">
        <f>IF(SUM($F272:J272)=$E272,0,1)</f>
        <v>0</v>
      </c>
      <c r="L272" s="90">
        <f>IF(SUM($F272:K272)=$E272,0,1)</f>
        <v>0</v>
      </c>
      <c r="M272" s="90">
        <f>IF(SUM($F272:L272)=$E272,0,1)</f>
        <v>0</v>
      </c>
      <c r="N272" s="90">
        <f>IF(SUM($F272:M272)=$E272,0,1)</f>
        <v>0</v>
      </c>
      <c r="O272" s="90">
        <f>IF(SUM($F272:N272)=$E272,0,1)</f>
        <v>0</v>
      </c>
      <c r="P272" s="90">
        <f>IF(SUM($F272:O272)=$E272,0,1)</f>
        <v>0</v>
      </c>
      <c r="Q272" s="90">
        <f>IF(SUM($F272:P272)=$E272,0,1)</f>
        <v>0</v>
      </c>
      <c r="R272" s="90">
        <f>IF(SUM($F272:Q272)=$E272,0,1)</f>
        <v>0</v>
      </c>
      <c r="S272" s="90">
        <f>IF(SUM($F272:R272)=$E272,0,1)</f>
        <v>0</v>
      </c>
      <c r="T272" s="90">
        <f>IF(SUM($F272:S272)=$E272,0,1)</f>
        <v>0</v>
      </c>
    </row>
    <row r="273" spans="4:20" hidden="1" outlineLevel="1">
      <c r="D273" s="90">
        <v>29</v>
      </c>
      <c r="E273" s="90">
        <v>0</v>
      </c>
      <c r="F273" s="90">
        <f t="shared" si="6"/>
        <v>0</v>
      </c>
      <c r="G273" s="90">
        <f>IF(SUM($F273:F273)=$E273,0,1)</f>
        <v>0</v>
      </c>
      <c r="H273" s="90">
        <f>IF(SUM($F273:G273)=$E273,0,1)</f>
        <v>0</v>
      </c>
      <c r="I273" s="90">
        <f>IF(SUM($F273:H273)=$E273,0,1)</f>
        <v>0</v>
      </c>
      <c r="J273" s="90">
        <f>IF(SUM($F273:I273)=$E273,0,1)</f>
        <v>0</v>
      </c>
      <c r="K273" s="90">
        <f>IF(SUM($F273:J273)=$E273,0,1)</f>
        <v>0</v>
      </c>
      <c r="L273" s="90">
        <f>IF(SUM($F273:K273)=$E273,0,1)</f>
        <v>0</v>
      </c>
      <c r="M273" s="90">
        <f>IF(SUM($F273:L273)=$E273,0,1)</f>
        <v>0</v>
      </c>
      <c r="N273" s="90">
        <f>IF(SUM($F273:M273)=$E273,0,1)</f>
        <v>0</v>
      </c>
      <c r="O273" s="90">
        <f>IF(SUM($F273:N273)=$E273,0,1)</f>
        <v>0</v>
      </c>
      <c r="P273" s="90">
        <f>IF(SUM($F273:O273)=$E273,0,1)</f>
        <v>0</v>
      </c>
      <c r="Q273" s="90">
        <f>IF(SUM($F273:P273)=$E273,0,1)</f>
        <v>0</v>
      </c>
      <c r="R273" s="90">
        <f>IF(SUM($F273:Q273)=$E273,0,1)</f>
        <v>0</v>
      </c>
      <c r="S273" s="90">
        <f>IF(SUM($F273:R273)=$E273,0,1)</f>
        <v>0</v>
      </c>
      <c r="T273" s="90">
        <f>IF(SUM($F273:S273)=$E273,0,1)</f>
        <v>0</v>
      </c>
    </row>
    <row r="274" spans="4:20" hidden="1" outlineLevel="1">
      <c r="D274" s="90">
        <v>30</v>
      </c>
      <c r="E274" s="90">
        <v>0</v>
      </c>
      <c r="F274" s="90">
        <f t="shared" si="6"/>
        <v>0</v>
      </c>
      <c r="G274" s="90">
        <f>IF(SUM($F274:F274)=$E274,0,1)</f>
        <v>0</v>
      </c>
      <c r="H274" s="90">
        <f>IF(SUM($F274:G274)=$E274,0,1)</f>
        <v>0</v>
      </c>
      <c r="I274" s="90">
        <f>IF(SUM($F274:H274)=$E274,0,1)</f>
        <v>0</v>
      </c>
      <c r="J274" s="90">
        <f>IF(SUM($F274:I274)=$E274,0,1)</f>
        <v>0</v>
      </c>
      <c r="K274" s="90">
        <f>IF(SUM($F274:J274)=$E274,0,1)</f>
        <v>0</v>
      </c>
      <c r="L274" s="90">
        <f>IF(SUM($F274:K274)=$E274,0,1)</f>
        <v>0</v>
      </c>
      <c r="M274" s="90">
        <f>IF(SUM($F274:L274)=$E274,0,1)</f>
        <v>0</v>
      </c>
      <c r="N274" s="90">
        <f>IF(SUM($F274:M274)=$E274,0,1)</f>
        <v>0</v>
      </c>
      <c r="O274" s="90">
        <f>IF(SUM($F274:N274)=$E274,0,1)</f>
        <v>0</v>
      </c>
      <c r="P274" s="90">
        <f>IF(SUM($F274:O274)=$E274,0,1)</f>
        <v>0</v>
      </c>
      <c r="Q274" s="90">
        <f>IF(SUM($F274:P274)=$E274,0,1)</f>
        <v>0</v>
      </c>
      <c r="R274" s="90">
        <f>IF(SUM($F274:Q274)=$E274,0,1)</f>
        <v>0</v>
      </c>
      <c r="S274" s="90">
        <f>IF(SUM($F274:R274)=$E274,0,1)</f>
        <v>0</v>
      </c>
      <c r="T274" s="90">
        <f>IF(SUM($F274:S274)=$E274,0,1)</f>
        <v>0</v>
      </c>
    </row>
    <row r="275" spans="4:20" hidden="1" outlineLevel="1">
      <c r="D275" s="90">
        <v>31</v>
      </c>
      <c r="E275" s="90">
        <v>0</v>
      </c>
      <c r="F275" s="90">
        <f t="shared" ref="F275:F279" si="7">IF(E275&gt;0,1,0)</f>
        <v>0</v>
      </c>
      <c r="G275" s="90">
        <f>IF(SUM($F275:F275)=$E275,0,1)</f>
        <v>0</v>
      </c>
      <c r="H275" s="90">
        <f>IF(SUM($F275:G275)=$E275,0,1)</f>
        <v>0</v>
      </c>
      <c r="I275" s="90">
        <f>IF(SUM($F275:H275)=$E275,0,1)</f>
        <v>0</v>
      </c>
      <c r="J275" s="90">
        <f>IF(SUM($F275:I275)=$E275,0,1)</f>
        <v>0</v>
      </c>
      <c r="K275" s="90">
        <f>IF(SUM($F275:J275)=$E275,0,1)</f>
        <v>0</v>
      </c>
      <c r="L275" s="90">
        <f>IF(SUM($F275:K275)=$E275,0,1)</f>
        <v>0</v>
      </c>
      <c r="M275" s="90">
        <f>IF(SUM($F275:L275)=$E275,0,1)</f>
        <v>0</v>
      </c>
      <c r="N275" s="90">
        <f>IF(SUM($F275:M275)=$E275,0,1)</f>
        <v>0</v>
      </c>
      <c r="O275" s="90">
        <f>IF(SUM($F275:N275)=$E275,0,1)</f>
        <v>0</v>
      </c>
      <c r="P275" s="90">
        <f>IF(SUM($F275:O275)=$E275,0,1)</f>
        <v>0</v>
      </c>
      <c r="Q275" s="90">
        <f>IF(SUM($F275:P275)=$E275,0,1)</f>
        <v>0</v>
      </c>
      <c r="R275" s="90">
        <f>IF(SUM($F275:Q275)=$E275,0,1)</f>
        <v>0</v>
      </c>
      <c r="S275" s="90">
        <f>IF(SUM($F275:R275)=$E275,0,1)</f>
        <v>0</v>
      </c>
      <c r="T275" s="90">
        <f>IF(SUM($F275:S275)=$E275,0,1)</f>
        <v>0</v>
      </c>
    </row>
    <row r="276" spans="4:20" hidden="1" outlineLevel="1">
      <c r="D276" s="90">
        <v>32</v>
      </c>
      <c r="E276" s="90">
        <v>0</v>
      </c>
      <c r="F276" s="90">
        <f t="shared" si="7"/>
        <v>0</v>
      </c>
      <c r="G276" s="90">
        <f>IF(SUM($F276:F276)=$E276,0,1)</f>
        <v>0</v>
      </c>
      <c r="H276" s="90">
        <f>IF(SUM($F276:G276)=$E276,0,1)</f>
        <v>0</v>
      </c>
      <c r="I276" s="90">
        <f>IF(SUM($F276:H276)=$E276,0,1)</f>
        <v>0</v>
      </c>
      <c r="J276" s="90">
        <f>IF(SUM($F276:I276)=$E276,0,1)</f>
        <v>0</v>
      </c>
      <c r="K276" s="90">
        <f>IF(SUM($F276:J276)=$E276,0,1)</f>
        <v>0</v>
      </c>
      <c r="L276" s="90">
        <f>IF(SUM($F276:K276)=$E276,0,1)</f>
        <v>0</v>
      </c>
      <c r="M276" s="90">
        <f>IF(SUM($F276:L276)=$E276,0,1)</f>
        <v>0</v>
      </c>
      <c r="N276" s="90">
        <f>IF(SUM($F276:M276)=$E276,0,1)</f>
        <v>0</v>
      </c>
      <c r="O276" s="90">
        <f>IF(SUM($F276:N276)=$E276,0,1)</f>
        <v>0</v>
      </c>
      <c r="P276" s="90">
        <f>IF(SUM($F276:O276)=$E276,0,1)</f>
        <v>0</v>
      </c>
      <c r="Q276" s="90">
        <f>IF(SUM($F276:P276)=$E276,0,1)</f>
        <v>0</v>
      </c>
      <c r="R276" s="90">
        <f>IF(SUM($F276:Q276)=$E276,0,1)</f>
        <v>0</v>
      </c>
      <c r="S276" s="90">
        <f>IF(SUM($F276:R276)=$E276,0,1)</f>
        <v>0</v>
      </c>
      <c r="T276" s="90">
        <f>IF(SUM($F276:S276)=$E276,0,1)</f>
        <v>0</v>
      </c>
    </row>
    <row r="277" spans="4:20" hidden="1" outlineLevel="1">
      <c r="D277" s="90">
        <v>33</v>
      </c>
      <c r="E277" s="90">
        <v>0</v>
      </c>
      <c r="F277" s="90">
        <f t="shared" si="7"/>
        <v>0</v>
      </c>
      <c r="G277" s="90">
        <f>IF(SUM($F277:F277)=$E277,0,1)</f>
        <v>0</v>
      </c>
      <c r="H277" s="90">
        <f>IF(SUM($F277:G277)=$E277,0,1)</f>
        <v>0</v>
      </c>
      <c r="I277" s="90">
        <f>IF(SUM($F277:H277)=$E277,0,1)</f>
        <v>0</v>
      </c>
      <c r="J277" s="90">
        <f>IF(SUM($F277:I277)=$E277,0,1)</f>
        <v>0</v>
      </c>
      <c r="K277" s="90">
        <f>IF(SUM($F277:J277)=$E277,0,1)</f>
        <v>0</v>
      </c>
      <c r="L277" s="90">
        <f>IF(SUM($F277:K277)=$E277,0,1)</f>
        <v>0</v>
      </c>
      <c r="M277" s="90">
        <f>IF(SUM($F277:L277)=$E277,0,1)</f>
        <v>0</v>
      </c>
      <c r="N277" s="90">
        <f>IF(SUM($F277:M277)=$E277,0,1)</f>
        <v>0</v>
      </c>
      <c r="O277" s="90">
        <f>IF(SUM($F277:N277)=$E277,0,1)</f>
        <v>0</v>
      </c>
      <c r="P277" s="90">
        <f>IF(SUM($F277:O277)=$E277,0,1)</f>
        <v>0</v>
      </c>
      <c r="Q277" s="90">
        <f>IF(SUM($F277:P277)=$E277,0,1)</f>
        <v>0</v>
      </c>
      <c r="R277" s="90">
        <f>IF(SUM($F277:Q277)=$E277,0,1)</f>
        <v>0</v>
      </c>
      <c r="S277" s="90">
        <f>IF(SUM($F277:R277)=$E277,0,1)</f>
        <v>0</v>
      </c>
      <c r="T277" s="90">
        <f>IF(SUM($F277:S277)=$E277,0,1)</f>
        <v>0</v>
      </c>
    </row>
    <row r="278" spans="4:20" hidden="1" outlineLevel="1">
      <c r="D278" s="90">
        <v>34</v>
      </c>
      <c r="E278" s="90">
        <v>0</v>
      </c>
      <c r="F278" s="90">
        <f t="shared" si="7"/>
        <v>0</v>
      </c>
      <c r="G278" s="90">
        <f>IF(SUM($F278:F278)=$E278,0,1)</f>
        <v>0</v>
      </c>
      <c r="H278" s="90">
        <f>IF(SUM($F278:G278)=$E278,0,1)</f>
        <v>0</v>
      </c>
      <c r="I278" s="90">
        <f>IF(SUM($F278:H278)=$E278,0,1)</f>
        <v>0</v>
      </c>
      <c r="J278" s="90">
        <f>IF(SUM($F278:I278)=$E278,0,1)</f>
        <v>0</v>
      </c>
      <c r="K278" s="90">
        <f>IF(SUM($F278:J278)=$E278,0,1)</f>
        <v>0</v>
      </c>
      <c r="L278" s="90">
        <f>IF(SUM($F278:K278)=$E278,0,1)</f>
        <v>0</v>
      </c>
      <c r="M278" s="90">
        <f>IF(SUM($F278:L278)=$E278,0,1)</f>
        <v>0</v>
      </c>
      <c r="N278" s="90">
        <f>IF(SUM($F278:M278)=$E278,0,1)</f>
        <v>0</v>
      </c>
      <c r="O278" s="90">
        <f>IF(SUM($F278:N278)=$E278,0,1)</f>
        <v>0</v>
      </c>
      <c r="P278" s="90">
        <f>IF(SUM($F278:O278)=$E278,0,1)</f>
        <v>0</v>
      </c>
      <c r="Q278" s="90">
        <f>IF(SUM($F278:P278)=$E278,0,1)</f>
        <v>0</v>
      </c>
      <c r="R278" s="90">
        <f>IF(SUM($F278:Q278)=$E278,0,1)</f>
        <v>0</v>
      </c>
      <c r="S278" s="90">
        <f>IF(SUM($F278:R278)=$E278,0,1)</f>
        <v>0</v>
      </c>
      <c r="T278" s="90">
        <f>IF(SUM($F278:S278)=$E278,0,1)</f>
        <v>0</v>
      </c>
    </row>
    <row r="279" spans="4:20" hidden="1" outlineLevel="1">
      <c r="D279" s="90">
        <v>35</v>
      </c>
      <c r="E279" s="90">
        <v>0</v>
      </c>
      <c r="F279" s="90">
        <f t="shared" si="7"/>
        <v>0</v>
      </c>
      <c r="G279" s="90">
        <f>IF(SUM($F279:F279)=$E279,0,1)</f>
        <v>0</v>
      </c>
      <c r="H279" s="90">
        <f>IF(SUM($F279:G279)=$E279,0,1)</f>
        <v>0</v>
      </c>
      <c r="I279" s="90">
        <f>IF(SUM($F279:H279)=$E279,0,1)</f>
        <v>0</v>
      </c>
      <c r="J279" s="90">
        <f>IF(SUM($F279:I279)=$E279,0,1)</f>
        <v>0</v>
      </c>
      <c r="K279" s="90">
        <f>IF(SUM($F279:J279)=$E279,0,1)</f>
        <v>0</v>
      </c>
      <c r="L279" s="90">
        <f>IF(SUM($F279:K279)=$E279,0,1)</f>
        <v>0</v>
      </c>
      <c r="M279" s="90">
        <f>IF(SUM($F279:L279)=$E279,0,1)</f>
        <v>0</v>
      </c>
      <c r="N279" s="90">
        <f>IF(SUM($F279:M279)=$E279,0,1)</f>
        <v>0</v>
      </c>
      <c r="O279" s="90">
        <f>IF(SUM($F279:N279)=$E279,0,1)</f>
        <v>0</v>
      </c>
      <c r="P279" s="90">
        <f>IF(SUM($F279:O279)=$E279,0,1)</f>
        <v>0</v>
      </c>
      <c r="Q279" s="90">
        <f>IF(SUM($F279:P279)=$E279,0,1)</f>
        <v>0</v>
      </c>
      <c r="R279" s="90">
        <f>IF(SUM($F279:Q279)=$E279,0,1)</f>
        <v>0</v>
      </c>
      <c r="S279" s="90">
        <f>IF(SUM($F279:R279)=$E279,0,1)</f>
        <v>0</v>
      </c>
      <c r="T279" s="90">
        <f>IF(SUM($F279:S279)=$E279,0,1)</f>
        <v>0</v>
      </c>
    </row>
    <row r="280" spans="4:20" hidden="1" outlineLevel="1">
      <c r="D280" s="28"/>
      <c r="E280" s="28"/>
      <c r="F280" s="28"/>
      <c r="G280" s="28"/>
      <c r="H280" s="28"/>
      <c r="I280" s="28"/>
      <c r="J280" s="28"/>
      <c r="K280" s="28"/>
      <c r="L280" s="28"/>
      <c r="M280" s="28"/>
      <c r="N280" s="28"/>
      <c r="O280" s="28"/>
      <c r="P280" s="28"/>
      <c r="Q280" s="28"/>
      <c r="R280" s="28"/>
      <c r="S280" s="28"/>
      <c r="T280" s="28"/>
    </row>
    <row r="281" spans="4:20" hidden="1" outlineLevel="1"/>
    <row r="282" spans="4:20" ht="15" hidden="1" outlineLevel="1" thickBot="1"/>
    <row r="283" spans="4:20" ht="15" hidden="1" outlineLevel="1" thickBot="1">
      <c r="D283" s="95" t="s">
        <v>786</v>
      </c>
      <c r="E283" s="96" t="s">
        <v>769</v>
      </c>
      <c r="F283" s="96" t="s">
        <v>809</v>
      </c>
      <c r="G283" s="97" t="s">
        <v>810</v>
      </c>
    </row>
    <row r="284" spans="4:20" hidden="1" outlineLevel="1">
      <c r="D284" s="89">
        <v>1</v>
      </c>
      <c r="E284" s="89">
        <v>1</v>
      </c>
      <c r="F284" s="89" cm="1">
        <f t="array" ref="F284">INDEX($D$244:$T$279,MATCH(D284,$D$244:$D$279,0),E284+2)</f>
        <v>1</v>
      </c>
      <c r="G284" s="89">
        <f>IF(F284&gt;0,D284,0)</f>
        <v>1</v>
      </c>
    </row>
    <row r="285" spans="4:20" hidden="1" outlineLevel="1">
      <c r="D285" s="88">
        <v>1</v>
      </c>
      <c r="E285" s="88">
        <v>2</v>
      </c>
      <c r="F285" s="89" cm="1">
        <f t="array" ref="F285">INDEX($D$244:$T$279,MATCH(D285,$D$244:$D$279,0),E285+2)</f>
        <v>1</v>
      </c>
      <c r="G285" s="88">
        <f t="shared" ref="G285:G347" si="8">IF(F285&gt;0,D285,0)</f>
        <v>1</v>
      </c>
    </row>
    <row r="286" spans="4:20" hidden="1" outlineLevel="1">
      <c r="D286" s="88">
        <v>1</v>
      </c>
      <c r="E286" s="88">
        <v>3</v>
      </c>
      <c r="F286" s="89" cm="1">
        <f t="array" ref="F286">INDEX($D$244:$T$279,MATCH(D286,$D$244:$D$279,0),E286+2)</f>
        <v>0</v>
      </c>
      <c r="G286" s="88">
        <f t="shared" si="8"/>
        <v>0</v>
      </c>
    </row>
    <row r="287" spans="4:20" hidden="1" outlineLevel="1">
      <c r="D287" s="88">
        <v>1</v>
      </c>
      <c r="E287" s="88">
        <v>4</v>
      </c>
      <c r="F287" s="89" cm="1">
        <f t="array" ref="F287">INDEX($D$244:$T$279,MATCH(D287,$D$244:$D$279,0),E287+2)</f>
        <v>0</v>
      </c>
      <c r="G287" s="88">
        <f t="shared" si="8"/>
        <v>0</v>
      </c>
    </row>
    <row r="288" spans="4:20" hidden="1" outlineLevel="1">
      <c r="D288" s="88">
        <v>1</v>
      </c>
      <c r="E288" s="88">
        <v>5</v>
      </c>
      <c r="F288" s="89" cm="1">
        <f t="array" ref="F288">INDEX($D$244:$T$279,MATCH(D288,$D$244:$D$279,0),E288+2)</f>
        <v>0</v>
      </c>
      <c r="G288" s="88">
        <f t="shared" si="8"/>
        <v>0</v>
      </c>
    </row>
    <row r="289" spans="4:7" hidden="1" outlineLevel="1">
      <c r="D289" s="88">
        <v>1</v>
      </c>
      <c r="E289" s="88">
        <v>6</v>
      </c>
      <c r="F289" s="89" cm="1">
        <f t="array" ref="F289">INDEX($D$244:$T$279,MATCH(D289,$D$244:$D$279,0),E289+2)</f>
        <v>0</v>
      </c>
      <c r="G289" s="88">
        <f t="shared" si="8"/>
        <v>0</v>
      </c>
    </row>
    <row r="290" spans="4:7" hidden="1" outlineLevel="1">
      <c r="D290" s="88">
        <v>1</v>
      </c>
      <c r="E290" s="88">
        <v>7</v>
      </c>
      <c r="F290" s="89" cm="1">
        <f t="array" ref="F290">INDEX($D$244:$T$279,MATCH(D290,$D$244:$D$279,0),E290+2)</f>
        <v>0</v>
      </c>
      <c r="G290" s="88">
        <f t="shared" si="8"/>
        <v>0</v>
      </c>
    </row>
    <row r="291" spans="4:7" hidden="1" outlineLevel="1">
      <c r="D291" s="88">
        <v>1</v>
      </c>
      <c r="E291" s="88">
        <v>8</v>
      </c>
      <c r="F291" s="89" cm="1">
        <f t="array" ref="F291">INDEX($D$244:$T$279,MATCH(D291,$D$244:$D$279,0),E291+2)</f>
        <v>0</v>
      </c>
      <c r="G291" s="88">
        <f t="shared" si="8"/>
        <v>0</v>
      </c>
    </row>
    <row r="292" spans="4:7" hidden="1" outlineLevel="1">
      <c r="D292" s="88">
        <v>1</v>
      </c>
      <c r="E292" s="88">
        <v>9</v>
      </c>
      <c r="F292" s="89" cm="1">
        <f t="array" ref="F292">INDEX($D$244:$T$279,MATCH(D292,$D$244:$D$279,0),E292+2)</f>
        <v>0</v>
      </c>
      <c r="G292" s="88">
        <f t="shared" si="8"/>
        <v>0</v>
      </c>
    </row>
    <row r="293" spans="4:7" hidden="1" outlineLevel="1">
      <c r="D293" s="88">
        <v>1</v>
      </c>
      <c r="E293" s="88">
        <v>10</v>
      </c>
      <c r="F293" s="89" cm="1">
        <f t="array" ref="F293">INDEX($D$244:$T$279,MATCH(D293,$D$244:$D$279,0),E293+2)</f>
        <v>0</v>
      </c>
      <c r="G293" s="88">
        <f t="shared" si="8"/>
        <v>0</v>
      </c>
    </row>
    <row r="294" spans="4:7" hidden="1" outlineLevel="1">
      <c r="D294" s="88">
        <v>1</v>
      </c>
      <c r="E294" s="88">
        <v>11</v>
      </c>
      <c r="F294" s="89" cm="1">
        <f t="array" ref="F294">INDEX($D$244:$T$279,MATCH(D294,$D$244:$D$279,0),E294+2)</f>
        <v>0</v>
      </c>
      <c r="G294" s="88">
        <f t="shared" si="8"/>
        <v>0</v>
      </c>
    </row>
    <row r="295" spans="4:7" hidden="1" outlineLevel="1">
      <c r="D295" s="88">
        <v>1</v>
      </c>
      <c r="E295" s="88">
        <v>12</v>
      </c>
      <c r="F295" s="89" cm="1">
        <f t="array" ref="F295">INDEX($D$244:$T$279,MATCH(D295,$D$244:$D$279,0),E295+2)</f>
        <v>0</v>
      </c>
      <c r="G295" s="88">
        <f t="shared" si="8"/>
        <v>0</v>
      </c>
    </row>
    <row r="296" spans="4:7" hidden="1" outlineLevel="1">
      <c r="D296" s="88">
        <v>1</v>
      </c>
      <c r="E296" s="88">
        <v>13</v>
      </c>
      <c r="F296" s="89" cm="1">
        <f t="array" ref="F296">INDEX($D$244:$T$279,MATCH(D296,$D$244:$D$279,0),E296+2)</f>
        <v>0</v>
      </c>
      <c r="G296" s="88">
        <f t="shared" si="8"/>
        <v>0</v>
      </c>
    </row>
    <row r="297" spans="4:7" hidden="1" outlineLevel="1">
      <c r="D297" s="88">
        <v>1</v>
      </c>
      <c r="E297" s="88">
        <v>14</v>
      </c>
      <c r="F297" s="89" cm="1">
        <f t="array" ref="F297">INDEX($D$244:$T$279,MATCH(D297,$D$244:$D$279,0),E297+2)</f>
        <v>0</v>
      </c>
      <c r="G297" s="88">
        <f t="shared" si="8"/>
        <v>0</v>
      </c>
    </row>
    <row r="298" spans="4:7" hidden="1" outlineLevel="1">
      <c r="D298" s="88">
        <v>1</v>
      </c>
      <c r="E298" s="88">
        <v>15</v>
      </c>
      <c r="F298" s="89" cm="1">
        <f t="array" ref="F298">INDEX($D$244:$T$279,MATCH(D298,$D$244:$D$279,0),E298+2)</f>
        <v>0</v>
      </c>
      <c r="G298" s="88">
        <f t="shared" si="8"/>
        <v>0</v>
      </c>
    </row>
    <row r="299" spans="4:7" hidden="1" outlineLevel="1">
      <c r="D299" s="88">
        <f>D284+1</f>
        <v>2</v>
      </c>
      <c r="E299" s="88">
        <v>1</v>
      </c>
      <c r="F299" s="89" cm="1">
        <f t="array" ref="F299">INDEX($D$244:$T$279,MATCH(D299,$D$244:$D$279,0),E299+2)</f>
        <v>1</v>
      </c>
      <c r="G299" s="88">
        <f t="shared" si="8"/>
        <v>2</v>
      </c>
    </row>
    <row r="300" spans="4:7" hidden="1" outlineLevel="1">
      <c r="D300" s="88">
        <f t="shared" ref="D300:D343" si="9">D285+1</f>
        <v>2</v>
      </c>
      <c r="E300" s="88">
        <v>2</v>
      </c>
      <c r="F300" s="89" cm="1">
        <f t="array" ref="F300">INDEX($D$244:$T$279,MATCH(D300,$D$244:$D$279,0),E300+2)</f>
        <v>1</v>
      </c>
      <c r="G300" s="88">
        <f t="shared" si="8"/>
        <v>2</v>
      </c>
    </row>
    <row r="301" spans="4:7" hidden="1" outlineLevel="1">
      <c r="D301" s="88">
        <f t="shared" si="9"/>
        <v>2</v>
      </c>
      <c r="E301" s="88">
        <v>3</v>
      </c>
      <c r="F301" s="89" cm="1">
        <f t="array" ref="F301">INDEX($D$244:$T$279,MATCH(D301,$D$244:$D$279,0),E301+2)</f>
        <v>0</v>
      </c>
      <c r="G301" s="88">
        <f t="shared" si="8"/>
        <v>0</v>
      </c>
    </row>
    <row r="302" spans="4:7" hidden="1" outlineLevel="1">
      <c r="D302" s="88">
        <f t="shared" si="9"/>
        <v>2</v>
      </c>
      <c r="E302" s="88">
        <v>4</v>
      </c>
      <c r="F302" s="89" cm="1">
        <f t="array" ref="F302">INDEX($D$244:$T$279,MATCH(D302,$D$244:$D$279,0),E302+2)</f>
        <v>0</v>
      </c>
      <c r="G302" s="88">
        <f t="shared" si="8"/>
        <v>0</v>
      </c>
    </row>
    <row r="303" spans="4:7" hidden="1" outlineLevel="1">
      <c r="D303" s="88">
        <f t="shared" si="9"/>
        <v>2</v>
      </c>
      <c r="E303" s="88">
        <v>5</v>
      </c>
      <c r="F303" s="89" cm="1">
        <f t="array" ref="F303">INDEX($D$244:$T$279,MATCH(D303,$D$244:$D$279,0),E303+2)</f>
        <v>0</v>
      </c>
      <c r="G303" s="88">
        <f t="shared" si="8"/>
        <v>0</v>
      </c>
    </row>
    <row r="304" spans="4:7" hidden="1" outlineLevel="1">
      <c r="D304" s="88">
        <f t="shared" si="9"/>
        <v>2</v>
      </c>
      <c r="E304" s="88">
        <v>6</v>
      </c>
      <c r="F304" s="89" cm="1">
        <f t="array" ref="F304">INDEX($D$244:$T$279,MATCH(D304,$D$244:$D$279,0),E304+2)</f>
        <v>0</v>
      </c>
      <c r="G304" s="88">
        <f t="shared" si="8"/>
        <v>0</v>
      </c>
    </row>
    <row r="305" spans="4:7" hidden="1" outlineLevel="1">
      <c r="D305" s="88">
        <f t="shared" si="9"/>
        <v>2</v>
      </c>
      <c r="E305" s="88">
        <v>7</v>
      </c>
      <c r="F305" s="89" cm="1">
        <f t="array" ref="F305">INDEX($D$244:$T$279,MATCH(D305,$D$244:$D$279,0),E305+2)</f>
        <v>0</v>
      </c>
      <c r="G305" s="88">
        <f t="shared" si="8"/>
        <v>0</v>
      </c>
    </row>
    <row r="306" spans="4:7" hidden="1" outlineLevel="1">
      <c r="D306" s="88">
        <f t="shared" si="9"/>
        <v>2</v>
      </c>
      <c r="E306" s="88">
        <v>8</v>
      </c>
      <c r="F306" s="89" cm="1">
        <f t="array" ref="F306">INDEX($D$244:$T$279,MATCH(D306,$D$244:$D$279,0),E306+2)</f>
        <v>0</v>
      </c>
      <c r="G306" s="88">
        <f t="shared" si="8"/>
        <v>0</v>
      </c>
    </row>
    <row r="307" spans="4:7" hidden="1" outlineLevel="1">
      <c r="D307" s="88">
        <f t="shared" si="9"/>
        <v>2</v>
      </c>
      <c r="E307" s="88">
        <v>9</v>
      </c>
      <c r="F307" s="89" cm="1">
        <f t="array" ref="F307">INDEX($D$244:$T$279,MATCH(D307,$D$244:$D$279,0),E307+2)</f>
        <v>0</v>
      </c>
      <c r="G307" s="88">
        <f t="shared" si="8"/>
        <v>0</v>
      </c>
    </row>
    <row r="308" spans="4:7" hidden="1" outlineLevel="1">
      <c r="D308" s="88">
        <f t="shared" si="9"/>
        <v>2</v>
      </c>
      <c r="E308" s="88">
        <v>10</v>
      </c>
      <c r="F308" s="89" cm="1">
        <f t="array" ref="F308">INDEX($D$244:$T$279,MATCH(D308,$D$244:$D$279,0),E308+2)</f>
        <v>0</v>
      </c>
      <c r="G308" s="88">
        <f t="shared" si="8"/>
        <v>0</v>
      </c>
    </row>
    <row r="309" spans="4:7" hidden="1" outlineLevel="1">
      <c r="D309" s="88">
        <f t="shared" si="9"/>
        <v>2</v>
      </c>
      <c r="E309" s="88">
        <v>11</v>
      </c>
      <c r="F309" s="89" cm="1">
        <f t="array" ref="F309">INDEX($D$244:$T$279,MATCH(D309,$D$244:$D$279,0),E309+2)</f>
        <v>0</v>
      </c>
      <c r="G309" s="88">
        <f t="shared" si="8"/>
        <v>0</v>
      </c>
    </row>
    <row r="310" spans="4:7" hidden="1" outlineLevel="1">
      <c r="D310" s="88">
        <f t="shared" si="9"/>
        <v>2</v>
      </c>
      <c r="E310" s="88">
        <v>12</v>
      </c>
      <c r="F310" s="89" cm="1">
        <f t="array" ref="F310">INDEX($D$244:$T$279,MATCH(D310,$D$244:$D$279,0),E310+2)</f>
        <v>0</v>
      </c>
      <c r="G310" s="88">
        <f t="shared" si="8"/>
        <v>0</v>
      </c>
    </row>
    <row r="311" spans="4:7" hidden="1" outlineLevel="1">
      <c r="D311" s="88">
        <f t="shared" si="9"/>
        <v>2</v>
      </c>
      <c r="E311" s="88">
        <v>13</v>
      </c>
      <c r="F311" s="89" cm="1">
        <f t="array" ref="F311">INDEX($D$244:$T$279,MATCH(D311,$D$244:$D$279,0),E311+2)</f>
        <v>0</v>
      </c>
      <c r="G311" s="88">
        <f t="shared" si="8"/>
        <v>0</v>
      </c>
    </row>
    <row r="312" spans="4:7" hidden="1" outlineLevel="1">
      <c r="D312" s="88">
        <f t="shared" si="9"/>
        <v>2</v>
      </c>
      <c r="E312" s="88">
        <v>14</v>
      </c>
      <c r="F312" s="89" cm="1">
        <f t="array" ref="F312">INDEX($D$244:$T$279,MATCH(D312,$D$244:$D$279,0),E312+2)</f>
        <v>0</v>
      </c>
      <c r="G312" s="88">
        <f t="shared" si="8"/>
        <v>0</v>
      </c>
    </row>
    <row r="313" spans="4:7" hidden="1" outlineLevel="1">
      <c r="D313" s="88">
        <f t="shared" si="9"/>
        <v>2</v>
      </c>
      <c r="E313" s="88">
        <v>15</v>
      </c>
      <c r="F313" s="89" cm="1">
        <f t="array" ref="F313">INDEX($D$244:$T$279,MATCH(D313,$D$244:$D$279,0),E313+2)</f>
        <v>0</v>
      </c>
      <c r="G313" s="88">
        <f t="shared" si="8"/>
        <v>0</v>
      </c>
    </row>
    <row r="314" spans="4:7" hidden="1" outlineLevel="1">
      <c r="D314" s="88">
        <f t="shared" si="9"/>
        <v>3</v>
      </c>
      <c r="E314" s="88">
        <v>1</v>
      </c>
      <c r="F314" s="89" cm="1">
        <f t="array" ref="F314">INDEX($D$244:$T$279,MATCH(D314,$D$244:$D$279,0),E314+2)</f>
        <v>1</v>
      </c>
      <c r="G314" s="88">
        <f t="shared" si="8"/>
        <v>3</v>
      </c>
    </row>
    <row r="315" spans="4:7" hidden="1" outlineLevel="1">
      <c r="D315" s="88">
        <f t="shared" si="9"/>
        <v>3</v>
      </c>
      <c r="E315" s="88">
        <v>2</v>
      </c>
      <c r="F315" s="89" cm="1">
        <f t="array" ref="F315">INDEX($D$244:$T$279,MATCH(D315,$D$244:$D$279,0),E315+2)</f>
        <v>1</v>
      </c>
      <c r="G315" s="88">
        <f t="shared" si="8"/>
        <v>3</v>
      </c>
    </row>
    <row r="316" spans="4:7" hidden="1" outlineLevel="1">
      <c r="D316" s="88">
        <f t="shared" si="9"/>
        <v>3</v>
      </c>
      <c r="E316" s="88">
        <v>3</v>
      </c>
      <c r="F316" s="89" cm="1">
        <f t="array" ref="F316">INDEX($D$244:$T$279,MATCH(D316,$D$244:$D$279,0),E316+2)</f>
        <v>0</v>
      </c>
      <c r="G316" s="88">
        <f t="shared" si="8"/>
        <v>0</v>
      </c>
    </row>
    <row r="317" spans="4:7" hidden="1" outlineLevel="1">
      <c r="D317" s="88">
        <f t="shared" si="9"/>
        <v>3</v>
      </c>
      <c r="E317" s="88">
        <v>4</v>
      </c>
      <c r="F317" s="89" cm="1">
        <f t="array" ref="F317">INDEX($D$244:$T$279,MATCH(D317,$D$244:$D$279,0),E317+2)</f>
        <v>0</v>
      </c>
      <c r="G317" s="88">
        <f t="shared" si="8"/>
        <v>0</v>
      </c>
    </row>
    <row r="318" spans="4:7" hidden="1" outlineLevel="1">
      <c r="D318" s="88">
        <f t="shared" si="9"/>
        <v>3</v>
      </c>
      <c r="E318" s="88">
        <v>5</v>
      </c>
      <c r="F318" s="89" cm="1">
        <f t="array" ref="F318">INDEX($D$244:$T$279,MATCH(D318,$D$244:$D$279,0),E318+2)</f>
        <v>0</v>
      </c>
      <c r="G318" s="88">
        <f t="shared" si="8"/>
        <v>0</v>
      </c>
    </row>
    <row r="319" spans="4:7" hidden="1" outlineLevel="1">
      <c r="D319" s="88">
        <f t="shared" si="9"/>
        <v>3</v>
      </c>
      <c r="E319" s="88">
        <v>6</v>
      </c>
      <c r="F319" s="89" cm="1">
        <f t="array" ref="F319">INDEX($D$244:$T$279,MATCH(D319,$D$244:$D$279,0),E319+2)</f>
        <v>0</v>
      </c>
      <c r="G319" s="88">
        <f t="shared" si="8"/>
        <v>0</v>
      </c>
    </row>
    <row r="320" spans="4:7" hidden="1" outlineLevel="1">
      <c r="D320" s="88">
        <f t="shared" si="9"/>
        <v>3</v>
      </c>
      <c r="E320" s="88">
        <v>7</v>
      </c>
      <c r="F320" s="89" cm="1">
        <f t="array" ref="F320">INDEX($D$244:$T$279,MATCH(D320,$D$244:$D$279,0),E320+2)</f>
        <v>0</v>
      </c>
      <c r="G320" s="88">
        <f t="shared" si="8"/>
        <v>0</v>
      </c>
    </row>
    <row r="321" spans="4:7" hidden="1" outlineLevel="1">
      <c r="D321" s="88">
        <f t="shared" si="9"/>
        <v>3</v>
      </c>
      <c r="E321" s="88">
        <v>8</v>
      </c>
      <c r="F321" s="89" cm="1">
        <f t="array" ref="F321">INDEX($D$244:$T$279,MATCH(D321,$D$244:$D$279,0),E321+2)</f>
        <v>0</v>
      </c>
      <c r="G321" s="88">
        <f t="shared" si="8"/>
        <v>0</v>
      </c>
    </row>
    <row r="322" spans="4:7" hidden="1" outlineLevel="1">
      <c r="D322" s="88">
        <f t="shared" si="9"/>
        <v>3</v>
      </c>
      <c r="E322" s="88">
        <v>9</v>
      </c>
      <c r="F322" s="89" cm="1">
        <f t="array" ref="F322">INDEX($D$244:$T$279,MATCH(D322,$D$244:$D$279,0),E322+2)</f>
        <v>0</v>
      </c>
      <c r="G322" s="88">
        <f t="shared" si="8"/>
        <v>0</v>
      </c>
    </row>
    <row r="323" spans="4:7" hidden="1" outlineLevel="1">
      <c r="D323" s="88">
        <f t="shared" si="9"/>
        <v>3</v>
      </c>
      <c r="E323" s="88">
        <v>10</v>
      </c>
      <c r="F323" s="89" cm="1">
        <f t="array" ref="F323">INDEX($D$244:$T$279,MATCH(D323,$D$244:$D$279,0),E323+2)</f>
        <v>0</v>
      </c>
      <c r="G323" s="88">
        <f t="shared" si="8"/>
        <v>0</v>
      </c>
    </row>
    <row r="324" spans="4:7" hidden="1" outlineLevel="1">
      <c r="D324" s="88">
        <f t="shared" si="9"/>
        <v>3</v>
      </c>
      <c r="E324" s="88">
        <v>11</v>
      </c>
      <c r="F324" s="89" cm="1">
        <f t="array" ref="F324">INDEX($D$244:$T$279,MATCH(D324,$D$244:$D$279,0),E324+2)</f>
        <v>0</v>
      </c>
      <c r="G324" s="88">
        <f t="shared" si="8"/>
        <v>0</v>
      </c>
    </row>
    <row r="325" spans="4:7" hidden="1" outlineLevel="1">
      <c r="D325" s="88">
        <f t="shared" si="9"/>
        <v>3</v>
      </c>
      <c r="E325" s="88">
        <v>12</v>
      </c>
      <c r="F325" s="89" cm="1">
        <f t="array" ref="F325">INDEX($D$244:$T$279,MATCH(D325,$D$244:$D$279,0),E325+2)</f>
        <v>0</v>
      </c>
      <c r="G325" s="88">
        <f t="shared" si="8"/>
        <v>0</v>
      </c>
    </row>
    <row r="326" spans="4:7" hidden="1" outlineLevel="1">
      <c r="D326" s="88">
        <f t="shared" si="9"/>
        <v>3</v>
      </c>
      <c r="E326" s="88">
        <v>13</v>
      </c>
      <c r="F326" s="89" cm="1">
        <f t="array" ref="F326">INDEX($D$244:$T$279,MATCH(D326,$D$244:$D$279,0),E326+2)</f>
        <v>0</v>
      </c>
      <c r="G326" s="88">
        <f t="shared" si="8"/>
        <v>0</v>
      </c>
    </row>
    <row r="327" spans="4:7" hidden="1" outlineLevel="1">
      <c r="D327" s="88">
        <f t="shared" si="9"/>
        <v>3</v>
      </c>
      <c r="E327" s="88">
        <v>14</v>
      </c>
      <c r="F327" s="89" cm="1">
        <f t="array" ref="F327">INDEX($D$244:$T$279,MATCH(D327,$D$244:$D$279,0),E327+2)</f>
        <v>0</v>
      </c>
      <c r="G327" s="88">
        <f t="shared" si="8"/>
        <v>0</v>
      </c>
    </row>
    <row r="328" spans="4:7" hidden="1" outlineLevel="1">
      <c r="D328" s="88">
        <f t="shared" si="9"/>
        <v>3</v>
      </c>
      <c r="E328" s="88">
        <v>15</v>
      </c>
      <c r="F328" s="89" cm="1">
        <f t="array" ref="F328">INDEX($D$244:$T$279,MATCH(D328,$D$244:$D$279,0),E328+2)</f>
        <v>0</v>
      </c>
      <c r="G328" s="88">
        <f t="shared" si="8"/>
        <v>0</v>
      </c>
    </row>
    <row r="329" spans="4:7" hidden="1" outlineLevel="1">
      <c r="D329" s="88">
        <f>D314+1</f>
        <v>4</v>
      </c>
      <c r="E329" s="88">
        <v>1</v>
      </c>
      <c r="F329" s="89" cm="1">
        <f t="array" ref="F329">INDEX($D$244:$T$279,MATCH(D329,$D$244:$D$279,0),E329+2)</f>
        <v>1</v>
      </c>
      <c r="G329" s="88">
        <f t="shared" si="8"/>
        <v>4</v>
      </c>
    </row>
    <row r="330" spans="4:7" hidden="1" outlineLevel="1">
      <c r="D330" s="88">
        <f t="shared" si="9"/>
        <v>4</v>
      </c>
      <c r="E330" s="88">
        <v>2</v>
      </c>
      <c r="F330" s="89" cm="1">
        <f t="array" ref="F330">INDEX($D$244:$T$279,MATCH(D330,$D$244:$D$279,0),E330+2)</f>
        <v>1</v>
      </c>
      <c r="G330" s="88">
        <f t="shared" si="8"/>
        <v>4</v>
      </c>
    </row>
    <row r="331" spans="4:7" hidden="1" outlineLevel="1">
      <c r="D331" s="88">
        <f t="shared" si="9"/>
        <v>4</v>
      </c>
      <c r="E331" s="88">
        <v>3</v>
      </c>
      <c r="F331" s="89" cm="1">
        <f t="array" ref="F331">INDEX($D$244:$T$279,MATCH(D331,$D$244:$D$279,0),E331+2)</f>
        <v>0</v>
      </c>
      <c r="G331" s="88">
        <f t="shared" si="8"/>
        <v>0</v>
      </c>
    </row>
    <row r="332" spans="4:7" hidden="1" outlineLevel="1">
      <c r="D332" s="88">
        <f t="shared" si="9"/>
        <v>4</v>
      </c>
      <c r="E332" s="88">
        <v>4</v>
      </c>
      <c r="F332" s="89" cm="1">
        <f t="array" ref="F332">INDEX($D$244:$T$279,MATCH(D332,$D$244:$D$279,0),E332+2)</f>
        <v>0</v>
      </c>
      <c r="G332" s="88">
        <f t="shared" si="8"/>
        <v>0</v>
      </c>
    </row>
    <row r="333" spans="4:7" hidden="1" outlineLevel="1">
      <c r="D333" s="88">
        <f t="shared" si="9"/>
        <v>4</v>
      </c>
      <c r="E333" s="88">
        <v>5</v>
      </c>
      <c r="F333" s="89" cm="1">
        <f t="array" ref="F333">INDEX($D$244:$T$279,MATCH(D333,$D$244:$D$279,0),E333+2)</f>
        <v>0</v>
      </c>
      <c r="G333" s="88">
        <f t="shared" si="8"/>
        <v>0</v>
      </c>
    </row>
    <row r="334" spans="4:7" hidden="1" outlineLevel="1">
      <c r="D334" s="88">
        <f t="shared" si="9"/>
        <v>4</v>
      </c>
      <c r="E334" s="88">
        <v>6</v>
      </c>
      <c r="F334" s="89" cm="1">
        <f t="array" ref="F334">INDEX($D$244:$T$279,MATCH(D334,$D$244:$D$279,0),E334+2)</f>
        <v>0</v>
      </c>
      <c r="G334" s="88">
        <f t="shared" si="8"/>
        <v>0</v>
      </c>
    </row>
    <row r="335" spans="4:7" hidden="1" outlineLevel="1">
      <c r="D335" s="88">
        <f t="shared" si="9"/>
        <v>4</v>
      </c>
      <c r="E335" s="88">
        <v>7</v>
      </c>
      <c r="F335" s="89" cm="1">
        <f t="array" ref="F335">INDEX($D$244:$T$279,MATCH(D335,$D$244:$D$279,0),E335+2)</f>
        <v>0</v>
      </c>
      <c r="G335" s="88">
        <f t="shared" si="8"/>
        <v>0</v>
      </c>
    </row>
    <row r="336" spans="4:7" hidden="1" outlineLevel="1">
      <c r="D336" s="88">
        <f t="shared" si="9"/>
        <v>4</v>
      </c>
      <c r="E336" s="88">
        <v>8</v>
      </c>
      <c r="F336" s="89" cm="1">
        <f t="array" ref="F336">INDEX($D$244:$T$279,MATCH(D336,$D$244:$D$279,0),E336+2)</f>
        <v>0</v>
      </c>
      <c r="G336" s="88">
        <f t="shared" si="8"/>
        <v>0</v>
      </c>
    </row>
    <row r="337" spans="4:7" hidden="1" outlineLevel="1">
      <c r="D337" s="88">
        <f t="shared" si="9"/>
        <v>4</v>
      </c>
      <c r="E337" s="88">
        <v>9</v>
      </c>
      <c r="F337" s="89" cm="1">
        <f t="array" ref="F337">INDEX($D$244:$T$279,MATCH(D337,$D$244:$D$279,0),E337+2)</f>
        <v>0</v>
      </c>
      <c r="G337" s="88">
        <f t="shared" si="8"/>
        <v>0</v>
      </c>
    </row>
    <row r="338" spans="4:7" hidden="1" outlineLevel="1">
      <c r="D338" s="88">
        <f t="shared" si="9"/>
        <v>4</v>
      </c>
      <c r="E338" s="88">
        <v>10</v>
      </c>
      <c r="F338" s="89" cm="1">
        <f t="array" ref="F338">INDEX($D$244:$T$279,MATCH(D338,$D$244:$D$279,0),E338+2)</f>
        <v>0</v>
      </c>
      <c r="G338" s="88">
        <f t="shared" si="8"/>
        <v>0</v>
      </c>
    </row>
    <row r="339" spans="4:7" hidden="1" outlineLevel="1">
      <c r="D339" s="88">
        <f t="shared" si="9"/>
        <v>4</v>
      </c>
      <c r="E339" s="88">
        <v>11</v>
      </c>
      <c r="F339" s="89" cm="1">
        <f t="array" ref="F339">INDEX($D$244:$T$279,MATCH(D339,$D$244:$D$279,0),E339+2)</f>
        <v>0</v>
      </c>
      <c r="G339" s="88">
        <f t="shared" si="8"/>
        <v>0</v>
      </c>
    </row>
    <row r="340" spans="4:7" hidden="1" outlineLevel="1">
      <c r="D340" s="88">
        <f t="shared" si="9"/>
        <v>4</v>
      </c>
      <c r="E340" s="88">
        <v>12</v>
      </c>
      <c r="F340" s="89" cm="1">
        <f t="array" ref="F340">INDEX($D$244:$T$279,MATCH(D340,$D$244:$D$279,0),E340+2)</f>
        <v>0</v>
      </c>
      <c r="G340" s="88">
        <f t="shared" si="8"/>
        <v>0</v>
      </c>
    </row>
    <row r="341" spans="4:7" hidden="1" outlineLevel="1">
      <c r="D341" s="88">
        <f t="shared" si="9"/>
        <v>4</v>
      </c>
      <c r="E341" s="88">
        <v>13</v>
      </c>
      <c r="F341" s="89" cm="1">
        <f t="array" ref="F341">INDEX($D$244:$T$279,MATCH(D341,$D$244:$D$279,0),E341+2)</f>
        <v>0</v>
      </c>
      <c r="G341" s="88">
        <f t="shared" si="8"/>
        <v>0</v>
      </c>
    </row>
    <row r="342" spans="4:7" hidden="1" outlineLevel="1">
      <c r="D342" s="88">
        <f t="shared" si="9"/>
        <v>4</v>
      </c>
      <c r="E342" s="88">
        <v>14</v>
      </c>
      <c r="F342" s="89" cm="1">
        <f t="array" ref="F342">INDEX($D$244:$T$279,MATCH(D342,$D$244:$D$279,0),E342+2)</f>
        <v>0</v>
      </c>
      <c r="G342" s="88">
        <f t="shared" si="8"/>
        <v>0</v>
      </c>
    </row>
    <row r="343" spans="4:7" hidden="1" outlineLevel="1">
      <c r="D343" s="88">
        <f t="shared" si="9"/>
        <v>4</v>
      </c>
      <c r="E343" s="88">
        <v>15</v>
      </c>
      <c r="F343" s="89" cm="1">
        <f t="array" ref="F343">INDEX($D$244:$T$279,MATCH(D343,$D$244:$D$279,0),E343+2)</f>
        <v>0</v>
      </c>
      <c r="G343" s="88">
        <f t="shared" si="8"/>
        <v>0</v>
      </c>
    </row>
    <row r="344" spans="4:7" hidden="1" outlineLevel="1">
      <c r="D344" s="88">
        <f>D329+1</f>
        <v>5</v>
      </c>
      <c r="E344" s="88">
        <v>1</v>
      </c>
      <c r="F344" s="89" cm="1">
        <f t="array" ref="F344">INDEX($D$244:$T$279,MATCH(D344,$D$244:$D$279,0),E344+2)</f>
        <v>1</v>
      </c>
      <c r="G344" s="88">
        <f t="shared" si="8"/>
        <v>5</v>
      </c>
    </row>
    <row r="345" spans="4:7" hidden="1" outlineLevel="1">
      <c r="D345" s="88">
        <f t="shared" ref="D345:D408" si="10">D330+1</f>
        <v>5</v>
      </c>
      <c r="E345" s="88">
        <v>2</v>
      </c>
      <c r="F345" s="89" cm="1">
        <f t="array" ref="F345">INDEX($D$244:$T$279,MATCH(D345,$D$244:$D$279,0),E345+2)</f>
        <v>1</v>
      </c>
      <c r="G345" s="88">
        <f t="shared" si="8"/>
        <v>5</v>
      </c>
    </row>
    <row r="346" spans="4:7" hidden="1" outlineLevel="1">
      <c r="D346" s="88">
        <f t="shared" si="10"/>
        <v>5</v>
      </c>
      <c r="E346" s="88">
        <v>3</v>
      </c>
      <c r="F346" s="89" cm="1">
        <f t="array" ref="F346">INDEX($D$244:$T$279,MATCH(D346,$D$244:$D$279,0),E346+2)</f>
        <v>0</v>
      </c>
      <c r="G346" s="88">
        <f t="shared" si="8"/>
        <v>0</v>
      </c>
    </row>
    <row r="347" spans="4:7" hidden="1" outlineLevel="1">
      <c r="D347" s="88">
        <f t="shared" si="10"/>
        <v>5</v>
      </c>
      <c r="E347" s="88">
        <v>4</v>
      </c>
      <c r="F347" s="89" cm="1">
        <f t="array" ref="F347">INDEX($D$244:$T$279,MATCH(D347,$D$244:$D$279,0),E347+2)</f>
        <v>0</v>
      </c>
      <c r="G347" s="88">
        <f t="shared" si="8"/>
        <v>0</v>
      </c>
    </row>
    <row r="348" spans="4:7" hidden="1" outlineLevel="1">
      <c r="D348" s="88">
        <f t="shared" si="10"/>
        <v>5</v>
      </c>
      <c r="E348" s="88">
        <v>5</v>
      </c>
      <c r="F348" s="89" cm="1">
        <f t="array" ref="F348">INDEX($D$244:$T$279,MATCH(D348,$D$244:$D$279,0),E348+2)</f>
        <v>0</v>
      </c>
      <c r="G348" s="88">
        <f t="shared" ref="G348:G411" si="11">IF(F348&gt;0,D348,0)</f>
        <v>0</v>
      </c>
    </row>
    <row r="349" spans="4:7" hidden="1" outlineLevel="1">
      <c r="D349" s="88">
        <f t="shared" si="10"/>
        <v>5</v>
      </c>
      <c r="E349" s="88">
        <v>6</v>
      </c>
      <c r="F349" s="89" cm="1">
        <f t="array" ref="F349">INDEX($D$244:$T$279,MATCH(D349,$D$244:$D$279,0),E349+2)</f>
        <v>0</v>
      </c>
      <c r="G349" s="88">
        <f t="shared" si="11"/>
        <v>0</v>
      </c>
    </row>
    <row r="350" spans="4:7" hidden="1" outlineLevel="1">
      <c r="D350" s="88">
        <f t="shared" si="10"/>
        <v>5</v>
      </c>
      <c r="E350" s="88">
        <v>7</v>
      </c>
      <c r="F350" s="89" cm="1">
        <f t="array" ref="F350">INDEX($D$244:$T$279,MATCH(D350,$D$244:$D$279,0),E350+2)</f>
        <v>0</v>
      </c>
      <c r="G350" s="88">
        <f t="shared" si="11"/>
        <v>0</v>
      </c>
    </row>
    <row r="351" spans="4:7" hidden="1" outlineLevel="1">
      <c r="D351" s="88">
        <f t="shared" si="10"/>
        <v>5</v>
      </c>
      <c r="E351" s="88">
        <v>8</v>
      </c>
      <c r="F351" s="89" cm="1">
        <f t="array" ref="F351">INDEX($D$244:$T$279,MATCH(D351,$D$244:$D$279,0),E351+2)</f>
        <v>0</v>
      </c>
      <c r="G351" s="88">
        <f t="shared" si="11"/>
        <v>0</v>
      </c>
    </row>
    <row r="352" spans="4:7" hidden="1" outlineLevel="1">
      <c r="D352" s="88">
        <f t="shared" si="10"/>
        <v>5</v>
      </c>
      <c r="E352" s="88">
        <v>9</v>
      </c>
      <c r="F352" s="89" cm="1">
        <f t="array" ref="F352">INDEX($D$244:$T$279,MATCH(D352,$D$244:$D$279,0),E352+2)</f>
        <v>0</v>
      </c>
      <c r="G352" s="88">
        <f t="shared" si="11"/>
        <v>0</v>
      </c>
    </row>
    <row r="353" spans="4:7" hidden="1" outlineLevel="1">
      <c r="D353" s="88">
        <f t="shared" si="10"/>
        <v>5</v>
      </c>
      <c r="E353" s="88">
        <v>10</v>
      </c>
      <c r="F353" s="89" cm="1">
        <f t="array" ref="F353">INDEX($D$244:$T$279,MATCH(D353,$D$244:$D$279,0),E353+2)</f>
        <v>0</v>
      </c>
      <c r="G353" s="88">
        <f t="shared" si="11"/>
        <v>0</v>
      </c>
    </row>
    <row r="354" spans="4:7" hidden="1" outlineLevel="1">
      <c r="D354" s="88">
        <f t="shared" si="10"/>
        <v>5</v>
      </c>
      <c r="E354" s="88">
        <v>11</v>
      </c>
      <c r="F354" s="89" cm="1">
        <f t="array" ref="F354">INDEX($D$244:$T$279,MATCH(D354,$D$244:$D$279,0),E354+2)</f>
        <v>0</v>
      </c>
      <c r="G354" s="88">
        <f t="shared" si="11"/>
        <v>0</v>
      </c>
    </row>
    <row r="355" spans="4:7" hidden="1" outlineLevel="1">
      <c r="D355" s="88">
        <f t="shared" si="10"/>
        <v>5</v>
      </c>
      <c r="E355" s="88">
        <v>12</v>
      </c>
      <c r="F355" s="89" cm="1">
        <f t="array" ref="F355">INDEX($D$244:$T$279,MATCH(D355,$D$244:$D$279,0),E355+2)</f>
        <v>0</v>
      </c>
      <c r="G355" s="88">
        <f t="shared" si="11"/>
        <v>0</v>
      </c>
    </row>
    <row r="356" spans="4:7" hidden="1" outlineLevel="1">
      <c r="D356" s="88">
        <f t="shared" si="10"/>
        <v>5</v>
      </c>
      <c r="E356" s="88">
        <v>13</v>
      </c>
      <c r="F356" s="89" cm="1">
        <f t="array" ref="F356">INDEX($D$244:$T$279,MATCH(D356,$D$244:$D$279,0),E356+2)</f>
        <v>0</v>
      </c>
      <c r="G356" s="88">
        <f t="shared" si="11"/>
        <v>0</v>
      </c>
    </row>
    <row r="357" spans="4:7" hidden="1" outlineLevel="1">
      <c r="D357" s="88">
        <f t="shared" si="10"/>
        <v>5</v>
      </c>
      <c r="E357" s="88">
        <v>14</v>
      </c>
      <c r="F357" s="89" cm="1">
        <f t="array" ref="F357">INDEX($D$244:$T$279,MATCH(D357,$D$244:$D$279,0),E357+2)</f>
        <v>0</v>
      </c>
      <c r="G357" s="88">
        <f t="shared" si="11"/>
        <v>0</v>
      </c>
    </row>
    <row r="358" spans="4:7" hidden="1" outlineLevel="1">
      <c r="D358" s="88">
        <f t="shared" si="10"/>
        <v>5</v>
      </c>
      <c r="E358" s="88">
        <v>15</v>
      </c>
      <c r="F358" s="89" cm="1">
        <f t="array" ref="F358">INDEX($D$244:$T$279,MATCH(D358,$D$244:$D$279,0),E358+2)</f>
        <v>0</v>
      </c>
      <c r="G358" s="88">
        <f t="shared" si="11"/>
        <v>0</v>
      </c>
    </row>
    <row r="359" spans="4:7" hidden="1" outlineLevel="1">
      <c r="D359" s="88">
        <f t="shared" si="10"/>
        <v>6</v>
      </c>
      <c r="E359" s="88">
        <v>1</v>
      </c>
      <c r="F359" s="89" cm="1">
        <f t="array" ref="F359">INDEX($D$244:$T$279,MATCH(D359,$D$244:$D$279,0),E359+2)</f>
        <v>1</v>
      </c>
      <c r="G359" s="88">
        <f t="shared" si="11"/>
        <v>6</v>
      </c>
    </row>
    <row r="360" spans="4:7" hidden="1" outlineLevel="1">
      <c r="D360" s="88">
        <f t="shared" si="10"/>
        <v>6</v>
      </c>
      <c r="E360" s="88">
        <v>2</v>
      </c>
      <c r="F360" s="89" cm="1">
        <f t="array" ref="F360">INDEX($D$244:$T$279,MATCH(D360,$D$244:$D$279,0),E360+2)</f>
        <v>1</v>
      </c>
      <c r="G360" s="88">
        <f t="shared" si="11"/>
        <v>6</v>
      </c>
    </row>
    <row r="361" spans="4:7" hidden="1" outlineLevel="1">
      <c r="D361" s="88">
        <f t="shared" si="10"/>
        <v>6</v>
      </c>
      <c r="E361" s="88">
        <v>3</v>
      </c>
      <c r="F361" s="89" cm="1">
        <f t="array" ref="F361">INDEX($D$244:$T$279,MATCH(D361,$D$244:$D$279,0),E361+2)</f>
        <v>0</v>
      </c>
      <c r="G361" s="88">
        <f t="shared" si="11"/>
        <v>0</v>
      </c>
    </row>
    <row r="362" spans="4:7" hidden="1" outlineLevel="1">
      <c r="D362" s="88">
        <f t="shared" si="10"/>
        <v>6</v>
      </c>
      <c r="E362" s="88">
        <v>4</v>
      </c>
      <c r="F362" s="89" cm="1">
        <f t="array" ref="F362">INDEX($D$244:$T$279,MATCH(D362,$D$244:$D$279,0),E362+2)</f>
        <v>0</v>
      </c>
      <c r="G362" s="88">
        <f t="shared" si="11"/>
        <v>0</v>
      </c>
    </row>
    <row r="363" spans="4:7" hidden="1" outlineLevel="1">
      <c r="D363" s="88">
        <f t="shared" si="10"/>
        <v>6</v>
      </c>
      <c r="E363" s="88">
        <v>5</v>
      </c>
      <c r="F363" s="89" cm="1">
        <f t="array" ref="F363">INDEX($D$244:$T$279,MATCH(D363,$D$244:$D$279,0),E363+2)</f>
        <v>0</v>
      </c>
      <c r="G363" s="88">
        <f t="shared" si="11"/>
        <v>0</v>
      </c>
    </row>
    <row r="364" spans="4:7" hidden="1" outlineLevel="1">
      <c r="D364" s="88">
        <f t="shared" si="10"/>
        <v>6</v>
      </c>
      <c r="E364" s="88">
        <v>6</v>
      </c>
      <c r="F364" s="89" cm="1">
        <f t="array" ref="F364">INDEX($D$244:$T$279,MATCH(D364,$D$244:$D$279,0),E364+2)</f>
        <v>0</v>
      </c>
      <c r="G364" s="88">
        <f t="shared" si="11"/>
        <v>0</v>
      </c>
    </row>
    <row r="365" spans="4:7" hidden="1" outlineLevel="1">
      <c r="D365" s="88">
        <f t="shared" si="10"/>
        <v>6</v>
      </c>
      <c r="E365" s="88">
        <v>7</v>
      </c>
      <c r="F365" s="89" cm="1">
        <f t="array" ref="F365">INDEX($D$244:$T$279,MATCH(D365,$D$244:$D$279,0),E365+2)</f>
        <v>0</v>
      </c>
      <c r="G365" s="88">
        <f t="shared" si="11"/>
        <v>0</v>
      </c>
    </row>
    <row r="366" spans="4:7" hidden="1" outlineLevel="1">
      <c r="D366" s="88">
        <f t="shared" si="10"/>
        <v>6</v>
      </c>
      <c r="E366" s="88">
        <v>8</v>
      </c>
      <c r="F366" s="89" cm="1">
        <f t="array" ref="F366">INDEX($D$244:$T$279,MATCH(D366,$D$244:$D$279,0),E366+2)</f>
        <v>0</v>
      </c>
      <c r="G366" s="88">
        <f t="shared" si="11"/>
        <v>0</v>
      </c>
    </row>
    <row r="367" spans="4:7" hidden="1" outlineLevel="1">
      <c r="D367" s="88">
        <f t="shared" si="10"/>
        <v>6</v>
      </c>
      <c r="E367" s="88">
        <v>9</v>
      </c>
      <c r="F367" s="89" cm="1">
        <f t="array" ref="F367">INDEX($D$244:$T$279,MATCH(D367,$D$244:$D$279,0),E367+2)</f>
        <v>0</v>
      </c>
      <c r="G367" s="88">
        <f t="shared" si="11"/>
        <v>0</v>
      </c>
    </row>
    <row r="368" spans="4:7" hidden="1" outlineLevel="1">
      <c r="D368" s="88">
        <f t="shared" si="10"/>
        <v>6</v>
      </c>
      <c r="E368" s="88">
        <v>10</v>
      </c>
      <c r="F368" s="89" cm="1">
        <f t="array" ref="F368">INDEX($D$244:$T$279,MATCH(D368,$D$244:$D$279,0),E368+2)</f>
        <v>0</v>
      </c>
      <c r="G368" s="88">
        <f t="shared" si="11"/>
        <v>0</v>
      </c>
    </row>
    <row r="369" spans="4:7" hidden="1" outlineLevel="1">
      <c r="D369" s="88">
        <f t="shared" si="10"/>
        <v>6</v>
      </c>
      <c r="E369" s="88">
        <v>11</v>
      </c>
      <c r="F369" s="89" cm="1">
        <f t="array" ref="F369">INDEX($D$244:$T$279,MATCH(D369,$D$244:$D$279,0),E369+2)</f>
        <v>0</v>
      </c>
      <c r="G369" s="88">
        <f t="shared" si="11"/>
        <v>0</v>
      </c>
    </row>
    <row r="370" spans="4:7" hidden="1" outlineLevel="1">
      <c r="D370" s="88">
        <f t="shared" si="10"/>
        <v>6</v>
      </c>
      <c r="E370" s="88">
        <v>12</v>
      </c>
      <c r="F370" s="89" cm="1">
        <f t="array" ref="F370">INDEX($D$244:$T$279,MATCH(D370,$D$244:$D$279,0),E370+2)</f>
        <v>0</v>
      </c>
      <c r="G370" s="88">
        <f t="shared" si="11"/>
        <v>0</v>
      </c>
    </row>
    <row r="371" spans="4:7" hidden="1" outlineLevel="1">
      <c r="D371" s="88">
        <f t="shared" si="10"/>
        <v>6</v>
      </c>
      <c r="E371" s="88">
        <v>13</v>
      </c>
      <c r="F371" s="89" cm="1">
        <f t="array" ref="F371">INDEX($D$244:$T$279,MATCH(D371,$D$244:$D$279,0),E371+2)</f>
        <v>0</v>
      </c>
      <c r="G371" s="88">
        <f t="shared" si="11"/>
        <v>0</v>
      </c>
    </row>
    <row r="372" spans="4:7" hidden="1" outlineLevel="1">
      <c r="D372" s="88">
        <f t="shared" si="10"/>
        <v>6</v>
      </c>
      <c r="E372" s="88">
        <v>14</v>
      </c>
      <c r="F372" s="89" cm="1">
        <f t="array" ref="F372">INDEX($D$244:$T$279,MATCH(D372,$D$244:$D$279,0),E372+2)</f>
        <v>0</v>
      </c>
      <c r="G372" s="88">
        <f t="shared" si="11"/>
        <v>0</v>
      </c>
    </row>
    <row r="373" spans="4:7" hidden="1" outlineLevel="1">
      <c r="D373" s="88">
        <f t="shared" si="10"/>
        <v>6</v>
      </c>
      <c r="E373" s="88">
        <v>15</v>
      </c>
      <c r="F373" s="89" cm="1">
        <f t="array" ref="F373">INDEX($D$244:$T$279,MATCH(D373,$D$244:$D$279,0),E373+2)</f>
        <v>0</v>
      </c>
      <c r="G373" s="88">
        <f t="shared" si="11"/>
        <v>0</v>
      </c>
    </row>
    <row r="374" spans="4:7" hidden="1" outlineLevel="1">
      <c r="D374" s="88">
        <f t="shared" si="10"/>
        <v>7</v>
      </c>
      <c r="E374" s="88">
        <v>1</v>
      </c>
      <c r="F374" s="89" cm="1">
        <f t="array" ref="F374">INDEX($D$244:$T$279,MATCH(D374,$D$244:$D$279,0),E374+2)</f>
        <v>1</v>
      </c>
      <c r="G374" s="88">
        <f t="shared" si="11"/>
        <v>7</v>
      </c>
    </row>
    <row r="375" spans="4:7" hidden="1" outlineLevel="1">
      <c r="D375" s="88">
        <f t="shared" si="10"/>
        <v>7</v>
      </c>
      <c r="E375" s="88">
        <v>2</v>
      </c>
      <c r="F375" s="89" cm="1">
        <f t="array" ref="F375">INDEX($D$244:$T$279,MATCH(D375,$D$244:$D$279,0),E375+2)</f>
        <v>1</v>
      </c>
      <c r="G375" s="88">
        <f t="shared" si="11"/>
        <v>7</v>
      </c>
    </row>
    <row r="376" spans="4:7" hidden="1" outlineLevel="1">
      <c r="D376" s="88">
        <f t="shared" si="10"/>
        <v>7</v>
      </c>
      <c r="E376" s="88">
        <v>3</v>
      </c>
      <c r="F376" s="89" cm="1">
        <f t="array" ref="F376">INDEX($D$244:$T$279,MATCH(D376,$D$244:$D$279,0),E376+2)</f>
        <v>0</v>
      </c>
      <c r="G376" s="88">
        <f t="shared" si="11"/>
        <v>0</v>
      </c>
    </row>
    <row r="377" spans="4:7" hidden="1" outlineLevel="1">
      <c r="D377" s="88">
        <f t="shared" si="10"/>
        <v>7</v>
      </c>
      <c r="E377" s="88">
        <v>4</v>
      </c>
      <c r="F377" s="89" cm="1">
        <f t="array" ref="F377">INDEX($D$244:$T$279,MATCH(D377,$D$244:$D$279,0),E377+2)</f>
        <v>0</v>
      </c>
      <c r="G377" s="88">
        <f t="shared" si="11"/>
        <v>0</v>
      </c>
    </row>
    <row r="378" spans="4:7" hidden="1" outlineLevel="1">
      <c r="D378" s="88">
        <f t="shared" si="10"/>
        <v>7</v>
      </c>
      <c r="E378" s="88">
        <v>5</v>
      </c>
      <c r="F378" s="89" cm="1">
        <f t="array" ref="F378">INDEX($D$244:$T$279,MATCH(D378,$D$244:$D$279,0),E378+2)</f>
        <v>0</v>
      </c>
      <c r="G378" s="88">
        <f t="shared" si="11"/>
        <v>0</v>
      </c>
    </row>
    <row r="379" spans="4:7" hidden="1" outlineLevel="1">
      <c r="D379" s="88">
        <f t="shared" si="10"/>
        <v>7</v>
      </c>
      <c r="E379" s="88">
        <v>6</v>
      </c>
      <c r="F379" s="89" cm="1">
        <f t="array" ref="F379">INDEX($D$244:$T$279,MATCH(D379,$D$244:$D$279,0),E379+2)</f>
        <v>0</v>
      </c>
      <c r="G379" s="88">
        <f t="shared" si="11"/>
        <v>0</v>
      </c>
    </row>
    <row r="380" spans="4:7" hidden="1" outlineLevel="1">
      <c r="D380" s="88">
        <f t="shared" si="10"/>
        <v>7</v>
      </c>
      <c r="E380" s="88">
        <v>7</v>
      </c>
      <c r="F380" s="89" cm="1">
        <f t="array" ref="F380">INDEX($D$244:$T$279,MATCH(D380,$D$244:$D$279,0),E380+2)</f>
        <v>0</v>
      </c>
      <c r="G380" s="88">
        <f t="shared" si="11"/>
        <v>0</v>
      </c>
    </row>
    <row r="381" spans="4:7" hidden="1" outlineLevel="1">
      <c r="D381" s="88">
        <f t="shared" si="10"/>
        <v>7</v>
      </c>
      <c r="E381" s="88">
        <v>8</v>
      </c>
      <c r="F381" s="89" cm="1">
        <f t="array" ref="F381">INDEX($D$244:$T$279,MATCH(D381,$D$244:$D$279,0),E381+2)</f>
        <v>0</v>
      </c>
      <c r="G381" s="88">
        <f t="shared" si="11"/>
        <v>0</v>
      </c>
    </row>
    <row r="382" spans="4:7" hidden="1" outlineLevel="1">
      <c r="D382" s="88">
        <f t="shared" si="10"/>
        <v>7</v>
      </c>
      <c r="E382" s="88">
        <v>9</v>
      </c>
      <c r="F382" s="89" cm="1">
        <f t="array" ref="F382">INDEX($D$244:$T$279,MATCH(D382,$D$244:$D$279,0),E382+2)</f>
        <v>0</v>
      </c>
      <c r="G382" s="88">
        <f t="shared" si="11"/>
        <v>0</v>
      </c>
    </row>
    <row r="383" spans="4:7" hidden="1" outlineLevel="1">
      <c r="D383" s="88">
        <f t="shared" si="10"/>
        <v>7</v>
      </c>
      <c r="E383" s="88">
        <v>10</v>
      </c>
      <c r="F383" s="89" cm="1">
        <f t="array" ref="F383">INDEX($D$244:$T$279,MATCH(D383,$D$244:$D$279,0),E383+2)</f>
        <v>0</v>
      </c>
      <c r="G383" s="88">
        <f t="shared" si="11"/>
        <v>0</v>
      </c>
    </row>
    <row r="384" spans="4:7" hidden="1" outlineLevel="1">
      <c r="D384" s="88">
        <f t="shared" si="10"/>
        <v>7</v>
      </c>
      <c r="E384" s="88">
        <v>11</v>
      </c>
      <c r="F384" s="89" cm="1">
        <f t="array" ref="F384">INDEX($D$244:$T$279,MATCH(D384,$D$244:$D$279,0),E384+2)</f>
        <v>0</v>
      </c>
      <c r="G384" s="88">
        <f t="shared" si="11"/>
        <v>0</v>
      </c>
    </row>
    <row r="385" spans="4:7" hidden="1" outlineLevel="1">
      <c r="D385" s="88">
        <f t="shared" si="10"/>
        <v>7</v>
      </c>
      <c r="E385" s="88">
        <v>12</v>
      </c>
      <c r="F385" s="89" cm="1">
        <f t="array" ref="F385">INDEX($D$244:$T$279,MATCH(D385,$D$244:$D$279,0),E385+2)</f>
        <v>0</v>
      </c>
      <c r="G385" s="88">
        <f t="shared" si="11"/>
        <v>0</v>
      </c>
    </row>
    <row r="386" spans="4:7" hidden="1" outlineLevel="1">
      <c r="D386" s="88">
        <f t="shared" si="10"/>
        <v>7</v>
      </c>
      <c r="E386" s="88">
        <v>13</v>
      </c>
      <c r="F386" s="89" cm="1">
        <f t="array" ref="F386">INDEX($D$244:$T$279,MATCH(D386,$D$244:$D$279,0),E386+2)</f>
        <v>0</v>
      </c>
      <c r="G386" s="88">
        <f t="shared" si="11"/>
        <v>0</v>
      </c>
    </row>
    <row r="387" spans="4:7" hidden="1" outlineLevel="1">
      <c r="D387" s="88">
        <f t="shared" si="10"/>
        <v>7</v>
      </c>
      <c r="E387" s="88">
        <v>14</v>
      </c>
      <c r="F387" s="89" cm="1">
        <f t="array" ref="F387">INDEX($D$244:$T$279,MATCH(D387,$D$244:$D$279,0),E387+2)</f>
        <v>0</v>
      </c>
      <c r="G387" s="88">
        <f t="shared" si="11"/>
        <v>0</v>
      </c>
    </row>
    <row r="388" spans="4:7" hidden="1" outlineLevel="1">
      <c r="D388" s="88">
        <f t="shared" si="10"/>
        <v>7</v>
      </c>
      <c r="E388" s="88">
        <v>15</v>
      </c>
      <c r="F388" s="89" cm="1">
        <f t="array" ref="F388">INDEX($D$244:$T$279,MATCH(D388,$D$244:$D$279,0),E388+2)</f>
        <v>0</v>
      </c>
      <c r="G388" s="88">
        <f t="shared" si="11"/>
        <v>0</v>
      </c>
    </row>
    <row r="389" spans="4:7" hidden="1" outlineLevel="1">
      <c r="D389" s="88">
        <f t="shared" si="10"/>
        <v>8</v>
      </c>
      <c r="E389" s="88">
        <v>1</v>
      </c>
      <c r="F389" s="89" cm="1">
        <f t="array" ref="F389">INDEX($D$244:$T$279,MATCH(D389,$D$244:$D$279,0),E389+2)</f>
        <v>1</v>
      </c>
      <c r="G389" s="88">
        <f t="shared" si="11"/>
        <v>8</v>
      </c>
    </row>
    <row r="390" spans="4:7" hidden="1" outlineLevel="1">
      <c r="D390" s="88">
        <f t="shared" si="10"/>
        <v>8</v>
      </c>
      <c r="E390" s="88">
        <v>2</v>
      </c>
      <c r="F390" s="89" cm="1">
        <f t="array" ref="F390">INDEX($D$244:$T$279,MATCH(D390,$D$244:$D$279,0),E390+2)</f>
        <v>1</v>
      </c>
      <c r="G390" s="88">
        <f t="shared" si="11"/>
        <v>8</v>
      </c>
    </row>
    <row r="391" spans="4:7" hidden="1" outlineLevel="1">
      <c r="D391" s="88">
        <f t="shared" si="10"/>
        <v>8</v>
      </c>
      <c r="E391" s="88">
        <v>3</v>
      </c>
      <c r="F391" s="89" cm="1">
        <f t="array" ref="F391">INDEX($D$244:$T$279,MATCH(D391,$D$244:$D$279,0),E391+2)</f>
        <v>0</v>
      </c>
      <c r="G391" s="88">
        <f t="shared" si="11"/>
        <v>0</v>
      </c>
    </row>
    <row r="392" spans="4:7" hidden="1" outlineLevel="1">
      <c r="D392" s="88">
        <f t="shared" si="10"/>
        <v>8</v>
      </c>
      <c r="E392" s="88">
        <v>4</v>
      </c>
      <c r="F392" s="89" cm="1">
        <f t="array" ref="F392">INDEX($D$244:$T$279,MATCH(D392,$D$244:$D$279,0),E392+2)</f>
        <v>0</v>
      </c>
      <c r="G392" s="88">
        <f t="shared" si="11"/>
        <v>0</v>
      </c>
    </row>
    <row r="393" spans="4:7" hidden="1" outlineLevel="1">
      <c r="D393" s="88">
        <f t="shared" si="10"/>
        <v>8</v>
      </c>
      <c r="E393" s="88">
        <v>5</v>
      </c>
      <c r="F393" s="89" cm="1">
        <f t="array" ref="F393">INDEX($D$244:$T$279,MATCH(D393,$D$244:$D$279,0),E393+2)</f>
        <v>0</v>
      </c>
      <c r="G393" s="88">
        <f t="shared" si="11"/>
        <v>0</v>
      </c>
    </row>
    <row r="394" spans="4:7" hidden="1" outlineLevel="1">
      <c r="D394" s="88">
        <f t="shared" si="10"/>
        <v>8</v>
      </c>
      <c r="E394" s="88">
        <v>6</v>
      </c>
      <c r="F394" s="89" cm="1">
        <f t="array" ref="F394">INDEX($D$244:$T$279,MATCH(D394,$D$244:$D$279,0),E394+2)</f>
        <v>0</v>
      </c>
      <c r="G394" s="88">
        <f t="shared" si="11"/>
        <v>0</v>
      </c>
    </row>
    <row r="395" spans="4:7" hidden="1" outlineLevel="1">
      <c r="D395" s="88">
        <f t="shared" si="10"/>
        <v>8</v>
      </c>
      <c r="E395" s="88">
        <v>7</v>
      </c>
      <c r="F395" s="89" cm="1">
        <f t="array" ref="F395">INDEX($D$244:$T$279,MATCH(D395,$D$244:$D$279,0),E395+2)</f>
        <v>0</v>
      </c>
      <c r="G395" s="88">
        <f t="shared" si="11"/>
        <v>0</v>
      </c>
    </row>
    <row r="396" spans="4:7" hidden="1" outlineLevel="1">
      <c r="D396" s="88">
        <f t="shared" si="10"/>
        <v>8</v>
      </c>
      <c r="E396" s="88">
        <v>8</v>
      </c>
      <c r="F396" s="89" cm="1">
        <f t="array" ref="F396">INDEX($D$244:$T$279,MATCH(D396,$D$244:$D$279,0),E396+2)</f>
        <v>0</v>
      </c>
      <c r="G396" s="88">
        <f t="shared" si="11"/>
        <v>0</v>
      </c>
    </row>
    <row r="397" spans="4:7" hidden="1" outlineLevel="1">
      <c r="D397" s="88">
        <f t="shared" si="10"/>
        <v>8</v>
      </c>
      <c r="E397" s="88">
        <v>9</v>
      </c>
      <c r="F397" s="89" cm="1">
        <f t="array" ref="F397">INDEX($D$244:$T$279,MATCH(D397,$D$244:$D$279,0),E397+2)</f>
        <v>0</v>
      </c>
      <c r="G397" s="88">
        <f t="shared" si="11"/>
        <v>0</v>
      </c>
    </row>
    <row r="398" spans="4:7" hidden="1" outlineLevel="1">
      <c r="D398" s="88">
        <f t="shared" si="10"/>
        <v>8</v>
      </c>
      <c r="E398" s="88">
        <v>10</v>
      </c>
      <c r="F398" s="89" cm="1">
        <f t="array" ref="F398">INDEX($D$244:$T$279,MATCH(D398,$D$244:$D$279,0),E398+2)</f>
        <v>0</v>
      </c>
      <c r="G398" s="88">
        <f t="shared" si="11"/>
        <v>0</v>
      </c>
    </row>
    <row r="399" spans="4:7" hidden="1" outlineLevel="1">
      <c r="D399" s="88">
        <f t="shared" si="10"/>
        <v>8</v>
      </c>
      <c r="E399" s="88">
        <v>11</v>
      </c>
      <c r="F399" s="89" cm="1">
        <f t="array" ref="F399">INDEX($D$244:$T$279,MATCH(D399,$D$244:$D$279,0),E399+2)</f>
        <v>0</v>
      </c>
      <c r="G399" s="88">
        <f t="shared" si="11"/>
        <v>0</v>
      </c>
    </row>
    <row r="400" spans="4:7" hidden="1" outlineLevel="1">
      <c r="D400" s="88">
        <f t="shared" si="10"/>
        <v>8</v>
      </c>
      <c r="E400" s="88">
        <v>12</v>
      </c>
      <c r="F400" s="89" cm="1">
        <f t="array" ref="F400">INDEX($D$244:$T$279,MATCH(D400,$D$244:$D$279,0),E400+2)</f>
        <v>0</v>
      </c>
      <c r="G400" s="88">
        <f t="shared" si="11"/>
        <v>0</v>
      </c>
    </row>
    <row r="401" spans="4:7" hidden="1" outlineLevel="1">
      <c r="D401" s="88">
        <f t="shared" si="10"/>
        <v>8</v>
      </c>
      <c r="E401" s="88">
        <v>13</v>
      </c>
      <c r="F401" s="89" cm="1">
        <f t="array" ref="F401">INDEX($D$244:$T$279,MATCH(D401,$D$244:$D$279,0),E401+2)</f>
        <v>0</v>
      </c>
      <c r="G401" s="88">
        <f t="shared" si="11"/>
        <v>0</v>
      </c>
    </row>
    <row r="402" spans="4:7" hidden="1" outlineLevel="1">
      <c r="D402" s="88">
        <f t="shared" si="10"/>
        <v>8</v>
      </c>
      <c r="E402" s="88">
        <v>14</v>
      </c>
      <c r="F402" s="89" cm="1">
        <f t="array" ref="F402">INDEX($D$244:$T$279,MATCH(D402,$D$244:$D$279,0),E402+2)</f>
        <v>0</v>
      </c>
      <c r="G402" s="88">
        <f t="shared" si="11"/>
        <v>0</v>
      </c>
    </row>
    <row r="403" spans="4:7" hidden="1" outlineLevel="1">
      <c r="D403" s="88">
        <f t="shared" si="10"/>
        <v>8</v>
      </c>
      <c r="E403" s="88">
        <v>15</v>
      </c>
      <c r="F403" s="89" cm="1">
        <f t="array" ref="F403">INDEX($D$244:$T$279,MATCH(D403,$D$244:$D$279,0),E403+2)</f>
        <v>0</v>
      </c>
      <c r="G403" s="88">
        <f t="shared" si="11"/>
        <v>0</v>
      </c>
    </row>
    <row r="404" spans="4:7" hidden="1" outlineLevel="1">
      <c r="D404" s="88">
        <f t="shared" si="10"/>
        <v>9</v>
      </c>
      <c r="E404" s="88">
        <v>1</v>
      </c>
      <c r="F404" s="89" cm="1">
        <f t="array" ref="F404">INDEX($D$244:$T$279,MATCH(D404,$D$244:$D$279,0),E404+2)</f>
        <v>1</v>
      </c>
      <c r="G404" s="88">
        <f t="shared" si="11"/>
        <v>9</v>
      </c>
    </row>
    <row r="405" spans="4:7" hidden="1" outlineLevel="1">
      <c r="D405" s="88">
        <f t="shared" si="10"/>
        <v>9</v>
      </c>
      <c r="E405" s="88">
        <v>2</v>
      </c>
      <c r="F405" s="89" cm="1">
        <f t="array" ref="F405">INDEX($D$244:$T$279,MATCH(D405,$D$244:$D$279,0),E405+2)</f>
        <v>1</v>
      </c>
      <c r="G405" s="88">
        <f t="shared" si="11"/>
        <v>9</v>
      </c>
    </row>
    <row r="406" spans="4:7" hidden="1" outlineLevel="1">
      <c r="D406" s="88">
        <f t="shared" si="10"/>
        <v>9</v>
      </c>
      <c r="E406" s="88">
        <v>3</v>
      </c>
      <c r="F406" s="89" cm="1">
        <f t="array" ref="F406">INDEX($D$244:$T$279,MATCH(D406,$D$244:$D$279,0),E406+2)</f>
        <v>1</v>
      </c>
      <c r="G406" s="88">
        <f t="shared" si="11"/>
        <v>9</v>
      </c>
    </row>
    <row r="407" spans="4:7" hidden="1" outlineLevel="1">
      <c r="D407" s="88">
        <f t="shared" si="10"/>
        <v>9</v>
      </c>
      <c r="E407" s="88">
        <v>4</v>
      </c>
      <c r="F407" s="89" cm="1">
        <f t="array" ref="F407">INDEX($D$244:$T$279,MATCH(D407,$D$244:$D$279,0),E407+2)</f>
        <v>0</v>
      </c>
      <c r="G407" s="88">
        <f t="shared" si="11"/>
        <v>0</v>
      </c>
    </row>
    <row r="408" spans="4:7" hidden="1" outlineLevel="1">
      <c r="D408" s="88">
        <f t="shared" si="10"/>
        <v>9</v>
      </c>
      <c r="E408" s="88">
        <v>5</v>
      </c>
      <c r="F408" s="89" cm="1">
        <f t="array" ref="F408">INDEX($D$244:$T$279,MATCH(D408,$D$244:$D$279,0),E408+2)</f>
        <v>0</v>
      </c>
      <c r="G408" s="88">
        <f t="shared" si="11"/>
        <v>0</v>
      </c>
    </row>
    <row r="409" spans="4:7" hidden="1" outlineLevel="1">
      <c r="D409" s="88">
        <f t="shared" ref="D409:D472" si="12">D394+1</f>
        <v>9</v>
      </c>
      <c r="E409" s="88">
        <v>6</v>
      </c>
      <c r="F409" s="89" cm="1">
        <f t="array" ref="F409">INDEX($D$244:$T$279,MATCH(D409,$D$244:$D$279,0),E409+2)</f>
        <v>0</v>
      </c>
      <c r="G409" s="88">
        <f t="shared" si="11"/>
        <v>0</v>
      </c>
    </row>
    <row r="410" spans="4:7" hidden="1" outlineLevel="1">
      <c r="D410" s="88">
        <f t="shared" si="12"/>
        <v>9</v>
      </c>
      <c r="E410" s="88">
        <v>7</v>
      </c>
      <c r="F410" s="89" cm="1">
        <f t="array" ref="F410">INDEX($D$244:$T$279,MATCH(D410,$D$244:$D$279,0),E410+2)</f>
        <v>0</v>
      </c>
      <c r="G410" s="88">
        <f t="shared" si="11"/>
        <v>0</v>
      </c>
    </row>
    <row r="411" spans="4:7" hidden="1" outlineLevel="1">
      <c r="D411" s="88">
        <f t="shared" si="12"/>
        <v>9</v>
      </c>
      <c r="E411" s="88">
        <v>8</v>
      </c>
      <c r="F411" s="89" cm="1">
        <f t="array" ref="F411">INDEX($D$244:$T$279,MATCH(D411,$D$244:$D$279,0),E411+2)</f>
        <v>0</v>
      </c>
      <c r="G411" s="88">
        <f t="shared" si="11"/>
        <v>0</v>
      </c>
    </row>
    <row r="412" spans="4:7" hidden="1" outlineLevel="1">
      <c r="D412" s="88">
        <f t="shared" si="12"/>
        <v>9</v>
      </c>
      <c r="E412" s="88">
        <v>9</v>
      </c>
      <c r="F412" s="89" cm="1">
        <f t="array" ref="F412">INDEX($D$244:$T$279,MATCH(D412,$D$244:$D$279,0),E412+2)</f>
        <v>0</v>
      </c>
      <c r="G412" s="88">
        <f t="shared" ref="G412:G475" si="13">IF(F412&gt;0,D412,0)</f>
        <v>0</v>
      </c>
    </row>
    <row r="413" spans="4:7" hidden="1" outlineLevel="1">
      <c r="D413" s="88">
        <f t="shared" si="12"/>
        <v>9</v>
      </c>
      <c r="E413" s="88">
        <v>10</v>
      </c>
      <c r="F413" s="89" cm="1">
        <f t="array" ref="F413">INDEX($D$244:$T$279,MATCH(D413,$D$244:$D$279,0),E413+2)</f>
        <v>0</v>
      </c>
      <c r="G413" s="88">
        <f t="shared" si="13"/>
        <v>0</v>
      </c>
    </row>
    <row r="414" spans="4:7" hidden="1" outlineLevel="1">
      <c r="D414" s="88">
        <f t="shared" si="12"/>
        <v>9</v>
      </c>
      <c r="E414" s="88">
        <v>11</v>
      </c>
      <c r="F414" s="89" cm="1">
        <f t="array" ref="F414">INDEX($D$244:$T$279,MATCH(D414,$D$244:$D$279,0),E414+2)</f>
        <v>0</v>
      </c>
      <c r="G414" s="88">
        <f t="shared" si="13"/>
        <v>0</v>
      </c>
    </row>
    <row r="415" spans="4:7" hidden="1" outlineLevel="1">
      <c r="D415" s="88">
        <f t="shared" si="12"/>
        <v>9</v>
      </c>
      <c r="E415" s="88">
        <v>12</v>
      </c>
      <c r="F415" s="89" cm="1">
        <f t="array" ref="F415">INDEX($D$244:$T$279,MATCH(D415,$D$244:$D$279,0),E415+2)</f>
        <v>0</v>
      </c>
      <c r="G415" s="88">
        <f t="shared" si="13"/>
        <v>0</v>
      </c>
    </row>
    <row r="416" spans="4:7" hidden="1" outlineLevel="1">
      <c r="D416" s="88">
        <f t="shared" si="12"/>
        <v>9</v>
      </c>
      <c r="E416" s="88">
        <v>13</v>
      </c>
      <c r="F416" s="89" cm="1">
        <f t="array" ref="F416">INDEX($D$244:$T$279,MATCH(D416,$D$244:$D$279,0),E416+2)</f>
        <v>0</v>
      </c>
      <c r="G416" s="88">
        <f t="shared" si="13"/>
        <v>0</v>
      </c>
    </row>
    <row r="417" spans="4:7" hidden="1" outlineLevel="1">
      <c r="D417" s="88">
        <f t="shared" si="12"/>
        <v>9</v>
      </c>
      <c r="E417" s="88">
        <v>14</v>
      </c>
      <c r="F417" s="89" cm="1">
        <f t="array" ref="F417">INDEX($D$244:$T$279,MATCH(D417,$D$244:$D$279,0),E417+2)</f>
        <v>0</v>
      </c>
      <c r="G417" s="88">
        <f t="shared" si="13"/>
        <v>0</v>
      </c>
    </row>
    <row r="418" spans="4:7" hidden="1" outlineLevel="1">
      <c r="D418" s="88">
        <f t="shared" si="12"/>
        <v>9</v>
      </c>
      <c r="E418" s="88">
        <v>15</v>
      </c>
      <c r="F418" s="89" cm="1">
        <f t="array" ref="F418">INDEX($D$244:$T$279,MATCH(D418,$D$244:$D$279,0),E418+2)</f>
        <v>0</v>
      </c>
      <c r="G418" s="88">
        <f t="shared" si="13"/>
        <v>0</v>
      </c>
    </row>
    <row r="419" spans="4:7" hidden="1" outlineLevel="1">
      <c r="D419" s="88">
        <f t="shared" si="12"/>
        <v>10</v>
      </c>
      <c r="E419" s="88">
        <v>1</v>
      </c>
      <c r="F419" s="89" cm="1">
        <f t="array" ref="F419">INDEX($D$244:$T$279,MATCH(D419,$D$244:$D$279,0),E419+2)</f>
        <v>1</v>
      </c>
      <c r="G419" s="88">
        <f t="shared" si="13"/>
        <v>10</v>
      </c>
    </row>
    <row r="420" spans="4:7" hidden="1" outlineLevel="1">
      <c r="D420" s="88">
        <f t="shared" si="12"/>
        <v>10</v>
      </c>
      <c r="E420" s="88">
        <v>2</v>
      </c>
      <c r="F420" s="89" cm="1">
        <f t="array" ref="F420">INDEX($D$244:$T$279,MATCH(D420,$D$244:$D$279,0),E420+2)</f>
        <v>1</v>
      </c>
      <c r="G420" s="88">
        <f t="shared" si="13"/>
        <v>10</v>
      </c>
    </row>
    <row r="421" spans="4:7" hidden="1" outlineLevel="1">
      <c r="D421" s="88">
        <f t="shared" si="12"/>
        <v>10</v>
      </c>
      <c r="E421" s="88">
        <v>3</v>
      </c>
      <c r="F421" s="89" cm="1">
        <f t="array" ref="F421">INDEX($D$244:$T$279,MATCH(D421,$D$244:$D$279,0),E421+2)</f>
        <v>0</v>
      </c>
      <c r="G421" s="88">
        <f t="shared" si="13"/>
        <v>0</v>
      </c>
    </row>
    <row r="422" spans="4:7" hidden="1" outlineLevel="1">
      <c r="D422" s="88">
        <f t="shared" si="12"/>
        <v>10</v>
      </c>
      <c r="E422" s="88">
        <v>4</v>
      </c>
      <c r="F422" s="89" cm="1">
        <f t="array" ref="F422">INDEX($D$244:$T$279,MATCH(D422,$D$244:$D$279,0),E422+2)</f>
        <v>0</v>
      </c>
      <c r="G422" s="88">
        <f t="shared" si="13"/>
        <v>0</v>
      </c>
    </row>
    <row r="423" spans="4:7" hidden="1" outlineLevel="1">
      <c r="D423" s="88">
        <f t="shared" si="12"/>
        <v>10</v>
      </c>
      <c r="E423" s="88">
        <v>5</v>
      </c>
      <c r="F423" s="89" cm="1">
        <f t="array" ref="F423">INDEX($D$244:$T$279,MATCH(D423,$D$244:$D$279,0),E423+2)</f>
        <v>0</v>
      </c>
      <c r="G423" s="88">
        <f t="shared" si="13"/>
        <v>0</v>
      </c>
    </row>
    <row r="424" spans="4:7" hidden="1" outlineLevel="1">
      <c r="D424" s="88">
        <f t="shared" si="12"/>
        <v>10</v>
      </c>
      <c r="E424" s="88">
        <v>6</v>
      </c>
      <c r="F424" s="89" cm="1">
        <f t="array" ref="F424">INDEX($D$244:$T$279,MATCH(D424,$D$244:$D$279,0),E424+2)</f>
        <v>0</v>
      </c>
      <c r="G424" s="88">
        <f t="shared" si="13"/>
        <v>0</v>
      </c>
    </row>
    <row r="425" spans="4:7" hidden="1" outlineLevel="1">
      <c r="D425" s="88">
        <f t="shared" si="12"/>
        <v>10</v>
      </c>
      <c r="E425" s="88">
        <v>7</v>
      </c>
      <c r="F425" s="89" cm="1">
        <f t="array" ref="F425">INDEX($D$244:$T$279,MATCH(D425,$D$244:$D$279,0),E425+2)</f>
        <v>0</v>
      </c>
      <c r="G425" s="88">
        <f t="shared" si="13"/>
        <v>0</v>
      </c>
    </row>
    <row r="426" spans="4:7" hidden="1" outlineLevel="1">
      <c r="D426" s="88">
        <f t="shared" si="12"/>
        <v>10</v>
      </c>
      <c r="E426" s="88">
        <v>8</v>
      </c>
      <c r="F426" s="89" cm="1">
        <f t="array" ref="F426">INDEX($D$244:$T$279,MATCH(D426,$D$244:$D$279,0),E426+2)</f>
        <v>0</v>
      </c>
      <c r="G426" s="88">
        <f t="shared" si="13"/>
        <v>0</v>
      </c>
    </row>
    <row r="427" spans="4:7" hidden="1" outlineLevel="1">
      <c r="D427" s="88">
        <f t="shared" si="12"/>
        <v>10</v>
      </c>
      <c r="E427" s="88">
        <v>9</v>
      </c>
      <c r="F427" s="89" cm="1">
        <f t="array" ref="F427">INDEX($D$244:$T$279,MATCH(D427,$D$244:$D$279,0),E427+2)</f>
        <v>0</v>
      </c>
      <c r="G427" s="88">
        <f t="shared" si="13"/>
        <v>0</v>
      </c>
    </row>
    <row r="428" spans="4:7" hidden="1" outlineLevel="1">
      <c r="D428" s="88">
        <f t="shared" si="12"/>
        <v>10</v>
      </c>
      <c r="E428" s="88">
        <v>10</v>
      </c>
      <c r="F428" s="89" cm="1">
        <f t="array" ref="F428">INDEX($D$244:$T$279,MATCH(D428,$D$244:$D$279,0),E428+2)</f>
        <v>0</v>
      </c>
      <c r="G428" s="88">
        <f t="shared" si="13"/>
        <v>0</v>
      </c>
    </row>
    <row r="429" spans="4:7" hidden="1" outlineLevel="1">
      <c r="D429" s="88">
        <f t="shared" si="12"/>
        <v>10</v>
      </c>
      <c r="E429" s="88">
        <v>11</v>
      </c>
      <c r="F429" s="89" cm="1">
        <f t="array" ref="F429">INDEX($D$244:$T$279,MATCH(D429,$D$244:$D$279,0),E429+2)</f>
        <v>0</v>
      </c>
      <c r="G429" s="88">
        <f t="shared" si="13"/>
        <v>0</v>
      </c>
    </row>
    <row r="430" spans="4:7" hidden="1" outlineLevel="1">
      <c r="D430" s="88">
        <f t="shared" si="12"/>
        <v>10</v>
      </c>
      <c r="E430" s="88">
        <v>12</v>
      </c>
      <c r="F430" s="89" cm="1">
        <f t="array" ref="F430">INDEX($D$244:$T$279,MATCH(D430,$D$244:$D$279,0),E430+2)</f>
        <v>0</v>
      </c>
      <c r="G430" s="88">
        <f t="shared" si="13"/>
        <v>0</v>
      </c>
    </row>
    <row r="431" spans="4:7" hidden="1" outlineLevel="1">
      <c r="D431" s="88">
        <f t="shared" si="12"/>
        <v>10</v>
      </c>
      <c r="E431" s="88">
        <v>13</v>
      </c>
      <c r="F431" s="89" cm="1">
        <f t="array" ref="F431">INDEX($D$244:$T$279,MATCH(D431,$D$244:$D$279,0),E431+2)</f>
        <v>0</v>
      </c>
      <c r="G431" s="88">
        <f t="shared" si="13"/>
        <v>0</v>
      </c>
    </row>
    <row r="432" spans="4:7" hidden="1" outlineLevel="1">
      <c r="D432" s="88">
        <f t="shared" si="12"/>
        <v>10</v>
      </c>
      <c r="E432" s="88">
        <v>14</v>
      </c>
      <c r="F432" s="89" cm="1">
        <f t="array" ref="F432">INDEX($D$244:$T$279,MATCH(D432,$D$244:$D$279,0),E432+2)</f>
        <v>0</v>
      </c>
      <c r="G432" s="88">
        <f t="shared" si="13"/>
        <v>0</v>
      </c>
    </row>
    <row r="433" spans="4:7" hidden="1" outlineLevel="1">
      <c r="D433" s="88">
        <f t="shared" si="12"/>
        <v>10</v>
      </c>
      <c r="E433" s="88">
        <v>15</v>
      </c>
      <c r="F433" s="89" cm="1">
        <f t="array" ref="F433">INDEX($D$244:$T$279,MATCH(D433,$D$244:$D$279,0),E433+2)</f>
        <v>0</v>
      </c>
      <c r="G433" s="88">
        <f t="shared" si="13"/>
        <v>0</v>
      </c>
    </row>
    <row r="434" spans="4:7" hidden="1" outlineLevel="1">
      <c r="D434" s="88">
        <f t="shared" si="12"/>
        <v>11</v>
      </c>
      <c r="E434" s="88">
        <v>1</v>
      </c>
      <c r="F434" s="89" cm="1">
        <f t="array" ref="F434">INDEX($D$244:$T$279,MATCH(D434,$D$244:$D$279,0),E434+2)</f>
        <v>1</v>
      </c>
      <c r="G434" s="88">
        <f t="shared" si="13"/>
        <v>11</v>
      </c>
    </row>
    <row r="435" spans="4:7" hidden="1" outlineLevel="1">
      <c r="D435" s="88">
        <f t="shared" si="12"/>
        <v>11</v>
      </c>
      <c r="E435" s="88">
        <v>2</v>
      </c>
      <c r="F435" s="89" cm="1">
        <f t="array" ref="F435">INDEX($D$244:$T$279,MATCH(D435,$D$244:$D$279,0),E435+2)</f>
        <v>1</v>
      </c>
      <c r="G435" s="88">
        <f t="shared" si="13"/>
        <v>11</v>
      </c>
    </row>
    <row r="436" spans="4:7" hidden="1" outlineLevel="1">
      <c r="D436" s="88">
        <f t="shared" si="12"/>
        <v>11</v>
      </c>
      <c r="E436" s="88">
        <v>3</v>
      </c>
      <c r="F436" s="89" cm="1">
        <f t="array" ref="F436">INDEX($D$244:$T$279,MATCH(D436,$D$244:$D$279,0),E436+2)</f>
        <v>0</v>
      </c>
      <c r="G436" s="88">
        <f t="shared" si="13"/>
        <v>0</v>
      </c>
    </row>
    <row r="437" spans="4:7" hidden="1" outlineLevel="1">
      <c r="D437" s="88">
        <f t="shared" si="12"/>
        <v>11</v>
      </c>
      <c r="E437" s="88">
        <v>4</v>
      </c>
      <c r="F437" s="89" cm="1">
        <f t="array" ref="F437">INDEX($D$244:$T$279,MATCH(D437,$D$244:$D$279,0),E437+2)</f>
        <v>0</v>
      </c>
      <c r="G437" s="88">
        <f t="shared" si="13"/>
        <v>0</v>
      </c>
    </row>
    <row r="438" spans="4:7" hidden="1" outlineLevel="1">
      <c r="D438" s="88">
        <f t="shared" si="12"/>
        <v>11</v>
      </c>
      <c r="E438" s="88">
        <v>5</v>
      </c>
      <c r="F438" s="89" cm="1">
        <f t="array" ref="F438">INDEX($D$244:$T$279,MATCH(D438,$D$244:$D$279,0),E438+2)</f>
        <v>0</v>
      </c>
      <c r="G438" s="88">
        <f t="shared" si="13"/>
        <v>0</v>
      </c>
    </row>
    <row r="439" spans="4:7" hidden="1" outlineLevel="1">
      <c r="D439" s="88">
        <f t="shared" si="12"/>
        <v>11</v>
      </c>
      <c r="E439" s="88">
        <v>6</v>
      </c>
      <c r="F439" s="89" cm="1">
        <f t="array" ref="F439">INDEX($D$244:$T$279,MATCH(D439,$D$244:$D$279,0),E439+2)</f>
        <v>0</v>
      </c>
      <c r="G439" s="88">
        <f t="shared" si="13"/>
        <v>0</v>
      </c>
    </row>
    <row r="440" spans="4:7" hidden="1" outlineLevel="1">
      <c r="D440" s="88">
        <f t="shared" si="12"/>
        <v>11</v>
      </c>
      <c r="E440" s="88">
        <v>7</v>
      </c>
      <c r="F440" s="89" cm="1">
        <f t="array" ref="F440">INDEX($D$244:$T$279,MATCH(D440,$D$244:$D$279,0),E440+2)</f>
        <v>0</v>
      </c>
      <c r="G440" s="88">
        <f t="shared" si="13"/>
        <v>0</v>
      </c>
    </row>
    <row r="441" spans="4:7" hidden="1" outlineLevel="1">
      <c r="D441" s="88">
        <f t="shared" si="12"/>
        <v>11</v>
      </c>
      <c r="E441" s="88">
        <v>8</v>
      </c>
      <c r="F441" s="89" cm="1">
        <f t="array" ref="F441">INDEX($D$244:$T$279,MATCH(D441,$D$244:$D$279,0),E441+2)</f>
        <v>0</v>
      </c>
      <c r="G441" s="88">
        <f t="shared" si="13"/>
        <v>0</v>
      </c>
    </row>
    <row r="442" spans="4:7" hidden="1" outlineLevel="1">
      <c r="D442" s="88">
        <f t="shared" si="12"/>
        <v>11</v>
      </c>
      <c r="E442" s="88">
        <v>9</v>
      </c>
      <c r="F442" s="89" cm="1">
        <f t="array" ref="F442">INDEX($D$244:$T$279,MATCH(D442,$D$244:$D$279,0),E442+2)</f>
        <v>0</v>
      </c>
      <c r="G442" s="88">
        <f t="shared" si="13"/>
        <v>0</v>
      </c>
    </row>
    <row r="443" spans="4:7" hidden="1" outlineLevel="1">
      <c r="D443" s="88">
        <f t="shared" si="12"/>
        <v>11</v>
      </c>
      <c r="E443" s="88">
        <v>10</v>
      </c>
      <c r="F443" s="89" cm="1">
        <f t="array" ref="F443">INDEX($D$244:$T$279,MATCH(D443,$D$244:$D$279,0),E443+2)</f>
        <v>0</v>
      </c>
      <c r="G443" s="88">
        <f t="shared" si="13"/>
        <v>0</v>
      </c>
    </row>
    <row r="444" spans="4:7" hidden="1" outlineLevel="1">
      <c r="D444" s="88">
        <f t="shared" si="12"/>
        <v>11</v>
      </c>
      <c r="E444" s="88">
        <v>11</v>
      </c>
      <c r="F444" s="89" cm="1">
        <f t="array" ref="F444">INDEX($D$244:$T$279,MATCH(D444,$D$244:$D$279,0),E444+2)</f>
        <v>0</v>
      </c>
      <c r="G444" s="88">
        <f t="shared" si="13"/>
        <v>0</v>
      </c>
    </row>
    <row r="445" spans="4:7" hidden="1" outlineLevel="1">
      <c r="D445" s="88">
        <f t="shared" si="12"/>
        <v>11</v>
      </c>
      <c r="E445" s="88">
        <v>12</v>
      </c>
      <c r="F445" s="89" cm="1">
        <f t="array" ref="F445">INDEX($D$244:$T$279,MATCH(D445,$D$244:$D$279,0),E445+2)</f>
        <v>0</v>
      </c>
      <c r="G445" s="88">
        <f t="shared" si="13"/>
        <v>0</v>
      </c>
    </row>
    <row r="446" spans="4:7" hidden="1" outlineLevel="1">
      <c r="D446" s="88">
        <f t="shared" si="12"/>
        <v>11</v>
      </c>
      <c r="E446" s="88">
        <v>13</v>
      </c>
      <c r="F446" s="89" cm="1">
        <f t="array" ref="F446">INDEX($D$244:$T$279,MATCH(D446,$D$244:$D$279,0),E446+2)</f>
        <v>0</v>
      </c>
      <c r="G446" s="88">
        <f t="shared" si="13"/>
        <v>0</v>
      </c>
    </row>
    <row r="447" spans="4:7" hidden="1" outlineLevel="1">
      <c r="D447" s="88">
        <f t="shared" si="12"/>
        <v>11</v>
      </c>
      <c r="E447" s="88">
        <v>14</v>
      </c>
      <c r="F447" s="89" cm="1">
        <f t="array" ref="F447">INDEX($D$244:$T$279,MATCH(D447,$D$244:$D$279,0),E447+2)</f>
        <v>0</v>
      </c>
      <c r="G447" s="88">
        <f t="shared" si="13"/>
        <v>0</v>
      </c>
    </row>
    <row r="448" spans="4:7" hidden="1" outlineLevel="1">
      <c r="D448" s="88">
        <f t="shared" si="12"/>
        <v>11</v>
      </c>
      <c r="E448" s="88">
        <v>15</v>
      </c>
      <c r="F448" s="89" cm="1">
        <f t="array" ref="F448">INDEX($D$244:$T$279,MATCH(D448,$D$244:$D$279,0),E448+2)</f>
        <v>0</v>
      </c>
      <c r="G448" s="88">
        <f t="shared" si="13"/>
        <v>0</v>
      </c>
    </row>
    <row r="449" spans="4:7" hidden="1" outlineLevel="1">
      <c r="D449" s="88">
        <f t="shared" si="12"/>
        <v>12</v>
      </c>
      <c r="E449" s="88">
        <v>1</v>
      </c>
      <c r="F449" s="89" cm="1">
        <f t="array" ref="F449">INDEX($D$244:$T$279,MATCH(D449,$D$244:$D$279,0),E449+2)</f>
        <v>0</v>
      </c>
      <c r="G449" s="88">
        <f t="shared" si="13"/>
        <v>0</v>
      </c>
    </row>
    <row r="450" spans="4:7" hidden="1" outlineLevel="1">
      <c r="D450" s="88">
        <f t="shared" si="12"/>
        <v>12</v>
      </c>
      <c r="E450" s="88">
        <v>2</v>
      </c>
      <c r="F450" s="89" cm="1">
        <f t="array" ref="F450">INDEX($D$244:$T$279,MATCH(D450,$D$244:$D$279,0),E450+2)</f>
        <v>0</v>
      </c>
      <c r="G450" s="88">
        <f t="shared" si="13"/>
        <v>0</v>
      </c>
    </row>
    <row r="451" spans="4:7" hidden="1" outlineLevel="1">
      <c r="D451" s="88">
        <f t="shared" si="12"/>
        <v>12</v>
      </c>
      <c r="E451" s="88">
        <v>3</v>
      </c>
      <c r="F451" s="89" cm="1">
        <f t="array" ref="F451">INDEX($D$244:$T$279,MATCH(D451,$D$244:$D$279,0),E451+2)</f>
        <v>0</v>
      </c>
      <c r="G451" s="88">
        <f t="shared" si="13"/>
        <v>0</v>
      </c>
    </row>
    <row r="452" spans="4:7" hidden="1" outlineLevel="1">
      <c r="D452" s="88">
        <f t="shared" si="12"/>
        <v>12</v>
      </c>
      <c r="E452" s="88">
        <v>4</v>
      </c>
      <c r="F452" s="89" cm="1">
        <f t="array" ref="F452">INDEX($D$244:$T$279,MATCH(D452,$D$244:$D$279,0),E452+2)</f>
        <v>0</v>
      </c>
      <c r="G452" s="88">
        <f t="shared" si="13"/>
        <v>0</v>
      </c>
    </row>
    <row r="453" spans="4:7" hidden="1" outlineLevel="1">
      <c r="D453" s="88">
        <f t="shared" si="12"/>
        <v>12</v>
      </c>
      <c r="E453" s="88">
        <v>5</v>
      </c>
      <c r="F453" s="89" cm="1">
        <f t="array" ref="F453">INDEX($D$244:$T$279,MATCH(D453,$D$244:$D$279,0),E453+2)</f>
        <v>0</v>
      </c>
      <c r="G453" s="88">
        <f t="shared" si="13"/>
        <v>0</v>
      </c>
    </row>
    <row r="454" spans="4:7" hidden="1" outlineLevel="1">
      <c r="D454" s="88">
        <f t="shared" si="12"/>
        <v>12</v>
      </c>
      <c r="E454" s="88">
        <v>6</v>
      </c>
      <c r="F454" s="89" cm="1">
        <f t="array" ref="F454">INDEX($D$244:$T$279,MATCH(D454,$D$244:$D$279,0),E454+2)</f>
        <v>0</v>
      </c>
      <c r="G454" s="88">
        <f t="shared" si="13"/>
        <v>0</v>
      </c>
    </row>
    <row r="455" spans="4:7" hidden="1" outlineLevel="1">
      <c r="D455" s="88">
        <f t="shared" si="12"/>
        <v>12</v>
      </c>
      <c r="E455" s="88">
        <v>7</v>
      </c>
      <c r="F455" s="89" cm="1">
        <f t="array" ref="F455">INDEX($D$244:$T$279,MATCH(D455,$D$244:$D$279,0),E455+2)</f>
        <v>0</v>
      </c>
      <c r="G455" s="88">
        <f t="shared" si="13"/>
        <v>0</v>
      </c>
    </row>
    <row r="456" spans="4:7" hidden="1" outlineLevel="1">
      <c r="D456" s="88">
        <f t="shared" si="12"/>
        <v>12</v>
      </c>
      <c r="E456" s="88">
        <v>8</v>
      </c>
      <c r="F456" s="89" cm="1">
        <f t="array" ref="F456">INDEX($D$244:$T$279,MATCH(D456,$D$244:$D$279,0),E456+2)</f>
        <v>0</v>
      </c>
      <c r="G456" s="88">
        <f t="shared" si="13"/>
        <v>0</v>
      </c>
    </row>
    <row r="457" spans="4:7" hidden="1" outlineLevel="1">
      <c r="D457" s="88">
        <f t="shared" si="12"/>
        <v>12</v>
      </c>
      <c r="E457" s="88">
        <v>9</v>
      </c>
      <c r="F457" s="89" cm="1">
        <f t="array" ref="F457">INDEX($D$244:$T$279,MATCH(D457,$D$244:$D$279,0),E457+2)</f>
        <v>0</v>
      </c>
      <c r="G457" s="88">
        <f t="shared" si="13"/>
        <v>0</v>
      </c>
    </row>
    <row r="458" spans="4:7" hidden="1" outlineLevel="1">
      <c r="D458" s="88">
        <f t="shared" si="12"/>
        <v>12</v>
      </c>
      <c r="E458" s="88">
        <v>10</v>
      </c>
      <c r="F458" s="89" cm="1">
        <f t="array" ref="F458">INDEX($D$244:$T$279,MATCH(D458,$D$244:$D$279,0),E458+2)</f>
        <v>0</v>
      </c>
      <c r="G458" s="88">
        <f t="shared" si="13"/>
        <v>0</v>
      </c>
    </row>
    <row r="459" spans="4:7" hidden="1" outlineLevel="1">
      <c r="D459" s="88">
        <f t="shared" si="12"/>
        <v>12</v>
      </c>
      <c r="E459" s="88">
        <v>11</v>
      </c>
      <c r="F459" s="89" cm="1">
        <f t="array" ref="F459">INDEX($D$244:$T$279,MATCH(D459,$D$244:$D$279,0),E459+2)</f>
        <v>0</v>
      </c>
      <c r="G459" s="88">
        <f t="shared" si="13"/>
        <v>0</v>
      </c>
    </row>
    <row r="460" spans="4:7" hidden="1" outlineLevel="1">
      <c r="D460" s="88">
        <f t="shared" si="12"/>
        <v>12</v>
      </c>
      <c r="E460" s="88">
        <v>12</v>
      </c>
      <c r="F460" s="89" cm="1">
        <f t="array" ref="F460">INDEX($D$244:$T$279,MATCH(D460,$D$244:$D$279,0),E460+2)</f>
        <v>0</v>
      </c>
      <c r="G460" s="88">
        <f t="shared" si="13"/>
        <v>0</v>
      </c>
    </row>
    <row r="461" spans="4:7" hidden="1" outlineLevel="1">
      <c r="D461" s="88">
        <f t="shared" si="12"/>
        <v>12</v>
      </c>
      <c r="E461" s="88">
        <v>13</v>
      </c>
      <c r="F461" s="89" cm="1">
        <f t="array" ref="F461">INDEX($D$244:$T$279,MATCH(D461,$D$244:$D$279,0),E461+2)</f>
        <v>0</v>
      </c>
      <c r="G461" s="88">
        <f t="shared" si="13"/>
        <v>0</v>
      </c>
    </row>
    <row r="462" spans="4:7" hidden="1" outlineLevel="1">
      <c r="D462" s="88">
        <f t="shared" si="12"/>
        <v>12</v>
      </c>
      <c r="E462" s="88">
        <v>14</v>
      </c>
      <c r="F462" s="89" cm="1">
        <f t="array" ref="F462">INDEX($D$244:$T$279,MATCH(D462,$D$244:$D$279,0),E462+2)</f>
        <v>0</v>
      </c>
      <c r="G462" s="88">
        <f t="shared" si="13"/>
        <v>0</v>
      </c>
    </row>
    <row r="463" spans="4:7" hidden="1" outlineLevel="1">
      <c r="D463" s="88">
        <f t="shared" si="12"/>
        <v>12</v>
      </c>
      <c r="E463" s="88">
        <v>15</v>
      </c>
      <c r="F463" s="89" cm="1">
        <f t="array" ref="F463">INDEX($D$244:$T$279,MATCH(D463,$D$244:$D$279,0),E463+2)</f>
        <v>0</v>
      </c>
      <c r="G463" s="88">
        <f t="shared" si="13"/>
        <v>0</v>
      </c>
    </row>
    <row r="464" spans="4:7" hidden="1" outlineLevel="1">
      <c r="D464" s="88">
        <f t="shared" si="12"/>
        <v>13</v>
      </c>
      <c r="E464" s="88">
        <v>1</v>
      </c>
      <c r="F464" s="89" cm="1">
        <f t="array" ref="F464">INDEX($D$244:$T$279,MATCH(D464,$D$244:$D$279,0),E464+2)</f>
        <v>1</v>
      </c>
      <c r="G464" s="88">
        <f t="shared" si="13"/>
        <v>13</v>
      </c>
    </row>
    <row r="465" spans="4:7" hidden="1" outlineLevel="1">
      <c r="D465" s="88">
        <f t="shared" si="12"/>
        <v>13</v>
      </c>
      <c r="E465" s="88">
        <v>2</v>
      </c>
      <c r="F465" s="89" cm="1">
        <f t="array" ref="F465">INDEX($D$244:$T$279,MATCH(D465,$D$244:$D$279,0),E465+2)</f>
        <v>1</v>
      </c>
      <c r="G465" s="88">
        <f t="shared" si="13"/>
        <v>13</v>
      </c>
    </row>
    <row r="466" spans="4:7" hidden="1" outlineLevel="1">
      <c r="D466" s="88">
        <f t="shared" si="12"/>
        <v>13</v>
      </c>
      <c r="E466" s="88">
        <v>3</v>
      </c>
      <c r="F466" s="89" cm="1">
        <f t="array" ref="F466">INDEX($D$244:$T$279,MATCH(D466,$D$244:$D$279,0),E466+2)</f>
        <v>0</v>
      </c>
      <c r="G466" s="88">
        <f t="shared" si="13"/>
        <v>0</v>
      </c>
    </row>
    <row r="467" spans="4:7" hidden="1" outlineLevel="1">
      <c r="D467" s="88">
        <f t="shared" si="12"/>
        <v>13</v>
      </c>
      <c r="E467" s="88">
        <v>4</v>
      </c>
      <c r="F467" s="89" cm="1">
        <f t="array" ref="F467">INDEX($D$244:$T$279,MATCH(D467,$D$244:$D$279,0),E467+2)</f>
        <v>0</v>
      </c>
      <c r="G467" s="88">
        <f t="shared" si="13"/>
        <v>0</v>
      </c>
    </row>
    <row r="468" spans="4:7" hidden="1" outlineLevel="1">
      <c r="D468" s="88">
        <f t="shared" si="12"/>
        <v>13</v>
      </c>
      <c r="E468" s="88">
        <v>5</v>
      </c>
      <c r="F468" s="89" cm="1">
        <f t="array" ref="F468">INDEX($D$244:$T$279,MATCH(D468,$D$244:$D$279,0),E468+2)</f>
        <v>0</v>
      </c>
      <c r="G468" s="88">
        <f t="shared" si="13"/>
        <v>0</v>
      </c>
    </row>
    <row r="469" spans="4:7" hidden="1" outlineLevel="1">
      <c r="D469" s="88">
        <f t="shared" si="12"/>
        <v>13</v>
      </c>
      <c r="E469" s="88">
        <v>6</v>
      </c>
      <c r="F469" s="89" cm="1">
        <f t="array" ref="F469">INDEX($D$244:$T$279,MATCH(D469,$D$244:$D$279,0),E469+2)</f>
        <v>0</v>
      </c>
      <c r="G469" s="88">
        <f t="shared" si="13"/>
        <v>0</v>
      </c>
    </row>
    <row r="470" spans="4:7" hidden="1" outlineLevel="1">
      <c r="D470" s="88">
        <f t="shared" si="12"/>
        <v>13</v>
      </c>
      <c r="E470" s="88">
        <v>7</v>
      </c>
      <c r="F470" s="89" cm="1">
        <f t="array" ref="F470">INDEX($D$244:$T$279,MATCH(D470,$D$244:$D$279,0),E470+2)</f>
        <v>0</v>
      </c>
      <c r="G470" s="88">
        <f t="shared" si="13"/>
        <v>0</v>
      </c>
    </row>
    <row r="471" spans="4:7" hidden="1" outlineLevel="1">
      <c r="D471" s="88">
        <f t="shared" si="12"/>
        <v>13</v>
      </c>
      <c r="E471" s="88">
        <v>8</v>
      </c>
      <c r="F471" s="89" cm="1">
        <f t="array" ref="F471">INDEX($D$244:$T$279,MATCH(D471,$D$244:$D$279,0),E471+2)</f>
        <v>0</v>
      </c>
      <c r="G471" s="88">
        <f t="shared" si="13"/>
        <v>0</v>
      </c>
    </row>
    <row r="472" spans="4:7" hidden="1" outlineLevel="1">
      <c r="D472" s="88">
        <f t="shared" si="12"/>
        <v>13</v>
      </c>
      <c r="E472" s="88">
        <v>9</v>
      </c>
      <c r="F472" s="89" cm="1">
        <f t="array" ref="F472">INDEX($D$244:$T$279,MATCH(D472,$D$244:$D$279,0),E472+2)</f>
        <v>0</v>
      </c>
      <c r="G472" s="88">
        <f t="shared" si="13"/>
        <v>0</v>
      </c>
    </row>
    <row r="473" spans="4:7" hidden="1" outlineLevel="1">
      <c r="D473" s="88">
        <f t="shared" ref="D473:D508" si="14">D458+1</f>
        <v>13</v>
      </c>
      <c r="E473" s="88">
        <v>10</v>
      </c>
      <c r="F473" s="89" cm="1">
        <f t="array" ref="F473">INDEX($D$244:$T$279,MATCH(D473,$D$244:$D$279,0),E473+2)</f>
        <v>0</v>
      </c>
      <c r="G473" s="88">
        <f t="shared" si="13"/>
        <v>0</v>
      </c>
    </row>
    <row r="474" spans="4:7" hidden="1" outlineLevel="1">
      <c r="D474" s="88">
        <f t="shared" si="14"/>
        <v>13</v>
      </c>
      <c r="E474" s="88">
        <v>11</v>
      </c>
      <c r="F474" s="89" cm="1">
        <f t="array" ref="F474">INDEX($D$244:$T$279,MATCH(D474,$D$244:$D$279,0),E474+2)</f>
        <v>0</v>
      </c>
      <c r="G474" s="88">
        <f t="shared" si="13"/>
        <v>0</v>
      </c>
    </row>
    <row r="475" spans="4:7" hidden="1" outlineLevel="1">
      <c r="D475" s="88">
        <f t="shared" si="14"/>
        <v>13</v>
      </c>
      <c r="E475" s="88">
        <v>12</v>
      </c>
      <c r="F475" s="89" cm="1">
        <f t="array" ref="F475">INDEX($D$244:$T$279,MATCH(D475,$D$244:$D$279,0),E475+2)</f>
        <v>0</v>
      </c>
      <c r="G475" s="88">
        <f t="shared" si="13"/>
        <v>0</v>
      </c>
    </row>
    <row r="476" spans="4:7" hidden="1" outlineLevel="1">
      <c r="D476" s="88">
        <f t="shared" si="14"/>
        <v>13</v>
      </c>
      <c r="E476" s="88">
        <v>13</v>
      </c>
      <c r="F476" s="89" cm="1">
        <f t="array" ref="F476">INDEX($D$244:$T$279,MATCH(D476,$D$244:$D$279,0),E476+2)</f>
        <v>0</v>
      </c>
      <c r="G476" s="88">
        <f t="shared" ref="G476:G508" si="15">IF(F476&gt;0,D476,0)</f>
        <v>0</v>
      </c>
    </row>
    <row r="477" spans="4:7" hidden="1" outlineLevel="1">
      <c r="D477" s="88">
        <f t="shared" si="14"/>
        <v>13</v>
      </c>
      <c r="E477" s="88">
        <v>14</v>
      </c>
      <c r="F477" s="89" cm="1">
        <f t="array" ref="F477">INDEX($D$244:$T$279,MATCH(D477,$D$244:$D$279,0),E477+2)</f>
        <v>0</v>
      </c>
      <c r="G477" s="88">
        <f t="shared" si="15"/>
        <v>0</v>
      </c>
    </row>
    <row r="478" spans="4:7" hidden="1" outlineLevel="1">
      <c r="D478" s="88">
        <f t="shared" si="14"/>
        <v>13</v>
      </c>
      <c r="E478" s="88">
        <v>15</v>
      </c>
      <c r="F478" s="89" cm="1">
        <f t="array" ref="F478">INDEX($D$244:$T$279,MATCH(D478,$D$244:$D$279,0),E478+2)</f>
        <v>0</v>
      </c>
      <c r="G478" s="88">
        <f t="shared" si="15"/>
        <v>0</v>
      </c>
    </row>
    <row r="479" spans="4:7" hidden="1" outlineLevel="1">
      <c r="D479" s="88">
        <f t="shared" si="14"/>
        <v>14</v>
      </c>
      <c r="E479" s="88">
        <v>1</v>
      </c>
      <c r="F479" s="89" cm="1">
        <f t="array" ref="F479">INDEX($D$244:$T$279,MATCH(D479,$D$244:$D$279,0),E479+2)</f>
        <v>1</v>
      </c>
      <c r="G479" s="88">
        <f t="shared" si="15"/>
        <v>14</v>
      </c>
    </row>
    <row r="480" spans="4:7" hidden="1" outlineLevel="1">
      <c r="D480" s="88">
        <f t="shared" si="14"/>
        <v>14</v>
      </c>
      <c r="E480" s="88">
        <v>2</v>
      </c>
      <c r="F480" s="89" cm="1">
        <f t="array" ref="F480">INDEX($D$244:$T$279,MATCH(D480,$D$244:$D$279,0),E480+2)</f>
        <v>1</v>
      </c>
      <c r="G480" s="88">
        <f t="shared" si="15"/>
        <v>14</v>
      </c>
    </row>
    <row r="481" spans="4:7" hidden="1" outlineLevel="1">
      <c r="D481" s="88">
        <f t="shared" si="14"/>
        <v>14</v>
      </c>
      <c r="E481" s="88">
        <v>3</v>
      </c>
      <c r="F481" s="89" cm="1">
        <f t="array" ref="F481">INDEX($D$244:$T$279,MATCH(D481,$D$244:$D$279,0),E481+2)</f>
        <v>0</v>
      </c>
      <c r="G481" s="88">
        <f t="shared" si="15"/>
        <v>0</v>
      </c>
    </row>
    <row r="482" spans="4:7" hidden="1" outlineLevel="1">
      <c r="D482" s="88">
        <f t="shared" si="14"/>
        <v>14</v>
      </c>
      <c r="E482" s="88">
        <v>4</v>
      </c>
      <c r="F482" s="89" cm="1">
        <f t="array" ref="F482">INDEX($D$244:$T$279,MATCH(D482,$D$244:$D$279,0),E482+2)</f>
        <v>0</v>
      </c>
      <c r="G482" s="88">
        <f t="shared" si="15"/>
        <v>0</v>
      </c>
    </row>
    <row r="483" spans="4:7" hidden="1" outlineLevel="1">
      <c r="D483" s="88">
        <f t="shared" si="14"/>
        <v>14</v>
      </c>
      <c r="E483" s="88">
        <v>5</v>
      </c>
      <c r="F483" s="89" cm="1">
        <f t="array" ref="F483">INDEX($D$244:$T$279,MATCH(D483,$D$244:$D$279,0),E483+2)</f>
        <v>0</v>
      </c>
      <c r="G483" s="88">
        <f t="shared" si="15"/>
        <v>0</v>
      </c>
    </row>
    <row r="484" spans="4:7" hidden="1" outlineLevel="1">
      <c r="D484" s="88">
        <f t="shared" si="14"/>
        <v>14</v>
      </c>
      <c r="E484" s="88">
        <v>6</v>
      </c>
      <c r="F484" s="89" cm="1">
        <f t="array" ref="F484">INDEX($D$244:$T$279,MATCH(D484,$D$244:$D$279,0),E484+2)</f>
        <v>0</v>
      </c>
      <c r="G484" s="88">
        <f t="shared" si="15"/>
        <v>0</v>
      </c>
    </row>
    <row r="485" spans="4:7" hidden="1" outlineLevel="1">
      <c r="D485" s="88">
        <f t="shared" si="14"/>
        <v>14</v>
      </c>
      <c r="E485" s="88">
        <v>7</v>
      </c>
      <c r="F485" s="89" cm="1">
        <f t="array" ref="F485">INDEX($D$244:$T$279,MATCH(D485,$D$244:$D$279,0),E485+2)</f>
        <v>0</v>
      </c>
      <c r="G485" s="88">
        <f t="shared" si="15"/>
        <v>0</v>
      </c>
    </row>
    <row r="486" spans="4:7" hidden="1" outlineLevel="1">
      <c r="D486" s="88">
        <f t="shared" si="14"/>
        <v>14</v>
      </c>
      <c r="E486" s="88">
        <v>8</v>
      </c>
      <c r="F486" s="89" cm="1">
        <f t="array" ref="F486">INDEX($D$244:$T$279,MATCH(D486,$D$244:$D$279,0),E486+2)</f>
        <v>0</v>
      </c>
      <c r="G486" s="88">
        <f t="shared" si="15"/>
        <v>0</v>
      </c>
    </row>
    <row r="487" spans="4:7" hidden="1" outlineLevel="1">
      <c r="D487" s="88">
        <f t="shared" si="14"/>
        <v>14</v>
      </c>
      <c r="E487" s="88">
        <v>9</v>
      </c>
      <c r="F487" s="89" cm="1">
        <f t="array" ref="F487">INDEX($D$244:$T$279,MATCH(D487,$D$244:$D$279,0),E487+2)</f>
        <v>0</v>
      </c>
      <c r="G487" s="88">
        <f t="shared" si="15"/>
        <v>0</v>
      </c>
    </row>
    <row r="488" spans="4:7" hidden="1" outlineLevel="1">
      <c r="D488" s="88">
        <f t="shared" si="14"/>
        <v>14</v>
      </c>
      <c r="E488" s="88">
        <v>10</v>
      </c>
      <c r="F488" s="89" cm="1">
        <f t="array" ref="F488">INDEX($D$244:$T$279,MATCH(D488,$D$244:$D$279,0),E488+2)</f>
        <v>0</v>
      </c>
      <c r="G488" s="88">
        <f t="shared" si="15"/>
        <v>0</v>
      </c>
    </row>
    <row r="489" spans="4:7" hidden="1" outlineLevel="1">
      <c r="D489" s="88">
        <f t="shared" si="14"/>
        <v>14</v>
      </c>
      <c r="E489" s="88">
        <v>11</v>
      </c>
      <c r="F489" s="89" cm="1">
        <f t="array" ref="F489">INDEX($D$244:$T$279,MATCH(D489,$D$244:$D$279,0),E489+2)</f>
        <v>0</v>
      </c>
      <c r="G489" s="88">
        <f t="shared" si="15"/>
        <v>0</v>
      </c>
    </row>
    <row r="490" spans="4:7" hidden="1" outlineLevel="1">
      <c r="D490" s="88">
        <f t="shared" si="14"/>
        <v>14</v>
      </c>
      <c r="E490" s="88">
        <v>12</v>
      </c>
      <c r="F490" s="89" cm="1">
        <f t="array" ref="F490">INDEX($D$244:$T$279,MATCH(D490,$D$244:$D$279,0),E490+2)</f>
        <v>0</v>
      </c>
      <c r="G490" s="88">
        <f t="shared" si="15"/>
        <v>0</v>
      </c>
    </row>
    <row r="491" spans="4:7" hidden="1" outlineLevel="1">
      <c r="D491" s="88">
        <f t="shared" si="14"/>
        <v>14</v>
      </c>
      <c r="E491" s="88">
        <v>13</v>
      </c>
      <c r="F491" s="89" cm="1">
        <f t="array" ref="F491">INDEX($D$244:$T$279,MATCH(D491,$D$244:$D$279,0),E491+2)</f>
        <v>0</v>
      </c>
      <c r="G491" s="88">
        <f t="shared" si="15"/>
        <v>0</v>
      </c>
    </row>
    <row r="492" spans="4:7" hidden="1" outlineLevel="1">
      <c r="D492" s="88">
        <f t="shared" si="14"/>
        <v>14</v>
      </c>
      <c r="E492" s="88">
        <v>14</v>
      </c>
      <c r="F492" s="89" cm="1">
        <f t="array" ref="F492">INDEX($D$244:$T$279,MATCH(D492,$D$244:$D$279,0),E492+2)</f>
        <v>0</v>
      </c>
      <c r="G492" s="88">
        <f t="shared" si="15"/>
        <v>0</v>
      </c>
    </row>
    <row r="493" spans="4:7" hidden="1" outlineLevel="1">
      <c r="D493" s="88">
        <f t="shared" si="14"/>
        <v>14</v>
      </c>
      <c r="E493" s="88">
        <v>15</v>
      </c>
      <c r="F493" s="89" cm="1">
        <f t="array" ref="F493">INDEX($D$244:$T$279,MATCH(D493,$D$244:$D$279,0),E493+2)</f>
        <v>0</v>
      </c>
      <c r="G493" s="88">
        <f t="shared" si="15"/>
        <v>0</v>
      </c>
    </row>
    <row r="494" spans="4:7" hidden="1" outlineLevel="1">
      <c r="D494" s="88">
        <f t="shared" si="14"/>
        <v>15</v>
      </c>
      <c r="E494" s="88">
        <v>1</v>
      </c>
      <c r="F494" s="89" cm="1">
        <f t="array" ref="F494">INDEX($D$244:$T$279,MATCH(D494,$D$244:$D$279,0),E494+2)</f>
        <v>0</v>
      </c>
      <c r="G494" s="88">
        <f t="shared" si="15"/>
        <v>0</v>
      </c>
    </row>
    <row r="495" spans="4:7" hidden="1" outlineLevel="1">
      <c r="D495" s="88">
        <f t="shared" si="14"/>
        <v>15</v>
      </c>
      <c r="E495" s="88">
        <v>2</v>
      </c>
      <c r="F495" s="89" cm="1">
        <f t="array" ref="F495">INDEX($D$244:$T$279,MATCH(D495,$D$244:$D$279,0),E495+2)</f>
        <v>0</v>
      </c>
      <c r="G495" s="88">
        <f t="shared" si="15"/>
        <v>0</v>
      </c>
    </row>
    <row r="496" spans="4:7" hidden="1" outlineLevel="1">
      <c r="D496" s="88">
        <f t="shared" si="14"/>
        <v>15</v>
      </c>
      <c r="E496" s="88">
        <v>3</v>
      </c>
      <c r="F496" s="89" cm="1">
        <f t="array" ref="F496">INDEX($D$244:$T$279,MATCH(D496,$D$244:$D$279,0),E496+2)</f>
        <v>0</v>
      </c>
      <c r="G496" s="88">
        <f t="shared" si="15"/>
        <v>0</v>
      </c>
    </row>
    <row r="497" spans="4:7" hidden="1" outlineLevel="1">
      <c r="D497" s="88">
        <f t="shared" si="14"/>
        <v>15</v>
      </c>
      <c r="E497" s="88">
        <v>4</v>
      </c>
      <c r="F497" s="89" cm="1">
        <f t="array" ref="F497">INDEX($D$244:$T$279,MATCH(D497,$D$244:$D$279,0),E497+2)</f>
        <v>0</v>
      </c>
      <c r="G497" s="88">
        <f t="shared" si="15"/>
        <v>0</v>
      </c>
    </row>
    <row r="498" spans="4:7" hidden="1" outlineLevel="1">
      <c r="D498" s="88">
        <f t="shared" si="14"/>
        <v>15</v>
      </c>
      <c r="E498" s="88">
        <v>5</v>
      </c>
      <c r="F498" s="89" cm="1">
        <f t="array" ref="F498">INDEX($D$244:$T$279,MATCH(D498,$D$244:$D$279,0),E498+2)</f>
        <v>0</v>
      </c>
      <c r="G498" s="88">
        <f t="shared" si="15"/>
        <v>0</v>
      </c>
    </row>
    <row r="499" spans="4:7" hidden="1" outlineLevel="1">
      <c r="D499" s="88">
        <f t="shared" si="14"/>
        <v>15</v>
      </c>
      <c r="E499" s="88">
        <v>6</v>
      </c>
      <c r="F499" s="89" cm="1">
        <f t="array" ref="F499">INDEX($D$244:$T$279,MATCH(D499,$D$244:$D$279,0),E499+2)</f>
        <v>0</v>
      </c>
      <c r="G499" s="88">
        <f t="shared" si="15"/>
        <v>0</v>
      </c>
    </row>
    <row r="500" spans="4:7" hidden="1" outlineLevel="1">
      <c r="D500" s="88">
        <f t="shared" si="14"/>
        <v>15</v>
      </c>
      <c r="E500" s="88">
        <v>7</v>
      </c>
      <c r="F500" s="89" cm="1">
        <f t="array" ref="F500">INDEX($D$244:$T$279,MATCH(D500,$D$244:$D$279,0),E500+2)</f>
        <v>0</v>
      </c>
      <c r="G500" s="88">
        <f t="shared" si="15"/>
        <v>0</v>
      </c>
    </row>
    <row r="501" spans="4:7" hidden="1" outlineLevel="1">
      <c r="D501" s="88">
        <f t="shared" si="14"/>
        <v>15</v>
      </c>
      <c r="E501" s="88">
        <v>8</v>
      </c>
      <c r="F501" s="89" cm="1">
        <f t="array" ref="F501">INDEX($D$244:$T$279,MATCH(D501,$D$244:$D$279,0),E501+2)</f>
        <v>0</v>
      </c>
      <c r="G501" s="88">
        <f t="shared" si="15"/>
        <v>0</v>
      </c>
    </row>
    <row r="502" spans="4:7" hidden="1" outlineLevel="1">
      <c r="D502" s="88">
        <f t="shared" si="14"/>
        <v>15</v>
      </c>
      <c r="E502" s="88">
        <v>9</v>
      </c>
      <c r="F502" s="89" cm="1">
        <f t="array" ref="F502">INDEX($D$244:$T$279,MATCH(D502,$D$244:$D$279,0),E502+2)</f>
        <v>0</v>
      </c>
      <c r="G502" s="88">
        <f t="shared" si="15"/>
        <v>0</v>
      </c>
    </row>
    <row r="503" spans="4:7" hidden="1" outlineLevel="1">
      <c r="D503" s="88">
        <f t="shared" si="14"/>
        <v>15</v>
      </c>
      <c r="E503" s="88">
        <v>10</v>
      </c>
      <c r="F503" s="89" cm="1">
        <f t="array" ref="F503">INDEX($D$244:$T$279,MATCH(D503,$D$244:$D$279,0),E503+2)</f>
        <v>0</v>
      </c>
      <c r="G503" s="88">
        <f t="shared" si="15"/>
        <v>0</v>
      </c>
    </row>
    <row r="504" spans="4:7" hidden="1" outlineLevel="1">
      <c r="D504" s="88">
        <f t="shared" si="14"/>
        <v>15</v>
      </c>
      <c r="E504" s="88">
        <v>11</v>
      </c>
      <c r="F504" s="89" cm="1">
        <f t="array" ref="F504">INDEX($D$244:$T$279,MATCH(D504,$D$244:$D$279,0),E504+2)</f>
        <v>0</v>
      </c>
      <c r="G504" s="88">
        <f t="shared" si="15"/>
        <v>0</v>
      </c>
    </row>
    <row r="505" spans="4:7" hidden="1" outlineLevel="1">
      <c r="D505" s="88">
        <f t="shared" si="14"/>
        <v>15</v>
      </c>
      <c r="E505" s="88">
        <v>12</v>
      </c>
      <c r="F505" s="89" cm="1">
        <f t="array" ref="F505">INDEX($D$244:$T$279,MATCH(D505,$D$244:$D$279,0),E505+2)</f>
        <v>0</v>
      </c>
      <c r="G505" s="88">
        <f t="shared" si="15"/>
        <v>0</v>
      </c>
    </row>
    <row r="506" spans="4:7" hidden="1" outlineLevel="1">
      <c r="D506" s="88">
        <f t="shared" si="14"/>
        <v>15</v>
      </c>
      <c r="E506" s="88">
        <v>13</v>
      </c>
      <c r="F506" s="89" cm="1">
        <f t="array" ref="F506">INDEX($D$244:$T$279,MATCH(D506,$D$244:$D$279,0),E506+2)</f>
        <v>0</v>
      </c>
      <c r="G506" s="88">
        <f t="shared" si="15"/>
        <v>0</v>
      </c>
    </row>
    <row r="507" spans="4:7" hidden="1" outlineLevel="1">
      <c r="D507" s="88">
        <f t="shared" si="14"/>
        <v>15</v>
      </c>
      <c r="E507" s="88">
        <v>14</v>
      </c>
      <c r="F507" s="89" cm="1">
        <f t="array" ref="F507">INDEX($D$244:$T$279,MATCH(D507,$D$244:$D$279,0),E507+2)</f>
        <v>0</v>
      </c>
      <c r="G507" s="88">
        <f t="shared" si="15"/>
        <v>0</v>
      </c>
    </row>
    <row r="508" spans="4:7" hidden="1" outlineLevel="1">
      <c r="D508" s="88">
        <f t="shared" si="14"/>
        <v>15</v>
      </c>
      <c r="E508" s="88">
        <v>15</v>
      </c>
      <c r="F508" s="89" cm="1">
        <f t="array" ref="F508">INDEX($D$244:$T$279,MATCH(D508,$D$244:$D$279,0),E508+2)</f>
        <v>0</v>
      </c>
      <c r="G508" s="88">
        <f t="shared" si="15"/>
        <v>0</v>
      </c>
    </row>
    <row r="509" spans="4:7" hidden="1" outlineLevel="1">
      <c r="D509" s="88">
        <f>D494+1</f>
        <v>16</v>
      </c>
      <c r="E509" s="88">
        <v>1</v>
      </c>
      <c r="F509" s="89" cm="1">
        <f t="array" ref="F509">INDEX($D$244:$T$279,MATCH(D509,$D$244:$D$279,0),E509+2)</f>
        <v>0</v>
      </c>
      <c r="G509" s="88">
        <f t="shared" ref="G509:G572" si="16">IF(F509&gt;0,D509,0)</f>
        <v>0</v>
      </c>
    </row>
    <row r="510" spans="4:7" hidden="1" outlineLevel="1">
      <c r="D510" s="88">
        <f t="shared" ref="D510:D573" si="17">D495+1</f>
        <v>16</v>
      </c>
      <c r="E510" s="88">
        <v>2</v>
      </c>
      <c r="F510" s="89" cm="1">
        <f t="array" ref="F510">INDEX($D$244:$T$279,MATCH(D510,$D$244:$D$279,0),E510+2)</f>
        <v>0</v>
      </c>
      <c r="G510" s="88">
        <f t="shared" si="16"/>
        <v>0</v>
      </c>
    </row>
    <row r="511" spans="4:7" hidden="1" outlineLevel="1">
      <c r="D511" s="88">
        <f t="shared" si="17"/>
        <v>16</v>
      </c>
      <c r="E511" s="88">
        <v>3</v>
      </c>
      <c r="F511" s="89" cm="1">
        <f t="array" ref="F511">INDEX($D$244:$T$279,MATCH(D511,$D$244:$D$279,0),E511+2)</f>
        <v>0</v>
      </c>
      <c r="G511" s="88">
        <f t="shared" si="16"/>
        <v>0</v>
      </c>
    </row>
    <row r="512" spans="4:7" hidden="1" outlineLevel="1">
      <c r="D512" s="88">
        <f t="shared" si="17"/>
        <v>16</v>
      </c>
      <c r="E512" s="88">
        <v>4</v>
      </c>
      <c r="F512" s="89" cm="1">
        <f t="array" ref="F512">INDEX($D$244:$T$279,MATCH(D512,$D$244:$D$279,0),E512+2)</f>
        <v>0</v>
      </c>
      <c r="G512" s="88">
        <f t="shared" si="16"/>
        <v>0</v>
      </c>
    </row>
    <row r="513" spans="4:7" hidden="1" outlineLevel="1">
      <c r="D513" s="88">
        <f t="shared" si="17"/>
        <v>16</v>
      </c>
      <c r="E513" s="88">
        <v>5</v>
      </c>
      <c r="F513" s="89" cm="1">
        <f t="array" ref="F513">INDEX($D$244:$T$279,MATCH(D513,$D$244:$D$279,0),E513+2)</f>
        <v>0</v>
      </c>
      <c r="G513" s="88">
        <f t="shared" si="16"/>
        <v>0</v>
      </c>
    </row>
    <row r="514" spans="4:7" hidden="1" outlineLevel="1">
      <c r="D514" s="88">
        <f t="shared" si="17"/>
        <v>16</v>
      </c>
      <c r="E514" s="88">
        <v>6</v>
      </c>
      <c r="F514" s="89" cm="1">
        <f t="array" ref="F514">INDEX($D$244:$T$279,MATCH(D514,$D$244:$D$279,0),E514+2)</f>
        <v>0</v>
      </c>
      <c r="G514" s="88">
        <f t="shared" si="16"/>
        <v>0</v>
      </c>
    </row>
    <row r="515" spans="4:7" hidden="1" outlineLevel="1">
      <c r="D515" s="88">
        <f t="shared" si="17"/>
        <v>16</v>
      </c>
      <c r="E515" s="88">
        <v>7</v>
      </c>
      <c r="F515" s="89" cm="1">
        <f t="array" ref="F515">INDEX($D$244:$T$279,MATCH(D515,$D$244:$D$279,0),E515+2)</f>
        <v>0</v>
      </c>
      <c r="G515" s="88">
        <f t="shared" si="16"/>
        <v>0</v>
      </c>
    </row>
    <row r="516" spans="4:7" hidden="1" outlineLevel="1">
      <c r="D516" s="88">
        <f t="shared" si="17"/>
        <v>16</v>
      </c>
      <c r="E516" s="88">
        <v>8</v>
      </c>
      <c r="F516" s="89" cm="1">
        <f t="array" ref="F516">INDEX($D$244:$T$279,MATCH(D516,$D$244:$D$279,0),E516+2)</f>
        <v>0</v>
      </c>
      <c r="G516" s="88">
        <f t="shared" si="16"/>
        <v>0</v>
      </c>
    </row>
    <row r="517" spans="4:7" hidden="1" outlineLevel="1">
      <c r="D517" s="88">
        <f t="shared" si="17"/>
        <v>16</v>
      </c>
      <c r="E517" s="88">
        <v>9</v>
      </c>
      <c r="F517" s="89" cm="1">
        <f t="array" ref="F517">INDEX($D$244:$T$279,MATCH(D517,$D$244:$D$279,0),E517+2)</f>
        <v>0</v>
      </c>
      <c r="G517" s="88">
        <f t="shared" si="16"/>
        <v>0</v>
      </c>
    </row>
    <row r="518" spans="4:7" hidden="1" outlineLevel="1">
      <c r="D518" s="88">
        <f t="shared" si="17"/>
        <v>16</v>
      </c>
      <c r="E518" s="88">
        <v>10</v>
      </c>
      <c r="F518" s="89" cm="1">
        <f t="array" ref="F518">INDEX($D$244:$T$279,MATCH(D518,$D$244:$D$279,0),E518+2)</f>
        <v>0</v>
      </c>
      <c r="G518" s="88">
        <f t="shared" si="16"/>
        <v>0</v>
      </c>
    </row>
    <row r="519" spans="4:7" hidden="1" outlineLevel="1">
      <c r="D519" s="88">
        <f t="shared" si="17"/>
        <v>16</v>
      </c>
      <c r="E519" s="88">
        <v>11</v>
      </c>
      <c r="F519" s="89" cm="1">
        <f t="array" ref="F519">INDEX($D$244:$T$279,MATCH(D519,$D$244:$D$279,0),E519+2)</f>
        <v>0</v>
      </c>
      <c r="G519" s="88">
        <f t="shared" si="16"/>
        <v>0</v>
      </c>
    </row>
    <row r="520" spans="4:7" hidden="1" outlineLevel="1">
      <c r="D520" s="88">
        <f t="shared" si="17"/>
        <v>16</v>
      </c>
      <c r="E520" s="88">
        <v>12</v>
      </c>
      <c r="F520" s="89" cm="1">
        <f t="array" ref="F520">INDEX($D$244:$T$279,MATCH(D520,$D$244:$D$279,0),E520+2)</f>
        <v>0</v>
      </c>
      <c r="G520" s="88">
        <f t="shared" si="16"/>
        <v>0</v>
      </c>
    </row>
    <row r="521" spans="4:7" hidden="1" outlineLevel="1">
      <c r="D521" s="88">
        <f t="shared" si="17"/>
        <v>16</v>
      </c>
      <c r="E521" s="88">
        <v>13</v>
      </c>
      <c r="F521" s="89" cm="1">
        <f t="array" ref="F521">INDEX($D$244:$T$279,MATCH(D521,$D$244:$D$279,0),E521+2)</f>
        <v>0</v>
      </c>
      <c r="G521" s="88">
        <f t="shared" si="16"/>
        <v>0</v>
      </c>
    </row>
    <row r="522" spans="4:7" hidden="1" outlineLevel="1">
      <c r="D522" s="88">
        <f t="shared" si="17"/>
        <v>16</v>
      </c>
      <c r="E522" s="88">
        <v>14</v>
      </c>
      <c r="F522" s="89" cm="1">
        <f t="array" ref="F522">INDEX($D$244:$T$279,MATCH(D522,$D$244:$D$279,0),E522+2)</f>
        <v>0</v>
      </c>
      <c r="G522" s="88">
        <f t="shared" si="16"/>
        <v>0</v>
      </c>
    </row>
    <row r="523" spans="4:7" hidden="1" outlineLevel="1">
      <c r="D523" s="88">
        <f t="shared" si="17"/>
        <v>16</v>
      </c>
      <c r="E523" s="88">
        <v>15</v>
      </c>
      <c r="F523" s="89" cm="1">
        <f t="array" ref="F523">INDEX($D$244:$T$279,MATCH(D523,$D$244:$D$279,0),E523+2)</f>
        <v>0</v>
      </c>
      <c r="G523" s="88">
        <f t="shared" si="16"/>
        <v>0</v>
      </c>
    </row>
    <row r="524" spans="4:7" hidden="1" outlineLevel="1">
      <c r="D524" s="88">
        <f t="shared" si="17"/>
        <v>17</v>
      </c>
      <c r="E524" s="88">
        <v>1</v>
      </c>
      <c r="F524" s="89" cm="1">
        <f t="array" ref="F524">INDEX($D$244:$T$279,MATCH(D524,$D$244:$D$279,0),E524+2)</f>
        <v>0</v>
      </c>
      <c r="G524" s="88">
        <f t="shared" si="16"/>
        <v>0</v>
      </c>
    </row>
    <row r="525" spans="4:7" hidden="1" outlineLevel="1">
      <c r="D525" s="88">
        <f t="shared" si="17"/>
        <v>17</v>
      </c>
      <c r="E525" s="88">
        <v>2</v>
      </c>
      <c r="F525" s="89" cm="1">
        <f t="array" ref="F525">INDEX($D$244:$T$279,MATCH(D525,$D$244:$D$279,0),E525+2)</f>
        <v>0</v>
      </c>
      <c r="G525" s="88">
        <f t="shared" si="16"/>
        <v>0</v>
      </c>
    </row>
    <row r="526" spans="4:7" hidden="1" outlineLevel="1">
      <c r="D526" s="88">
        <f t="shared" si="17"/>
        <v>17</v>
      </c>
      <c r="E526" s="88">
        <v>3</v>
      </c>
      <c r="F526" s="89" cm="1">
        <f t="array" ref="F526">INDEX($D$244:$T$279,MATCH(D526,$D$244:$D$279,0),E526+2)</f>
        <v>0</v>
      </c>
      <c r="G526" s="88">
        <f t="shared" si="16"/>
        <v>0</v>
      </c>
    </row>
    <row r="527" spans="4:7" hidden="1" outlineLevel="1">
      <c r="D527" s="88">
        <f t="shared" si="17"/>
        <v>17</v>
      </c>
      <c r="E527" s="88">
        <v>4</v>
      </c>
      <c r="F527" s="89" cm="1">
        <f t="array" ref="F527">INDEX($D$244:$T$279,MATCH(D527,$D$244:$D$279,0),E527+2)</f>
        <v>0</v>
      </c>
      <c r="G527" s="88">
        <f t="shared" si="16"/>
        <v>0</v>
      </c>
    </row>
    <row r="528" spans="4:7" hidden="1" outlineLevel="1">
      <c r="D528" s="88">
        <f t="shared" si="17"/>
        <v>17</v>
      </c>
      <c r="E528" s="88">
        <v>5</v>
      </c>
      <c r="F528" s="89" cm="1">
        <f t="array" ref="F528">INDEX($D$244:$T$279,MATCH(D528,$D$244:$D$279,0),E528+2)</f>
        <v>0</v>
      </c>
      <c r="G528" s="88">
        <f t="shared" si="16"/>
        <v>0</v>
      </c>
    </row>
    <row r="529" spans="4:7" hidden="1" outlineLevel="1">
      <c r="D529" s="88">
        <f t="shared" si="17"/>
        <v>17</v>
      </c>
      <c r="E529" s="88">
        <v>6</v>
      </c>
      <c r="F529" s="89" cm="1">
        <f t="array" ref="F529">INDEX($D$244:$T$279,MATCH(D529,$D$244:$D$279,0),E529+2)</f>
        <v>0</v>
      </c>
      <c r="G529" s="88">
        <f t="shared" si="16"/>
        <v>0</v>
      </c>
    </row>
    <row r="530" spans="4:7" hidden="1" outlineLevel="1">
      <c r="D530" s="88">
        <f t="shared" si="17"/>
        <v>17</v>
      </c>
      <c r="E530" s="88">
        <v>7</v>
      </c>
      <c r="F530" s="89" cm="1">
        <f t="array" ref="F530">INDEX($D$244:$T$279,MATCH(D530,$D$244:$D$279,0),E530+2)</f>
        <v>0</v>
      </c>
      <c r="G530" s="88">
        <f t="shared" si="16"/>
        <v>0</v>
      </c>
    </row>
    <row r="531" spans="4:7" hidden="1" outlineLevel="1">
      <c r="D531" s="88">
        <f t="shared" si="17"/>
        <v>17</v>
      </c>
      <c r="E531" s="88">
        <v>8</v>
      </c>
      <c r="F531" s="89" cm="1">
        <f t="array" ref="F531">INDEX($D$244:$T$279,MATCH(D531,$D$244:$D$279,0),E531+2)</f>
        <v>0</v>
      </c>
      <c r="G531" s="88">
        <f t="shared" si="16"/>
        <v>0</v>
      </c>
    </row>
    <row r="532" spans="4:7" hidden="1" outlineLevel="1">
      <c r="D532" s="88">
        <f t="shared" si="17"/>
        <v>17</v>
      </c>
      <c r="E532" s="88">
        <v>9</v>
      </c>
      <c r="F532" s="89" cm="1">
        <f t="array" ref="F532">INDEX($D$244:$T$279,MATCH(D532,$D$244:$D$279,0),E532+2)</f>
        <v>0</v>
      </c>
      <c r="G532" s="88">
        <f t="shared" si="16"/>
        <v>0</v>
      </c>
    </row>
    <row r="533" spans="4:7" hidden="1" outlineLevel="1">
      <c r="D533" s="88">
        <f t="shared" si="17"/>
        <v>17</v>
      </c>
      <c r="E533" s="88">
        <v>10</v>
      </c>
      <c r="F533" s="89" cm="1">
        <f t="array" ref="F533">INDEX($D$244:$T$279,MATCH(D533,$D$244:$D$279,0),E533+2)</f>
        <v>0</v>
      </c>
      <c r="G533" s="88">
        <f t="shared" si="16"/>
        <v>0</v>
      </c>
    </row>
    <row r="534" spans="4:7" hidden="1" outlineLevel="1">
      <c r="D534" s="88">
        <f t="shared" si="17"/>
        <v>17</v>
      </c>
      <c r="E534" s="88">
        <v>11</v>
      </c>
      <c r="F534" s="89" cm="1">
        <f t="array" ref="F534">INDEX($D$244:$T$279,MATCH(D534,$D$244:$D$279,0),E534+2)</f>
        <v>0</v>
      </c>
      <c r="G534" s="88">
        <f t="shared" si="16"/>
        <v>0</v>
      </c>
    </row>
    <row r="535" spans="4:7" hidden="1" outlineLevel="1">
      <c r="D535" s="88">
        <f t="shared" si="17"/>
        <v>17</v>
      </c>
      <c r="E535" s="88">
        <v>12</v>
      </c>
      <c r="F535" s="89" cm="1">
        <f t="array" ref="F535">INDEX($D$244:$T$279,MATCH(D535,$D$244:$D$279,0),E535+2)</f>
        <v>0</v>
      </c>
      <c r="G535" s="88">
        <f t="shared" si="16"/>
        <v>0</v>
      </c>
    </row>
    <row r="536" spans="4:7" hidden="1" outlineLevel="1">
      <c r="D536" s="88">
        <f t="shared" si="17"/>
        <v>17</v>
      </c>
      <c r="E536" s="88">
        <v>13</v>
      </c>
      <c r="F536" s="89" cm="1">
        <f t="array" ref="F536">INDEX($D$244:$T$279,MATCH(D536,$D$244:$D$279,0),E536+2)</f>
        <v>0</v>
      </c>
      <c r="G536" s="88">
        <f t="shared" si="16"/>
        <v>0</v>
      </c>
    </row>
    <row r="537" spans="4:7" hidden="1" outlineLevel="1">
      <c r="D537" s="88">
        <f t="shared" si="17"/>
        <v>17</v>
      </c>
      <c r="E537" s="88">
        <v>14</v>
      </c>
      <c r="F537" s="89" cm="1">
        <f t="array" ref="F537">INDEX($D$244:$T$279,MATCH(D537,$D$244:$D$279,0),E537+2)</f>
        <v>0</v>
      </c>
      <c r="G537" s="88">
        <f t="shared" si="16"/>
        <v>0</v>
      </c>
    </row>
    <row r="538" spans="4:7" hidden="1" outlineLevel="1">
      <c r="D538" s="88">
        <f t="shared" si="17"/>
        <v>17</v>
      </c>
      <c r="E538" s="88">
        <v>15</v>
      </c>
      <c r="F538" s="89" cm="1">
        <f t="array" ref="F538">INDEX($D$244:$T$279,MATCH(D538,$D$244:$D$279,0),E538+2)</f>
        <v>0</v>
      </c>
      <c r="G538" s="88">
        <f t="shared" si="16"/>
        <v>0</v>
      </c>
    </row>
    <row r="539" spans="4:7" hidden="1" outlineLevel="1">
      <c r="D539" s="88">
        <f t="shared" si="17"/>
        <v>18</v>
      </c>
      <c r="E539" s="88">
        <v>1</v>
      </c>
      <c r="F539" s="89" cm="1">
        <f t="array" ref="F539">INDEX($D$244:$T$279,MATCH(D539,$D$244:$D$279,0),E539+2)</f>
        <v>0</v>
      </c>
      <c r="G539" s="88">
        <f t="shared" si="16"/>
        <v>0</v>
      </c>
    </row>
    <row r="540" spans="4:7" hidden="1" outlineLevel="1">
      <c r="D540" s="88">
        <f t="shared" si="17"/>
        <v>18</v>
      </c>
      <c r="E540" s="88">
        <v>2</v>
      </c>
      <c r="F540" s="89" cm="1">
        <f t="array" ref="F540">INDEX($D$244:$T$279,MATCH(D540,$D$244:$D$279,0),E540+2)</f>
        <v>0</v>
      </c>
      <c r="G540" s="88">
        <f t="shared" si="16"/>
        <v>0</v>
      </c>
    </row>
    <row r="541" spans="4:7" hidden="1" outlineLevel="1">
      <c r="D541" s="88">
        <f t="shared" si="17"/>
        <v>18</v>
      </c>
      <c r="E541" s="88">
        <v>3</v>
      </c>
      <c r="F541" s="89" cm="1">
        <f t="array" ref="F541">INDEX($D$244:$T$279,MATCH(D541,$D$244:$D$279,0),E541+2)</f>
        <v>0</v>
      </c>
      <c r="G541" s="88">
        <f t="shared" si="16"/>
        <v>0</v>
      </c>
    </row>
    <row r="542" spans="4:7" hidden="1" outlineLevel="1">
      <c r="D542" s="88">
        <f t="shared" si="17"/>
        <v>18</v>
      </c>
      <c r="E542" s="88">
        <v>4</v>
      </c>
      <c r="F542" s="89" cm="1">
        <f t="array" ref="F542">INDEX($D$244:$T$279,MATCH(D542,$D$244:$D$279,0),E542+2)</f>
        <v>0</v>
      </c>
      <c r="G542" s="88">
        <f t="shared" si="16"/>
        <v>0</v>
      </c>
    </row>
    <row r="543" spans="4:7" hidden="1" outlineLevel="1">
      <c r="D543" s="88">
        <f t="shared" si="17"/>
        <v>18</v>
      </c>
      <c r="E543" s="88">
        <v>5</v>
      </c>
      <c r="F543" s="89" cm="1">
        <f t="array" ref="F543">INDEX($D$244:$T$279,MATCH(D543,$D$244:$D$279,0),E543+2)</f>
        <v>0</v>
      </c>
      <c r="G543" s="88">
        <f t="shared" si="16"/>
        <v>0</v>
      </c>
    </row>
    <row r="544" spans="4:7" hidden="1" outlineLevel="1">
      <c r="D544" s="88">
        <f t="shared" si="17"/>
        <v>18</v>
      </c>
      <c r="E544" s="88">
        <v>6</v>
      </c>
      <c r="F544" s="89" cm="1">
        <f t="array" ref="F544">INDEX($D$244:$T$279,MATCH(D544,$D$244:$D$279,0),E544+2)</f>
        <v>0</v>
      </c>
      <c r="G544" s="88">
        <f t="shared" si="16"/>
        <v>0</v>
      </c>
    </row>
    <row r="545" spans="4:7" hidden="1" outlineLevel="1">
      <c r="D545" s="88">
        <f t="shared" si="17"/>
        <v>18</v>
      </c>
      <c r="E545" s="88">
        <v>7</v>
      </c>
      <c r="F545" s="89" cm="1">
        <f t="array" ref="F545">INDEX($D$244:$T$279,MATCH(D545,$D$244:$D$279,0),E545+2)</f>
        <v>0</v>
      </c>
      <c r="G545" s="88">
        <f t="shared" si="16"/>
        <v>0</v>
      </c>
    </row>
    <row r="546" spans="4:7" hidden="1" outlineLevel="1">
      <c r="D546" s="88">
        <f t="shared" si="17"/>
        <v>18</v>
      </c>
      <c r="E546" s="88">
        <v>8</v>
      </c>
      <c r="F546" s="89" cm="1">
        <f t="array" ref="F546">INDEX($D$244:$T$279,MATCH(D546,$D$244:$D$279,0),E546+2)</f>
        <v>0</v>
      </c>
      <c r="G546" s="88">
        <f t="shared" si="16"/>
        <v>0</v>
      </c>
    </row>
    <row r="547" spans="4:7" hidden="1" outlineLevel="1">
      <c r="D547" s="88">
        <f t="shared" si="17"/>
        <v>18</v>
      </c>
      <c r="E547" s="88">
        <v>9</v>
      </c>
      <c r="F547" s="89" cm="1">
        <f t="array" ref="F547">INDEX($D$244:$T$279,MATCH(D547,$D$244:$D$279,0),E547+2)</f>
        <v>0</v>
      </c>
      <c r="G547" s="88">
        <f t="shared" si="16"/>
        <v>0</v>
      </c>
    </row>
    <row r="548" spans="4:7" hidden="1" outlineLevel="1">
      <c r="D548" s="88">
        <f t="shared" si="17"/>
        <v>18</v>
      </c>
      <c r="E548" s="88">
        <v>10</v>
      </c>
      <c r="F548" s="89" cm="1">
        <f t="array" ref="F548">INDEX($D$244:$T$279,MATCH(D548,$D$244:$D$279,0),E548+2)</f>
        <v>0</v>
      </c>
      <c r="G548" s="88">
        <f t="shared" si="16"/>
        <v>0</v>
      </c>
    </row>
    <row r="549" spans="4:7" hidden="1" outlineLevel="1">
      <c r="D549" s="88">
        <f t="shared" si="17"/>
        <v>18</v>
      </c>
      <c r="E549" s="88">
        <v>11</v>
      </c>
      <c r="F549" s="89" cm="1">
        <f t="array" ref="F549">INDEX($D$244:$T$279,MATCH(D549,$D$244:$D$279,0),E549+2)</f>
        <v>0</v>
      </c>
      <c r="G549" s="88">
        <f t="shared" si="16"/>
        <v>0</v>
      </c>
    </row>
    <row r="550" spans="4:7" hidden="1" outlineLevel="1">
      <c r="D550" s="88">
        <f t="shared" si="17"/>
        <v>18</v>
      </c>
      <c r="E550" s="88">
        <v>12</v>
      </c>
      <c r="F550" s="89" cm="1">
        <f t="array" ref="F550">INDEX($D$244:$T$279,MATCH(D550,$D$244:$D$279,0),E550+2)</f>
        <v>0</v>
      </c>
      <c r="G550" s="88">
        <f t="shared" si="16"/>
        <v>0</v>
      </c>
    </row>
    <row r="551" spans="4:7" hidden="1" outlineLevel="1">
      <c r="D551" s="88">
        <f t="shared" si="17"/>
        <v>18</v>
      </c>
      <c r="E551" s="88">
        <v>13</v>
      </c>
      <c r="F551" s="89" cm="1">
        <f t="array" ref="F551">INDEX($D$244:$T$279,MATCH(D551,$D$244:$D$279,0),E551+2)</f>
        <v>0</v>
      </c>
      <c r="G551" s="88">
        <f t="shared" si="16"/>
        <v>0</v>
      </c>
    </row>
    <row r="552" spans="4:7" hidden="1" outlineLevel="1">
      <c r="D552" s="88">
        <f t="shared" si="17"/>
        <v>18</v>
      </c>
      <c r="E552" s="88">
        <v>14</v>
      </c>
      <c r="F552" s="89" cm="1">
        <f t="array" ref="F552">INDEX($D$244:$T$279,MATCH(D552,$D$244:$D$279,0),E552+2)</f>
        <v>0</v>
      </c>
      <c r="G552" s="88">
        <f t="shared" si="16"/>
        <v>0</v>
      </c>
    </row>
    <row r="553" spans="4:7" hidden="1" outlineLevel="1">
      <c r="D553" s="88">
        <f t="shared" si="17"/>
        <v>18</v>
      </c>
      <c r="E553" s="88">
        <v>15</v>
      </c>
      <c r="F553" s="89" cm="1">
        <f t="array" ref="F553">INDEX($D$244:$T$279,MATCH(D553,$D$244:$D$279,0),E553+2)</f>
        <v>0</v>
      </c>
      <c r="G553" s="88">
        <f t="shared" si="16"/>
        <v>0</v>
      </c>
    </row>
    <row r="554" spans="4:7" hidden="1" outlineLevel="1">
      <c r="D554" s="88">
        <f t="shared" si="17"/>
        <v>19</v>
      </c>
      <c r="E554" s="88">
        <v>1</v>
      </c>
      <c r="F554" s="89" cm="1">
        <f t="array" ref="F554">INDEX($D$244:$T$279,MATCH(D554,$D$244:$D$279,0),E554+2)</f>
        <v>1</v>
      </c>
      <c r="G554" s="88">
        <f t="shared" si="16"/>
        <v>19</v>
      </c>
    </row>
    <row r="555" spans="4:7" hidden="1" outlineLevel="1">
      <c r="D555" s="88">
        <f t="shared" si="17"/>
        <v>19</v>
      </c>
      <c r="E555" s="88">
        <v>2</v>
      </c>
      <c r="F555" s="89" cm="1">
        <f t="array" ref="F555">INDEX($D$244:$T$279,MATCH(D555,$D$244:$D$279,0),E555+2)</f>
        <v>1</v>
      </c>
      <c r="G555" s="88">
        <f t="shared" si="16"/>
        <v>19</v>
      </c>
    </row>
    <row r="556" spans="4:7" hidden="1" outlineLevel="1">
      <c r="D556" s="88">
        <f t="shared" si="17"/>
        <v>19</v>
      </c>
      <c r="E556" s="88">
        <v>3</v>
      </c>
      <c r="F556" s="89" cm="1">
        <f t="array" ref="F556">INDEX($D$244:$T$279,MATCH(D556,$D$244:$D$279,0),E556+2)</f>
        <v>0</v>
      </c>
      <c r="G556" s="88">
        <f t="shared" si="16"/>
        <v>0</v>
      </c>
    </row>
    <row r="557" spans="4:7" hidden="1" outlineLevel="1">
      <c r="D557" s="88">
        <f t="shared" si="17"/>
        <v>19</v>
      </c>
      <c r="E557" s="88">
        <v>4</v>
      </c>
      <c r="F557" s="89" cm="1">
        <f t="array" ref="F557">INDEX($D$244:$T$279,MATCH(D557,$D$244:$D$279,0),E557+2)</f>
        <v>0</v>
      </c>
      <c r="G557" s="88">
        <f t="shared" si="16"/>
        <v>0</v>
      </c>
    </row>
    <row r="558" spans="4:7" hidden="1" outlineLevel="1">
      <c r="D558" s="88">
        <f t="shared" si="17"/>
        <v>19</v>
      </c>
      <c r="E558" s="88">
        <v>5</v>
      </c>
      <c r="F558" s="89" cm="1">
        <f t="array" ref="F558">INDEX($D$244:$T$279,MATCH(D558,$D$244:$D$279,0),E558+2)</f>
        <v>0</v>
      </c>
      <c r="G558" s="88">
        <f t="shared" si="16"/>
        <v>0</v>
      </c>
    </row>
    <row r="559" spans="4:7" hidden="1" outlineLevel="1">
      <c r="D559" s="88">
        <f t="shared" si="17"/>
        <v>19</v>
      </c>
      <c r="E559" s="88">
        <v>6</v>
      </c>
      <c r="F559" s="89" cm="1">
        <f t="array" ref="F559">INDEX($D$244:$T$279,MATCH(D559,$D$244:$D$279,0),E559+2)</f>
        <v>0</v>
      </c>
      <c r="G559" s="88">
        <f t="shared" si="16"/>
        <v>0</v>
      </c>
    </row>
    <row r="560" spans="4:7" hidden="1" outlineLevel="1">
      <c r="D560" s="88">
        <f t="shared" si="17"/>
        <v>19</v>
      </c>
      <c r="E560" s="88">
        <v>7</v>
      </c>
      <c r="F560" s="89" cm="1">
        <f t="array" ref="F560">INDEX($D$244:$T$279,MATCH(D560,$D$244:$D$279,0),E560+2)</f>
        <v>0</v>
      </c>
      <c r="G560" s="88">
        <f t="shared" si="16"/>
        <v>0</v>
      </c>
    </row>
    <row r="561" spans="4:7" hidden="1" outlineLevel="1">
      <c r="D561" s="88">
        <f t="shared" si="17"/>
        <v>19</v>
      </c>
      <c r="E561" s="88">
        <v>8</v>
      </c>
      <c r="F561" s="89" cm="1">
        <f t="array" ref="F561">INDEX($D$244:$T$279,MATCH(D561,$D$244:$D$279,0),E561+2)</f>
        <v>0</v>
      </c>
      <c r="G561" s="88">
        <f t="shared" si="16"/>
        <v>0</v>
      </c>
    </row>
    <row r="562" spans="4:7" hidden="1" outlineLevel="1">
      <c r="D562" s="88">
        <f t="shared" si="17"/>
        <v>19</v>
      </c>
      <c r="E562" s="88">
        <v>9</v>
      </c>
      <c r="F562" s="89" cm="1">
        <f t="array" ref="F562">INDEX($D$244:$T$279,MATCH(D562,$D$244:$D$279,0),E562+2)</f>
        <v>0</v>
      </c>
      <c r="G562" s="88">
        <f t="shared" si="16"/>
        <v>0</v>
      </c>
    </row>
    <row r="563" spans="4:7" hidden="1" outlineLevel="1">
      <c r="D563" s="88">
        <f t="shared" si="17"/>
        <v>19</v>
      </c>
      <c r="E563" s="88">
        <v>10</v>
      </c>
      <c r="F563" s="89" cm="1">
        <f t="array" ref="F563">INDEX($D$244:$T$279,MATCH(D563,$D$244:$D$279,0),E563+2)</f>
        <v>0</v>
      </c>
      <c r="G563" s="88">
        <f t="shared" si="16"/>
        <v>0</v>
      </c>
    </row>
    <row r="564" spans="4:7" hidden="1" outlineLevel="1">
      <c r="D564" s="88">
        <f t="shared" si="17"/>
        <v>19</v>
      </c>
      <c r="E564" s="88">
        <v>11</v>
      </c>
      <c r="F564" s="89" cm="1">
        <f t="array" ref="F564">INDEX($D$244:$T$279,MATCH(D564,$D$244:$D$279,0),E564+2)</f>
        <v>0</v>
      </c>
      <c r="G564" s="88">
        <f t="shared" si="16"/>
        <v>0</v>
      </c>
    </row>
    <row r="565" spans="4:7" hidden="1" outlineLevel="1">
      <c r="D565" s="88">
        <f t="shared" si="17"/>
        <v>19</v>
      </c>
      <c r="E565" s="88">
        <v>12</v>
      </c>
      <c r="F565" s="89" cm="1">
        <f t="array" ref="F565">INDEX($D$244:$T$279,MATCH(D565,$D$244:$D$279,0),E565+2)</f>
        <v>0</v>
      </c>
      <c r="G565" s="88">
        <f t="shared" si="16"/>
        <v>0</v>
      </c>
    </row>
    <row r="566" spans="4:7" hidden="1" outlineLevel="1">
      <c r="D566" s="88">
        <f t="shared" si="17"/>
        <v>19</v>
      </c>
      <c r="E566" s="88">
        <v>13</v>
      </c>
      <c r="F566" s="89" cm="1">
        <f t="array" ref="F566">INDEX($D$244:$T$279,MATCH(D566,$D$244:$D$279,0),E566+2)</f>
        <v>0</v>
      </c>
      <c r="G566" s="88">
        <f t="shared" si="16"/>
        <v>0</v>
      </c>
    </row>
    <row r="567" spans="4:7" hidden="1" outlineLevel="1">
      <c r="D567" s="88">
        <f t="shared" si="17"/>
        <v>19</v>
      </c>
      <c r="E567" s="88">
        <v>14</v>
      </c>
      <c r="F567" s="89" cm="1">
        <f t="array" ref="F567">INDEX($D$244:$T$279,MATCH(D567,$D$244:$D$279,0),E567+2)</f>
        <v>0</v>
      </c>
      <c r="G567" s="88">
        <f t="shared" si="16"/>
        <v>0</v>
      </c>
    </row>
    <row r="568" spans="4:7" hidden="1" outlineLevel="1">
      <c r="D568" s="88">
        <f t="shared" si="17"/>
        <v>19</v>
      </c>
      <c r="E568" s="88">
        <v>15</v>
      </c>
      <c r="F568" s="89" cm="1">
        <f t="array" ref="F568">INDEX($D$244:$T$279,MATCH(D568,$D$244:$D$279,0),E568+2)</f>
        <v>0</v>
      </c>
      <c r="G568" s="88">
        <f t="shared" si="16"/>
        <v>0</v>
      </c>
    </row>
    <row r="569" spans="4:7" hidden="1" outlineLevel="1">
      <c r="D569" s="88">
        <f t="shared" si="17"/>
        <v>20</v>
      </c>
      <c r="E569" s="88">
        <v>1</v>
      </c>
      <c r="F569" s="89" cm="1">
        <f t="array" ref="F569">INDEX($D$244:$T$279,MATCH(D569,$D$244:$D$279,0),E569+2)</f>
        <v>1</v>
      </c>
      <c r="G569" s="88">
        <f t="shared" si="16"/>
        <v>20</v>
      </c>
    </row>
    <row r="570" spans="4:7" hidden="1" outlineLevel="1">
      <c r="D570" s="88">
        <f t="shared" si="17"/>
        <v>20</v>
      </c>
      <c r="E570" s="88">
        <v>2</v>
      </c>
      <c r="F570" s="89" cm="1">
        <f t="array" ref="F570">INDEX($D$244:$T$279,MATCH(D570,$D$244:$D$279,0),E570+2)</f>
        <v>1</v>
      </c>
      <c r="G570" s="88">
        <f t="shared" si="16"/>
        <v>20</v>
      </c>
    </row>
    <row r="571" spans="4:7" hidden="1" outlineLevel="1">
      <c r="D571" s="88">
        <f t="shared" si="17"/>
        <v>20</v>
      </c>
      <c r="E571" s="88">
        <v>3</v>
      </c>
      <c r="F571" s="89" cm="1">
        <f t="array" ref="F571">INDEX($D$244:$T$279,MATCH(D571,$D$244:$D$279,0),E571+2)</f>
        <v>0</v>
      </c>
      <c r="G571" s="88">
        <f t="shared" si="16"/>
        <v>0</v>
      </c>
    </row>
    <row r="572" spans="4:7" hidden="1" outlineLevel="1">
      <c r="D572" s="88">
        <f t="shared" si="17"/>
        <v>20</v>
      </c>
      <c r="E572" s="88">
        <v>4</v>
      </c>
      <c r="F572" s="89" cm="1">
        <f t="array" ref="F572">INDEX($D$244:$T$279,MATCH(D572,$D$244:$D$279,0),E572+2)</f>
        <v>0</v>
      </c>
      <c r="G572" s="88">
        <f t="shared" si="16"/>
        <v>0</v>
      </c>
    </row>
    <row r="573" spans="4:7" hidden="1" outlineLevel="1">
      <c r="D573" s="88">
        <f t="shared" si="17"/>
        <v>20</v>
      </c>
      <c r="E573" s="88">
        <v>5</v>
      </c>
      <c r="F573" s="89" cm="1">
        <f t="array" ref="F573">INDEX($D$244:$T$279,MATCH(D573,$D$244:$D$279,0),E573+2)</f>
        <v>0</v>
      </c>
      <c r="G573" s="88">
        <f t="shared" ref="G573:G636" si="18">IF(F573&gt;0,D573,0)</f>
        <v>0</v>
      </c>
    </row>
    <row r="574" spans="4:7" hidden="1" outlineLevel="1">
      <c r="D574" s="88">
        <f t="shared" ref="D574:D637" si="19">D559+1</f>
        <v>20</v>
      </c>
      <c r="E574" s="88">
        <v>6</v>
      </c>
      <c r="F574" s="89" cm="1">
        <f t="array" ref="F574">INDEX($D$244:$T$279,MATCH(D574,$D$244:$D$279,0),E574+2)</f>
        <v>0</v>
      </c>
      <c r="G574" s="88">
        <f t="shared" si="18"/>
        <v>0</v>
      </c>
    </row>
    <row r="575" spans="4:7" hidden="1" outlineLevel="1">
      <c r="D575" s="88">
        <f t="shared" si="19"/>
        <v>20</v>
      </c>
      <c r="E575" s="88">
        <v>7</v>
      </c>
      <c r="F575" s="89" cm="1">
        <f t="array" ref="F575">INDEX($D$244:$T$279,MATCH(D575,$D$244:$D$279,0),E575+2)</f>
        <v>0</v>
      </c>
      <c r="G575" s="88">
        <f t="shared" si="18"/>
        <v>0</v>
      </c>
    </row>
    <row r="576" spans="4:7" hidden="1" outlineLevel="1">
      <c r="D576" s="88">
        <f t="shared" si="19"/>
        <v>20</v>
      </c>
      <c r="E576" s="88">
        <v>8</v>
      </c>
      <c r="F576" s="89" cm="1">
        <f t="array" ref="F576">INDEX($D$244:$T$279,MATCH(D576,$D$244:$D$279,0),E576+2)</f>
        <v>0</v>
      </c>
      <c r="G576" s="88">
        <f t="shared" si="18"/>
        <v>0</v>
      </c>
    </row>
    <row r="577" spans="4:7" hidden="1" outlineLevel="1">
      <c r="D577" s="88">
        <f t="shared" si="19"/>
        <v>20</v>
      </c>
      <c r="E577" s="88">
        <v>9</v>
      </c>
      <c r="F577" s="89" cm="1">
        <f t="array" ref="F577">INDEX($D$244:$T$279,MATCH(D577,$D$244:$D$279,0),E577+2)</f>
        <v>0</v>
      </c>
      <c r="G577" s="88">
        <f t="shared" si="18"/>
        <v>0</v>
      </c>
    </row>
    <row r="578" spans="4:7" hidden="1" outlineLevel="1">
      <c r="D578" s="88">
        <f t="shared" si="19"/>
        <v>20</v>
      </c>
      <c r="E578" s="88">
        <v>10</v>
      </c>
      <c r="F578" s="89" cm="1">
        <f t="array" ref="F578">INDEX($D$244:$T$279,MATCH(D578,$D$244:$D$279,0),E578+2)</f>
        <v>0</v>
      </c>
      <c r="G578" s="88">
        <f t="shared" si="18"/>
        <v>0</v>
      </c>
    </row>
    <row r="579" spans="4:7" hidden="1" outlineLevel="1">
      <c r="D579" s="88">
        <f t="shared" si="19"/>
        <v>20</v>
      </c>
      <c r="E579" s="88">
        <v>11</v>
      </c>
      <c r="F579" s="89" cm="1">
        <f t="array" ref="F579">INDEX($D$244:$T$279,MATCH(D579,$D$244:$D$279,0),E579+2)</f>
        <v>0</v>
      </c>
      <c r="G579" s="88">
        <f t="shared" si="18"/>
        <v>0</v>
      </c>
    </row>
    <row r="580" spans="4:7" hidden="1" outlineLevel="1">
      <c r="D580" s="88">
        <f t="shared" si="19"/>
        <v>20</v>
      </c>
      <c r="E580" s="88">
        <v>12</v>
      </c>
      <c r="F580" s="89" cm="1">
        <f t="array" ref="F580">INDEX($D$244:$T$279,MATCH(D580,$D$244:$D$279,0),E580+2)</f>
        <v>0</v>
      </c>
      <c r="G580" s="88">
        <f t="shared" si="18"/>
        <v>0</v>
      </c>
    </row>
    <row r="581" spans="4:7" hidden="1" outlineLevel="1">
      <c r="D581" s="88">
        <f t="shared" si="19"/>
        <v>20</v>
      </c>
      <c r="E581" s="88">
        <v>13</v>
      </c>
      <c r="F581" s="89" cm="1">
        <f t="array" ref="F581">INDEX($D$244:$T$279,MATCH(D581,$D$244:$D$279,0),E581+2)</f>
        <v>0</v>
      </c>
      <c r="G581" s="88">
        <f t="shared" si="18"/>
        <v>0</v>
      </c>
    </row>
    <row r="582" spans="4:7" hidden="1" outlineLevel="1">
      <c r="D582" s="88">
        <f t="shared" si="19"/>
        <v>20</v>
      </c>
      <c r="E582" s="88">
        <v>14</v>
      </c>
      <c r="F582" s="89" cm="1">
        <f t="array" ref="F582">INDEX($D$244:$T$279,MATCH(D582,$D$244:$D$279,0),E582+2)</f>
        <v>0</v>
      </c>
      <c r="G582" s="88">
        <f t="shared" si="18"/>
        <v>0</v>
      </c>
    </row>
    <row r="583" spans="4:7" hidden="1" outlineLevel="1">
      <c r="D583" s="88">
        <f t="shared" si="19"/>
        <v>20</v>
      </c>
      <c r="E583" s="88">
        <v>15</v>
      </c>
      <c r="F583" s="89" cm="1">
        <f t="array" ref="F583">INDEX($D$244:$T$279,MATCH(D583,$D$244:$D$279,0),E583+2)</f>
        <v>0</v>
      </c>
      <c r="G583" s="88">
        <f t="shared" si="18"/>
        <v>0</v>
      </c>
    </row>
    <row r="584" spans="4:7" hidden="1" outlineLevel="1">
      <c r="D584" s="88">
        <f t="shared" si="19"/>
        <v>21</v>
      </c>
      <c r="E584" s="88">
        <v>1</v>
      </c>
      <c r="F584" s="89" cm="1">
        <f t="array" ref="F584">INDEX($D$244:$T$279,MATCH(D584,$D$244:$D$279,0),E584+2)</f>
        <v>0</v>
      </c>
      <c r="G584" s="88">
        <f t="shared" si="18"/>
        <v>0</v>
      </c>
    </row>
    <row r="585" spans="4:7" hidden="1" outlineLevel="1">
      <c r="D585" s="88">
        <f t="shared" si="19"/>
        <v>21</v>
      </c>
      <c r="E585" s="88">
        <v>2</v>
      </c>
      <c r="F585" s="89" cm="1">
        <f t="array" ref="F585">INDEX($D$244:$T$279,MATCH(D585,$D$244:$D$279,0),E585+2)</f>
        <v>0</v>
      </c>
      <c r="G585" s="88">
        <f t="shared" si="18"/>
        <v>0</v>
      </c>
    </row>
    <row r="586" spans="4:7" hidden="1" outlineLevel="1">
      <c r="D586" s="88">
        <f t="shared" si="19"/>
        <v>21</v>
      </c>
      <c r="E586" s="88">
        <v>3</v>
      </c>
      <c r="F586" s="89" cm="1">
        <f t="array" ref="F586">INDEX($D$244:$T$279,MATCH(D586,$D$244:$D$279,0),E586+2)</f>
        <v>0</v>
      </c>
      <c r="G586" s="88">
        <f t="shared" si="18"/>
        <v>0</v>
      </c>
    </row>
    <row r="587" spans="4:7" hidden="1" outlineLevel="1">
      <c r="D587" s="88">
        <f t="shared" si="19"/>
        <v>21</v>
      </c>
      <c r="E587" s="88">
        <v>4</v>
      </c>
      <c r="F587" s="89" cm="1">
        <f t="array" ref="F587">INDEX($D$244:$T$279,MATCH(D587,$D$244:$D$279,0),E587+2)</f>
        <v>0</v>
      </c>
      <c r="G587" s="88">
        <f t="shared" si="18"/>
        <v>0</v>
      </c>
    </row>
    <row r="588" spans="4:7" hidden="1" outlineLevel="1">
      <c r="D588" s="88">
        <f t="shared" si="19"/>
        <v>21</v>
      </c>
      <c r="E588" s="88">
        <v>5</v>
      </c>
      <c r="F588" s="89" cm="1">
        <f t="array" ref="F588">INDEX($D$244:$T$279,MATCH(D588,$D$244:$D$279,0),E588+2)</f>
        <v>0</v>
      </c>
      <c r="G588" s="88">
        <f t="shared" si="18"/>
        <v>0</v>
      </c>
    </row>
    <row r="589" spans="4:7" hidden="1" outlineLevel="1">
      <c r="D589" s="88">
        <f t="shared" si="19"/>
        <v>21</v>
      </c>
      <c r="E589" s="88">
        <v>6</v>
      </c>
      <c r="F589" s="89" cm="1">
        <f t="array" ref="F589">INDEX($D$244:$T$279,MATCH(D589,$D$244:$D$279,0),E589+2)</f>
        <v>0</v>
      </c>
      <c r="G589" s="88">
        <f t="shared" si="18"/>
        <v>0</v>
      </c>
    </row>
    <row r="590" spans="4:7" hidden="1" outlineLevel="1">
      <c r="D590" s="88">
        <f t="shared" si="19"/>
        <v>21</v>
      </c>
      <c r="E590" s="88">
        <v>7</v>
      </c>
      <c r="F590" s="89" cm="1">
        <f t="array" ref="F590">INDEX($D$244:$T$279,MATCH(D590,$D$244:$D$279,0),E590+2)</f>
        <v>0</v>
      </c>
      <c r="G590" s="88">
        <f t="shared" si="18"/>
        <v>0</v>
      </c>
    </row>
    <row r="591" spans="4:7" hidden="1" outlineLevel="1">
      <c r="D591" s="88">
        <f t="shared" si="19"/>
        <v>21</v>
      </c>
      <c r="E591" s="88">
        <v>8</v>
      </c>
      <c r="F591" s="89" cm="1">
        <f t="array" ref="F591">INDEX($D$244:$T$279,MATCH(D591,$D$244:$D$279,0),E591+2)</f>
        <v>0</v>
      </c>
      <c r="G591" s="88">
        <f t="shared" si="18"/>
        <v>0</v>
      </c>
    </row>
    <row r="592" spans="4:7" hidden="1" outlineLevel="1">
      <c r="D592" s="88">
        <f t="shared" si="19"/>
        <v>21</v>
      </c>
      <c r="E592" s="88">
        <v>9</v>
      </c>
      <c r="F592" s="89" cm="1">
        <f t="array" ref="F592">INDEX($D$244:$T$279,MATCH(D592,$D$244:$D$279,0),E592+2)</f>
        <v>0</v>
      </c>
      <c r="G592" s="88">
        <f t="shared" si="18"/>
        <v>0</v>
      </c>
    </row>
    <row r="593" spans="4:7" hidden="1" outlineLevel="1">
      <c r="D593" s="88">
        <f t="shared" si="19"/>
        <v>21</v>
      </c>
      <c r="E593" s="88">
        <v>10</v>
      </c>
      <c r="F593" s="89" cm="1">
        <f t="array" ref="F593">INDEX($D$244:$T$279,MATCH(D593,$D$244:$D$279,0),E593+2)</f>
        <v>0</v>
      </c>
      <c r="G593" s="88">
        <f t="shared" si="18"/>
        <v>0</v>
      </c>
    </row>
    <row r="594" spans="4:7" hidden="1" outlineLevel="1">
      <c r="D594" s="88">
        <f t="shared" si="19"/>
        <v>21</v>
      </c>
      <c r="E594" s="88">
        <v>11</v>
      </c>
      <c r="F594" s="89" cm="1">
        <f t="array" ref="F594">INDEX($D$244:$T$279,MATCH(D594,$D$244:$D$279,0),E594+2)</f>
        <v>0</v>
      </c>
      <c r="G594" s="88">
        <f t="shared" si="18"/>
        <v>0</v>
      </c>
    </row>
    <row r="595" spans="4:7" hidden="1" outlineLevel="1">
      <c r="D595" s="88">
        <f t="shared" si="19"/>
        <v>21</v>
      </c>
      <c r="E595" s="88">
        <v>12</v>
      </c>
      <c r="F595" s="89" cm="1">
        <f t="array" ref="F595">INDEX($D$244:$T$279,MATCH(D595,$D$244:$D$279,0),E595+2)</f>
        <v>0</v>
      </c>
      <c r="G595" s="88">
        <f t="shared" si="18"/>
        <v>0</v>
      </c>
    </row>
    <row r="596" spans="4:7" hidden="1" outlineLevel="1">
      <c r="D596" s="88">
        <f t="shared" si="19"/>
        <v>21</v>
      </c>
      <c r="E596" s="88">
        <v>13</v>
      </c>
      <c r="F596" s="89" cm="1">
        <f t="array" ref="F596">INDEX($D$244:$T$279,MATCH(D596,$D$244:$D$279,0),E596+2)</f>
        <v>0</v>
      </c>
      <c r="G596" s="88">
        <f t="shared" si="18"/>
        <v>0</v>
      </c>
    </row>
    <row r="597" spans="4:7" hidden="1" outlineLevel="1">
      <c r="D597" s="88">
        <f t="shared" si="19"/>
        <v>21</v>
      </c>
      <c r="E597" s="88">
        <v>14</v>
      </c>
      <c r="F597" s="89" cm="1">
        <f t="array" ref="F597">INDEX($D$244:$T$279,MATCH(D597,$D$244:$D$279,0),E597+2)</f>
        <v>0</v>
      </c>
      <c r="G597" s="88">
        <f t="shared" si="18"/>
        <v>0</v>
      </c>
    </row>
    <row r="598" spans="4:7" hidden="1" outlineLevel="1">
      <c r="D598" s="88">
        <f t="shared" si="19"/>
        <v>21</v>
      </c>
      <c r="E598" s="88">
        <v>15</v>
      </c>
      <c r="F598" s="89" cm="1">
        <f t="array" ref="F598">INDEX($D$244:$T$279,MATCH(D598,$D$244:$D$279,0),E598+2)</f>
        <v>0</v>
      </c>
      <c r="G598" s="88">
        <f t="shared" si="18"/>
        <v>0</v>
      </c>
    </row>
    <row r="599" spans="4:7" hidden="1" outlineLevel="1">
      <c r="D599" s="88">
        <f t="shared" si="19"/>
        <v>22</v>
      </c>
      <c r="E599" s="88">
        <v>1</v>
      </c>
      <c r="F599" s="89" cm="1">
        <f t="array" ref="F599">INDEX($D$244:$T$279,MATCH(D599,$D$244:$D$279,0),E599+2)</f>
        <v>1</v>
      </c>
      <c r="G599" s="88">
        <f t="shared" si="18"/>
        <v>22</v>
      </c>
    </row>
    <row r="600" spans="4:7" hidden="1" outlineLevel="1">
      <c r="D600" s="88">
        <f t="shared" si="19"/>
        <v>22</v>
      </c>
      <c r="E600" s="88">
        <v>2</v>
      </c>
      <c r="F600" s="89" cm="1">
        <f t="array" ref="F600">INDEX($D$244:$T$279,MATCH(D600,$D$244:$D$279,0),E600+2)</f>
        <v>1</v>
      </c>
      <c r="G600" s="88">
        <f t="shared" si="18"/>
        <v>22</v>
      </c>
    </row>
    <row r="601" spans="4:7" hidden="1" outlineLevel="1">
      <c r="D601" s="88">
        <f t="shared" si="19"/>
        <v>22</v>
      </c>
      <c r="E601" s="88">
        <v>3</v>
      </c>
      <c r="F601" s="89" cm="1">
        <f t="array" ref="F601">INDEX($D$244:$T$279,MATCH(D601,$D$244:$D$279,0),E601+2)</f>
        <v>0</v>
      </c>
      <c r="G601" s="88">
        <f t="shared" si="18"/>
        <v>0</v>
      </c>
    </row>
    <row r="602" spans="4:7" hidden="1" outlineLevel="1">
      <c r="D602" s="88">
        <f t="shared" si="19"/>
        <v>22</v>
      </c>
      <c r="E602" s="88">
        <v>4</v>
      </c>
      <c r="F602" s="89" cm="1">
        <f t="array" ref="F602">INDEX($D$244:$T$279,MATCH(D602,$D$244:$D$279,0),E602+2)</f>
        <v>0</v>
      </c>
      <c r="G602" s="88">
        <f t="shared" si="18"/>
        <v>0</v>
      </c>
    </row>
    <row r="603" spans="4:7" hidden="1" outlineLevel="1">
      <c r="D603" s="88">
        <f t="shared" si="19"/>
        <v>22</v>
      </c>
      <c r="E603" s="88">
        <v>5</v>
      </c>
      <c r="F603" s="89" cm="1">
        <f t="array" ref="F603">INDEX($D$244:$T$279,MATCH(D603,$D$244:$D$279,0),E603+2)</f>
        <v>0</v>
      </c>
      <c r="G603" s="88">
        <f t="shared" si="18"/>
        <v>0</v>
      </c>
    </row>
    <row r="604" spans="4:7" hidden="1" outlineLevel="1">
      <c r="D604" s="88">
        <f t="shared" si="19"/>
        <v>22</v>
      </c>
      <c r="E604" s="88">
        <v>6</v>
      </c>
      <c r="F604" s="89" cm="1">
        <f t="array" ref="F604">INDEX($D$244:$T$279,MATCH(D604,$D$244:$D$279,0),E604+2)</f>
        <v>0</v>
      </c>
      <c r="G604" s="88">
        <f t="shared" si="18"/>
        <v>0</v>
      </c>
    </row>
    <row r="605" spans="4:7" hidden="1" outlineLevel="1">
      <c r="D605" s="88">
        <f t="shared" si="19"/>
        <v>22</v>
      </c>
      <c r="E605" s="88">
        <v>7</v>
      </c>
      <c r="F605" s="89" cm="1">
        <f t="array" ref="F605">INDEX($D$244:$T$279,MATCH(D605,$D$244:$D$279,0),E605+2)</f>
        <v>0</v>
      </c>
      <c r="G605" s="88">
        <f t="shared" si="18"/>
        <v>0</v>
      </c>
    </row>
    <row r="606" spans="4:7" hidden="1" outlineLevel="1">
      <c r="D606" s="88">
        <f t="shared" si="19"/>
        <v>22</v>
      </c>
      <c r="E606" s="88">
        <v>8</v>
      </c>
      <c r="F606" s="89" cm="1">
        <f t="array" ref="F606">INDEX($D$244:$T$279,MATCH(D606,$D$244:$D$279,0),E606+2)</f>
        <v>0</v>
      </c>
      <c r="G606" s="88">
        <f t="shared" si="18"/>
        <v>0</v>
      </c>
    </row>
    <row r="607" spans="4:7" hidden="1" outlineLevel="1">
      <c r="D607" s="88">
        <f t="shared" si="19"/>
        <v>22</v>
      </c>
      <c r="E607" s="88">
        <v>9</v>
      </c>
      <c r="F607" s="89" cm="1">
        <f t="array" ref="F607">INDEX($D$244:$T$279,MATCH(D607,$D$244:$D$279,0),E607+2)</f>
        <v>0</v>
      </c>
      <c r="G607" s="88">
        <f t="shared" si="18"/>
        <v>0</v>
      </c>
    </row>
    <row r="608" spans="4:7" hidden="1" outlineLevel="1">
      <c r="D608" s="88">
        <f t="shared" si="19"/>
        <v>22</v>
      </c>
      <c r="E608" s="88">
        <v>10</v>
      </c>
      <c r="F608" s="89" cm="1">
        <f t="array" ref="F608">INDEX($D$244:$T$279,MATCH(D608,$D$244:$D$279,0),E608+2)</f>
        <v>0</v>
      </c>
      <c r="G608" s="88">
        <f t="shared" si="18"/>
        <v>0</v>
      </c>
    </row>
    <row r="609" spans="4:7" hidden="1" outlineLevel="1">
      <c r="D609" s="88">
        <f t="shared" si="19"/>
        <v>22</v>
      </c>
      <c r="E609" s="88">
        <v>11</v>
      </c>
      <c r="F609" s="89" cm="1">
        <f t="array" ref="F609">INDEX($D$244:$T$279,MATCH(D609,$D$244:$D$279,0),E609+2)</f>
        <v>0</v>
      </c>
      <c r="G609" s="88">
        <f t="shared" si="18"/>
        <v>0</v>
      </c>
    </row>
    <row r="610" spans="4:7" hidden="1" outlineLevel="1">
      <c r="D610" s="88">
        <f t="shared" si="19"/>
        <v>22</v>
      </c>
      <c r="E610" s="88">
        <v>12</v>
      </c>
      <c r="F610" s="89" cm="1">
        <f t="array" ref="F610">INDEX($D$244:$T$279,MATCH(D610,$D$244:$D$279,0),E610+2)</f>
        <v>0</v>
      </c>
      <c r="G610" s="88">
        <f t="shared" si="18"/>
        <v>0</v>
      </c>
    </row>
    <row r="611" spans="4:7" hidden="1" outlineLevel="1">
      <c r="D611" s="88">
        <f t="shared" si="19"/>
        <v>22</v>
      </c>
      <c r="E611" s="88">
        <v>13</v>
      </c>
      <c r="F611" s="89" cm="1">
        <f t="array" ref="F611">INDEX($D$244:$T$279,MATCH(D611,$D$244:$D$279,0),E611+2)</f>
        <v>0</v>
      </c>
      <c r="G611" s="88">
        <f t="shared" si="18"/>
        <v>0</v>
      </c>
    </row>
    <row r="612" spans="4:7" hidden="1" outlineLevel="1">
      <c r="D612" s="88">
        <f t="shared" si="19"/>
        <v>22</v>
      </c>
      <c r="E612" s="88">
        <v>14</v>
      </c>
      <c r="F612" s="89" cm="1">
        <f t="array" ref="F612">INDEX($D$244:$T$279,MATCH(D612,$D$244:$D$279,0),E612+2)</f>
        <v>0</v>
      </c>
      <c r="G612" s="88">
        <f t="shared" si="18"/>
        <v>0</v>
      </c>
    </row>
    <row r="613" spans="4:7" hidden="1" outlineLevel="1">
      <c r="D613" s="88">
        <f t="shared" si="19"/>
        <v>22</v>
      </c>
      <c r="E613" s="88">
        <v>15</v>
      </c>
      <c r="F613" s="89" cm="1">
        <f t="array" ref="F613">INDEX($D$244:$T$279,MATCH(D613,$D$244:$D$279,0),E613+2)</f>
        <v>0</v>
      </c>
      <c r="G613" s="88">
        <f t="shared" si="18"/>
        <v>0</v>
      </c>
    </row>
    <row r="614" spans="4:7" hidden="1" outlineLevel="1">
      <c r="D614" s="88">
        <f t="shared" si="19"/>
        <v>23</v>
      </c>
      <c r="E614" s="88">
        <v>1</v>
      </c>
      <c r="F614" s="89" cm="1">
        <f t="array" ref="F614">INDEX($D$244:$T$279,MATCH(D614,$D$244:$D$279,0),E614+2)</f>
        <v>1</v>
      </c>
      <c r="G614" s="88">
        <f t="shared" si="18"/>
        <v>23</v>
      </c>
    </row>
    <row r="615" spans="4:7" hidden="1" outlineLevel="1">
      <c r="D615" s="88">
        <f t="shared" si="19"/>
        <v>23</v>
      </c>
      <c r="E615" s="88">
        <v>2</v>
      </c>
      <c r="F615" s="89" cm="1">
        <f t="array" ref="F615">INDEX($D$244:$T$279,MATCH(D615,$D$244:$D$279,0),E615+2)</f>
        <v>1</v>
      </c>
      <c r="G615" s="88">
        <f t="shared" si="18"/>
        <v>23</v>
      </c>
    </row>
    <row r="616" spans="4:7" hidden="1" outlineLevel="1">
      <c r="D616" s="88">
        <f t="shared" si="19"/>
        <v>23</v>
      </c>
      <c r="E616" s="88">
        <v>3</v>
      </c>
      <c r="F616" s="89" cm="1">
        <f t="array" ref="F616">INDEX($D$244:$T$279,MATCH(D616,$D$244:$D$279,0),E616+2)</f>
        <v>0</v>
      </c>
      <c r="G616" s="88">
        <f t="shared" si="18"/>
        <v>0</v>
      </c>
    </row>
    <row r="617" spans="4:7" hidden="1" outlineLevel="1">
      <c r="D617" s="88">
        <f t="shared" si="19"/>
        <v>23</v>
      </c>
      <c r="E617" s="88">
        <v>4</v>
      </c>
      <c r="F617" s="89" cm="1">
        <f t="array" ref="F617">INDEX($D$244:$T$279,MATCH(D617,$D$244:$D$279,0),E617+2)</f>
        <v>0</v>
      </c>
      <c r="G617" s="88">
        <f t="shared" si="18"/>
        <v>0</v>
      </c>
    </row>
    <row r="618" spans="4:7" hidden="1" outlineLevel="1">
      <c r="D618" s="88">
        <f t="shared" si="19"/>
        <v>23</v>
      </c>
      <c r="E618" s="88">
        <v>5</v>
      </c>
      <c r="F618" s="89" cm="1">
        <f t="array" ref="F618">INDEX($D$244:$T$279,MATCH(D618,$D$244:$D$279,0),E618+2)</f>
        <v>0</v>
      </c>
      <c r="G618" s="88">
        <f t="shared" si="18"/>
        <v>0</v>
      </c>
    </row>
    <row r="619" spans="4:7" hidden="1" outlineLevel="1">
      <c r="D619" s="88">
        <f t="shared" si="19"/>
        <v>23</v>
      </c>
      <c r="E619" s="88">
        <v>6</v>
      </c>
      <c r="F619" s="89" cm="1">
        <f t="array" ref="F619">INDEX($D$244:$T$279,MATCH(D619,$D$244:$D$279,0),E619+2)</f>
        <v>0</v>
      </c>
      <c r="G619" s="88">
        <f t="shared" si="18"/>
        <v>0</v>
      </c>
    </row>
    <row r="620" spans="4:7" hidden="1" outlineLevel="1">
      <c r="D620" s="88">
        <f t="shared" si="19"/>
        <v>23</v>
      </c>
      <c r="E620" s="88">
        <v>7</v>
      </c>
      <c r="F620" s="89" cm="1">
        <f t="array" ref="F620">INDEX($D$244:$T$279,MATCH(D620,$D$244:$D$279,0),E620+2)</f>
        <v>0</v>
      </c>
      <c r="G620" s="88">
        <f t="shared" si="18"/>
        <v>0</v>
      </c>
    </row>
    <row r="621" spans="4:7" hidden="1" outlineLevel="1">
      <c r="D621" s="88">
        <f t="shared" si="19"/>
        <v>23</v>
      </c>
      <c r="E621" s="88">
        <v>8</v>
      </c>
      <c r="F621" s="89" cm="1">
        <f t="array" ref="F621">INDEX($D$244:$T$279,MATCH(D621,$D$244:$D$279,0),E621+2)</f>
        <v>0</v>
      </c>
      <c r="G621" s="88">
        <f t="shared" si="18"/>
        <v>0</v>
      </c>
    </row>
    <row r="622" spans="4:7" hidden="1" outlineLevel="1">
      <c r="D622" s="88">
        <f t="shared" si="19"/>
        <v>23</v>
      </c>
      <c r="E622" s="88">
        <v>9</v>
      </c>
      <c r="F622" s="89" cm="1">
        <f t="array" ref="F622">INDEX($D$244:$T$279,MATCH(D622,$D$244:$D$279,0),E622+2)</f>
        <v>0</v>
      </c>
      <c r="G622" s="88">
        <f t="shared" si="18"/>
        <v>0</v>
      </c>
    </row>
    <row r="623" spans="4:7" hidden="1" outlineLevel="1">
      <c r="D623" s="88">
        <f t="shared" si="19"/>
        <v>23</v>
      </c>
      <c r="E623" s="88">
        <v>10</v>
      </c>
      <c r="F623" s="89" cm="1">
        <f t="array" ref="F623">INDEX($D$244:$T$279,MATCH(D623,$D$244:$D$279,0),E623+2)</f>
        <v>0</v>
      </c>
      <c r="G623" s="88">
        <f t="shared" si="18"/>
        <v>0</v>
      </c>
    </row>
    <row r="624" spans="4:7" hidden="1" outlineLevel="1">
      <c r="D624" s="88">
        <f t="shared" si="19"/>
        <v>23</v>
      </c>
      <c r="E624" s="88">
        <v>11</v>
      </c>
      <c r="F624" s="89" cm="1">
        <f t="array" ref="F624">INDEX($D$244:$T$279,MATCH(D624,$D$244:$D$279,0),E624+2)</f>
        <v>0</v>
      </c>
      <c r="G624" s="88">
        <f t="shared" si="18"/>
        <v>0</v>
      </c>
    </row>
    <row r="625" spans="4:7" hidden="1" outlineLevel="1">
      <c r="D625" s="88">
        <f t="shared" si="19"/>
        <v>23</v>
      </c>
      <c r="E625" s="88">
        <v>12</v>
      </c>
      <c r="F625" s="89" cm="1">
        <f t="array" ref="F625">INDEX($D$244:$T$279,MATCH(D625,$D$244:$D$279,0),E625+2)</f>
        <v>0</v>
      </c>
      <c r="G625" s="88">
        <f t="shared" si="18"/>
        <v>0</v>
      </c>
    </row>
    <row r="626" spans="4:7" hidden="1" outlineLevel="1">
      <c r="D626" s="88">
        <f t="shared" si="19"/>
        <v>23</v>
      </c>
      <c r="E626" s="88">
        <v>13</v>
      </c>
      <c r="F626" s="89" cm="1">
        <f t="array" ref="F626">INDEX($D$244:$T$279,MATCH(D626,$D$244:$D$279,0),E626+2)</f>
        <v>0</v>
      </c>
      <c r="G626" s="88">
        <f t="shared" si="18"/>
        <v>0</v>
      </c>
    </row>
    <row r="627" spans="4:7" hidden="1" outlineLevel="1">
      <c r="D627" s="88">
        <f t="shared" si="19"/>
        <v>23</v>
      </c>
      <c r="E627" s="88">
        <v>14</v>
      </c>
      <c r="F627" s="89" cm="1">
        <f t="array" ref="F627">INDEX($D$244:$T$279,MATCH(D627,$D$244:$D$279,0),E627+2)</f>
        <v>0</v>
      </c>
      <c r="G627" s="88">
        <f t="shared" si="18"/>
        <v>0</v>
      </c>
    </row>
    <row r="628" spans="4:7" hidden="1" outlineLevel="1">
      <c r="D628" s="88">
        <f t="shared" si="19"/>
        <v>23</v>
      </c>
      <c r="E628" s="88">
        <v>15</v>
      </c>
      <c r="F628" s="89" cm="1">
        <f t="array" ref="F628">INDEX($D$244:$T$279,MATCH(D628,$D$244:$D$279,0),E628+2)</f>
        <v>0</v>
      </c>
      <c r="G628" s="88">
        <f t="shared" si="18"/>
        <v>0</v>
      </c>
    </row>
    <row r="629" spans="4:7" hidden="1" outlineLevel="1">
      <c r="D629" s="88">
        <f t="shared" si="19"/>
        <v>24</v>
      </c>
      <c r="E629" s="88">
        <v>1</v>
      </c>
      <c r="F629" s="89" cm="1">
        <f t="array" ref="F629">INDEX($D$244:$T$279,MATCH(D629,$D$244:$D$279,0),E629+2)</f>
        <v>0</v>
      </c>
      <c r="G629" s="88">
        <f t="shared" si="18"/>
        <v>0</v>
      </c>
    </row>
    <row r="630" spans="4:7" hidden="1" outlineLevel="1">
      <c r="D630" s="88">
        <f t="shared" si="19"/>
        <v>24</v>
      </c>
      <c r="E630" s="88">
        <v>2</v>
      </c>
      <c r="F630" s="89" cm="1">
        <f t="array" ref="F630">INDEX($D$244:$T$279,MATCH(D630,$D$244:$D$279,0),E630+2)</f>
        <v>0</v>
      </c>
      <c r="G630" s="88">
        <f t="shared" si="18"/>
        <v>0</v>
      </c>
    </row>
    <row r="631" spans="4:7" hidden="1" outlineLevel="1">
      <c r="D631" s="88">
        <f t="shared" si="19"/>
        <v>24</v>
      </c>
      <c r="E631" s="88">
        <v>3</v>
      </c>
      <c r="F631" s="89" cm="1">
        <f t="array" ref="F631">INDEX($D$244:$T$279,MATCH(D631,$D$244:$D$279,0),E631+2)</f>
        <v>0</v>
      </c>
      <c r="G631" s="88">
        <f t="shared" si="18"/>
        <v>0</v>
      </c>
    </row>
    <row r="632" spans="4:7" hidden="1" outlineLevel="1">
      <c r="D632" s="88">
        <f t="shared" si="19"/>
        <v>24</v>
      </c>
      <c r="E632" s="88">
        <v>4</v>
      </c>
      <c r="F632" s="89" cm="1">
        <f t="array" ref="F632">INDEX($D$244:$T$279,MATCH(D632,$D$244:$D$279,0),E632+2)</f>
        <v>0</v>
      </c>
      <c r="G632" s="88">
        <f t="shared" si="18"/>
        <v>0</v>
      </c>
    </row>
    <row r="633" spans="4:7" hidden="1" outlineLevel="1">
      <c r="D633" s="88">
        <f t="shared" si="19"/>
        <v>24</v>
      </c>
      <c r="E633" s="88">
        <v>5</v>
      </c>
      <c r="F633" s="89" cm="1">
        <f t="array" ref="F633">INDEX($D$244:$T$279,MATCH(D633,$D$244:$D$279,0),E633+2)</f>
        <v>0</v>
      </c>
      <c r="G633" s="88">
        <f t="shared" si="18"/>
        <v>0</v>
      </c>
    </row>
    <row r="634" spans="4:7" hidden="1" outlineLevel="1">
      <c r="D634" s="88">
        <f t="shared" si="19"/>
        <v>24</v>
      </c>
      <c r="E634" s="88">
        <v>6</v>
      </c>
      <c r="F634" s="89" cm="1">
        <f t="array" ref="F634">INDEX($D$244:$T$279,MATCH(D634,$D$244:$D$279,0),E634+2)</f>
        <v>0</v>
      </c>
      <c r="G634" s="88">
        <f t="shared" si="18"/>
        <v>0</v>
      </c>
    </row>
    <row r="635" spans="4:7" hidden="1" outlineLevel="1">
      <c r="D635" s="88">
        <f t="shared" si="19"/>
        <v>24</v>
      </c>
      <c r="E635" s="88">
        <v>7</v>
      </c>
      <c r="F635" s="89" cm="1">
        <f t="array" ref="F635">INDEX($D$244:$T$279,MATCH(D635,$D$244:$D$279,0),E635+2)</f>
        <v>0</v>
      </c>
      <c r="G635" s="88">
        <f t="shared" si="18"/>
        <v>0</v>
      </c>
    </row>
    <row r="636" spans="4:7" hidden="1" outlineLevel="1">
      <c r="D636" s="88">
        <f t="shared" si="19"/>
        <v>24</v>
      </c>
      <c r="E636" s="88">
        <v>8</v>
      </c>
      <c r="F636" s="89" cm="1">
        <f t="array" ref="F636">INDEX($D$244:$T$279,MATCH(D636,$D$244:$D$279,0),E636+2)</f>
        <v>0</v>
      </c>
      <c r="G636" s="88">
        <f t="shared" si="18"/>
        <v>0</v>
      </c>
    </row>
    <row r="637" spans="4:7" hidden="1" outlineLevel="1">
      <c r="D637" s="88">
        <f t="shared" si="19"/>
        <v>24</v>
      </c>
      <c r="E637" s="88">
        <v>9</v>
      </c>
      <c r="F637" s="89" cm="1">
        <f t="array" ref="F637">INDEX($D$244:$T$279,MATCH(D637,$D$244:$D$279,0),E637+2)</f>
        <v>0</v>
      </c>
      <c r="G637" s="88">
        <f t="shared" ref="G637:G700" si="20">IF(F637&gt;0,D637,0)</f>
        <v>0</v>
      </c>
    </row>
    <row r="638" spans="4:7" hidden="1" outlineLevel="1">
      <c r="D638" s="88">
        <f t="shared" ref="D638:D701" si="21">D623+1</f>
        <v>24</v>
      </c>
      <c r="E638" s="88">
        <v>10</v>
      </c>
      <c r="F638" s="89" cm="1">
        <f t="array" ref="F638">INDEX($D$244:$T$279,MATCH(D638,$D$244:$D$279,0),E638+2)</f>
        <v>0</v>
      </c>
      <c r="G638" s="88">
        <f t="shared" si="20"/>
        <v>0</v>
      </c>
    </row>
    <row r="639" spans="4:7" hidden="1" outlineLevel="1">
      <c r="D639" s="88">
        <f t="shared" si="21"/>
        <v>24</v>
      </c>
      <c r="E639" s="88">
        <v>11</v>
      </c>
      <c r="F639" s="89" cm="1">
        <f t="array" ref="F639">INDEX($D$244:$T$279,MATCH(D639,$D$244:$D$279,0),E639+2)</f>
        <v>0</v>
      </c>
      <c r="G639" s="88">
        <f t="shared" si="20"/>
        <v>0</v>
      </c>
    </row>
    <row r="640" spans="4:7" hidden="1" outlineLevel="1">
      <c r="D640" s="88">
        <f t="shared" si="21"/>
        <v>24</v>
      </c>
      <c r="E640" s="88">
        <v>12</v>
      </c>
      <c r="F640" s="89" cm="1">
        <f t="array" ref="F640">INDEX($D$244:$T$279,MATCH(D640,$D$244:$D$279,0),E640+2)</f>
        <v>0</v>
      </c>
      <c r="G640" s="88">
        <f t="shared" si="20"/>
        <v>0</v>
      </c>
    </row>
    <row r="641" spans="4:7" hidden="1" outlineLevel="1">
      <c r="D641" s="88">
        <f t="shared" si="21"/>
        <v>24</v>
      </c>
      <c r="E641" s="88">
        <v>13</v>
      </c>
      <c r="F641" s="89" cm="1">
        <f t="array" ref="F641">INDEX($D$244:$T$279,MATCH(D641,$D$244:$D$279,0),E641+2)</f>
        <v>0</v>
      </c>
      <c r="G641" s="88">
        <f t="shared" si="20"/>
        <v>0</v>
      </c>
    </row>
    <row r="642" spans="4:7" hidden="1" outlineLevel="1">
      <c r="D642" s="88">
        <f t="shared" si="21"/>
        <v>24</v>
      </c>
      <c r="E642" s="88">
        <v>14</v>
      </c>
      <c r="F642" s="89" cm="1">
        <f t="array" ref="F642">INDEX($D$244:$T$279,MATCH(D642,$D$244:$D$279,0),E642+2)</f>
        <v>0</v>
      </c>
      <c r="G642" s="88">
        <f t="shared" si="20"/>
        <v>0</v>
      </c>
    </row>
    <row r="643" spans="4:7" hidden="1" outlineLevel="1">
      <c r="D643" s="88">
        <f t="shared" si="21"/>
        <v>24</v>
      </c>
      <c r="E643" s="88">
        <v>15</v>
      </c>
      <c r="F643" s="89" cm="1">
        <f t="array" ref="F643">INDEX($D$244:$T$279,MATCH(D643,$D$244:$D$279,0),E643+2)</f>
        <v>0</v>
      </c>
      <c r="G643" s="88">
        <f t="shared" si="20"/>
        <v>0</v>
      </c>
    </row>
    <row r="644" spans="4:7" hidden="1" outlineLevel="1">
      <c r="D644" s="88">
        <f t="shared" si="21"/>
        <v>25</v>
      </c>
      <c r="E644" s="88">
        <v>1</v>
      </c>
      <c r="F644" s="89" cm="1">
        <f t="array" ref="F644">INDEX($D$244:$T$279,MATCH(D644,$D$244:$D$279,0),E644+2)</f>
        <v>0</v>
      </c>
      <c r="G644" s="88">
        <f t="shared" si="20"/>
        <v>0</v>
      </c>
    </row>
    <row r="645" spans="4:7" hidden="1" outlineLevel="1">
      <c r="D645" s="88">
        <f t="shared" si="21"/>
        <v>25</v>
      </c>
      <c r="E645" s="88">
        <v>2</v>
      </c>
      <c r="F645" s="89" cm="1">
        <f t="array" ref="F645">INDEX($D$244:$T$279,MATCH(D645,$D$244:$D$279,0),E645+2)</f>
        <v>0</v>
      </c>
      <c r="G645" s="88">
        <f t="shared" si="20"/>
        <v>0</v>
      </c>
    </row>
    <row r="646" spans="4:7" hidden="1" outlineLevel="1">
      <c r="D646" s="88">
        <f t="shared" si="21"/>
        <v>25</v>
      </c>
      <c r="E646" s="88">
        <v>3</v>
      </c>
      <c r="F646" s="89" cm="1">
        <f t="array" ref="F646">INDEX($D$244:$T$279,MATCH(D646,$D$244:$D$279,0),E646+2)</f>
        <v>0</v>
      </c>
      <c r="G646" s="88">
        <f t="shared" si="20"/>
        <v>0</v>
      </c>
    </row>
    <row r="647" spans="4:7" hidden="1" outlineLevel="1">
      <c r="D647" s="88">
        <f t="shared" si="21"/>
        <v>25</v>
      </c>
      <c r="E647" s="88">
        <v>4</v>
      </c>
      <c r="F647" s="89" cm="1">
        <f t="array" ref="F647">INDEX($D$244:$T$279,MATCH(D647,$D$244:$D$279,0),E647+2)</f>
        <v>0</v>
      </c>
      <c r="G647" s="88">
        <f t="shared" si="20"/>
        <v>0</v>
      </c>
    </row>
    <row r="648" spans="4:7" hidden="1" outlineLevel="1">
      <c r="D648" s="88">
        <f t="shared" si="21"/>
        <v>25</v>
      </c>
      <c r="E648" s="88">
        <v>5</v>
      </c>
      <c r="F648" s="89" cm="1">
        <f t="array" ref="F648">INDEX($D$244:$T$279,MATCH(D648,$D$244:$D$279,0),E648+2)</f>
        <v>0</v>
      </c>
      <c r="G648" s="88">
        <f t="shared" si="20"/>
        <v>0</v>
      </c>
    </row>
    <row r="649" spans="4:7" hidden="1" outlineLevel="1">
      <c r="D649" s="88">
        <f t="shared" si="21"/>
        <v>25</v>
      </c>
      <c r="E649" s="88">
        <v>6</v>
      </c>
      <c r="F649" s="89" cm="1">
        <f t="array" ref="F649">INDEX($D$244:$T$279,MATCH(D649,$D$244:$D$279,0),E649+2)</f>
        <v>0</v>
      </c>
      <c r="G649" s="88">
        <f t="shared" si="20"/>
        <v>0</v>
      </c>
    </row>
    <row r="650" spans="4:7" hidden="1" outlineLevel="1">
      <c r="D650" s="88">
        <f t="shared" si="21"/>
        <v>25</v>
      </c>
      <c r="E650" s="88">
        <v>7</v>
      </c>
      <c r="F650" s="89" cm="1">
        <f t="array" ref="F650">INDEX($D$244:$T$279,MATCH(D650,$D$244:$D$279,0),E650+2)</f>
        <v>0</v>
      </c>
      <c r="G650" s="88">
        <f t="shared" si="20"/>
        <v>0</v>
      </c>
    </row>
    <row r="651" spans="4:7" hidden="1" outlineLevel="1">
      <c r="D651" s="88">
        <f t="shared" si="21"/>
        <v>25</v>
      </c>
      <c r="E651" s="88">
        <v>8</v>
      </c>
      <c r="F651" s="89" cm="1">
        <f t="array" ref="F651">INDEX($D$244:$T$279,MATCH(D651,$D$244:$D$279,0),E651+2)</f>
        <v>0</v>
      </c>
      <c r="G651" s="88">
        <f t="shared" si="20"/>
        <v>0</v>
      </c>
    </row>
    <row r="652" spans="4:7" hidden="1" outlineLevel="1">
      <c r="D652" s="88">
        <f t="shared" si="21"/>
        <v>25</v>
      </c>
      <c r="E652" s="88">
        <v>9</v>
      </c>
      <c r="F652" s="89" cm="1">
        <f t="array" ref="F652">INDEX($D$244:$T$279,MATCH(D652,$D$244:$D$279,0),E652+2)</f>
        <v>0</v>
      </c>
      <c r="G652" s="88">
        <f t="shared" si="20"/>
        <v>0</v>
      </c>
    </row>
    <row r="653" spans="4:7" hidden="1" outlineLevel="1">
      <c r="D653" s="88">
        <f t="shared" si="21"/>
        <v>25</v>
      </c>
      <c r="E653" s="88">
        <v>10</v>
      </c>
      <c r="F653" s="89" cm="1">
        <f t="array" ref="F653">INDEX($D$244:$T$279,MATCH(D653,$D$244:$D$279,0),E653+2)</f>
        <v>0</v>
      </c>
      <c r="G653" s="88">
        <f t="shared" si="20"/>
        <v>0</v>
      </c>
    </row>
    <row r="654" spans="4:7" hidden="1" outlineLevel="1">
      <c r="D654" s="88">
        <f t="shared" si="21"/>
        <v>25</v>
      </c>
      <c r="E654" s="88">
        <v>11</v>
      </c>
      <c r="F654" s="89" cm="1">
        <f t="array" ref="F654">INDEX($D$244:$T$279,MATCH(D654,$D$244:$D$279,0),E654+2)</f>
        <v>0</v>
      </c>
      <c r="G654" s="88">
        <f t="shared" si="20"/>
        <v>0</v>
      </c>
    </row>
    <row r="655" spans="4:7" hidden="1" outlineLevel="1">
      <c r="D655" s="88">
        <f t="shared" si="21"/>
        <v>25</v>
      </c>
      <c r="E655" s="88">
        <v>12</v>
      </c>
      <c r="F655" s="89" cm="1">
        <f t="array" ref="F655">INDEX($D$244:$T$279,MATCH(D655,$D$244:$D$279,0),E655+2)</f>
        <v>0</v>
      </c>
      <c r="G655" s="88">
        <f t="shared" si="20"/>
        <v>0</v>
      </c>
    </row>
    <row r="656" spans="4:7" hidden="1" outlineLevel="1">
      <c r="D656" s="88">
        <f t="shared" si="21"/>
        <v>25</v>
      </c>
      <c r="E656" s="88">
        <v>13</v>
      </c>
      <c r="F656" s="89" cm="1">
        <f t="array" ref="F656">INDEX($D$244:$T$279,MATCH(D656,$D$244:$D$279,0),E656+2)</f>
        <v>0</v>
      </c>
      <c r="G656" s="88">
        <f t="shared" si="20"/>
        <v>0</v>
      </c>
    </row>
    <row r="657" spans="4:7" hidden="1" outlineLevel="1">
      <c r="D657" s="88">
        <f t="shared" si="21"/>
        <v>25</v>
      </c>
      <c r="E657" s="88">
        <v>14</v>
      </c>
      <c r="F657" s="89" cm="1">
        <f t="array" ref="F657">INDEX($D$244:$T$279,MATCH(D657,$D$244:$D$279,0),E657+2)</f>
        <v>0</v>
      </c>
      <c r="G657" s="88">
        <f t="shared" si="20"/>
        <v>0</v>
      </c>
    </row>
    <row r="658" spans="4:7" hidden="1" outlineLevel="1">
      <c r="D658" s="88">
        <f t="shared" si="21"/>
        <v>25</v>
      </c>
      <c r="E658" s="88">
        <v>15</v>
      </c>
      <c r="F658" s="89" cm="1">
        <f t="array" ref="F658">INDEX($D$244:$T$279,MATCH(D658,$D$244:$D$279,0),E658+2)</f>
        <v>0</v>
      </c>
      <c r="G658" s="88">
        <f t="shared" si="20"/>
        <v>0</v>
      </c>
    </row>
    <row r="659" spans="4:7" hidden="1" outlineLevel="1">
      <c r="D659" s="88">
        <f t="shared" si="21"/>
        <v>26</v>
      </c>
      <c r="E659" s="88">
        <v>1</v>
      </c>
      <c r="F659" s="89" cm="1">
        <f t="array" ref="F659">INDEX($D$244:$T$279,MATCH(D659,$D$244:$D$279,0),E659+2)</f>
        <v>0</v>
      </c>
      <c r="G659" s="88">
        <f t="shared" si="20"/>
        <v>0</v>
      </c>
    </row>
    <row r="660" spans="4:7" hidden="1" outlineLevel="1">
      <c r="D660" s="88">
        <f t="shared" si="21"/>
        <v>26</v>
      </c>
      <c r="E660" s="88">
        <v>2</v>
      </c>
      <c r="F660" s="89" cm="1">
        <f t="array" ref="F660">INDEX($D$244:$T$279,MATCH(D660,$D$244:$D$279,0),E660+2)</f>
        <v>0</v>
      </c>
      <c r="G660" s="88">
        <f t="shared" si="20"/>
        <v>0</v>
      </c>
    </row>
    <row r="661" spans="4:7" hidden="1" outlineLevel="1">
      <c r="D661" s="88">
        <f t="shared" si="21"/>
        <v>26</v>
      </c>
      <c r="E661" s="88">
        <v>3</v>
      </c>
      <c r="F661" s="89" cm="1">
        <f t="array" ref="F661">INDEX($D$244:$T$279,MATCH(D661,$D$244:$D$279,0),E661+2)</f>
        <v>0</v>
      </c>
      <c r="G661" s="88">
        <f t="shared" si="20"/>
        <v>0</v>
      </c>
    </row>
    <row r="662" spans="4:7" hidden="1" outlineLevel="1">
      <c r="D662" s="88">
        <f t="shared" si="21"/>
        <v>26</v>
      </c>
      <c r="E662" s="88">
        <v>4</v>
      </c>
      <c r="F662" s="89" cm="1">
        <f t="array" ref="F662">INDEX($D$244:$T$279,MATCH(D662,$D$244:$D$279,0),E662+2)</f>
        <v>0</v>
      </c>
      <c r="G662" s="88">
        <f t="shared" si="20"/>
        <v>0</v>
      </c>
    </row>
    <row r="663" spans="4:7" hidden="1" outlineLevel="1">
      <c r="D663" s="88">
        <f t="shared" si="21"/>
        <v>26</v>
      </c>
      <c r="E663" s="88">
        <v>5</v>
      </c>
      <c r="F663" s="89" cm="1">
        <f t="array" ref="F663">INDEX($D$244:$T$279,MATCH(D663,$D$244:$D$279,0),E663+2)</f>
        <v>0</v>
      </c>
      <c r="G663" s="88">
        <f t="shared" si="20"/>
        <v>0</v>
      </c>
    </row>
    <row r="664" spans="4:7" hidden="1" outlineLevel="1">
      <c r="D664" s="88">
        <f t="shared" si="21"/>
        <v>26</v>
      </c>
      <c r="E664" s="88">
        <v>6</v>
      </c>
      <c r="F664" s="89" cm="1">
        <f t="array" ref="F664">INDEX($D$244:$T$279,MATCH(D664,$D$244:$D$279,0),E664+2)</f>
        <v>0</v>
      </c>
      <c r="G664" s="88">
        <f t="shared" si="20"/>
        <v>0</v>
      </c>
    </row>
    <row r="665" spans="4:7" hidden="1" outlineLevel="1">
      <c r="D665" s="88">
        <f t="shared" si="21"/>
        <v>26</v>
      </c>
      <c r="E665" s="88">
        <v>7</v>
      </c>
      <c r="F665" s="89" cm="1">
        <f t="array" ref="F665">INDEX($D$244:$T$279,MATCH(D665,$D$244:$D$279,0),E665+2)</f>
        <v>0</v>
      </c>
      <c r="G665" s="88">
        <f t="shared" si="20"/>
        <v>0</v>
      </c>
    </row>
    <row r="666" spans="4:7" hidden="1" outlineLevel="1">
      <c r="D666" s="88">
        <f t="shared" si="21"/>
        <v>26</v>
      </c>
      <c r="E666" s="88">
        <v>8</v>
      </c>
      <c r="F666" s="89" cm="1">
        <f t="array" ref="F666">INDEX($D$244:$T$279,MATCH(D666,$D$244:$D$279,0),E666+2)</f>
        <v>0</v>
      </c>
      <c r="G666" s="88">
        <f t="shared" si="20"/>
        <v>0</v>
      </c>
    </row>
    <row r="667" spans="4:7" hidden="1" outlineLevel="1">
      <c r="D667" s="88">
        <f t="shared" si="21"/>
        <v>26</v>
      </c>
      <c r="E667" s="88">
        <v>9</v>
      </c>
      <c r="F667" s="89" cm="1">
        <f t="array" ref="F667">INDEX($D$244:$T$279,MATCH(D667,$D$244:$D$279,0),E667+2)</f>
        <v>0</v>
      </c>
      <c r="G667" s="88">
        <f t="shared" si="20"/>
        <v>0</v>
      </c>
    </row>
    <row r="668" spans="4:7" hidden="1" outlineLevel="1">
      <c r="D668" s="88">
        <f t="shared" si="21"/>
        <v>26</v>
      </c>
      <c r="E668" s="88">
        <v>10</v>
      </c>
      <c r="F668" s="89" cm="1">
        <f t="array" ref="F668">INDEX($D$244:$T$279,MATCH(D668,$D$244:$D$279,0),E668+2)</f>
        <v>0</v>
      </c>
      <c r="G668" s="88">
        <f t="shared" si="20"/>
        <v>0</v>
      </c>
    </row>
    <row r="669" spans="4:7" hidden="1" outlineLevel="1">
      <c r="D669" s="88">
        <f t="shared" si="21"/>
        <v>26</v>
      </c>
      <c r="E669" s="88">
        <v>11</v>
      </c>
      <c r="F669" s="89" cm="1">
        <f t="array" ref="F669">INDEX($D$244:$T$279,MATCH(D669,$D$244:$D$279,0),E669+2)</f>
        <v>0</v>
      </c>
      <c r="G669" s="88">
        <f t="shared" si="20"/>
        <v>0</v>
      </c>
    </row>
    <row r="670" spans="4:7" hidden="1" outlineLevel="1">
      <c r="D670" s="88">
        <f t="shared" si="21"/>
        <v>26</v>
      </c>
      <c r="E670" s="88">
        <v>12</v>
      </c>
      <c r="F670" s="89" cm="1">
        <f t="array" ref="F670">INDEX($D$244:$T$279,MATCH(D670,$D$244:$D$279,0),E670+2)</f>
        <v>0</v>
      </c>
      <c r="G670" s="88">
        <f t="shared" si="20"/>
        <v>0</v>
      </c>
    </row>
    <row r="671" spans="4:7" hidden="1" outlineLevel="1">
      <c r="D671" s="88">
        <f t="shared" si="21"/>
        <v>26</v>
      </c>
      <c r="E671" s="88">
        <v>13</v>
      </c>
      <c r="F671" s="89" cm="1">
        <f t="array" ref="F671">INDEX($D$244:$T$279,MATCH(D671,$D$244:$D$279,0),E671+2)</f>
        <v>0</v>
      </c>
      <c r="G671" s="88">
        <f t="shared" si="20"/>
        <v>0</v>
      </c>
    </row>
    <row r="672" spans="4:7" hidden="1" outlineLevel="1">
      <c r="D672" s="88">
        <f t="shared" si="21"/>
        <v>26</v>
      </c>
      <c r="E672" s="88">
        <v>14</v>
      </c>
      <c r="F672" s="89" cm="1">
        <f t="array" ref="F672">INDEX($D$244:$T$279,MATCH(D672,$D$244:$D$279,0),E672+2)</f>
        <v>0</v>
      </c>
      <c r="G672" s="88">
        <f t="shared" si="20"/>
        <v>0</v>
      </c>
    </row>
    <row r="673" spans="4:7" hidden="1" outlineLevel="1">
      <c r="D673" s="88">
        <f t="shared" si="21"/>
        <v>26</v>
      </c>
      <c r="E673" s="88">
        <v>15</v>
      </c>
      <c r="F673" s="89" cm="1">
        <f t="array" ref="F673">INDEX($D$244:$T$279,MATCH(D673,$D$244:$D$279,0),E673+2)</f>
        <v>0</v>
      </c>
      <c r="G673" s="88">
        <f t="shared" si="20"/>
        <v>0</v>
      </c>
    </row>
    <row r="674" spans="4:7" hidden="1" outlineLevel="1">
      <c r="D674" s="88">
        <f t="shared" si="21"/>
        <v>27</v>
      </c>
      <c r="E674" s="88">
        <v>1</v>
      </c>
      <c r="F674" s="89" cm="1">
        <f t="array" ref="F674">INDEX($D$244:$T$279,MATCH(D674,$D$244:$D$279,0),E674+2)</f>
        <v>0</v>
      </c>
      <c r="G674" s="88">
        <f t="shared" si="20"/>
        <v>0</v>
      </c>
    </row>
    <row r="675" spans="4:7" hidden="1" outlineLevel="1">
      <c r="D675" s="88">
        <f t="shared" si="21"/>
        <v>27</v>
      </c>
      <c r="E675" s="88">
        <v>2</v>
      </c>
      <c r="F675" s="89" cm="1">
        <f t="array" ref="F675">INDEX($D$244:$T$279,MATCH(D675,$D$244:$D$279,0),E675+2)</f>
        <v>0</v>
      </c>
      <c r="G675" s="88">
        <f t="shared" si="20"/>
        <v>0</v>
      </c>
    </row>
    <row r="676" spans="4:7" hidden="1" outlineLevel="1">
      <c r="D676" s="88">
        <f t="shared" si="21"/>
        <v>27</v>
      </c>
      <c r="E676" s="88">
        <v>3</v>
      </c>
      <c r="F676" s="89" cm="1">
        <f t="array" ref="F676">INDEX($D$244:$T$279,MATCH(D676,$D$244:$D$279,0),E676+2)</f>
        <v>0</v>
      </c>
      <c r="G676" s="88">
        <f t="shared" si="20"/>
        <v>0</v>
      </c>
    </row>
    <row r="677" spans="4:7" hidden="1" outlineLevel="1">
      <c r="D677" s="88">
        <f t="shared" si="21"/>
        <v>27</v>
      </c>
      <c r="E677" s="88">
        <v>4</v>
      </c>
      <c r="F677" s="89" cm="1">
        <f t="array" ref="F677">INDEX($D$244:$T$279,MATCH(D677,$D$244:$D$279,0),E677+2)</f>
        <v>0</v>
      </c>
      <c r="G677" s="88">
        <f t="shared" si="20"/>
        <v>0</v>
      </c>
    </row>
    <row r="678" spans="4:7" hidden="1" outlineLevel="1">
      <c r="D678" s="88">
        <f t="shared" si="21"/>
        <v>27</v>
      </c>
      <c r="E678" s="88">
        <v>5</v>
      </c>
      <c r="F678" s="89" cm="1">
        <f t="array" ref="F678">INDEX($D$244:$T$279,MATCH(D678,$D$244:$D$279,0),E678+2)</f>
        <v>0</v>
      </c>
      <c r="G678" s="88">
        <f t="shared" si="20"/>
        <v>0</v>
      </c>
    </row>
    <row r="679" spans="4:7" hidden="1" outlineLevel="1">
      <c r="D679" s="88">
        <f t="shared" si="21"/>
        <v>27</v>
      </c>
      <c r="E679" s="88">
        <v>6</v>
      </c>
      <c r="F679" s="89" cm="1">
        <f t="array" ref="F679">INDEX($D$244:$T$279,MATCH(D679,$D$244:$D$279,0),E679+2)</f>
        <v>0</v>
      </c>
      <c r="G679" s="88">
        <f t="shared" si="20"/>
        <v>0</v>
      </c>
    </row>
    <row r="680" spans="4:7" hidden="1" outlineLevel="1">
      <c r="D680" s="88">
        <f t="shared" si="21"/>
        <v>27</v>
      </c>
      <c r="E680" s="88">
        <v>7</v>
      </c>
      <c r="F680" s="89" cm="1">
        <f t="array" ref="F680">INDEX($D$244:$T$279,MATCH(D680,$D$244:$D$279,0),E680+2)</f>
        <v>0</v>
      </c>
      <c r="G680" s="88">
        <f t="shared" si="20"/>
        <v>0</v>
      </c>
    </row>
    <row r="681" spans="4:7" hidden="1" outlineLevel="1">
      <c r="D681" s="88">
        <f t="shared" si="21"/>
        <v>27</v>
      </c>
      <c r="E681" s="88">
        <v>8</v>
      </c>
      <c r="F681" s="89" cm="1">
        <f t="array" ref="F681">INDEX($D$244:$T$279,MATCH(D681,$D$244:$D$279,0),E681+2)</f>
        <v>0</v>
      </c>
      <c r="G681" s="88">
        <f t="shared" si="20"/>
        <v>0</v>
      </c>
    </row>
    <row r="682" spans="4:7" hidden="1" outlineLevel="1">
      <c r="D682" s="88">
        <f t="shared" si="21"/>
        <v>27</v>
      </c>
      <c r="E682" s="88">
        <v>9</v>
      </c>
      <c r="F682" s="89" cm="1">
        <f t="array" ref="F682">INDEX($D$244:$T$279,MATCH(D682,$D$244:$D$279,0),E682+2)</f>
        <v>0</v>
      </c>
      <c r="G682" s="88">
        <f t="shared" si="20"/>
        <v>0</v>
      </c>
    </row>
    <row r="683" spans="4:7" hidden="1" outlineLevel="1">
      <c r="D683" s="88">
        <f t="shared" si="21"/>
        <v>27</v>
      </c>
      <c r="E683" s="88">
        <v>10</v>
      </c>
      <c r="F683" s="89" cm="1">
        <f t="array" ref="F683">INDEX($D$244:$T$279,MATCH(D683,$D$244:$D$279,0),E683+2)</f>
        <v>0</v>
      </c>
      <c r="G683" s="88">
        <f t="shared" si="20"/>
        <v>0</v>
      </c>
    </row>
    <row r="684" spans="4:7" hidden="1" outlineLevel="1">
      <c r="D684" s="88">
        <f t="shared" si="21"/>
        <v>27</v>
      </c>
      <c r="E684" s="88">
        <v>11</v>
      </c>
      <c r="F684" s="89" cm="1">
        <f t="array" ref="F684">INDEX($D$244:$T$279,MATCH(D684,$D$244:$D$279,0),E684+2)</f>
        <v>0</v>
      </c>
      <c r="G684" s="88">
        <f t="shared" si="20"/>
        <v>0</v>
      </c>
    </row>
    <row r="685" spans="4:7" hidden="1" outlineLevel="1">
      <c r="D685" s="88">
        <f t="shared" si="21"/>
        <v>27</v>
      </c>
      <c r="E685" s="88">
        <v>12</v>
      </c>
      <c r="F685" s="89" cm="1">
        <f t="array" ref="F685">INDEX($D$244:$T$279,MATCH(D685,$D$244:$D$279,0),E685+2)</f>
        <v>0</v>
      </c>
      <c r="G685" s="88">
        <f t="shared" si="20"/>
        <v>0</v>
      </c>
    </row>
    <row r="686" spans="4:7" hidden="1" outlineLevel="1">
      <c r="D686" s="88">
        <f t="shared" si="21"/>
        <v>27</v>
      </c>
      <c r="E686" s="88">
        <v>13</v>
      </c>
      <c r="F686" s="89" cm="1">
        <f t="array" ref="F686">INDEX($D$244:$T$279,MATCH(D686,$D$244:$D$279,0),E686+2)</f>
        <v>0</v>
      </c>
      <c r="G686" s="88">
        <f t="shared" si="20"/>
        <v>0</v>
      </c>
    </row>
    <row r="687" spans="4:7" hidden="1" outlineLevel="1">
      <c r="D687" s="88">
        <f t="shared" si="21"/>
        <v>27</v>
      </c>
      <c r="E687" s="88">
        <v>14</v>
      </c>
      <c r="F687" s="89" cm="1">
        <f t="array" ref="F687">INDEX($D$244:$T$279,MATCH(D687,$D$244:$D$279,0),E687+2)</f>
        <v>0</v>
      </c>
      <c r="G687" s="88">
        <f t="shared" si="20"/>
        <v>0</v>
      </c>
    </row>
    <row r="688" spans="4:7" hidden="1" outlineLevel="1">
      <c r="D688" s="88">
        <f t="shared" si="21"/>
        <v>27</v>
      </c>
      <c r="E688" s="88">
        <v>15</v>
      </c>
      <c r="F688" s="89" cm="1">
        <f t="array" ref="F688">INDEX($D$244:$T$279,MATCH(D688,$D$244:$D$279,0),E688+2)</f>
        <v>0</v>
      </c>
      <c r="G688" s="88">
        <f t="shared" si="20"/>
        <v>0</v>
      </c>
    </row>
    <row r="689" spans="4:7" hidden="1" outlineLevel="1">
      <c r="D689" s="88">
        <f t="shared" si="21"/>
        <v>28</v>
      </c>
      <c r="E689" s="88">
        <v>1</v>
      </c>
      <c r="F689" s="89" cm="1">
        <f t="array" ref="F689">INDEX($D$244:$T$279,MATCH(D689,$D$244:$D$279,0),E689+2)</f>
        <v>0</v>
      </c>
      <c r="G689" s="88">
        <f t="shared" si="20"/>
        <v>0</v>
      </c>
    </row>
    <row r="690" spans="4:7" hidden="1" outlineLevel="1">
      <c r="D690" s="88">
        <f t="shared" si="21"/>
        <v>28</v>
      </c>
      <c r="E690" s="88">
        <v>2</v>
      </c>
      <c r="F690" s="89" cm="1">
        <f t="array" ref="F690">INDEX($D$244:$T$279,MATCH(D690,$D$244:$D$279,0),E690+2)</f>
        <v>0</v>
      </c>
      <c r="G690" s="88">
        <f t="shared" si="20"/>
        <v>0</v>
      </c>
    </row>
    <row r="691" spans="4:7" hidden="1" outlineLevel="1">
      <c r="D691" s="88">
        <f t="shared" si="21"/>
        <v>28</v>
      </c>
      <c r="E691" s="88">
        <v>3</v>
      </c>
      <c r="F691" s="89" cm="1">
        <f t="array" ref="F691">INDEX($D$244:$T$279,MATCH(D691,$D$244:$D$279,0),E691+2)</f>
        <v>0</v>
      </c>
      <c r="G691" s="88">
        <f t="shared" si="20"/>
        <v>0</v>
      </c>
    </row>
    <row r="692" spans="4:7" hidden="1" outlineLevel="1">
      <c r="D692" s="88">
        <f t="shared" si="21"/>
        <v>28</v>
      </c>
      <c r="E692" s="88">
        <v>4</v>
      </c>
      <c r="F692" s="89" cm="1">
        <f t="array" ref="F692">INDEX($D$244:$T$279,MATCH(D692,$D$244:$D$279,0),E692+2)</f>
        <v>0</v>
      </c>
      <c r="G692" s="88">
        <f t="shared" si="20"/>
        <v>0</v>
      </c>
    </row>
    <row r="693" spans="4:7" hidden="1" outlineLevel="1">
      <c r="D693" s="88">
        <f t="shared" si="21"/>
        <v>28</v>
      </c>
      <c r="E693" s="88">
        <v>5</v>
      </c>
      <c r="F693" s="89" cm="1">
        <f t="array" ref="F693">INDEX($D$244:$T$279,MATCH(D693,$D$244:$D$279,0),E693+2)</f>
        <v>0</v>
      </c>
      <c r="G693" s="88">
        <f t="shared" si="20"/>
        <v>0</v>
      </c>
    </row>
    <row r="694" spans="4:7" hidden="1" outlineLevel="1">
      <c r="D694" s="88">
        <f t="shared" si="21"/>
        <v>28</v>
      </c>
      <c r="E694" s="88">
        <v>6</v>
      </c>
      <c r="F694" s="89" cm="1">
        <f t="array" ref="F694">INDEX($D$244:$T$279,MATCH(D694,$D$244:$D$279,0),E694+2)</f>
        <v>0</v>
      </c>
      <c r="G694" s="88">
        <f t="shared" si="20"/>
        <v>0</v>
      </c>
    </row>
    <row r="695" spans="4:7" hidden="1" outlineLevel="1">
      <c r="D695" s="88">
        <f t="shared" si="21"/>
        <v>28</v>
      </c>
      <c r="E695" s="88">
        <v>7</v>
      </c>
      <c r="F695" s="89" cm="1">
        <f t="array" ref="F695">INDEX($D$244:$T$279,MATCH(D695,$D$244:$D$279,0),E695+2)</f>
        <v>0</v>
      </c>
      <c r="G695" s="88">
        <f t="shared" si="20"/>
        <v>0</v>
      </c>
    </row>
    <row r="696" spans="4:7" hidden="1" outlineLevel="1">
      <c r="D696" s="88">
        <f t="shared" si="21"/>
        <v>28</v>
      </c>
      <c r="E696" s="88">
        <v>8</v>
      </c>
      <c r="F696" s="89" cm="1">
        <f t="array" ref="F696">INDEX($D$244:$T$279,MATCH(D696,$D$244:$D$279,0),E696+2)</f>
        <v>0</v>
      </c>
      <c r="G696" s="88">
        <f t="shared" si="20"/>
        <v>0</v>
      </c>
    </row>
    <row r="697" spans="4:7" hidden="1" outlineLevel="1">
      <c r="D697" s="88">
        <f t="shared" si="21"/>
        <v>28</v>
      </c>
      <c r="E697" s="88">
        <v>9</v>
      </c>
      <c r="F697" s="89" cm="1">
        <f t="array" ref="F697">INDEX($D$244:$T$279,MATCH(D697,$D$244:$D$279,0),E697+2)</f>
        <v>0</v>
      </c>
      <c r="G697" s="88">
        <f t="shared" si="20"/>
        <v>0</v>
      </c>
    </row>
    <row r="698" spans="4:7" hidden="1" outlineLevel="1">
      <c r="D698" s="88">
        <f t="shared" si="21"/>
        <v>28</v>
      </c>
      <c r="E698" s="88">
        <v>10</v>
      </c>
      <c r="F698" s="89" cm="1">
        <f t="array" ref="F698">INDEX($D$244:$T$279,MATCH(D698,$D$244:$D$279,0),E698+2)</f>
        <v>0</v>
      </c>
      <c r="G698" s="88">
        <f t="shared" si="20"/>
        <v>0</v>
      </c>
    </row>
    <row r="699" spans="4:7" hidden="1" outlineLevel="1">
      <c r="D699" s="88">
        <f t="shared" si="21"/>
        <v>28</v>
      </c>
      <c r="E699" s="88">
        <v>11</v>
      </c>
      <c r="F699" s="89" cm="1">
        <f t="array" ref="F699">INDEX($D$244:$T$279,MATCH(D699,$D$244:$D$279,0),E699+2)</f>
        <v>0</v>
      </c>
      <c r="G699" s="88">
        <f t="shared" si="20"/>
        <v>0</v>
      </c>
    </row>
    <row r="700" spans="4:7" hidden="1" outlineLevel="1">
      <c r="D700" s="88">
        <f t="shared" si="21"/>
        <v>28</v>
      </c>
      <c r="E700" s="88">
        <v>12</v>
      </c>
      <c r="F700" s="89" cm="1">
        <f t="array" ref="F700">INDEX($D$244:$T$279,MATCH(D700,$D$244:$D$279,0),E700+2)</f>
        <v>0</v>
      </c>
      <c r="G700" s="88">
        <f t="shared" si="20"/>
        <v>0</v>
      </c>
    </row>
    <row r="701" spans="4:7" hidden="1" outlineLevel="1">
      <c r="D701" s="88">
        <f t="shared" si="21"/>
        <v>28</v>
      </c>
      <c r="E701" s="88">
        <v>13</v>
      </c>
      <c r="F701" s="89" cm="1">
        <f t="array" ref="F701">INDEX($D$244:$T$279,MATCH(D701,$D$244:$D$279,0),E701+2)</f>
        <v>0</v>
      </c>
      <c r="G701" s="88">
        <f t="shared" ref="G701:G764" si="22">IF(F701&gt;0,D701,0)</f>
        <v>0</v>
      </c>
    </row>
    <row r="702" spans="4:7" hidden="1" outlineLevel="1">
      <c r="D702" s="88">
        <f t="shared" ref="D702:D765" si="23">D687+1</f>
        <v>28</v>
      </c>
      <c r="E702" s="88">
        <v>14</v>
      </c>
      <c r="F702" s="89" cm="1">
        <f t="array" ref="F702">INDEX($D$244:$T$279,MATCH(D702,$D$244:$D$279,0),E702+2)</f>
        <v>0</v>
      </c>
      <c r="G702" s="88">
        <f t="shared" si="22"/>
        <v>0</v>
      </c>
    </row>
    <row r="703" spans="4:7" hidden="1" outlineLevel="1">
      <c r="D703" s="88">
        <f t="shared" si="23"/>
        <v>28</v>
      </c>
      <c r="E703" s="88">
        <v>15</v>
      </c>
      <c r="F703" s="89" cm="1">
        <f t="array" ref="F703">INDEX($D$244:$T$279,MATCH(D703,$D$244:$D$279,0),E703+2)</f>
        <v>0</v>
      </c>
      <c r="G703" s="88">
        <f t="shared" si="22"/>
        <v>0</v>
      </c>
    </row>
    <row r="704" spans="4:7" hidden="1" outlineLevel="1">
      <c r="D704" s="88">
        <f t="shared" si="23"/>
        <v>29</v>
      </c>
      <c r="E704" s="88">
        <v>1</v>
      </c>
      <c r="F704" s="89" cm="1">
        <f t="array" ref="F704">INDEX($D$244:$T$279,MATCH(D704,$D$244:$D$279,0),E704+2)</f>
        <v>0</v>
      </c>
      <c r="G704" s="88">
        <f t="shared" si="22"/>
        <v>0</v>
      </c>
    </row>
    <row r="705" spans="4:7" hidden="1" outlineLevel="1">
      <c r="D705" s="88">
        <f t="shared" si="23"/>
        <v>29</v>
      </c>
      <c r="E705" s="88">
        <v>2</v>
      </c>
      <c r="F705" s="89" cm="1">
        <f t="array" ref="F705">INDEX($D$244:$T$279,MATCH(D705,$D$244:$D$279,0),E705+2)</f>
        <v>0</v>
      </c>
      <c r="G705" s="88">
        <f t="shared" si="22"/>
        <v>0</v>
      </c>
    </row>
    <row r="706" spans="4:7" hidden="1" outlineLevel="1">
      <c r="D706" s="88">
        <f t="shared" si="23"/>
        <v>29</v>
      </c>
      <c r="E706" s="88">
        <v>3</v>
      </c>
      <c r="F706" s="89" cm="1">
        <f t="array" ref="F706">INDEX($D$244:$T$279,MATCH(D706,$D$244:$D$279,0),E706+2)</f>
        <v>0</v>
      </c>
      <c r="G706" s="88">
        <f t="shared" si="22"/>
        <v>0</v>
      </c>
    </row>
    <row r="707" spans="4:7" hidden="1" outlineLevel="1">
      <c r="D707" s="88">
        <f t="shared" si="23"/>
        <v>29</v>
      </c>
      <c r="E707" s="88">
        <v>4</v>
      </c>
      <c r="F707" s="89" cm="1">
        <f t="array" ref="F707">INDEX($D$244:$T$279,MATCH(D707,$D$244:$D$279,0),E707+2)</f>
        <v>0</v>
      </c>
      <c r="G707" s="88">
        <f t="shared" si="22"/>
        <v>0</v>
      </c>
    </row>
    <row r="708" spans="4:7" hidden="1" outlineLevel="1">
      <c r="D708" s="88">
        <f t="shared" si="23"/>
        <v>29</v>
      </c>
      <c r="E708" s="88">
        <v>5</v>
      </c>
      <c r="F708" s="89" cm="1">
        <f t="array" ref="F708">INDEX($D$244:$T$279,MATCH(D708,$D$244:$D$279,0),E708+2)</f>
        <v>0</v>
      </c>
      <c r="G708" s="88">
        <f t="shared" si="22"/>
        <v>0</v>
      </c>
    </row>
    <row r="709" spans="4:7" hidden="1" outlineLevel="1">
      <c r="D709" s="88">
        <f t="shared" si="23"/>
        <v>29</v>
      </c>
      <c r="E709" s="88">
        <v>6</v>
      </c>
      <c r="F709" s="89" cm="1">
        <f t="array" ref="F709">INDEX($D$244:$T$279,MATCH(D709,$D$244:$D$279,0),E709+2)</f>
        <v>0</v>
      </c>
      <c r="G709" s="88">
        <f t="shared" si="22"/>
        <v>0</v>
      </c>
    </row>
    <row r="710" spans="4:7" hidden="1" outlineLevel="1">
      <c r="D710" s="88">
        <f t="shared" si="23"/>
        <v>29</v>
      </c>
      <c r="E710" s="88">
        <v>7</v>
      </c>
      <c r="F710" s="89" cm="1">
        <f t="array" ref="F710">INDEX($D$244:$T$279,MATCH(D710,$D$244:$D$279,0),E710+2)</f>
        <v>0</v>
      </c>
      <c r="G710" s="88">
        <f t="shared" si="22"/>
        <v>0</v>
      </c>
    </row>
    <row r="711" spans="4:7" hidden="1" outlineLevel="1">
      <c r="D711" s="88">
        <f t="shared" si="23"/>
        <v>29</v>
      </c>
      <c r="E711" s="88">
        <v>8</v>
      </c>
      <c r="F711" s="89" cm="1">
        <f t="array" ref="F711">INDEX($D$244:$T$279,MATCH(D711,$D$244:$D$279,0),E711+2)</f>
        <v>0</v>
      </c>
      <c r="G711" s="88">
        <f t="shared" si="22"/>
        <v>0</v>
      </c>
    </row>
    <row r="712" spans="4:7" hidden="1" outlineLevel="1">
      <c r="D712" s="88">
        <f t="shared" si="23"/>
        <v>29</v>
      </c>
      <c r="E712" s="88">
        <v>9</v>
      </c>
      <c r="F712" s="89" cm="1">
        <f t="array" ref="F712">INDEX($D$244:$T$279,MATCH(D712,$D$244:$D$279,0),E712+2)</f>
        <v>0</v>
      </c>
      <c r="G712" s="88">
        <f t="shared" si="22"/>
        <v>0</v>
      </c>
    </row>
    <row r="713" spans="4:7" hidden="1" outlineLevel="1">
      <c r="D713" s="88">
        <f t="shared" si="23"/>
        <v>29</v>
      </c>
      <c r="E713" s="88">
        <v>10</v>
      </c>
      <c r="F713" s="89" cm="1">
        <f t="array" ref="F713">INDEX($D$244:$T$279,MATCH(D713,$D$244:$D$279,0),E713+2)</f>
        <v>0</v>
      </c>
      <c r="G713" s="88">
        <f t="shared" si="22"/>
        <v>0</v>
      </c>
    </row>
    <row r="714" spans="4:7" hidden="1" outlineLevel="1">
      <c r="D714" s="88">
        <f t="shared" si="23"/>
        <v>29</v>
      </c>
      <c r="E714" s="88">
        <v>11</v>
      </c>
      <c r="F714" s="89" cm="1">
        <f t="array" ref="F714">INDEX($D$244:$T$279,MATCH(D714,$D$244:$D$279,0),E714+2)</f>
        <v>0</v>
      </c>
      <c r="G714" s="88">
        <f t="shared" si="22"/>
        <v>0</v>
      </c>
    </row>
    <row r="715" spans="4:7" hidden="1" outlineLevel="1">
      <c r="D715" s="88">
        <f t="shared" si="23"/>
        <v>29</v>
      </c>
      <c r="E715" s="88">
        <v>12</v>
      </c>
      <c r="F715" s="89" cm="1">
        <f t="array" ref="F715">INDEX($D$244:$T$279,MATCH(D715,$D$244:$D$279,0),E715+2)</f>
        <v>0</v>
      </c>
      <c r="G715" s="88">
        <f t="shared" si="22"/>
        <v>0</v>
      </c>
    </row>
    <row r="716" spans="4:7" hidden="1" outlineLevel="1">
      <c r="D716" s="88">
        <f t="shared" si="23"/>
        <v>29</v>
      </c>
      <c r="E716" s="88">
        <v>13</v>
      </c>
      <c r="F716" s="89" cm="1">
        <f t="array" ref="F716">INDEX($D$244:$T$279,MATCH(D716,$D$244:$D$279,0),E716+2)</f>
        <v>0</v>
      </c>
      <c r="G716" s="88">
        <f t="shared" si="22"/>
        <v>0</v>
      </c>
    </row>
    <row r="717" spans="4:7" hidden="1" outlineLevel="1">
      <c r="D717" s="88">
        <f t="shared" si="23"/>
        <v>29</v>
      </c>
      <c r="E717" s="88">
        <v>14</v>
      </c>
      <c r="F717" s="89" cm="1">
        <f t="array" ref="F717">INDEX($D$244:$T$279,MATCH(D717,$D$244:$D$279,0),E717+2)</f>
        <v>0</v>
      </c>
      <c r="G717" s="88">
        <f t="shared" si="22"/>
        <v>0</v>
      </c>
    </row>
    <row r="718" spans="4:7" hidden="1" outlineLevel="1">
      <c r="D718" s="88">
        <f t="shared" si="23"/>
        <v>29</v>
      </c>
      <c r="E718" s="88">
        <v>15</v>
      </c>
      <c r="F718" s="89" cm="1">
        <f t="array" ref="F718">INDEX($D$244:$T$279,MATCH(D718,$D$244:$D$279,0),E718+2)</f>
        <v>0</v>
      </c>
      <c r="G718" s="88">
        <f t="shared" si="22"/>
        <v>0</v>
      </c>
    </row>
    <row r="719" spans="4:7" hidden="1" outlineLevel="1">
      <c r="D719" s="88">
        <f t="shared" si="23"/>
        <v>30</v>
      </c>
      <c r="E719" s="88">
        <v>1</v>
      </c>
      <c r="F719" s="89" cm="1">
        <f t="array" ref="F719">INDEX($D$244:$T$279,MATCH(D719,$D$244:$D$279,0),E719+2)</f>
        <v>0</v>
      </c>
      <c r="G719" s="88">
        <f t="shared" si="22"/>
        <v>0</v>
      </c>
    </row>
    <row r="720" spans="4:7" hidden="1" outlineLevel="1">
      <c r="D720" s="88">
        <f t="shared" si="23"/>
        <v>30</v>
      </c>
      <c r="E720" s="88">
        <v>2</v>
      </c>
      <c r="F720" s="89" cm="1">
        <f t="array" ref="F720">INDEX($D$244:$T$279,MATCH(D720,$D$244:$D$279,0),E720+2)</f>
        <v>0</v>
      </c>
      <c r="G720" s="88">
        <f t="shared" si="22"/>
        <v>0</v>
      </c>
    </row>
    <row r="721" spans="4:7" hidden="1" outlineLevel="1">
      <c r="D721" s="88">
        <f t="shared" si="23"/>
        <v>30</v>
      </c>
      <c r="E721" s="88">
        <v>3</v>
      </c>
      <c r="F721" s="89" cm="1">
        <f t="array" ref="F721">INDEX($D$244:$T$279,MATCH(D721,$D$244:$D$279,0),E721+2)</f>
        <v>0</v>
      </c>
      <c r="G721" s="88">
        <f t="shared" si="22"/>
        <v>0</v>
      </c>
    </row>
    <row r="722" spans="4:7" hidden="1" outlineLevel="1">
      <c r="D722" s="88">
        <f t="shared" si="23"/>
        <v>30</v>
      </c>
      <c r="E722" s="88">
        <v>4</v>
      </c>
      <c r="F722" s="89" cm="1">
        <f t="array" ref="F722">INDEX($D$244:$T$279,MATCH(D722,$D$244:$D$279,0),E722+2)</f>
        <v>0</v>
      </c>
      <c r="G722" s="88">
        <f t="shared" si="22"/>
        <v>0</v>
      </c>
    </row>
    <row r="723" spans="4:7" hidden="1" outlineLevel="1">
      <c r="D723" s="88">
        <f t="shared" si="23"/>
        <v>30</v>
      </c>
      <c r="E723" s="88">
        <v>5</v>
      </c>
      <c r="F723" s="89" cm="1">
        <f t="array" ref="F723">INDEX($D$244:$T$279,MATCH(D723,$D$244:$D$279,0),E723+2)</f>
        <v>0</v>
      </c>
      <c r="G723" s="88">
        <f t="shared" si="22"/>
        <v>0</v>
      </c>
    </row>
    <row r="724" spans="4:7" hidden="1" outlineLevel="1">
      <c r="D724" s="88">
        <f t="shared" si="23"/>
        <v>30</v>
      </c>
      <c r="E724" s="88">
        <v>6</v>
      </c>
      <c r="F724" s="89" cm="1">
        <f t="array" ref="F724">INDEX($D$244:$T$279,MATCH(D724,$D$244:$D$279,0),E724+2)</f>
        <v>0</v>
      </c>
      <c r="G724" s="88">
        <f t="shared" si="22"/>
        <v>0</v>
      </c>
    </row>
    <row r="725" spans="4:7" hidden="1" outlineLevel="1">
      <c r="D725" s="88">
        <f t="shared" si="23"/>
        <v>30</v>
      </c>
      <c r="E725" s="88">
        <v>7</v>
      </c>
      <c r="F725" s="89" cm="1">
        <f t="array" ref="F725">INDEX($D$244:$T$279,MATCH(D725,$D$244:$D$279,0),E725+2)</f>
        <v>0</v>
      </c>
      <c r="G725" s="88">
        <f t="shared" si="22"/>
        <v>0</v>
      </c>
    </row>
    <row r="726" spans="4:7" hidden="1" outlineLevel="1">
      <c r="D726" s="88">
        <f t="shared" si="23"/>
        <v>30</v>
      </c>
      <c r="E726" s="88">
        <v>8</v>
      </c>
      <c r="F726" s="89" cm="1">
        <f t="array" ref="F726">INDEX($D$244:$T$279,MATCH(D726,$D$244:$D$279,0),E726+2)</f>
        <v>0</v>
      </c>
      <c r="G726" s="88">
        <f t="shared" si="22"/>
        <v>0</v>
      </c>
    </row>
    <row r="727" spans="4:7" hidden="1" outlineLevel="1">
      <c r="D727" s="88">
        <f t="shared" si="23"/>
        <v>30</v>
      </c>
      <c r="E727" s="88">
        <v>9</v>
      </c>
      <c r="F727" s="89" cm="1">
        <f t="array" ref="F727">INDEX($D$244:$T$279,MATCH(D727,$D$244:$D$279,0),E727+2)</f>
        <v>0</v>
      </c>
      <c r="G727" s="88">
        <f t="shared" si="22"/>
        <v>0</v>
      </c>
    </row>
    <row r="728" spans="4:7" hidden="1" outlineLevel="1">
      <c r="D728" s="88">
        <f t="shared" si="23"/>
        <v>30</v>
      </c>
      <c r="E728" s="88">
        <v>10</v>
      </c>
      <c r="F728" s="89" cm="1">
        <f t="array" ref="F728">INDEX($D$244:$T$279,MATCH(D728,$D$244:$D$279,0),E728+2)</f>
        <v>0</v>
      </c>
      <c r="G728" s="88">
        <f t="shared" si="22"/>
        <v>0</v>
      </c>
    </row>
    <row r="729" spans="4:7" hidden="1" outlineLevel="1">
      <c r="D729" s="88">
        <f t="shared" si="23"/>
        <v>30</v>
      </c>
      <c r="E729" s="88">
        <v>11</v>
      </c>
      <c r="F729" s="89" cm="1">
        <f t="array" ref="F729">INDEX($D$244:$T$279,MATCH(D729,$D$244:$D$279,0),E729+2)</f>
        <v>0</v>
      </c>
      <c r="G729" s="88">
        <f t="shared" si="22"/>
        <v>0</v>
      </c>
    </row>
    <row r="730" spans="4:7" hidden="1" outlineLevel="1">
      <c r="D730" s="88">
        <f t="shared" si="23"/>
        <v>30</v>
      </c>
      <c r="E730" s="88">
        <v>12</v>
      </c>
      <c r="F730" s="89" cm="1">
        <f t="array" ref="F730">INDEX($D$244:$T$279,MATCH(D730,$D$244:$D$279,0),E730+2)</f>
        <v>0</v>
      </c>
      <c r="G730" s="88">
        <f t="shared" si="22"/>
        <v>0</v>
      </c>
    </row>
    <row r="731" spans="4:7" hidden="1" outlineLevel="1">
      <c r="D731" s="88">
        <f t="shared" si="23"/>
        <v>30</v>
      </c>
      <c r="E731" s="88">
        <v>13</v>
      </c>
      <c r="F731" s="89" cm="1">
        <f t="array" ref="F731">INDEX($D$244:$T$279,MATCH(D731,$D$244:$D$279,0),E731+2)</f>
        <v>0</v>
      </c>
      <c r="G731" s="88">
        <f t="shared" si="22"/>
        <v>0</v>
      </c>
    </row>
    <row r="732" spans="4:7" hidden="1" outlineLevel="1">
      <c r="D732" s="88">
        <f t="shared" si="23"/>
        <v>30</v>
      </c>
      <c r="E732" s="88">
        <v>14</v>
      </c>
      <c r="F732" s="89" cm="1">
        <f t="array" ref="F732">INDEX($D$244:$T$279,MATCH(D732,$D$244:$D$279,0),E732+2)</f>
        <v>0</v>
      </c>
      <c r="G732" s="88">
        <f t="shared" si="22"/>
        <v>0</v>
      </c>
    </row>
    <row r="733" spans="4:7" hidden="1" outlineLevel="1">
      <c r="D733" s="88">
        <f t="shared" si="23"/>
        <v>30</v>
      </c>
      <c r="E733" s="88">
        <v>15</v>
      </c>
      <c r="F733" s="89" cm="1">
        <f t="array" ref="F733">INDEX($D$244:$T$279,MATCH(D733,$D$244:$D$279,0),E733+2)</f>
        <v>0</v>
      </c>
      <c r="G733" s="88">
        <f t="shared" si="22"/>
        <v>0</v>
      </c>
    </row>
    <row r="734" spans="4:7" hidden="1" outlineLevel="1">
      <c r="D734" s="88">
        <f t="shared" si="23"/>
        <v>31</v>
      </c>
      <c r="E734" s="88">
        <v>1</v>
      </c>
      <c r="F734" s="89" cm="1">
        <f t="array" ref="F734">INDEX($D$244:$T$279,MATCH(D734,$D$244:$D$279,0),E734+2)</f>
        <v>0</v>
      </c>
      <c r="G734" s="88">
        <f t="shared" si="22"/>
        <v>0</v>
      </c>
    </row>
    <row r="735" spans="4:7" hidden="1" outlineLevel="1">
      <c r="D735" s="88">
        <f t="shared" si="23"/>
        <v>31</v>
      </c>
      <c r="E735" s="88">
        <v>2</v>
      </c>
      <c r="F735" s="89" cm="1">
        <f t="array" ref="F735">INDEX($D$244:$T$279,MATCH(D735,$D$244:$D$279,0),E735+2)</f>
        <v>0</v>
      </c>
      <c r="G735" s="88">
        <f t="shared" si="22"/>
        <v>0</v>
      </c>
    </row>
    <row r="736" spans="4:7" hidden="1" outlineLevel="1">
      <c r="D736" s="88">
        <f t="shared" si="23"/>
        <v>31</v>
      </c>
      <c r="E736" s="88">
        <v>3</v>
      </c>
      <c r="F736" s="89" cm="1">
        <f t="array" ref="F736">INDEX($D$244:$T$279,MATCH(D736,$D$244:$D$279,0),E736+2)</f>
        <v>0</v>
      </c>
      <c r="G736" s="88">
        <f t="shared" si="22"/>
        <v>0</v>
      </c>
    </row>
    <row r="737" spans="4:7" hidden="1" outlineLevel="1">
      <c r="D737" s="88">
        <f t="shared" si="23"/>
        <v>31</v>
      </c>
      <c r="E737" s="88">
        <v>4</v>
      </c>
      <c r="F737" s="89" cm="1">
        <f t="array" ref="F737">INDEX($D$244:$T$279,MATCH(D737,$D$244:$D$279,0),E737+2)</f>
        <v>0</v>
      </c>
      <c r="G737" s="88">
        <f t="shared" si="22"/>
        <v>0</v>
      </c>
    </row>
    <row r="738" spans="4:7" hidden="1" outlineLevel="1">
      <c r="D738" s="88">
        <f t="shared" si="23"/>
        <v>31</v>
      </c>
      <c r="E738" s="88">
        <v>5</v>
      </c>
      <c r="F738" s="89" cm="1">
        <f t="array" ref="F738">INDEX($D$244:$T$279,MATCH(D738,$D$244:$D$279,0),E738+2)</f>
        <v>0</v>
      </c>
      <c r="G738" s="88">
        <f t="shared" si="22"/>
        <v>0</v>
      </c>
    </row>
    <row r="739" spans="4:7" hidden="1" outlineLevel="1">
      <c r="D739" s="88">
        <f t="shared" si="23"/>
        <v>31</v>
      </c>
      <c r="E739" s="88">
        <v>6</v>
      </c>
      <c r="F739" s="89" cm="1">
        <f t="array" ref="F739">INDEX($D$244:$T$279,MATCH(D739,$D$244:$D$279,0),E739+2)</f>
        <v>0</v>
      </c>
      <c r="G739" s="88">
        <f t="shared" si="22"/>
        <v>0</v>
      </c>
    </row>
    <row r="740" spans="4:7" hidden="1" outlineLevel="1">
      <c r="D740" s="88">
        <f t="shared" si="23"/>
        <v>31</v>
      </c>
      <c r="E740" s="88">
        <v>7</v>
      </c>
      <c r="F740" s="89" cm="1">
        <f t="array" ref="F740">INDEX($D$244:$T$279,MATCH(D740,$D$244:$D$279,0),E740+2)</f>
        <v>0</v>
      </c>
      <c r="G740" s="88">
        <f t="shared" si="22"/>
        <v>0</v>
      </c>
    </row>
    <row r="741" spans="4:7" hidden="1" outlineLevel="1">
      <c r="D741" s="88">
        <f t="shared" si="23"/>
        <v>31</v>
      </c>
      <c r="E741" s="88">
        <v>8</v>
      </c>
      <c r="F741" s="89" cm="1">
        <f t="array" ref="F741">INDEX($D$244:$T$279,MATCH(D741,$D$244:$D$279,0),E741+2)</f>
        <v>0</v>
      </c>
      <c r="G741" s="88">
        <f t="shared" si="22"/>
        <v>0</v>
      </c>
    </row>
    <row r="742" spans="4:7" hidden="1" outlineLevel="1">
      <c r="D742" s="88">
        <f t="shared" si="23"/>
        <v>31</v>
      </c>
      <c r="E742" s="88">
        <v>9</v>
      </c>
      <c r="F742" s="89" cm="1">
        <f t="array" ref="F742">INDEX($D$244:$T$279,MATCH(D742,$D$244:$D$279,0),E742+2)</f>
        <v>0</v>
      </c>
      <c r="G742" s="88">
        <f t="shared" si="22"/>
        <v>0</v>
      </c>
    </row>
    <row r="743" spans="4:7" hidden="1" outlineLevel="1">
      <c r="D743" s="88">
        <f t="shared" si="23"/>
        <v>31</v>
      </c>
      <c r="E743" s="88">
        <v>10</v>
      </c>
      <c r="F743" s="89" cm="1">
        <f t="array" ref="F743">INDEX($D$244:$T$279,MATCH(D743,$D$244:$D$279,0),E743+2)</f>
        <v>0</v>
      </c>
      <c r="G743" s="88">
        <f t="shared" si="22"/>
        <v>0</v>
      </c>
    </row>
    <row r="744" spans="4:7" hidden="1" outlineLevel="1">
      <c r="D744" s="88">
        <f t="shared" si="23"/>
        <v>31</v>
      </c>
      <c r="E744" s="88">
        <v>11</v>
      </c>
      <c r="F744" s="89" cm="1">
        <f t="array" ref="F744">INDEX($D$244:$T$279,MATCH(D744,$D$244:$D$279,0),E744+2)</f>
        <v>0</v>
      </c>
      <c r="G744" s="88">
        <f t="shared" si="22"/>
        <v>0</v>
      </c>
    </row>
    <row r="745" spans="4:7" hidden="1" outlineLevel="1">
      <c r="D745" s="88">
        <f t="shared" si="23"/>
        <v>31</v>
      </c>
      <c r="E745" s="88">
        <v>12</v>
      </c>
      <c r="F745" s="89" cm="1">
        <f t="array" ref="F745">INDEX($D$244:$T$279,MATCH(D745,$D$244:$D$279,0),E745+2)</f>
        <v>0</v>
      </c>
      <c r="G745" s="88">
        <f t="shared" si="22"/>
        <v>0</v>
      </c>
    </row>
    <row r="746" spans="4:7" hidden="1" outlineLevel="1">
      <c r="D746" s="88">
        <f t="shared" si="23"/>
        <v>31</v>
      </c>
      <c r="E746" s="88">
        <v>13</v>
      </c>
      <c r="F746" s="89" cm="1">
        <f t="array" ref="F746">INDEX($D$244:$T$279,MATCH(D746,$D$244:$D$279,0),E746+2)</f>
        <v>0</v>
      </c>
      <c r="G746" s="88">
        <f t="shared" si="22"/>
        <v>0</v>
      </c>
    </row>
    <row r="747" spans="4:7" hidden="1" outlineLevel="1">
      <c r="D747" s="88">
        <f t="shared" si="23"/>
        <v>31</v>
      </c>
      <c r="E747" s="88">
        <v>14</v>
      </c>
      <c r="F747" s="89" cm="1">
        <f t="array" ref="F747">INDEX($D$244:$T$279,MATCH(D747,$D$244:$D$279,0),E747+2)</f>
        <v>0</v>
      </c>
      <c r="G747" s="88">
        <f t="shared" si="22"/>
        <v>0</v>
      </c>
    </row>
    <row r="748" spans="4:7" hidden="1" outlineLevel="1">
      <c r="D748" s="88">
        <f t="shared" si="23"/>
        <v>31</v>
      </c>
      <c r="E748" s="88">
        <v>15</v>
      </c>
      <c r="F748" s="89" cm="1">
        <f t="array" ref="F748">INDEX($D$244:$T$279,MATCH(D748,$D$244:$D$279,0),E748+2)</f>
        <v>0</v>
      </c>
      <c r="G748" s="88">
        <f t="shared" si="22"/>
        <v>0</v>
      </c>
    </row>
    <row r="749" spans="4:7" hidden="1" outlineLevel="1">
      <c r="D749" s="88">
        <f t="shared" si="23"/>
        <v>32</v>
      </c>
      <c r="E749" s="88">
        <v>1</v>
      </c>
      <c r="F749" s="89" cm="1">
        <f t="array" ref="F749">INDEX($D$244:$T$279,MATCH(D749,$D$244:$D$279,0),E749+2)</f>
        <v>0</v>
      </c>
      <c r="G749" s="88">
        <f t="shared" si="22"/>
        <v>0</v>
      </c>
    </row>
    <row r="750" spans="4:7" hidden="1" outlineLevel="1">
      <c r="D750" s="88">
        <f t="shared" si="23"/>
        <v>32</v>
      </c>
      <c r="E750" s="88">
        <v>2</v>
      </c>
      <c r="F750" s="89" cm="1">
        <f t="array" ref="F750">INDEX($D$244:$T$279,MATCH(D750,$D$244:$D$279,0),E750+2)</f>
        <v>0</v>
      </c>
      <c r="G750" s="88">
        <f t="shared" si="22"/>
        <v>0</v>
      </c>
    </row>
    <row r="751" spans="4:7" hidden="1" outlineLevel="1">
      <c r="D751" s="88">
        <f t="shared" si="23"/>
        <v>32</v>
      </c>
      <c r="E751" s="88">
        <v>3</v>
      </c>
      <c r="F751" s="89" cm="1">
        <f t="array" ref="F751">INDEX($D$244:$T$279,MATCH(D751,$D$244:$D$279,0),E751+2)</f>
        <v>0</v>
      </c>
      <c r="G751" s="88">
        <f t="shared" si="22"/>
        <v>0</v>
      </c>
    </row>
    <row r="752" spans="4:7" hidden="1" outlineLevel="1">
      <c r="D752" s="88">
        <f t="shared" si="23"/>
        <v>32</v>
      </c>
      <c r="E752" s="88">
        <v>4</v>
      </c>
      <c r="F752" s="89" cm="1">
        <f t="array" ref="F752">INDEX($D$244:$T$279,MATCH(D752,$D$244:$D$279,0),E752+2)</f>
        <v>0</v>
      </c>
      <c r="G752" s="88">
        <f t="shared" si="22"/>
        <v>0</v>
      </c>
    </row>
    <row r="753" spans="4:7" hidden="1" outlineLevel="1">
      <c r="D753" s="88">
        <f t="shared" si="23"/>
        <v>32</v>
      </c>
      <c r="E753" s="88">
        <v>5</v>
      </c>
      <c r="F753" s="89" cm="1">
        <f t="array" ref="F753">INDEX($D$244:$T$279,MATCH(D753,$D$244:$D$279,0),E753+2)</f>
        <v>0</v>
      </c>
      <c r="G753" s="88">
        <f t="shared" si="22"/>
        <v>0</v>
      </c>
    </row>
    <row r="754" spans="4:7" hidden="1" outlineLevel="1">
      <c r="D754" s="88">
        <f t="shared" si="23"/>
        <v>32</v>
      </c>
      <c r="E754" s="88">
        <v>6</v>
      </c>
      <c r="F754" s="89" cm="1">
        <f t="array" ref="F754">INDEX($D$244:$T$279,MATCH(D754,$D$244:$D$279,0),E754+2)</f>
        <v>0</v>
      </c>
      <c r="G754" s="88">
        <f t="shared" si="22"/>
        <v>0</v>
      </c>
    </row>
    <row r="755" spans="4:7" hidden="1" outlineLevel="1">
      <c r="D755" s="88">
        <f t="shared" si="23"/>
        <v>32</v>
      </c>
      <c r="E755" s="88">
        <v>7</v>
      </c>
      <c r="F755" s="89" cm="1">
        <f t="array" ref="F755">INDEX($D$244:$T$279,MATCH(D755,$D$244:$D$279,0),E755+2)</f>
        <v>0</v>
      </c>
      <c r="G755" s="88">
        <f t="shared" si="22"/>
        <v>0</v>
      </c>
    </row>
    <row r="756" spans="4:7" hidden="1" outlineLevel="1">
      <c r="D756" s="88">
        <f t="shared" si="23"/>
        <v>32</v>
      </c>
      <c r="E756" s="88">
        <v>8</v>
      </c>
      <c r="F756" s="89" cm="1">
        <f t="array" ref="F756">INDEX($D$244:$T$279,MATCH(D756,$D$244:$D$279,0),E756+2)</f>
        <v>0</v>
      </c>
      <c r="G756" s="88">
        <f t="shared" si="22"/>
        <v>0</v>
      </c>
    </row>
    <row r="757" spans="4:7" hidden="1" outlineLevel="1">
      <c r="D757" s="88">
        <f t="shared" si="23"/>
        <v>32</v>
      </c>
      <c r="E757" s="88">
        <v>9</v>
      </c>
      <c r="F757" s="89" cm="1">
        <f t="array" ref="F757">INDEX($D$244:$T$279,MATCH(D757,$D$244:$D$279,0),E757+2)</f>
        <v>0</v>
      </c>
      <c r="G757" s="88">
        <f t="shared" si="22"/>
        <v>0</v>
      </c>
    </row>
    <row r="758" spans="4:7" hidden="1" outlineLevel="1">
      <c r="D758" s="88">
        <f t="shared" si="23"/>
        <v>32</v>
      </c>
      <c r="E758" s="88">
        <v>10</v>
      </c>
      <c r="F758" s="89" cm="1">
        <f t="array" ref="F758">INDEX($D$244:$T$279,MATCH(D758,$D$244:$D$279,0),E758+2)</f>
        <v>0</v>
      </c>
      <c r="G758" s="88">
        <f t="shared" si="22"/>
        <v>0</v>
      </c>
    </row>
    <row r="759" spans="4:7" hidden="1" outlineLevel="1">
      <c r="D759" s="88">
        <f t="shared" si="23"/>
        <v>32</v>
      </c>
      <c r="E759" s="88">
        <v>11</v>
      </c>
      <c r="F759" s="89" cm="1">
        <f t="array" ref="F759">INDEX($D$244:$T$279,MATCH(D759,$D$244:$D$279,0),E759+2)</f>
        <v>0</v>
      </c>
      <c r="G759" s="88">
        <f t="shared" si="22"/>
        <v>0</v>
      </c>
    </row>
    <row r="760" spans="4:7" hidden="1" outlineLevel="1">
      <c r="D760" s="88">
        <f t="shared" si="23"/>
        <v>32</v>
      </c>
      <c r="E760" s="88">
        <v>12</v>
      </c>
      <c r="F760" s="89" cm="1">
        <f t="array" ref="F760">INDEX($D$244:$T$279,MATCH(D760,$D$244:$D$279,0),E760+2)</f>
        <v>0</v>
      </c>
      <c r="G760" s="88">
        <f t="shared" si="22"/>
        <v>0</v>
      </c>
    </row>
    <row r="761" spans="4:7" hidden="1" outlineLevel="1">
      <c r="D761" s="88">
        <f t="shared" si="23"/>
        <v>32</v>
      </c>
      <c r="E761" s="88">
        <v>13</v>
      </c>
      <c r="F761" s="89" cm="1">
        <f t="array" ref="F761">INDEX($D$244:$T$279,MATCH(D761,$D$244:$D$279,0),E761+2)</f>
        <v>0</v>
      </c>
      <c r="G761" s="88">
        <f t="shared" si="22"/>
        <v>0</v>
      </c>
    </row>
    <row r="762" spans="4:7" hidden="1" outlineLevel="1">
      <c r="D762" s="88">
        <f t="shared" si="23"/>
        <v>32</v>
      </c>
      <c r="E762" s="88">
        <v>14</v>
      </c>
      <c r="F762" s="89" cm="1">
        <f t="array" ref="F762">INDEX($D$244:$T$279,MATCH(D762,$D$244:$D$279,0),E762+2)</f>
        <v>0</v>
      </c>
      <c r="G762" s="88">
        <f t="shared" si="22"/>
        <v>0</v>
      </c>
    </row>
    <row r="763" spans="4:7" hidden="1" outlineLevel="1">
      <c r="D763" s="88">
        <f t="shared" si="23"/>
        <v>32</v>
      </c>
      <c r="E763" s="88">
        <v>15</v>
      </c>
      <c r="F763" s="89" cm="1">
        <f t="array" ref="F763">INDEX($D$244:$T$279,MATCH(D763,$D$244:$D$279,0),E763+2)</f>
        <v>0</v>
      </c>
      <c r="G763" s="88">
        <f t="shared" si="22"/>
        <v>0</v>
      </c>
    </row>
    <row r="764" spans="4:7" hidden="1" outlineLevel="1">
      <c r="D764" s="88">
        <f t="shared" si="23"/>
        <v>33</v>
      </c>
      <c r="E764" s="88">
        <v>1</v>
      </c>
      <c r="F764" s="89" cm="1">
        <f t="array" ref="F764">INDEX($D$244:$T$279,MATCH(D764,$D$244:$D$279,0),E764+2)</f>
        <v>0</v>
      </c>
      <c r="G764" s="88">
        <f t="shared" si="22"/>
        <v>0</v>
      </c>
    </row>
    <row r="765" spans="4:7" hidden="1" outlineLevel="1">
      <c r="D765" s="88">
        <f t="shared" si="23"/>
        <v>33</v>
      </c>
      <c r="E765" s="88">
        <v>2</v>
      </c>
      <c r="F765" s="89" cm="1">
        <f t="array" ref="F765">INDEX($D$244:$T$279,MATCH(D765,$D$244:$D$279,0),E765+2)</f>
        <v>0</v>
      </c>
      <c r="G765" s="88">
        <f t="shared" ref="G765:G808" si="24">IF(F765&gt;0,D765,0)</f>
        <v>0</v>
      </c>
    </row>
    <row r="766" spans="4:7" hidden="1" outlineLevel="1">
      <c r="D766" s="88">
        <f t="shared" ref="D766:D808" si="25">D751+1</f>
        <v>33</v>
      </c>
      <c r="E766" s="88">
        <v>3</v>
      </c>
      <c r="F766" s="89" cm="1">
        <f t="array" ref="F766">INDEX($D$244:$T$279,MATCH(D766,$D$244:$D$279,0),E766+2)</f>
        <v>0</v>
      </c>
      <c r="G766" s="88">
        <f t="shared" si="24"/>
        <v>0</v>
      </c>
    </row>
    <row r="767" spans="4:7" hidden="1" outlineLevel="1">
      <c r="D767" s="88">
        <f t="shared" si="25"/>
        <v>33</v>
      </c>
      <c r="E767" s="88">
        <v>4</v>
      </c>
      <c r="F767" s="89" cm="1">
        <f t="array" ref="F767">INDEX($D$244:$T$279,MATCH(D767,$D$244:$D$279,0),E767+2)</f>
        <v>0</v>
      </c>
      <c r="G767" s="88">
        <f t="shared" si="24"/>
        <v>0</v>
      </c>
    </row>
    <row r="768" spans="4:7" hidden="1" outlineLevel="1">
      <c r="D768" s="88">
        <f t="shared" si="25"/>
        <v>33</v>
      </c>
      <c r="E768" s="88">
        <v>5</v>
      </c>
      <c r="F768" s="89" cm="1">
        <f t="array" ref="F768">INDEX($D$244:$T$279,MATCH(D768,$D$244:$D$279,0),E768+2)</f>
        <v>0</v>
      </c>
      <c r="G768" s="88">
        <f t="shared" si="24"/>
        <v>0</v>
      </c>
    </row>
    <row r="769" spans="4:7" hidden="1" outlineLevel="1">
      <c r="D769" s="88">
        <f t="shared" si="25"/>
        <v>33</v>
      </c>
      <c r="E769" s="88">
        <v>6</v>
      </c>
      <c r="F769" s="89" cm="1">
        <f t="array" ref="F769">INDEX($D$244:$T$279,MATCH(D769,$D$244:$D$279,0),E769+2)</f>
        <v>0</v>
      </c>
      <c r="G769" s="88">
        <f t="shared" si="24"/>
        <v>0</v>
      </c>
    </row>
    <row r="770" spans="4:7" hidden="1" outlineLevel="1">
      <c r="D770" s="88">
        <f t="shared" si="25"/>
        <v>33</v>
      </c>
      <c r="E770" s="88">
        <v>7</v>
      </c>
      <c r="F770" s="89" cm="1">
        <f t="array" ref="F770">INDEX($D$244:$T$279,MATCH(D770,$D$244:$D$279,0),E770+2)</f>
        <v>0</v>
      </c>
      <c r="G770" s="88">
        <f t="shared" si="24"/>
        <v>0</v>
      </c>
    </row>
    <row r="771" spans="4:7" hidden="1" outlineLevel="1">
      <c r="D771" s="88">
        <f t="shared" si="25"/>
        <v>33</v>
      </c>
      <c r="E771" s="88">
        <v>8</v>
      </c>
      <c r="F771" s="89" cm="1">
        <f t="array" ref="F771">INDEX($D$244:$T$279,MATCH(D771,$D$244:$D$279,0),E771+2)</f>
        <v>0</v>
      </c>
      <c r="G771" s="88">
        <f t="shared" si="24"/>
        <v>0</v>
      </c>
    </row>
    <row r="772" spans="4:7" hidden="1" outlineLevel="1">
      <c r="D772" s="88">
        <f t="shared" si="25"/>
        <v>33</v>
      </c>
      <c r="E772" s="88">
        <v>9</v>
      </c>
      <c r="F772" s="89" cm="1">
        <f t="array" ref="F772">INDEX($D$244:$T$279,MATCH(D772,$D$244:$D$279,0),E772+2)</f>
        <v>0</v>
      </c>
      <c r="G772" s="88">
        <f t="shared" si="24"/>
        <v>0</v>
      </c>
    </row>
    <row r="773" spans="4:7" hidden="1" outlineLevel="1">
      <c r="D773" s="88">
        <f t="shared" si="25"/>
        <v>33</v>
      </c>
      <c r="E773" s="88">
        <v>10</v>
      </c>
      <c r="F773" s="89" cm="1">
        <f t="array" ref="F773">INDEX($D$244:$T$279,MATCH(D773,$D$244:$D$279,0),E773+2)</f>
        <v>0</v>
      </c>
      <c r="G773" s="88">
        <f t="shared" si="24"/>
        <v>0</v>
      </c>
    </row>
    <row r="774" spans="4:7" hidden="1" outlineLevel="1">
      <c r="D774" s="88">
        <f t="shared" si="25"/>
        <v>33</v>
      </c>
      <c r="E774" s="88">
        <v>11</v>
      </c>
      <c r="F774" s="89" cm="1">
        <f t="array" ref="F774">INDEX($D$244:$T$279,MATCH(D774,$D$244:$D$279,0),E774+2)</f>
        <v>0</v>
      </c>
      <c r="G774" s="88">
        <f t="shared" si="24"/>
        <v>0</v>
      </c>
    </row>
    <row r="775" spans="4:7" hidden="1" outlineLevel="1">
      <c r="D775" s="88">
        <f t="shared" si="25"/>
        <v>33</v>
      </c>
      <c r="E775" s="88">
        <v>12</v>
      </c>
      <c r="F775" s="89" cm="1">
        <f t="array" ref="F775">INDEX($D$244:$T$279,MATCH(D775,$D$244:$D$279,0),E775+2)</f>
        <v>0</v>
      </c>
      <c r="G775" s="88">
        <f t="shared" si="24"/>
        <v>0</v>
      </c>
    </row>
    <row r="776" spans="4:7" hidden="1" outlineLevel="1">
      <c r="D776" s="88">
        <f t="shared" si="25"/>
        <v>33</v>
      </c>
      <c r="E776" s="88">
        <v>13</v>
      </c>
      <c r="F776" s="89" cm="1">
        <f t="array" ref="F776">INDEX($D$244:$T$279,MATCH(D776,$D$244:$D$279,0),E776+2)</f>
        <v>0</v>
      </c>
      <c r="G776" s="88">
        <f t="shared" si="24"/>
        <v>0</v>
      </c>
    </row>
    <row r="777" spans="4:7" hidden="1" outlineLevel="1">
      <c r="D777" s="88">
        <f t="shared" si="25"/>
        <v>33</v>
      </c>
      <c r="E777" s="88">
        <v>14</v>
      </c>
      <c r="F777" s="89" cm="1">
        <f t="array" ref="F777">INDEX($D$244:$T$279,MATCH(D777,$D$244:$D$279,0),E777+2)</f>
        <v>0</v>
      </c>
      <c r="G777" s="88">
        <f t="shared" si="24"/>
        <v>0</v>
      </c>
    </row>
    <row r="778" spans="4:7" hidden="1" outlineLevel="1">
      <c r="D778" s="88">
        <f t="shared" si="25"/>
        <v>33</v>
      </c>
      <c r="E778" s="88">
        <v>15</v>
      </c>
      <c r="F778" s="89" cm="1">
        <f t="array" ref="F778">INDEX($D$244:$T$279,MATCH(D778,$D$244:$D$279,0),E778+2)</f>
        <v>0</v>
      </c>
      <c r="G778" s="88">
        <f t="shared" si="24"/>
        <v>0</v>
      </c>
    </row>
    <row r="779" spans="4:7" hidden="1" outlineLevel="1">
      <c r="D779" s="88">
        <f t="shared" si="25"/>
        <v>34</v>
      </c>
      <c r="E779" s="88">
        <v>1</v>
      </c>
      <c r="F779" s="89" cm="1">
        <f t="array" ref="F779">INDEX($D$244:$T$279,MATCH(D779,$D$244:$D$279,0),E779+2)</f>
        <v>0</v>
      </c>
      <c r="G779" s="88">
        <f t="shared" si="24"/>
        <v>0</v>
      </c>
    </row>
    <row r="780" spans="4:7" hidden="1" outlineLevel="1">
      <c r="D780" s="88">
        <f t="shared" si="25"/>
        <v>34</v>
      </c>
      <c r="E780" s="88">
        <v>2</v>
      </c>
      <c r="F780" s="89" cm="1">
        <f t="array" ref="F780">INDEX($D$244:$T$279,MATCH(D780,$D$244:$D$279,0),E780+2)</f>
        <v>0</v>
      </c>
      <c r="G780" s="88">
        <f t="shared" si="24"/>
        <v>0</v>
      </c>
    </row>
    <row r="781" spans="4:7" hidden="1" outlineLevel="1">
      <c r="D781" s="88">
        <f t="shared" si="25"/>
        <v>34</v>
      </c>
      <c r="E781" s="88">
        <v>3</v>
      </c>
      <c r="F781" s="89" cm="1">
        <f t="array" ref="F781">INDEX($D$244:$T$279,MATCH(D781,$D$244:$D$279,0),E781+2)</f>
        <v>0</v>
      </c>
      <c r="G781" s="88">
        <f t="shared" si="24"/>
        <v>0</v>
      </c>
    </row>
    <row r="782" spans="4:7" hidden="1" outlineLevel="1">
      <c r="D782" s="88">
        <f t="shared" si="25"/>
        <v>34</v>
      </c>
      <c r="E782" s="88">
        <v>4</v>
      </c>
      <c r="F782" s="89" cm="1">
        <f t="array" ref="F782">INDEX($D$244:$T$279,MATCH(D782,$D$244:$D$279,0),E782+2)</f>
        <v>0</v>
      </c>
      <c r="G782" s="88">
        <f t="shared" si="24"/>
        <v>0</v>
      </c>
    </row>
    <row r="783" spans="4:7" hidden="1" outlineLevel="1">
      <c r="D783" s="88">
        <f t="shared" si="25"/>
        <v>34</v>
      </c>
      <c r="E783" s="88">
        <v>5</v>
      </c>
      <c r="F783" s="89" cm="1">
        <f t="array" ref="F783">INDEX($D$244:$T$279,MATCH(D783,$D$244:$D$279,0),E783+2)</f>
        <v>0</v>
      </c>
      <c r="G783" s="88">
        <f t="shared" si="24"/>
        <v>0</v>
      </c>
    </row>
    <row r="784" spans="4:7" hidden="1" outlineLevel="1">
      <c r="D784" s="88">
        <f t="shared" si="25"/>
        <v>34</v>
      </c>
      <c r="E784" s="88">
        <v>6</v>
      </c>
      <c r="F784" s="89" cm="1">
        <f t="array" ref="F784">INDEX($D$244:$T$279,MATCH(D784,$D$244:$D$279,0),E784+2)</f>
        <v>0</v>
      </c>
      <c r="G784" s="88">
        <f t="shared" si="24"/>
        <v>0</v>
      </c>
    </row>
    <row r="785" spans="4:7" hidden="1" outlineLevel="1">
      <c r="D785" s="88">
        <f t="shared" si="25"/>
        <v>34</v>
      </c>
      <c r="E785" s="88">
        <v>7</v>
      </c>
      <c r="F785" s="89" cm="1">
        <f t="array" ref="F785">INDEX($D$244:$T$279,MATCH(D785,$D$244:$D$279,0),E785+2)</f>
        <v>0</v>
      </c>
      <c r="G785" s="88">
        <f t="shared" si="24"/>
        <v>0</v>
      </c>
    </row>
    <row r="786" spans="4:7" hidden="1" outlineLevel="1">
      <c r="D786" s="88">
        <f t="shared" si="25"/>
        <v>34</v>
      </c>
      <c r="E786" s="88">
        <v>8</v>
      </c>
      <c r="F786" s="89" cm="1">
        <f t="array" ref="F786">INDEX($D$244:$T$279,MATCH(D786,$D$244:$D$279,0),E786+2)</f>
        <v>0</v>
      </c>
      <c r="G786" s="88">
        <f t="shared" si="24"/>
        <v>0</v>
      </c>
    </row>
    <row r="787" spans="4:7" hidden="1" outlineLevel="1">
      <c r="D787" s="88">
        <f t="shared" si="25"/>
        <v>34</v>
      </c>
      <c r="E787" s="88">
        <v>9</v>
      </c>
      <c r="F787" s="89" cm="1">
        <f t="array" ref="F787">INDEX($D$244:$T$279,MATCH(D787,$D$244:$D$279,0),E787+2)</f>
        <v>0</v>
      </c>
      <c r="G787" s="88">
        <f t="shared" si="24"/>
        <v>0</v>
      </c>
    </row>
    <row r="788" spans="4:7" hidden="1" outlineLevel="1">
      <c r="D788" s="88">
        <f t="shared" si="25"/>
        <v>34</v>
      </c>
      <c r="E788" s="88">
        <v>10</v>
      </c>
      <c r="F788" s="89" cm="1">
        <f t="array" ref="F788">INDEX($D$244:$T$279,MATCH(D788,$D$244:$D$279,0),E788+2)</f>
        <v>0</v>
      </c>
      <c r="G788" s="88">
        <f t="shared" si="24"/>
        <v>0</v>
      </c>
    </row>
    <row r="789" spans="4:7" hidden="1" outlineLevel="1">
      <c r="D789" s="88">
        <f t="shared" si="25"/>
        <v>34</v>
      </c>
      <c r="E789" s="88">
        <v>11</v>
      </c>
      <c r="F789" s="89" cm="1">
        <f t="array" ref="F789">INDEX($D$244:$T$279,MATCH(D789,$D$244:$D$279,0),E789+2)</f>
        <v>0</v>
      </c>
      <c r="G789" s="88">
        <f t="shared" si="24"/>
        <v>0</v>
      </c>
    </row>
    <row r="790" spans="4:7" hidden="1" outlineLevel="1">
      <c r="D790" s="88">
        <f t="shared" si="25"/>
        <v>34</v>
      </c>
      <c r="E790" s="88">
        <v>12</v>
      </c>
      <c r="F790" s="89" cm="1">
        <f t="array" ref="F790">INDEX($D$244:$T$279,MATCH(D790,$D$244:$D$279,0),E790+2)</f>
        <v>0</v>
      </c>
      <c r="G790" s="88">
        <f t="shared" si="24"/>
        <v>0</v>
      </c>
    </row>
    <row r="791" spans="4:7" hidden="1" outlineLevel="1">
      <c r="D791" s="88">
        <f t="shared" si="25"/>
        <v>34</v>
      </c>
      <c r="E791" s="88">
        <v>13</v>
      </c>
      <c r="F791" s="89" cm="1">
        <f t="array" ref="F791">INDEX($D$244:$T$279,MATCH(D791,$D$244:$D$279,0),E791+2)</f>
        <v>0</v>
      </c>
      <c r="G791" s="88">
        <f t="shared" si="24"/>
        <v>0</v>
      </c>
    </row>
    <row r="792" spans="4:7" hidden="1" outlineLevel="1">
      <c r="D792" s="88">
        <f t="shared" si="25"/>
        <v>34</v>
      </c>
      <c r="E792" s="88">
        <v>14</v>
      </c>
      <c r="F792" s="89" cm="1">
        <f t="array" ref="F792">INDEX($D$244:$T$279,MATCH(D792,$D$244:$D$279,0),E792+2)</f>
        <v>0</v>
      </c>
      <c r="G792" s="88">
        <f t="shared" si="24"/>
        <v>0</v>
      </c>
    </row>
    <row r="793" spans="4:7" hidden="1" outlineLevel="1">
      <c r="D793" s="88">
        <f t="shared" si="25"/>
        <v>34</v>
      </c>
      <c r="E793" s="88">
        <v>15</v>
      </c>
      <c r="F793" s="89" cm="1">
        <f t="array" ref="F793">INDEX($D$244:$T$279,MATCH(D793,$D$244:$D$279,0),E793+2)</f>
        <v>0</v>
      </c>
      <c r="G793" s="88">
        <f t="shared" si="24"/>
        <v>0</v>
      </c>
    </row>
    <row r="794" spans="4:7" hidden="1" outlineLevel="1">
      <c r="D794" s="88">
        <f t="shared" si="25"/>
        <v>35</v>
      </c>
      <c r="E794" s="88">
        <v>1</v>
      </c>
      <c r="F794" s="89" cm="1">
        <f t="array" ref="F794">INDEX($D$244:$T$279,MATCH(D794,$D$244:$D$279,0),E794+2)</f>
        <v>0</v>
      </c>
      <c r="G794" s="88">
        <f t="shared" si="24"/>
        <v>0</v>
      </c>
    </row>
    <row r="795" spans="4:7" hidden="1" outlineLevel="1">
      <c r="D795" s="88">
        <f t="shared" si="25"/>
        <v>35</v>
      </c>
      <c r="E795" s="88">
        <v>2</v>
      </c>
      <c r="F795" s="89" cm="1">
        <f t="array" ref="F795">INDEX($D$244:$T$279,MATCH(D795,$D$244:$D$279,0),E795+2)</f>
        <v>0</v>
      </c>
      <c r="G795" s="88">
        <f t="shared" si="24"/>
        <v>0</v>
      </c>
    </row>
    <row r="796" spans="4:7" hidden="1" outlineLevel="1">
      <c r="D796" s="88">
        <f t="shared" si="25"/>
        <v>35</v>
      </c>
      <c r="E796" s="88">
        <v>3</v>
      </c>
      <c r="F796" s="89" cm="1">
        <f t="array" ref="F796">INDEX($D$244:$T$279,MATCH(D796,$D$244:$D$279,0),E796+2)</f>
        <v>0</v>
      </c>
      <c r="G796" s="88">
        <f t="shared" si="24"/>
        <v>0</v>
      </c>
    </row>
    <row r="797" spans="4:7" hidden="1" outlineLevel="1">
      <c r="D797" s="88">
        <f t="shared" si="25"/>
        <v>35</v>
      </c>
      <c r="E797" s="88">
        <v>4</v>
      </c>
      <c r="F797" s="89" cm="1">
        <f t="array" ref="F797">INDEX($D$244:$T$279,MATCH(D797,$D$244:$D$279,0),E797+2)</f>
        <v>0</v>
      </c>
      <c r="G797" s="88">
        <f t="shared" si="24"/>
        <v>0</v>
      </c>
    </row>
    <row r="798" spans="4:7" hidden="1" outlineLevel="1">
      <c r="D798" s="88">
        <f t="shared" si="25"/>
        <v>35</v>
      </c>
      <c r="E798" s="88">
        <v>5</v>
      </c>
      <c r="F798" s="89" cm="1">
        <f t="array" ref="F798">INDEX($D$244:$T$279,MATCH(D798,$D$244:$D$279,0),E798+2)</f>
        <v>0</v>
      </c>
      <c r="G798" s="88">
        <f t="shared" si="24"/>
        <v>0</v>
      </c>
    </row>
    <row r="799" spans="4:7" hidden="1" outlineLevel="1">
      <c r="D799" s="88">
        <f t="shared" si="25"/>
        <v>35</v>
      </c>
      <c r="E799" s="88">
        <v>6</v>
      </c>
      <c r="F799" s="89" cm="1">
        <f t="array" ref="F799">INDEX($D$244:$T$279,MATCH(D799,$D$244:$D$279,0),E799+2)</f>
        <v>0</v>
      </c>
      <c r="G799" s="88">
        <f t="shared" si="24"/>
        <v>0</v>
      </c>
    </row>
    <row r="800" spans="4:7" hidden="1" outlineLevel="1">
      <c r="D800" s="88">
        <f t="shared" si="25"/>
        <v>35</v>
      </c>
      <c r="E800" s="88">
        <v>7</v>
      </c>
      <c r="F800" s="89" cm="1">
        <f t="array" ref="F800">INDEX($D$244:$T$279,MATCH(D800,$D$244:$D$279,0),E800+2)</f>
        <v>0</v>
      </c>
      <c r="G800" s="88">
        <f t="shared" si="24"/>
        <v>0</v>
      </c>
    </row>
    <row r="801" spans="4:7" hidden="1" outlineLevel="1">
      <c r="D801" s="88">
        <f t="shared" si="25"/>
        <v>35</v>
      </c>
      <c r="E801" s="88">
        <v>8</v>
      </c>
      <c r="F801" s="89" cm="1">
        <f t="array" ref="F801">INDEX($D$244:$T$279,MATCH(D801,$D$244:$D$279,0),E801+2)</f>
        <v>0</v>
      </c>
      <c r="G801" s="88">
        <f t="shared" si="24"/>
        <v>0</v>
      </c>
    </row>
    <row r="802" spans="4:7" hidden="1" outlineLevel="1">
      <c r="D802" s="88">
        <f t="shared" si="25"/>
        <v>35</v>
      </c>
      <c r="E802" s="88">
        <v>9</v>
      </c>
      <c r="F802" s="89" cm="1">
        <f t="array" ref="F802">INDEX($D$244:$T$279,MATCH(D802,$D$244:$D$279,0),E802+2)</f>
        <v>0</v>
      </c>
      <c r="G802" s="88">
        <f t="shared" si="24"/>
        <v>0</v>
      </c>
    </row>
    <row r="803" spans="4:7" hidden="1" outlineLevel="1">
      <c r="D803" s="88">
        <f t="shared" si="25"/>
        <v>35</v>
      </c>
      <c r="E803" s="88">
        <v>10</v>
      </c>
      <c r="F803" s="89" cm="1">
        <f t="array" ref="F803">INDEX($D$244:$T$279,MATCH(D803,$D$244:$D$279,0),E803+2)</f>
        <v>0</v>
      </c>
      <c r="G803" s="88">
        <f t="shared" si="24"/>
        <v>0</v>
      </c>
    </row>
    <row r="804" spans="4:7" hidden="1" outlineLevel="1">
      <c r="D804" s="88">
        <f t="shared" si="25"/>
        <v>35</v>
      </c>
      <c r="E804" s="88">
        <v>11</v>
      </c>
      <c r="F804" s="89" cm="1">
        <f t="array" ref="F804">INDEX($D$244:$T$279,MATCH(D804,$D$244:$D$279,0),E804+2)</f>
        <v>0</v>
      </c>
      <c r="G804" s="88">
        <f t="shared" si="24"/>
        <v>0</v>
      </c>
    </row>
    <row r="805" spans="4:7" hidden="1" outlineLevel="1">
      <c r="D805" s="88">
        <f t="shared" si="25"/>
        <v>35</v>
      </c>
      <c r="E805" s="88">
        <v>12</v>
      </c>
      <c r="F805" s="89" cm="1">
        <f t="array" ref="F805">INDEX($D$244:$T$279,MATCH(D805,$D$244:$D$279,0),E805+2)</f>
        <v>0</v>
      </c>
      <c r="G805" s="88">
        <f t="shared" si="24"/>
        <v>0</v>
      </c>
    </row>
    <row r="806" spans="4:7" hidden="1" outlineLevel="1">
      <c r="D806" s="88">
        <f t="shared" si="25"/>
        <v>35</v>
      </c>
      <c r="E806" s="88">
        <v>13</v>
      </c>
      <c r="F806" s="89" cm="1">
        <f t="array" ref="F806">INDEX($D$244:$T$279,MATCH(D806,$D$244:$D$279,0),E806+2)</f>
        <v>0</v>
      </c>
      <c r="G806" s="88">
        <f t="shared" si="24"/>
        <v>0</v>
      </c>
    </row>
    <row r="807" spans="4:7" hidden="1" outlineLevel="1">
      <c r="D807" s="88">
        <f t="shared" si="25"/>
        <v>35</v>
      </c>
      <c r="E807" s="88">
        <v>14</v>
      </c>
      <c r="F807" s="89" cm="1">
        <f t="array" ref="F807">INDEX($D$244:$T$279,MATCH(D807,$D$244:$D$279,0),E807+2)</f>
        <v>0</v>
      </c>
      <c r="G807" s="88">
        <f t="shared" si="24"/>
        <v>0</v>
      </c>
    </row>
    <row r="808" spans="4:7" hidden="1" outlineLevel="1">
      <c r="D808" s="88">
        <f t="shared" si="25"/>
        <v>35</v>
      </c>
      <c r="E808" s="88">
        <v>15</v>
      </c>
      <c r="F808" s="89" cm="1">
        <f t="array" ref="F808">INDEX($D$244:$T$279,MATCH(D808,$D$244:$D$279,0),E808+2)</f>
        <v>0</v>
      </c>
      <c r="G808" s="88">
        <f t="shared" si="24"/>
        <v>0</v>
      </c>
    </row>
    <row r="809" spans="4:7" hidden="1" outlineLevel="1"/>
    <row r="810" spans="4:7" ht="15" hidden="1" outlineLevel="1" thickBot="1"/>
    <row r="811" spans="4:7" ht="15" hidden="1" outlineLevel="1" thickBot="1">
      <c r="D811" s="92" t="s">
        <v>786</v>
      </c>
      <c r="E811" s="5" t="s">
        <v>811</v>
      </c>
      <c r="F811" t="s">
        <v>812</v>
      </c>
    </row>
    <row r="812" spans="4:7" hidden="1" outlineLevel="1">
      <c r="D812" s="91">
        <v>1</v>
      </c>
      <c r="E812" s="1">
        <f>IF(E245&gt;0,D812,0)</f>
        <v>1</v>
      </c>
      <c r="F812" cm="1">
        <f t="array" ref="F812:F828">_xlfn._xlws.FILTER(E812:E846,E812:E846&gt;0)</f>
        <v>1</v>
      </c>
    </row>
    <row r="813" spans="4:7" hidden="1" outlineLevel="1">
      <c r="D813" s="90">
        <v>2</v>
      </c>
      <c r="E813" s="1">
        <f t="shared" ref="E813:E839" si="26">IF(E246&gt;0,D813,0)</f>
        <v>2</v>
      </c>
      <c r="F813">
        <v>2</v>
      </c>
    </row>
    <row r="814" spans="4:7" hidden="1" outlineLevel="1">
      <c r="D814" s="90">
        <v>3</v>
      </c>
      <c r="E814" s="1">
        <f t="shared" si="26"/>
        <v>3</v>
      </c>
      <c r="F814">
        <v>3</v>
      </c>
    </row>
    <row r="815" spans="4:7" hidden="1" outlineLevel="1">
      <c r="D815" s="90">
        <v>4</v>
      </c>
      <c r="E815" s="1">
        <f t="shared" si="26"/>
        <v>4</v>
      </c>
      <c r="F815">
        <v>4</v>
      </c>
    </row>
    <row r="816" spans="4:7" hidden="1" outlineLevel="1">
      <c r="D816" s="90">
        <v>5</v>
      </c>
      <c r="E816" s="1">
        <f t="shared" si="26"/>
        <v>5</v>
      </c>
      <c r="F816">
        <v>5</v>
      </c>
    </row>
    <row r="817" spans="4:6" hidden="1" outlineLevel="1">
      <c r="D817" s="90">
        <v>6</v>
      </c>
      <c r="E817" s="1">
        <f t="shared" si="26"/>
        <v>6</v>
      </c>
      <c r="F817">
        <v>6</v>
      </c>
    </row>
    <row r="818" spans="4:6" hidden="1" outlineLevel="1">
      <c r="D818" s="90">
        <v>7</v>
      </c>
      <c r="E818" s="1">
        <f t="shared" si="26"/>
        <v>7</v>
      </c>
      <c r="F818">
        <v>7</v>
      </c>
    </row>
    <row r="819" spans="4:6" hidden="1" outlineLevel="1">
      <c r="D819" s="90">
        <v>8</v>
      </c>
      <c r="E819" s="1">
        <f t="shared" si="26"/>
        <v>8</v>
      </c>
      <c r="F819">
        <v>8</v>
      </c>
    </row>
    <row r="820" spans="4:6" hidden="1" outlineLevel="1">
      <c r="D820" s="90">
        <v>9</v>
      </c>
      <c r="E820" s="1">
        <f t="shared" si="26"/>
        <v>9</v>
      </c>
      <c r="F820">
        <v>9</v>
      </c>
    </row>
    <row r="821" spans="4:6" hidden="1" outlineLevel="1">
      <c r="D821" s="90">
        <v>10</v>
      </c>
      <c r="E821" s="1">
        <f t="shared" si="26"/>
        <v>10</v>
      </c>
      <c r="F821">
        <v>10</v>
      </c>
    </row>
    <row r="822" spans="4:6" hidden="1" outlineLevel="1">
      <c r="D822" s="90">
        <v>11</v>
      </c>
      <c r="E822" s="1">
        <f t="shared" si="26"/>
        <v>11</v>
      </c>
      <c r="F822">
        <v>11</v>
      </c>
    </row>
    <row r="823" spans="4:6" hidden="1" outlineLevel="1">
      <c r="D823" s="90">
        <v>12</v>
      </c>
      <c r="E823" s="1">
        <f t="shared" si="26"/>
        <v>0</v>
      </c>
      <c r="F823">
        <v>13</v>
      </c>
    </row>
    <row r="824" spans="4:6" hidden="1" outlineLevel="1">
      <c r="D824" s="90">
        <v>13</v>
      </c>
      <c r="E824" s="1">
        <f t="shared" si="26"/>
        <v>13</v>
      </c>
      <c r="F824">
        <v>14</v>
      </c>
    </row>
    <row r="825" spans="4:6" hidden="1" outlineLevel="1">
      <c r="D825" s="90">
        <v>14</v>
      </c>
      <c r="E825" s="1">
        <f t="shared" si="26"/>
        <v>14</v>
      </c>
      <c r="F825">
        <v>19</v>
      </c>
    </row>
    <row r="826" spans="4:6" hidden="1" outlineLevel="1">
      <c r="D826" s="90">
        <v>15</v>
      </c>
      <c r="E826" s="1">
        <f t="shared" si="26"/>
        <v>0</v>
      </c>
      <c r="F826">
        <v>20</v>
      </c>
    </row>
    <row r="827" spans="4:6" hidden="1" outlineLevel="1">
      <c r="D827" s="90">
        <v>16</v>
      </c>
      <c r="E827" s="1">
        <f t="shared" si="26"/>
        <v>0</v>
      </c>
      <c r="F827">
        <v>22</v>
      </c>
    </row>
    <row r="828" spans="4:6" hidden="1" outlineLevel="1">
      <c r="D828" s="90">
        <v>17</v>
      </c>
      <c r="E828" s="1">
        <f t="shared" si="26"/>
        <v>0</v>
      </c>
      <c r="F828">
        <v>23</v>
      </c>
    </row>
    <row r="829" spans="4:6" hidden="1" outlineLevel="1">
      <c r="D829" s="90">
        <v>18</v>
      </c>
      <c r="E829" s="1">
        <f t="shared" si="26"/>
        <v>0</v>
      </c>
    </row>
    <row r="830" spans="4:6" hidden="1" outlineLevel="1">
      <c r="D830" s="90">
        <v>19</v>
      </c>
      <c r="E830" s="1">
        <f t="shared" si="26"/>
        <v>19</v>
      </c>
    </row>
    <row r="831" spans="4:6" hidden="1" outlineLevel="1">
      <c r="D831" s="90">
        <v>20</v>
      </c>
      <c r="E831" s="1">
        <f t="shared" si="26"/>
        <v>20</v>
      </c>
    </row>
    <row r="832" spans="4:6" hidden="1" outlineLevel="1">
      <c r="D832" s="90">
        <v>21</v>
      </c>
      <c r="E832" s="1">
        <f t="shared" si="26"/>
        <v>0</v>
      </c>
    </row>
    <row r="833" spans="4:5" hidden="1" outlineLevel="1">
      <c r="D833" s="90">
        <v>22</v>
      </c>
      <c r="E833" s="1">
        <f t="shared" si="26"/>
        <v>22</v>
      </c>
    </row>
    <row r="834" spans="4:5" hidden="1" outlineLevel="1">
      <c r="D834" s="90">
        <v>23</v>
      </c>
      <c r="E834" s="1">
        <f t="shared" si="26"/>
        <v>23</v>
      </c>
    </row>
    <row r="835" spans="4:5" hidden="1" outlineLevel="1">
      <c r="D835" s="90">
        <v>24</v>
      </c>
      <c r="E835" s="1">
        <f t="shared" si="26"/>
        <v>0</v>
      </c>
    </row>
    <row r="836" spans="4:5" hidden="1" outlineLevel="1">
      <c r="D836" s="90">
        <v>25</v>
      </c>
      <c r="E836" s="1">
        <f t="shared" si="26"/>
        <v>0</v>
      </c>
    </row>
    <row r="837" spans="4:5" hidden="1" outlineLevel="1">
      <c r="D837" s="90">
        <v>26</v>
      </c>
      <c r="E837" s="1">
        <f t="shared" si="26"/>
        <v>0</v>
      </c>
    </row>
    <row r="838" spans="4:5" hidden="1" outlineLevel="1">
      <c r="D838" s="90">
        <v>27</v>
      </c>
      <c r="E838" s="1">
        <f t="shared" si="26"/>
        <v>0</v>
      </c>
    </row>
    <row r="839" spans="4:5" hidden="1" outlineLevel="1">
      <c r="D839" s="90">
        <v>28</v>
      </c>
      <c r="E839" s="1">
        <f t="shared" si="26"/>
        <v>0</v>
      </c>
    </row>
    <row r="840" spans="4:5" hidden="1" outlineLevel="1">
      <c r="D840" s="90">
        <v>29</v>
      </c>
      <c r="E840" s="1">
        <f t="shared" ref="E840:E846" si="27">IF(E273&gt;0,D840,0)</f>
        <v>0</v>
      </c>
    </row>
    <row r="841" spans="4:5" hidden="1" outlineLevel="1">
      <c r="D841" s="90">
        <v>30</v>
      </c>
      <c r="E841" s="1">
        <f t="shared" si="27"/>
        <v>0</v>
      </c>
    </row>
    <row r="842" spans="4:5" hidden="1" outlineLevel="1">
      <c r="D842" s="90">
        <v>31</v>
      </c>
      <c r="E842" s="1">
        <f t="shared" si="27"/>
        <v>0</v>
      </c>
    </row>
    <row r="843" spans="4:5" hidden="1" outlineLevel="1">
      <c r="D843" s="90">
        <v>32</v>
      </c>
      <c r="E843" s="1">
        <f t="shared" si="27"/>
        <v>0</v>
      </c>
    </row>
    <row r="844" spans="4:5" hidden="1" outlineLevel="1">
      <c r="D844" s="90">
        <v>33</v>
      </c>
      <c r="E844" s="1">
        <f t="shared" si="27"/>
        <v>0</v>
      </c>
    </row>
    <row r="845" spans="4:5" hidden="1" outlineLevel="1">
      <c r="D845" s="90">
        <v>34</v>
      </c>
      <c r="E845" s="1">
        <f t="shared" si="27"/>
        <v>0</v>
      </c>
    </row>
    <row r="846" spans="4:5" hidden="1" outlineLevel="1">
      <c r="D846" s="90">
        <v>35</v>
      </c>
      <c r="E846" s="1">
        <f t="shared" si="27"/>
        <v>0</v>
      </c>
    </row>
    <row r="847" spans="4:5" hidden="1" outlineLevel="1"/>
    <row r="848" spans="4:5" hidden="1" outlineLevel="1"/>
    <row r="849" spans="4:5" hidden="1" outlineLevel="1"/>
    <row r="850" spans="4:5" collapsed="1"/>
    <row r="851" spans="4:5">
      <c r="D851" t="s">
        <v>813</v>
      </c>
      <c r="E851">
        <f>COUNTA(E79:AM79)</f>
        <v>23</v>
      </c>
    </row>
    <row r="853" spans="4:5">
      <c r="E853" cm="1">
        <f t="array" ref="E853:E875">_xlfn.SEQUENCE(E851,1,1)</f>
        <v>1</v>
      </c>
    </row>
    <row r="854" spans="4:5">
      <c r="E854">
        <v>2</v>
      </c>
    </row>
    <row r="855" spans="4:5">
      <c r="E855">
        <v>3</v>
      </c>
    </row>
    <row r="856" spans="4:5">
      <c r="E856">
        <v>4</v>
      </c>
    </row>
    <row r="857" spans="4:5">
      <c r="E857">
        <v>5</v>
      </c>
    </row>
    <row r="858" spans="4:5">
      <c r="E858">
        <v>6</v>
      </c>
    </row>
    <row r="859" spans="4:5">
      <c r="E859">
        <v>7</v>
      </c>
    </row>
    <row r="860" spans="4:5">
      <c r="E860">
        <v>8</v>
      </c>
    </row>
    <row r="861" spans="4:5">
      <c r="E861">
        <v>9</v>
      </c>
    </row>
    <row r="862" spans="4:5">
      <c r="E862">
        <v>10</v>
      </c>
    </row>
    <row r="863" spans="4:5">
      <c r="E863">
        <v>11</v>
      </c>
    </row>
    <row r="864" spans="4:5">
      <c r="E864">
        <v>12</v>
      </c>
    </row>
    <row r="865" spans="5:5">
      <c r="E865">
        <v>13</v>
      </c>
    </row>
    <row r="866" spans="5:5">
      <c r="E866">
        <v>14</v>
      </c>
    </row>
    <row r="867" spans="5:5">
      <c r="E867">
        <v>15</v>
      </c>
    </row>
    <row r="868" spans="5:5">
      <c r="E868">
        <v>16</v>
      </c>
    </row>
    <row r="869" spans="5:5">
      <c r="E869">
        <v>17</v>
      </c>
    </row>
    <row r="870" spans="5:5">
      <c r="E870">
        <v>18</v>
      </c>
    </row>
    <row r="871" spans="5:5">
      <c r="E871">
        <v>19</v>
      </c>
    </row>
    <row r="872" spans="5:5">
      <c r="E872">
        <v>20</v>
      </c>
    </row>
    <row r="873" spans="5:5">
      <c r="E873">
        <v>21</v>
      </c>
    </row>
    <row r="874" spans="5:5">
      <c r="E874">
        <v>22</v>
      </c>
    </row>
    <row r="875" spans="5:5">
      <c r="E875">
        <v>23</v>
      </c>
    </row>
  </sheetData>
  <mergeCells count="7">
    <mergeCell ref="D33:F33"/>
    <mergeCell ref="E30:G30"/>
    <mergeCell ref="E31:G31"/>
    <mergeCell ref="D26:G26"/>
    <mergeCell ref="E27:G27"/>
    <mergeCell ref="E28:G28"/>
    <mergeCell ref="E29:G29"/>
  </mergeCells>
  <phoneticPr fontId="4" type="noConversion"/>
  <conditionalFormatting sqref="E84:AN84">
    <cfRule type="beginsWith" dxfId="715" priority="7" operator="beginsWith" text="Make">
      <formula>LEFT(E84,LEN("Make"))="Make"</formula>
    </cfRule>
    <cfRule type="containsText" dxfId="714" priority="8" operator="containsText" text="All 4 Fields Nonempty">
      <formula>NOT(ISERROR(SEARCH("All 4 Fields Nonempty",E84)))</formula>
    </cfRule>
  </conditionalFormatting>
  <conditionalFormatting sqref="E85:AN85">
    <cfRule type="expression" dxfId="713" priority="3">
      <formula>ISBLANK(E79)</formula>
    </cfRule>
    <cfRule type="cellIs" dxfId="712" priority="4" operator="notBetween">
      <formula>-0.00001</formula>
      <formula>0.00001</formula>
    </cfRule>
    <cfRule type="cellIs" dxfId="711" priority="6" operator="between">
      <formula>-0.00001</formula>
      <formula>0.00001</formula>
    </cfRule>
  </conditionalFormatting>
  <conditionalFormatting sqref="F35:F50">
    <cfRule type="containsText" dxfId="710" priority="1" operator="containsText" text="Prepare">
      <formula>NOT(ISERROR(SEARCH("Prepare",F35)))</formula>
    </cfRule>
    <cfRule type="containsText" dxfId="709" priority="2" operator="containsText" text="Enter">
      <formula>NOT(ISERROR(SEARCH("Enter",F35)))</formula>
    </cfRule>
  </conditionalFormatting>
  <dataValidations disablePrompts="1" count="15">
    <dataValidation type="list" allowBlank="1" showInputMessage="1" showErrorMessage="1" sqref="H70" xr:uid="{BF8EB2DC-7596-499F-93A6-B9A33FAA5303}">
      <formula1>INDIRECT(E86&amp;"[Account Name]")</formula1>
    </dataValidation>
    <dataValidation type="list" allowBlank="1" showInputMessage="1" showErrorMessage="1" sqref="E140:AM140 E144:AM144 E96:AM96 E108:AM108 E112:AM112 E116:AM116 E120:AM120 E124:AM124 E128:AM128 E132:AM132 E136:AM136 E104:AM104 E100:AM100 E92:AM92 E88:AM88" xr:uid="{7B404A89-D3A6-4CB9-A5E3-AC873C823261}">
      <formula1>"Debit,Credit"</formula1>
    </dataValidation>
    <dataValidation type="list" allowBlank="1" showInputMessage="1" showErrorMessage="1" sqref="E182:E203" xr:uid="{AC28B7C9-23B1-4375-A4E6-E0AAD9DB5902}">
      <formula1>INDIRECT("LiabilityUsed")</formula1>
    </dataValidation>
    <dataValidation type="list" allowBlank="1" showInputMessage="1" showErrorMessage="1" sqref="E209:E219" xr:uid="{80838A2E-6283-4035-A50A-F143831ADF25}">
      <formula1>INDIRECT("EquityUsed")</formula1>
    </dataValidation>
    <dataValidation type="list" allowBlank="1" showInputMessage="1" showErrorMessage="1" sqref="E139:AM139 E95:AM95 E91:AM91 E99:AM99 E103:AM103 E135:AM135 E131:AM131 E127:AM127 E123:AM123 E119:AM119 E115:AM115 E111:AM111 E107:AM107 E143:AM143 E87:AM87" xr:uid="{D49BB4BA-EB5A-45CA-973D-C4BFD5BA1DD9}">
      <formula1>INDIRECT("MD_"&amp;E86&amp;"[Account Name]")</formula1>
    </dataValidation>
    <dataValidation type="list" allowBlank="1" showInputMessage="1" showErrorMessage="1" sqref="E83:AM83" xr:uid="{5112F96D-22E6-43EE-8E8B-E6BC2F161C2D}">
      <formula1>INDIRECT(E82&amp;"[Transaction Description]")</formula1>
    </dataValidation>
    <dataValidation type="list" allowBlank="1" showInputMessage="1" showErrorMessage="1" sqref="E80:AN80" xr:uid="{55B494F7-5274-4508-BF90-81752C847303}">
      <formula1>"YES, NO"</formula1>
    </dataValidation>
    <dataValidation type="list" allowBlank="1" showInputMessage="1" showErrorMessage="1" sqref="E27:F32" xr:uid="{7DB69498-CC63-42D7-85A1-264CBF53BA2B}">
      <formula1>INDIRECT("MD_ProblemPurposes[Purpose]")</formula1>
    </dataValidation>
    <dataValidation type="list" allowBlank="1" showInputMessage="1" showErrorMessage="1" sqref="F35:F50" xr:uid="{385D31B8-FE9F-4EC5-87E9-EBA9DD1588F3}">
      <formula1>"Review, Enter, Prepare, Omit"</formula1>
    </dataValidation>
    <dataValidation type="list" allowBlank="1" showInputMessage="1" showErrorMessage="1" sqref="E81:AM81" xr:uid="{CC23E040-019C-4980-B68C-4A5E6904504A}">
      <formula1>INDIRECT("MD_Recognition[Explanations]")</formula1>
    </dataValidation>
    <dataValidation type="list" allowBlank="1" showInputMessage="1" showErrorMessage="1" sqref="E155" xr:uid="{2FE0BB7E-D913-420B-A287-3B5298D54C75}">
      <formula1>INDIRECT("AssetUsed")</formula1>
    </dataValidation>
    <dataValidation type="list" allowBlank="1" showInputMessage="1" showErrorMessage="1" sqref="D155:D176" xr:uid="{862C7D31-C0B9-4DAD-A8B7-02F4D90A255F}">
      <formula1>INDIRECT("MD_Asset[Account Name]")</formula1>
    </dataValidation>
    <dataValidation type="list" allowBlank="1" showInputMessage="1" showErrorMessage="1" sqref="D182:D203" xr:uid="{C23D2022-CB7A-489A-890F-9EA50E130BFF}">
      <formula1>INDIRECT("MD_Liability[Account Name]")</formula1>
    </dataValidation>
    <dataValidation type="list" allowBlank="1" showInputMessage="1" showErrorMessage="1" sqref="D209:D230" xr:uid="{6F0F28CF-26DF-4D91-8BAD-66A077D2D015}">
      <formula1>INDIRECT("MD_Equity[Account Name]")</formula1>
    </dataValidation>
    <dataValidation type="list" allowBlank="1" showInputMessage="1" sqref="E61" xr:uid="{4A241A7D-1759-4EA6-B8D3-475DD3ACA9EC}">
      <formula1>INDIRECT("Entities[Name]")</formula1>
    </dataValidation>
  </dataValidations>
  <pageMargins left="0.7" right="0.7" top="0.75" bottom="0.75" header="0.3" footer="0.3"/>
  <pageSetup orientation="portrait"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EE8A031A-7EE5-4398-BC07-F7CC102F743E}">
          <x14:formula1>
            <xm:f>MasterData!$L$56:$L$78</xm:f>
          </x14:formula1>
          <xm:sqref>E156:E176</xm:sqref>
        </x14:dataValidation>
        <x14:dataValidation type="list" allowBlank="1" showInputMessage="1" showErrorMessage="1" xr:uid="{69E0D247-5A84-4B42-9531-096AC7E0BBF3}">
          <x14:formula1>
            <xm:f>INDIRECT(MasterData!$F$4)</xm:f>
          </x14:formula1>
          <xm:sqref>E138:AM138 E102:AM102 E90:AM90 E98:AM98 E142:AM142 E134:AM134 E130:AM130 E126:AM126 E122:AM122 E118:AM118 E114:AM114 E110:AM110 E106:AM106 E94:AM94 E86:AM86</xm:sqref>
        </x14:dataValidation>
        <x14:dataValidation type="list" allowBlank="1" showInputMessage="1" showErrorMessage="1" xr:uid="{A309F78C-02F7-4DB1-9646-40717D42F095}">
          <x14:formula1>
            <xm:f>INDIRECT(MasterData!$E$199)</xm:f>
          </x14:formula1>
          <xm:sqref>E82:AM82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46"/>
    </sheetView>
  </sheetViews>
  <sheetFormatPr defaultRowHeight="14.45"/>
  <cols>
    <col min="1" max="1" width="2" customWidth="1"/>
    <col min="2" max="2" width="6.85546875" style="87"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42"/>
      <c r="C2" s="105" t="s">
        <v>786</v>
      </c>
      <c r="D2" s="106">
        <v>32</v>
      </c>
    </row>
    <row r="3" spans="2:14" ht="15" thickBot="1">
      <c r="B3" s="42"/>
      <c r="C3" s="634" t="s">
        <v>343</v>
      </c>
      <c r="D3" s="635"/>
      <c r="E3" s="635"/>
      <c r="F3" s="635"/>
      <c r="G3" s="635"/>
      <c r="H3" s="635"/>
      <c r="I3" s="636"/>
      <c r="J3" s="38"/>
      <c r="K3" s="38"/>
      <c r="L3" s="38" t="s">
        <v>814</v>
      </c>
    </row>
    <row r="4" spans="2:14">
      <c r="B4" s="42"/>
      <c r="C4" s="637" cm="1">
        <f t="array" ref="C4">INDEX(ProblemData!D78:AN79,2,D2+1)</f>
        <v>0</v>
      </c>
      <c r="D4" s="638"/>
      <c r="E4" s="638"/>
      <c r="F4" s="638"/>
      <c r="G4" s="638"/>
      <c r="H4" s="638"/>
      <c r="I4" s="639"/>
      <c r="J4" s="38"/>
      <c r="K4" s="38"/>
      <c r="L4" s="38" t="s">
        <v>814</v>
      </c>
    </row>
    <row r="5" spans="2:14">
      <c r="B5" s="42"/>
      <c r="C5" s="640"/>
      <c r="D5" s="641"/>
      <c r="E5" s="641"/>
      <c r="F5" s="641"/>
      <c r="G5" s="641"/>
      <c r="H5" s="641"/>
      <c r="I5" s="642"/>
      <c r="J5" s="38"/>
      <c r="K5" s="38"/>
      <c r="L5" s="38" t="s">
        <v>814</v>
      </c>
    </row>
    <row r="6" spans="2:14">
      <c r="B6" s="42"/>
      <c r="C6" s="640"/>
      <c r="D6" s="641"/>
      <c r="E6" s="641"/>
      <c r="F6" s="641"/>
      <c r="G6" s="641"/>
      <c r="H6" s="641"/>
      <c r="I6" s="642"/>
      <c r="J6" s="38"/>
      <c r="K6" s="38"/>
      <c r="L6" s="38" t="s">
        <v>814</v>
      </c>
    </row>
    <row r="7" spans="2:14" ht="15" thickBot="1">
      <c r="B7" s="42"/>
      <c r="C7" s="643"/>
      <c r="D7" s="644"/>
      <c r="E7" s="644"/>
      <c r="F7" s="644"/>
      <c r="G7" s="644"/>
      <c r="H7" s="644"/>
      <c r="I7" s="645"/>
      <c r="J7" s="38"/>
      <c r="K7" s="38"/>
      <c r="L7" s="38" t="s">
        <v>814</v>
      </c>
    </row>
    <row r="8" spans="2:14" ht="7.35" customHeight="1" thickBot="1">
      <c r="B8" s="42"/>
      <c r="C8"/>
    </row>
    <row r="9" spans="2:14">
      <c r="B9" s="42"/>
      <c r="C9" s="646" t="s">
        <v>815</v>
      </c>
      <c r="D9" s="647"/>
      <c r="E9" s="647"/>
      <c r="F9" s="648"/>
      <c r="G9" s="59" t="s">
        <v>816</v>
      </c>
      <c r="H9" s="60" t="s">
        <v>817</v>
      </c>
      <c r="I9" s="61" t="s">
        <v>818</v>
      </c>
    </row>
    <row r="10" spans="2:14" ht="15" thickBot="1">
      <c r="B10" s="42"/>
      <c r="C10" s="649"/>
      <c r="D10" s="650"/>
      <c r="E10" s="650"/>
      <c r="F10" s="651"/>
      <c r="G10" s="185">
        <f>SUM(JournalAnswer[Dr Amt])</f>
        <v>393</v>
      </c>
      <c r="H10" s="186">
        <f>SUM(JournalAnswer[Cr Amt])</f>
        <v>393</v>
      </c>
      <c r="I10" s="39">
        <f>ROUND(G10-H10,2)</f>
        <v>0</v>
      </c>
      <c r="J10" s="11"/>
      <c r="K10" s="11"/>
      <c r="L10" s="11"/>
      <c r="M10" s="11"/>
    </row>
    <row r="11" spans="2:14" ht="14.85" customHeight="1">
      <c r="B11" s="42"/>
      <c r="C11" s="86" t="s">
        <v>786</v>
      </c>
      <c r="D11" s="28" t="s">
        <v>819</v>
      </c>
      <c r="E11" s="28" t="s">
        <v>820</v>
      </c>
      <c r="F11" s="28" t="s">
        <v>821</v>
      </c>
      <c r="G11" s="28" t="s">
        <v>822</v>
      </c>
      <c r="H11" s="28" t="s">
        <v>823</v>
      </c>
      <c r="I11" s="28" t="s">
        <v>824</v>
      </c>
      <c r="J11" s="28" t="s">
        <v>769</v>
      </c>
      <c r="K11" s="28" t="s">
        <v>115</v>
      </c>
      <c r="L11" s="28" t="s">
        <v>825</v>
      </c>
      <c r="M11" s="28" t="s">
        <v>826</v>
      </c>
      <c r="N11" s="28" t="s">
        <v>827</v>
      </c>
    </row>
    <row r="12" spans="2:14">
      <c r="B12" s="87" cm="1">
        <f t="array" ref="B12:B46">_xlfn._xlws.FILTER(ProblemData!$G$284:$G$808,ProblemData!$G$284:$G$808&lt;&gt;0)</f>
        <v>1</v>
      </c>
      <c r="C12" s="322">
        <f>IF(B12="","",B12)</f>
        <v>1</v>
      </c>
      <c r="D12" s="323" t="str">
        <f>IFERROR(_xlfn.IFNA(INDEX(ProblemData!$C$78:$AM$145,MATCH(J12+0.1,ProblemData!$C$78:$C$145,0),MATCH(C12,ProblemData!$C$78:$AM$78,0)),""),"")</f>
        <v>Asset</v>
      </c>
      <c r="E12" s="66" t="str">
        <f>IFERROR(_xlfn.IFNA(IF(INDEX(ProblemData!$C$78:$AM$145,MATCH(J12+0.3,ProblemData!$C$78:$C$145,0),MATCH(C12,ProblemData!$C$78:$AM$78,0))="Debit",INDEX(ProblemData!$C$78:$AM$145,MATCH(J12+0.2,ProblemData!$C$78:$C$145,0),MATCH(C12,ProblemData!$C$78:$AM$78,0)),""),""),"")</f>
        <v>Cash</v>
      </c>
      <c r="F12" s="66" t="str">
        <f>IFERROR(_xlfn.IFNA(IF(INDEX(ProblemData!$C$78:$AM$145,MATCH(J12+0.3,ProblemData!$C$78:$C$145,0),MATCH(C12,ProblemData!$C$78:$AM$78,0))="Credit",INDEX(ProblemData!$C$78:$AM$145,MATCH(J12+0.2,ProblemData!$C$78:$C$145,0),MATCH(C12,ProblemData!$C$78:$AM$78,0)),""),""),"")</f>
        <v/>
      </c>
      <c r="G12" s="324">
        <f>_xlfn.IFNA(IF(JournalAnswer[[#This Row],[Debit Account]]&lt;&gt;"",INDEX(ProblemData!$C$78:$AM$145,MATCH(J12+0.4,ProblemData!$C$78:$C$145,0),MATCH(C12,ProblemData!$C$78:$AM$78,0)),""),"")</f>
        <v>50</v>
      </c>
      <c r="H12" s="325" t="str">
        <f>_xlfn.IFNA(IF(JournalAnswer[[#This Row],[Credit Account]]&lt;&gt;"",INDEX(ProblemData!$C$78:$AM$145,MATCH(J12+0.4,ProblemData!$C$78:$C$145,0),MATCH(C12,ProblemData!$C$78:$AM$78,0)),""),"")</f>
        <v/>
      </c>
      <c r="I12" s="353" t="str" cm="1">
        <f t="array" ref="I12">IF(JournalAnswer[[#This Row],[Debit Account]]="Cash",INDEX(ProblemData!$E$238:$AM$238,1,JournalAnswer[[#This Row],[Transaction '#]]),IF(JournalAnswer[[#This Row],[Credit Account]]="Cash",INDEX(ProblemData!$E$238:$AM$238,1,JournalAnswer[[#This Row],[Transaction '#]]),""))</f>
        <v>Financing</v>
      </c>
      <c r="J12" s="85">
        <f>IF(JournalAnswer[[#This Row],[Transaction '#]]="","",IF(JournalAnswer[[#This Row],[Transaction '#]]=C11,J11+1,1))</f>
        <v>1</v>
      </c>
      <c r="K12" s="37" cm="1">
        <f t="array" ref="K12">IFERROR(_xlfn.IFS(JournalAnswer[[#This Row],[Debit Account]]="Cash",JournalAnswer[[#This Row],[Dr Amt]],JournalAnswer[[#This Row],[Credit Account]]="Cash",-JournalAnswer[[#This Row],[Cr Amt]]),0)</f>
        <v>50</v>
      </c>
      <c r="L12" s="41" t="str" cm="1">
        <f t="array" aca="1" ref="L12" ca="1">IFERROR(INDEX(ProblemData!$E$239:$AM$239,1,JournalAnswer[[#This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87">
        <v>1</v>
      </c>
      <c r="C13" s="322">
        <f>IF(B13="","",B13)</f>
        <v>1</v>
      </c>
      <c r="D13" s="323" t="str">
        <f>IFERROR(_xlfn.IFNA(INDEX(ProblemData!$C$78:$AM$145,MATCH(J13+0.1,ProblemData!$C$78:$C$145,0),MATCH(C13,ProblemData!$C$78:$AM$78,0)),""),"")</f>
        <v>Equity</v>
      </c>
      <c r="E13" s="66" t="str">
        <f>IFERROR(_xlfn.IFNA(IF(INDEX(ProblemData!$C$78:$AM$145,MATCH(J13+0.3,ProblemData!$C$78:$C$145,0),MATCH(C13,ProblemData!$C$78:$AM$78,0))="Debit",INDEX(ProblemData!$C$78:$AM$145,MATCH(J13+0.2,ProblemData!$C$78:$C$145,0),MATCH(C13,ProblemData!$C$78:$AM$78,0)),""),""),"")</f>
        <v/>
      </c>
      <c r="F13" s="66" t="str">
        <f>IFERROR(_xlfn.IFNA(IF(INDEX(ProblemData!$C$78:$AM$145,MATCH(J13+0.3,ProblemData!$C$78:$C$145,0),MATCH(C13,ProblemData!$C$78:$AM$78,0))="Credit",INDEX(ProblemData!$C$78:$AM$145,MATCH(J13+0.2,ProblemData!$C$78:$C$145,0),MATCH(C13,ProblemData!$C$78:$AM$78,0)),""),""),"")</f>
        <v>Common Stock</v>
      </c>
      <c r="G13" s="324" t="str">
        <f>_xlfn.IFNA(IF(JournalAnswer[[#This Row],[Debit Account]]&lt;&gt;"",INDEX(ProblemData!$C$78:$AM$145,MATCH(J13+0.4,ProblemData!$C$78:$C$145,0),MATCH(C13,ProblemData!$C$78:$AM$78,0)),""),"")</f>
        <v/>
      </c>
      <c r="H13" s="325">
        <f>_xlfn.IFNA(IF(JournalAnswer[[#This Row],[Credit Account]]&lt;&gt;"",INDEX(ProblemData!$C$78:$AM$145,MATCH(J13+0.4,ProblemData!$C$78:$C$145,0),MATCH(C13,ProblemData!$C$78:$AM$78,0)),""),"")</f>
        <v>50</v>
      </c>
      <c r="I13" s="353" t="str" cm="1">
        <f t="array" ref="I13">IF(JournalAnswer[[#This Row],[Debit Account]]="Cash",INDEX(ProblemData!$E$238:$AM$238,1,JournalAnswer[[#This Row],[Transaction '#]]),IF(JournalAnswer[[#This Row],[Credit Account]]="Cash",INDEX(ProblemData!$E$238:$AM$238,1,JournalAnswer[[#This Row],[Transaction '#]]),""))</f>
        <v/>
      </c>
      <c r="J13" s="85">
        <f>IF(JournalAnswer[[#This Row],[Transaction '#]]="","",IF(JournalAnswer[[#This Row],[Transaction '#]]=C12,J12+1,1))</f>
        <v>2</v>
      </c>
      <c r="K13" s="37" cm="1">
        <f t="array" ref="K13">IFERROR(_xlfn.IFS(JournalAnswer[[#This Row],[Debit Account]]="Cash",JournalAnswer[[#This Row],[Dr Amt]],JournalAnswer[[#This Row],[Credit Account]]="Cash",-JournalAnswer[[#This Row],[Cr Amt]]),0)</f>
        <v>0</v>
      </c>
      <c r="L13" s="41" t="str" cm="1">
        <f t="array" aca="1" ref="L13" ca="1">IFERROR(INDEX(ProblemData!$E$239:$AM$239,1,JournalAnswer[[#This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87">
        <v>2</v>
      </c>
      <c r="C14" s="322">
        <f>IF(B14="","",B14)</f>
        <v>2</v>
      </c>
      <c r="D14" s="323" t="str">
        <f>IFERROR(_xlfn.IFNA(INDEX(ProblemData!$C$78:$AM$145,MATCH(J14+0.1,ProblemData!$C$78:$C$145,0),MATCH(C14,ProblemData!$C$78:$AM$78,0)),""),"")</f>
        <v>Asset</v>
      </c>
      <c r="E14" s="66" t="str">
        <f>IFERROR(_xlfn.IFNA(IF(INDEX(ProblemData!$C$78:$AM$145,MATCH(J14+0.3,ProblemData!$C$78:$C$145,0),MATCH(C14,ProblemData!$C$78:$AM$78,0))="Debit",INDEX(ProblemData!$C$78:$AM$145,MATCH(J14+0.2,ProblemData!$C$78:$C$145,0),MATCH(C14,ProblemData!$C$78:$AM$78,0)),""),""),"")</f>
        <v>Cash</v>
      </c>
      <c r="F14" s="66" t="str">
        <f>IFERROR(_xlfn.IFNA(IF(INDEX(ProblemData!$C$78:$AM$145,MATCH(J14+0.3,ProblemData!$C$78:$C$145,0),MATCH(C14,ProblemData!$C$78:$AM$78,0))="Credit",INDEX(ProblemData!$C$78:$AM$145,MATCH(J14+0.2,ProblemData!$C$78:$C$145,0),MATCH(C14,ProblemData!$C$78:$AM$78,0)),""),""),"")</f>
        <v/>
      </c>
      <c r="G14" s="324">
        <f>_xlfn.IFNA(IF(JournalAnswer[[#This Row],[Debit Account]]&lt;&gt;"",INDEX(ProblemData!$C$78:$AM$145,MATCH(J14+0.4,ProblemData!$C$78:$C$145,0),MATCH(C14,ProblemData!$C$78:$AM$78,0)),""),"")</f>
        <v>50</v>
      </c>
      <c r="H14" s="325" t="str">
        <f>_xlfn.IFNA(IF(JournalAnswer[[#This Row],[Credit Account]]&lt;&gt;"",INDEX(ProblemData!$C$78:$AM$145,MATCH(J14+0.4,ProblemData!$C$78:$C$145,0),MATCH(C14,ProblemData!$C$78:$AM$78,0)),""),"")</f>
        <v/>
      </c>
      <c r="I14" s="353" t="str" cm="1">
        <f t="array" ref="I14">IF(JournalAnswer[[#This Row],[Debit Account]]="Cash",INDEX(ProblemData!$E$238:$AM$238,1,JournalAnswer[[#This Row],[Transaction '#]]),IF(JournalAnswer[[#This Row],[Credit Account]]="Cash",INDEX(ProblemData!$E$238:$AM$238,1,JournalAnswer[[#This Row],[Transaction '#]]),""))</f>
        <v>Financing</v>
      </c>
      <c r="J14" s="85">
        <f>IF(JournalAnswer[[#This Row],[Transaction '#]]="","",IF(JournalAnswer[[#This Row],[Transaction '#]]=C13,J13+1,1))</f>
        <v>1</v>
      </c>
      <c r="K14" s="37" cm="1">
        <f t="array" ref="K14">IFERROR(_xlfn.IFS(JournalAnswer[[#This Row],[Debit Account]]="Cash",JournalAnswer[[#This Row],[Dr Amt]],JournalAnswer[[#This Row],[Credit Account]]="Cash",-JournalAnswer[[#This Row],[Cr Amt]]),0)</f>
        <v>50</v>
      </c>
      <c r="L14" s="41" t="str" cm="1">
        <f t="array" aca="1" ref="L14" ca="1">IFERROR(INDEX(ProblemData!$E$239:$AM$239,1,JournalAnswer[[#This Row],[Transaction '#]]),"")</f>
        <v>GL</v>
      </c>
      <c r="M14" s="1" t="str">
        <f ca="1">IF(JournalAnswer[[#This Row],[ref1]]="","",IF(NOT(ISBLANK(JournalAnswer[[#This Row],[Transaction '#]])),JournalAnswer[[#This Row],[ref1]]&amp;JournalAnswer[[#This Row],[Movement '#]],""))</f>
        <v>GL1</v>
      </c>
      <c r="N14" s="1" t="b">
        <f ca="1">OR(JournalAnswer[[#This Row],[ref1]]="",ISNUMBER(MATCH(JournalAnswer[[#This Row],[ref1]], Operating[Abbr], 0)), "Found", "Not Found"="Found")</f>
        <v>0</v>
      </c>
    </row>
    <row r="15" spans="2:14">
      <c r="B15" s="87">
        <v>2</v>
      </c>
      <c r="C15" s="322">
        <f t="shared" ref="C15" si="0">IF(B15="","",B15)</f>
        <v>2</v>
      </c>
      <c r="D15" s="323" t="str">
        <f>IFERROR(_xlfn.IFNA(INDEX(ProblemData!$C$78:$AM$145,MATCH(J15+0.1,ProblemData!$C$78:$C$145,0),MATCH(C15,ProblemData!$C$78:$AM$78,0)),""),"")</f>
        <v>Liability</v>
      </c>
      <c r="E15" s="66" t="str">
        <f>IFERROR(_xlfn.IFNA(IF(INDEX(ProblemData!$C$78:$AM$145,MATCH(J15+0.3,ProblemData!$C$78:$C$145,0),MATCH(C15,ProblemData!$C$78:$AM$78,0))="Debit",INDEX(ProblemData!$C$78:$AM$145,MATCH(J15+0.2,ProblemData!$C$78:$C$145,0),MATCH(C15,ProblemData!$C$78:$AM$78,0)),""),""),"")</f>
        <v/>
      </c>
      <c r="F15" s="66" t="str">
        <f>IFERROR(_xlfn.IFNA(IF(INDEX(ProblemData!$C$78:$AM$145,MATCH(J15+0.3,ProblemData!$C$78:$C$145,0),MATCH(C15,ProblemData!$C$78:$AM$78,0))="Credit",INDEX(ProblemData!$C$78:$AM$145,MATCH(J15+0.2,ProblemData!$C$78:$C$145,0),MATCH(C15,ProblemData!$C$78:$AM$78,0)),""),""),"")</f>
        <v>Loans Payable</v>
      </c>
      <c r="G15" s="324" t="str">
        <f>_xlfn.IFNA(IF(JournalAnswer[[#This Row],[Debit Account]]&lt;&gt;"",INDEX(ProblemData!$C$78:$AM$145,MATCH(J15+0.4,ProblemData!$C$78:$C$145,0),MATCH(C15,ProblemData!$C$78:$AM$78,0)),""),"")</f>
        <v/>
      </c>
      <c r="H15" s="325">
        <f>_xlfn.IFNA(IF(JournalAnswer[[#This Row],[Credit Account]]&lt;&gt;"",INDEX(ProblemData!$C$78:$AM$145,MATCH(J15+0.4,ProblemData!$C$78:$C$145,0),MATCH(C15,ProblemData!$C$78:$AM$78,0)),""),"")</f>
        <v>50</v>
      </c>
      <c r="I15" s="353" t="str" cm="1">
        <f t="array" ref="I15">IF(JournalAnswer[[#This Row],[Debit Account]]="Cash",INDEX(ProblemData!$E$238:$AM$238,1,JournalAnswer[[#This Row],[Transaction '#]]),IF(JournalAnswer[[#This Row],[Credit Account]]="Cash",INDEX(ProblemData!$E$238:$AM$238,1,JournalAnswer[[#This Row],[Transaction '#]]),""))</f>
        <v/>
      </c>
      <c r="J15" s="85">
        <f>IF(JournalAnswer[[#This Row],[Transaction '#]]="","",IF(JournalAnswer[[#This Row],[Transaction '#]]=C14,J14+1,1))</f>
        <v>2</v>
      </c>
      <c r="K15" s="37" cm="1">
        <f t="array" ref="K15">IFERROR(_xlfn.IFS(JournalAnswer[[#This Row],[Debit Account]]="Cash",JournalAnswer[[#This Row],[Dr Amt]],JournalAnswer[[#This Row],[Credit Account]]="Cash",-JournalAnswer[[#This Row],[Cr Amt]]),0)</f>
        <v>0</v>
      </c>
      <c r="L15" s="41" t="str" cm="1">
        <f t="array" aca="1" ref="L15" ca="1">IFERROR(INDEX(ProblemData!$E$239:$AM$239,1,JournalAnswer[[#This Row],[Transaction '#]]),"")</f>
        <v>GL</v>
      </c>
      <c r="M15" s="1" t="str">
        <f ca="1">IF(JournalAnswer[[#This Row],[ref1]]="","",IF(NOT(ISBLANK(JournalAnswer[[#This Row],[Transaction '#]])),JournalAnswer[[#This Row],[ref1]]&amp;JournalAnswer[[#This Row],[Movement '#]],""))</f>
        <v>GL2</v>
      </c>
      <c r="N15" s="1" t="b">
        <f ca="1">OR(JournalAnswer[[#This Row],[ref1]]="",ISNUMBER(MATCH(JournalAnswer[[#This Row],[ref1]], Operating[Abbr], 0)), "Found", "Not Found"="Found")</f>
        <v>0</v>
      </c>
    </row>
    <row r="16" spans="2:14">
      <c r="B16" s="87">
        <v>3</v>
      </c>
      <c r="C16" s="322">
        <f>IF(B16="","",B16)</f>
        <v>3</v>
      </c>
      <c r="D16" s="323" t="str">
        <f>IFERROR(_xlfn.IFNA(INDEX(ProblemData!$C$78:$AM$145,MATCH(J16+0.1,ProblemData!$C$78:$C$145,0),MATCH(C16,ProblemData!$C$78:$AM$78,0)),""),"")</f>
        <v>Asset</v>
      </c>
      <c r="E16" s="66" t="str">
        <f>IFERROR(_xlfn.IFNA(IF(INDEX(ProblemData!$C$78:$AM$145,MATCH(J16+0.3,ProblemData!$C$78:$C$145,0),MATCH(C16,ProblemData!$C$78:$AM$78,0))="Debit",INDEX(ProblemData!$C$78:$AM$145,MATCH(J16+0.2,ProblemData!$C$78:$C$145,0),MATCH(C16,ProblemData!$C$78:$AM$78,0)),""),""),"")</f>
        <v>Cash</v>
      </c>
      <c r="F16" s="66" t="str">
        <f>IFERROR(_xlfn.IFNA(IF(INDEX(ProblemData!$C$78:$AM$145,MATCH(J16+0.3,ProblemData!$C$78:$C$145,0),MATCH(C16,ProblemData!$C$78:$AM$78,0))="Credit",INDEX(ProblemData!$C$78:$AM$145,MATCH(J16+0.2,ProblemData!$C$78:$C$145,0),MATCH(C16,ProblemData!$C$78:$AM$78,0)),""),""),"")</f>
        <v/>
      </c>
      <c r="G16" s="324">
        <f>_xlfn.IFNA(IF(JournalAnswer[[#This Row],[Debit Account]]&lt;&gt;"",INDEX(ProblemData!$C$78:$AM$145,MATCH(J16+0.4,ProblemData!$C$78:$C$145,0),MATCH(C16,ProblemData!$C$78:$AM$78,0)),""),"")</f>
        <v>50</v>
      </c>
      <c r="H16" s="325" t="str">
        <f>_xlfn.IFNA(IF(JournalAnswer[[#This Row],[Credit Account]]&lt;&gt;"",INDEX(ProblemData!$C$78:$AM$145,MATCH(J16+0.4,ProblemData!$C$78:$C$145,0),MATCH(C16,ProblemData!$C$78:$AM$78,0)),""),"")</f>
        <v/>
      </c>
      <c r="I16" s="353" t="str" cm="1">
        <f t="array" ref="I16">IF(JournalAnswer[[#This Row],[Debit Account]]="Cash",INDEX(ProblemData!$E$238:$AM$238,1,JournalAnswer[[#This Row],[Transaction '#]]),IF(JournalAnswer[[#This Row],[Credit Account]]="Cash",INDEX(ProblemData!$E$238:$AM$238,1,JournalAnswer[[#This Row],[Transaction '#]]),""))</f>
        <v>Operating</v>
      </c>
      <c r="J16" s="85">
        <f>IF(JournalAnswer[[#This Row],[Transaction '#]]="","",IF(JournalAnswer[[#This Row],[Transaction '#]]=C15,J15+1,1))</f>
        <v>1</v>
      </c>
      <c r="K16" s="37" cm="1">
        <f t="array" ref="K16">IFERROR(_xlfn.IFS(JournalAnswer[[#This Row],[Debit Account]]="Cash",JournalAnswer[[#This Row],[Dr Amt]],JournalAnswer[[#This Row],[Credit Account]]="Cash",-JournalAnswer[[#This Row],[Cr Amt]]),0)</f>
        <v>50</v>
      </c>
      <c r="L16" s="41" t="str" cm="1">
        <f t="array" aca="1" ref="L16" ca="1">IFERROR(INDEX(ProblemData!$E$239:$AM$239,1,JournalAnswer[[#This Row],[Transaction '#]]),"")</f>
        <v>ColC</v>
      </c>
      <c r="M16" s="1" t="str">
        <f ca="1">IF(JournalAnswer[[#This Row],[ref1]]="","",IF(NOT(ISBLANK(JournalAnswer[[#This Row],[Transaction '#]])),JournalAnswer[[#This Row],[ref1]]&amp;JournalAnswer[[#This Row],[Movement '#]],""))</f>
        <v>ColC1</v>
      </c>
      <c r="N16" s="1" t="b">
        <f ca="1">OR(JournalAnswer[[#This Row],[ref1]]="",ISNUMBER(MATCH(JournalAnswer[[#This Row],[ref1]], Operating[Abbr], 0)), "Found", "Not Found"="Found")</f>
        <v>1</v>
      </c>
    </row>
    <row r="17" spans="2:14">
      <c r="B17" s="87">
        <v>3</v>
      </c>
      <c r="C17" s="322">
        <f t="shared" ref="C17:C80" si="1">IF(B17="","",B17)</f>
        <v>3</v>
      </c>
      <c r="D17" s="323" t="str">
        <f>IFERROR(_xlfn.IFNA(INDEX(ProblemData!$C$78:$AM$145,MATCH(J17+0.1,ProblemData!$C$78:$C$145,0),MATCH(C17,ProblemData!$C$78:$AM$78,0)),""),"")</f>
        <v>Revenue</v>
      </c>
      <c r="E17" s="66" t="str">
        <f>IFERROR(_xlfn.IFNA(IF(INDEX(ProblemData!$C$78:$AM$145,MATCH(J17+0.3,ProblemData!$C$78:$C$145,0),MATCH(C17,ProblemData!$C$78:$AM$78,0))="Debit",INDEX(ProblemData!$C$78:$AM$145,MATCH(J17+0.2,ProblemData!$C$78:$C$145,0),MATCH(C17,ProblemData!$C$78:$AM$78,0)),""),""),"")</f>
        <v/>
      </c>
      <c r="F17" s="66" t="str">
        <f>IFERROR(_xlfn.IFNA(IF(INDEX(ProblemData!$C$78:$AM$145,MATCH(J17+0.3,ProblemData!$C$78:$C$145,0),MATCH(C17,ProblemData!$C$78:$AM$78,0))="Credit",INDEX(ProblemData!$C$78:$AM$145,MATCH(J17+0.2,ProblemData!$C$78:$C$145,0),MATCH(C17,ProblemData!$C$78:$AM$78,0)),""),""),"")</f>
        <v>Revenue from Services</v>
      </c>
      <c r="G17" s="324" t="str">
        <f>_xlfn.IFNA(IF(JournalAnswer[[#This Row],[Debit Account]]&lt;&gt;"",INDEX(ProblemData!$C$78:$AM$145,MATCH(J17+0.4,ProblemData!$C$78:$C$145,0),MATCH(C17,ProblemData!$C$78:$AM$78,0)),""),"")</f>
        <v/>
      </c>
      <c r="H17" s="325">
        <f>_xlfn.IFNA(IF(JournalAnswer[[#This Row],[Credit Account]]&lt;&gt;"",INDEX(ProblemData!$C$78:$AM$145,MATCH(J17+0.4,ProblemData!$C$78:$C$145,0),MATCH(C17,ProblemData!$C$78:$AM$78,0)),""),"")</f>
        <v>50</v>
      </c>
      <c r="I17" s="353" t="str" cm="1">
        <f t="array" ref="I17">IF(JournalAnswer[[#This Row],[Debit Account]]="Cash",INDEX(ProblemData!$E$238:$AM$238,1,JournalAnswer[[#This Row],[Transaction '#]]),IF(JournalAnswer[[#This Row],[Credit Account]]="Cash",INDEX(ProblemData!$E$238:$AM$238,1,JournalAnswer[[#This Row],[Transaction '#]]),""))</f>
        <v/>
      </c>
      <c r="J17" s="85">
        <f>IF(JournalAnswer[[#This Row],[Transaction '#]]="","",IF(JournalAnswer[[#This Row],[Transaction '#]]=C16,J16+1,1))</f>
        <v>2</v>
      </c>
      <c r="K17" s="37" cm="1">
        <f t="array" ref="K17">IFERROR(_xlfn.IFS(JournalAnswer[[#This Row],[Debit Account]]="Cash",JournalAnswer[[#This Row],[Dr Amt]],JournalAnswer[[#This Row],[Credit Account]]="Cash",-JournalAnswer[[#This Row],[Cr Amt]]),0)</f>
        <v>0</v>
      </c>
      <c r="L17" s="41" t="str" cm="1">
        <f t="array" aca="1" ref="L17" ca="1">IFERROR(INDEX(ProblemData!$E$239:$AM$239,1,JournalAnswer[[#This Row],[Transaction '#]]),"")</f>
        <v>ColC</v>
      </c>
      <c r="M17" s="1" t="str">
        <f ca="1">IF(JournalAnswer[[#This Row],[ref1]]="","",IF(NOT(ISBLANK(JournalAnswer[[#This Row],[Transaction '#]])),JournalAnswer[[#This Row],[ref1]]&amp;JournalAnswer[[#This Row],[Movement '#]],""))</f>
        <v>ColC2</v>
      </c>
      <c r="N17" s="1" t="b">
        <f ca="1">OR(JournalAnswer[[#This Row],[ref1]]="",ISNUMBER(MATCH(JournalAnswer[[#This Row],[ref1]], Operating[Abbr], 0)), "Found", "Not Found"="Found")</f>
        <v>1</v>
      </c>
    </row>
    <row r="18" spans="2:14">
      <c r="B18" s="87">
        <v>4</v>
      </c>
      <c r="C18" s="322">
        <f t="shared" si="1"/>
        <v>4</v>
      </c>
      <c r="D18" s="323" t="str">
        <f>IFERROR(_xlfn.IFNA(INDEX(ProblemData!$C$78:$AM$145,MATCH(J18+0.1,ProblemData!$C$78:$C$145,0),MATCH(C18,ProblemData!$C$78:$AM$78,0)),""),"")</f>
        <v>Asset</v>
      </c>
      <c r="E18" s="66" t="str">
        <f>IFERROR(_xlfn.IFNA(IF(INDEX(ProblemData!$C$78:$AM$145,MATCH(J18+0.3,ProblemData!$C$78:$C$145,0),MATCH(C18,ProblemData!$C$78:$AM$78,0))="Debit",INDEX(ProblemData!$C$78:$AM$145,MATCH(J18+0.2,ProblemData!$C$78:$C$145,0),MATCH(C18,ProblemData!$C$78:$AM$78,0)),""),""),"")</f>
        <v>Property, Plant &amp; Equipment</v>
      </c>
      <c r="F18" s="66" t="str">
        <f>IFERROR(_xlfn.IFNA(IF(INDEX(ProblemData!$C$78:$AM$145,MATCH(J18+0.3,ProblemData!$C$78:$C$145,0),MATCH(C18,ProblemData!$C$78:$AM$78,0))="Credit",INDEX(ProblemData!$C$78:$AM$145,MATCH(J18+0.2,ProblemData!$C$78:$C$145,0),MATCH(C18,ProblemData!$C$78:$AM$78,0)),""),""),"")</f>
        <v/>
      </c>
      <c r="G18" s="324">
        <f>_xlfn.IFNA(IF(JournalAnswer[[#This Row],[Debit Account]]&lt;&gt;"",INDEX(ProblemData!$C$78:$AM$145,MATCH(J18+0.4,ProblemData!$C$78:$C$145,0),MATCH(C18,ProblemData!$C$78:$AM$78,0)),""),"")</f>
        <v>50</v>
      </c>
      <c r="H18" s="325" t="str">
        <f>_xlfn.IFNA(IF(JournalAnswer[[#This Row],[Credit Account]]&lt;&gt;"",INDEX(ProblemData!$C$78:$AM$145,MATCH(J18+0.4,ProblemData!$C$78:$C$145,0),MATCH(C18,ProblemData!$C$78:$AM$78,0)),""),"")</f>
        <v/>
      </c>
      <c r="I18" s="353" t="str" cm="1">
        <f t="array" ref="I18">IF(JournalAnswer[[#This Row],[Debit Account]]="Cash",INDEX(ProblemData!$E$238:$AM$238,1,JournalAnswer[[#This Row],[Transaction '#]]),IF(JournalAnswer[[#This Row],[Credit Account]]="Cash",INDEX(ProblemData!$E$238:$AM$238,1,JournalAnswer[[#This Row],[Transaction '#]]),""))</f>
        <v/>
      </c>
      <c r="J18" s="85">
        <f>IF(JournalAnswer[[#This Row],[Transaction '#]]="","",IF(JournalAnswer[[#This Row],[Transaction '#]]=C17,J17+1,1))</f>
        <v>1</v>
      </c>
      <c r="K18" s="37" cm="1">
        <f t="array" ref="K18">IFERROR(_xlfn.IFS(JournalAnswer[[#This Row],[Debit Account]]="Cash",JournalAnswer[[#This Row],[Dr Amt]],JournalAnswer[[#This Row],[Credit Account]]="Cash",-JournalAnswer[[#This Row],[Cr Amt]]),0)</f>
        <v>0</v>
      </c>
      <c r="L18" s="41" t="str" cm="1">
        <f t="array" aca="1" ref="L18" ca="1">IFERROR(INDEX(ProblemData!$E$239:$AM$239,1,JournalAnswer[[#This Row],[Transaction '#]]),"")</f>
        <v>PPEfCS</v>
      </c>
      <c r="M18" s="1" t="str">
        <f ca="1">IF(JournalAnswer[[#This Row],[ref1]]="","",IF(NOT(ISBLANK(JournalAnswer[[#This Row],[Transaction '#]])),JournalAnswer[[#This Row],[ref1]]&amp;JournalAnswer[[#This Row],[Movement '#]],""))</f>
        <v>PPEfCS1</v>
      </c>
      <c r="N18" s="1" t="b">
        <f ca="1">OR(JournalAnswer[[#This Row],[ref1]]="",ISNUMBER(MATCH(JournalAnswer[[#This Row],[ref1]], Operating[Abbr], 0)), "Found", "Not Found"="Found")</f>
        <v>0</v>
      </c>
    </row>
    <row r="19" spans="2:14">
      <c r="B19" s="87">
        <v>4</v>
      </c>
      <c r="C19" s="322">
        <f t="shared" si="1"/>
        <v>4</v>
      </c>
      <c r="D19" s="323" t="str">
        <f>IFERROR(_xlfn.IFNA(INDEX(ProblemData!$C$78:$AM$145,MATCH(J19+0.1,ProblemData!$C$78:$C$145,0),MATCH(C19,ProblemData!$C$78:$AM$78,0)),""),"")</f>
        <v>Equity</v>
      </c>
      <c r="E19" s="66" t="str">
        <f>IFERROR(_xlfn.IFNA(IF(INDEX(ProblemData!$C$78:$AM$145,MATCH(J19+0.3,ProblemData!$C$78:$C$145,0),MATCH(C19,ProblemData!$C$78:$AM$78,0))="Debit",INDEX(ProblemData!$C$78:$AM$145,MATCH(J19+0.2,ProblemData!$C$78:$C$145,0),MATCH(C19,ProblemData!$C$78:$AM$78,0)),""),""),"")</f>
        <v/>
      </c>
      <c r="F19" s="66" t="str">
        <f>IFERROR(_xlfn.IFNA(IF(INDEX(ProblemData!$C$78:$AM$145,MATCH(J19+0.3,ProblemData!$C$78:$C$145,0),MATCH(C19,ProblemData!$C$78:$AM$78,0))="Credit",INDEX(ProblemData!$C$78:$AM$145,MATCH(J19+0.2,ProblemData!$C$78:$C$145,0),MATCH(C19,ProblemData!$C$78:$AM$78,0)),""),""),"")</f>
        <v>Common Stock</v>
      </c>
      <c r="G19" s="324" t="str">
        <f>_xlfn.IFNA(IF(JournalAnswer[[#This Row],[Debit Account]]&lt;&gt;"",INDEX(ProblemData!$C$78:$AM$145,MATCH(J19+0.4,ProblemData!$C$78:$C$145,0),MATCH(C19,ProblemData!$C$78:$AM$78,0)),""),"")</f>
        <v/>
      </c>
      <c r="H19" s="325">
        <f>_xlfn.IFNA(IF(JournalAnswer[[#This Row],[Credit Account]]&lt;&gt;"",INDEX(ProblemData!$C$78:$AM$145,MATCH(J19+0.4,ProblemData!$C$78:$C$145,0),MATCH(C19,ProblemData!$C$78:$AM$78,0)),""),"")</f>
        <v>50</v>
      </c>
      <c r="I19" s="353" t="str" cm="1">
        <f t="array" ref="I19">IF(JournalAnswer[[#This Row],[Debit Account]]="Cash",INDEX(ProblemData!$E$238:$AM$238,1,JournalAnswer[[#This Row],[Transaction '#]]),IF(JournalAnswer[[#This Row],[Credit Account]]="Cash",INDEX(ProblemData!$E$238:$AM$238,1,JournalAnswer[[#This Row],[Transaction '#]]),""))</f>
        <v/>
      </c>
      <c r="J19" s="85">
        <f>IF(JournalAnswer[[#This Row],[Transaction '#]]="","",IF(JournalAnswer[[#This Row],[Transaction '#]]=C18,J18+1,1))</f>
        <v>2</v>
      </c>
      <c r="K19" s="37" cm="1">
        <f t="array" ref="K19">IFERROR(_xlfn.IFS(JournalAnswer[[#This Row],[Debit Account]]="Cash",JournalAnswer[[#This Row],[Dr Amt]],JournalAnswer[[#This Row],[Credit Account]]="Cash",-JournalAnswer[[#This Row],[Cr Amt]]),0)</f>
        <v>0</v>
      </c>
      <c r="L19" s="41" t="str" cm="1">
        <f t="array" aca="1" ref="L19" ca="1">IFERROR(INDEX(ProblemData!$E$239:$AM$239,1,JournalAnswer[[#This Row],[Transaction '#]]),"")</f>
        <v>PPEfCS</v>
      </c>
      <c r="M19" s="1" t="str">
        <f ca="1">IF(JournalAnswer[[#This Row],[ref1]]="","",IF(NOT(ISBLANK(JournalAnswer[[#This Row],[Transaction '#]])),JournalAnswer[[#This Row],[ref1]]&amp;JournalAnswer[[#This Row],[Movement '#]],""))</f>
        <v>PPEfCS2</v>
      </c>
      <c r="N19" s="1" t="b">
        <f ca="1">OR(JournalAnswer[[#This Row],[ref1]]="",ISNUMBER(MATCH(JournalAnswer[[#This Row],[ref1]], Operating[Abbr], 0)), "Found", "Not Found"="Found")</f>
        <v>0</v>
      </c>
    </row>
    <row r="20" spans="2:14">
      <c r="B20" s="87">
        <v>5</v>
      </c>
      <c r="C20" s="322">
        <f t="shared" si="1"/>
        <v>5</v>
      </c>
      <c r="D20" s="323" t="str">
        <f>IFERROR(_xlfn.IFNA(INDEX(ProblemData!$C$78:$AM$145,MATCH(J20+0.1,ProblemData!$C$78:$C$145,0),MATCH(C20,ProblemData!$C$78:$AM$78,0)),""),"")</f>
        <v>Asset</v>
      </c>
      <c r="E20" s="66" t="str">
        <f>IFERROR(_xlfn.IFNA(IF(INDEX(ProblemData!$C$78:$AM$145,MATCH(J20+0.3,ProblemData!$C$78:$C$145,0),MATCH(C20,ProblemData!$C$78:$AM$78,0))="Debit",INDEX(ProblemData!$C$78:$AM$145,MATCH(J20+0.2,ProblemData!$C$78:$C$145,0),MATCH(C20,ProblemData!$C$78:$AM$78,0)),""),""),"")</f>
        <v>Property, Plant &amp; Equipment</v>
      </c>
      <c r="F20" s="66" t="str">
        <f>IFERROR(_xlfn.IFNA(IF(INDEX(ProblemData!$C$78:$AM$145,MATCH(J20+0.3,ProblemData!$C$78:$C$145,0),MATCH(C20,ProblemData!$C$78:$AM$78,0))="Credit",INDEX(ProblemData!$C$78:$AM$145,MATCH(J20+0.2,ProblemData!$C$78:$C$145,0),MATCH(C20,ProblemData!$C$78:$AM$78,0)),""),""),"")</f>
        <v/>
      </c>
      <c r="G20" s="324">
        <f>_xlfn.IFNA(IF(JournalAnswer[[#This Row],[Debit Account]]&lt;&gt;"",INDEX(ProblemData!$C$78:$AM$145,MATCH(J20+0.4,ProblemData!$C$78:$C$145,0),MATCH(C20,ProblemData!$C$78:$AM$78,0)),""),"")</f>
        <v>50</v>
      </c>
      <c r="H20" s="325" t="str">
        <f>_xlfn.IFNA(IF(JournalAnswer[[#This Row],[Credit Account]]&lt;&gt;"",INDEX(ProblemData!$C$78:$AM$145,MATCH(J20+0.4,ProblemData!$C$78:$C$145,0),MATCH(C20,ProblemData!$C$78:$AM$78,0)),""),"")</f>
        <v/>
      </c>
      <c r="I20" s="353" t="str" cm="1">
        <f t="array" ref="I20">IF(JournalAnswer[[#This Row],[Debit Account]]="Cash",INDEX(ProblemData!$E$238:$AM$238,1,JournalAnswer[[#This Row],[Transaction '#]]),IF(JournalAnswer[[#This Row],[Credit Account]]="Cash",INDEX(ProblemData!$E$238:$AM$238,1,JournalAnswer[[#This Row],[Transaction '#]]),""))</f>
        <v/>
      </c>
      <c r="J20" s="85">
        <f>IF(JournalAnswer[[#This Row],[Transaction '#]]="","",IF(JournalAnswer[[#This Row],[Transaction '#]]=C19,J19+1,1))</f>
        <v>1</v>
      </c>
      <c r="K20" s="37" cm="1">
        <f t="array" ref="K20">IFERROR(_xlfn.IFS(JournalAnswer[[#This Row],[Debit Account]]="Cash",JournalAnswer[[#This Row],[Dr Amt]],JournalAnswer[[#This Row],[Credit Account]]="Cash",-JournalAnswer[[#This Row],[Cr Amt]]),0)</f>
        <v>0</v>
      </c>
      <c r="L20" s="41" t="str" cm="1">
        <f t="array" aca="1" ref="L20" ca="1">IFERROR(INDEX(ProblemData!$E$239:$AM$239,1,JournalAnswer[[#This Row],[Transaction '#]]),"")</f>
        <v>PPEfL</v>
      </c>
      <c r="M20" s="1" t="str">
        <f ca="1">IF(JournalAnswer[[#This Row],[ref1]]="","",IF(NOT(ISBLANK(JournalAnswer[[#This Row],[Transaction '#]])),JournalAnswer[[#This Row],[ref1]]&amp;JournalAnswer[[#This Row],[Movement '#]],""))</f>
        <v>PPEfL1</v>
      </c>
      <c r="N20" s="1" t="b">
        <f ca="1">OR(JournalAnswer[[#This Row],[ref1]]="",ISNUMBER(MATCH(JournalAnswer[[#This Row],[ref1]], Operating[Abbr], 0)), "Found", "Not Found"="Found")</f>
        <v>0</v>
      </c>
    </row>
    <row r="21" spans="2:14">
      <c r="B21" s="87">
        <v>5</v>
      </c>
      <c r="C21" s="322">
        <f t="shared" si="1"/>
        <v>5</v>
      </c>
      <c r="D21" s="323" t="str">
        <f>IFERROR(_xlfn.IFNA(INDEX(ProblemData!$C$78:$AM$145,MATCH(J21+0.1,ProblemData!$C$78:$C$145,0),MATCH(C21,ProblemData!$C$78:$AM$78,0)),""),"")</f>
        <v>Liability</v>
      </c>
      <c r="E21" s="66" t="str">
        <f>IFERROR(_xlfn.IFNA(IF(INDEX(ProblemData!$C$78:$AM$145,MATCH(J21+0.3,ProblemData!$C$78:$C$145,0),MATCH(C21,ProblemData!$C$78:$AM$78,0))="Debit",INDEX(ProblemData!$C$78:$AM$145,MATCH(J21+0.2,ProblemData!$C$78:$C$145,0),MATCH(C21,ProblemData!$C$78:$AM$78,0)),""),""),"")</f>
        <v/>
      </c>
      <c r="F21" s="66" t="str">
        <f>IFERROR(_xlfn.IFNA(IF(INDEX(ProblemData!$C$78:$AM$145,MATCH(J21+0.3,ProblemData!$C$78:$C$145,0),MATCH(C21,ProblemData!$C$78:$AM$78,0))="Credit",INDEX(ProblemData!$C$78:$AM$145,MATCH(J21+0.2,ProblemData!$C$78:$C$145,0),MATCH(C21,ProblemData!$C$78:$AM$78,0)),""),""),"")</f>
        <v>Loans Payable</v>
      </c>
      <c r="G21" s="324" t="str">
        <f>_xlfn.IFNA(IF(JournalAnswer[[#This Row],[Debit Account]]&lt;&gt;"",INDEX(ProblemData!$C$78:$AM$145,MATCH(J21+0.4,ProblemData!$C$78:$C$145,0),MATCH(C21,ProblemData!$C$78:$AM$78,0)),""),"")</f>
        <v/>
      </c>
      <c r="H21" s="325">
        <f>_xlfn.IFNA(IF(JournalAnswer[[#This Row],[Credit Account]]&lt;&gt;"",INDEX(ProblemData!$C$78:$AM$145,MATCH(J21+0.4,ProblemData!$C$78:$C$145,0),MATCH(C21,ProblemData!$C$78:$AM$78,0)),""),"")</f>
        <v>50</v>
      </c>
      <c r="I21" s="353" t="str" cm="1">
        <f t="array" ref="I21">IF(JournalAnswer[[#This Row],[Debit Account]]="Cash",INDEX(ProblemData!$E$238:$AM$238,1,JournalAnswer[[#This Row],[Transaction '#]]),IF(JournalAnswer[[#This Row],[Credit Account]]="Cash",INDEX(ProblemData!$E$238:$AM$238,1,JournalAnswer[[#This Row],[Transaction '#]]),""))</f>
        <v/>
      </c>
      <c r="J21" s="85">
        <f>IF(JournalAnswer[[#This Row],[Transaction '#]]="","",IF(JournalAnswer[[#This Row],[Transaction '#]]=C20,J20+1,1))</f>
        <v>2</v>
      </c>
      <c r="K21" s="37" cm="1">
        <f t="array" ref="K21">IFERROR(_xlfn.IFS(JournalAnswer[[#This Row],[Debit Account]]="Cash",JournalAnswer[[#This Row],[Dr Amt]],JournalAnswer[[#This Row],[Credit Account]]="Cash",-JournalAnswer[[#This Row],[Cr Amt]]),0)</f>
        <v>0</v>
      </c>
      <c r="L21" s="41" t="str" cm="1">
        <f t="array" aca="1" ref="L21" ca="1">IFERROR(INDEX(ProblemData!$E$239:$AM$239,1,JournalAnswer[[#This Row],[Transaction '#]]),"")</f>
        <v>PPEfL</v>
      </c>
      <c r="M21" s="1" t="str">
        <f ca="1">IF(JournalAnswer[[#This Row],[ref1]]="","",IF(NOT(ISBLANK(JournalAnswer[[#This Row],[Transaction '#]])),JournalAnswer[[#This Row],[ref1]]&amp;JournalAnswer[[#This Row],[Movement '#]],""))</f>
        <v>PPEfL2</v>
      </c>
      <c r="N21" s="1" t="b">
        <f ca="1">OR(JournalAnswer[[#This Row],[ref1]]="",ISNUMBER(MATCH(JournalAnswer[[#This Row],[ref1]], Operating[Abbr], 0)), "Found", "Not Found"="Found")</f>
        <v>0</v>
      </c>
    </row>
    <row r="22" spans="2:14">
      <c r="B22" s="87">
        <v>6</v>
      </c>
      <c r="C22" s="322">
        <f t="shared" si="1"/>
        <v>6</v>
      </c>
      <c r="D22" s="323" t="str">
        <f>IFERROR(_xlfn.IFNA(INDEX(ProblemData!$C$78:$AM$145,MATCH(J22+0.1,ProblemData!$C$78:$C$145,0),MATCH(C22,ProblemData!$C$78:$AM$78,0)),""),"")</f>
        <v>Asset</v>
      </c>
      <c r="E22" s="66" t="str">
        <f>IFERROR(_xlfn.IFNA(IF(INDEX(ProblemData!$C$78:$AM$145,MATCH(J22+0.3,ProblemData!$C$78:$C$145,0),MATCH(C22,ProblemData!$C$78:$AM$78,0))="Debit",INDEX(ProblemData!$C$78:$AM$145,MATCH(J22+0.2,ProblemData!$C$78:$C$145,0),MATCH(C22,ProblemData!$C$78:$AM$78,0)),""),""),"")</f>
        <v>Inventories</v>
      </c>
      <c r="F22" s="66" t="str">
        <f>IFERROR(_xlfn.IFNA(IF(INDEX(ProblemData!$C$78:$AM$145,MATCH(J22+0.3,ProblemData!$C$78:$C$145,0),MATCH(C22,ProblemData!$C$78:$AM$78,0))="Credit",INDEX(ProblemData!$C$78:$AM$145,MATCH(J22+0.2,ProblemData!$C$78:$C$145,0),MATCH(C22,ProblemData!$C$78:$AM$78,0)),""),""),"")</f>
        <v/>
      </c>
      <c r="G22" s="324">
        <f>_xlfn.IFNA(IF(JournalAnswer[[#This Row],[Debit Account]]&lt;&gt;"",INDEX(ProblemData!$C$78:$AM$145,MATCH(J22+0.4,ProblemData!$C$78:$C$145,0),MATCH(C22,ProblemData!$C$78:$AM$78,0)),""),"")</f>
        <v>18</v>
      </c>
      <c r="H22" s="325" t="str">
        <f>_xlfn.IFNA(IF(JournalAnswer[[#This Row],[Credit Account]]&lt;&gt;"",INDEX(ProblemData!$C$78:$AM$145,MATCH(J22+0.4,ProblemData!$C$78:$C$145,0),MATCH(C22,ProblemData!$C$78:$AM$78,0)),""),"")</f>
        <v/>
      </c>
      <c r="I22" s="353" t="str" cm="1">
        <f t="array" ref="I22">IF(JournalAnswer[[#This Row],[Debit Account]]="Cash",INDEX(ProblemData!$E$238:$AM$238,1,JournalAnswer[[#This Row],[Transaction '#]]),IF(JournalAnswer[[#This Row],[Credit Account]]="Cash",INDEX(ProblemData!$E$238:$AM$238,1,JournalAnswer[[#This Row],[Transaction '#]]),""))</f>
        <v/>
      </c>
      <c r="J22" s="85">
        <f>IF(JournalAnswer[[#This Row],[Transaction '#]]="","",IF(JournalAnswer[[#This Row],[Transaction '#]]=C21,J21+1,1))</f>
        <v>1</v>
      </c>
      <c r="K22" s="37" cm="1">
        <f t="array" ref="K22">IFERROR(_xlfn.IFS(JournalAnswer[[#This Row],[Debit Account]]="Cash",JournalAnswer[[#This Row],[Dr Amt]],JournalAnswer[[#This Row],[Credit Account]]="Cash",-JournalAnswer[[#This Row],[Cr Amt]]),0)</f>
        <v>0</v>
      </c>
      <c r="L22" s="41" t="str" cm="1">
        <f t="array" aca="1" ref="L22" ca="1">IFERROR(INDEX(ProblemData!$E$239:$AM$239,1,JournalAnswer[[#This Row],[Transaction '#]]),"")</f>
        <v>PdS</v>
      </c>
      <c r="M22" s="1" t="str">
        <f ca="1">IF(JournalAnswer[[#This Row],[ref1]]="","",IF(NOT(ISBLANK(JournalAnswer[[#This Row],[Transaction '#]])),JournalAnswer[[#This Row],[ref1]]&amp;JournalAnswer[[#This Row],[Movement '#]],""))</f>
        <v>PdS1</v>
      </c>
      <c r="N22" s="1" t="b">
        <f ca="1">OR(JournalAnswer[[#This Row],[ref1]]="",ISNUMBER(MATCH(JournalAnswer[[#This Row],[ref1]], Operating[Abbr], 0)), "Found", "Not Found"="Found")</f>
        <v>1</v>
      </c>
    </row>
    <row r="23" spans="2:14">
      <c r="B23" s="87">
        <v>6</v>
      </c>
      <c r="C23" s="322">
        <f t="shared" si="1"/>
        <v>6</v>
      </c>
      <c r="D23" s="323" t="str">
        <f>IFERROR(_xlfn.IFNA(INDEX(ProblemData!$C$78:$AM$145,MATCH(J23+0.1,ProblemData!$C$78:$C$145,0),MATCH(C23,ProblemData!$C$78:$AM$78,0)),""),"")</f>
        <v>Asset</v>
      </c>
      <c r="E23" s="66" t="str">
        <f>IFERROR(_xlfn.IFNA(IF(INDEX(ProblemData!$C$78:$AM$145,MATCH(J23+0.3,ProblemData!$C$78:$C$145,0),MATCH(C23,ProblemData!$C$78:$AM$78,0))="Debit",INDEX(ProblemData!$C$78:$AM$145,MATCH(J23+0.2,ProblemData!$C$78:$C$145,0),MATCH(C23,ProblemData!$C$78:$AM$78,0)),""),""),"")</f>
        <v/>
      </c>
      <c r="F23" s="66" t="str">
        <f>IFERROR(_xlfn.IFNA(IF(INDEX(ProblemData!$C$78:$AM$145,MATCH(J23+0.3,ProblemData!$C$78:$C$145,0),MATCH(C23,ProblemData!$C$78:$AM$78,0))="Credit",INDEX(ProblemData!$C$78:$AM$145,MATCH(J23+0.2,ProblemData!$C$78:$C$145,0),MATCH(C23,ProblemData!$C$78:$AM$78,0)),""),""),"")</f>
        <v>Cash</v>
      </c>
      <c r="G23" s="324" t="str">
        <f>_xlfn.IFNA(IF(JournalAnswer[[#This Row],[Debit Account]]&lt;&gt;"",INDEX(ProblemData!$C$78:$AM$145,MATCH(J23+0.4,ProblemData!$C$78:$C$145,0),MATCH(C23,ProblemData!$C$78:$AM$78,0)),""),"")</f>
        <v/>
      </c>
      <c r="H23" s="325">
        <f>_xlfn.IFNA(IF(JournalAnswer[[#This Row],[Credit Account]]&lt;&gt;"",INDEX(ProblemData!$C$78:$AM$145,MATCH(J23+0.4,ProblemData!$C$78:$C$145,0),MATCH(C23,ProblemData!$C$78:$AM$78,0)),""),"")</f>
        <v>18</v>
      </c>
      <c r="I23" s="353" t="str" cm="1">
        <f t="array" ref="I23">IF(JournalAnswer[[#This Row],[Debit Account]]="Cash",INDEX(ProblemData!$E$238:$AM$238,1,JournalAnswer[[#This Row],[Transaction '#]]),IF(JournalAnswer[[#This Row],[Credit Account]]="Cash",INDEX(ProblemData!$E$238:$AM$238,1,JournalAnswer[[#This Row],[Transaction '#]]),""))</f>
        <v>Operating</v>
      </c>
      <c r="J23" s="85">
        <f>IF(JournalAnswer[[#This Row],[Transaction '#]]="","",IF(JournalAnswer[[#This Row],[Transaction '#]]=C22,J22+1,1))</f>
        <v>2</v>
      </c>
      <c r="K23" s="37" cm="1">
        <f t="array" ref="K23">IFERROR(_xlfn.IFS(JournalAnswer[[#This Row],[Debit Account]]="Cash",JournalAnswer[[#This Row],[Dr Amt]],JournalAnswer[[#This Row],[Credit Account]]="Cash",-JournalAnswer[[#This Row],[Cr Amt]]),0)</f>
        <v>-18</v>
      </c>
      <c r="L23" s="41" t="str" cm="1">
        <f t="array" aca="1" ref="L23" ca="1">IFERROR(INDEX(ProblemData!$E$239:$AM$239,1,JournalAnswer[[#This Row],[Transaction '#]]),"")</f>
        <v>PdS</v>
      </c>
      <c r="M23" s="1" t="str">
        <f ca="1">IF(JournalAnswer[[#This Row],[ref1]]="","",IF(NOT(ISBLANK(JournalAnswer[[#This Row],[Transaction '#]])),JournalAnswer[[#This Row],[ref1]]&amp;JournalAnswer[[#This Row],[Movement '#]],""))</f>
        <v>PdS2</v>
      </c>
      <c r="N23" s="1" t="b">
        <f ca="1">OR(JournalAnswer[[#This Row],[ref1]]="",ISNUMBER(MATCH(JournalAnswer[[#This Row],[ref1]], Operating[Abbr], 0)), "Found", "Not Found"="Found")</f>
        <v>1</v>
      </c>
    </row>
    <row r="24" spans="2:14">
      <c r="B24" s="87">
        <v>7</v>
      </c>
      <c r="C24" s="322">
        <f t="shared" si="1"/>
        <v>7</v>
      </c>
      <c r="D24" s="323" t="str">
        <f>IFERROR(_xlfn.IFNA(INDEX(ProblemData!$C$78:$AM$145,MATCH(J24+0.1,ProblemData!$C$78:$C$145,0),MATCH(C24,ProblemData!$C$78:$AM$78,0)),""),"")</f>
        <v>Asset</v>
      </c>
      <c r="E24" s="66" t="str">
        <f>IFERROR(_xlfn.IFNA(IF(INDEX(ProblemData!$C$78:$AM$145,MATCH(J24+0.3,ProblemData!$C$78:$C$145,0),MATCH(C24,ProblemData!$C$78:$AM$78,0))="Debit",INDEX(ProblemData!$C$78:$AM$145,MATCH(J24+0.2,ProblemData!$C$78:$C$145,0),MATCH(C24,ProblemData!$C$78:$AM$78,0)),""),""),"")</f>
        <v>Inventories</v>
      </c>
      <c r="F24" s="66" t="str">
        <f>IFERROR(_xlfn.IFNA(IF(INDEX(ProblemData!$C$78:$AM$145,MATCH(J24+0.3,ProblemData!$C$78:$C$145,0),MATCH(C24,ProblemData!$C$78:$AM$78,0))="Credit",INDEX(ProblemData!$C$78:$AM$145,MATCH(J24+0.2,ProblemData!$C$78:$C$145,0),MATCH(C24,ProblemData!$C$78:$AM$78,0)),""),""),"")</f>
        <v/>
      </c>
      <c r="G24" s="324">
        <f>_xlfn.IFNA(IF(JournalAnswer[[#This Row],[Debit Account]]&lt;&gt;"",INDEX(ProblemData!$C$78:$AM$145,MATCH(J24+0.4,ProblemData!$C$78:$C$145,0),MATCH(C24,ProblemData!$C$78:$AM$78,0)),""),"")</f>
        <v>18</v>
      </c>
      <c r="H24" s="325" t="str">
        <f>_xlfn.IFNA(IF(JournalAnswer[[#This Row],[Credit Account]]&lt;&gt;"",INDEX(ProblemData!$C$78:$AM$145,MATCH(J24+0.4,ProblemData!$C$78:$C$145,0),MATCH(C24,ProblemData!$C$78:$AM$78,0)),""),"")</f>
        <v/>
      </c>
      <c r="I24" s="353" t="str" cm="1">
        <f t="array" ref="I24">IF(JournalAnswer[[#This Row],[Debit Account]]="Cash",INDEX(ProblemData!$E$238:$AM$238,1,JournalAnswer[[#This Row],[Transaction '#]]),IF(JournalAnswer[[#This Row],[Credit Account]]="Cash",INDEX(ProblemData!$E$238:$AM$238,1,JournalAnswer[[#This Row],[Transaction '#]]),""))</f>
        <v/>
      </c>
      <c r="J24" s="85">
        <f>IF(JournalAnswer[[#This Row],[Transaction '#]]="","",IF(JournalAnswer[[#This Row],[Transaction '#]]=C23,J23+1,1))</f>
        <v>1</v>
      </c>
      <c r="K24" s="37" cm="1">
        <f t="array" ref="K24">IFERROR(_xlfn.IFS(JournalAnswer[[#This Row],[Debit Account]]="Cash",JournalAnswer[[#This Row],[Dr Amt]],JournalAnswer[[#This Row],[Credit Account]]="Cash",-JournalAnswer[[#This Row],[Cr Amt]]),0)</f>
        <v>0</v>
      </c>
      <c r="L24" s="41" t="str" cm="1">
        <f t="array" aca="1" ref="L24" ca="1">IFERROR(INDEX(ProblemData!$E$239:$AM$239,1,JournalAnswer[[#This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c r="B25" s="87">
        <v>7</v>
      </c>
      <c r="C25" s="322">
        <f t="shared" si="1"/>
        <v>7</v>
      </c>
      <c r="D25" s="323" t="str">
        <f>IFERROR(_xlfn.IFNA(INDEX(ProblemData!$C$78:$AM$145,MATCH(J25+0.1,ProblemData!$C$78:$C$145,0),MATCH(C25,ProblemData!$C$78:$AM$78,0)),""),"")</f>
        <v>Liability</v>
      </c>
      <c r="E25" s="66" t="str">
        <f>IFERROR(_xlfn.IFNA(IF(INDEX(ProblemData!$C$78:$AM$145,MATCH(J25+0.3,ProblemData!$C$78:$C$145,0),MATCH(C25,ProblemData!$C$78:$AM$78,0))="Debit",INDEX(ProblemData!$C$78:$AM$145,MATCH(J25+0.2,ProblemData!$C$78:$C$145,0),MATCH(C25,ProblemData!$C$78:$AM$78,0)),""),""),"")</f>
        <v/>
      </c>
      <c r="F25" s="66" t="str">
        <f>IFERROR(_xlfn.IFNA(IF(INDEX(ProblemData!$C$78:$AM$145,MATCH(J25+0.3,ProblemData!$C$78:$C$145,0),MATCH(C25,ProblemData!$C$78:$AM$78,0))="Credit",INDEX(ProblemData!$C$78:$AM$145,MATCH(J25+0.2,ProblemData!$C$78:$C$145,0),MATCH(C25,ProblemData!$C$78:$AM$78,0)),""),""),"")</f>
        <v>Accounts Payable</v>
      </c>
      <c r="G25" s="324" t="str">
        <f>_xlfn.IFNA(IF(JournalAnswer[[#This Row],[Debit Account]]&lt;&gt;"",INDEX(ProblemData!$C$78:$AM$145,MATCH(J25+0.4,ProblemData!$C$78:$C$145,0),MATCH(C25,ProblemData!$C$78:$AM$78,0)),""),"")</f>
        <v/>
      </c>
      <c r="H25" s="325">
        <f>_xlfn.IFNA(IF(JournalAnswer[[#This Row],[Credit Account]]&lt;&gt;"",INDEX(ProblemData!$C$78:$AM$145,MATCH(J25+0.4,ProblemData!$C$78:$C$145,0),MATCH(C25,ProblemData!$C$78:$AM$78,0)),""),"")</f>
        <v>18</v>
      </c>
      <c r="I25" s="353" t="str" cm="1">
        <f t="array" ref="I25">IF(JournalAnswer[[#This Row],[Debit Account]]="Cash",INDEX(ProblemData!$E$238:$AM$238,1,JournalAnswer[[#This Row],[Transaction '#]]),IF(JournalAnswer[[#This Row],[Credit Account]]="Cash",INDEX(ProblemData!$E$238:$AM$238,1,JournalAnswer[[#This Row],[Transaction '#]]),""))</f>
        <v/>
      </c>
      <c r="J25" s="85">
        <f>IF(JournalAnswer[[#This Row],[Transaction '#]]="","",IF(JournalAnswer[[#This Row],[Transaction '#]]=C24,J24+1,1))</f>
        <v>2</v>
      </c>
      <c r="K25" s="37" cm="1">
        <f t="array" ref="K25">IFERROR(_xlfn.IFS(JournalAnswer[[#This Row],[Debit Account]]="Cash",JournalAnswer[[#This Row],[Dr Amt]],JournalAnswer[[#This Row],[Credit Account]]="Cash",-JournalAnswer[[#This Row],[Cr Amt]]),0)</f>
        <v>0</v>
      </c>
      <c r="L25" s="41" t="str" cm="1">
        <f t="array" aca="1" ref="L25" ca="1">IFERROR(INDEX(ProblemData!$E$239:$AM$239,1,JournalAnswer[[#This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c r="B26" s="87">
        <v>8</v>
      </c>
      <c r="C26" s="322">
        <f t="shared" si="1"/>
        <v>8</v>
      </c>
      <c r="D26" s="323" t="str">
        <f>IFERROR(_xlfn.IFNA(INDEX(ProblemData!$C$78:$AM$145,MATCH(J26+0.1,ProblemData!$C$78:$C$145,0),MATCH(C26,ProblemData!$C$78:$AM$78,0)),""),"")</f>
        <v>Liability</v>
      </c>
      <c r="E26" s="66" t="str">
        <f>IFERROR(_xlfn.IFNA(IF(INDEX(ProblemData!$C$78:$AM$145,MATCH(J26+0.3,ProblemData!$C$78:$C$145,0),MATCH(C26,ProblemData!$C$78:$AM$78,0))="Debit",INDEX(ProblemData!$C$78:$AM$145,MATCH(J26+0.2,ProblemData!$C$78:$C$145,0),MATCH(C26,ProblemData!$C$78:$AM$78,0)),""),""),"")</f>
        <v>Accounts Payable</v>
      </c>
      <c r="F26" s="66" t="str">
        <f>IFERROR(_xlfn.IFNA(IF(INDEX(ProblemData!$C$78:$AM$145,MATCH(J26+0.3,ProblemData!$C$78:$C$145,0),MATCH(C26,ProblemData!$C$78:$AM$78,0))="Credit",INDEX(ProblemData!$C$78:$AM$145,MATCH(J26+0.2,ProblemData!$C$78:$C$145,0),MATCH(C26,ProblemData!$C$78:$AM$78,0)),""),""),"")</f>
        <v/>
      </c>
      <c r="G26" s="324">
        <f>_xlfn.IFNA(IF(JournalAnswer[[#This Row],[Debit Account]]&lt;&gt;"",INDEX(ProblemData!$C$78:$AM$145,MATCH(J26+0.4,ProblemData!$C$78:$C$145,0),MATCH(C26,ProblemData!$C$78:$AM$78,0)),""),"")</f>
        <v>17</v>
      </c>
      <c r="H26" s="325" t="str">
        <f>_xlfn.IFNA(IF(JournalAnswer[[#This Row],[Credit Account]]&lt;&gt;"",INDEX(ProblemData!$C$78:$AM$145,MATCH(J26+0.4,ProblemData!$C$78:$C$145,0),MATCH(C26,ProblemData!$C$78:$AM$78,0)),""),"")</f>
        <v/>
      </c>
      <c r="I26" s="353" t="str" cm="1">
        <f t="array" ref="I26">IF(JournalAnswer[[#This Row],[Debit Account]]="Cash",INDEX(ProblemData!$E$238:$AM$238,1,JournalAnswer[[#This Row],[Transaction '#]]),IF(JournalAnswer[[#This Row],[Credit Account]]="Cash",INDEX(ProblemData!$E$238:$AM$238,1,JournalAnswer[[#This Row],[Transaction '#]]),""))</f>
        <v/>
      </c>
      <c r="J26" s="85">
        <f>IF(JournalAnswer[[#This Row],[Transaction '#]]="","",IF(JournalAnswer[[#This Row],[Transaction '#]]=C25,J25+1,1))</f>
        <v>1</v>
      </c>
      <c r="K26" s="37" cm="1">
        <f t="array" ref="K26">IFERROR(_xlfn.IFS(JournalAnswer[[#This Row],[Debit Account]]="Cash",JournalAnswer[[#This Row],[Dr Amt]],JournalAnswer[[#This Row],[Credit Account]]="Cash",-JournalAnswer[[#This Row],[Cr Amt]]),0)</f>
        <v>0</v>
      </c>
      <c r="L26" s="41" t="str" cm="1">
        <f t="array" aca="1" ref="L26" ca="1">IFERROR(INDEX(ProblemData!$E$239:$AM$239,1,JournalAnswer[[#This Row],[Transaction '#]]),"")</f>
        <v>PdS</v>
      </c>
      <c r="M26" s="1" t="str">
        <f ca="1">IF(JournalAnswer[[#This Row],[ref1]]="","",IF(NOT(ISBLANK(JournalAnswer[[#This Row],[Transaction '#]])),JournalAnswer[[#This Row],[ref1]]&amp;JournalAnswer[[#This Row],[Movement '#]],""))</f>
        <v>PdS1</v>
      </c>
      <c r="N26" s="1" t="b">
        <f ca="1">OR(JournalAnswer[[#This Row],[ref1]]="",ISNUMBER(MATCH(JournalAnswer[[#This Row],[ref1]], Operating[Abbr], 0)), "Found", "Not Found"="Found")</f>
        <v>1</v>
      </c>
    </row>
    <row r="27" spans="2:14">
      <c r="B27" s="87">
        <v>8</v>
      </c>
      <c r="C27" s="322">
        <f t="shared" si="1"/>
        <v>8</v>
      </c>
      <c r="D27" s="323" t="str">
        <f>IFERROR(_xlfn.IFNA(INDEX(ProblemData!$C$78:$AM$145,MATCH(J27+0.1,ProblemData!$C$78:$C$145,0),MATCH(C27,ProblemData!$C$78:$AM$78,0)),""),"")</f>
        <v>Asset</v>
      </c>
      <c r="E27" s="66" t="str">
        <f>IFERROR(_xlfn.IFNA(IF(INDEX(ProblemData!$C$78:$AM$145,MATCH(J27+0.3,ProblemData!$C$78:$C$145,0),MATCH(C27,ProblemData!$C$78:$AM$78,0))="Debit",INDEX(ProblemData!$C$78:$AM$145,MATCH(J27+0.2,ProblemData!$C$78:$C$145,0),MATCH(C27,ProblemData!$C$78:$AM$78,0)),""),""),"")</f>
        <v/>
      </c>
      <c r="F27" s="66" t="str">
        <f>IFERROR(_xlfn.IFNA(IF(INDEX(ProblemData!$C$78:$AM$145,MATCH(J27+0.3,ProblemData!$C$78:$C$145,0),MATCH(C27,ProblemData!$C$78:$AM$78,0))="Credit",INDEX(ProblemData!$C$78:$AM$145,MATCH(J27+0.2,ProblemData!$C$78:$C$145,0),MATCH(C27,ProblemData!$C$78:$AM$78,0)),""),""),"")</f>
        <v>Cash</v>
      </c>
      <c r="G27" s="324" t="str">
        <f>_xlfn.IFNA(IF(JournalAnswer[[#This Row],[Debit Account]]&lt;&gt;"",INDEX(ProblemData!$C$78:$AM$145,MATCH(J27+0.4,ProblemData!$C$78:$C$145,0),MATCH(C27,ProblemData!$C$78:$AM$78,0)),""),"")</f>
        <v/>
      </c>
      <c r="H27" s="325">
        <f>_xlfn.IFNA(IF(JournalAnswer[[#This Row],[Credit Account]]&lt;&gt;"",INDEX(ProblemData!$C$78:$AM$145,MATCH(J27+0.4,ProblemData!$C$78:$C$145,0),MATCH(C27,ProblemData!$C$78:$AM$78,0)),""),"")</f>
        <v>17</v>
      </c>
      <c r="I27" s="353" t="str" cm="1">
        <f t="array" ref="I27">IF(JournalAnswer[[#This Row],[Debit Account]]="Cash",INDEX(ProblemData!$E$238:$AM$238,1,JournalAnswer[[#This Row],[Transaction '#]]),IF(JournalAnswer[[#This Row],[Credit Account]]="Cash",INDEX(ProblemData!$E$238:$AM$238,1,JournalAnswer[[#This Row],[Transaction '#]]),""))</f>
        <v>Operating</v>
      </c>
      <c r="J27" s="85">
        <f>IF(JournalAnswer[[#This Row],[Transaction '#]]="","",IF(JournalAnswer[[#This Row],[Transaction '#]]=C26,J26+1,1))</f>
        <v>2</v>
      </c>
      <c r="K27" s="37" cm="1">
        <f t="array" ref="K27">IFERROR(_xlfn.IFS(JournalAnswer[[#This Row],[Debit Account]]="Cash",JournalAnswer[[#This Row],[Dr Amt]],JournalAnswer[[#This Row],[Credit Account]]="Cash",-JournalAnswer[[#This Row],[Cr Amt]]),0)</f>
        <v>-17</v>
      </c>
      <c r="L27" s="41" t="str" cm="1">
        <f t="array" aca="1" ref="L27" ca="1">IFERROR(INDEX(ProblemData!$E$239:$AM$239,1,JournalAnswer[[#This Row],[Transaction '#]]),"")</f>
        <v>PdS</v>
      </c>
      <c r="M27" s="1" t="str">
        <f ca="1">IF(JournalAnswer[[#This Row],[ref1]]="","",IF(NOT(ISBLANK(JournalAnswer[[#This Row],[Transaction '#]])),JournalAnswer[[#This Row],[ref1]]&amp;JournalAnswer[[#This Row],[Movement '#]],""))</f>
        <v>PdS2</v>
      </c>
      <c r="N27" s="1" t="b">
        <f ca="1">OR(JournalAnswer[[#This Row],[ref1]]="",ISNUMBER(MATCH(JournalAnswer[[#This Row],[ref1]], Operating[Abbr], 0)), "Found", "Not Found"="Found")</f>
        <v>1</v>
      </c>
    </row>
    <row r="28" spans="2:14">
      <c r="B28" s="87">
        <v>9</v>
      </c>
      <c r="C28" s="322">
        <f t="shared" si="1"/>
        <v>9</v>
      </c>
      <c r="D28" s="323" t="str">
        <f>IFERROR(_xlfn.IFNA(INDEX(ProblemData!$C$78:$AM$145,MATCH(J28+0.1,ProblemData!$C$78:$C$145,0),MATCH(C28,ProblemData!$C$78:$AM$78,0)),""),"")</f>
        <v>Asset</v>
      </c>
      <c r="E28" s="66" t="str">
        <f>IFERROR(_xlfn.IFNA(IF(INDEX(ProblemData!$C$78:$AM$145,MATCH(J28+0.3,ProblemData!$C$78:$C$145,0),MATCH(C28,ProblemData!$C$78:$AM$78,0))="Debit",INDEX(ProblemData!$C$78:$AM$145,MATCH(J28+0.2,ProblemData!$C$78:$C$145,0),MATCH(C28,ProblemData!$C$78:$AM$78,0)),""),""),"")</f>
        <v>Inventories</v>
      </c>
      <c r="F28" s="66" t="str">
        <f>IFERROR(_xlfn.IFNA(IF(INDEX(ProblemData!$C$78:$AM$145,MATCH(J28+0.3,ProblemData!$C$78:$C$145,0),MATCH(C28,ProblemData!$C$78:$AM$78,0))="Credit",INDEX(ProblemData!$C$78:$AM$145,MATCH(J28+0.2,ProblemData!$C$78:$C$145,0),MATCH(C28,ProblemData!$C$78:$AM$78,0)),""),""),"")</f>
        <v/>
      </c>
      <c r="G28" s="324">
        <f>_xlfn.IFNA(IF(JournalAnswer[[#This Row],[Debit Account]]&lt;&gt;"",INDEX(ProblemData!$C$78:$AM$145,MATCH(J28+0.4,ProblemData!$C$78:$C$145,0),MATCH(C28,ProblemData!$C$78:$AM$78,0)),""),"")</f>
        <v>18</v>
      </c>
      <c r="H28" s="325" t="str">
        <f>_xlfn.IFNA(IF(JournalAnswer[[#This Row],[Credit Account]]&lt;&gt;"",INDEX(ProblemData!$C$78:$AM$145,MATCH(J28+0.4,ProblemData!$C$78:$C$145,0),MATCH(C28,ProblemData!$C$78:$AM$78,0)),""),"")</f>
        <v/>
      </c>
      <c r="I28" s="353" t="str" cm="1">
        <f t="array" ref="I28">IF(JournalAnswer[[#This Row],[Debit Account]]="Cash",INDEX(ProblemData!$E$238:$AM$238,1,JournalAnswer[[#This Row],[Transaction '#]]),IF(JournalAnswer[[#This Row],[Credit Account]]="Cash",INDEX(ProblemData!$E$238:$AM$238,1,JournalAnswer[[#This Row],[Transaction '#]]),""))</f>
        <v/>
      </c>
      <c r="J28" s="85">
        <f>IF(JournalAnswer[[#This Row],[Transaction '#]]="","",IF(JournalAnswer[[#This Row],[Transaction '#]]=C27,J27+1,1))</f>
        <v>1</v>
      </c>
      <c r="K28" s="37" cm="1">
        <f t="array" ref="K28">IFERROR(_xlfn.IFS(JournalAnswer[[#This Row],[Debit Account]]="Cash",JournalAnswer[[#This Row],[Dr Amt]],JournalAnswer[[#This Row],[Credit Account]]="Cash",-JournalAnswer[[#This Row],[Cr Amt]]),0)</f>
        <v>0</v>
      </c>
      <c r="L28" s="41" t="str" cm="1">
        <f t="array" aca="1" ref="L28" ca="1">IFERROR(INDEX(ProblemData!$E$239:$AM$239,1,JournalAnswer[[#This Row],[Transaction '#]]),"")</f>
        <v>PdS</v>
      </c>
      <c r="M28" s="1" t="str">
        <f ca="1">IF(JournalAnswer[[#This Row],[ref1]]="","",IF(NOT(ISBLANK(JournalAnswer[[#This Row],[Transaction '#]])),JournalAnswer[[#This Row],[ref1]]&amp;JournalAnswer[[#This Row],[Movement '#]],""))</f>
        <v>PdS1</v>
      </c>
      <c r="N28" s="1" t="b">
        <f ca="1">OR(JournalAnswer[[#This Row],[ref1]]="",ISNUMBER(MATCH(JournalAnswer[[#This Row],[ref1]], Operating[Abbr], 0)), "Found", "Not Found"="Found")</f>
        <v>1</v>
      </c>
    </row>
    <row r="29" spans="2:14">
      <c r="B29" s="87">
        <v>9</v>
      </c>
      <c r="C29" s="322">
        <f t="shared" si="1"/>
        <v>9</v>
      </c>
      <c r="D29" s="323" t="str">
        <f>IFERROR(_xlfn.IFNA(INDEX(ProblemData!$C$78:$AM$145,MATCH(J29+0.1,ProblemData!$C$78:$C$145,0),MATCH(C29,ProblemData!$C$78:$AM$78,0)),""),"")</f>
        <v>Asset</v>
      </c>
      <c r="E29" s="66" t="str">
        <f>IFERROR(_xlfn.IFNA(IF(INDEX(ProblemData!$C$78:$AM$145,MATCH(J29+0.3,ProblemData!$C$78:$C$145,0),MATCH(C29,ProblemData!$C$78:$AM$78,0))="Debit",INDEX(ProblemData!$C$78:$AM$145,MATCH(J29+0.2,ProblemData!$C$78:$C$145,0),MATCH(C29,ProblemData!$C$78:$AM$78,0)),""),""),"")</f>
        <v/>
      </c>
      <c r="F29" s="66" t="str">
        <f>IFERROR(_xlfn.IFNA(IF(INDEX(ProblemData!$C$78:$AM$145,MATCH(J29+0.3,ProblemData!$C$78:$C$145,0),MATCH(C29,ProblemData!$C$78:$AM$78,0))="Credit",INDEX(ProblemData!$C$78:$AM$145,MATCH(J29+0.2,ProblemData!$C$78:$C$145,0),MATCH(C29,ProblemData!$C$78:$AM$78,0)),""),""),"")</f>
        <v>Cash</v>
      </c>
      <c r="G29" s="324" t="str">
        <f>_xlfn.IFNA(IF(JournalAnswer[[#This Row],[Debit Account]]&lt;&gt;"",INDEX(ProblemData!$C$78:$AM$145,MATCH(J29+0.4,ProblemData!$C$78:$C$145,0),MATCH(C29,ProblemData!$C$78:$AM$78,0)),""),"")</f>
        <v/>
      </c>
      <c r="H29" s="325">
        <f>_xlfn.IFNA(IF(JournalAnswer[[#This Row],[Credit Account]]&lt;&gt;"",INDEX(ProblemData!$C$78:$AM$145,MATCH(J29+0.4,ProblemData!$C$78:$C$145,0),MATCH(C29,ProblemData!$C$78:$AM$78,0)),""),"")</f>
        <v>17</v>
      </c>
      <c r="I29" s="353" t="str" cm="1">
        <f t="array" ref="I29">IF(JournalAnswer[[#This Row],[Debit Account]]="Cash",INDEX(ProblemData!$E$238:$AM$238,1,JournalAnswer[[#This Row],[Transaction '#]]),IF(JournalAnswer[[#This Row],[Credit Account]]="Cash",INDEX(ProblemData!$E$238:$AM$238,1,JournalAnswer[[#This Row],[Transaction '#]]),""))</f>
        <v>Operating</v>
      </c>
      <c r="J29" s="85">
        <f>IF(JournalAnswer[[#This Row],[Transaction '#]]="","",IF(JournalAnswer[[#This Row],[Transaction '#]]=C28,J28+1,1))</f>
        <v>2</v>
      </c>
      <c r="K29" s="37" cm="1">
        <f t="array" ref="K29">IFERROR(_xlfn.IFS(JournalAnswer[[#This Row],[Debit Account]]="Cash",JournalAnswer[[#This Row],[Dr Amt]],JournalAnswer[[#This Row],[Credit Account]]="Cash",-JournalAnswer[[#This Row],[Cr Amt]]),0)</f>
        <v>-17</v>
      </c>
      <c r="L29" s="41" t="str" cm="1">
        <f t="array" aca="1" ref="L29" ca="1">IFERROR(INDEX(ProblemData!$E$239:$AM$239,1,JournalAnswer[[#This Row],[Transaction '#]]),"")</f>
        <v>PdS</v>
      </c>
      <c r="M29" s="1" t="str">
        <f ca="1">IF(JournalAnswer[[#This Row],[ref1]]="","",IF(NOT(ISBLANK(JournalAnswer[[#This Row],[Transaction '#]])),JournalAnswer[[#This Row],[ref1]]&amp;JournalAnswer[[#This Row],[Movement '#]],""))</f>
        <v>PdS2</v>
      </c>
      <c r="N29" s="1" t="b">
        <f ca="1">OR(JournalAnswer[[#This Row],[ref1]]="",ISNUMBER(MATCH(JournalAnswer[[#This Row],[ref1]], Operating[Abbr], 0)), "Found", "Not Found"="Found")</f>
        <v>1</v>
      </c>
    </row>
    <row r="30" spans="2:14">
      <c r="B30" s="87">
        <v>9</v>
      </c>
      <c r="C30" s="322">
        <f t="shared" si="1"/>
        <v>9</v>
      </c>
      <c r="D30" s="323" t="str">
        <f>IFERROR(_xlfn.IFNA(INDEX(ProblemData!$C$78:$AM$145,MATCH(J30+0.1,ProblemData!$C$78:$C$145,0),MATCH(C30,ProblemData!$C$78:$AM$78,0)),""),"")</f>
        <v>Liability</v>
      </c>
      <c r="E30" s="66" t="str">
        <f>IFERROR(_xlfn.IFNA(IF(INDEX(ProblemData!$C$78:$AM$145,MATCH(J30+0.3,ProblemData!$C$78:$C$145,0),MATCH(C30,ProblemData!$C$78:$AM$78,0))="Debit",INDEX(ProblemData!$C$78:$AM$145,MATCH(J30+0.2,ProblemData!$C$78:$C$145,0),MATCH(C30,ProblemData!$C$78:$AM$78,0)),""),""),"")</f>
        <v/>
      </c>
      <c r="F30" s="66" t="str">
        <f>IFERROR(_xlfn.IFNA(IF(INDEX(ProblemData!$C$78:$AM$145,MATCH(J30+0.3,ProblemData!$C$78:$C$145,0),MATCH(C30,ProblemData!$C$78:$AM$78,0))="Credit",INDEX(ProblemData!$C$78:$AM$145,MATCH(J30+0.2,ProblemData!$C$78:$C$145,0),MATCH(C30,ProblemData!$C$78:$AM$78,0)),""),""),"")</f>
        <v>Accounts Payable</v>
      </c>
      <c r="G30" s="324" t="str">
        <f>_xlfn.IFNA(IF(JournalAnswer[[#This Row],[Debit Account]]&lt;&gt;"",INDEX(ProblemData!$C$78:$AM$145,MATCH(J30+0.4,ProblemData!$C$78:$C$145,0),MATCH(C30,ProblemData!$C$78:$AM$78,0)),""),"")</f>
        <v/>
      </c>
      <c r="H30" s="325">
        <f>_xlfn.IFNA(IF(JournalAnswer[[#This Row],[Credit Account]]&lt;&gt;"",INDEX(ProblemData!$C$78:$AM$145,MATCH(J30+0.4,ProblemData!$C$78:$C$145,0),MATCH(C30,ProblemData!$C$78:$AM$78,0)),""),"")</f>
        <v>1</v>
      </c>
      <c r="I30" s="353" t="str" cm="1">
        <f t="array" ref="I30">IF(JournalAnswer[[#This Row],[Debit Account]]="Cash",INDEX(ProblemData!$E$238:$AM$238,1,JournalAnswer[[#This Row],[Transaction '#]]),IF(JournalAnswer[[#This Row],[Credit Account]]="Cash",INDEX(ProblemData!$E$238:$AM$238,1,JournalAnswer[[#This Row],[Transaction '#]]),""))</f>
        <v/>
      </c>
      <c r="J30" s="85">
        <f>IF(JournalAnswer[[#This Row],[Transaction '#]]="","",IF(JournalAnswer[[#This Row],[Transaction '#]]=C29,J29+1,1))</f>
        <v>3</v>
      </c>
      <c r="K30" s="37" cm="1">
        <f t="array" ref="K30">IFERROR(_xlfn.IFS(JournalAnswer[[#This Row],[Debit Account]]="Cash",JournalAnswer[[#This Row],[Dr Amt]],JournalAnswer[[#This Row],[Credit Account]]="Cash",-JournalAnswer[[#This Row],[Cr Amt]]),0)</f>
        <v>0</v>
      </c>
      <c r="L30" s="41" t="str" cm="1">
        <f t="array" aca="1" ref="L30" ca="1">IFERROR(INDEX(ProblemData!$E$239:$AM$239,1,JournalAnswer[[#This Row],[Transaction '#]]),"")</f>
        <v>PdS</v>
      </c>
      <c r="M30" s="1" t="str">
        <f ca="1">IF(JournalAnswer[[#This Row],[ref1]]="","",IF(NOT(ISBLANK(JournalAnswer[[#This Row],[Transaction '#]])),JournalAnswer[[#This Row],[ref1]]&amp;JournalAnswer[[#This Row],[Movement '#]],""))</f>
        <v>PdS3</v>
      </c>
      <c r="N30" s="1" t="b">
        <f ca="1">OR(JournalAnswer[[#This Row],[ref1]]="",ISNUMBER(MATCH(JournalAnswer[[#This Row],[ref1]], Operating[Abbr], 0)), "Found", "Not Found"="Found")</f>
        <v>1</v>
      </c>
    </row>
    <row r="31" spans="2:14">
      <c r="B31" s="87">
        <v>10</v>
      </c>
      <c r="C31" s="322">
        <f t="shared" si="1"/>
        <v>10</v>
      </c>
      <c r="D31" s="323" t="str">
        <f>IFERROR(_xlfn.IFNA(INDEX(ProblemData!$C$78:$AM$145,MATCH(J31+0.1,ProblemData!$C$78:$C$145,0),MATCH(C31,ProblemData!$C$78:$AM$78,0)),""),"")</f>
        <v>Asset</v>
      </c>
      <c r="E31" s="66" t="str">
        <f>IFERROR(_xlfn.IFNA(IF(INDEX(ProblemData!$C$78:$AM$145,MATCH(J31+0.3,ProblemData!$C$78:$C$145,0),MATCH(C31,ProblemData!$C$78:$AM$78,0))="Debit",INDEX(ProblemData!$C$78:$AM$145,MATCH(J31+0.2,ProblemData!$C$78:$C$145,0),MATCH(C31,ProblemData!$C$78:$AM$78,0)),""),""),"")</f>
        <v>Cash</v>
      </c>
      <c r="F31" s="66" t="str">
        <f>IFERROR(_xlfn.IFNA(IF(INDEX(ProblemData!$C$78:$AM$145,MATCH(J31+0.3,ProblemData!$C$78:$C$145,0),MATCH(C31,ProblemData!$C$78:$AM$78,0))="Credit",INDEX(ProblemData!$C$78:$AM$145,MATCH(J31+0.2,ProblemData!$C$78:$C$145,0),MATCH(C31,ProblemData!$C$78:$AM$78,0)),""),""),"")</f>
        <v/>
      </c>
      <c r="G31" s="324">
        <f>_xlfn.IFNA(IF(JournalAnswer[[#This Row],[Debit Account]]&lt;&gt;"",INDEX(ProblemData!$C$78:$AM$145,MATCH(J31+0.4,ProblemData!$C$78:$C$145,0),MATCH(C31,ProblemData!$C$78:$AM$78,0)),""),"")</f>
        <v>18</v>
      </c>
      <c r="H31" s="325" t="str">
        <f>_xlfn.IFNA(IF(JournalAnswer[[#This Row],[Credit Account]]&lt;&gt;"",INDEX(ProblemData!$C$78:$AM$145,MATCH(J31+0.4,ProblemData!$C$78:$C$145,0),MATCH(C31,ProblemData!$C$78:$AM$78,0)),""),"")</f>
        <v/>
      </c>
      <c r="I31" s="353" t="str" cm="1">
        <f t="array" ref="I31">IF(JournalAnswer[[#This Row],[Debit Account]]="Cash",INDEX(ProblemData!$E$238:$AM$238,1,JournalAnswer[[#This Row],[Transaction '#]]),IF(JournalAnswer[[#This Row],[Credit Account]]="Cash",INDEX(ProblemData!$E$238:$AM$238,1,JournalAnswer[[#This Row],[Transaction '#]]),""))</f>
        <v>Operating</v>
      </c>
      <c r="J31" s="85">
        <f>IF(JournalAnswer[[#This Row],[Transaction '#]]="","",IF(JournalAnswer[[#This Row],[Transaction '#]]=C30,J30+1,1))</f>
        <v>1</v>
      </c>
      <c r="K31" s="37" cm="1">
        <f t="array" ref="K31">IFERROR(_xlfn.IFS(JournalAnswer[[#This Row],[Debit Account]]="Cash",JournalAnswer[[#This Row],[Dr Amt]],JournalAnswer[[#This Row],[Credit Account]]="Cash",-JournalAnswer[[#This Row],[Cr Amt]]),0)</f>
        <v>18</v>
      </c>
      <c r="L31" s="41" t="str" cm="1">
        <f t="array" aca="1" ref="L31" ca="1">IFERROR(INDEX(ProblemData!$E$239:$AM$239,1,JournalAnswer[[#This Row],[Transaction '#]]),"")</f>
        <v>ColC</v>
      </c>
      <c r="M31" s="1" t="str">
        <f ca="1">IF(JournalAnswer[[#This Row],[ref1]]="","",IF(NOT(ISBLANK(JournalAnswer[[#This Row],[Transaction '#]])),JournalAnswer[[#This Row],[ref1]]&amp;JournalAnswer[[#This Row],[Movement '#]],""))</f>
        <v>ColC1</v>
      </c>
      <c r="N31" s="1" t="b">
        <f ca="1">OR(JournalAnswer[[#This Row],[ref1]]="",ISNUMBER(MATCH(JournalAnswer[[#This Row],[ref1]], Operating[Abbr], 0)), "Found", "Not Found"="Found")</f>
        <v>1</v>
      </c>
    </row>
    <row r="32" spans="2:14">
      <c r="B32" s="87">
        <v>10</v>
      </c>
      <c r="C32" s="322">
        <f t="shared" si="1"/>
        <v>10</v>
      </c>
      <c r="D32" s="323" t="str">
        <f>IFERROR(_xlfn.IFNA(INDEX(ProblemData!$C$78:$AM$145,MATCH(J32+0.1,ProblemData!$C$78:$C$145,0),MATCH(C32,ProblemData!$C$78:$AM$78,0)),""),"")</f>
        <v>Revenue</v>
      </c>
      <c r="E32" s="66" t="str">
        <f>IFERROR(_xlfn.IFNA(IF(INDEX(ProblemData!$C$78:$AM$145,MATCH(J32+0.3,ProblemData!$C$78:$C$145,0),MATCH(C32,ProblemData!$C$78:$AM$78,0))="Debit",INDEX(ProblemData!$C$78:$AM$145,MATCH(J32+0.2,ProblemData!$C$78:$C$145,0),MATCH(C32,ProblemData!$C$78:$AM$78,0)),""),""),"")</f>
        <v/>
      </c>
      <c r="F32" s="66" t="str">
        <f>IFERROR(_xlfn.IFNA(IF(INDEX(ProblemData!$C$78:$AM$145,MATCH(J32+0.3,ProblemData!$C$78:$C$145,0),MATCH(C32,ProblemData!$C$78:$AM$78,0))="Credit",INDEX(ProblemData!$C$78:$AM$145,MATCH(J32+0.2,ProblemData!$C$78:$C$145,0),MATCH(C32,ProblemData!$C$78:$AM$78,0)),""),""),"")</f>
        <v>Sales</v>
      </c>
      <c r="G32" s="324" t="str">
        <f>_xlfn.IFNA(IF(JournalAnswer[[#This Row],[Debit Account]]&lt;&gt;"",INDEX(ProblemData!$C$78:$AM$145,MATCH(J32+0.4,ProblemData!$C$78:$C$145,0),MATCH(C32,ProblemData!$C$78:$AM$78,0)),""),"")</f>
        <v/>
      </c>
      <c r="H32" s="325">
        <f>_xlfn.IFNA(IF(JournalAnswer[[#This Row],[Credit Account]]&lt;&gt;"",INDEX(ProblemData!$C$78:$AM$145,MATCH(J32+0.4,ProblemData!$C$78:$C$145,0),MATCH(C32,ProblemData!$C$78:$AM$78,0)),""),"")</f>
        <v>18</v>
      </c>
      <c r="I32" s="353" t="str" cm="1">
        <f t="array" ref="I32">IF(JournalAnswer[[#This Row],[Debit Account]]="Cash",INDEX(ProblemData!$E$238:$AM$238,1,JournalAnswer[[#This Row],[Transaction '#]]),IF(JournalAnswer[[#This Row],[Credit Account]]="Cash",INDEX(ProblemData!$E$238:$AM$238,1,JournalAnswer[[#This Row],[Transaction '#]]),""))</f>
        <v/>
      </c>
      <c r="J32" s="85">
        <f>IF(JournalAnswer[[#This Row],[Transaction '#]]="","",IF(JournalAnswer[[#This Row],[Transaction '#]]=C31,J31+1,1))</f>
        <v>2</v>
      </c>
      <c r="K32" s="37" cm="1">
        <f t="array" ref="K32">IFERROR(_xlfn.IFS(JournalAnswer[[#This Row],[Debit Account]]="Cash",JournalAnswer[[#This Row],[Dr Amt]],JournalAnswer[[#This Row],[Credit Account]]="Cash",-JournalAnswer[[#This Row],[Cr Amt]]),0)</f>
        <v>0</v>
      </c>
      <c r="L32" s="41" t="str" cm="1">
        <f t="array" aca="1" ref="L32" ca="1">IFERROR(INDEX(ProblemData!$E$239:$AM$239,1,JournalAnswer[[#This Row],[Transaction '#]]),"")</f>
        <v>ColC</v>
      </c>
      <c r="M32" s="1" t="str">
        <f ca="1">IF(JournalAnswer[[#This Row],[ref1]]="","",IF(NOT(ISBLANK(JournalAnswer[[#This Row],[Transaction '#]])),JournalAnswer[[#This Row],[ref1]]&amp;JournalAnswer[[#This Row],[Movement '#]],""))</f>
        <v>ColC2</v>
      </c>
      <c r="N32" s="1" t="b">
        <f ca="1">OR(JournalAnswer[[#This Row],[ref1]]="",ISNUMBER(MATCH(JournalAnswer[[#This Row],[ref1]], Operating[Abbr], 0)), "Found", "Not Found"="Found")</f>
        <v>1</v>
      </c>
    </row>
    <row r="33" spans="2:14">
      <c r="B33" s="87">
        <v>11</v>
      </c>
      <c r="C33" s="322">
        <f t="shared" si="1"/>
        <v>11</v>
      </c>
      <c r="D33" s="323" t="str">
        <f>IFERROR(_xlfn.IFNA(INDEX(ProblemData!$C$78:$AM$145,MATCH(J33+0.1,ProblemData!$C$78:$C$145,0),MATCH(C33,ProblemData!$C$78:$AM$78,0)),""),"")</f>
        <v>Asset</v>
      </c>
      <c r="E33" s="66" t="str">
        <f>IFERROR(_xlfn.IFNA(IF(INDEX(ProblemData!$C$78:$AM$145,MATCH(J33+0.3,ProblemData!$C$78:$C$145,0),MATCH(C33,ProblemData!$C$78:$AM$78,0))="Debit",INDEX(ProblemData!$C$78:$AM$145,MATCH(J33+0.2,ProblemData!$C$78:$C$145,0),MATCH(C33,ProblemData!$C$78:$AM$78,0)),""),""),"")</f>
        <v>Cash</v>
      </c>
      <c r="F33" s="66" t="str">
        <f>IFERROR(_xlfn.IFNA(IF(INDEX(ProblemData!$C$78:$AM$145,MATCH(J33+0.3,ProblemData!$C$78:$C$145,0),MATCH(C33,ProblemData!$C$78:$AM$78,0))="Credit",INDEX(ProblemData!$C$78:$AM$145,MATCH(J33+0.2,ProblemData!$C$78:$C$145,0),MATCH(C33,ProblemData!$C$78:$AM$78,0)),""),""),"")</f>
        <v/>
      </c>
      <c r="G33" s="324">
        <f>_xlfn.IFNA(IF(JournalAnswer[[#This Row],[Debit Account]]&lt;&gt;"",INDEX(ProblemData!$C$78:$AM$145,MATCH(J33+0.4,ProblemData!$C$78:$C$145,0),MATCH(C33,ProblemData!$C$78:$AM$78,0)),""),"")</f>
        <v>8</v>
      </c>
      <c r="H33" s="325" t="str">
        <f>_xlfn.IFNA(IF(JournalAnswer[[#This Row],[Credit Account]]&lt;&gt;"",INDEX(ProblemData!$C$78:$AM$145,MATCH(J33+0.4,ProblemData!$C$78:$C$145,0),MATCH(C33,ProblemData!$C$78:$AM$78,0)),""),"")</f>
        <v/>
      </c>
      <c r="I33" s="353" t="str" cm="1">
        <f t="array" ref="I33">IF(JournalAnswer[[#This Row],[Debit Account]]="Cash",INDEX(ProblemData!$E$238:$AM$238,1,JournalAnswer[[#This Row],[Transaction '#]]),IF(JournalAnswer[[#This Row],[Credit Account]]="Cash",INDEX(ProblemData!$E$238:$AM$238,1,JournalAnswer[[#This Row],[Transaction '#]]),""))</f>
        <v>Operating</v>
      </c>
      <c r="J33" s="85">
        <f>IF(JournalAnswer[[#This Row],[Transaction '#]]="","",IF(JournalAnswer[[#This Row],[Transaction '#]]=C32,J32+1,1))</f>
        <v>1</v>
      </c>
      <c r="K33" s="37" cm="1">
        <f t="array" ref="K33">IFERROR(_xlfn.IFS(JournalAnswer[[#This Row],[Debit Account]]="Cash",JournalAnswer[[#This Row],[Dr Amt]],JournalAnswer[[#This Row],[Credit Account]]="Cash",-JournalAnswer[[#This Row],[Cr Amt]]),0)</f>
        <v>8</v>
      </c>
      <c r="L33" s="41" t="str" cm="1">
        <f t="array" aca="1" ref="L33" ca="1">IFERROR(INDEX(ProblemData!$E$239:$AM$239,1,JournalAnswer[[#This Row],[Transaction '#]]),"")</f>
        <v>ColC</v>
      </c>
      <c r="M33" s="1" t="str">
        <f ca="1">IF(JournalAnswer[[#This Row],[ref1]]="","",IF(NOT(ISBLANK(JournalAnswer[[#This Row],[Transaction '#]])),JournalAnswer[[#This Row],[ref1]]&amp;JournalAnswer[[#This Row],[Movement '#]],""))</f>
        <v>ColC1</v>
      </c>
      <c r="N33" s="1" t="b">
        <f ca="1">OR(JournalAnswer[[#This Row],[ref1]]="",ISNUMBER(MATCH(JournalAnswer[[#This Row],[ref1]], Operating[Abbr], 0)), "Found", "Not Found"="Found")</f>
        <v>1</v>
      </c>
    </row>
    <row r="34" spans="2:14">
      <c r="B34" s="87">
        <v>11</v>
      </c>
      <c r="C34" s="322">
        <f t="shared" si="1"/>
        <v>11</v>
      </c>
      <c r="D34" s="323" t="str">
        <f>IFERROR(_xlfn.IFNA(INDEX(ProblemData!$C$78:$AM$145,MATCH(J34+0.1,ProblemData!$C$78:$C$145,0),MATCH(C34,ProblemData!$C$78:$AM$78,0)),""),"")</f>
        <v>Liability</v>
      </c>
      <c r="E34" s="66" t="str">
        <f>IFERROR(_xlfn.IFNA(IF(INDEX(ProblemData!$C$78:$AM$145,MATCH(J34+0.3,ProblemData!$C$78:$C$145,0),MATCH(C34,ProblemData!$C$78:$AM$78,0))="Debit",INDEX(ProblemData!$C$78:$AM$145,MATCH(J34+0.2,ProblemData!$C$78:$C$145,0),MATCH(C34,ProblemData!$C$78:$AM$78,0)),""),""),"")</f>
        <v/>
      </c>
      <c r="F34" s="66" t="str">
        <f>IFERROR(_xlfn.IFNA(IF(INDEX(ProblemData!$C$78:$AM$145,MATCH(J34+0.3,ProblemData!$C$78:$C$145,0),MATCH(C34,ProblemData!$C$78:$AM$78,0))="Credit",INDEX(ProblemData!$C$78:$AM$145,MATCH(J34+0.2,ProblemData!$C$78:$C$145,0),MATCH(C34,ProblemData!$C$78:$AM$78,0)),""),""),"")</f>
        <v>Unearned Revenue</v>
      </c>
      <c r="G34" s="324" t="str">
        <f>_xlfn.IFNA(IF(JournalAnswer[[#This Row],[Debit Account]]&lt;&gt;"",INDEX(ProblemData!$C$78:$AM$145,MATCH(J34+0.4,ProblemData!$C$78:$C$145,0),MATCH(C34,ProblemData!$C$78:$AM$78,0)),""),"")</f>
        <v/>
      </c>
      <c r="H34" s="325">
        <f>_xlfn.IFNA(IF(JournalAnswer[[#This Row],[Credit Account]]&lt;&gt;"",INDEX(ProblemData!$C$78:$AM$145,MATCH(J34+0.4,ProblemData!$C$78:$C$145,0),MATCH(C34,ProblemData!$C$78:$AM$78,0)),""),"")</f>
        <v>8</v>
      </c>
      <c r="I34" s="353" t="str" cm="1">
        <f t="array" ref="I34">IF(JournalAnswer[[#This Row],[Debit Account]]="Cash",INDEX(ProblemData!$E$238:$AM$238,1,JournalAnswer[[#This Row],[Transaction '#]]),IF(JournalAnswer[[#This Row],[Credit Account]]="Cash",INDEX(ProblemData!$E$238:$AM$238,1,JournalAnswer[[#This Row],[Transaction '#]]),""))</f>
        <v/>
      </c>
      <c r="J34" s="85">
        <f>IF(JournalAnswer[[#This Row],[Transaction '#]]="","",IF(JournalAnswer[[#This Row],[Transaction '#]]=C33,J33+1,1))</f>
        <v>2</v>
      </c>
      <c r="K34" s="37" cm="1">
        <f t="array" ref="K34">IFERROR(_xlfn.IFS(JournalAnswer[[#This Row],[Debit Account]]="Cash",JournalAnswer[[#This Row],[Dr Amt]],JournalAnswer[[#This Row],[Credit Account]]="Cash",-JournalAnswer[[#This Row],[Cr Amt]]),0)</f>
        <v>0</v>
      </c>
      <c r="L34" s="41" t="str" cm="1">
        <f t="array" aca="1" ref="L34" ca="1">IFERROR(INDEX(ProblemData!$E$239:$AM$239,1,JournalAnswer[[#This Row],[Transaction '#]]),"")</f>
        <v>ColC</v>
      </c>
      <c r="M34" s="1" t="str">
        <f ca="1">IF(JournalAnswer[[#This Row],[ref1]]="","",IF(NOT(ISBLANK(JournalAnswer[[#This Row],[Transaction '#]])),JournalAnswer[[#This Row],[ref1]]&amp;JournalAnswer[[#This Row],[Movement '#]],""))</f>
        <v>ColC2</v>
      </c>
      <c r="N34" s="1" t="b">
        <f ca="1">OR(JournalAnswer[[#This Row],[ref1]]="",ISNUMBER(MATCH(JournalAnswer[[#This Row],[ref1]], Operating[Abbr], 0)), "Found", "Not Found"="Found")</f>
        <v>1</v>
      </c>
    </row>
    <row r="35" spans="2:14">
      <c r="B35" s="87">
        <v>13</v>
      </c>
      <c r="C35" s="322">
        <f t="shared" si="1"/>
        <v>13</v>
      </c>
      <c r="D35" s="323" t="str">
        <f>IFERROR(_xlfn.IFNA(INDEX(ProblemData!$C$78:$AM$145,MATCH(J35+0.1,ProblemData!$C$78:$C$145,0),MATCH(C35,ProblemData!$C$78:$AM$78,0)),""),"")</f>
        <v>Expense</v>
      </c>
      <c r="E35" s="66" t="str">
        <f>IFERROR(_xlfn.IFNA(IF(INDEX(ProblemData!$C$78:$AM$145,MATCH(J35+0.3,ProblemData!$C$78:$C$145,0),MATCH(C35,ProblemData!$C$78:$AM$78,0))="Debit",INDEX(ProblemData!$C$78:$AM$145,MATCH(J35+0.2,ProblemData!$C$78:$C$145,0),MATCH(C35,ProblemData!$C$78:$AM$78,0)),""),""),"")</f>
        <v>Cost of Goods Sold</v>
      </c>
      <c r="F35" s="66" t="str">
        <f>IFERROR(_xlfn.IFNA(IF(INDEX(ProblemData!$C$78:$AM$145,MATCH(J35+0.3,ProblemData!$C$78:$C$145,0),MATCH(C35,ProblemData!$C$78:$AM$78,0))="Credit",INDEX(ProblemData!$C$78:$AM$145,MATCH(J35+0.2,ProblemData!$C$78:$C$145,0),MATCH(C35,ProblemData!$C$78:$AM$78,0)),""),""),"")</f>
        <v/>
      </c>
      <c r="G35" s="324">
        <f>_xlfn.IFNA(IF(JournalAnswer[[#This Row],[Debit Account]]&lt;&gt;"",INDEX(ProblemData!$C$78:$AM$145,MATCH(J35+0.4,ProblemData!$C$78:$C$145,0),MATCH(C35,ProblemData!$C$78:$AM$78,0)),""),"")</f>
        <v>6</v>
      </c>
      <c r="H35" s="325" t="str">
        <f>_xlfn.IFNA(IF(JournalAnswer[[#This Row],[Credit Account]]&lt;&gt;"",INDEX(ProblemData!$C$78:$AM$145,MATCH(J35+0.4,ProblemData!$C$78:$C$145,0),MATCH(C35,ProblemData!$C$78:$AM$78,0)),""),"")</f>
        <v/>
      </c>
      <c r="I35" s="353" t="str" cm="1">
        <f t="array" ref="I35">IF(JournalAnswer[[#This Row],[Debit Account]]="Cash",INDEX(ProblemData!$E$238:$AM$238,1,JournalAnswer[[#This Row],[Transaction '#]]),IF(JournalAnswer[[#This Row],[Credit Account]]="Cash",INDEX(ProblemData!$E$238:$AM$238,1,JournalAnswer[[#This Row],[Transaction '#]]),""))</f>
        <v/>
      </c>
      <c r="J35" s="85">
        <f>IF(JournalAnswer[[#This Row],[Transaction '#]]="","",IF(JournalAnswer[[#This Row],[Transaction '#]]=C34,J34+1,1))</f>
        <v>1</v>
      </c>
      <c r="K35" s="37" cm="1">
        <f t="array" ref="K35">IFERROR(_xlfn.IFS(JournalAnswer[[#This Row],[Debit Account]]="Cash",JournalAnswer[[#This Row],[Dr Amt]],JournalAnswer[[#This Row],[Credit Account]]="Cash",-JournalAnswer[[#This Row],[Cr Amt]]),0)</f>
        <v>0</v>
      </c>
      <c r="L35" s="41" t="str" cm="1">
        <f t="array" aca="1" ref="L35" ca="1">IFERROR(INDEX(ProblemData!$E$239:$AM$239,1,JournalAnswer[[#This Row],[Transaction '#]]),"")</f>
        <v/>
      </c>
      <c r="M35" s="1" t="str">
        <f ca="1">IF(JournalAnswer[[#This Row],[ref1]]="","",IF(NOT(ISBLANK(JournalAnswer[[#This Row],[Transaction '#]])),JournalAnswer[[#This Row],[ref1]]&amp;JournalAnswer[[#This Row],[Movement '#]],""))</f>
        <v/>
      </c>
      <c r="N35" s="1" t="b">
        <f ca="1">OR(JournalAnswer[[#This Row],[ref1]]="",ISNUMBER(MATCH(JournalAnswer[[#This Row],[ref1]], Operating[Abbr], 0)), "Found", "Not Found"="Found")</f>
        <v>1</v>
      </c>
    </row>
    <row r="36" spans="2:14">
      <c r="B36" s="87">
        <v>13</v>
      </c>
      <c r="C36" s="322">
        <f t="shared" si="1"/>
        <v>13</v>
      </c>
      <c r="D36" s="323" t="str">
        <f>IFERROR(_xlfn.IFNA(INDEX(ProblemData!$C$78:$AM$145,MATCH(J36+0.1,ProblemData!$C$78:$C$145,0),MATCH(C36,ProblemData!$C$78:$AM$78,0)),""),"")</f>
        <v>Asset</v>
      </c>
      <c r="E36" s="66" t="str">
        <f>IFERROR(_xlfn.IFNA(IF(INDEX(ProblemData!$C$78:$AM$145,MATCH(J36+0.3,ProblemData!$C$78:$C$145,0),MATCH(C36,ProblemData!$C$78:$AM$78,0))="Debit",INDEX(ProblemData!$C$78:$AM$145,MATCH(J36+0.2,ProblemData!$C$78:$C$145,0),MATCH(C36,ProblemData!$C$78:$AM$78,0)),""),""),"")</f>
        <v/>
      </c>
      <c r="F36" s="66" t="str">
        <f>IFERROR(_xlfn.IFNA(IF(INDEX(ProblemData!$C$78:$AM$145,MATCH(J36+0.3,ProblemData!$C$78:$C$145,0),MATCH(C36,ProblemData!$C$78:$AM$78,0))="Credit",INDEX(ProblemData!$C$78:$AM$145,MATCH(J36+0.2,ProblemData!$C$78:$C$145,0),MATCH(C36,ProblemData!$C$78:$AM$78,0)),""),""),"")</f>
        <v>Inventories</v>
      </c>
      <c r="G36" s="324" t="str">
        <f>_xlfn.IFNA(IF(JournalAnswer[[#This Row],[Debit Account]]&lt;&gt;"",INDEX(ProblemData!$C$78:$AM$145,MATCH(J36+0.4,ProblemData!$C$78:$C$145,0),MATCH(C36,ProblemData!$C$78:$AM$78,0)),""),"")</f>
        <v/>
      </c>
      <c r="H36" s="325">
        <f>_xlfn.IFNA(IF(JournalAnswer[[#This Row],[Credit Account]]&lt;&gt;"",INDEX(ProblemData!$C$78:$AM$145,MATCH(J36+0.4,ProblemData!$C$78:$C$145,0),MATCH(C36,ProblemData!$C$78:$AM$78,0)),""),"")</f>
        <v>6</v>
      </c>
      <c r="I36" s="353" t="str" cm="1">
        <f t="array" ref="I36">IF(JournalAnswer[[#This Row],[Debit Account]]="Cash",INDEX(ProblemData!$E$238:$AM$238,1,JournalAnswer[[#This Row],[Transaction '#]]),IF(JournalAnswer[[#This Row],[Credit Account]]="Cash",INDEX(ProblemData!$E$238:$AM$238,1,JournalAnswer[[#This Row],[Transaction '#]]),""))</f>
        <v/>
      </c>
      <c r="J36" s="85">
        <f>IF(JournalAnswer[[#This Row],[Transaction '#]]="","",IF(JournalAnswer[[#This Row],[Transaction '#]]=C35,J35+1,1))</f>
        <v>2</v>
      </c>
      <c r="K36" s="37" cm="1">
        <f t="array" ref="K36">IFERROR(_xlfn.IFS(JournalAnswer[[#This Row],[Debit Account]]="Cash",JournalAnswer[[#This Row],[Dr Amt]],JournalAnswer[[#This Row],[Credit Account]]="Cash",-JournalAnswer[[#This Row],[Cr Amt]]),0)</f>
        <v>0</v>
      </c>
      <c r="L36" s="41" t="str" cm="1">
        <f t="array" aca="1" ref="L36" ca="1">IFERROR(INDEX(ProblemData!$E$239:$AM$239,1,JournalAnswer[[#This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c r="B37" s="87">
        <v>14</v>
      </c>
      <c r="C37" s="322">
        <f t="shared" si="1"/>
        <v>14</v>
      </c>
      <c r="D37" s="323" t="str">
        <f>IFERROR(_xlfn.IFNA(INDEX(ProblemData!$C$78:$AM$145,MATCH(J37+0.1,ProblemData!$C$78:$C$145,0),MATCH(C37,ProblemData!$C$78:$AM$78,0)),""),"")</f>
        <v>Loss</v>
      </c>
      <c r="E37" s="66" t="str">
        <f>IFERROR(_xlfn.IFNA(IF(INDEX(ProblemData!$C$78:$AM$145,MATCH(J37+0.3,ProblemData!$C$78:$C$145,0),MATCH(C37,ProblemData!$C$78:$AM$78,0))="Debit",INDEX(ProblemData!$C$78:$AM$145,MATCH(J37+0.2,ProblemData!$C$78:$C$145,0),MATCH(C37,ProblemData!$C$78:$AM$78,0)),""),""),"")</f>
        <v>Loss from Accidental Destruction of Inventory</v>
      </c>
      <c r="F37" s="66" t="str">
        <f>IFERROR(_xlfn.IFNA(IF(INDEX(ProblemData!$C$78:$AM$145,MATCH(J37+0.3,ProblemData!$C$78:$C$145,0),MATCH(C37,ProblemData!$C$78:$AM$78,0))="Credit",INDEX(ProblemData!$C$78:$AM$145,MATCH(J37+0.2,ProblemData!$C$78:$C$145,0),MATCH(C37,ProblemData!$C$78:$AM$78,0)),""),""),"")</f>
        <v/>
      </c>
      <c r="G37" s="324">
        <f>_xlfn.IFNA(IF(JournalAnswer[[#This Row],[Debit Account]]&lt;&gt;"",INDEX(ProblemData!$C$78:$AM$145,MATCH(J37+0.4,ProblemData!$C$78:$C$145,0),MATCH(C37,ProblemData!$C$78:$AM$78,0)),""),"")</f>
        <v>6</v>
      </c>
      <c r="H37" s="325" t="str">
        <f>_xlfn.IFNA(IF(JournalAnswer[[#This Row],[Credit Account]]&lt;&gt;"",INDEX(ProblemData!$C$78:$AM$145,MATCH(J37+0.4,ProblemData!$C$78:$C$145,0),MATCH(C37,ProblemData!$C$78:$AM$78,0)),""),"")</f>
        <v/>
      </c>
      <c r="I37" s="353" t="str" cm="1">
        <f t="array" ref="I37">IF(JournalAnswer[[#This Row],[Debit Account]]="Cash",INDEX(ProblemData!$E$238:$AM$238,1,JournalAnswer[[#This Row],[Transaction '#]]),IF(JournalAnswer[[#This Row],[Credit Account]]="Cash",INDEX(ProblemData!$E$238:$AM$238,1,JournalAnswer[[#This Row],[Transaction '#]]),""))</f>
        <v/>
      </c>
      <c r="J37" s="85">
        <f>IF(JournalAnswer[[#This Row],[Transaction '#]]="","",IF(JournalAnswer[[#This Row],[Transaction '#]]=C36,J36+1,1))</f>
        <v>1</v>
      </c>
      <c r="K37" s="37" cm="1">
        <f t="array" ref="K37">IFERROR(_xlfn.IFS(JournalAnswer[[#This Row],[Debit Account]]="Cash",JournalAnswer[[#This Row],[Dr Amt]],JournalAnswer[[#This Row],[Credit Account]]="Cash",-JournalAnswer[[#This Row],[Cr Amt]]),0)</f>
        <v>0</v>
      </c>
      <c r="L37" s="41" t="str" cm="1">
        <f t="array" aca="1" ref="L37" ca="1">IFERROR(INDEX(ProblemData!$E$239:$AM$239,1,JournalAnswer[[#This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c r="B38" s="87">
        <v>14</v>
      </c>
      <c r="C38" s="322">
        <f t="shared" si="1"/>
        <v>14</v>
      </c>
      <c r="D38" s="323" t="str">
        <f>IFERROR(_xlfn.IFNA(INDEX(ProblemData!$C$78:$AM$145,MATCH(J38+0.1,ProblemData!$C$78:$C$145,0),MATCH(C38,ProblemData!$C$78:$AM$78,0)),""),"")</f>
        <v>Asset</v>
      </c>
      <c r="E38" s="66" t="str">
        <f>IFERROR(_xlfn.IFNA(IF(INDEX(ProblemData!$C$78:$AM$145,MATCH(J38+0.3,ProblemData!$C$78:$C$145,0),MATCH(C38,ProblemData!$C$78:$AM$78,0))="Debit",INDEX(ProblemData!$C$78:$AM$145,MATCH(J38+0.2,ProblemData!$C$78:$C$145,0),MATCH(C38,ProblemData!$C$78:$AM$78,0)),""),""),"")</f>
        <v/>
      </c>
      <c r="F38" s="66" t="str">
        <f>IFERROR(_xlfn.IFNA(IF(INDEX(ProblemData!$C$78:$AM$145,MATCH(J38+0.3,ProblemData!$C$78:$C$145,0),MATCH(C38,ProblemData!$C$78:$AM$78,0))="Credit",INDEX(ProblemData!$C$78:$AM$145,MATCH(J38+0.2,ProblemData!$C$78:$C$145,0),MATCH(C38,ProblemData!$C$78:$AM$78,0)),""),""),"")</f>
        <v>Inventories</v>
      </c>
      <c r="G38" s="324" t="str">
        <f>_xlfn.IFNA(IF(JournalAnswer[[#This Row],[Debit Account]]&lt;&gt;"",INDEX(ProblemData!$C$78:$AM$145,MATCH(J38+0.4,ProblemData!$C$78:$C$145,0),MATCH(C38,ProblemData!$C$78:$AM$78,0)),""),"")</f>
        <v/>
      </c>
      <c r="H38" s="325">
        <f>_xlfn.IFNA(IF(JournalAnswer[[#This Row],[Credit Account]]&lt;&gt;"",INDEX(ProblemData!$C$78:$AM$145,MATCH(J38+0.4,ProblemData!$C$78:$C$145,0),MATCH(C38,ProblemData!$C$78:$AM$78,0)),""),"")</f>
        <v>6</v>
      </c>
      <c r="I38" s="353" t="str" cm="1">
        <f t="array" ref="I38">IF(JournalAnswer[[#This Row],[Debit Account]]="Cash",INDEX(ProblemData!$E$238:$AM$238,1,JournalAnswer[[#This Row],[Transaction '#]]),IF(JournalAnswer[[#This Row],[Credit Account]]="Cash",INDEX(ProblemData!$E$238:$AM$238,1,JournalAnswer[[#This Row],[Transaction '#]]),""))</f>
        <v/>
      </c>
      <c r="J38" s="85">
        <f>IF(JournalAnswer[[#This Row],[Transaction '#]]="","",IF(JournalAnswer[[#This Row],[Transaction '#]]=C37,J37+1,1))</f>
        <v>2</v>
      </c>
      <c r="K38" s="37" cm="1">
        <f t="array" ref="K38">IFERROR(_xlfn.IFS(JournalAnswer[[#This Row],[Debit Account]]="Cash",JournalAnswer[[#This Row],[Dr Amt]],JournalAnswer[[#This Row],[Credit Account]]="Cash",-JournalAnswer[[#This Row],[Cr Amt]]),0)</f>
        <v>0</v>
      </c>
      <c r="L38" s="41" t="str" cm="1">
        <f t="array" aca="1" ref="L38" ca="1">IFERROR(INDEX(ProblemData!$E$239:$AM$239,1,JournalAnswer[[#This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c r="B39" s="87">
        <v>19</v>
      </c>
      <c r="C39" s="322">
        <f t="shared" si="1"/>
        <v>19</v>
      </c>
      <c r="D39" s="323" t="str">
        <f>IFERROR(_xlfn.IFNA(INDEX(ProblemData!$C$78:$AM$145,MATCH(J39+0.1,ProblemData!$C$78:$C$145,0),MATCH(C39,ProblemData!$C$78:$AM$78,0)),""),"")</f>
        <v>Asset</v>
      </c>
      <c r="E39" s="66" t="str">
        <f>IFERROR(_xlfn.IFNA(IF(INDEX(ProblemData!$C$78:$AM$145,MATCH(J39+0.3,ProblemData!$C$78:$C$145,0),MATCH(C39,ProblemData!$C$78:$AM$78,0))="Debit",INDEX(ProblemData!$C$78:$AM$145,MATCH(J39+0.2,ProblemData!$C$78:$C$145,0),MATCH(C39,ProblemData!$C$78:$AM$78,0)),""),""),"")</f>
        <v>Accounts Receivable</v>
      </c>
      <c r="F39" s="66" t="str">
        <f>IFERROR(_xlfn.IFNA(IF(INDEX(ProblemData!$C$78:$AM$145,MATCH(J39+0.3,ProblemData!$C$78:$C$145,0),MATCH(C39,ProblemData!$C$78:$AM$78,0))="Credit",INDEX(ProblemData!$C$78:$AM$145,MATCH(J39+0.2,ProblemData!$C$78:$C$145,0),MATCH(C39,ProblemData!$C$78:$AM$78,0)),""),""),"")</f>
        <v/>
      </c>
      <c r="G39" s="324">
        <f>_xlfn.IFNA(IF(JournalAnswer[[#This Row],[Debit Account]]&lt;&gt;"",INDEX(ProblemData!$C$78:$AM$145,MATCH(J39+0.4,ProblemData!$C$78:$C$145,0),MATCH(C39,ProblemData!$C$78:$AM$78,0)),""),"")</f>
        <v>15</v>
      </c>
      <c r="H39" s="325" t="str">
        <f>_xlfn.IFNA(IF(JournalAnswer[[#This Row],[Credit Account]]&lt;&gt;"",INDEX(ProblemData!$C$78:$AM$145,MATCH(J39+0.4,ProblemData!$C$78:$C$145,0),MATCH(C39,ProblemData!$C$78:$AM$78,0)),""),"")</f>
        <v/>
      </c>
      <c r="I39" s="353" t="str" cm="1">
        <f t="array" ref="I39">IF(JournalAnswer[[#This Row],[Debit Account]]="Cash",INDEX(ProblemData!$E$238:$AM$238,1,JournalAnswer[[#This Row],[Transaction '#]]),IF(JournalAnswer[[#This Row],[Credit Account]]="Cash",INDEX(ProblemData!$E$238:$AM$238,1,JournalAnswer[[#This Row],[Transaction '#]]),""))</f>
        <v/>
      </c>
      <c r="J39" s="85">
        <f>IF(JournalAnswer[[#This Row],[Transaction '#]]="","",IF(JournalAnswer[[#This Row],[Transaction '#]]=C38,J38+1,1))</f>
        <v>1</v>
      </c>
      <c r="K39" s="37" cm="1">
        <f t="array" ref="K39">IFERROR(_xlfn.IFS(JournalAnswer[[#This Row],[Debit Account]]="Cash",JournalAnswer[[#This Row],[Dr Amt]],JournalAnswer[[#This Row],[Credit Account]]="Cash",-JournalAnswer[[#This Row],[Cr Amt]]),0)</f>
        <v>0</v>
      </c>
      <c r="L39" s="41" t="str" cm="1">
        <f t="array" aca="1" ref="L39" ca="1">IFERROR(INDEX(ProblemData!$E$239:$AM$239,1,JournalAnswer[[#This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c r="B40" s="87">
        <v>19</v>
      </c>
      <c r="C40" s="322">
        <f t="shared" si="1"/>
        <v>19</v>
      </c>
      <c r="D40" s="323" t="str">
        <f>IFERROR(_xlfn.IFNA(INDEX(ProblemData!$C$78:$AM$145,MATCH(J40+0.1,ProblemData!$C$78:$C$145,0),MATCH(C40,ProblemData!$C$78:$AM$78,0)),""),"")</f>
        <v>Revenue</v>
      </c>
      <c r="E40" s="66" t="str">
        <f>IFERROR(_xlfn.IFNA(IF(INDEX(ProblemData!$C$78:$AM$145,MATCH(J40+0.3,ProblemData!$C$78:$C$145,0),MATCH(C40,ProblemData!$C$78:$AM$78,0))="Debit",INDEX(ProblemData!$C$78:$AM$145,MATCH(J40+0.2,ProblemData!$C$78:$C$145,0),MATCH(C40,ProblemData!$C$78:$AM$78,0)),""),""),"")</f>
        <v/>
      </c>
      <c r="F40" s="66" t="str">
        <f>IFERROR(_xlfn.IFNA(IF(INDEX(ProblemData!$C$78:$AM$145,MATCH(J40+0.3,ProblemData!$C$78:$C$145,0),MATCH(C40,ProblemData!$C$78:$AM$78,0))="Credit",INDEX(ProblemData!$C$78:$AM$145,MATCH(J40+0.2,ProblemData!$C$78:$C$145,0),MATCH(C40,ProblemData!$C$78:$AM$78,0)),""),""),"")</f>
        <v>Revenue from Services</v>
      </c>
      <c r="G40" s="324" t="str">
        <f>_xlfn.IFNA(IF(JournalAnswer[[#This Row],[Debit Account]]&lt;&gt;"",INDEX(ProblemData!$C$78:$AM$145,MATCH(J40+0.4,ProblemData!$C$78:$C$145,0),MATCH(C40,ProblemData!$C$78:$AM$78,0)),""),"")</f>
        <v/>
      </c>
      <c r="H40" s="325">
        <f>_xlfn.IFNA(IF(JournalAnswer[[#This Row],[Credit Account]]&lt;&gt;"",INDEX(ProblemData!$C$78:$AM$145,MATCH(J40+0.4,ProblemData!$C$78:$C$145,0),MATCH(C40,ProblemData!$C$78:$AM$78,0)),""),"")</f>
        <v>15</v>
      </c>
      <c r="I40" s="353" t="str" cm="1">
        <f t="array" ref="I40">IF(JournalAnswer[[#This Row],[Debit Account]]="Cash",INDEX(ProblemData!$E$238:$AM$238,1,JournalAnswer[[#This Row],[Transaction '#]]),IF(JournalAnswer[[#This Row],[Credit Account]]="Cash",INDEX(ProblemData!$E$238:$AM$238,1,JournalAnswer[[#This Row],[Transaction '#]]),""))</f>
        <v/>
      </c>
      <c r="J40" s="85">
        <f>IF(JournalAnswer[[#This Row],[Transaction '#]]="","",IF(JournalAnswer[[#This Row],[Transaction '#]]=C39,J39+1,1))</f>
        <v>2</v>
      </c>
      <c r="K40" s="37" cm="1">
        <f t="array" ref="K40">IFERROR(_xlfn.IFS(JournalAnswer[[#This Row],[Debit Account]]="Cash",JournalAnswer[[#This Row],[Dr Amt]],JournalAnswer[[#This Row],[Credit Account]]="Cash",-JournalAnswer[[#This Row],[Cr Amt]]),0)</f>
        <v>0</v>
      </c>
      <c r="L40" s="41" t="str" cm="1">
        <f t="array" aca="1" ref="L40" ca="1">IFERROR(INDEX(ProblemData!$E$239:$AM$239,1,JournalAnswer[[#This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c r="B41" s="87">
        <v>20</v>
      </c>
      <c r="C41" s="322">
        <f t="shared" si="1"/>
        <v>20</v>
      </c>
      <c r="D41" s="323" t="str">
        <f>IFERROR(_xlfn.IFNA(INDEX(ProblemData!$C$78:$AM$145,MATCH(J41+0.1,ProblemData!$C$78:$C$145,0),MATCH(C41,ProblemData!$C$78:$AM$78,0)),""),"")</f>
        <v>Asset</v>
      </c>
      <c r="E41" s="66" t="str">
        <f>IFERROR(_xlfn.IFNA(IF(INDEX(ProblemData!$C$78:$AM$145,MATCH(J41+0.3,ProblemData!$C$78:$C$145,0),MATCH(C41,ProblemData!$C$78:$AM$78,0))="Debit",INDEX(ProblemData!$C$78:$AM$145,MATCH(J41+0.2,ProblemData!$C$78:$C$145,0),MATCH(C41,ProblemData!$C$78:$AM$78,0)),""),""),"")</f>
        <v>Cash</v>
      </c>
      <c r="F41" s="66" t="str">
        <f>IFERROR(_xlfn.IFNA(IF(INDEX(ProblemData!$C$78:$AM$145,MATCH(J41+0.3,ProblemData!$C$78:$C$145,0),MATCH(C41,ProblemData!$C$78:$AM$78,0))="Credit",INDEX(ProblemData!$C$78:$AM$145,MATCH(J41+0.2,ProblemData!$C$78:$C$145,0),MATCH(C41,ProblemData!$C$78:$AM$78,0)),""),""),"")</f>
        <v/>
      </c>
      <c r="G41" s="324">
        <f>_xlfn.IFNA(IF(JournalAnswer[[#This Row],[Debit Account]]&lt;&gt;"",INDEX(ProblemData!$C$78:$AM$145,MATCH(J41+0.4,ProblemData!$C$78:$C$145,0),MATCH(C41,ProblemData!$C$78:$AM$78,0)),""),"")</f>
        <v>15</v>
      </c>
      <c r="H41" s="325" t="str">
        <f>_xlfn.IFNA(IF(JournalAnswer[[#This Row],[Credit Account]]&lt;&gt;"",INDEX(ProblemData!$C$78:$AM$145,MATCH(J41+0.4,ProblemData!$C$78:$C$145,0),MATCH(C41,ProblemData!$C$78:$AM$78,0)),""),"")</f>
        <v/>
      </c>
      <c r="I41" s="353" t="str" cm="1">
        <f t="array" ref="I41">IF(JournalAnswer[[#This Row],[Debit Account]]="Cash",INDEX(ProblemData!$E$238:$AM$238,1,JournalAnswer[[#This Row],[Transaction '#]]),IF(JournalAnswer[[#This Row],[Credit Account]]="Cash",INDEX(ProblemData!$E$238:$AM$238,1,JournalAnswer[[#This Row],[Transaction '#]]),""))</f>
        <v>Operating</v>
      </c>
      <c r="J41" s="85">
        <f>IF(JournalAnswer[[#This Row],[Transaction '#]]="","",IF(JournalAnswer[[#This Row],[Transaction '#]]=C40,J40+1,1))</f>
        <v>1</v>
      </c>
      <c r="K41" s="37" cm="1">
        <f t="array" ref="K41">IFERROR(_xlfn.IFS(JournalAnswer[[#This Row],[Debit Account]]="Cash",JournalAnswer[[#This Row],[Dr Amt]],JournalAnswer[[#This Row],[Credit Account]]="Cash",-JournalAnswer[[#This Row],[Cr Amt]]),0)</f>
        <v>15</v>
      </c>
      <c r="L41" s="41" t="str" cm="1">
        <f t="array" aca="1" ref="L41" ca="1">IFERROR(INDEX(ProblemData!$E$239:$AM$239,1,JournalAnswer[[#This Row],[Transaction '#]]),"")</f>
        <v>ColC</v>
      </c>
      <c r="M41" s="1" t="str">
        <f ca="1">IF(JournalAnswer[[#This Row],[ref1]]="","",IF(NOT(ISBLANK(JournalAnswer[[#This Row],[Transaction '#]])),JournalAnswer[[#This Row],[ref1]]&amp;JournalAnswer[[#This Row],[Movement '#]],""))</f>
        <v>ColC1</v>
      </c>
      <c r="N41" s="1" t="b">
        <f ca="1">OR(JournalAnswer[[#This Row],[ref1]]="",ISNUMBER(MATCH(JournalAnswer[[#This Row],[ref1]], Operating[Abbr], 0)), "Found", "Not Found"="Found")</f>
        <v>1</v>
      </c>
    </row>
    <row r="42" spans="2:14">
      <c r="B42" s="87">
        <v>20</v>
      </c>
      <c r="C42" s="322">
        <f t="shared" si="1"/>
        <v>20</v>
      </c>
      <c r="D42" s="323" t="str">
        <f>IFERROR(_xlfn.IFNA(INDEX(ProblemData!$C$78:$AM$145,MATCH(J42+0.1,ProblemData!$C$78:$C$145,0),MATCH(C42,ProblemData!$C$78:$AM$78,0)),""),"")</f>
        <v>Asset</v>
      </c>
      <c r="E42" s="66" t="str">
        <f>IFERROR(_xlfn.IFNA(IF(INDEX(ProblemData!$C$78:$AM$145,MATCH(J42+0.3,ProblemData!$C$78:$C$145,0),MATCH(C42,ProblemData!$C$78:$AM$78,0))="Debit",INDEX(ProblemData!$C$78:$AM$145,MATCH(J42+0.2,ProblemData!$C$78:$C$145,0),MATCH(C42,ProblemData!$C$78:$AM$78,0)),""),""),"")</f>
        <v/>
      </c>
      <c r="F42" s="66" t="str">
        <f>IFERROR(_xlfn.IFNA(IF(INDEX(ProblemData!$C$78:$AM$145,MATCH(J42+0.3,ProblemData!$C$78:$C$145,0),MATCH(C42,ProblemData!$C$78:$AM$78,0))="Credit",INDEX(ProblemData!$C$78:$AM$145,MATCH(J42+0.2,ProblemData!$C$78:$C$145,0),MATCH(C42,ProblemData!$C$78:$AM$78,0)),""),""),"")</f>
        <v>Accounts Receivable</v>
      </c>
      <c r="G42" s="324" t="str">
        <f>_xlfn.IFNA(IF(JournalAnswer[[#This Row],[Debit Account]]&lt;&gt;"",INDEX(ProblemData!$C$78:$AM$145,MATCH(J42+0.4,ProblemData!$C$78:$C$145,0),MATCH(C42,ProblemData!$C$78:$AM$78,0)),""),"")</f>
        <v/>
      </c>
      <c r="H42" s="325">
        <f>_xlfn.IFNA(IF(JournalAnswer[[#This Row],[Credit Account]]&lt;&gt;"",INDEX(ProblemData!$C$78:$AM$145,MATCH(J42+0.4,ProblemData!$C$78:$C$145,0),MATCH(C42,ProblemData!$C$78:$AM$78,0)),""),"")</f>
        <v>15</v>
      </c>
      <c r="I42" s="353" t="str" cm="1">
        <f t="array" ref="I42">IF(JournalAnswer[[#This Row],[Debit Account]]="Cash",INDEX(ProblemData!$E$238:$AM$238,1,JournalAnswer[[#This Row],[Transaction '#]]),IF(JournalAnswer[[#This Row],[Credit Account]]="Cash",INDEX(ProblemData!$E$238:$AM$238,1,JournalAnswer[[#This Row],[Transaction '#]]),""))</f>
        <v/>
      </c>
      <c r="J42" s="85">
        <f>IF(JournalAnswer[[#This Row],[Transaction '#]]="","",IF(JournalAnswer[[#This Row],[Transaction '#]]=C41,J41+1,1))</f>
        <v>2</v>
      </c>
      <c r="K42" s="37" cm="1">
        <f t="array" ref="K42">IFERROR(_xlfn.IFS(JournalAnswer[[#This Row],[Debit Account]]="Cash",JournalAnswer[[#This Row],[Dr Amt]],JournalAnswer[[#This Row],[Credit Account]]="Cash",-JournalAnswer[[#This Row],[Cr Amt]]),0)</f>
        <v>0</v>
      </c>
      <c r="L42" s="41" t="str" cm="1">
        <f t="array" aca="1" ref="L42" ca="1">IFERROR(INDEX(ProblemData!$E$239:$AM$239,1,JournalAnswer[[#This Row],[Transaction '#]]),"")</f>
        <v>ColC</v>
      </c>
      <c r="M42" s="1" t="str">
        <f ca="1">IF(JournalAnswer[[#This Row],[ref1]]="","",IF(NOT(ISBLANK(JournalAnswer[[#This Row],[Transaction '#]])),JournalAnswer[[#This Row],[ref1]]&amp;JournalAnswer[[#This Row],[Movement '#]],""))</f>
        <v>ColC2</v>
      </c>
      <c r="N42" s="1" t="b">
        <f ca="1">OR(JournalAnswer[[#This Row],[ref1]]="",ISNUMBER(MATCH(JournalAnswer[[#This Row],[ref1]], Operating[Abbr], 0)), "Found", "Not Found"="Found")</f>
        <v>1</v>
      </c>
    </row>
    <row r="43" spans="2:14">
      <c r="B43" s="87">
        <v>22</v>
      </c>
      <c r="C43" s="322">
        <f t="shared" si="1"/>
        <v>22</v>
      </c>
      <c r="D43" s="323" t="str">
        <f>IFERROR(_xlfn.IFNA(INDEX(ProblemData!$C$78:$AM$145,MATCH(J43+0.1,ProblemData!$C$78:$C$145,0),MATCH(C43,ProblemData!$C$78:$AM$78,0)),""),"")</f>
        <v>Equity</v>
      </c>
      <c r="E43" s="66" t="str">
        <f>IFERROR(_xlfn.IFNA(IF(INDEX(ProblemData!$C$78:$AM$145,MATCH(J43+0.3,ProblemData!$C$78:$C$145,0),MATCH(C43,ProblemData!$C$78:$AM$78,0))="Debit",INDEX(ProblemData!$C$78:$AM$145,MATCH(J43+0.2,ProblemData!$C$78:$C$145,0),MATCH(C43,ProblemData!$C$78:$AM$78,0)),""),""),"")</f>
        <v>Retained Earnings</v>
      </c>
      <c r="F43" s="66" t="str">
        <f>IFERROR(_xlfn.IFNA(IF(INDEX(ProblemData!$C$78:$AM$145,MATCH(J43+0.3,ProblemData!$C$78:$C$145,0),MATCH(C43,ProblemData!$C$78:$AM$78,0))="Credit",INDEX(ProblemData!$C$78:$AM$145,MATCH(J43+0.2,ProblemData!$C$78:$C$145,0),MATCH(C43,ProblemData!$C$78:$AM$78,0)),""),""),"")</f>
        <v/>
      </c>
      <c r="G43" s="324">
        <f>_xlfn.IFNA(IF(JournalAnswer[[#This Row],[Debit Account]]&lt;&gt;"",INDEX(ProblemData!$C$78:$AM$145,MATCH(J43+0.4,ProblemData!$C$78:$C$145,0),MATCH(C43,ProblemData!$C$78:$AM$78,0)),""),"")</f>
        <v>2</v>
      </c>
      <c r="H43" s="325" t="str">
        <f>_xlfn.IFNA(IF(JournalAnswer[[#This Row],[Credit Account]]&lt;&gt;"",INDEX(ProblemData!$C$78:$AM$145,MATCH(J43+0.4,ProblemData!$C$78:$C$145,0),MATCH(C43,ProblemData!$C$78:$AM$78,0)),""),"")</f>
        <v/>
      </c>
      <c r="I43" s="353" t="str" cm="1">
        <f t="array" ref="I43">IF(JournalAnswer[[#This Row],[Debit Account]]="Cash",INDEX(ProblemData!$E$238:$AM$238,1,JournalAnswer[[#This Row],[Transaction '#]]),IF(JournalAnswer[[#This Row],[Credit Account]]="Cash",INDEX(ProblemData!$E$238:$AM$238,1,JournalAnswer[[#This Row],[Transaction '#]]),""))</f>
        <v/>
      </c>
      <c r="J43" s="85">
        <f>IF(JournalAnswer[[#This Row],[Transaction '#]]="","",IF(JournalAnswer[[#This Row],[Transaction '#]]=C42,J42+1,1))</f>
        <v>1</v>
      </c>
      <c r="K43" s="37" cm="1">
        <f t="array" ref="K43">IFERROR(_xlfn.IFS(JournalAnswer[[#This Row],[Debit Account]]="Cash",JournalAnswer[[#This Row],[Dr Amt]],JournalAnswer[[#This Row],[Credit Account]]="Cash",-JournalAnswer[[#This Row],[Cr Amt]]),0)</f>
        <v>0</v>
      </c>
      <c r="L43" s="41" t="str" cm="1">
        <f t="array" aca="1" ref="L43" ca="1">IFERROR(INDEX(ProblemData!$E$239:$AM$239,1,JournalAnswer[[#This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c r="B44" s="87">
        <v>22</v>
      </c>
      <c r="C44" s="322">
        <f t="shared" si="1"/>
        <v>22</v>
      </c>
      <c r="D44" s="323" t="str">
        <f>IFERROR(_xlfn.IFNA(INDEX(ProblemData!$C$78:$AM$145,MATCH(J44+0.1,ProblemData!$C$78:$C$145,0),MATCH(C44,ProblemData!$C$78:$AM$78,0)),""),"")</f>
        <v>Liability</v>
      </c>
      <c r="E44" s="66" t="str">
        <f>IFERROR(_xlfn.IFNA(IF(INDEX(ProblemData!$C$78:$AM$145,MATCH(J44+0.3,ProblemData!$C$78:$C$145,0),MATCH(C44,ProblemData!$C$78:$AM$78,0))="Debit",INDEX(ProblemData!$C$78:$AM$145,MATCH(J44+0.2,ProblemData!$C$78:$C$145,0),MATCH(C44,ProblemData!$C$78:$AM$78,0)),""),""),"")</f>
        <v/>
      </c>
      <c r="F44" s="66" t="str">
        <f>IFERROR(_xlfn.IFNA(IF(INDEX(ProblemData!$C$78:$AM$145,MATCH(J44+0.3,ProblemData!$C$78:$C$145,0),MATCH(C44,ProblemData!$C$78:$AM$78,0))="Credit",INDEX(ProblemData!$C$78:$AM$145,MATCH(J44+0.2,ProblemData!$C$78:$C$145,0),MATCH(C44,ProblemData!$C$78:$AM$78,0)),""),""),"")</f>
        <v>Dividends Payable</v>
      </c>
      <c r="G44" s="324" t="str">
        <f>_xlfn.IFNA(IF(JournalAnswer[[#This Row],[Debit Account]]&lt;&gt;"",INDEX(ProblemData!$C$78:$AM$145,MATCH(J44+0.4,ProblemData!$C$78:$C$145,0),MATCH(C44,ProblemData!$C$78:$AM$78,0)),""),"")</f>
        <v/>
      </c>
      <c r="H44" s="325">
        <f>_xlfn.IFNA(IF(JournalAnswer[[#This Row],[Credit Account]]&lt;&gt;"",INDEX(ProblemData!$C$78:$AM$145,MATCH(J44+0.4,ProblemData!$C$78:$C$145,0),MATCH(C44,ProblemData!$C$78:$AM$78,0)),""),"")</f>
        <v>2</v>
      </c>
      <c r="I44" s="353" t="str" cm="1">
        <f t="array" ref="I44">IF(JournalAnswer[[#This Row],[Debit Account]]="Cash",INDEX(ProblemData!$E$238:$AM$238,1,JournalAnswer[[#This Row],[Transaction '#]]),IF(JournalAnswer[[#This Row],[Credit Account]]="Cash",INDEX(ProblemData!$E$238:$AM$238,1,JournalAnswer[[#This Row],[Transaction '#]]),""))</f>
        <v/>
      </c>
      <c r="J44" s="85">
        <f>IF(JournalAnswer[[#This Row],[Transaction '#]]="","",IF(JournalAnswer[[#This Row],[Transaction '#]]=C43,J43+1,1))</f>
        <v>2</v>
      </c>
      <c r="K44" s="37" cm="1">
        <f t="array" ref="K44">IFERROR(_xlfn.IFS(JournalAnswer[[#This Row],[Debit Account]]="Cash",JournalAnswer[[#This Row],[Dr Amt]],JournalAnswer[[#This Row],[Credit Account]]="Cash",-JournalAnswer[[#This Row],[Cr Amt]]),0)</f>
        <v>0</v>
      </c>
      <c r="L44" s="41" t="str" cm="1">
        <f t="array" aca="1" ref="L44" ca="1">IFERROR(INDEX(ProblemData!$E$239:$AM$239,1,JournalAnswer[[#This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c r="B45" s="87">
        <v>23</v>
      </c>
      <c r="C45" s="322">
        <f t="shared" si="1"/>
        <v>23</v>
      </c>
      <c r="D45" s="323" t="str">
        <f>IFERROR(_xlfn.IFNA(INDEX(ProblemData!$C$78:$AM$145,MATCH(J45+0.1,ProblemData!$C$78:$C$145,0),MATCH(C45,ProblemData!$C$78:$AM$78,0)),""),"")</f>
        <v>Liability</v>
      </c>
      <c r="E45" s="66" t="str">
        <f>IFERROR(_xlfn.IFNA(IF(INDEX(ProblemData!$C$78:$AM$145,MATCH(J45+0.3,ProblemData!$C$78:$C$145,0),MATCH(C45,ProblemData!$C$78:$AM$78,0))="Debit",INDEX(ProblemData!$C$78:$AM$145,MATCH(J45+0.2,ProblemData!$C$78:$C$145,0),MATCH(C45,ProblemData!$C$78:$AM$78,0)),""),""),"")</f>
        <v>Dividends Payable</v>
      </c>
      <c r="F45" s="66" t="str">
        <f>IFERROR(_xlfn.IFNA(IF(INDEX(ProblemData!$C$78:$AM$145,MATCH(J45+0.3,ProblemData!$C$78:$C$145,0),MATCH(C45,ProblemData!$C$78:$AM$78,0))="Credit",INDEX(ProblemData!$C$78:$AM$145,MATCH(J45+0.2,ProblemData!$C$78:$C$145,0),MATCH(C45,ProblemData!$C$78:$AM$78,0)),""),""),"")</f>
        <v/>
      </c>
      <c r="G45" s="324">
        <f>_xlfn.IFNA(IF(JournalAnswer[[#This Row],[Debit Account]]&lt;&gt;"",INDEX(ProblemData!$C$78:$AM$145,MATCH(J45+0.4,ProblemData!$C$78:$C$145,0),MATCH(C45,ProblemData!$C$78:$AM$78,0)),""),"")</f>
        <v>2</v>
      </c>
      <c r="H45" s="325" t="str">
        <f>_xlfn.IFNA(IF(JournalAnswer[[#This Row],[Credit Account]]&lt;&gt;"",INDEX(ProblemData!$C$78:$AM$145,MATCH(J45+0.4,ProblemData!$C$78:$C$145,0),MATCH(C45,ProblemData!$C$78:$AM$78,0)),""),"")</f>
        <v/>
      </c>
      <c r="I45" s="353" t="str" cm="1">
        <f t="array" ref="I45">IF(JournalAnswer[[#This Row],[Debit Account]]="Cash",INDEX(ProblemData!$E$238:$AM$238,1,JournalAnswer[[#This Row],[Transaction '#]]),IF(JournalAnswer[[#This Row],[Credit Account]]="Cash",INDEX(ProblemData!$E$238:$AM$238,1,JournalAnswer[[#This Row],[Transaction '#]]),""))</f>
        <v/>
      </c>
      <c r="J45" s="85">
        <f>IF(JournalAnswer[[#This Row],[Transaction '#]]="","",IF(JournalAnswer[[#This Row],[Transaction '#]]=C44,J44+1,1))</f>
        <v>1</v>
      </c>
      <c r="K45" s="37" cm="1">
        <f t="array" ref="K45">IFERROR(_xlfn.IFS(JournalAnswer[[#This Row],[Debit Account]]="Cash",JournalAnswer[[#This Row],[Dr Amt]],JournalAnswer[[#This Row],[Credit Account]]="Cash",-JournalAnswer[[#This Row],[Cr Amt]]),0)</f>
        <v>0</v>
      </c>
      <c r="L45" s="41" t="str" cm="1">
        <f t="array" aca="1" ref="L45" ca="1">IFERROR(INDEX(ProblemData!$E$239:$AM$239,1,JournalAnswer[[#This Row],[Transaction '#]]),"")</f>
        <v/>
      </c>
      <c r="M45" s="1" t="str">
        <f ca="1">IF(JournalAnswer[[#This Row],[ref1]]="","",IF(NOT(ISBLANK(JournalAnswer[[#This Row],[Transaction '#]])),JournalAnswer[[#This Row],[ref1]]&amp;JournalAnswer[[#This Row],[Movement '#]],""))</f>
        <v/>
      </c>
      <c r="N45" s="1" t="b">
        <f ca="1">OR(JournalAnswer[[#This Row],[ref1]]="",ISNUMBER(MATCH(JournalAnswer[[#This Row],[ref1]], Operating[Abbr], 0)), "Found", "Not Found"="Found")</f>
        <v>1</v>
      </c>
    </row>
    <row r="46" spans="2:14">
      <c r="B46" s="87">
        <v>23</v>
      </c>
      <c r="C46" s="322">
        <f t="shared" si="1"/>
        <v>23</v>
      </c>
      <c r="D46" s="323" t="str">
        <f>IFERROR(_xlfn.IFNA(INDEX(ProblemData!$C$78:$AM$145,MATCH(J46+0.1,ProblemData!$C$78:$C$145,0),MATCH(C46,ProblemData!$C$78:$AM$78,0)),""),"")</f>
        <v>Asset</v>
      </c>
      <c r="E46" s="66" t="str">
        <f>IFERROR(_xlfn.IFNA(IF(INDEX(ProblemData!$C$78:$AM$145,MATCH(J46+0.3,ProblemData!$C$78:$C$145,0),MATCH(C46,ProblemData!$C$78:$AM$78,0))="Debit",INDEX(ProblemData!$C$78:$AM$145,MATCH(J46+0.2,ProblemData!$C$78:$C$145,0),MATCH(C46,ProblemData!$C$78:$AM$78,0)),""),""),"")</f>
        <v/>
      </c>
      <c r="F46" s="66" t="str">
        <f>IFERROR(_xlfn.IFNA(IF(INDEX(ProblemData!$C$78:$AM$145,MATCH(J46+0.3,ProblemData!$C$78:$C$145,0),MATCH(C46,ProblemData!$C$78:$AM$78,0))="Credit",INDEX(ProblemData!$C$78:$AM$145,MATCH(J46+0.2,ProblemData!$C$78:$C$145,0),MATCH(C46,ProblemData!$C$78:$AM$78,0)),""),""),"")</f>
        <v>Cash</v>
      </c>
      <c r="G46" s="324" t="str">
        <f>_xlfn.IFNA(IF(JournalAnswer[[#This Row],[Debit Account]]&lt;&gt;"",INDEX(ProblemData!$C$78:$AM$145,MATCH(J46+0.4,ProblemData!$C$78:$C$145,0),MATCH(C46,ProblemData!$C$78:$AM$78,0)),""),"")</f>
        <v/>
      </c>
      <c r="H46" s="325">
        <f>_xlfn.IFNA(IF(JournalAnswer[[#This Row],[Credit Account]]&lt;&gt;"",INDEX(ProblemData!$C$78:$AM$145,MATCH(J46+0.4,ProblemData!$C$78:$C$145,0),MATCH(C46,ProblemData!$C$78:$AM$78,0)),""),"")</f>
        <v>2</v>
      </c>
      <c r="I46" s="353" t="str" cm="1">
        <f t="array" ref="I46">IF(JournalAnswer[[#This Row],[Debit Account]]="Cash",INDEX(ProblemData!$E$238:$AM$238,1,JournalAnswer[[#This Row],[Transaction '#]]),IF(JournalAnswer[[#This Row],[Credit Account]]="Cash",INDEX(ProblemData!$E$238:$AM$238,1,JournalAnswer[[#This Row],[Transaction '#]]),""))</f>
        <v>Financing</v>
      </c>
      <c r="J46" s="85">
        <f>IF(JournalAnswer[[#This Row],[Transaction '#]]="","",IF(JournalAnswer[[#This Row],[Transaction '#]]=C45,J45+1,1))</f>
        <v>2</v>
      </c>
      <c r="K46" s="37" cm="1">
        <f t="array" ref="K46">IFERROR(_xlfn.IFS(JournalAnswer[[#This Row],[Debit Account]]="Cash",JournalAnswer[[#This Row],[Dr Amt]],JournalAnswer[[#This Row],[Credit Account]]="Cash",-JournalAnswer[[#This Row],[Cr Amt]]),0)</f>
        <v>-2</v>
      </c>
      <c r="L46" s="41" t="str" cm="1">
        <f t="array" aca="1" ref="L46" ca="1">IFERROR(INDEX(ProblemData!$E$239:$AM$239,1,JournalAnswer[[#This Row],[Transaction '#]]),"")</f>
        <v/>
      </c>
      <c r="M46" s="1" t="str">
        <f ca="1">IF(JournalAnswer[[#This Row],[ref1]]="","",IF(NOT(ISBLANK(JournalAnswer[[#This Row],[Transaction '#]])),JournalAnswer[[#This Row],[ref1]]&amp;JournalAnswer[[#This Row],[Movement '#]],""))</f>
        <v/>
      </c>
      <c r="N46" s="1" t="b">
        <f ca="1">OR(JournalAnswer[[#This Row],[ref1]]="",ISNUMBER(MATCH(JournalAnswer[[#This Row],[ref1]], Operating[Abbr], 0)), "Found", "Not Found"="Found")</f>
        <v>1</v>
      </c>
    </row>
    <row r="47" spans="2:14">
      <c r="C47" s="322" t="str">
        <f t="shared" si="1"/>
        <v/>
      </c>
      <c r="D47" s="323" t="str">
        <f>IFERROR(_xlfn.IFNA(INDEX(ProblemData!$C$78:$AM$145,MATCH(J47+0.1,ProblemData!$C$78:$C$145,0),MATCH(C47,ProblemData!$C$78:$AM$78,0)),""),"")</f>
        <v/>
      </c>
      <c r="E47" s="66" t="str">
        <f>IFERROR(_xlfn.IFNA(IF(INDEX(ProblemData!$C$78:$AM$145,MATCH(J47+0.3,ProblemData!$C$78:$C$145,0),MATCH(C47,ProblemData!$C$78:$AM$78,0))="Debit",INDEX(ProblemData!$C$78:$AM$145,MATCH(J47+0.2,ProblemData!$C$78:$C$145,0),MATCH(C47,ProblemData!$C$78:$AM$78,0)),""),""),"")</f>
        <v/>
      </c>
      <c r="F47" s="66" t="str">
        <f>IFERROR(_xlfn.IFNA(IF(INDEX(ProblemData!$C$78:$AM$145,MATCH(J47+0.3,ProblemData!$C$78:$C$145,0),MATCH(C47,ProblemData!$C$78:$AM$78,0))="Credit",INDEX(ProblemData!$C$78:$AM$145,MATCH(J47+0.2,ProblemData!$C$78:$C$145,0),MATCH(C47,ProblemData!$C$78:$AM$78,0)),""),""),"")</f>
        <v/>
      </c>
      <c r="G47" s="324" t="str">
        <f>_xlfn.IFNA(IF(JournalAnswer[[#This Row],[Debit Account]]&lt;&gt;"",INDEX(ProblemData!$C$78:$AM$145,MATCH(J47+0.4,ProblemData!$C$78:$C$145,0),MATCH(C47,ProblemData!$C$78:$AM$78,0)),""),"")</f>
        <v/>
      </c>
      <c r="H47" s="325" t="str">
        <f>_xlfn.IFNA(IF(JournalAnswer[[#This Row],[Credit Account]]&lt;&gt;"",INDEX(ProblemData!$C$78:$AM$145,MATCH(J47+0.4,ProblemData!$C$78:$C$145,0),MATCH(C47,ProblemData!$C$78:$AM$78,0)),""),"")</f>
        <v/>
      </c>
      <c r="I47" s="353" t="str" cm="1">
        <f t="array" ref="I47">IF(JournalAnswer[[#This Row],[Debit Account]]="Cash",INDEX(ProblemData!$E$238:$AM$238,1,JournalAnswer[[#This Row],[Transaction '#]]),IF(JournalAnswer[[#This Row],[Credit Account]]="Cash",INDEX(ProblemData!$E$238:$AM$238,1,JournalAnswer[[#This Row],[Transaction '#]]),""))</f>
        <v/>
      </c>
      <c r="J47" s="85" t="str">
        <f>IF(JournalAnswer[[#This Row],[Transaction '#]]="","",IF(JournalAnswer[[#This Row],[Transaction '#]]=C46,J46+1,1))</f>
        <v/>
      </c>
      <c r="K47" s="37" cm="1">
        <f t="array" ref="K47">IFERROR(_xlfn.IFS(JournalAnswer[[#This Row],[Debit Account]]="Cash",JournalAnswer[[#This Row],[Dr Amt]],JournalAnswer[[#This Row],[Credit Account]]="Cash",-JournalAnswer[[#This Row],[Cr Amt]]),0)</f>
        <v>0</v>
      </c>
      <c r="L47" s="41" t="str" cm="1">
        <f t="array" ref="L47">IFERROR(INDEX(ProblemData!$E$239:$AM$239,1,JournalAnswer[[#This Row],[Transaction '#]]),"")</f>
        <v/>
      </c>
      <c r="M47" s="1" t="str">
        <f>IF(JournalAnswer[[#This Row],[ref1]]="","",IF(NOT(ISBLANK(JournalAnswer[[#This Row],[Transaction '#]])),JournalAnswer[[#This Row],[ref1]]&amp;JournalAnswer[[#This Row],[Movement '#]],""))</f>
        <v/>
      </c>
      <c r="N47" s="1" t="b">
        <f>OR(JournalAnswer[[#This Row],[ref1]]="",ISNUMBER(MATCH(JournalAnswer[[#This Row],[ref1]], Operating[Abbr], 0)), "Found", "Not Found"="Found")</f>
        <v>1</v>
      </c>
    </row>
    <row r="48" spans="2:14">
      <c r="C48" s="322" t="str">
        <f t="shared" si="1"/>
        <v/>
      </c>
      <c r="D48" s="323" t="str">
        <f>IFERROR(_xlfn.IFNA(INDEX(ProblemData!$C$78:$AM$145,MATCH(J48+0.1,ProblemData!$C$78:$C$145,0),MATCH(C48,ProblemData!$C$78:$AM$78,0)),""),"")</f>
        <v/>
      </c>
      <c r="E48" s="66" t="str">
        <f>IFERROR(_xlfn.IFNA(IF(INDEX(ProblemData!$C$78:$AM$145,MATCH(J48+0.3,ProblemData!$C$78:$C$145,0),MATCH(C48,ProblemData!$C$78:$AM$78,0))="Debit",INDEX(ProblemData!$C$78:$AM$145,MATCH(J48+0.2,ProblemData!$C$78:$C$145,0),MATCH(C48,ProblemData!$C$78:$AM$78,0)),""),""),"")</f>
        <v/>
      </c>
      <c r="F48" s="66" t="str">
        <f>IFERROR(_xlfn.IFNA(IF(INDEX(ProblemData!$C$78:$AM$145,MATCH(J48+0.3,ProblemData!$C$78:$C$145,0),MATCH(C48,ProblemData!$C$78:$AM$78,0))="Credit",INDEX(ProblemData!$C$78:$AM$145,MATCH(J48+0.2,ProblemData!$C$78:$C$145,0),MATCH(C48,ProblemData!$C$78:$AM$78,0)),""),""),"")</f>
        <v/>
      </c>
      <c r="G48" s="324" t="str">
        <f>_xlfn.IFNA(IF(JournalAnswer[[#This Row],[Debit Account]]&lt;&gt;"",INDEX(ProblemData!$C$78:$AM$145,MATCH(J48+0.4,ProblemData!$C$78:$C$145,0),MATCH(C48,ProblemData!$C$78:$AM$78,0)),""),"")</f>
        <v/>
      </c>
      <c r="H48" s="325" t="str">
        <f>_xlfn.IFNA(IF(JournalAnswer[[#This Row],[Credit Account]]&lt;&gt;"",INDEX(ProblemData!$C$78:$AM$145,MATCH(J48+0.4,ProblemData!$C$78:$C$145,0),MATCH(C48,ProblemData!$C$78:$AM$78,0)),""),"")</f>
        <v/>
      </c>
      <c r="I48" s="353" t="str" cm="1">
        <f t="array" ref="I48">IF(JournalAnswer[[#This Row],[Debit Account]]="Cash",INDEX(ProblemData!$E$238:$AM$238,1,JournalAnswer[[#This Row],[Transaction '#]]),IF(JournalAnswer[[#This Row],[Credit Account]]="Cash",INDEX(ProblemData!$E$238:$AM$238,1,JournalAnswer[[#This Row],[Transaction '#]]),""))</f>
        <v/>
      </c>
      <c r="J48" s="85" t="str">
        <f>IF(JournalAnswer[[#This Row],[Transaction '#]]="","",IF(JournalAnswer[[#This Row],[Transaction '#]]=C47,J47+1,1))</f>
        <v/>
      </c>
      <c r="K48" s="37" cm="1">
        <f t="array" ref="K48">IFERROR(_xlfn.IFS(JournalAnswer[[#This Row],[Debit Account]]="Cash",JournalAnswer[[#This Row],[Dr Amt]],JournalAnswer[[#This Row],[Credit Account]]="Cash",-JournalAnswer[[#This Row],[Cr Amt]]),0)</f>
        <v>0</v>
      </c>
      <c r="L48" s="41" t="str" cm="1">
        <f t="array" ref="L48">IFERROR(INDEX(ProblemData!$E$239:$AM$239,1,JournalAnswer[[#This Row],[Transaction '#]]),"")</f>
        <v/>
      </c>
      <c r="M48" s="1" t="str">
        <f>IF(JournalAnswer[[#This Row],[ref1]]="","",IF(NOT(ISBLANK(JournalAnswer[[#This Row],[Transaction '#]])),JournalAnswer[[#This Row],[ref1]]&amp;JournalAnswer[[#This Row],[Movement '#]],""))</f>
        <v/>
      </c>
      <c r="N48" s="1" t="b">
        <f>OR(JournalAnswer[[#This Row],[ref1]]="",ISNUMBER(MATCH(JournalAnswer[[#This Row],[ref1]], Operating[Abbr], 0)), "Found", "Not Found"="Found")</f>
        <v>1</v>
      </c>
    </row>
    <row r="49" spans="3:14">
      <c r="C49" s="322" t="str">
        <f t="shared" si="1"/>
        <v/>
      </c>
      <c r="D49" s="323" t="str">
        <f>IFERROR(_xlfn.IFNA(INDEX(ProblemData!$C$78:$AM$145,MATCH(J49+0.1,ProblemData!$C$78:$C$145,0),MATCH(C49,ProblemData!$C$78:$AM$78,0)),""),"")</f>
        <v/>
      </c>
      <c r="E49" s="66" t="str">
        <f>IFERROR(_xlfn.IFNA(IF(INDEX(ProblemData!$C$78:$AM$145,MATCH(J49+0.3,ProblemData!$C$78:$C$145,0),MATCH(C49,ProblemData!$C$78:$AM$78,0))="Debit",INDEX(ProblemData!$C$78:$AM$145,MATCH(J49+0.2,ProblemData!$C$78:$C$145,0),MATCH(C49,ProblemData!$C$78:$AM$78,0)),""),""),"")</f>
        <v/>
      </c>
      <c r="F49" s="66" t="str">
        <f>IFERROR(_xlfn.IFNA(IF(INDEX(ProblemData!$C$78:$AM$145,MATCH(J49+0.3,ProblemData!$C$78:$C$145,0),MATCH(C49,ProblemData!$C$78:$AM$78,0))="Credit",INDEX(ProblemData!$C$78:$AM$145,MATCH(J49+0.2,ProblemData!$C$78:$C$145,0),MATCH(C49,ProblemData!$C$78:$AM$78,0)),""),""),"")</f>
        <v/>
      </c>
      <c r="G49" s="324" t="str">
        <f>_xlfn.IFNA(IF(JournalAnswer[[#This Row],[Debit Account]]&lt;&gt;"",INDEX(ProblemData!$C$78:$AM$145,MATCH(J49+0.4,ProblemData!$C$78:$C$145,0),MATCH(C49,ProblemData!$C$78:$AM$78,0)),""),"")</f>
        <v/>
      </c>
      <c r="H49" s="325" t="str">
        <f>_xlfn.IFNA(IF(JournalAnswer[[#This Row],[Credit Account]]&lt;&gt;"",INDEX(ProblemData!$C$78:$AM$145,MATCH(J49+0.4,ProblemData!$C$78:$C$145,0),MATCH(C49,ProblemData!$C$78:$AM$78,0)),""),"")</f>
        <v/>
      </c>
      <c r="I49" s="353" t="str" cm="1">
        <f t="array" ref="I49">IF(JournalAnswer[[#This Row],[Debit Account]]="Cash",INDEX(ProblemData!$E$238:$AM$238,1,JournalAnswer[[#This Row],[Transaction '#]]),IF(JournalAnswer[[#This Row],[Credit Account]]="Cash",INDEX(ProblemData!$E$238:$AM$238,1,JournalAnswer[[#This Row],[Transaction '#]]),""))</f>
        <v/>
      </c>
      <c r="J49" s="85" t="str">
        <f>IF(JournalAnswer[[#This Row],[Transaction '#]]="","",IF(JournalAnswer[[#This Row],[Transaction '#]]=C48,J48+1,1))</f>
        <v/>
      </c>
      <c r="K49" s="37" cm="1">
        <f t="array" ref="K49">IFERROR(_xlfn.IFS(JournalAnswer[[#This Row],[Debit Account]]="Cash",JournalAnswer[[#This Row],[Dr Amt]],JournalAnswer[[#This Row],[Credit Account]]="Cash",-JournalAnswer[[#This Row],[Cr Amt]]),0)</f>
        <v>0</v>
      </c>
      <c r="L49" s="41" t="str" cm="1">
        <f t="array" ref="L49">IFERROR(INDEX(ProblemData!$E$239:$AM$239,1,JournalAnswer[[#This Row],[Transaction '#]]),"")</f>
        <v/>
      </c>
      <c r="M49" s="1" t="str">
        <f>IF(JournalAnswer[[#This Row],[ref1]]="","",IF(NOT(ISBLANK(JournalAnswer[[#This Row],[Transaction '#]])),JournalAnswer[[#This Row],[ref1]]&amp;JournalAnswer[[#This Row],[Movement '#]],""))</f>
        <v/>
      </c>
      <c r="N49" s="1" t="b">
        <f>OR(JournalAnswer[[#This Row],[ref1]]="",ISNUMBER(MATCH(JournalAnswer[[#This Row],[ref1]], Operating[Abbr], 0)), "Found", "Not Found"="Found")</f>
        <v>1</v>
      </c>
    </row>
    <row r="50" spans="3:14">
      <c r="C50" s="322" t="str">
        <f t="shared" si="1"/>
        <v/>
      </c>
      <c r="D50" s="323" t="str">
        <f>IFERROR(_xlfn.IFNA(INDEX(ProblemData!$C$78:$AM$145,MATCH(J50+0.1,ProblemData!$C$78:$C$145,0),MATCH(C50,ProblemData!$C$78:$AM$78,0)),""),"")</f>
        <v/>
      </c>
      <c r="E50" s="66" t="str">
        <f>IFERROR(_xlfn.IFNA(IF(INDEX(ProblemData!$C$78:$AM$145,MATCH(J50+0.3,ProblemData!$C$78:$C$145,0),MATCH(C50,ProblemData!$C$78:$AM$78,0))="Debit",INDEX(ProblemData!$C$78:$AM$145,MATCH(J50+0.2,ProblemData!$C$78:$C$145,0),MATCH(C50,ProblemData!$C$78:$AM$78,0)),""),""),"")</f>
        <v/>
      </c>
      <c r="F50" s="66" t="str">
        <f>IFERROR(_xlfn.IFNA(IF(INDEX(ProblemData!$C$78:$AM$145,MATCH(J50+0.3,ProblemData!$C$78:$C$145,0),MATCH(C50,ProblemData!$C$78:$AM$78,0))="Credit",INDEX(ProblemData!$C$78:$AM$145,MATCH(J50+0.2,ProblemData!$C$78:$C$145,0),MATCH(C50,ProblemData!$C$78:$AM$78,0)),""),""),"")</f>
        <v/>
      </c>
      <c r="G50" s="324" t="str">
        <f>_xlfn.IFNA(IF(JournalAnswer[[#This Row],[Debit Account]]&lt;&gt;"",INDEX(ProblemData!$C$78:$AM$145,MATCH(J50+0.4,ProblemData!$C$78:$C$145,0),MATCH(C50,ProblemData!$C$78:$AM$78,0)),""),"")</f>
        <v/>
      </c>
      <c r="H50" s="325" t="str">
        <f>_xlfn.IFNA(IF(JournalAnswer[[#This Row],[Credit Account]]&lt;&gt;"",INDEX(ProblemData!$C$78:$AM$145,MATCH(J50+0.4,ProblemData!$C$78:$C$145,0),MATCH(C50,ProblemData!$C$78:$AM$78,0)),""),"")</f>
        <v/>
      </c>
      <c r="I50" s="353" t="str" cm="1">
        <f t="array" ref="I50">IF(JournalAnswer[[#This Row],[Debit Account]]="Cash",INDEX(ProblemData!$E$238:$AM$238,1,JournalAnswer[[#This Row],[Transaction '#]]),IF(JournalAnswer[[#This Row],[Credit Account]]="Cash",INDEX(ProblemData!$E$238:$AM$238,1,JournalAnswer[[#This Row],[Transaction '#]]),""))</f>
        <v/>
      </c>
      <c r="J50" s="85" t="str">
        <f>IF(JournalAnswer[[#This Row],[Transaction '#]]="","",IF(JournalAnswer[[#This Row],[Transaction '#]]=C49,J49+1,1))</f>
        <v/>
      </c>
      <c r="K50" s="37" cm="1">
        <f t="array" ref="K50">IFERROR(_xlfn.IFS(JournalAnswer[[#This Row],[Debit Account]]="Cash",JournalAnswer[[#This Row],[Dr Amt]],JournalAnswer[[#This Row],[Credit Account]]="Cash",-JournalAnswer[[#This Row],[Cr Amt]]),0)</f>
        <v>0</v>
      </c>
      <c r="L50" s="41" t="str" cm="1">
        <f t="array" ref="L50">IFERROR(INDEX(ProblemData!$E$239:$AM$239,1,JournalAnswer[[#This Row],[Transaction '#]]),"")</f>
        <v/>
      </c>
      <c r="M50" s="1" t="str">
        <f>IF(JournalAnswer[[#This Row],[ref1]]="","",IF(NOT(ISBLANK(JournalAnswer[[#This Row],[Transaction '#]])),JournalAnswer[[#This Row],[ref1]]&amp;JournalAnswer[[#This Row],[Movement '#]],""))</f>
        <v/>
      </c>
      <c r="N50" s="1" t="b">
        <f>OR(JournalAnswer[[#This Row],[ref1]]="",ISNUMBER(MATCH(JournalAnswer[[#This Row],[ref1]], Operating[Abbr], 0)), "Found", "Not Found"="Found")</f>
        <v>1</v>
      </c>
    </row>
    <row r="51" spans="3:14">
      <c r="C51" s="322" t="str">
        <f t="shared" si="1"/>
        <v/>
      </c>
      <c r="D51" s="323" t="str">
        <f>IFERROR(_xlfn.IFNA(INDEX(ProblemData!$C$78:$AM$145,MATCH(J51+0.1,ProblemData!$C$78:$C$145,0),MATCH(C51,ProblemData!$C$78:$AM$78,0)),""),"")</f>
        <v/>
      </c>
      <c r="E51" s="66" t="str">
        <f>IFERROR(_xlfn.IFNA(IF(INDEX(ProblemData!$C$78:$AM$145,MATCH(J51+0.3,ProblemData!$C$78:$C$145,0),MATCH(C51,ProblemData!$C$78:$AM$78,0))="Debit",INDEX(ProblemData!$C$78:$AM$145,MATCH(J51+0.2,ProblemData!$C$78:$C$145,0),MATCH(C51,ProblemData!$C$78:$AM$78,0)),""),""),"")</f>
        <v/>
      </c>
      <c r="F51" s="66" t="str">
        <f>IFERROR(_xlfn.IFNA(IF(INDEX(ProblemData!$C$78:$AM$145,MATCH(J51+0.3,ProblemData!$C$78:$C$145,0),MATCH(C51,ProblemData!$C$78:$AM$78,0))="Credit",INDEX(ProblemData!$C$78:$AM$145,MATCH(J51+0.2,ProblemData!$C$78:$C$145,0),MATCH(C51,ProblemData!$C$78:$AM$78,0)),""),""),"")</f>
        <v/>
      </c>
      <c r="G51" s="324" t="str">
        <f>_xlfn.IFNA(IF(JournalAnswer[[#This Row],[Debit Account]]&lt;&gt;"",INDEX(ProblemData!$C$78:$AM$145,MATCH(J51+0.4,ProblemData!$C$78:$C$145,0),MATCH(C51,ProblemData!$C$78:$AM$78,0)),""),"")</f>
        <v/>
      </c>
      <c r="H51" s="325" t="str">
        <f>_xlfn.IFNA(IF(JournalAnswer[[#This Row],[Credit Account]]&lt;&gt;"",INDEX(ProblemData!$C$78:$AM$145,MATCH(J51+0.4,ProblemData!$C$78:$C$145,0),MATCH(C51,ProblemData!$C$78:$AM$78,0)),""),"")</f>
        <v/>
      </c>
      <c r="I51" s="353" t="str" cm="1">
        <f t="array" ref="I51">IF(JournalAnswer[[#This Row],[Debit Account]]="Cash",INDEX(ProblemData!$E$238:$AM$238,1,JournalAnswer[[#This Row],[Transaction '#]]),IF(JournalAnswer[[#This Row],[Credit Account]]="Cash",INDEX(ProblemData!$E$238:$AM$238,1,JournalAnswer[[#This Row],[Transaction '#]]),""))</f>
        <v/>
      </c>
      <c r="J51" s="85" t="str">
        <f>IF(JournalAnswer[[#This Row],[Transaction '#]]="","",IF(JournalAnswer[[#This Row],[Transaction '#]]=C50,J50+1,1))</f>
        <v/>
      </c>
      <c r="K51" s="37" cm="1">
        <f t="array" ref="K51">IFERROR(_xlfn.IFS(JournalAnswer[[#This Row],[Debit Account]]="Cash",JournalAnswer[[#This Row],[Dr Amt]],JournalAnswer[[#This Row],[Credit Account]]="Cash",-JournalAnswer[[#This Row],[Cr Amt]]),0)</f>
        <v>0</v>
      </c>
      <c r="L51" s="41" t="str" cm="1">
        <f t="array" ref="L51">IFERROR(INDEX(ProblemData!$E$239:$AM$239,1,JournalAnswer[[#This Row],[Transaction '#]]),"")</f>
        <v/>
      </c>
      <c r="M51" s="1" t="str">
        <f>IF(JournalAnswer[[#This Row],[ref1]]="","",IF(NOT(ISBLANK(JournalAnswer[[#This Row],[Transaction '#]])),JournalAnswer[[#This Row],[ref1]]&amp;JournalAnswer[[#This Row],[Movement '#]],""))</f>
        <v/>
      </c>
      <c r="N51" s="1" t="b">
        <f>OR(JournalAnswer[[#This Row],[ref1]]="",ISNUMBER(MATCH(JournalAnswer[[#This Row],[ref1]], Operating[Abbr], 0)), "Found", "Not Found"="Found")</f>
        <v>1</v>
      </c>
    </row>
    <row r="52" spans="3:14">
      <c r="C52" s="322" t="str">
        <f t="shared" si="1"/>
        <v/>
      </c>
      <c r="D52" s="323" t="str">
        <f>IFERROR(_xlfn.IFNA(INDEX(ProblemData!$C$78:$AM$145,MATCH(J52+0.1,ProblemData!$C$78:$C$145,0),MATCH(C52,ProblemData!$C$78:$AM$78,0)),""),"")</f>
        <v/>
      </c>
      <c r="E52" s="66" t="str">
        <f>IFERROR(_xlfn.IFNA(IF(INDEX(ProblemData!$C$78:$AM$145,MATCH(J52+0.3,ProblemData!$C$78:$C$145,0),MATCH(C52,ProblemData!$C$78:$AM$78,0))="Debit",INDEX(ProblemData!$C$78:$AM$145,MATCH(J52+0.2,ProblemData!$C$78:$C$145,0),MATCH(C52,ProblemData!$C$78:$AM$78,0)),""),""),"")</f>
        <v/>
      </c>
      <c r="F52" s="66" t="str">
        <f>IFERROR(_xlfn.IFNA(IF(INDEX(ProblemData!$C$78:$AM$145,MATCH(J52+0.3,ProblemData!$C$78:$C$145,0),MATCH(C52,ProblemData!$C$78:$AM$78,0))="Credit",INDEX(ProblemData!$C$78:$AM$145,MATCH(J52+0.2,ProblemData!$C$78:$C$145,0),MATCH(C52,ProblemData!$C$78:$AM$78,0)),""),""),"")</f>
        <v/>
      </c>
      <c r="G52" s="324" t="str">
        <f>_xlfn.IFNA(IF(JournalAnswer[[#This Row],[Debit Account]]&lt;&gt;"",INDEX(ProblemData!$C$78:$AM$145,MATCH(J52+0.4,ProblemData!$C$78:$C$145,0),MATCH(C52,ProblemData!$C$78:$AM$78,0)),""),"")</f>
        <v/>
      </c>
      <c r="H52" s="325" t="str">
        <f>_xlfn.IFNA(IF(JournalAnswer[[#This Row],[Credit Account]]&lt;&gt;"",INDEX(ProblemData!$C$78:$AM$145,MATCH(J52+0.4,ProblemData!$C$78:$C$145,0),MATCH(C52,ProblemData!$C$78:$AM$78,0)),""),"")</f>
        <v/>
      </c>
      <c r="I52" s="353" t="str" cm="1">
        <f t="array" ref="I52">IF(JournalAnswer[[#This Row],[Debit Account]]="Cash",INDEX(ProblemData!$E$238:$AM$238,1,JournalAnswer[[#This Row],[Transaction '#]]),IF(JournalAnswer[[#This Row],[Credit Account]]="Cash",INDEX(ProblemData!$E$238:$AM$238,1,JournalAnswer[[#This Row],[Transaction '#]]),""))</f>
        <v/>
      </c>
      <c r="J52" s="85" t="str">
        <f>IF(JournalAnswer[[#This Row],[Transaction '#]]="","",IF(JournalAnswer[[#This Row],[Transaction '#]]=C51,J51+1,1))</f>
        <v/>
      </c>
      <c r="K52" s="37" cm="1">
        <f t="array" ref="K52">IFERROR(_xlfn.IFS(JournalAnswer[[#This Row],[Debit Account]]="Cash",JournalAnswer[[#This Row],[Dr Amt]],JournalAnswer[[#This Row],[Credit Account]]="Cash",-JournalAnswer[[#This Row],[Cr Amt]]),0)</f>
        <v>0</v>
      </c>
      <c r="L52" s="41" t="str" cm="1">
        <f t="array" ref="L52">IFERROR(INDEX(ProblemData!$E$239:$AM$239,1,JournalAnswer[[#This Row],[Transaction '#]]),"")</f>
        <v/>
      </c>
      <c r="M52" s="1" t="str">
        <f>IF(JournalAnswer[[#This Row],[ref1]]="","",IF(NOT(ISBLANK(JournalAnswer[[#This Row],[Transaction '#]])),JournalAnswer[[#This Row],[ref1]]&amp;JournalAnswer[[#This Row],[Movement '#]],""))</f>
        <v/>
      </c>
      <c r="N52" s="1" t="b">
        <f>OR(JournalAnswer[[#This Row],[ref1]]="",ISNUMBER(MATCH(JournalAnswer[[#This Row],[ref1]], Operating[Abbr], 0)), "Found", "Not Found"="Found")</f>
        <v>1</v>
      </c>
    </row>
    <row r="53" spans="3:14">
      <c r="C53" s="322" t="str">
        <f t="shared" si="1"/>
        <v/>
      </c>
      <c r="D53" s="323" t="str">
        <f>IFERROR(_xlfn.IFNA(INDEX(ProblemData!$C$78:$AM$145,MATCH(J53+0.1,ProblemData!$C$78:$C$145,0),MATCH(C53,ProblemData!$C$78:$AM$78,0)),""),"")</f>
        <v/>
      </c>
      <c r="E53" s="66" t="str">
        <f>IFERROR(_xlfn.IFNA(IF(INDEX(ProblemData!$C$78:$AM$145,MATCH(J53+0.3,ProblemData!$C$78:$C$145,0),MATCH(C53,ProblemData!$C$78:$AM$78,0))="Debit",INDEX(ProblemData!$C$78:$AM$145,MATCH(J53+0.2,ProblemData!$C$78:$C$145,0),MATCH(C53,ProblemData!$C$78:$AM$78,0)),""),""),"")</f>
        <v/>
      </c>
      <c r="F53" s="66" t="str">
        <f>IFERROR(_xlfn.IFNA(IF(INDEX(ProblemData!$C$78:$AM$145,MATCH(J53+0.3,ProblemData!$C$78:$C$145,0),MATCH(C53,ProblemData!$C$78:$AM$78,0))="Credit",INDEX(ProblemData!$C$78:$AM$145,MATCH(J53+0.2,ProblemData!$C$78:$C$145,0),MATCH(C53,ProblemData!$C$78:$AM$78,0)),""),""),"")</f>
        <v/>
      </c>
      <c r="G53" s="324" t="str">
        <f>_xlfn.IFNA(IF(JournalAnswer[[#This Row],[Debit Account]]&lt;&gt;"",INDEX(ProblemData!$C$78:$AM$145,MATCH(J53+0.4,ProblemData!$C$78:$C$145,0),MATCH(C53,ProblemData!$C$78:$AM$78,0)),""),"")</f>
        <v/>
      </c>
      <c r="H53" s="325" t="str">
        <f>_xlfn.IFNA(IF(JournalAnswer[[#This Row],[Credit Account]]&lt;&gt;"",INDEX(ProblemData!$C$78:$AM$145,MATCH(J53+0.4,ProblemData!$C$78:$C$145,0),MATCH(C53,ProblemData!$C$78:$AM$78,0)),""),"")</f>
        <v/>
      </c>
      <c r="I53" s="353" t="str" cm="1">
        <f t="array" ref="I53">IF(JournalAnswer[[#This Row],[Debit Account]]="Cash",INDEX(ProblemData!$E$238:$AM$238,1,JournalAnswer[[#This Row],[Transaction '#]]),IF(JournalAnswer[[#This Row],[Credit Account]]="Cash",INDEX(ProblemData!$E$238:$AM$238,1,JournalAnswer[[#This Row],[Transaction '#]]),""))</f>
        <v/>
      </c>
      <c r="J53" s="85" t="str">
        <f>IF(JournalAnswer[[#This Row],[Transaction '#]]="","",IF(JournalAnswer[[#This Row],[Transaction '#]]=C52,J52+1,1))</f>
        <v/>
      </c>
      <c r="K53" s="37" cm="1">
        <f t="array" ref="K53">IFERROR(_xlfn.IFS(JournalAnswer[[#This Row],[Debit Account]]="Cash",JournalAnswer[[#This Row],[Dr Amt]],JournalAnswer[[#This Row],[Credit Account]]="Cash",-JournalAnswer[[#This Row],[Cr Amt]]),0)</f>
        <v>0</v>
      </c>
      <c r="L53" s="41" t="str" cm="1">
        <f t="array" ref="L53">IFERROR(INDEX(ProblemData!$E$239:$AM$239,1,JournalAnswer[[#This Row],[Transaction '#]]),"")</f>
        <v/>
      </c>
      <c r="M53" s="1" t="str">
        <f>IF(JournalAnswer[[#This Row],[ref1]]="","",IF(NOT(ISBLANK(JournalAnswer[[#This Row],[Transaction '#]])),JournalAnswer[[#This Row],[ref1]]&amp;JournalAnswer[[#This Row],[Movement '#]],""))</f>
        <v/>
      </c>
      <c r="N53" s="1" t="b">
        <f>OR(JournalAnswer[[#This Row],[ref1]]="",ISNUMBER(MATCH(JournalAnswer[[#This Row],[ref1]], Operating[Abbr], 0)), "Found", "Not Found"="Found")</f>
        <v>1</v>
      </c>
    </row>
    <row r="54" spans="3:14">
      <c r="C54" s="322" t="str">
        <f t="shared" si="1"/>
        <v/>
      </c>
      <c r="D54" s="323" t="str">
        <f>IFERROR(_xlfn.IFNA(INDEX(ProblemData!$C$78:$AM$145,MATCH(J54+0.1,ProblemData!$C$78:$C$145,0),MATCH(C54,ProblemData!$C$78:$AM$78,0)),""),"")</f>
        <v/>
      </c>
      <c r="E54" s="66" t="str">
        <f>IFERROR(_xlfn.IFNA(IF(INDEX(ProblemData!$C$78:$AM$145,MATCH(J54+0.3,ProblemData!$C$78:$C$145,0),MATCH(C54,ProblemData!$C$78:$AM$78,0))="Debit",INDEX(ProblemData!$C$78:$AM$145,MATCH(J54+0.2,ProblemData!$C$78:$C$145,0),MATCH(C54,ProblemData!$C$78:$AM$78,0)),""),""),"")</f>
        <v/>
      </c>
      <c r="F54" s="66" t="str">
        <f>IFERROR(_xlfn.IFNA(IF(INDEX(ProblemData!$C$78:$AM$145,MATCH(J54+0.3,ProblemData!$C$78:$C$145,0),MATCH(C54,ProblemData!$C$78:$AM$78,0))="Credit",INDEX(ProblemData!$C$78:$AM$145,MATCH(J54+0.2,ProblemData!$C$78:$C$145,0),MATCH(C54,ProblemData!$C$78:$AM$78,0)),""),""),"")</f>
        <v/>
      </c>
      <c r="G54" s="324" t="str">
        <f>_xlfn.IFNA(IF(JournalAnswer[[#This Row],[Debit Account]]&lt;&gt;"",INDEX(ProblemData!$C$78:$AM$145,MATCH(J54+0.4,ProblemData!$C$78:$C$145,0),MATCH(C54,ProblemData!$C$78:$AM$78,0)),""),"")</f>
        <v/>
      </c>
      <c r="H54" s="325" t="str">
        <f>_xlfn.IFNA(IF(JournalAnswer[[#This Row],[Credit Account]]&lt;&gt;"",INDEX(ProblemData!$C$78:$AM$145,MATCH(J54+0.4,ProblemData!$C$78:$C$145,0),MATCH(C54,ProblemData!$C$78:$AM$78,0)),""),"")</f>
        <v/>
      </c>
      <c r="I54" s="353" t="str" cm="1">
        <f t="array" ref="I54">IF(JournalAnswer[[#This Row],[Debit Account]]="Cash",INDEX(ProblemData!$E$238:$AM$238,1,JournalAnswer[[#This Row],[Transaction '#]]),IF(JournalAnswer[[#This Row],[Credit Account]]="Cash",INDEX(ProblemData!$E$238:$AM$238,1,JournalAnswer[[#This Row],[Transaction '#]]),""))</f>
        <v/>
      </c>
      <c r="J54" s="85" t="str">
        <f>IF(JournalAnswer[[#This Row],[Transaction '#]]="","",IF(JournalAnswer[[#This Row],[Transaction '#]]=C53,J53+1,1))</f>
        <v/>
      </c>
      <c r="K54" s="37" cm="1">
        <f t="array" ref="K54">IFERROR(_xlfn.IFS(JournalAnswer[[#This Row],[Debit Account]]="Cash",JournalAnswer[[#This Row],[Dr Amt]],JournalAnswer[[#This Row],[Credit Account]]="Cash",-JournalAnswer[[#This Row],[Cr Amt]]),0)</f>
        <v>0</v>
      </c>
      <c r="L54" s="41" t="str" cm="1">
        <f t="array" ref="L54">IFERROR(INDEX(ProblemData!$E$239:$AM$239,1,JournalAnswer[[#This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3:14">
      <c r="C55" s="322" t="str">
        <f t="shared" si="1"/>
        <v/>
      </c>
      <c r="D55" s="323" t="str">
        <f>IFERROR(_xlfn.IFNA(INDEX(ProblemData!$C$78:$AM$145,MATCH(J55+0.1,ProblemData!$C$78:$C$145,0),MATCH(C55,ProblemData!$C$78:$AM$78,0)),""),"")</f>
        <v/>
      </c>
      <c r="E55" s="66" t="str">
        <f>IFERROR(_xlfn.IFNA(IF(INDEX(ProblemData!$C$78:$AM$145,MATCH(J55+0.3,ProblemData!$C$78:$C$145,0),MATCH(C55,ProblemData!$C$78:$AM$78,0))="Debit",INDEX(ProblemData!$C$78:$AM$145,MATCH(J55+0.2,ProblemData!$C$78:$C$145,0),MATCH(C55,ProblemData!$C$78:$AM$78,0)),""),""),"")</f>
        <v/>
      </c>
      <c r="F55" s="66" t="str">
        <f>IFERROR(_xlfn.IFNA(IF(INDEX(ProblemData!$C$78:$AM$145,MATCH(J55+0.3,ProblemData!$C$78:$C$145,0),MATCH(C55,ProblemData!$C$78:$AM$78,0))="Credit",INDEX(ProblemData!$C$78:$AM$145,MATCH(J55+0.2,ProblemData!$C$78:$C$145,0),MATCH(C55,ProblemData!$C$78:$AM$78,0)),""),""),"")</f>
        <v/>
      </c>
      <c r="G55" s="324" t="str">
        <f>_xlfn.IFNA(IF(JournalAnswer[[#This Row],[Debit Account]]&lt;&gt;"",INDEX(ProblemData!$C$78:$AM$145,MATCH(J55+0.4,ProblemData!$C$78:$C$145,0),MATCH(C55,ProblemData!$C$78:$AM$78,0)),""),"")</f>
        <v/>
      </c>
      <c r="H55" s="325" t="str">
        <f>_xlfn.IFNA(IF(JournalAnswer[[#This Row],[Credit Account]]&lt;&gt;"",INDEX(ProblemData!$C$78:$AM$145,MATCH(J55+0.4,ProblemData!$C$78:$C$145,0),MATCH(C55,ProblemData!$C$78:$AM$78,0)),""),"")</f>
        <v/>
      </c>
      <c r="I55" s="353" t="str" cm="1">
        <f t="array" ref="I55">IF(JournalAnswer[[#This Row],[Debit Account]]="Cash",INDEX(ProblemData!$E$238:$AM$238,1,JournalAnswer[[#This Row],[Transaction '#]]),IF(JournalAnswer[[#This Row],[Credit Account]]="Cash",INDEX(ProblemData!$E$238:$AM$238,1,JournalAnswer[[#This Row],[Transaction '#]]),""))</f>
        <v/>
      </c>
      <c r="J55" s="85" t="str">
        <f>IF(JournalAnswer[[#This Row],[Transaction '#]]="","",IF(JournalAnswer[[#This Row],[Transaction '#]]=C54,J54+1,1))</f>
        <v/>
      </c>
      <c r="K55" s="37" cm="1">
        <f t="array" ref="K55">IFERROR(_xlfn.IFS(JournalAnswer[[#This Row],[Debit Account]]="Cash",JournalAnswer[[#This Row],[Dr Amt]],JournalAnswer[[#This Row],[Credit Account]]="Cash",-JournalAnswer[[#This Row],[Cr Amt]]),0)</f>
        <v>0</v>
      </c>
      <c r="L55" s="41" t="str" cm="1">
        <f t="array" ref="L55">IFERROR(INDEX(ProblemData!$E$239:$AM$239,1,JournalAnswer[[#This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3:14">
      <c r="C56" s="322" t="str">
        <f t="shared" si="1"/>
        <v/>
      </c>
      <c r="D56" s="323" t="str">
        <f>IFERROR(_xlfn.IFNA(INDEX(ProblemData!$C$78:$AM$145,MATCH(J56+0.1,ProblemData!$C$78:$C$145,0),MATCH(C56,ProblemData!$C$78:$AM$78,0)),""),"")</f>
        <v/>
      </c>
      <c r="E56" s="66" t="str">
        <f>IFERROR(_xlfn.IFNA(IF(INDEX(ProblemData!$C$78:$AM$145,MATCH(J56+0.3,ProblemData!$C$78:$C$145,0),MATCH(C56,ProblemData!$C$78:$AM$78,0))="Debit",INDEX(ProblemData!$C$78:$AM$145,MATCH(J56+0.2,ProblemData!$C$78:$C$145,0),MATCH(C56,ProblemData!$C$78:$AM$78,0)),""),""),"")</f>
        <v/>
      </c>
      <c r="F56" s="66" t="str">
        <f>IFERROR(_xlfn.IFNA(IF(INDEX(ProblemData!$C$78:$AM$145,MATCH(J56+0.3,ProblemData!$C$78:$C$145,0),MATCH(C56,ProblemData!$C$78:$AM$78,0))="Credit",INDEX(ProblemData!$C$78:$AM$145,MATCH(J56+0.2,ProblemData!$C$78:$C$145,0),MATCH(C56,ProblemData!$C$78:$AM$78,0)),""),""),"")</f>
        <v/>
      </c>
      <c r="G56" s="324" t="str">
        <f>_xlfn.IFNA(IF(JournalAnswer[[#This Row],[Debit Account]]&lt;&gt;"",INDEX(ProblemData!$C$78:$AM$145,MATCH(J56+0.4,ProblemData!$C$78:$C$145,0),MATCH(C56,ProblemData!$C$78:$AM$78,0)),""),"")</f>
        <v/>
      </c>
      <c r="H56" s="325" t="str">
        <f>_xlfn.IFNA(IF(JournalAnswer[[#This Row],[Credit Account]]&lt;&gt;"",INDEX(ProblemData!$C$78:$AM$145,MATCH(J56+0.4,ProblemData!$C$78:$C$145,0),MATCH(C56,ProblemData!$C$78:$AM$78,0)),""),"")</f>
        <v/>
      </c>
      <c r="I56" s="353" t="str" cm="1">
        <f t="array" ref="I56">IF(JournalAnswer[[#This Row],[Debit Account]]="Cash",INDEX(ProblemData!$E$238:$AM$238,1,JournalAnswer[[#This Row],[Transaction '#]]),IF(JournalAnswer[[#This Row],[Credit Account]]="Cash",INDEX(ProblemData!$E$238:$AM$238,1,JournalAnswer[[#This Row],[Transaction '#]]),""))</f>
        <v/>
      </c>
      <c r="J56" s="85" t="str">
        <f>IF(JournalAnswer[[#This Row],[Transaction '#]]="","",IF(JournalAnswer[[#This Row],[Transaction '#]]=C55,J55+1,1))</f>
        <v/>
      </c>
      <c r="K56" s="37" cm="1">
        <f t="array" ref="K56">IFERROR(_xlfn.IFS(JournalAnswer[[#This Row],[Debit Account]]="Cash",JournalAnswer[[#This Row],[Dr Amt]],JournalAnswer[[#This Row],[Credit Account]]="Cash",-JournalAnswer[[#This Row],[Cr Amt]]),0)</f>
        <v>0</v>
      </c>
      <c r="L56" s="41" t="str" cm="1">
        <f t="array" ref="L56">IFERROR(INDEX(ProblemData!$E$239:$AM$239,1,JournalAnswer[[#This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3:14">
      <c r="C57" s="322" t="str">
        <f t="shared" si="1"/>
        <v/>
      </c>
      <c r="D57" s="323" t="str">
        <f>IFERROR(_xlfn.IFNA(INDEX(ProblemData!$C$78:$AM$145,MATCH(J57+0.1,ProblemData!$C$78:$C$145,0),MATCH(C57,ProblemData!$C$78:$AM$78,0)),""),"")</f>
        <v/>
      </c>
      <c r="E57" s="66" t="str">
        <f>IFERROR(_xlfn.IFNA(IF(INDEX(ProblemData!$C$78:$AM$145,MATCH(J57+0.3,ProblemData!$C$78:$C$145,0),MATCH(C57,ProblemData!$C$78:$AM$78,0))="Debit",INDEX(ProblemData!$C$78:$AM$145,MATCH(J57+0.2,ProblemData!$C$78:$C$145,0),MATCH(C57,ProblemData!$C$78:$AM$78,0)),""),""),"")</f>
        <v/>
      </c>
      <c r="F57" s="66" t="str">
        <f>IFERROR(_xlfn.IFNA(IF(INDEX(ProblemData!$C$78:$AM$145,MATCH(J57+0.3,ProblemData!$C$78:$C$145,0),MATCH(C57,ProblemData!$C$78:$AM$78,0))="Credit",INDEX(ProblemData!$C$78:$AM$145,MATCH(J57+0.2,ProblemData!$C$78:$C$145,0),MATCH(C57,ProblemData!$C$78:$AM$78,0)),""),""),"")</f>
        <v/>
      </c>
      <c r="G57" s="324" t="str">
        <f>_xlfn.IFNA(IF(JournalAnswer[[#This Row],[Debit Account]]&lt;&gt;"",INDEX(ProblemData!$C$78:$AM$145,MATCH(J57+0.4,ProblemData!$C$78:$C$145,0),MATCH(C57,ProblemData!$C$78:$AM$78,0)),""),"")</f>
        <v/>
      </c>
      <c r="H57" s="325" t="str">
        <f>_xlfn.IFNA(IF(JournalAnswer[[#This Row],[Credit Account]]&lt;&gt;"",INDEX(ProblemData!$C$78:$AM$145,MATCH(J57+0.4,ProblemData!$C$78:$C$145,0),MATCH(C57,ProblemData!$C$78:$AM$78,0)),""),"")</f>
        <v/>
      </c>
      <c r="I57" s="353" t="str" cm="1">
        <f t="array" ref="I57">IF(JournalAnswer[[#This Row],[Debit Account]]="Cash",INDEX(ProblemData!$E$238:$AM$238,1,JournalAnswer[[#This Row],[Transaction '#]]),IF(JournalAnswer[[#This Row],[Credit Account]]="Cash",INDEX(ProblemData!$E$238:$AM$238,1,JournalAnswer[[#This Row],[Transaction '#]]),""))</f>
        <v/>
      </c>
      <c r="J57" s="85" t="str">
        <f>IF(JournalAnswer[[#This Row],[Transaction '#]]="","",IF(JournalAnswer[[#This Row],[Transaction '#]]=C56,J56+1,1))</f>
        <v/>
      </c>
      <c r="K57" s="37" cm="1">
        <f t="array" ref="K57">IFERROR(_xlfn.IFS(JournalAnswer[[#This Row],[Debit Account]]="Cash",JournalAnswer[[#This Row],[Dr Amt]],JournalAnswer[[#This Row],[Credit Account]]="Cash",-JournalAnswer[[#This Row],[Cr Amt]]),0)</f>
        <v>0</v>
      </c>
      <c r="L57" s="41" t="str" cm="1">
        <f t="array" ref="L57">IFERROR(INDEX(ProblemData!$E$239:$AM$239,1,JournalAnswer[[#This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3:14">
      <c r="C58" s="322" t="str">
        <f t="shared" si="1"/>
        <v/>
      </c>
      <c r="D58" s="323" t="str">
        <f>IFERROR(_xlfn.IFNA(INDEX(ProblemData!$C$78:$AM$145,MATCH(J58+0.1,ProblemData!$C$78:$C$145,0),MATCH(C58,ProblemData!$C$78:$AM$78,0)),""),"")</f>
        <v/>
      </c>
      <c r="E58" s="66" t="str">
        <f>IFERROR(_xlfn.IFNA(IF(INDEX(ProblemData!$C$78:$AM$145,MATCH(J58+0.3,ProblemData!$C$78:$C$145,0),MATCH(C58,ProblemData!$C$78:$AM$78,0))="Debit",INDEX(ProblemData!$C$78:$AM$145,MATCH(J58+0.2,ProblemData!$C$78:$C$145,0),MATCH(C58,ProblemData!$C$78:$AM$78,0)),""),""),"")</f>
        <v/>
      </c>
      <c r="F58" s="66" t="str">
        <f>IFERROR(_xlfn.IFNA(IF(INDEX(ProblemData!$C$78:$AM$145,MATCH(J58+0.3,ProblemData!$C$78:$C$145,0),MATCH(C58,ProblemData!$C$78:$AM$78,0))="Credit",INDEX(ProblemData!$C$78:$AM$145,MATCH(J58+0.2,ProblemData!$C$78:$C$145,0),MATCH(C58,ProblemData!$C$78:$AM$78,0)),""),""),"")</f>
        <v/>
      </c>
      <c r="G58" s="324" t="str">
        <f>_xlfn.IFNA(IF(JournalAnswer[[#This Row],[Debit Account]]&lt;&gt;"",INDEX(ProblemData!$C$78:$AM$145,MATCH(J58+0.4,ProblemData!$C$78:$C$145,0),MATCH(C58,ProblemData!$C$78:$AM$78,0)),""),"")</f>
        <v/>
      </c>
      <c r="H58" s="325" t="str">
        <f>_xlfn.IFNA(IF(JournalAnswer[[#This Row],[Credit Account]]&lt;&gt;"",INDEX(ProblemData!$C$78:$AM$145,MATCH(J58+0.4,ProblemData!$C$78:$C$145,0),MATCH(C58,ProblemData!$C$78:$AM$78,0)),""),"")</f>
        <v/>
      </c>
      <c r="I58" s="353" t="str" cm="1">
        <f t="array" ref="I58">IF(JournalAnswer[[#This Row],[Debit Account]]="Cash",INDEX(ProblemData!$E$238:$AM$238,1,JournalAnswer[[#This Row],[Transaction '#]]),IF(JournalAnswer[[#This Row],[Credit Account]]="Cash",INDEX(ProblemData!$E$238:$AM$238,1,JournalAnswer[[#This Row],[Transaction '#]]),""))</f>
        <v/>
      </c>
      <c r="J58" s="85" t="str">
        <f>IF(JournalAnswer[[#This Row],[Transaction '#]]="","",IF(JournalAnswer[[#This Row],[Transaction '#]]=C57,J57+1,1))</f>
        <v/>
      </c>
      <c r="K58" s="37" cm="1">
        <f t="array" ref="K58">IFERROR(_xlfn.IFS(JournalAnswer[[#This Row],[Debit Account]]="Cash",JournalAnswer[[#This Row],[Dr Amt]],JournalAnswer[[#This Row],[Credit Account]]="Cash",-JournalAnswer[[#This Row],[Cr Amt]]),0)</f>
        <v>0</v>
      </c>
      <c r="L58" s="41" t="str" cm="1">
        <f t="array" ref="L58">IFERROR(INDEX(ProblemData!$E$239:$AM$239,1,JournalAnswer[[#This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3:14">
      <c r="C59" s="322" t="str">
        <f t="shared" si="1"/>
        <v/>
      </c>
      <c r="D59" s="323" t="str">
        <f>IFERROR(_xlfn.IFNA(INDEX(ProblemData!$C$78:$AM$145,MATCH(J59+0.1,ProblemData!$C$78:$C$145,0),MATCH(C59,ProblemData!$C$78:$AM$78,0)),""),"")</f>
        <v/>
      </c>
      <c r="E59" s="66" t="str">
        <f>IFERROR(_xlfn.IFNA(IF(INDEX(ProblemData!$C$78:$AM$145,MATCH(J59+0.3,ProblemData!$C$78:$C$145,0),MATCH(C59,ProblemData!$C$78:$AM$78,0))="Debit",INDEX(ProblemData!$C$78:$AM$145,MATCH(J59+0.2,ProblemData!$C$78:$C$145,0),MATCH(C59,ProblemData!$C$78:$AM$78,0)),""),""),"")</f>
        <v/>
      </c>
      <c r="F59" s="66" t="str">
        <f>IFERROR(_xlfn.IFNA(IF(INDEX(ProblemData!$C$78:$AM$145,MATCH(J59+0.3,ProblemData!$C$78:$C$145,0),MATCH(C59,ProblemData!$C$78:$AM$78,0))="Credit",INDEX(ProblemData!$C$78:$AM$145,MATCH(J59+0.2,ProblemData!$C$78:$C$145,0),MATCH(C59,ProblemData!$C$78:$AM$78,0)),""),""),"")</f>
        <v/>
      </c>
      <c r="G59" s="324" t="str">
        <f>_xlfn.IFNA(IF(JournalAnswer[[#This Row],[Debit Account]]&lt;&gt;"",INDEX(ProblemData!$C$78:$AM$145,MATCH(J59+0.4,ProblemData!$C$78:$C$145,0),MATCH(C59,ProblemData!$C$78:$AM$78,0)),""),"")</f>
        <v/>
      </c>
      <c r="H59" s="325" t="str">
        <f>_xlfn.IFNA(IF(JournalAnswer[[#This Row],[Credit Account]]&lt;&gt;"",INDEX(ProblemData!$C$78:$AM$145,MATCH(J59+0.4,ProblemData!$C$78:$C$145,0),MATCH(C59,ProblemData!$C$78:$AM$78,0)),""),"")</f>
        <v/>
      </c>
      <c r="I59" s="353" t="str" cm="1">
        <f t="array" ref="I59">IF(JournalAnswer[[#This Row],[Debit Account]]="Cash",INDEX(ProblemData!$E$238:$AM$238,1,JournalAnswer[[#This Row],[Transaction '#]]),IF(JournalAnswer[[#This Row],[Credit Account]]="Cash",INDEX(ProblemData!$E$238:$AM$238,1,JournalAnswer[[#This Row],[Transaction '#]]),""))</f>
        <v/>
      </c>
      <c r="J59" s="85" t="str">
        <f>IF(JournalAnswer[[#This Row],[Transaction '#]]="","",IF(JournalAnswer[[#This Row],[Transaction '#]]=C58,J58+1,1))</f>
        <v/>
      </c>
      <c r="K59" s="37" cm="1">
        <f t="array" ref="K59">IFERROR(_xlfn.IFS(JournalAnswer[[#This Row],[Debit Account]]="Cash",JournalAnswer[[#This Row],[Dr Amt]],JournalAnswer[[#This Row],[Credit Account]]="Cash",-JournalAnswer[[#This Row],[Cr Amt]]),0)</f>
        <v>0</v>
      </c>
      <c r="L59" s="41" t="str" cm="1">
        <f t="array" ref="L59">IFERROR(INDEX(ProblemData!$E$239:$AM$239,1,JournalAnswer[[#This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3:14">
      <c r="C60" s="322" t="str">
        <f t="shared" si="1"/>
        <v/>
      </c>
      <c r="D60" s="323" t="str">
        <f>IFERROR(_xlfn.IFNA(INDEX(ProblemData!$C$78:$AM$145,MATCH(J60+0.1,ProblemData!$C$78:$C$145,0),MATCH(C60,ProblemData!$C$78:$AM$78,0)),""),"")</f>
        <v/>
      </c>
      <c r="E60" s="66" t="str">
        <f>IFERROR(_xlfn.IFNA(IF(INDEX(ProblemData!$C$78:$AM$145,MATCH(J60+0.3,ProblemData!$C$78:$C$145,0),MATCH(C60,ProblemData!$C$78:$AM$78,0))="Debit",INDEX(ProblemData!$C$78:$AM$145,MATCH(J60+0.2,ProblemData!$C$78:$C$145,0),MATCH(C60,ProblemData!$C$78:$AM$78,0)),""),""),"")</f>
        <v/>
      </c>
      <c r="F60" s="66" t="str">
        <f>IFERROR(_xlfn.IFNA(IF(INDEX(ProblemData!$C$78:$AM$145,MATCH(J60+0.3,ProblemData!$C$78:$C$145,0),MATCH(C60,ProblemData!$C$78:$AM$78,0))="Credit",INDEX(ProblemData!$C$78:$AM$145,MATCH(J60+0.2,ProblemData!$C$78:$C$145,0),MATCH(C60,ProblemData!$C$78:$AM$78,0)),""),""),"")</f>
        <v/>
      </c>
      <c r="G60" s="324" t="str">
        <f>_xlfn.IFNA(IF(JournalAnswer[[#This Row],[Debit Account]]&lt;&gt;"",INDEX(ProblemData!$C$78:$AM$145,MATCH(J60+0.4,ProblemData!$C$78:$C$145,0),MATCH(C60,ProblemData!$C$78:$AM$78,0)),""),"")</f>
        <v/>
      </c>
      <c r="H60" s="325" t="str">
        <f>_xlfn.IFNA(IF(JournalAnswer[[#This Row],[Credit Account]]&lt;&gt;"",INDEX(ProblemData!$C$78:$AM$145,MATCH(J60+0.4,ProblemData!$C$78:$C$145,0),MATCH(C60,ProblemData!$C$78:$AM$78,0)),""),"")</f>
        <v/>
      </c>
      <c r="I60" s="353" t="str" cm="1">
        <f t="array" ref="I60">IF(JournalAnswer[[#This Row],[Debit Account]]="Cash",INDEX(ProblemData!$E$238:$AM$238,1,JournalAnswer[[#This Row],[Transaction '#]]),IF(JournalAnswer[[#This Row],[Credit Account]]="Cash",INDEX(ProblemData!$E$238:$AM$238,1,JournalAnswer[[#This Row],[Transaction '#]]),""))</f>
        <v/>
      </c>
      <c r="J60" s="85" t="str">
        <f>IF(JournalAnswer[[#This Row],[Transaction '#]]="","",IF(JournalAnswer[[#This Row],[Transaction '#]]=C59,J59+1,1))</f>
        <v/>
      </c>
      <c r="K60" s="37" cm="1">
        <f t="array" ref="K60">IFERROR(_xlfn.IFS(JournalAnswer[[#This Row],[Debit Account]]="Cash",JournalAnswer[[#This Row],[Dr Amt]],JournalAnswer[[#This Row],[Credit Account]]="Cash",-JournalAnswer[[#This Row],[Cr Amt]]),0)</f>
        <v>0</v>
      </c>
      <c r="L60" s="41" t="str" cm="1">
        <f t="array" ref="L60">IFERROR(INDEX(ProblemData!$E$239:$AM$239,1,JournalAnswer[[#This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3:14">
      <c r="C61" s="322" t="str">
        <f t="shared" si="1"/>
        <v/>
      </c>
      <c r="D61" s="323" t="str">
        <f>IFERROR(_xlfn.IFNA(INDEX(ProblemData!$C$78:$AM$145,MATCH(J61+0.1,ProblemData!$C$78:$C$145,0),MATCH(C61,ProblemData!$C$78:$AM$78,0)),""),"")</f>
        <v/>
      </c>
      <c r="E61" s="66" t="str">
        <f>IFERROR(_xlfn.IFNA(IF(INDEX(ProblemData!$C$78:$AM$145,MATCH(J61+0.3,ProblemData!$C$78:$C$145,0),MATCH(C61,ProblemData!$C$78:$AM$78,0))="Debit",INDEX(ProblemData!$C$78:$AM$145,MATCH(J61+0.2,ProblemData!$C$78:$C$145,0),MATCH(C61,ProblemData!$C$78:$AM$78,0)),""),""),"")</f>
        <v/>
      </c>
      <c r="F61" s="66" t="str">
        <f>IFERROR(_xlfn.IFNA(IF(INDEX(ProblemData!$C$78:$AM$145,MATCH(J61+0.3,ProblemData!$C$78:$C$145,0),MATCH(C61,ProblemData!$C$78:$AM$78,0))="Credit",INDEX(ProblemData!$C$78:$AM$145,MATCH(J61+0.2,ProblemData!$C$78:$C$145,0),MATCH(C61,ProblemData!$C$78:$AM$78,0)),""),""),"")</f>
        <v/>
      </c>
      <c r="G61" s="324" t="str">
        <f>_xlfn.IFNA(IF(JournalAnswer[[#This Row],[Debit Account]]&lt;&gt;"",INDEX(ProblemData!$C$78:$AM$145,MATCH(J61+0.4,ProblemData!$C$78:$C$145,0),MATCH(C61,ProblemData!$C$78:$AM$78,0)),""),"")</f>
        <v/>
      </c>
      <c r="H61" s="325" t="str">
        <f>_xlfn.IFNA(IF(JournalAnswer[[#This Row],[Credit Account]]&lt;&gt;"",INDEX(ProblemData!$C$78:$AM$145,MATCH(J61+0.4,ProblemData!$C$78:$C$145,0),MATCH(C61,ProblemData!$C$78:$AM$78,0)),""),"")</f>
        <v/>
      </c>
      <c r="I61" s="353" t="str" cm="1">
        <f t="array" ref="I61">IF(JournalAnswer[[#This Row],[Debit Account]]="Cash",INDEX(ProblemData!$E$238:$AM$238,1,JournalAnswer[[#This Row],[Transaction '#]]),IF(JournalAnswer[[#This Row],[Credit Account]]="Cash",INDEX(ProblemData!$E$238:$AM$238,1,JournalAnswer[[#This Row],[Transaction '#]]),""))</f>
        <v/>
      </c>
      <c r="J61" s="85" t="str">
        <f>IF(JournalAnswer[[#This Row],[Transaction '#]]="","",IF(JournalAnswer[[#This Row],[Transaction '#]]=C60,J60+1,1))</f>
        <v/>
      </c>
      <c r="K61" s="37" cm="1">
        <f t="array" ref="K61">IFERROR(_xlfn.IFS(JournalAnswer[[#This Row],[Debit Account]]="Cash",JournalAnswer[[#This Row],[Dr Amt]],JournalAnswer[[#This Row],[Credit Account]]="Cash",-JournalAnswer[[#This Row],[Cr Amt]]),0)</f>
        <v>0</v>
      </c>
      <c r="L61" s="41" t="str" cm="1">
        <f t="array" ref="L61">IFERROR(INDEX(ProblemData!$E$239:$AM$239,1,JournalAnswer[[#This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3:14">
      <c r="C62" s="322" t="str">
        <f t="shared" si="1"/>
        <v/>
      </c>
      <c r="D62" s="323" t="str">
        <f>IFERROR(_xlfn.IFNA(INDEX(ProblemData!$C$78:$AM$145,MATCH(J62+0.1,ProblemData!$C$78:$C$145,0),MATCH(C62,ProblemData!$C$78:$AM$78,0)),""),"")</f>
        <v/>
      </c>
      <c r="E62" s="66" t="str">
        <f>IFERROR(_xlfn.IFNA(IF(INDEX(ProblemData!$C$78:$AM$145,MATCH(J62+0.3,ProblemData!$C$78:$C$145,0),MATCH(C62,ProblemData!$C$78:$AM$78,0))="Debit",INDEX(ProblemData!$C$78:$AM$145,MATCH(J62+0.2,ProblemData!$C$78:$C$145,0),MATCH(C62,ProblemData!$C$78:$AM$78,0)),""),""),"")</f>
        <v/>
      </c>
      <c r="F62" s="66" t="str">
        <f>IFERROR(_xlfn.IFNA(IF(INDEX(ProblemData!$C$78:$AM$145,MATCH(J62+0.3,ProblemData!$C$78:$C$145,0),MATCH(C62,ProblemData!$C$78:$AM$78,0))="Credit",INDEX(ProblemData!$C$78:$AM$145,MATCH(J62+0.2,ProblemData!$C$78:$C$145,0),MATCH(C62,ProblemData!$C$78:$AM$78,0)),""),""),"")</f>
        <v/>
      </c>
      <c r="G62" s="324" t="str">
        <f>_xlfn.IFNA(IF(JournalAnswer[[#This Row],[Debit Account]]&lt;&gt;"",INDEX(ProblemData!$C$78:$AM$145,MATCH(J62+0.4,ProblemData!$C$78:$C$145,0),MATCH(C62,ProblemData!$C$78:$AM$78,0)),""),"")</f>
        <v/>
      </c>
      <c r="H62" s="325" t="str">
        <f>_xlfn.IFNA(IF(JournalAnswer[[#This Row],[Credit Account]]&lt;&gt;"",INDEX(ProblemData!$C$78:$AM$145,MATCH(J62+0.4,ProblemData!$C$78:$C$145,0),MATCH(C62,ProblemData!$C$78:$AM$78,0)),""),"")</f>
        <v/>
      </c>
      <c r="I62" s="353" t="str" cm="1">
        <f t="array" ref="I62">IF(JournalAnswer[[#This Row],[Debit Account]]="Cash",INDEX(ProblemData!$E$238:$AM$238,1,JournalAnswer[[#This Row],[Transaction '#]]),IF(JournalAnswer[[#This Row],[Credit Account]]="Cash",INDEX(ProblemData!$E$238:$AM$238,1,JournalAnswer[[#This Row],[Transaction '#]]),""))</f>
        <v/>
      </c>
      <c r="J62" s="85" t="str">
        <f>IF(JournalAnswer[[#This Row],[Transaction '#]]="","",IF(JournalAnswer[[#This Row],[Transaction '#]]=C61,J61+1,1))</f>
        <v/>
      </c>
      <c r="K62" s="37" cm="1">
        <f t="array" ref="K62">IFERROR(_xlfn.IFS(JournalAnswer[[#This Row],[Debit Account]]="Cash",JournalAnswer[[#This Row],[Dr Amt]],JournalAnswer[[#This Row],[Credit Account]]="Cash",-JournalAnswer[[#This Row],[Cr Amt]]),0)</f>
        <v>0</v>
      </c>
      <c r="L62" s="41" t="str" cm="1">
        <f t="array" ref="L62">IFERROR(INDEX(ProblemData!$E$239:$AM$239,1,JournalAnswer[[#This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3:14">
      <c r="C63" s="322" t="str">
        <f t="shared" si="1"/>
        <v/>
      </c>
      <c r="D63" s="323" t="str">
        <f>IFERROR(_xlfn.IFNA(INDEX(ProblemData!$C$78:$AM$145,MATCH(J63+0.1,ProblemData!$C$78:$C$145,0),MATCH(C63,ProblemData!$C$78:$AM$78,0)),""),"")</f>
        <v/>
      </c>
      <c r="E63" s="66" t="str">
        <f>IFERROR(_xlfn.IFNA(IF(INDEX(ProblemData!$C$78:$AM$145,MATCH(J63+0.3,ProblemData!$C$78:$C$145,0),MATCH(C63,ProblemData!$C$78:$AM$78,0))="Debit",INDEX(ProblemData!$C$78:$AM$145,MATCH(J63+0.2,ProblemData!$C$78:$C$145,0),MATCH(C63,ProblemData!$C$78:$AM$78,0)),""),""),"")</f>
        <v/>
      </c>
      <c r="F63" s="66" t="str">
        <f>IFERROR(_xlfn.IFNA(IF(INDEX(ProblemData!$C$78:$AM$145,MATCH(J63+0.3,ProblemData!$C$78:$C$145,0),MATCH(C63,ProblemData!$C$78:$AM$78,0))="Credit",INDEX(ProblemData!$C$78:$AM$145,MATCH(J63+0.2,ProblemData!$C$78:$C$145,0),MATCH(C63,ProblemData!$C$78:$AM$78,0)),""),""),"")</f>
        <v/>
      </c>
      <c r="G63" s="324" t="str">
        <f>_xlfn.IFNA(IF(JournalAnswer[[#This Row],[Debit Account]]&lt;&gt;"",INDEX(ProblemData!$C$78:$AM$145,MATCH(J63+0.4,ProblemData!$C$78:$C$145,0),MATCH(C63,ProblemData!$C$78:$AM$78,0)),""),"")</f>
        <v/>
      </c>
      <c r="H63" s="325" t="str">
        <f>_xlfn.IFNA(IF(JournalAnswer[[#This Row],[Credit Account]]&lt;&gt;"",INDEX(ProblemData!$C$78:$AM$145,MATCH(J63+0.4,ProblemData!$C$78:$C$145,0),MATCH(C63,ProblemData!$C$78:$AM$78,0)),""),"")</f>
        <v/>
      </c>
      <c r="I63" s="353" t="str" cm="1">
        <f t="array" ref="I63">IF(JournalAnswer[[#This Row],[Debit Account]]="Cash",INDEX(ProblemData!$E$238:$AM$238,1,JournalAnswer[[#This Row],[Transaction '#]]),IF(JournalAnswer[[#This Row],[Credit Account]]="Cash",INDEX(ProblemData!$E$238:$AM$238,1,JournalAnswer[[#This Row],[Transaction '#]]),""))</f>
        <v/>
      </c>
      <c r="J63" s="85" t="str">
        <f>IF(JournalAnswer[[#This Row],[Transaction '#]]="","",IF(JournalAnswer[[#This Row],[Transaction '#]]=C62,J62+1,1))</f>
        <v/>
      </c>
      <c r="K63" s="37" cm="1">
        <f t="array" ref="K63">IFERROR(_xlfn.IFS(JournalAnswer[[#This Row],[Debit Account]]="Cash",JournalAnswer[[#This Row],[Dr Amt]],JournalAnswer[[#This Row],[Credit Account]]="Cash",-JournalAnswer[[#This Row],[Cr Amt]]),0)</f>
        <v>0</v>
      </c>
      <c r="L63" s="41" t="str" cm="1">
        <f t="array" ref="L63">IFERROR(INDEX(ProblemData!$E$239:$AM$239,1,JournalAnswer[[#This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3:14">
      <c r="C64" s="322" t="str">
        <f t="shared" si="1"/>
        <v/>
      </c>
      <c r="D64" s="323" t="str">
        <f>IFERROR(_xlfn.IFNA(INDEX(ProblemData!$C$78:$AM$145,MATCH(J64+0.1,ProblemData!$C$78:$C$145,0),MATCH(C64,ProblemData!$C$78:$AM$78,0)),""),"")</f>
        <v/>
      </c>
      <c r="E64" s="66" t="str">
        <f>IFERROR(_xlfn.IFNA(IF(INDEX(ProblemData!$C$78:$AM$145,MATCH(J64+0.3,ProblemData!$C$78:$C$145,0),MATCH(C64,ProblemData!$C$78:$AM$78,0))="Debit",INDEX(ProblemData!$C$78:$AM$145,MATCH(J64+0.2,ProblemData!$C$78:$C$145,0),MATCH(C64,ProblemData!$C$78:$AM$78,0)),""),""),"")</f>
        <v/>
      </c>
      <c r="F64" s="66" t="str">
        <f>IFERROR(_xlfn.IFNA(IF(INDEX(ProblemData!$C$78:$AM$145,MATCH(J64+0.3,ProblemData!$C$78:$C$145,0),MATCH(C64,ProblemData!$C$78:$AM$78,0))="Credit",INDEX(ProblemData!$C$78:$AM$145,MATCH(J64+0.2,ProblemData!$C$78:$C$145,0),MATCH(C64,ProblemData!$C$78:$AM$78,0)),""),""),"")</f>
        <v/>
      </c>
      <c r="G64" s="324" t="str">
        <f>_xlfn.IFNA(IF(JournalAnswer[[#This Row],[Debit Account]]&lt;&gt;"",INDEX(ProblemData!$C$78:$AM$145,MATCH(J64+0.4,ProblemData!$C$78:$C$145,0),MATCH(C64,ProblemData!$C$78:$AM$78,0)),""),"")</f>
        <v/>
      </c>
      <c r="H64" s="325" t="str">
        <f>_xlfn.IFNA(IF(JournalAnswer[[#This Row],[Credit Account]]&lt;&gt;"",INDEX(ProblemData!$C$78:$AM$145,MATCH(J64+0.4,ProblemData!$C$78:$C$145,0),MATCH(C64,ProblemData!$C$78:$AM$78,0)),""),"")</f>
        <v/>
      </c>
      <c r="I64" s="353" t="str" cm="1">
        <f t="array" ref="I64">IF(JournalAnswer[[#This Row],[Debit Account]]="Cash",INDEX(ProblemData!$E$238:$AM$238,1,JournalAnswer[[#This Row],[Transaction '#]]),IF(JournalAnswer[[#This Row],[Credit Account]]="Cash",INDEX(ProblemData!$E$238:$AM$238,1,JournalAnswer[[#This Row],[Transaction '#]]),""))</f>
        <v/>
      </c>
      <c r="J64" s="85" t="str">
        <f>IF(JournalAnswer[[#This Row],[Transaction '#]]="","",IF(JournalAnswer[[#This Row],[Transaction '#]]=C63,J63+1,1))</f>
        <v/>
      </c>
      <c r="K64" s="37" cm="1">
        <f t="array" ref="K64">IFERROR(_xlfn.IFS(JournalAnswer[[#This Row],[Debit Account]]="Cash",JournalAnswer[[#This Row],[Dr Amt]],JournalAnswer[[#This Row],[Credit Account]]="Cash",-JournalAnswer[[#This Row],[Cr Amt]]),0)</f>
        <v>0</v>
      </c>
      <c r="L64" s="41" t="str" cm="1">
        <f t="array" ref="L64">IFERROR(INDEX(ProblemData!$E$239:$AM$239,1,JournalAnswer[[#This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c r="C65" s="322" t="str">
        <f t="shared" si="1"/>
        <v/>
      </c>
      <c r="D65" s="323" t="str">
        <f>IFERROR(_xlfn.IFNA(INDEX(ProblemData!$C$78:$AM$145,MATCH(J65+0.1,ProblemData!$C$78:$C$145,0),MATCH(C65,ProblemData!$C$78:$AM$78,0)),""),"")</f>
        <v/>
      </c>
      <c r="E65" s="66" t="str">
        <f>IFERROR(_xlfn.IFNA(IF(INDEX(ProblemData!$C$78:$AM$145,MATCH(J65+0.3,ProblemData!$C$78:$C$145,0),MATCH(C65,ProblemData!$C$78:$AM$78,0))="Debit",INDEX(ProblemData!$C$78:$AM$145,MATCH(J65+0.2,ProblemData!$C$78:$C$145,0),MATCH(C65,ProblemData!$C$78:$AM$78,0)),""),""),"")</f>
        <v/>
      </c>
      <c r="F65" s="66" t="str">
        <f>IFERROR(_xlfn.IFNA(IF(INDEX(ProblemData!$C$78:$AM$145,MATCH(J65+0.3,ProblemData!$C$78:$C$145,0),MATCH(C65,ProblemData!$C$78:$AM$78,0))="Credit",INDEX(ProblemData!$C$78:$AM$145,MATCH(J65+0.2,ProblemData!$C$78:$C$145,0),MATCH(C65,ProblemData!$C$78:$AM$78,0)),""),""),"")</f>
        <v/>
      </c>
      <c r="G65" s="324" t="str">
        <f>_xlfn.IFNA(IF(JournalAnswer[[#This Row],[Debit Account]]&lt;&gt;"",INDEX(ProblemData!$C$78:$AM$145,MATCH(J65+0.4,ProblemData!$C$78:$C$145,0),MATCH(C65,ProblemData!$C$78:$AM$78,0)),""),"")</f>
        <v/>
      </c>
      <c r="H65" s="325" t="str">
        <f>_xlfn.IFNA(IF(JournalAnswer[[#This Row],[Credit Account]]&lt;&gt;"",INDEX(ProblemData!$C$78:$AM$145,MATCH(J65+0.4,ProblemData!$C$78:$C$145,0),MATCH(C65,ProblemData!$C$78:$AM$78,0)),""),"")</f>
        <v/>
      </c>
      <c r="I65" s="353" t="str" cm="1">
        <f t="array" ref="I65">IF(JournalAnswer[[#This Row],[Debit Account]]="Cash",INDEX(ProblemData!$E$238:$AM$238,1,JournalAnswer[[#This Row],[Transaction '#]]),IF(JournalAnswer[[#This Row],[Credit Account]]="Cash",INDEX(ProblemData!$E$238:$AM$238,1,JournalAnswer[[#This Row],[Transaction '#]]),""))</f>
        <v/>
      </c>
      <c r="J65" s="85" t="str">
        <f>IF(JournalAnswer[[#This Row],[Transaction '#]]="","",IF(JournalAnswer[[#This Row],[Transaction '#]]=C64,J64+1,1))</f>
        <v/>
      </c>
      <c r="K65" s="37" cm="1">
        <f t="array" ref="K65">IFERROR(_xlfn.IFS(JournalAnswer[[#This Row],[Debit Account]]="Cash",JournalAnswer[[#This Row],[Dr Amt]],JournalAnswer[[#This Row],[Credit Account]]="Cash",-JournalAnswer[[#This Row],[Cr Amt]]),0)</f>
        <v>0</v>
      </c>
      <c r="L65" s="41" t="str" cm="1">
        <f t="array" ref="L65">IFERROR(INDEX(ProblemData!$E$239:$AM$239,1,JournalAnswer[[#This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322" t="str">
        <f t="shared" si="1"/>
        <v/>
      </c>
      <c r="D66" s="323" t="str">
        <f>IFERROR(_xlfn.IFNA(INDEX(ProblemData!$C$78:$AM$145,MATCH(J66+0.1,ProblemData!$C$78:$C$145,0),MATCH(C66,ProblemData!$C$78:$AM$78,0)),""),"")</f>
        <v/>
      </c>
      <c r="E66" s="66" t="str">
        <f>IFERROR(_xlfn.IFNA(IF(INDEX(ProblemData!$C$78:$AM$145,MATCH(J66+0.3,ProblemData!$C$78:$C$145,0),MATCH(C66,ProblemData!$C$78:$AM$78,0))="Debit",INDEX(ProblemData!$C$78:$AM$145,MATCH(J66+0.2,ProblemData!$C$78:$C$145,0),MATCH(C66,ProblemData!$C$78:$AM$78,0)),""),""),"")</f>
        <v/>
      </c>
      <c r="F66" s="66" t="str">
        <f>IFERROR(_xlfn.IFNA(IF(INDEX(ProblemData!$C$78:$AM$145,MATCH(J66+0.3,ProblemData!$C$78:$C$145,0),MATCH(C66,ProblemData!$C$78:$AM$78,0))="Credit",INDEX(ProblemData!$C$78:$AM$145,MATCH(J66+0.2,ProblemData!$C$78:$C$145,0),MATCH(C66,ProblemData!$C$78:$AM$78,0)),""),""),"")</f>
        <v/>
      </c>
      <c r="G66" s="324" t="str">
        <f>_xlfn.IFNA(IF(JournalAnswer[[#This Row],[Debit Account]]&lt;&gt;"",INDEX(ProblemData!$C$78:$AM$145,MATCH(J66+0.4,ProblemData!$C$78:$C$145,0),MATCH(C66,ProblemData!$C$78:$AM$78,0)),""),"")</f>
        <v/>
      </c>
      <c r="H66" s="325" t="str">
        <f>_xlfn.IFNA(IF(JournalAnswer[[#This Row],[Credit Account]]&lt;&gt;"",INDEX(ProblemData!$C$78:$AM$145,MATCH(J66+0.4,ProblemData!$C$78:$C$145,0),MATCH(C66,ProblemData!$C$78:$AM$78,0)),""),"")</f>
        <v/>
      </c>
      <c r="I66" s="353" t="str" cm="1">
        <f t="array" ref="I66">IF(JournalAnswer[[#This Row],[Debit Account]]="Cash",INDEX(ProblemData!$E$238:$AM$238,1,JournalAnswer[[#This Row],[Transaction '#]]),IF(JournalAnswer[[#This Row],[Credit Account]]="Cash",INDEX(ProblemData!$E$238:$AM$238,1,JournalAnswer[[#This Row],[Transaction '#]]),""))</f>
        <v/>
      </c>
      <c r="J66" s="85" t="str">
        <f>IF(JournalAnswer[[#This Row],[Transaction '#]]="","",IF(JournalAnswer[[#This Row],[Transaction '#]]=C65,J65+1,1))</f>
        <v/>
      </c>
      <c r="K66" s="37" cm="1">
        <f t="array" ref="K66">IFERROR(_xlfn.IFS(JournalAnswer[[#This Row],[Debit Account]]="Cash",JournalAnswer[[#This Row],[Dr Amt]],JournalAnswer[[#This Row],[Credit Account]]="Cash",-JournalAnswer[[#This Row],[Cr Amt]]),0)</f>
        <v>0</v>
      </c>
      <c r="L66" s="41" t="str" cm="1">
        <f t="array" ref="L66">IFERROR(INDEX(ProblemData!$E$239:$AM$239,1,JournalAnswer[[#This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322" t="str">
        <f t="shared" si="1"/>
        <v/>
      </c>
      <c r="D67" s="323" t="str">
        <f>IFERROR(_xlfn.IFNA(INDEX(ProblemData!$C$78:$AM$145,MATCH(J67+0.1,ProblemData!$C$78:$C$145,0),MATCH(C67,ProblemData!$C$78:$AM$78,0)),""),"")</f>
        <v/>
      </c>
      <c r="E67" s="66" t="str">
        <f>IFERROR(_xlfn.IFNA(IF(INDEX(ProblemData!$C$78:$AM$145,MATCH(J67+0.3,ProblemData!$C$78:$C$145,0),MATCH(C67,ProblemData!$C$78:$AM$78,0))="Debit",INDEX(ProblemData!$C$78:$AM$145,MATCH(J67+0.2,ProblemData!$C$78:$C$145,0),MATCH(C67,ProblemData!$C$78:$AM$78,0)),""),""),"")</f>
        <v/>
      </c>
      <c r="F67" s="66" t="str">
        <f>IFERROR(_xlfn.IFNA(IF(INDEX(ProblemData!$C$78:$AM$145,MATCH(J67+0.3,ProblemData!$C$78:$C$145,0),MATCH(C67,ProblemData!$C$78:$AM$78,0))="Credit",INDEX(ProblemData!$C$78:$AM$145,MATCH(J67+0.2,ProblemData!$C$78:$C$145,0),MATCH(C67,ProblemData!$C$78:$AM$78,0)),""),""),"")</f>
        <v/>
      </c>
      <c r="G67" s="324" t="str">
        <f>_xlfn.IFNA(IF(JournalAnswer[[#This Row],[Debit Account]]&lt;&gt;"",INDEX(ProblemData!$C$78:$AM$145,MATCH(J67+0.4,ProblemData!$C$78:$C$145,0),MATCH(C67,ProblemData!$C$78:$AM$78,0)),""),"")</f>
        <v/>
      </c>
      <c r="H67" s="325" t="str">
        <f>_xlfn.IFNA(IF(JournalAnswer[[#This Row],[Credit Account]]&lt;&gt;"",INDEX(ProblemData!$C$78:$AM$145,MATCH(J67+0.4,ProblemData!$C$78:$C$145,0),MATCH(C67,ProblemData!$C$78:$AM$78,0)),""),"")</f>
        <v/>
      </c>
      <c r="I67" s="353" t="str" cm="1">
        <f t="array" ref="I67">IF(JournalAnswer[[#This Row],[Debit Account]]="Cash",INDEX(ProblemData!$E$238:$AM$238,1,JournalAnswer[[#This Row],[Transaction '#]]),IF(JournalAnswer[[#This Row],[Credit Account]]="Cash",INDEX(ProblemData!$E$238:$AM$238,1,JournalAnswer[[#This Row],[Transaction '#]]),""))</f>
        <v/>
      </c>
      <c r="J67" s="85" t="str">
        <f>IF(JournalAnswer[[#This Row],[Transaction '#]]="","",IF(JournalAnswer[[#This Row],[Transaction '#]]=C66,J66+1,1))</f>
        <v/>
      </c>
      <c r="K67" s="37" cm="1">
        <f t="array" ref="K67">IFERROR(_xlfn.IFS(JournalAnswer[[#This Row],[Debit Account]]="Cash",JournalAnswer[[#This Row],[Dr Amt]],JournalAnswer[[#This Row],[Credit Account]]="Cash",-JournalAnswer[[#This Row],[Cr Amt]]),0)</f>
        <v>0</v>
      </c>
      <c r="L67" s="41" t="str" cm="1">
        <f t="array" ref="L67">IFERROR(INDEX(ProblemData!$E$239:$AM$239,1,JournalAnswer[[#This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322" t="str">
        <f t="shared" si="1"/>
        <v/>
      </c>
      <c r="D68" s="323" t="str">
        <f>IFERROR(_xlfn.IFNA(INDEX(ProblemData!$C$78:$AM$145,MATCH(J68+0.1,ProblemData!$C$78:$C$145,0),MATCH(C68,ProblemData!$C$78:$AM$78,0)),""),"")</f>
        <v/>
      </c>
      <c r="E68" s="66" t="str">
        <f>IFERROR(_xlfn.IFNA(IF(INDEX(ProblemData!$C$78:$AM$145,MATCH(J68+0.3,ProblemData!$C$78:$C$145,0),MATCH(C68,ProblemData!$C$78:$AM$78,0))="Debit",INDEX(ProblemData!$C$78:$AM$145,MATCH(J68+0.2,ProblemData!$C$78:$C$145,0),MATCH(C68,ProblemData!$C$78:$AM$78,0)),""),""),"")</f>
        <v/>
      </c>
      <c r="F68" s="66" t="str">
        <f>IFERROR(_xlfn.IFNA(IF(INDEX(ProblemData!$C$78:$AM$145,MATCH(J68+0.3,ProblemData!$C$78:$C$145,0),MATCH(C68,ProblemData!$C$78:$AM$78,0))="Credit",INDEX(ProblemData!$C$78:$AM$145,MATCH(J68+0.2,ProblemData!$C$78:$C$145,0),MATCH(C68,ProblemData!$C$78:$AM$78,0)),""),""),"")</f>
        <v/>
      </c>
      <c r="G68" s="324" t="str">
        <f>_xlfn.IFNA(IF(JournalAnswer[[#This Row],[Debit Account]]&lt;&gt;"",INDEX(ProblemData!$C$78:$AM$145,MATCH(J68+0.4,ProblemData!$C$78:$C$145,0),MATCH(C68,ProblemData!$C$78:$AM$78,0)),""),"")</f>
        <v/>
      </c>
      <c r="H68" s="325" t="str">
        <f>_xlfn.IFNA(IF(JournalAnswer[[#This Row],[Credit Account]]&lt;&gt;"",INDEX(ProblemData!$C$78:$AM$145,MATCH(J68+0.4,ProblemData!$C$78:$C$145,0),MATCH(C68,ProblemData!$C$78:$AM$78,0)),""),"")</f>
        <v/>
      </c>
      <c r="I68" s="353" t="str" cm="1">
        <f t="array" ref="I68">IF(JournalAnswer[[#This Row],[Debit Account]]="Cash",INDEX(ProblemData!$E$238:$AM$238,1,JournalAnswer[[#This Row],[Transaction '#]]),IF(JournalAnswer[[#This Row],[Credit Account]]="Cash",INDEX(ProblemData!$E$238:$AM$238,1,JournalAnswer[[#This Row],[Transaction '#]]),""))</f>
        <v/>
      </c>
      <c r="J68" s="85" t="str">
        <f>IF(JournalAnswer[[#This Row],[Transaction '#]]="","",IF(JournalAnswer[[#This Row],[Transaction '#]]=C67,J67+1,1))</f>
        <v/>
      </c>
      <c r="K68" s="37" cm="1">
        <f t="array" ref="K68">IFERROR(_xlfn.IFS(JournalAnswer[[#This Row],[Debit Account]]="Cash",JournalAnswer[[#This Row],[Dr Amt]],JournalAnswer[[#This Row],[Credit Account]]="Cash",-JournalAnswer[[#This Row],[Cr Amt]]),0)</f>
        <v>0</v>
      </c>
      <c r="L68" s="41" t="str" cm="1">
        <f t="array" ref="L68">IFERROR(INDEX(ProblemData!$E$239:$AM$239,1,JournalAnswer[[#This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322" t="str">
        <f t="shared" si="1"/>
        <v/>
      </c>
      <c r="D69" s="323" t="str">
        <f>IFERROR(_xlfn.IFNA(INDEX(ProblemData!$C$78:$AM$145,MATCH(J69+0.1,ProblemData!$C$78:$C$145,0),MATCH(C69,ProblemData!$C$78:$AM$78,0)),""),"")</f>
        <v/>
      </c>
      <c r="E69" s="66" t="str">
        <f>IFERROR(_xlfn.IFNA(IF(INDEX(ProblemData!$C$78:$AM$145,MATCH(J69+0.3,ProblemData!$C$78:$C$145,0),MATCH(C69,ProblemData!$C$78:$AM$78,0))="Debit",INDEX(ProblemData!$C$78:$AM$145,MATCH(J69+0.2,ProblemData!$C$78:$C$145,0),MATCH(C69,ProblemData!$C$78:$AM$78,0)),""),""),"")</f>
        <v/>
      </c>
      <c r="F69" s="66" t="str">
        <f>IFERROR(_xlfn.IFNA(IF(INDEX(ProblemData!$C$78:$AM$145,MATCH(J69+0.3,ProblemData!$C$78:$C$145,0),MATCH(C69,ProblemData!$C$78:$AM$78,0))="Credit",INDEX(ProblemData!$C$78:$AM$145,MATCH(J69+0.2,ProblemData!$C$78:$C$145,0),MATCH(C69,ProblemData!$C$78:$AM$78,0)),""),""),"")</f>
        <v/>
      </c>
      <c r="G69" s="324" t="str">
        <f>_xlfn.IFNA(IF(JournalAnswer[[#This Row],[Debit Account]]&lt;&gt;"",INDEX(ProblemData!$C$78:$AM$145,MATCH(J69+0.4,ProblemData!$C$78:$C$145,0),MATCH(C69,ProblemData!$C$78:$AM$78,0)),""),"")</f>
        <v/>
      </c>
      <c r="H69" s="325" t="str">
        <f>_xlfn.IFNA(IF(JournalAnswer[[#This Row],[Credit Account]]&lt;&gt;"",INDEX(ProblemData!$C$78:$AM$145,MATCH(J69+0.4,ProblemData!$C$78:$C$145,0),MATCH(C69,ProblemData!$C$78:$AM$78,0)),""),"")</f>
        <v/>
      </c>
      <c r="I69" s="353" t="str" cm="1">
        <f t="array" ref="I69">IF(JournalAnswer[[#This Row],[Debit Account]]="Cash",INDEX(ProblemData!$E$238:$AM$238,1,JournalAnswer[[#This Row],[Transaction '#]]),IF(JournalAnswer[[#This Row],[Credit Account]]="Cash",INDEX(ProblemData!$E$238:$AM$238,1,JournalAnswer[[#This Row],[Transaction '#]]),""))</f>
        <v/>
      </c>
      <c r="J69" s="85" t="str">
        <f>IF(JournalAnswer[[#This Row],[Transaction '#]]="","",IF(JournalAnswer[[#This Row],[Transaction '#]]=C68,J68+1,1))</f>
        <v/>
      </c>
      <c r="K69" s="37" cm="1">
        <f t="array" ref="K69">IFERROR(_xlfn.IFS(JournalAnswer[[#This Row],[Debit Account]]="Cash",JournalAnswer[[#This Row],[Dr Amt]],JournalAnswer[[#This Row],[Credit Account]]="Cash",-JournalAnswer[[#This Row],[Cr Amt]]),0)</f>
        <v>0</v>
      </c>
      <c r="L69" s="41" t="str" cm="1">
        <f t="array" ref="L69">IFERROR(INDEX(ProblemData!$E$239:$AM$239,1,JournalAnswer[[#This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322" t="str">
        <f t="shared" si="1"/>
        <v/>
      </c>
      <c r="D70" s="323" t="str">
        <f>IFERROR(_xlfn.IFNA(INDEX(ProblemData!$C$78:$AM$145,MATCH(J70+0.1,ProblemData!$C$78:$C$145,0),MATCH(C70,ProblemData!$C$78:$AM$78,0)),""),"")</f>
        <v/>
      </c>
      <c r="E70" s="66" t="str">
        <f>IFERROR(_xlfn.IFNA(IF(INDEX(ProblemData!$C$78:$AM$145,MATCH(J70+0.3,ProblemData!$C$78:$C$145,0),MATCH(C70,ProblemData!$C$78:$AM$78,0))="Debit",INDEX(ProblemData!$C$78:$AM$145,MATCH(J70+0.2,ProblemData!$C$78:$C$145,0),MATCH(C70,ProblemData!$C$78:$AM$78,0)),""),""),"")</f>
        <v/>
      </c>
      <c r="F70" s="66" t="str">
        <f>IFERROR(_xlfn.IFNA(IF(INDEX(ProblemData!$C$78:$AM$145,MATCH(J70+0.3,ProblemData!$C$78:$C$145,0),MATCH(C70,ProblemData!$C$78:$AM$78,0))="Credit",INDEX(ProblemData!$C$78:$AM$145,MATCH(J70+0.2,ProblemData!$C$78:$C$145,0),MATCH(C70,ProblemData!$C$78:$AM$78,0)),""),""),"")</f>
        <v/>
      </c>
      <c r="G70" s="324" t="str">
        <f>_xlfn.IFNA(IF(JournalAnswer[[#This Row],[Debit Account]]&lt;&gt;"",INDEX(ProblemData!$C$78:$AM$145,MATCH(J70+0.4,ProblemData!$C$78:$C$145,0),MATCH(C70,ProblemData!$C$78:$AM$78,0)),""),"")</f>
        <v/>
      </c>
      <c r="H70" s="325" t="str">
        <f>_xlfn.IFNA(IF(JournalAnswer[[#This Row],[Credit Account]]&lt;&gt;"",INDEX(ProblemData!$C$78:$AM$145,MATCH(J70+0.4,ProblemData!$C$78:$C$145,0),MATCH(C70,ProblemData!$C$78:$AM$78,0)),""),"")</f>
        <v/>
      </c>
      <c r="I70" s="353" t="str" cm="1">
        <f t="array" ref="I70">IF(JournalAnswer[[#This Row],[Debit Account]]="Cash",INDEX(ProblemData!$E$238:$AM$238,1,JournalAnswer[[#This Row],[Transaction '#]]),IF(JournalAnswer[[#This Row],[Credit Account]]="Cash",INDEX(ProblemData!$E$238:$AM$238,1,JournalAnswer[[#This Row],[Transaction '#]]),""))</f>
        <v/>
      </c>
      <c r="J70" s="85" t="str">
        <f>IF(JournalAnswer[[#This Row],[Transaction '#]]="","",IF(JournalAnswer[[#This Row],[Transaction '#]]=C69,J69+1,1))</f>
        <v/>
      </c>
      <c r="K70" s="37" cm="1">
        <f t="array" ref="K70">IFERROR(_xlfn.IFS(JournalAnswer[[#This Row],[Debit Account]]="Cash",JournalAnswer[[#This Row],[Dr Amt]],JournalAnswer[[#This Row],[Credit Account]]="Cash",-JournalAnswer[[#This Row],[Cr Amt]]),0)</f>
        <v>0</v>
      </c>
      <c r="L70" s="41" t="str" cm="1">
        <f t="array" ref="L70">IFERROR(INDEX(ProblemData!$E$239:$AM$239,1,JournalAnswer[[#This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322" t="str">
        <f t="shared" si="1"/>
        <v/>
      </c>
      <c r="D71" s="323" t="str">
        <f>IFERROR(_xlfn.IFNA(INDEX(ProblemData!$C$78:$AM$145,MATCH(J71+0.1,ProblemData!$C$78:$C$145,0),MATCH(C71,ProblemData!$C$78:$AM$78,0)),""),"")</f>
        <v/>
      </c>
      <c r="E71" s="66" t="str">
        <f>IFERROR(_xlfn.IFNA(IF(INDEX(ProblemData!$C$78:$AM$145,MATCH(J71+0.3,ProblemData!$C$78:$C$145,0),MATCH(C71,ProblemData!$C$78:$AM$78,0))="Debit",INDEX(ProblemData!$C$78:$AM$145,MATCH(J71+0.2,ProblemData!$C$78:$C$145,0),MATCH(C71,ProblemData!$C$78:$AM$78,0)),""),""),"")</f>
        <v/>
      </c>
      <c r="F71" s="66" t="str">
        <f>IFERROR(_xlfn.IFNA(IF(INDEX(ProblemData!$C$78:$AM$145,MATCH(J71+0.3,ProblemData!$C$78:$C$145,0),MATCH(C71,ProblemData!$C$78:$AM$78,0))="Credit",INDEX(ProblemData!$C$78:$AM$145,MATCH(J71+0.2,ProblemData!$C$78:$C$145,0),MATCH(C71,ProblemData!$C$78:$AM$78,0)),""),""),"")</f>
        <v/>
      </c>
      <c r="G71" s="324" t="str">
        <f>_xlfn.IFNA(IF(JournalAnswer[[#This Row],[Debit Account]]&lt;&gt;"",INDEX(ProblemData!$C$78:$AM$145,MATCH(J71+0.4,ProblemData!$C$78:$C$145,0),MATCH(C71,ProblemData!$C$78:$AM$78,0)),""),"")</f>
        <v/>
      </c>
      <c r="H71" s="325" t="str">
        <f>_xlfn.IFNA(IF(JournalAnswer[[#This Row],[Credit Account]]&lt;&gt;"",INDEX(ProblemData!$C$78:$AM$145,MATCH(J71+0.4,ProblemData!$C$78:$C$145,0),MATCH(C71,ProblemData!$C$78:$AM$78,0)),""),"")</f>
        <v/>
      </c>
      <c r="I71" s="353" t="str" cm="1">
        <f t="array" ref="I71">IF(JournalAnswer[[#This Row],[Debit Account]]="Cash",INDEX(ProblemData!$E$238:$AM$238,1,JournalAnswer[[#This Row],[Transaction '#]]),IF(JournalAnswer[[#This Row],[Credit Account]]="Cash",INDEX(ProblemData!$E$238:$AM$238,1,JournalAnswer[[#This Row],[Transaction '#]]),""))</f>
        <v/>
      </c>
      <c r="J71" s="85" t="str">
        <f>IF(JournalAnswer[[#This Row],[Transaction '#]]="","",IF(JournalAnswer[[#This Row],[Transaction '#]]=C70,J70+1,1))</f>
        <v/>
      </c>
      <c r="K71" s="37" cm="1">
        <f t="array" ref="K71">IFERROR(_xlfn.IFS(JournalAnswer[[#This Row],[Debit Account]]="Cash",JournalAnswer[[#This Row],[Dr Amt]],JournalAnswer[[#This Row],[Credit Account]]="Cash",-JournalAnswer[[#This Row],[Cr Amt]]),0)</f>
        <v>0</v>
      </c>
      <c r="L71" s="41" t="str" cm="1">
        <f t="array" ref="L71">IFERROR(INDEX(ProblemData!$E$239:$AM$239,1,JournalAnswer[[#This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322" t="str">
        <f t="shared" si="1"/>
        <v/>
      </c>
      <c r="D72" s="323" t="str">
        <f>IFERROR(_xlfn.IFNA(INDEX(ProblemData!$C$78:$AM$145,MATCH(J72+0.1,ProblemData!$C$78:$C$145,0),MATCH(C72,ProblemData!$C$78:$AM$78,0)),""),"")</f>
        <v/>
      </c>
      <c r="E72" s="66" t="str">
        <f>IFERROR(_xlfn.IFNA(IF(INDEX(ProblemData!$C$78:$AM$145,MATCH(J72+0.3,ProblemData!$C$78:$C$145,0),MATCH(C72,ProblemData!$C$78:$AM$78,0))="Debit",INDEX(ProblemData!$C$78:$AM$145,MATCH(J72+0.2,ProblemData!$C$78:$C$145,0),MATCH(C72,ProblemData!$C$78:$AM$78,0)),""),""),"")</f>
        <v/>
      </c>
      <c r="F72" s="66" t="str">
        <f>IFERROR(_xlfn.IFNA(IF(INDEX(ProblemData!$C$78:$AM$145,MATCH(J72+0.3,ProblemData!$C$78:$C$145,0),MATCH(C72,ProblemData!$C$78:$AM$78,0))="Credit",INDEX(ProblemData!$C$78:$AM$145,MATCH(J72+0.2,ProblemData!$C$78:$C$145,0),MATCH(C72,ProblemData!$C$78:$AM$78,0)),""),""),"")</f>
        <v/>
      </c>
      <c r="G72" s="324" t="str">
        <f>_xlfn.IFNA(IF(JournalAnswer[[#This Row],[Debit Account]]&lt;&gt;"",INDEX(ProblemData!$C$78:$AM$145,MATCH(J72+0.4,ProblemData!$C$78:$C$145,0),MATCH(C72,ProblemData!$C$78:$AM$78,0)),""),"")</f>
        <v/>
      </c>
      <c r="H72" s="325" t="str">
        <f>_xlfn.IFNA(IF(JournalAnswer[[#This Row],[Credit Account]]&lt;&gt;"",INDEX(ProblemData!$C$78:$AM$145,MATCH(J72+0.4,ProblemData!$C$78:$C$145,0),MATCH(C72,ProblemData!$C$78:$AM$78,0)),""),"")</f>
        <v/>
      </c>
      <c r="I72" s="353" t="str" cm="1">
        <f t="array" ref="I72">IF(JournalAnswer[[#This Row],[Debit Account]]="Cash",INDEX(ProblemData!$E$238:$AM$238,1,JournalAnswer[[#This Row],[Transaction '#]]),IF(JournalAnswer[[#This Row],[Credit Account]]="Cash",INDEX(ProblemData!$E$238:$AM$238,1,JournalAnswer[[#This Row],[Transaction '#]]),""))</f>
        <v/>
      </c>
      <c r="J72" s="85" t="str">
        <f>IF(JournalAnswer[[#This Row],[Transaction '#]]="","",IF(JournalAnswer[[#This Row],[Transaction '#]]=C71,J71+1,1))</f>
        <v/>
      </c>
      <c r="K72" s="37" cm="1">
        <f t="array" ref="K72">IFERROR(_xlfn.IFS(JournalAnswer[[#This Row],[Debit Account]]="Cash",JournalAnswer[[#This Row],[Dr Amt]],JournalAnswer[[#This Row],[Credit Account]]="Cash",-JournalAnswer[[#This Row],[Cr Amt]]),0)</f>
        <v>0</v>
      </c>
      <c r="L72" s="41" t="str" cm="1">
        <f t="array" ref="L72">IFERROR(INDEX(ProblemData!$E$239:$AM$239,1,JournalAnswer[[#This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322" t="str">
        <f t="shared" si="1"/>
        <v/>
      </c>
      <c r="D73" s="323" t="str">
        <f>IFERROR(_xlfn.IFNA(INDEX(ProblemData!$C$78:$AM$145,MATCH(J73+0.1,ProblemData!$C$78:$C$145,0),MATCH(C73,ProblemData!$C$78:$AM$78,0)),""),"")</f>
        <v/>
      </c>
      <c r="E73" s="66" t="str">
        <f>IFERROR(_xlfn.IFNA(IF(INDEX(ProblemData!$C$78:$AM$145,MATCH(J73+0.3,ProblemData!$C$78:$C$145,0),MATCH(C73,ProblemData!$C$78:$AM$78,0))="Debit",INDEX(ProblemData!$C$78:$AM$145,MATCH(J73+0.2,ProblemData!$C$78:$C$145,0),MATCH(C73,ProblemData!$C$78:$AM$78,0)),""),""),"")</f>
        <v/>
      </c>
      <c r="F73" s="66" t="str">
        <f>IFERROR(_xlfn.IFNA(IF(INDEX(ProblemData!$C$78:$AM$145,MATCH(J73+0.3,ProblemData!$C$78:$C$145,0),MATCH(C73,ProblemData!$C$78:$AM$78,0))="Credit",INDEX(ProblemData!$C$78:$AM$145,MATCH(J73+0.2,ProblemData!$C$78:$C$145,0),MATCH(C73,ProblemData!$C$78:$AM$78,0)),""),""),"")</f>
        <v/>
      </c>
      <c r="G73" s="324" t="str">
        <f>_xlfn.IFNA(IF(JournalAnswer[[#This Row],[Debit Account]]&lt;&gt;"",INDEX(ProblemData!$C$78:$AM$145,MATCH(J73+0.4,ProblemData!$C$78:$C$145,0),MATCH(C73,ProblemData!$C$78:$AM$78,0)),""),"")</f>
        <v/>
      </c>
      <c r="H73" s="325" t="str">
        <f>_xlfn.IFNA(IF(JournalAnswer[[#This Row],[Credit Account]]&lt;&gt;"",INDEX(ProblemData!$C$78:$AM$145,MATCH(J73+0.4,ProblemData!$C$78:$C$145,0),MATCH(C73,ProblemData!$C$78:$AM$78,0)),""),"")</f>
        <v/>
      </c>
      <c r="I73" s="353" t="str" cm="1">
        <f t="array" ref="I73">IF(JournalAnswer[[#This Row],[Debit Account]]="Cash",INDEX(ProblemData!$E$238:$AM$238,1,JournalAnswer[[#This Row],[Transaction '#]]),IF(JournalAnswer[[#This Row],[Credit Account]]="Cash",INDEX(ProblemData!$E$238:$AM$238,1,JournalAnswer[[#This Row],[Transaction '#]]),""))</f>
        <v/>
      </c>
      <c r="J73" s="85" t="str">
        <f>IF(JournalAnswer[[#This Row],[Transaction '#]]="","",IF(JournalAnswer[[#This Row],[Transaction '#]]=C72,J72+1,1))</f>
        <v/>
      </c>
      <c r="K73" s="37" cm="1">
        <f t="array" ref="K73">IFERROR(_xlfn.IFS(JournalAnswer[[#This Row],[Debit Account]]="Cash",JournalAnswer[[#This Row],[Dr Amt]],JournalAnswer[[#This Row],[Credit Account]]="Cash",-JournalAnswer[[#This Row],[Cr Amt]]),0)</f>
        <v>0</v>
      </c>
      <c r="L73" s="41" t="str" cm="1">
        <f t="array" ref="L73">IFERROR(INDEX(ProblemData!$E$239:$AM$239,1,JournalAnswer[[#This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322" t="str">
        <f t="shared" si="1"/>
        <v/>
      </c>
      <c r="D74" s="323" t="str">
        <f>IFERROR(_xlfn.IFNA(INDEX(ProblemData!$C$78:$AM$145,MATCH(J74+0.1,ProblemData!$C$78:$C$145,0),MATCH(C74,ProblemData!$C$78:$AM$78,0)),""),"")</f>
        <v/>
      </c>
      <c r="E74" s="66" t="str">
        <f>IFERROR(_xlfn.IFNA(IF(INDEX(ProblemData!$C$78:$AM$145,MATCH(J74+0.3,ProblemData!$C$78:$C$145,0),MATCH(C74,ProblemData!$C$78:$AM$78,0))="Debit",INDEX(ProblemData!$C$78:$AM$145,MATCH(J74+0.2,ProblemData!$C$78:$C$145,0),MATCH(C74,ProblemData!$C$78:$AM$78,0)),""),""),"")</f>
        <v/>
      </c>
      <c r="F74" s="66" t="str">
        <f>IFERROR(_xlfn.IFNA(IF(INDEX(ProblemData!$C$78:$AM$145,MATCH(J74+0.3,ProblemData!$C$78:$C$145,0),MATCH(C74,ProblemData!$C$78:$AM$78,0))="Credit",INDEX(ProblemData!$C$78:$AM$145,MATCH(J74+0.2,ProblemData!$C$78:$C$145,0),MATCH(C74,ProblemData!$C$78:$AM$78,0)),""),""),"")</f>
        <v/>
      </c>
      <c r="G74" s="324" t="str">
        <f>_xlfn.IFNA(IF(JournalAnswer[[#This Row],[Debit Account]]&lt;&gt;"",INDEX(ProblemData!$C$78:$AM$145,MATCH(J74+0.4,ProblemData!$C$78:$C$145,0),MATCH(C74,ProblemData!$C$78:$AM$78,0)),""),"")</f>
        <v/>
      </c>
      <c r="H74" s="325" t="str">
        <f>_xlfn.IFNA(IF(JournalAnswer[[#This Row],[Credit Account]]&lt;&gt;"",INDEX(ProblemData!$C$78:$AM$145,MATCH(J74+0.4,ProblemData!$C$78:$C$145,0),MATCH(C74,ProblemData!$C$78:$AM$78,0)),""),"")</f>
        <v/>
      </c>
      <c r="I74" s="353" t="str" cm="1">
        <f t="array" ref="I74">IF(JournalAnswer[[#This Row],[Debit Account]]="Cash",INDEX(ProblemData!$E$238:$AM$238,1,JournalAnswer[[#This Row],[Transaction '#]]),IF(JournalAnswer[[#This Row],[Credit Account]]="Cash",INDEX(ProblemData!$E$238:$AM$238,1,JournalAnswer[[#This Row],[Transaction '#]]),""))</f>
        <v/>
      </c>
      <c r="J74" s="85" t="str">
        <f>IF(JournalAnswer[[#This Row],[Transaction '#]]="","",IF(JournalAnswer[[#This Row],[Transaction '#]]=C73,J73+1,1))</f>
        <v/>
      </c>
      <c r="K74" s="37" cm="1">
        <f t="array" ref="K74">IFERROR(_xlfn.IFS(JournalAnswer[[#This Row],[Debit Account]]="Cash",JournalAnswer[[#This Row],[Dr Amt]],JournalAnswer[[#This Row],[Credit Account]]="Cash",-JournalAnswer[[#This Row],[Cr Amt]]),0)</f>
        <v>0</v>
      </c>
      <c r="L74" s="41" t="str" cm="1">
        <f t="array" ref="L74">IFERROR(INDEX(ProblemData!$E$239:$AM$239,1,JournalAnswer[[#This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322" t="str">
        <f t="shared" si="1"/>
        <v/>
      </c>
      <c r="D75" s="323" t="str">
        <f>IFERROR(_xlfn.IFNA(INDEX(ProblemData!$C$78:$AM$145,MATCH(J75+0.1,ProblemData!$C$78:$C$145,0),MATCH(C75,ProblemData!$C$78:$AM$78,0)),""),"")</f>
        <v/>
      </c>
      <c r="E75" s="66" t="str">
        <f>IFERROR(_xlfn.IFNA(IF(INDEX(ProblemData!$C$78:$AM$145,MATCH(J75+0.3,ProblemData!$C$78:$C$145,0),MATCH(C75,ProblemData!$C$78:$AM$78,0))="Debit",INDEX(ProblemData!$C$78:$AM$145,MATCH(J75+0.2,ProblemData!$C$78:$C$145,0),MATCH(C75,ProblemData!$C$78:$AM$78,0)),""),""),"")</f>
        <v/>
      </c>
      <c r="F75" s="66" t="str">
        <f>IFERROR(_xlfn.IFNA(IF(INDEX(ProblemData!$C$78:$AM$145,MATCH(J75+0.3,ProblemData!$C$78:$C$145,0),MATCH(C75,ProblemData!$C$78:$AM$78,0))="Credit",INDEX(ProblemData!$C$78:$AM$145,MATCH(J75+0.2,ProblemData!$C$78:$C$145,0),MATCH(C75,ProblemData!$C$78:$AM$78,0)),""),""),"")</f>
        <v/>
      </c>
      <c r="G75" s="324" t="str">
        <f>_xlfn.IFNA(IF(JournalAnswer[[#This Row],[Debit Account]]&lt;&gt;"",INDEX(ProblemData!$C$78:$AM$145,MATCH(J75+0.4,ProblemData!$C$78:$C$145,0),MATCH(C75,ProblemData!$C$78:$AM$78,0)),""),"")</f>
        <v/>
      </c>
      <c r="H75" s="325" t="str">
        <f>_xlfn.IFNA(IF(JournalAnswer[[#This Row],[Credit Account]]&lt;&gt;"",INDEX(ProblemData!$C$78:$AM$145,MATCH(J75+0.4,ProblemData!$C$78:$C$145,0),MATCH(C75,ProblemData!$C$78:$AM$78,0)),""),"")</f>
        <v/>
      </c>
      <c r="I75" s="353" t="str" cm="1">
        <f t="array" ref="I75">IF(JournalAnswer[[#This Row],[Debit Account]]="Cash",INDEX(ProblemData!$E$238:$AM$238,1,JournalAnswer[[#This Row],[Transaction '#]]),IF(JournalAnswer[[#This Row],[Credit Account]]="Cash",INDEX(ProblemData!$E$238:$AM$238,1,JournalAnswer[[#This Row],[Transaction '#]]),""))</f>
        <v/>
      </c>
      <c r="J75" s="85" t="str">
        <f>IF(JournalAnswer[[#This Row],[Transaction '#]]="","",IF(JournalAnswer[[#This Row],[Transaction '#]]=C74,J74+1,1))</f>
        <v/>
      </c>
      <c r="K75" s="37" cm="1">
        <f t="array" ref="K75">IFERROR(_xlfn.IFS(JournalAnswer[[#This Row],[Debit Account]]="Cash",JournalAnswer[[#This Row],[Dr Amt]],JournalAnswer[[#This Row],[Credit Account]]="Cash",-JournalAnswer[[#This Row],[Cr Amt]]),0)</f>
        <v>0</v>
      </c>
      <c r="L75" s="41" t="str" cm="1">
        <f t="array" ref="L75">IFERROR(INDEX(ProblemData!$E$239:$AM$239,1,JournalAnswer[[#This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322" t="str">
        <f t="shared" si="1"/>
        <v/>
      </c>
      <c r="D76" s="323" t="str">
        <f>IFERROR(_xlfn.IFNA(INDEX(ProblemData!$C$78:$AM$145,MATCH(J76+0.1,ProblemData!$C$78:$C$145,0),MATCH(C76,ProblemData!$C$78:$AM$78,0)),""),"")</f>
        <v/>
      </c>
      <c r="E76" s="66" t="str">
        <f>IFERROR(_xlfn.IFNA(IF(INDEX(ProblemData!$C$78:$AM$145,MATCH(J76+0.3,ProblemData!$C$78:$C$145,0),MATCH(C76,ProblemData!$C$78:$AM$78,0))="Debit",INDEX(ProblemData!$C$78:$AM$145,MATCH(J76+0.2,ProblemData!$C$78:$C$145,0),MATCH(C76,ProblemData!$C$78:$AM$78,0)),""),""),"")</f>
        <v/>
      </c>
      <c r="F76" s="66" t="str">
        <f>IFERROR(_xlfn.IFNA(IF(INDEX(ProblemData!$C$78:$AM$145,MATCH(J76+0.3,ProblemData!$C$78:$C$145,0),MATCH(C76,ProblemData!$C$78:$AM$78,0))="Credit",INDEX(ProblemData!$C$78:$AM$145,MATCH(J76+0.2,ProblemData!$C$78:$C$145,0),MATCH(C76,ProblemData!$C$78:$AM$78,0)),""),""),"")</f>
        <v/>
      </c>
      <c r="G76" s="324" t="str">
        <f>_xlfn.IFNA(IF(JournalAnswer[[#This Row],[Debit Account]]&lt;&gt;"",INDEX(ProblemData!$C$78:$AM$145,MATCH(J76+0.4,ProblemData!$C$78:$C$145,0),MATCH(C76,ProblemData!$C$78:$AM$78,0)),""),"")</f>
        <v/>
      </c>
      <c r="H76" s="325" t="str">
        <f>_xlfn.IFNA(IF(JournalAnswer[[#This Row],[Credit Account]]&lt;&gt;"",INDEX(ProblemData!$C$78:$AM$145,MATCH(J76+0.4,ProblemData!$C$78:$C$145,0),MATCH(C76,ProblemData!$C$78:$AM$78,0)),""),"")</f>
        <v/>
      </c>
      <c r="I76" s="353" t="str" cm="1">
        <f t="array" ref="I76">IF(JournalAnswer[[#This Row],[Debit Account]]="Cash",INDEX(ProblemData!$E$238:$AM$238,1,JournalAnswer[[#This Row],[Transaction '#]]),IF(JournalAnswer[[#This Row],[Credit Account]]="Cash",INDEX(ProblemData!$E$238:$AM$238,1,JournalAnswer[[#This Row],[Transaction '#]]),""))</f>
        <v/>
      </c>
      <c r="J76" s="85" t="str">
        <f>IF(JournalAnswer[[#This Row],[Transaction '#]]="","",IF(JournalAnswer[[#This Row],[Transaction '#]]=C75,J75+1,1))</f>
        <v/>
      </c>
      <c r="K76" s="37" cm="1">
        <f t="array" ref="K76">IFERROR(_xlfn.IFS(JournalAnswer[[#This Row],[Debit Account]]="Cash",JournalAnswer[[#This Row],[Dr Amt]],JournalAnswer[[#This Row],[Credit Account]]="Cash",-JournalAnswer[[#This Row],[Cr Amt]]),0)</f>
        <v>0</v>
      </c>
      <c r="L76" s="41" t="str" cm="1">
        <f t="array" ref="L76">IFERROR(INDEX(ProblemData!$E$239:$AM$239,1,JournalAnswer[[#This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322" t="str">
        <f t="shared" si="1"/>
        <v/>
      </c>
      <c r="D77" s="323" t="str">
        <f>IFERROR(_xlfn.IFNA(INDEX(ProblemData!$C$78:$AM$145,MATCH(J77+0.1,ProblemData!$C$78:$C$145,0),MATCH(C77,ProblemData!$C$78:$AM$78,0)),""),"")</f>
        <v/>
      </c>
      <c r="E77" s="66" t="str">
        <f>IFERROR(_xlfn.IFNA(IF(INDEX(ProblemData!$C$78:$AM$145,MATCH(J77+0.3,ProblemData!$C$78:$C$145,0),MATCH(C77,ProblemData!$C$78:$AM$78,0))="Debit",INDEX(ProblemData!$C$78:$AM$145,MATCH(J77+0.2,ProblemData!$C$78:$C$145,0),MATCH(C77,ProblemData!$C$78:$AM$78,0)),""),""),"")</f>
        <v/>
      </c>
      <c r="F77" s="66" t="str">
        <f>IFERROR(_xlfn.IFNA(IF(INDEX(ProblemData!$C$78:$AM$145,MATCH(J77+0.3,ProblemData!$C$78:$C$145,0),MATCH(C77,ProblemData!$C$78:$AM$78,0))="Credit",INDEX(ProblemData!$C$78:$AM$145,MATCH(J77+0.2,ProblemData!$C$78:$C$145,0),MATCH(C77,ProblemData!$C$78:$AM$78,0)),""),""),"")</f>
        <v/>
      </c>
      <c r="G77" s="324" t="str">
        <f>_xlfn.IFNA(IF(JournalAnswer[[#This Row],[Debit Account]]&lt;&gt;"",INDEX(ProblemData!$C$78:$AM$145,MATCH(J77+0.4,ProblemData!$C$78:$C$145,0),MATCH(C77,ProblemData!$C$78:$AM$78,0)),""),"")</f>
        <v/>
      </c>
      <c r="H77" s="325" t="str">
        <f>_xlfn.IFNA(IF(JournalAnswer[[#This Row],[Credit Account]]&lt;&gt;"",INDEX(ProblemData!$C$78:$AM$145,MATCH(J77+0.4,ProblemData!$C$78:$C$145,0),MATCH(C77,ProblemData!$C$78:$AM$78,0)),""),"")</f>
        <v/>
      </c>
      <c r="I77" s="353" t="str" cm="1">
        <f t="array" ref="I77">IF(JournalAnswer[[#This Row],[Debit Account]]="Cash",INDEX(ProblemData!$E$238:$AM$238,1,JournalAnswer[[#This Row],[Transaction '#]]),IF(JournalAnswer[[#This Row],[Credit Account]]="Cash",INDEX(ProblemData!$E$238:$AM$238,1,JournalAnswer[[#This Row],[Transaction '#]]),""))</f>
        <v/>
      </c>
      <c r="J77" s="85" t="str">
        <f>IF(JournalAnswer[[#This Row],[Transaction '#]]="","",IF(JournalAnswer[[#This Row],[Transaction '#]]=C76,J76+1,1))</f>
        <v/>
      </c>
      <c r="K77" s="37" cm="1">
        <f t="array" ref="K77">IFERROR(_xlfn.IFS(JournalAnswer[[#This Row],[Debit Account]]="Cash",JournalAnswer[[#This Row],[Dr Amt]],JournalAnswer[[#This Row],[Credit Account]]="Cash",-JournalAnswer[[#This Row],[Cr Amt]]),0)</f>
        <v>0</v>
      </c>
      <c r="L77" s="41" t="str" cm="1">
        <f t="array" ref="L77">IFERROR(INDEX(ProblemData!$E$239:$AM$239,1,JournalAnswer[[#This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322" t="str">
        <f t="shared" si="1"/>
        <v/>
      </c>
      <c r="D78" s="323" t="str">
        <f>IFERROR(_xlfn.IFNA(INDEX(ProblemData!$C$78:$AM$145,MATCH(J78+0.1,ProblemData!$C$78:$C$145,0),MATCH(C78,ProblemData!$C$78:$AM$78,0)),""),"")</f>
        <v/>
      </c>
      <c r="E78" s="66" t="str">
        <f>IFERROR(_xlfn.IFNA(IF(INDEX(ProblemData!$C$78:$AM$145,MATCH(J78+0.3,ProblemData!$C$78:$C$145,0),MATCH(C78,ProblemData!$C$78:$AM$78,0))="Debit",INDEX(ProblemData!$C$78:$AM$145,MATCH(J78+0.2,ProblemData!$C$78:$C$145,0),MATCH(C78,ProblemData!$C$78:$AM$78,0)),""),""),"")</f>
        <v/>
      </c>
      <c r="F78" s="66" t="str">
        <f>IFERROR(_xlfn.IFNA(IF(INDEX(ProblemData!$C$78:$AM$145,MATCH(J78+0.3,ProblemData!$C$78:$C$145,0),MATCH(C78,ProblemData!$C$78:$AM$78,0))="Credit",INDEX(ProblemData!$C$78:$AM$145,MATCH(J78+0.2,ProblemData!$C$78:$C$145,0),MATCH(C78,ProblemData!$C$78:$AM$78,0)),""),""),"")</f>
        <v/>
      </c>
      <c r="G78" s="324" t="str">
        <f>_xlfn.IFNA(IF(JournalAnswer[[#This Row],[Debit Account]]&lt;&gt;"",INDEX(ProblemData!$C$78:$AM$145,MATCH(J78+0.4,ProblemData!$C$78:$C$145,0),MATCH(C78,ProblemData!$C$78:$AM$78,0)),""),"")</f>
        <v/>
      </c>
      <c r="H78" s="325" t="str">
        <f>_xlfn.IFNA(IF(JournalAnswer[[#This Row],[Credit Account]]&lt;&gt;"",INDEX(ProblemData!$C$78:$AM$145,MATCH(J78+0.4,ProblemData!$C$78:$C$145,0),MATCH(C78,ProblemData!$C$78:$AM$78,0)),""),"")</f>
        <v/>
      </c>
      <c r="I78" s="353" t="str" cm="1">
        <f t="array" ref="I78">IF(JournalAnswer[[#This Row],[Debit Account]]="Cash",INDEX(ProblemData!$E$238:$AM$238,1,JournalAnswer[[#This Row],[Transaction '#]]),IF(JournalAnswer[[#This Row],[Credit Account]]="Cash",INDEX(ProblemData!$E$238:$AM$238,1,JournalAnswer[[#This Row],[Transaction '#]]),""))</f>
        <v/>
      </c>
      <c r="J78" s="85" t="str">
        <f>IF(JournalAnswer[[#This Row],[Transaction '#]]="","",IF(JournalAnswer[[#This Row],[Transaction '#]]=C77,J77+1,1))</f>
        <v/>
      </c>
      <c r="K78" s="37" cm="1">
        <f t="array" ref="K78">IFERROR(_xlfn.IFS(JournalAnswer[[#This Row],[Debit Account]]="Cash",JournalAnswer[[#This Row],[Dr Amt]],JournalAnswer[[#This Row],[Credit Account]]="Cash",-JournalAnswer[[#This Row],[Cr Amt]]),0)</f>
        <v>0</v>
      </c>
      <c r="L78" s="41" t="str" cm="1">
        <f t="array" ref="L78">IFERROR(INDEX(ProblemData!$E$239:$AM$239,1,JournalAnswer[[#This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322" t="str">
        <f t="shared" si="1"/>
        <v/>
      </c>
      <c r="D79" s="323" t="str">
        <f>IFERROR(_xlfn.IFNA(INDEX(ProblemData!$C$78:$AM$145,MATCH(J79+0.1,ProblemData!$C$78:$C$145,0),MATCH(C79,ProblemData!$C$78:$AM$78,0)),""),"")</f>
        <v/>
      </c>
      <c r="E79" s="66" t="str">
        <f>IFERROR(_xlfn.IFNA(IF(INDEX(ProblemData!$C$78:$AM$145,MATCH(J79+0.3,ProblemData!$C$78:$C$145,0),MATCH(C79,ProblemData!$C$78:$AM$78,0))="Debit",INDEX(ProblemData!$C$78:$AM$145,MATCH(J79+0.2,ProblemData!$C$78:$C$145,0),MATCH(C79,ProblemData!$C$78:$AM$78,0)),""),""),"")</f>
        <v/>
      </c>
      <c r="F79" s="66" t="str">
        <f>IFERROR(_xlfn.IFNA(IF(INDEX(ProblemData!$C$78:$AM$145,MATCH(J79+0.3,ProblemData!$C$78:$C$145,0),MATCH(C79,ProblemData!$C$78:$AM$78,0))="Credit",INDEX(ProblemData!$C$78:$AM$145,MATCH(J79+0.2,ProblemData!$C$78:$C$145,0),MATCH(C79,ProblemData!$C$78:$AM$78,0)),""),""),"")</f>
        <v/>
      </c>
      <c r="G79" s="324" t="str">
        <f>_xlfn.IFNA(IF(JournalAnswer[[#This Row],[Debit Account]]&lt;&gt;"",INDEX(ProblemData!$C$78:$AM$145,MATCH(J79+0.4,ProblemData!$C$78:$C$145,0),MATCH(C79,ProblemData!$C$78:$AM$78,0)),""),"")</f>
        <v/>
      </c>
      <c r="H79" s="325" t="str">
        <f>_xlfn.IFNA(IF(JournalAnswer[[#This Row],[Credit Account]]&lt;&gt;"",INDEX(ProblemData!$C$78:$AM$145,MATCH(J79+0.4,ProblemData!$C$78:$C$145,0),MATCH(C79,ProblemData!$C$78:$AM$78,0)),""),"")</f>
        <v/>
      </c>
      <c r="I79" s="353" t="str" cm="1">
        <f t="array" ref="I79">IF(JournalAnswer[[#This Row],[Debit Account]]="Cash",INDEX(ProblemData!$E$238:$AM$238,1,JournalAnswer[[#This Row],[Transaction '#]]),IF(JournalAnswer[[#This Row],[Credit Account]]="Cash",INDEX(ProblemData!$E$238:$AM$238,1,JournalAnswer[[#This Row],[Transaction '#]]),""))</f>
        <v/>
      </c>
      <c r="J79" s="85" t="str">
        <f>IF(JournalAnswer[[#This Row],[Transaction '#]]="","",IF(JournalAnswer[[#This Row],[Transaction '#]]=C78,J78+1,1))</f>
        <v/>
      </c>
      <c r="K79" s="37" cm="1">
        <f t="array" ref="K79">IFERROR(_xlfn.IFS(JournalAnswer[[#This Row],[Debit Account]]="Cash",JournalAnswer[[#This Row],[Dr Amt]],JournalAnswer[[#This Row],[Credit Account]]="Cash",-JournalAnswer[[#This Row],[Cr Amt]]),0)</f>
        <v>0</v>
      </c>
      <c r="L79" s="41" t="str" cm="1">
        <f t="array" ref="L79">IFERROR(INDEX(ProblemData!$E$239:$AM$239,1,JournalAnswer[[#This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322" t="str">
        <f t="shared" si="1"/>
        <v/>
      </c>
      <c r="D80" s="323" t="str">
        <f>IFERROR(_xlfn.IFNA(INDEX(ProblemData!$C$78:$AM$145,MATCH(J80+0.1,ProblemData!$C$78:$C$145,0),MATCH(C80,ProblemData!$C$78:$AM$78,0)),""),"")</f>
        <v/>
      </c>
      <c r="E80" s="66" t="str">
        <f>IFERROR(_xlfn.IFNA(IF(INDEX(ProblemData!$C$78:$AM$145,MATCH(J80+0.3,ProblemData!$C$78:$C$145,0),MATCH(C80,ProblemData!$C$78:$AM$78,0))="Debit",INDEX(ProblemData!$C$78:$AM$145,MATCH(J80+0.2,ProblemData!$C$78:$C$145,0),MATCH(C80,ProblemData!$C$78:$AM$78,0)),""),""),"")</f>
        <v/>
      </c>
      <c r="F80" s="66" t="str">
        <f>IFERROR(_xlfn.IFNA(IF(INDEX(ProblemData!$C$78:$AM$145,MATCH(J80+0.3,ProblemData!$C$78:$C$145,0),MATCH(C80,ProblemData!$C$78:$AM$78,0))="Credit",INDEX(ProblemData!$C$78:$AM$145,MATCH(J80+0.2,ProblemData!$C$78:$C$145,0),MATCH(C80,ProblemData!$C$78:$AM$78,0)),""),""),"")</f>
        <v/>
      </c>
      <c r="G80" s="324" t="str">
        <f>_xlfn.IFNA(IF(JournalAnswer[[#This Row],[Debit Account]]&lt;&gt;"",INDEX(ProblemData!$C$78:$AM$145,MATCH(J80+0.4,ProblemData!$C$78:$C$145,0),MATCH(C80,ProblemData!$C$78:$AM$78,0)),""),"")</f>
        <v/>
      </c>
      <c r="H80" s="325" t="str">
        <f>_xlfn.IFNA(IF(JournalAnswer[[#This Row],[Credit Account]]&lt;&gt;"",INDEX(ProblemData!$C$78:$AM$145,MATCH(J80+0.4,ProblemData!$C$78:$C$145,0),MATCH(C80,ProblemData!$C$78:$AM$78,0)),""),"")</f>
        <v/>
      </c>
      <c r="I80" s="353" t="str" cm="1">
        <f t="array" ref="I80">IF(JournalAnswer[[#This Row],[Debit Account]]="Cash",INDEX(ProblemData!$E$238:$AM$238,1,JournalAnswer[[#This Row],[Transaction '#]]),IF(JournalAnswer[[#This Row],[Credit Account]]="Cash",INDEX(ProblemData!$E$238:$AM$238,1,JournalAnswer[[#This Row],[Transaction '#]]),""))</f>
        <v/>
      </c>
      <c r="J80" s="85" t="str">
        <f>IF(JournalAnswer[[#This Row],[Transaction '#]]="","",IF(JournalAnswer[[#This Row],[Transaction '#]]=C79,J79+1,1))</f>
        <v/>
      </c>
      <c r="K80" s="37" cm="1">
        <f t="array" ref="K80">IFERROR(_xlfn.IFS(JournalAnswer[[#This Row],[Debit Account]]="Cash",JournalAnswer[[#This Row],[Dr Amt]],JournalAnswer[[#This Row],[Credit Account]]="Cash",-JournalAnswer[[#This Row],[Cr Amt]]),0)</f>
        <v>0</v>
      </c>
      <c r="L80" s="41" t="str" cm="1">
        <f t="array" ref="L80">IFERROR(INDEX(ProblemData!$E$239:$AM$239,1,JournalAnswer[[#This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322" t="str">
        <f t="shared" ref="C81:C83" si="2">IF(B81="","",B81)</f>
        <v/>
      </c>
      <c r="D81" s="323" t="str">
        <f>IFERROR(_xlfn.IFNA(INDEX(ProblemData!$C$78:$AM$145,MATCH(J81+0.1,ProblemData!$C$78:$C$145,0),MATCH(C81,ProblemData!$C$78:$AM$78,0)),""),"")</f>
        <v/>
      </c>
      <c r="E81" s="66" t="str">
        <f>IFERROR(_xlfn.IFNA(IF(INDEX(ProblemData!$C$78:$AM$145,MATCH(J81+0.3,ProblemData!$C$78:$C$145,0),MATCH(C81,ProblemData!$C$78:$AM$78,0))="Debit",INDEX(ProblemData!$C$78:$AM$145,MATCH(J81+0.2,ProblemData!$C$78:$C$145,0),MATCH(C81,ProblemData!$C$78:$AM$78,0)),""),""),"")</f>
        <v/>
      </c>
      <c r="F81" s="66" t="str">
        <f>IFERROR(_xlfn.IFNA(IF(INDEX(ProblemData!$C$78:$AM$145,MATCH(J81+0.3,ProblemData!$C$78:$C$145,0),MATCH(C81,ProblemData!$C$78:$AM$78,0))="Credit",INDEX(ProblemData!$C$78:$AM$145,MATCH(J81+0.2,ProblemData!$C$78:$C$145,0),MATCH(C81,ProblemData!$C$78:$AM$78,0)),""),""),"")</f>
        <v/>
      </c>
      <c r="G81" s="324" t="str">
        <f>_xlfn.IFNA(IF(JournalAnswer[[#This Row],[Debit Account]]&lt;&gt;"",INDEX(ProblemData!$C$78:$AM$145,MATCH(J81+0.4,ProblemData!$C$78:$C$145,0),MATCH(C81,ProblemData!$C$78:$AM$78,0)),""),"")</f>
        <v/>
      </c>
      <c r="H81" s="325" t="str">
        <f>_xlfn.IFNA(IF(JournalAnswer[[#This Row],[Credit Account]]&lt;&gt;"",INDEX(ProblemData!$C$78:$AM$145,MATCH(J81+0.4,ProblemData!$C$78:$C$145,0),MATCH(C81,ProblemData!$C$78:$AM$78,0)),""),"")</f>
        <v/>
      </c>
      <c r="I81" s="353" t="str" cm="1">
        <f t="array" ref="I81">IF(JournalAnswer[[#This Row],[Debit Account]]="Cash",INDEX(ProblemData!$E$238:$AM$238,1,JournalAnswer[[#This Row],[Transaction '#]]),IF(JournalAnswer[[#This Row],[Credit Account]]="Cash",INDEX(ProblemData!$E$238:$AM$238,1,JournalAnswer[[#This Row],[Transaction '#]]),""))</f>
        <v/>
      </c>
      <c r="J81" s="85" t="str">
        <f>IF(JournalAnswer[[#This Row],[Transaction '#]]="","",IF(JournalAnswer[[#This Row],[Transaction '#]]=C80,J80+1,1))</f>
        <v/>
      </c>
      <c r="K81" s="37" cm="1">
        <f t="array" ref="K81">IFERROR(_xlfn.IFS(JournalAnswer[[#This Row],[Debit Account]]="Cash",JournalAnswer[[#This Row],[Dr Amt]],JournalAnswer[[#This Row],[Credit Account]]="Cash",-JournalAnswer[[#This Row],[Cr Amt]]),0)</f>
        <v>0</v>
      </c>
      <c r="L81" s="41" t="str" cm="1">
        <f t="array" ref="L81">IFERROR(INDEX(ProblemData!$E$239:$AM$239,1,JournalAnswer[[#This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322" t="str">
        <f t="shared" si="2"/>
        <v/>
      </c>
      <c r="D82" s="323" t="str">
        <f>IFERROR(_xlfn.IFNA(INDEX(ProblemData!$C$78:$AM$145,MATCH(J82+0.1,ProblemData!$C$78:$C$145,0),MATCH(C82,ProblemData!$C$78:$AM$78,0)),""),"")</f>
        <v/>
      </c>
      <c r="E82" s="66" t="str">
        <f>IFERROR(_xlfn.IFNA(IF(INDEX(ProblemData!$C$78:$AM$145,MATCH(J82+0.3,ProblemData!$C$78:$C$145,0),MATCH(C82,ProblemData!$C$78:$AM$78,0))="Debit",INDEX(ProblemData!$C$78:$AM$145,MATCH(J82+0.2,ProblemData!$C$78:$C$145,0),MATCH(C82,ProblemData!$C$78:$AM$78,0)),""),""),"")</f>
        <v/>
      </c>
      <c r="F82" s="66" t="str">
        <f>IFERROR(_xlfn.IFNA(IF(INDEX(ProblemData!$C$78:$AM$145,MATCH(J82+0.3,ProblemData!$C$78:$C$145,0),MATCH(C82,ProblemData!$C$78:$AM$78,0))="Credit",INDEX(ProblemData!$C$78:$AM$145,MATCH(J82+0.2,ProblemData!$C$78:$C$145,0),MATCH(C82,ProblemData!$C$78:$AM$78,0)),""),""),"")</f>
        <v/>
      </c>
      <c r="G82" s="324" t="str">
        <f>_xlfn.IFNA(IF(JournalAnswer[[#This Row],[Debit Account]]&lt;&gt;"",INDEX(ProblemData!$C$78:$AM$145,MATCH(J82+0.4,ProblemData!$C$78:$C$145,0),MATCH(C82,ProblemData!$C$78:$AM$78,0)),""),"")</f>
        <v/>
      </c>
      <c r="H82" s="325" t="str">
        <f>_xlfn.IFNA(IF(JournalAnswer[[#This Row],[Credit Account]]&lt;&gt;"",INDEX(ProblemData!$C$78:$AM$145,MATCH(J82+0.4,ProblemData!$C$78:$C$145,0),MATCH(C82,ProblemData!$C$78:$AM$78,0)),""),"")</f>
        <v/>
      </c>
      <c r="I82" s="353" t="str" cm="1">
        <f t="array" ref="I82">IF(JournalAnswer[[#This Row],[Debit Account]]="Cash",INDEX(ProblemData!$E$238:$AM$238,1,JournalAnswer[[#This Row],[Transaction '#]]),IF(JournalAnswer[[#This Row],[Credit Account]]="Cash",INDEX(ProblemData!$E$238:$AM$238,1,JournalAnswer[[#This Row],[Transaction '#]]),""))</f>
        <v/>
      </c>
      <c r="J82" s="85" t="str">
        <f>IF(JournalAnswer[[#This Row],[Transaction '#]]="","",IF(JournalAnswer[[#This Row],[Transaction '#]]=C81,J81+1,1))</f>
        <v/>
      </c>
      <c r="K82" s="37" cm="1">
        <f t="array" ref="K82">IFERROR(_xlfn.IFS(JournalAnswer[[#This Row],[Debit Account]]="Cash",JournalAnswer[[#This Row],[Dr Amt]],JournalAnswer[[#This Row],[Credit Account]]="Cash",-JournalAnswer[[#This Row],[Cr Amt]]),0)</f>
        <v>0</v>
      </c>
      <c r="L82" s="41" t="str" cm="1">
        <f t="array" ref="L82">IFERROR(INDEX(ProblemData!$E$239:$AM$239,1,JournalAnswer[[#This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322" t="str">
        <f t="shared" si="2"/>
        <v/>
      </c>
      <c r="D83" s="323" t="str">
        <f>IFERROR(_xlfn.IFNA(INDEX(ProblemData!$C$78:$AM$145,MATCH(J83+0.1,ProblemData!$C$78:$C$145,0),MATCH(C83,ProblemData!$C$78:$AM$78,0)),""),"")</f>
        <v/>
      </c>
      <c r="E83" s="66" t="str">
        <f>IFERROR(_xlfn.IFNA(IF(INDEX(ProblemData!$C$78:$AM$145,MATCH(J83+0.3,ProblemData!$C$78:$C$145,0),MATCH(C83,ProblemData!$C$78:$AM$78,0))="Debit",INDEX(ProblemData!$C$78:$AM$145,MATCH(J83+0.2,ProblemData!$C$78:$C$145,0),MATCH(C83,ProblemData!$C$78:$AM$78,0)),""),""),"")</f>
        <v/>
      </c>
      <c r="F83" s="66" t="str">
        <f>IFERROR(_xlfn.IFNA(IF(INDEX(ProblemData!$C$78:$AM$145,MATCH(J83+0.3,ProblemData!$C$78:$C$145,0),MATCH(C83,ProblemData!$C$78:$AM$78,0))="Credit",INDEX(ProblemData!$C$78:$AM$145,MATCH(J83+0.2,ProblemData!$C$78:$C$145,0),MATCH(C83,ProblemData!$C$78:$AM$78,0)),""),""),"")</f>
        <v/>
      </c>
      <c r="G83" s="324" t="str">
        <f>_xlfn.IFNA(IF(JournalAnswer[[#This Row],[Debit Account]]&lt;&gt;"",INDEX(ProblemData!$C$78:$AM$145,MATCH(J83+0.4,ProblemData!$C$78:$C$145,0),MATCH(C83,ProblemData!$C$78:$AM$78,0)),""),"")</f>
        <v/>
      </c>
      <c r="H83" s="325" t="str">
        <f>_xlfn.IFNA(IF(JournalAnswer[[#This Row],[Credit Account]]&lt;&gt;"",INDEX(ProblemData!$C$78:$AM$145,MATCH(J83+0.4,ProblemData!$C$78:$C$145,0),MATCH(C83,ProblemData!$C$78:$AM$78,0)),""),"")</f>
        <v/>
      </c>
      <c r="I83" s="353" t="str" cm="1">
        <f t="array" ref="I83">IF(JournalAnswer[[#This Row],[Debit Account]]="Cash",INDEX(ProblemData!$E$238:$AM$238,1,JournalAnswer[[#This Row],[Transaction '#]]),IF(JournalAnswer[[#This Row],[Credit Account]]="Cash",INDEX(ProblemData!$E$238:$AM$238,1,JournalAnswer[[#This Row],[Transaction '#]]),""))</f>
        <v/>
      </c>
      <c r="J83" s="85" t="str">
        <f>IF(JournalAnswer[[#This Row],[Transaction '#]]="","",IF(JournalAnswer[[#This Row],[Transaction '#]]=C82,J82+1,1))</f>
        <v/>
      </c>
      <c r="K83" s="37" cm="1">
        <f t="array" ref="K83">IFERROR(_xlfn.IFS(JournalAnswer[[#This Row],[Debit Account]]="Cash",JournalAnswer[[#This Row],[Dr Amt]],JournalAnswer[[#This Row],[Credit Account]]="Cash",-JournalAnswer[[#This Row],[Cr Amt]]),0)</f>
        <v>0</v>
      </c>
      <c r="L83" s="41" t="str" cm="1">
        <f t="array" ref="L83">IFERROR(INDEX(ProblemData!$E$239:$AM$239,1,JournalAnswer[[#This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322" t="str">
        <f>IF(B84="","",B84)</f>
        <v/>
      </c>
      <c r="D84" s="323" t="str">
        <f>IFERROR(_xlfn.IFNA(INDEX(ProblemData!$C$78:$AM$145,MATCH(J84+0.1,ProblemData!$C$78:$C$145,0),MATCH(C84,ProblemData!$C$78:$AM$78,0)),""),"")</f>
        <v/>
      </c>
      <c r="E84" s="66" t="str">
        <f>IFERROR(_xlfn.IFNA(IF(INDEX(ProblemData!$C$78:$AM$145,MATCH(J84+0.3,ProblemData!$C$78:$C$145,0),MATCH(C84,ProblemData!$C$78:$AM$78,0))="Debit",INDEX(ProblemData!$C$78:$AM$145,MATCH(J84+0.2,ProblemData!$C$78:$C$145,0),MATCH(C84,ProblemData!$C$78:$AM$78,0)),""),""),"")</f>
        <v/>
      </c>
      <c r="F84" s="66" t="str">
        <f>IFERROR(_xlfn.IFNA(IF(INDEX(ProblemData!$C$78:$AM$145,MATCH(J84+0.3,ProblemData!$C$78:$C$145,0),MATCH(C84,ProblemData!$C$78:$AM$78,0))="Credit",INDEX(ProblemData!$C$78:$AM$145,MATCH(J84+0.2,ProblemData!$C$78:$C$145,0),MATCH(C84,ProblemData!$C$78:$AM$78,0)),""),""),"")</f>
        <v/>
      </c>
      <c r="G84" s="324" t="str">
        <f>_xlfn.IFNA(IF(JournalAnswer[[#This Row],[Debit Account]]&lt;&gt;"",INDEX(ProblemData!$C$78:$AM$145,MATCH(J84+0.4,ProblemData!$C$78:$C$145,0),MATCH(C84,ProblemData!$C$78:$AM$78,0)),""),"")</f>
        <v/>
      </c>
      <c r="H84" s="325" t="str">
        <f>_xlfn.IFNA(IF(JournalAnswer[[#This Row],[Credit Account]]&lt;&gt;"",INDEX(ProblemData!$C$78:$AM$145,MATCH(J84+0.4,ProblemData!$C$78:$C$145,0),MATCH(C84,ProblemData!$C$78:$AM$78,0)),""),"")</f>
        <v/>
      </c>
      <c r="I84" s="353" t="str" cm="1">
        <f t="array" ref="I84">IF(JournalAnswer[[#This Row],[Debit Account]]="Cash",INDEX(ProblemData!$E$238:$AM$238,1,JournalAnswer[[#This Row],[Transaction '#]]),IF(JournalAnswer[[#This Row],[Credit Account]]="Cash",INDEX(ProblemData!$E$238:$AM$238,1,JournalAnswer[[#This Row],[Transaction '#]]),""))</f>
        <v/>
      </c>
      <c r="J84" s="85" t="str">
        <f>IF(JournalAnswer[[#This Row],[Transaction '#]]="","",IF(JournalAnswer[[#This Row],[Transaction '#]]=C83,J83+1,1))</f>
        <v/>
      </c>
      <c r="K84" s="37" cm="1">
        <f t="array" ref="K84">IFERROR(_xlfn.IFS(JournalAnswer[[#This Row],[Debit Account]]="Cash",JournalAnswer[[#This Row],[Dr Amt]],JournalAnswer[[#This Row],[Credit Account]]="Cash",-JournalAnswer[[#This Row],[Cr Amt]]),0)</f>
        <v>0</v>
      </c>
      <c r="L84" s="41" t="str" cm="1">
        <f t="array" ref="L84">IFERROR(INDEX(ProblemData!$E$239:$AM$239,1,JournalAnswer[[#This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322" t="str">
        <f t="shared" ref="C85:C148" si="3">IF(B85="","",B85)</f>
        <v/>
      </c>
      <c r="D85" s="323" t="str">
        <f>IFERROR(_xlfn.IFNA(INDEX(ProblemData!$C$78:$AM$145,MATCH(J85+0.1,ProblemData!$C$78:$C$145,0),MATCH(C85,ProblemData!$C$78:$AM$78,0)),""),"")</f>
        <v/>
      </c>
      <c r="E85" s="66" t="str">
        <f>IFERROR(_xlfn.IFNA(IF(INDEX(ProblemData!$C$78:$AM$145,MATCH(J85+0.3,ProblemData!$C$78:$C$145,0),MATCH(C85,ProblemData!$C$78:$AM$78,0))="Debit",INDEX(ProblemData!$C$78:$AM$145,MATCH(J85+0.2,ProblemData!$C$78:$C$145,0),MATCH(C85,ProblemData!$C$78:$AM$78,0)),""),""),"")</f>
        <v/>
      </c>
      <c r="F85" s="66" t="str">
        <f>IFERROR(_xlfn.IFNA(IF(INDEX(ProblemData!$C$78:$AM$145,MATCH(J85+0.3,ProblemData!$C$78:$C$145,0),MATCH(C85,ProblemData!$C$78:$AM$78,0))="Credit",INDEX(ProblemData!$C$78:$AM$145,MATCH(J85+0.2,ProblemData!$C$78:$C$145,0),MATCH(C85,ProblemData!$C$78:$AM$78,0)),""),""),"")</f>
        <v/>
      </c>
      <c r="G85" s="324" t="str">
        <f>_xlfn.IFNA(IF(JournalAnswer[[#This Row],[Debit Account]]&lt;&gt;"",INDEX(ProblemData!$C$78:$AM$145,MATCH(J85+0.4,ProblemData!$C$78:$C$145,0),MATCH(C85,ProblemData!$C$78:$AM$78,0)),""),"")</f>
        <v/>
      </c>
      <c r="H85" s="325" t="str">
        <f>_xlfn.IFNA(IF(JournalAnswer[[#This Row],[Credit Account]]&lt;&gt;"",INDEX(ProblemData!$C$78:$AM$145,MATCH(J85+0.4,ProblemData!$C$78:$C$145,0),MATCH(C85,ProblemData!$C$78:$AM$78,0)),""),"")</f>
        <v/>
      </c>
      <c r="I85" s="353" t="str" cm="1">
        <f t="array" ref="I85">IF(JournalAnswer[[#This Row],[Debit Account]]="Cash",INDEX(ProblemData!$E$238:$AM$238,1,JournalAnswer[[#This Row],[Transaction '#]]),IF(JournalAnswer[[#This Row],[Credit Account]]="Cash",INDEX(ProblemData!$E$238:$AM$238,1,JournalAnswer[[#This Row],[Transaction '#]]),""))</f>
        <v/>
      </c>
      <c r="J85" s="85" t="str">
        <f>IF(JournalAnswer[[#This Row],[Transaction '#]]="","",IF(JournalAnswer[[#This Row],[Transaction '#]]=C84,J84+1,1))</f>
        <v/>
      </c>
      <c r="K85" s="37" cm="1">
        <f t="array" ref="K85">IFERROR(_xlfn.IFS(JournalAnswer[[#This Row],[Debit Account]]="Cash",JournalAnswer[[#This Row],[Dr Amt]],JournalAnswer[[#This Row],[Credit Account]]="Cash",-JournalAnswer[[#This Row],[Cr Amt]]),0)</f>
        <v>0</v>
      </c>
      <c r="L85" s="41" t="str" cm="1">
        <f t="array" ref="L85">IFERROR(INDEX(ProblemData!$E$239:$AM$239,1,JournalAnswer[[#This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322" t="str">
        <f t="shared" si="3"/>
        <v/>
      </c>
      <c r="D86" s="323" t="str">
        <f>IFERROR(_xlfn.IFNA(INDEX(ProblemData!$C$78:$AM$145,MATCH(J86+0.1,ProblemData!$C$78:$C$145,0),MATCH(C86,ProblemData!$C$78:$AM$78,0)),""),"")</f>
        <v/>
      </c>
      <c r="E86" s="66" t="str">
        <f>IFERROR(_xlfn.IFNA(IF(INDEX(ProblemData!$C$78:$AM$145,MATCH(J86+0.3,ProblemData!$C$78:$C$145,0),MATCH(C86,ProblemData!$C$78:$AM$78,0))="Debit",INDEX(ProblemData!$C$78:$AM$145,MATCH(J86+0.2,ProblemData!$C$78:$C$145,0),MATCH(C86,ProblemData!$C$78:$AM$78,0)),""),""),"")</f>
        <v/>
      </c>
      <c r="F86" s="66" t="str">
        <f>IFERROR(_xlfn.IFNA(IF(INDEX(ProblemData!$C$78:$AM$145,MATCH(J86+0.3,ProblemData!$C$78:$C$145,0),MATCH(C86,ProblemData!$C$78:$AM$78,0))="Credit",INDEX(ProblemData!$C$78:$AM$145,MATCH(J86+0.2,ProblemData!$C$78:$C$145,0),MATCH(C86,ProblemData!$C$78:$AM$78,0)),""),""),"")</f>
        <v/>
      </c>
      <c r="G86" s="324" t="str">
        <f>_xlfn.IFNA(IF(JournalAnswer[[#This Row],[Debit Account]]&lt;&gt;"",INDEX(ProblemData!$C$78:$AM$145,MATCH(J86+0.4,ProblemData!$C$78:$C$145,0),MATCH(C86,ProblemData!$C$78:$AM$78,0)),""),"")</f>
        <v/>
      </c>
      <c r="H86" s="325" t="str">
        <f>_xlfn.IFNA(IF(JournalAnswer[[#This Row],[Credit Account]]&lt;&gt;"",INDEX(ProblemData!$C$78:$AM$145,MATCH(J86+0.4,ProblemData!$C$78:$C$145,0),MATCH(C86,ProblemData!$C$78:$AM$78,0)),""),"")</f>
        <v/>
      </c>
      <c r="I86" s="353" t="str" cm="1">
        <f t="array" ref="I86">IF(JournalAnswer[[#This Row],[Debit Account]]="Cash",INDEX(ProblemData!$E$238:$AM$238,1,JournalAnswer[[#This Row],[Transaction '#]]),IF(JournalAnswer[[#This Row],[Credit Account]]="Cash",INDEX(ProblemData!$E$238:$AM$238,1,JournalAnswer[[#This Row],[Transaction '#]]),""))</f>
        <v/>
      </c>
      <c r="J86" s="85" t="str">
        <f>IF(JournalAnswer[[#This Row],[Transaction '#]]="","",IF(JournalAnswer[[#This Row],[Transaction '#]]=C85,J85+1,1))</f>
        <v/>
      </c>
      <c r="K86" s="37" cm="1">
        <f t="array" ref="K86">IFERROR(_xlfn.IFS(JournalAnswer[[#This Row],[Debit Account]]="Cash",JournalAnswer[[#This Row],[Dr Amt]],JournalAnswer[[#This Row],[Credit Account]]="Cash",-JournalAnswer[[#This Row],[Cr Amt]]),0)</f>
        <v>0</v>
      </c>
      <c r="L86" s="41" t="str" cm="1">
        <f t="array" ref="L86">IFERROR(INDEX(ProblemData!$E$239:$AM$239,1,JournalAnswer[[#This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322" t="str">
        <f t="shared" si="3"/>
        <v/>
      </c>
      <c r="D87" s="323" t="str">
        <f>IFERROR(_xlfn.IFNA(INDEX(ProblemData!$C$78:$AM$145,MATCH(J87+0.1,ProblemData!$C$78:$C$145,0),MATCH(C87,ProblemData!$C$78:$AM$78,0)),""),"")</f>
        <v/>
      </c>
      <c r="E87" s="66" t="str">
        <f>IFERROR(_xlfn.IFNA(IF(INDEX(ProblemData!$C$78:$AM$145,MATCH(J87+0.3,ProblemData!$C$78:$C$145,0),MATCH(C87,ProblemData!$C$78:$AM$78,0))="Debit",INDEX(ProblemData!$C$78:$AM$145,MATCH(J87+0.2,ProblemData!$C$78:$C$145,0),MATCH(C87,ProblemData!$C$78:$AM$78,0)),""),""),"")</f>
        <v/>
      </c>
      <c r="F87" s="66" t="str">
        <f>IFERROR(_xlfn.IFNA(IF(INDEX(ProblemData!$C$78:$AM$145,MATCH(J87+0.3,ProblemData!$C$78:$C$145,0),MATCH(C87,ProblemData!$C$78:$AM$78,0))="Credit",INDEX(ProblemData!$C$78:$AM$145,MATCH(J87+0.2,ProblemData!$C$78:$C$145,0),MATCH(C87,ProblemData!$C$78:$AM$78,0)),""),""),"")</f>
        <v/>
      </c>
      <c r="G87" s="324" t="str">
        <f>_xlfn.IFNA(IF(JournalAnswer[[#This Row],[Debit Account]]&lt;&gt;"",INDEX(ProblemData!$C$78:$AM$145,MATCH(J87+0.4,ProblemData!$C$78:$C$145,0),MATCH(C87,ProblemData!$C$78:$AM$78,0)),""),"")</f>
        <v/>
      </c>
      <c r="H87" s="325" t="str">
        <f>_xlfn.IFNA(IF(JournalAnswer[[#This Row],[Credit Account]]&lt;&gt;"",INDEX(ProblemData!$C$78:$AM$145,MATCH(J87+0.4,ProblemData!$C$78:$C$145,0),MATCH(C87,ProblemData!$C$78:$AM$78,0)),""),"")</f>
        <v/>
      </c>
      <c r="I87" s="353" t="str" cm="1">
        <f t="array" ref="I87">IF(JournalAnswer[[#This Row],[Debit Account]]="Cash",INDEX(ProblemData!$E$238:$AM$238,1,JournalAnswer[[#This Row],[Transaction '#]]),IF(JournalAnswer[[#This Row],[Credit Account]]="Cash",INDEX(ProblemData!$E$238:$AM$238,1,JournalAnswer[[#This Row],[Transaction '#]]),""))</f>
        <v/>
      </c>
      <c r="J87" s="85" t="str">
        <f>IF(JournalAnswer[[#This Row],[Transaction '#]]="","",IF(JournalAnswer[[#This Row],[Transaction '#]]=C86,J86+1,1))</f>
        <v/>
      </c>
      <c r="K87" s="37" cm="1">
        <f t="array" ref="K87">IFERROR(_xlfn.IFS(JournalAnswer[[#This Row],[Debit Account]]="Cash",JournalAnswer[[#This Row],[Dr Amt]],JournalAnswer[[#This Row],[Credit Account]]="Cash",-JournalAnswer[[#This Row],[Cr Amt]]),0)</f>
        <v>0</v>
      </c>
      <c r="L87" s="41" t="str" cm="1">
        <f t="array" ref="L87">IFERROR(INDEX(ProblemData!$E$239:$AM$239,1,JournalAnswer[[#This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322" t="str">
        <f t="shared" si="3"/>
        <v/>
      </c>
      <c r="D88" s="323" t="str">
        <f>IFERROR(_xlfn.IFNA(INDEX(ProblemData!$C$78:$AM$145,MATCH(J88+0.1,ProblemData!$C$78:$C$145,0),MATCH(C88,ProblemData!$C$78:$AM$78,0)),""),"")</f>
        <v/>
      </c>
      <c r="E88" s="66" t="str">
        <f>IFERROR(_xlfn.IFNA(IF(INDEX(ProblemData!$C$78:$AM$145,MATCH(J88+0.3,ProblemData!$C$78:$C$145,0),MATCH(C88,ProblemData!$C$78:$AM$78,0))="Debit",INDEX(ProblemData!$C$78:$AM$145,MATCH(J88+0.2,ProblemData!$C$78:$C$145,0),MATCH(C88,ProblemData!$C$78:$AM$78,0)),""),""),"")</f>
        <v/>
      </c>
      <c r="F88" s="66" t="str">
        <f>IFERROR(_xlfn.IFNA(IF(INDEX(ProblemData!$C$78:$AM$145,MATCH(J88+0.3,ProblemData!$C$78:$C$145,0),MATCH(C88,ProblemData!$C$78:$AM$78,0))="Credit",INDEX(ProblemData!$C$78:$AM$145,MATCH(J88+0.2,ProblemData!$C$78:$C$145,0),MATCH(C88,ProblemData!$C$78:$AM$78,0)),""),""),"")</f>
        <v/>
      </c>
      <c r="G88" s="324" t="str">
        <f>_xlfn.IFNA(IF(JournalAnswer[[#This Row],[Debit Account]]&lt;&gt;"",INDEX(ProblemData!$C$78:$AM$145,MATCH(J88+0.4,ProblemData!$C$78:$C$145,0),MATCH(C88,ProblemData!$C$78:$AM$78,0)),""),"")</f>
        <v/>
      </c>
      <c r="H88" s="325" t="str">
        <f>_xlfn.IFNA(IF(JournalAnswer[[#This Row],[Credit Account]]&lt;&gt;"",INDEX(ProblemData!$C$78:$AM$145,MATCH(J88+0.4,ProblemData!$C$78:$C$145,0),MATCH(C88,ProblemData!$C$78:$AM$78,0)),""),"")</f>
        <v/>
      </c>
      <c r="I88" s="353" t="str" cm="1">
        <f t="array" ref="I88">IF(JournalAnswer[[#This Row],[Debit Account]]="Cash",INDEX(ProblemData!$E$238:$AM$238,1,JournalAnswer[[#This Row],[Transaction '#]]),IF(JournalAnswer[[#This Row],[Credit Account]]="Cash",INDEX(ProblemData!$E$238:$AM$238,1,JournalAnswer[[#This Row],[Transaction '#]]),""))</f>
        <v/>
      </c>
      <c r="J88" s="85" t="str">
        <f>IF(JournalAnswer[[#This Row],[Transaction '#]]="","",IF(JournalAnswer[[#This Row],[Transaction '#]]=C87,J87+1,1))</f>
        <v/>
      </c>
      <c r="K88" s="37" cm="1">
        <f t="array" ref="K88">IFERROR(_xlfn.IFS(JournalAnswer[[#This Row],[Debit Account]]="Cash",JournalAnswer[[#This Row],[Dr Amt]],JournalAnswer[[#This Row],[Credit Account]]="Cash",-JournalAnswer[[#This Row],[Cr Amt]]),0)</f>
        <v>0</v>
      </c>
      <c r="L88" s="41" t="str" cm="1">
        <f t="array" ref="L88">IFERROR(INDEX(ProblemData!$E$239:$AM$239,1,JournalAnswer[[#This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322" t="str">
        <f t="shared" si="3"/>
        <v/>
      </c>
      <c r="D89" s="323" t="str">
        <f>IFERROR(_xlfn.IFNA(INDEX(ProblemData!$C$78:$AM$145,MATCH(J89+0.1,ProblemData!$C$78:$C$145,0),MATCH(C89,ProblemData!$C$78:$AM$78,0)),""),"")</f>
        <v/>
      </c>
      <c r="E89" s="66" t="str">
        <f>IFERROR(_xlfn.IFNA(IF(INDEX(ProblemData!$C$78:$AM$145,MATCH(J89+0.3,ProblemData!$C$78:$C$145,0),MATCH(C89,ProblemData!$C$78:$AM$78,0))="Debit",INDEX(ProblemData!$C$78:$AM$145,MATCH(J89+0.2,ProblemData!$C$78:$C$145,0),MATCH(C89,ProblemData!$C$78:$AM$78,0)),""),""),"")</f>
        <v/>
      </c>
      <c r="F89" s="66" t="str">
        <f>IFERROR(_xlfn.IFNA(IF(INDEX(ProblemData!$C$78:$AM$145,MATCH(J89+0.3,ProblemData!$C$78:$C$145,0),MATCH(C89,ProblemData!$C$78:$AM$78,0))="Credit",INDEX(ProblemData!$C$78:$AM$145,MATCH(J89+0.2,ProblemData!$C$78:$C$145,0),MATCH(C89,ProblemData!$C$78:$AM$78,0)),""),""),"")</f>
        <v/>
      </c>
      <c r="G89" s="324" t="str">
        <f>_xlfn.IFNA(IF(JournalAnswer[[#This Row],[Debit Account]]&lt;&gt;"",INDEX(ProblemData!$C$78:$AM$145,MATCH(J89+0.4,ProblemData!$C$78:$C$145,0),MATCH(C89,ProblemData!$C$78:$AM$78,0)),""),"")</f>
        <v/>
      </c>
      <c r="H89" s="325" t="str">
        <f>_xlfn.IFNA(IF(JournalAnswer[[#This Row],[Credit Account]]&lt;&gt;"",INDEX(ProblemData!$C$78:$AM$145,MATCH(J89+0.4,ProblemData!$C$78:$C$145,0),MATCH(C89,ProblemData!$C$78:$AM$78,0)),""),"")</f>
        <v/>
      </c>
      <c r="I89" s="353" t="str" cm="1">
        <f t="array" ref="I89">IF(JournalAnswer[[#This Row],[Debit Account]]="Cash",INDEX(ProblemData!$E$238:$AM$238,1,JournalAnswer[[#This Row],[Transaction '#]]),IF(JournalAnswer[[#This Row],[Credit Account]]="Cash",INDEX(ProblemData!$E$238:$AM$238,1,JournalAnswer[[#This Row],[Transaction '#]]),""))</f>
        <v/>
      </c>
      <c r="J89" s="85" t="str">
        <f>IF(JournalAnswer[[#This Row],[Transaction '#]]="","",IF(JournalAnswer[[#This Row],[Transaction '#]]=C88,J88+1,1))</f>
        <v/>
      </c>
      <c r="K89" s="37" cm="1">
        <f t="array" ref="K89">IFERROR(_xlfn.IFS(JournalAnswer[[#This Row],[Debit Account]]="Cash",JournalAnswer[[#This Row],[Dr Amt]],JournalAnswer[[#This Row],[Credit Account]]="Cash",-JournalAnswer[[#This Row],[Cr Amt]]),0)</f>
        <v>0</v>
      </c>
      <c r="L89" s="41" t="str" cm="1">
        <f t="array" ref="L89">IFERROR(INDEX(ProblemData!$E$239:$AM$239,1,JournalAnswer[[#This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322" t="str">
        <f t="shared" si="3"/>
        <v/>
      </c>
      <c r="D90" s="323" t="str">
        <f>IFERROR(_xlfn.IFNA(INDEX(ProblemData!$C$78:$AM$145,MATCH(J90+0.1,ProblemData!$C$78:$C$145,0),MATCH(C90,ProblemData!$C$78:$AM$78,0)),""),"")</f>
        <v/>
      </c>
      <c r="E90" s="66" t="str">
        <f>IFERROR(_xlfn.IFNA(IF(INDEX(ProblemData!$C$78:$AM$145,MATCH(J90+0.3,ProblemData!$C$78:$C$145,0),MATCH(C90,ProblemData!$C$78:$AM$78,0))="Debit",INDEX(ProblemData!$C$78:$AM$145,MATCH(J90+0.2,ProblemData!$C$78:$C$145,0),MATCH(C90,ProblemData!$C$78:$AM$78,0)),""),""),"")</f>
        <v/>
      </c>
      <c r="F90" s="66" t="str">
        <f>IFERROR(_xlfn.IFNA(IF(INDEX(ProblemData!$C$78:$AM$145,MATCH(J90+0.3,ProblemData!$C$78:$C$145,0),MATCH(C90,ProblemData!$C$78:$AM$78,0))="Credit",INDEX(ProblemData!$C$78:$AM$145,MATCH(J90+0.2,ProblemData!$C$78:$C$145,0),MATCH(C90,ProblemData!$C$78:$AM$78,0)),""),""),"")</f>
        <v/>
      </c>
      <c r="G90" s="324" t="str">
        <f>_xlfn.IFNA(IF(JournalAnswer[[#This Row],[Debit Account]]&lt;&gt;"",INDEX(ProblemData!$C$78:$AM$145,MATCH(J90+0.4,ProblemData!$C$78:$C$145,0),MATCH(C90,ProblemData!$C$78:$AM$78,0)),""),"")</f>
        <v/>
      </c>
      <c r="H90" s="325" t="str">
        <f>_xlfn.IFNA(IF(JournalAnswer[[#This Row],[Credit Account]]&lt;&gt;"",INDEX(ProblemData!$C$78:$AM$145,MATCH(J90+0.4,ProblemData!$C$78:$C$145,0),MATCH(C90,ProblemData!$C$78:$AM$78,0)),""),"")</f>
        <v/>
      </c>
      <c r="I90" s="353" t="str" cm="1">
        <f t="array" ref="I90">IF(JournalAnswer[[#This Row],[Debit Account]]="Cash",INDEX(ProblemData!$E$238:$AM$238,1,JournalAnswer[[#This Row],[Transaction '#]]),IF(JournalAnswer[[#This Row],[Credit Account]]="Cash",INDEX(ProblemData!$E$238:$AM$238,1,JournalAnswer[[#This Row],[Transaction '#]]),""))</f>
        <v/>
      </c>
      <c r="J90" s="85" t="str">
        <f>IF(JournalAnswer[[#This Row],[Transaction '#]]="","",IF(JournalAnswer[[#This Row],[Transaction '#]]=C89,J89+1,1))</f>
        <v/>
      </c>
      <c r="K90" s="37" cm="1">
        <f t="array" ref="K90">IFERROR(_xlfn.IFS(JournalAnswer[[#This Row],[Debit Account]]="Cash",JournalAnswer[[#This Row],[Dr Amt]],JournalAnswer[[#This Row],[Credit Account]]="Cash",-JournalAnswer[[#This Row],[Cr Amt]]),0)</f>
        <v>0</v>
      </c>
      <c r="L90" s="41" t="str" cm="1">
        <f t="array" ref="L90">IFERROR(INDEX(ProblemData!$E$239:$AM$239,1,JournalAnswer[[#This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322" t="str">
        <f t="shared" si="3"/>
        <v/>
      </c>
      <c r="D91" s="323" t="str">
        <f>IFERROR(_xlfn.IFNA(INDEX(ProblemData!$C$78:$AM$145,MATCH(J91+0.1,ProblemData!$C$78:$C$145,0),MATCH(C91,ProblemData!$C$78:$AM$78,0)),""),"")</f>
        <v/>
      </c>
      <c r="E91" s="66" t="str">
        <f>IFERROR(_xlfn.IFNA(IF(INDEX(ProblemData!$C$78:$AM$145,MATCH(J91+0.3,ProblemData!$C$78:$C$145,0),MATCH(C91,ProblemData!$C$78:$AM$78,0))="Debit",INDEX(ProblemData!$C$78:$AM$145,MATCH(J91+0.2,ProblemData!$C$78:$C$145,0),MATCH(C91,ProblemData!$C$78:$AM$78,0)),""),""),"")</f>
        <v/>
      </c>
      <c r="F91" s="66" t="str">
        <f>IFERROR(_xlfn.IFNA(IF(INDEX(ProblemData!$C$78:$AM$145,MATCH(J91+0.3,ProblemData!$C$78:$C$145,0),MATCH(C91,ProblemData!$C$78:$AM$78,0))="Credit",INDEX(ProblemData!$C$78:$AM$145,MATCH(J91+0.2,ProblemData!$C$78:$C$145,0),MATCH(C91,ProblemData!$C$78:$AM$78,0)),""),""),"")</f>
        <v/>
      </c>
      <c r="G91" s="324" t="str">
        <f>_xlfn.IFNA(IF(JournalAnswer[[#This Row],[Debit Account]]&lt;&gt;"",INDEX(ProblemData!$C$78:$AM$145,MATCH(J91+0.4,ProblemData!$C$78:$C$145,0),MATCH(C91,ProblemData!$C$78:$AM$78,0)),""),"")</f>
        <v/>
      </c>
      <c r="H91" s="325" t="str">
        <f>_xlfn.IFNA(IF(JournalAnswer[[#This Row],[Credit Account]]&lt;&gt;"",INDEX(ProblemData!$C$78:$AM$145,MATCH(J91+0.4,ProblemData!$C$78:$C$145,0),MATCH(C91,ProblemData!$C$78:$AM$78,0)),""),"")</f>
        <v/>
      </c>
      <c r="I91" s="353" t="str" cm="1">
        <f t="array" ref="I91">IF(JournalAnswer[[#This Row],[Debit Account]]="Cash",INDEX(ProblemData!$E$238:$AM$238,1,JournalAnswer[[#This Row],[Transaction '#]]),IF(JournalAnswer[[#This Row],[Credit Account]]="Cash",INDEX(ProblemData!$E$238:$AM$238,1,JournalAnswer[[#This Row],[Transaction '#]]),""))</f>
        <v/>
      </c>
      <c r="J91" s="85" t="str">
        <f>IF(JournalAnswer[[#This Row],[Transaction '#]]="","",IF(JournalAnswer[[#This Row],[Transaction '#]]=C90,J90+1,1))</f>
        <v/>
      </c>
      <c r="K91" s="37" cm="1">
        <f t="array" ref="K91">IFERROR(_xlfn.IFS(JournalAnswer[[#This Row],[Debit Account]]="Cash",JournalAnswer[[#This Row],[Dr Amt]],JournalAnswer[[#This Row],[Credit Account]]="Cash",-JournalAnswer[[#This Row],[Cr Amt]]),0)</f>
        <v>0</v>
      </c>
      <c r="L91" s="41" t="str" cm="1">
        <f t="array" ref="L91">IFERROR(INDEX(ProblemData!$E$239:$AM$239,1,JournalAnswer[[#This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322" t="str">
        <f t="shared" si="3"/>
        <v/>
      </c>
      <c r="D92" s="323" t="str">
        <f>IFERROR(_xlfn.IFNA(INDEX(ProblemData!$C$78:$AM$145,MATCH(J92+0.1,ProblemData!$C$78:$C$145,0),MATCH(C92,ProblemData!$C$78:$AM$78,0)),""),"")</f>
        <v/>
      </c>
      <c r="E92" s="66" t="str">
        <f>IFERROR(_xlfn.IFNA(IF(INDEX(ProblemData!$C$78:$AM$145,MATCH(J92+0.3,ProblemData!$C$78:$C$145,0),MATCH(C92,ProblemData!$C$78:$AM$78,0))="Debit",INDEX(ProblemData!$C$78:$AM$145,MATCH(J92+0.2,ProblemData!$C$78:$C$145,0),MATCH(C92,ProblemData!$C$78:$AM$78,0)),""),""),"")</f>
        <v/>
      </c>
      <c r="F92" s="66" t="str">
        <f>IFERROR(_xlfn.IFNA(IF(INDEX(ProblemData!$C$78:$AM$145,MATCH(J92+0.3,ProblemData!$C$78:$C$145,0),MATCH(C92,ProblemData!$C$78:$AM$78,0))="Credit",INDEX(ProblemData!$C$78:$AM$145,MATCH(J92+0.2,ProblemData!$C$78:$C$145,0),MATCH(C92,ProblemData!$C$78:$AM$78,0)),""),""),"")</f>
        <v/>
      </c>
      <c r="G92" s="324" t="str">
        <f>_xlfn.IFNA(IF(JournalAnswer[[#This Row],[Debit Account]]&lt;&gt;"",INDEX(ProblemData!$C$78:$AM$145,MATCH(J92+0.4,ProblemData!$C$78:$C$145,0),MATCH(C92,ProblemData!$C$78:$AM$78,0)),""),"")</f>
        <v/>
      </c>
      <c r="H92" s="325" t="str">
        <f>_xlfn.IFNA(IF(JournalAnswer[[#This Row],[Credit Account]]&lt;&gt;"",INDEX(ProblemData!$C$78:$AM$145,MATCH(J92+0.4,ProblemData!$C$78:$C$145,0),MATCH(C92,ProblemData!$C$78:$AM$78,0)),""),"")</f>
        <v/>
      </c>
      <c r="I92" s="353" t="str" cm="1">
        <f t="array" ref="I92">IF(JournalAnswer[[#This Row],[Debit Account]]="Cash",INDEX(ProblemData!$E$238:$AM$238,1,JournalAnswer[[#This Row],[Transaction '#]]),IF(JournalAnswer[[#This Row],[Credit Account]]="Cash",INDEX(ProblemData!$E$238:$AM$238,1,JournalAnswer[[#This Row],[Transaction '#]]),""))</f>
        <v/>
      </c>
      <c r="J92" s="85" t="str">
        <f>IF(JournalAnswer[[#This Row],[Transaction '#]]="","",IF(JournalAnswer[[#This Row],[Transaction '#]]=C91,J91+1,1))</f>
        <v/>
      </c>
      <c r="K92" s="37" cm="1">
        <f t="array" ref="K92">IFERROR(_xlfn.IFS(JournalAnswer[[#This Row],[Debit Account]]="Cash",JournalAnswer[[#This Row],[Dr Amt]],JournalAnswer[[#This Row],[Credit Account]]="Cash",-JournalAnswer[[#This Row],[Cr Amt]]),0)</f>
        <v>0</v>
      </c>
      <c r="L92" s="41" t="str" cm="1">
        <f t="array" ref="L92">IFERROR(INDEX(ProblemData!$E$239:$AM$239,1,JournalAnswer[[#This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322" t="str">
        <f t="shared" si="3"/>
        <v/>
      </c>
      <c r="D93" s="323" t="str">
        <f>IFERROR(_xlfn.IFNA(INDEX(ProblemData!$C$78:$AM$145,MATCH(J93+0.1,ProblemData!$C$78:$C$145,0),MATCH(C93,ProblemData!$C$78:$AM$78,0)),""),"")</f>
        <v/>
      </c>
      <c r="E93" s="66" t="str">
        <f>IFERROR(_xlfn.IFNA(IF(INDEX(ProblemData!$C$78:$AM$145,MATCH(J93+0.3,ProblemData!$C$78:$C$145,0),MATCH(C93,ProblemData!$C$78:$AM$78,0))="Debit",INDEX(ProblemData!$C$78:$AM$145,MATCH(J93+0.2,ProblemData!$C$78:$C$145,0),MATCH(C93,ProblemData!$C$78:$AM$78,0)),""),""),"")</f>
        <v/>
      </c>
      <c r="F93" s="66" t="str">
        <f>IFERROR(_xlfn.IFNA(IF(INDEX(ProblemData!$C$78:$AM$145,MATCH(J93+0.3,ProblemData!$C$78:$C$145,0),MATCH(C93,ProblemData!$C$78:$AM$78,0))="Credit",INDEX(ProblemData!$C$78:$AM$145,MATCH(J93+0.2,ProblemData!$C$78:$C$145,0),MATCH(C93,ProblemData!$C$78:$AM$78,0)),""),""),"")</f>
        <v/>
      </c>
      <c r="G93" s="324" t="str">
        <f>_xlfn.IFNA(IF(JournalAnswer[[#This Row],[Debit Account]]&lt;&gt;"",INDEX(ProblemData!$C$78:$AM$145,MATCH(J93+0.4,ProblemData!$C$78:$C$145,0),MATCH(C93,ProblemData!$C$78:$AM$78,0)),""),"")</f>
        <v/>
      </c>
      <c r="H93" s="325" t="str">
        <f>_xlfn.IFNA(IF(JournalAnswer[[#This Row],[Credit Account]]&lt;&gt;"",INDEX(ProblemData!$C$78:$AM$145,MATCH(J93+0.4,ProblemData!$C$78:$C$145,0),MATCH(C93,ProblemData!$C$78:$AM$78,0)),""),"")</f>
        <v/>
      </c>
      <c r="I93" s="353" t="str" cm="1">
        <f t="array" ref="I93">IF(JournalAnswer[[#This Row],[Debit Account]]="Cash",INDEX(ProblemData!$E$238:$AM$238,1,JournalAnswer[[#This Row],[Transaction '#]]),IF(JournalAnswer[[#This Row],[Credit Account]]="Cash",INDEX(ProblemData!$E$238:$AM$238,1,JournalAnswer[[#This Row],[Transaction '#]]),""))</f>
        <v/>
      </c>
      <c r="J93" s="85" t="str">
        <f>IF(JournalAnswer[[#This Row],[Transaction '#]]="","",IF(JournalAnswer[[#This Row],[Transaction '#]]=C92,J92+1,1))</f>
        <v/>
      </c>
      <c r="K93" s="37" cm="1">
        <f t="array" ref="K93">IFERROR(_xlfn.IFS(JournalAnswer[[#This Row],[Debit Account]]="Cash",JournalAnswer[[#This Row],[Dr Amt]],JournalAnswer[[#This Row],[Credit Account]]="Cash",-JournalAnswer[[#This Row],[Cr Amt]]),0)</f>
        <v>0</v>
      </c>
      <c r="L93" s="41" t="str" cm="1">
        <f t="array" ref="L93">IFERROR(INDEX(ProblemData!$E$239:$AM$239,1,JournalAnswer[[#This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322" t="str">
        <f t="shared" si="3"/>
        <v/>
      </c>
      <c r="D94" s="323" t="str">
        <f>IFERROR(_xlfn.IFNA(INDEX(ProblemData!$C$78:$AM$145,MATCH(J94+0.1,ProblemData!$C$78:$C$145,0),MATCH(C94,ProblemData!$C$78:$AM$78,0)),""),"")</f>
        <v/>
      </c>
      <c r="E94" s="66" t="str">
        <f>IFERROR(_xlfn.IFNA(IF(INDEX(ProblemData!$C$78:$AM$145,MATCH(J94+0.3,ProblemData!$C$78:$C$145,0),MATCH(C94,ProblemData!$C$78:$AM$78,0))="Debit",INDEX(ProblemData!$C$78:$AM$145,MATCH(J94+0.2,ProblemData!$C$78:$C$145,0),MATCH(C94,ProblemData!$C$78:$AM$78,0)),""),""),"")</f>
        <v/>
      </c>
      <c r="F94" s="66" t="str">
        <f>IFERROR(_xlfn.IFNA(IF(INDEX(ProblemData!$C$78:$AM$145,MATCH(J94+0.3,ProblemData!$C$78:$C$145,0),MATCH(C94,ProblemData!$C$78:$AM$78,0))="Credit",INDEX(ProblemData!$C$78:$AM$145,MATCH(J94+0.2,ProblemData!$C$78:$C$145,0),MATCH(C94,ProblemData!$C$78:$AM$78,0)),""),""),"")</f>
        <v/>
      </c>
      <c r="G94" s="324" t="str">
        <f>_xlfn.IFNA(IF(JournalAnswer[[#This Row],[Debit Account]]&lt;&gt;"",INDEX(ProblemData!$C$78:$AM$145,MATCH(J94+0.4,ProblemData!$C$78:$C$145,0),MATCH(C94,ProblemData!$C$78:$AM$78,0)),""),"")</f>
        <v/>
      </c>
      <c r="H94" s="325" t="str">
        <f>_xlfn.IFNA(IF(JournalAnswer[[#This Row],[Credit Account]]&lt;&gt;"",INDEX(ProblemData!$C$78:$AM$145,MATCH(J94+0.4,ProblemData!$C$78:$C$145,0),MATCH(C94,ProblemData!$C$78:$AM$78,0)),""),"")</f>
        <v/>
      </c>
      <c r="I94" s="353" t="str" cm="1">
        <f t="array" ref="I94">IF(JournalAnswer[[#This Row],[Debit Account]]="Cash",INDEX(ProblemData!$E$238:$AM$238,1,JournalAnswer[[#This Row],[Transaction '#]]),IF(JournalAnswer[[#This Row],[Credit Account]]="Cash",INDEX(ProblemData!$E$238:$AM$238,1,JournalAnswer[[#This Row],[Transaction '#]]),""))</f>
        <v/>
      </c>
      <c r="J94" s="85" t="str">
        <f>IF(JournalAnswer[[#This Row],[Transaction '#]]="","",IF(JournalAnswer[[#This Row],[Transaction '#]]=C93,J93+1,1))</f>
        <v/>
      </c>
      <c r="K94" s="37" cm="1">
        <f t="array" ref="K94">IFERROR(_xlfn.IFS(JournalAnswer[[#This Row],[Debit Account]]="Cash",JournalAnswer[[#This Row],[Dr Amt]],JournalAnswer[[#This Row],[Credit Account]]="Cash",-JournalAnswer[[#This Row],[Cr Amt]]),0)</f>
        <v>0</v>
      </c>
      <c r="L94" s="41" t="str" cm="1">
        <f t="array" ref="L94">IFERROR(INDEX(ProblemData!$E$239:$AM$239,1,JournalAnswer[[#This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322" t="str">
        <f t="shared" si="3"/>
        <v/>
      </c>
      <c r="D95" s="323" t="str">
        <f>IFERROR(_xlfn.IFNA(INDEX(ProblemData!$C$78:$AM$145,MATCH(J95+0.1,ProblemData!$C$78:$C$145,0),MATCH(C95,ProblemData!$C$78:$AM$78,0)),""),"")</f>
        <v/>
      </c>
      <c r="E95" s="66" t="str">
        <f>IFERROR(_xlfn.IFNA(IF(INDEX(ProblemData!$C$78:$AM$145,MATCH(J95+0.3,ProblemData!$C$78:$C$145,0),MATCH(C95,ProblemData!$C$78:$AM$78,0))="Debit",INDEX(ProblemData!$C$78:$AM$145,MATCH(J95+0.2,ProblemData!$C$78:$C$145,0),MATCH(C95,ProblemData!$C$78:$AM$78,0)),""),""),"")</f>
        <v/>
      </c>
      <c r="F95" s="66" t="str">
        <f>IFERROR(_xlfn.IFNA(IF(INDEX(ProblemData!$C$78:$AM$145,MATCH(J95+0.3,ProblemData!$C$78:$C$145,0),MATCH(C95,ProblemData!$C$78:$AM$78,0))="Credit",INDEX(ProblemData!$C$78:$AM$145,MATCH(J95+0.2,ProblemData!$C$78:$C$145,0),MATCH(C95,ProblemData!$C$78:$AM$78,0)),""),""),"")</f>
        <v/>
      </c>
      <c r="G95" s="324" t="str">
        <f>_xlfn.IFNA(IF(JournalAnswer[[#This Row],[Debit Account]]&lt;&gt;"",INDEX(ProblemData!$C$78:$AM$145,MATCH(J95+0.4,ProblemData!$C$78:$C$145,0),MATCH(C95,ProblemData!$C$78:$AM$78,0)),""),"")</f>
        <v/>
      </c>
      <c r="H95" s="325" t="str">
        <f>_xlfn.IFNA(IF(JournalAnswer[[#This Row],[Credit Account]]&lt;&gt;"",INDEX(ProblemData!$C$78:$AM$145,MATCH(J95+0.4,ProblemData!$C$78:$C$145,0),MATCH(C95,ProblemData!$C$78:$AM$78,0)),""),"")</f>
        <v/>
      </c>
      <c r="I95" s="353" t="str" cm="1">
        <f t="array" ref="I95">IF(JournalAnswer[[#This Row],[Debit Account]]="Cash",INDEX(ProblemData!$E$238:$AM$238,1,JournalAnswer[[#This Row],[Transaction '#]]),IF(JournalAnswer[[#This Row],[Credit Account]]="Cash",INDEX(ProblemData!$E$238:$AM$238,1,JournalAnswer[[#This Row],[Transaction '#]]),""))</f>
        <v/>
      </c>
      <c r="J95" s="85" t="str">
        <f>IF(JournalAnswer[[#This Row],[Transaction '#]]="","",IF(JournalAnswer[[#This Row],[Transaction '#]]=C94,J94+1,1))</f>
        <v/>
      </c>
      <c r="K95" s="37" cm="1">
        <f t="array" ref="K95">IFERROR(_xlfn.IFS(JournalAnswer[[#This Row],[Debit Account]]="Cash",JournalAnswer[[#This Row],[Dr Amt]],JournalAnswer[[#This Row],[Credit Account]]="Cash",-JournalAnswer[[#This Row],[Cr Amt]]),0)</f>
        <v>0</v>
      </c>
      <c r="L95" s="41" t="str" cm="1">
        <f t="array" ref="L95">IFERROR(INDEX(ProblemData!$E$239:$AM$239,1,JournalAnswer[[#This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322" t="str">
        <f t="shared" si="3"/>
        <v/>
      </c>
      <c r="D96" s="323" t="str">
        <f>IFERROR(_xlfn.IFNA(INDEX(ProblemData!$C$78:$AM$145,MATCH(J96+0.1,ProblemData!$C$78:$C$145,0),MATCH(C96,ProblemData!$C$78:$AM$78,0)),""),"")</f>
        <v/>
      </c>
      <c r="E96" s="66" t="str">
        <f>IFERROR(_xlfn.IFNA(IF(INDEX(ProblemData!$C$78:$AM$145,MATCH(J96+0.3,ProblemData!$C$78:$C$145,0),MATCH(C96,ProblemData!$C$78:$AM$78,0))="Debit",INDEX(ProblemData!$C$78:$AM$145,MATCH(J96+0.2,ProblemData!$C$78:$C$145,0),MATCH(C96,ProblemData!$C$78:$AM$78,0)),""),""),"")</f>
        <v/>
      </c>
      <c r="F96" s="66" t="str">
        <f>IFERROR(_xlfn.IFNA(IF(INDEX(ProblemData!$C$78:$AM$145,MATCH(J96+0.3,ProblemData!$C$78:$C$145,0),MATCH(C96,ProblemData!$C$78:$AM$78,0))="Credit",INDEX(ProblemData!$C$78:$AM$145,MATCH(J96+0.2,ProblemData!$C$78:$C$145,0),MATCH(C96,ProblemData!$C$78:$AM$78,0)),""),""),"")</f>
        <v/>
      </c>
      <c r="G96" s="324" t="str">
        <f>_xlfn.IFNA(IF(JournalAnswer[[#This Row],[Debit Account]]&lt;&gt;"",INDEX(ProblemData!$C$78:$AM$145,MATCH(J96+0.4,ProblemData!$C$78:$C$145,0),MATCH(C96,ProblemData!$C$78:$AM$78,0)),""),"")</f>
        <v/>
      </c>
      <c r="H96" s="325" t="str">
        <f>_xlfn.IFNA(IF(JournalAnswer[[#This Row],[Credit Account]]&lt;&gt;"",INDEX(ProblemData!$C$78:$AM$145,MATCH(J96+0.4,ProblemData!$C$78:$C$145,0),MATCH(C96,ProblemData!$C$78:$AM$78,0)),""),"")</f>
        <v/>
      </c>
      <c r="I96" s="353" t="str" cm="1">
        <f t="array" ref="I96">IF(JournalAnswer[[#This Row],[Debit Account]]="Cash",INDEX(ProblemData!$E$238:$AM$238,1,JournalAnswer[[#This Row],[Transaction '#]]),IF(JournalAnswer[[#This Row],[Credit Account]]="Cash",INDEX(ProblemData!$E$238:$AM$238,1,JournalAnswer[[#This Row],[Transaction '#]]),""))</f>
        <v/>
      </c>
      <c r="J96" s="85" t="str">
        <f>IF(JournalAnswer[[#This Row],[Transaction '#]]="","",IF(JournalAnswer[[#This Row],[Transaction '#]]=C95,J95+1,1))</f>
        <v/>
      </c>
      <c r="K96" s="37" cm="1">
        <f t="array" ref="K96">IFERROR(_xlfn.IFS(JournalAnswer[[#This Row],[Debit Account]]="Cash",JournalAnswer[[#This Row],[Dr Amt]],JournalAnswer[[#This Row],[Credit Account]]="Cash",-JournalAnswer[[#This Row],[Cr Amt]]),0)</f>
        <v>0</v>
      </c>
      <c r="L96" s="41" t="str" cm="1">
        <f t="array" ref="L96">IFERROR(INDEX(ProblemData!$E$239:$AM$239,1,JournalAnswer[[#This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322" t="str">
        <f t="shared" si="3"/>
        <v/>
      </c>
      <c r="D97" s="323" t="str">
        <f>IFERROR(_xlfn.IFNA(INDEX(ProblemData!$C$78:$AM$145,MATCH(J97+0.1,ProblemData!$C$78:$C$145,0),MATCH(C97,ProblemData!$C$78:$AM$78,0)),""),"")</f>
        <v/>
      </c>
      <c r="E97" s="66" t="str">
        <f>IFERROR(_xlfn.IFNA(IF(INDEX(ProblemData!$C$78:$AM$145,MATCH(J97+0.3,ProblemData!$C$78:$C$145,0),MATCH(C97,ProblemData!$C$78:$AM$78,0))="Debit",INDEX(ProblemData!$C$78:$AM$145,MATCH(J97+0.2,ProblemData!$C$78:$C$145,0),MATCH(C97,ProblemData!$C$78:$AM$78,0)),""),""),"")</f>
        <v/>
      </c>
      <c r="F97" s="66" t="str">
        <f>IFERROR(_xlfn.IFNA(IF(INDEX(ProblemData!$C$78:$AM$145,MATCH(J97+0.3,ProblemData!$C$78:$C$145,0),MATCH(C97,ProblemData!$C$78:$AM$78,0))="Credit",INDEX(ProblemData!$C$78:$AM$145,MATCH(J97+0.2,ProblemData!$C$78:$C$145,0),MATCH(C97,ProblemData!$C$78:$AM$78,0)),""),""),"")</f>
        <v/>
      </c>
      <c r="G97" s="324" t="str">
        <f>_xlfn.IFNA(IF(JournalAnswer[[#This Row],[Debit Account]]&lt;&gt;"",INDEX(ProblemData!$C$78:$AM$145,MATCH(J97+0.4,ProblemData!$C$78:$C$145,0),MATCH(C97,ProblemData!$C$78:$AM$78,0)),""),"")</f>
        <v/>
      </c>
      <c r="H97" s="325" t="str">
        <f>_xlfn.IFNA(IF(JournalAnswer[[#This Row],[Credit Account]]&lt;&gt;"",INDEX(ProblemData!$C$78:$AM$145,MATCH(J97+0.4,ProblemData!$C$78:$C$145,0),MATCH(C97,ProblemData!$C$78:$AM$78,0)),""),"")</f>
        <v/>
      </c>
      <c r="I97" s="353" t="str" cm="1">
        <f t="array" ref="I97">IF(JournalAnswer[[#This Row],[Debit Account]]="Cash",INDEX(ProblemData!$E$238:$AM$238,1,JournalAnswer[[#This Row],[Transaction '#]]),IF(JournalAnswer[[#This Row],[Credit Account]]="Cash",INDEX(ProblemData!$E$238:$AM$238,1,JournalAnswer[[#This Row],[Transaction '#]]),""))</f>
        <v/>
      </c>
      <c r="J97" s="85" t="str">
        <f>IF(JournalAnswer[[#This Row],[Transaction '#]]="","",IF(JournalAnswer[[#This Row],[Transaction '#]]=C96,J96+1,1))</f>
        <v/>
      </c>
      <c r="K97" s="37" cm="1">
        <f t="array" ref="K97">IFERROR(_xlfn.IFS(JournalAnswer[[#This Row],[Debit Account]]="Cash",JournalAnswer[[#This Row],[Dr Amt]],JournalAnswer[[#This Row],[Credit Account]]="Cash",-JournalAnswer[[#This Row],[Cr Amt]]),0)</f>
        <v>0</v>
      </c>
      <c r="L97" s="41" t="str" cm="1">
        <f t="array" ref="L97">IFERROR(INDEX(ProblemData!$E$239:$AM$239,1,JournalAnswer[[#This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322" t="str">
        <f t="shared" si="3"/>
        <v/>
      </c>
      <c r="D98" s="323" t="str">
        <f>IFERROR(_xlfn.IFNA(INDEX(ProblemData!$C$78:$AM$145,MATCH(J98+0.1,ProblemData!$C$78:$C$145,0),MATCH(C98,ProblemData!$C$78:$AM$78,0)),""),"")</f>
        <v/>
      </c>
      <c r="E98" s="66" t="str">
        <f>IFERROR(_xlfn.IFNA(IF(INDEX(ProblemData!$C$78:$AM$145,MATCH(J98+0.3,ProblemData!$C$78:$C$145,0),MATCH(C98,ProblemData!$C$78:$AM$78,0))="Debit",INDEX(ProblemData!$C$78:$AM$145,MATCH(J98+0.2,ProblemData!$C$78:$C$145,0),MATCH(C98,ProblemData!$C$78:$AM$78,0)),""),""),"")</f>
        <v/>
      </c>
      <c r="F98" s="66" t="str">
        <f>IFERROR(_xlfn.IFNA(IF(INDEX(ProblemData!$C$78:$AM$145,MATCH(J98+0.3,ProblemData!$C$78:$C$145,0),MATCH(C98,ProblemData!$C$78:$AM$78,0))="Credit",INDEX(ProblemData!$C$78:$AM$145,MATCH(J98+0.2,ProblemData!$C$78:$C$145,0),MATCH(C98,ProblemData!$C$78:$AM$78,0)),""),""),"")</f>
        <v/>
      </c>
      <c r="G98" s="324" t="str">
        <f>_xlfn.IFNA(IF(JournalAnswer[[#This Row],[Debit Account]]&lt;&gt;"",INDEX(ProblemData!$C$78:$AM$145,MATCH(J98+0.4,ProblemData!$C$78:$C$145,0),MATCH(C98,ProblemData!$C$78:$AM$78,0)),""),"")</f>
        <v/>
      </c>
      <c r="H98" s="325" t="str">
        <f>_xlfn.IFNA(IF(JournalAnswer[[#This Row],[Credit Account]]&lt;&gt;"",INDEX(ProblemData!$C$78:$AM$145,MATCH(J98+0.4,ProblemData!$C$78:$C$145,0),MATCH(C98,ProblemData!$C$78:$AM$78,0)),""),"")</f>
        <v/>
      </c>
      <c r="I98" s="353" t="str" cm="1">
        <f t="array" ref="I98">IF(JournalAnswer[[#This Row],[Debit Account]]="Cash",INDEX(ProblemData!$E$238:$AM$238,1,JournalAnswer[[#This Row],[Transaction '#]]),IF(JournalAnswer[[#This Row],[Credit Account]]="Cash",INDEX(ProblemData!$E$238:$AM$238,1,JournalAnswer[[#This Row],[Transaction '#]]),""))</f>
        <v/>
      </c>
      <c r="J98" s="85" t="str">
        <f>IF(JournalAnswer[[#This Row],[Transaction '#]]="","",IF(JournalAnswer[[#This Row],[Transaction '#]]=C97,J97+1,1))</f>
        <v/>
      </c>
      <c r="K98" s="37" cm="1">
        <f t="array" ref="K98">IFERROR(_xlfn.IFS(JournalAnswer[[#This Row],[Debit Account]]="Cash",JournalAnswer[[#This Row],[Dr Amt]],JournalAnswer[[#This Row],[Credit Account]]="Cash",-JournalAnswer[[#This Row],[Cr Amt]]),0)</f>
        <v>0</v>
      </c>
      <c r="L98" s="41" t="str" cm="1">
        <f t="array" ref="L98">IFERROR(INDEX(ProblemData!$E$239:$AM$239,1,JournalAnswer[[#This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322" t="str">
        <f t="shared" si="3"/>
        <v/>
      </c>
      <c r="D99" s="323" t="str">
        <f>IFERROR(_xlfn.IFNA(INDEX(ProblemData!$C$78:$AM$145,MATCH(J99+0.1,ProblemData!$C$78:$C$145,0),MATCH(C99,ProblemData!$C$78:$AM$78,0)),""),"")</f>
        <v/>
      </c>
      <c r="E99" s="66" t="str">
        <f>IFERROR(_xlfn.IFNA(IF(INDEX(ProblemData!$C$78:$AM$145,MATCH(J99+0.3,ProblemData!$C$78:$C$145,0),MATCH(C99,ProblemData!$C$78:$AM$78,0))="Debit",INDEX(ProblemData!$C$78:$AM$145,MATCH(J99+0.2,ProblemData!$C$78:$C$145,0),MATCH(C99,ProblemData!$C$78:$AM$78,0)),""),""),"")</f>
        <v/>
      </c>
      <c r="F99" s="66" t="str">
        <f>IFERROR(_xlfn.IFNA(IF(INDEX(ProblemData!$C$78:$AM$145,MATCH(J99+0.3,ProblemData!$C$78:$C$145,0),MATCH(C99,ProblemData!$C$78:$AM$78,0))="Credit",INDEX(ProblemData!$C$78:$AM$145,MATCH(J99+0.2,ProblemData!$C$78:$C$145,0),MATCH(C99,ProblemData!$C$78:$AM$78,0)),""),""),"")</f>
        <v/>
      </c>
      <c r="G99" s="324" t="str">
        <f>_xlfn.IFNA(IF(JournalAnswer[[#This Row],[Debit Account]]&lt;&gt;"",INDEX(ProblemData!$C$78:$AM$145,MATCH(J99+0.4,ProblemData!$C$78:$C$145,0),MATCH(C99,ProblemData!$C$78:$AM$78,0)),""),"")</f>
        <v/>
      </c>
      <c r="H99" s="325" t="str">
        <f>_xlfn.IFNA(IF(JournalAnswer[[#This Row],[Credit Account]]&lt;&gt;"",INDEX(ProblemData!$C$78:$AM$145,MATCH(J99+0.4,ProblemData!$C$78:$C$145,0),MATCH(C99,ProblemData!$C$78:$AM$78,0)),""),"")</f>
        <v/>
      </c>
      <c r="I99" s="353" t="str" cm="1">
        <f t="array" ref="I99">IF(JournalAnswer[[#This Row],[Debit Account]]="Cash",INDEX(ProblemData!$E$238:$AM$238,1,JournalAnswer[[#This Row],[Transaction '#]]),IF(JournalAnswer[[#This Row],[Credit Account]]="Cash",INDEX(ProblemData!$E$238:$AM$238,1,JournalAnswer[[#This Row],[Transaction '#]]),""))</f>
        <v/>
      </c>
      <c r="J99" s="85" t="str">
        <f>IF(JournalAnswer[[#This Row],[Transaction '#]]="","",IF(JournalAnswer[[#This Row],[Transaction '#]]=C98,J98+1,1))</f>
        <v/>
      </c>
      <c r="K99" s="37" cm="1">
        <f t="array" ref="K99">IFERROR(_xlfn.IFS(JournalAnswer[[#This Row],[Debit Account]]="Cash",JournalAnswer[[#This Row],[Dr Amt]],JournalAnswer[[#This Row],[Credit Account]]="Cash",-JournalAnswer[[#This Row],[Cr Amt]]),0)</f>
        <v>0</v>
      </c>
      <c r="L99" s="41" t="str" cm="1">
        <f t="array" ref="L99">IFERROR(INDEX(ProblemData!$E$239:$AM$239,1,JournalAnswer[[#This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322" t="str">
        <f t="shared" si="3"/>
        <v/>
      </c>
      <c r="D100" s="323" t="str">
        <f>IFERROR(_xlfn.IFNA(INDEX(ProblemData!$C$78:$AM$145,MATCH(J100+0.1,ProblemData!$C$78:$C$145,0),MATCH(C100,ProblemData!$C$78:$AM$78,0)),""),"")</f>
        <v/>
      </c>
      <c r="E100" s="66" t="str">
        <f>IFERROR(_xlfn.IFNA(IF(INDEX(ProblemData!$C$78:$AM$145,MATCH(J100+0.3,ProblemData!$C$78:$C$145,0),MATCH(C100,ProblemData!$C$78:$AM$78,0))="Debit",INDEX(ProblemData!$C$78:$AM$145,MATCH(J100+0.2,ProblemData!$C$78:$C$145,0),MATCH(C100,ProblemData!$C$78:$AM$78,0)),""),""),"")</f>
        <v/>
      </c>
      <c r="F100" s="66" t="str">
        <f>IFERROR(_xlfn.IFNA(IF(INDEX(ProblemData!$C$78:$AM$145,MATCH(J100+0.3,ProblemData!$C$78:$C$145,0),MATCH(C100,ProblemData!$C$78:$AM$78,0))="Credit",INDEX(ProblemData!$C$78:$AM$145,MATCH(J100+0.2,ProblemData!$C$78:$C$145,0),MATCH(C100,ProblemData!$C$78:$AM$78,0)),""),""),"")</f>
        <v/>
      </c>
      <c r="G100" s="324" t="str">
        <f>_xlfn.IFNA(IF(JournalAnswer[[#This Row],[Debit Account]]&lt;&gt;"",INDEX(ProblemData!$C$78:$AM$145,MATCH(J100+0.4,ProblemData!$C$78:$C$145,0),MATCH(C100,ProblemData!$C$78:$AM$78,0)),""),"")</f>
        <v/>
      </c>
      <c r="H100" s="325" t="str">
        <f>_xlfn.IFNA(IF(JournalAnswer[[#This Row],[Credit Account]]&lt;&gt;"",INDEX(ProblemData!$C$78:$AM$145,MATCH(J100+0.4,ProblemData!$C$78:$C$145,0),MATCH(C100,ProblemData!$C$78:$AM$78,0)),""),"")</f>
        <v/>
      </c>
      <c r="I100" s="353" t="str" cm="1">
        <f t="array" ref="I100">IF(JournalAnswer[[#This Row],[Debit Account]]="Cash",INDEX(ProblemData!$E$238:$AM$238,1,JournalAnswer[[#This Row],[Transaction '#]]),IF(JournalAnswer[[#This Row],[Credit Account]]="Cash",INDEX(ProblemData!$E$238:$AM$238,1,JournalAnswer[[#This Row],[Transaction '#]]),""))</f>
        <v/>
      </c>
      <c r="J100" s="85" t="str">
        <f>IF(JournalAnswer[[#This Row],[Transaction '#]]="","",IF(JournalAnswer[[#This Row],[Transaction '#]]=C99,J99+1,1))</f>
        <v/>
      </c>
      <c r="K100" s="37" cm="1">
        <f t="array" ref="K100">IFERROR(_xlfn.IFS(JournalAnswer[[#This Row],[Debit Account]]="Cash",JournalAnswer[[#This Row],[Dr Amt]],JournalAnswer[[#This Row],[Credit Account]]="Cash",-JournalAnswer[[#This Row],[Cr Amt]]),0)</f>
        <v>0</v>
      </c>
      <c r="L100" s="41" t="str" cm="1">
        <f t="array" ref="L100">IFERROR(INDEX(ProblemData!$E$239:$AM$239,1,JournalAnswer[[#This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322" t="str">
        <f t="shared" si="3"/>
        <v/>
      </c>
      <c r="D101" s="323" t="str">
        <f>IFERROR(_xlfn.IFNA(INDEX(ProblemData!$C$78:$AM$145,MATCH(J101+0.1,ProblemData!$C$78:$C$145,0),MATCH(C101,ProblemData!$C$78:$AM$78,0)),""),"")</f>
        <v/>
      </c>
      <c r="E101" s="66" t="str">
        <f>IFERROR(_xlfn.IFNA(IF(INDEX(ProblemData!$C$78:$AM$145,MATCH(J101+0.3,ProblemData!$C$78:$C$145,0),MATCH(C101,ProblemData!$C$78:$AM$78,0))="Debit",INDEX(ProblemData!$C$78:$AM$145,MATCH(J101+0.2,ProblemData!$C$78:$C$145,0),MATCH(C101,ProblemData!$C$78:$AM$78,0)),""),""),"")</f>
        <v/>
      </c>
      <c r="F101" s="66" t="str">
        <f>IFERROR(_xlfn.IFNA(IF(INDEX(ProblemData!$C$78:$AM$145,MATCH(J101+0.3,ProblemData!$C$78:$C$145,0),MATCH(C101,ProblemData!$C$78:$AM$78,0))="Credit",INDEX(ProblemData!$C$78:$AM$145,MATCH(J101+0.2,ProblemData!$C$78:$C$145,0),MATCH(C101,ProblemData!$C$78:$AM$78,0)),""),""),"")</f>
        <v/>
      </c>
      <c r="G101" s="324" t="str">
        <f>_xlfn.IFNA(IF(JournalAnswer[[#This Row],[Debit Account]]&lt;&gt;"",INDEX(ProblemData!$C$78:$AM$145,MATCH(J101+0.4,ProblemData!$C$78:$C$145,0),MATCH(C101,ProblemData!$C$78:$AM$78,0)),""),"")</f>
        <v/>
      </c>
      <c r="H101" s="325" t="str">
        <f>_xlfn.IFNA(IF(JournalAnswer[[#This Row],[Credit Account]]&lt;&gt;"",INDEX(ProblemData!$C$78:$AM$145,MATCH(J101+0.4,ProblemData!$C$78:$C$145,0),MATCH(C101,ProblemData!$C$78:$AM$78,0)),""),"")</f>
        <v/>
      </c>
      <c r="I101" s="353" t="str" cm="1">
        <f t="array" ref="I101">IF(JournalAnswer[[#This Row],[Debit Account]]="Cash",INDEX(ProblemData!$E$238:$AM$238,1,JournalAnswer[[#This Row],[Transaction '#]]),IF(JournalAnswer[[#This Row],[Credit Account]]="Cash",INDEX(ProblemData!$E$238:$AM$238,1,JournalAnswer[[#This Row],[Transaction '#]]),""))</f>
        <v/>
      </c>
      <c r="J101" s="85" t="str">
        <f>IF(JournalAnswer[[#This Row],[Transaction '#]]="","",IF(JournalAnswer[[#This Row],[Transaction '#]]=C100,J100+1,1))</f>
        <v/>
      </c>
      <c r="K101" s="37" cm="1">
        <f t="array" ref="K101">IFERROR(_xlfn.IFS(JournalAnswer[[#This Row],[Debit Account]]="Cash",JournalAnswer[[#This Row],[Dr Amt]],JournalAnswer[[#This Row],[Credit Account]]="Cash",-JournalAnswer[[#This Row],[Cr Amt]]),0)</f>
        <v>0</v>
      </c>
      <c r="L101" s="41" t="str" cm="1">
        <f t="array" ref="L101">IFERROR(INDEX(ProblemData!$E$239:$AM$239,1,JournalAnswer[[#This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322" t="str">
        <f t="shared" si="3"/>
        <v/>
      </c>
      <c r="D102" s="323" t="str">
        <f>IFERROR(_xlfn.IFNA(INDEX(ProblemData!$C$78:$AM$145,MATCH(J102+0.1,ProblemData!$C$78:$C$145,0),MATCH(C102,ProblemData!$C$78:$AM$78,0)),""),"")</f>
        <v/>
      </c>
      <c r="E102" s="66" t="str">
        <f>IFERROR(_xlfn.IFNA(IF(INDEX(ProblemData!$C$78:$AM$145,MATCH(J102+0.3,ProblemData!$C$78:$C$145,0),MATCH(C102,ProblemData!$C$78:$AM$78,0))="Debit",INDEX(ProblemData!$C$78:$AM$145,MATCH(J102+0.2,ProblemData!$C$78:$C$145,0),MATCH(C102,ProblemData!$C$78:$AM$78,0)),""),""),"")</f>
        <v/>
      </c>
      <c r="F102" s="66" t="str">
        <f>IFERROR(_xlfn.IFNA(IF(INDEX(ProblemData!$C$78:$AM$145,MATCH(J102+0.3,ProblemData!$C$78:$C$145,0),MATCH(C102,ProblemData!$C$78:$AM$78,0))="Credit",INDEX(ProblemData!$C$78:$AM$145,MATCH(J102+0.2,ProblemData!$C$78:$C$145,0),MATCH(C102,ProblemData!$C$78:$AM$78,0)),""),""),"")</f>
        <v/>
      </c>
      <c r="G102" s="324" t="str">
        <f>_xlfn.IFNA(IF(JournalAnswer[[#This Row],[Debit Account]]&lt;&gt;"",INDEX(ProblemData!$C$78:$AM$145,MATCH(J102+0.4,ProblemData!$C$78:$C$145,0),MATCH(C102,ProblemData!$C$78:$AM$78,0)),""),"")</f>
        <v/>
      </c>
      <c r="H102" s="325" t="str">
        <f>_xlfn.IFNA(IF(JournalAnswer[[#This Row],[Credit Account]]&lt;&gt;"",INDEX(ProblemData!$C$78:$AM$145,MATCH(J102+0.4,ProblemData!$C$78:$C$145,0),MATCH(C102,ProblemData!$C$78:$AM$78,0)),""),"")</f>
        <v/>
      </c>
      <c r="I102" s="353" t="str" cm="1">
        <f t="array" ref="I102">IF(JournalAnswer[[#This Row],[Debit Account]]="Cash",INDEX(ProblemData!$E$238:$AM$238,1,JournalAnswer[[#This Row],[Transaction '#]]),IF(JournalAnswer[[#This Row],[Credit Account]]="Cash",INDEX(ProblemData!$E$238:$AM$238,1,JournalAnswer[[#This Row],[Transaction '#]]),""))</f>
        <v/>
      </c>
      <c r="J102" s="85" t="str">
        <f>IF(JournalAnswer[[#This Row],[Transaction '#]]="","",IF(JournalAnswer[[#This Row],[Transaction '#]]=C101,J101+1,1))</f>
        <v/>
      </c>
      <c r="K102" s="37" cm="1">
        <f t="array" ref="K102">IFERROR(_xlfn.IFS(JournalAnswer[[#This Row],[Debit Account]]="Cash",JournalAnswer[[#This Row],[Dr Amt]],JournalAnswer[[#This Row],[Credit Account]]="Cash",-JournalAnswer[[#This Row],[Cr Amt]]),0)</f>
        <v>0</v>
      </c>
      <c r="L102" s="41" t="str" cm="1">
        <f t="array" ref="L102">IFERROR(INDEX(ProblemData!$E$239:$AM$239,1,JournalAnswer[[#This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322" t="str">
        <f t="shared" si="3"/>
        <v/>
      </c>
      <c r="D103" s="323" t="str">
        <f>IFERROR(_xlfn.IFNA(INDEX(ProblemData!$C$78:$AM$145,MATCH(J103+0.1,ProblemData!$C$78:$C$145,0),MATCH(C103,ProblemData!$C$78:$AM$78,0)),""),"")</f>
        <v/>
      </c>
      <c r="E103" s="66" t="str">
        <f>IFERROR(_xlfn.IFNA(IF(INDEX(ProblemData!$C$78:$AM$145,MATCH(J103+0.3,ProblemData!$C$78:$C$145,0),MATCH(C103,ProblemData!$C$78:$AM$78,0))="Debit",INDEX(ProblemData!$C$78:$AM$145,MATCH(J103+0.2,ProblemData!$C$78:$C$145,0),MATCH(C103,ProblemData!$C$78:$AM$78,0)),""),""),"")</f>
        <v/>
      </c>
      <c r="F103" s="66" t="str">
        <f>IFERROR(_xlfn.IFNA(IF(INDEX(ProblemData!$C$78:$AM$145,MATCH(J103+0.3,ProblemData!$C$78:$C$145,0),MATCH(C103,ProblemData!$C$78:$AM$78,0))="Credit",INDEX(ProblemData!$C$78:$AM$145,MATCH(J103+0.2,ProblemData!$C$78:$C$145,0),MATCH(C103,ProblemData!$C$78:$AM$78,0)),""),""),"")</f>
        <v/>
      </c>
      <c r="G103" s="324" t="str">
        <f>_xlfn.IFNA(IF(JournalAnswer[[#This Row],[Debit Account]]&lt;&gt;"",INDEX(ProblemData!$C$78:$AM$145,MATCH(J103+0.4,ProblemData!$C$78:$C$145,0),MATCH(C103,ProblemData!$C$78:$AM$78,0)),""),"")</f>
        <v/>
      </c>
      <c r="H103" s="325" t="str">
        <f>_xlfn.IFNA(IF(JournalAnswer[[#This Row],[Credit Account]]&lt;&gt;"",INDEX(ProblemData!$C$78:$AM$145,MATCH(J103+0.4,ProblemData!$C$78:$C$145,0),MATCH(C103,ProblemData!$C$78:$AM$78,0)),""),"")</f>
        <v/>
      </c>
      <c r="I103" s="353" t="str" cm="1">
        <f t="array" ref="I103">IF(JournalAnswer[[#This Row],[Debit Account]]="Cash",INDEX(ProblemData!$E$238:$AM$238,1,JournalAnswer[[#This Row],[Transaction '#]]),IF(JournalAnswer[[#This Row],[Credit Account]]="Cash",INDEX(ProblemData!$E$238:$AM$238,1,JournalAnswer[[#This Row],[Transaction '#]]),""))</f>
        <v/>
      </c>
      <c r="J103" s="85" t="str">
        <f>IF(JournalAnswer[[#This Row],[Transaction '#]]="","",IF(JournalAnswer[[#This Row],[Transaction '#]]=C102,J102+1,1))</f>
        <v/>
      </c>
      <c r="K103" s="37" cm="1">
        <f t="array" ref="K103">IFERROR(_xlfn.IFS(JournalAnswer[[#This Row],[Debit Account]]="Cash",JournalAnswer[[#This Row],[Dr Amt]],JournalAnswer[[#This Row],[Credit Account]]="Cash",-JournalAnswer[[#This Row],[Cr Amt]]),0)</f>
        <v>0</v>
      </c>
      <c r="L103" s="41" t="str" cm="1">
        <f t="array" ref="L103">IFERROR(INDEX(ProblemData!$E$239:$AM$239,1,JournalAnswer[[#This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322" t="str">
        <f t="shared" si="3"/>
        <v/>
      </c>
      <c r="D104" s="323" t="str">
        <f>IFERROR(_xlfn.IFNA(INDEX(ProblemData!$C$78:$AM$145,MATCH(J104+0.1,ProblemData!$C$78:$C$145,0),MATCH(C104,ProblemData!$C$78:$AM$78,0)),""),"")</f>
        <v/>
      </c>
      <c r="E104" s="66" t="str">
        <f>IFERROR(_xlfn.IFNA(IF(INDEX(ProblemData!$C$78:$AM$145,MATCH(J104+0.3,ProblemData!$C$78:$C$145,0),MATCH(C104,ProblemData!$C$78:$AM$78,0))="Debit",INDEX(ProblemData!$C$78:$AM$145,MATCH(J104+0.2,ProblemData!$C$78:$C$145,0),MATCH(C104,ProblemData!$C$78:$AM$78,0)),""),""),"")</f>
        <v/>
      </c>
      <c r="F104" s="66" t="str">
        <f>IFERROR(_xlfn.IFNA(IF(INDEX(ProblemData!$C$78:$AM$145,MATCH(J104+0.3,ProblemData!$C$78:$C$145,0),MATCH(C104,ProblemData!$C$78:$AM$78,0))="Credit",INDEX(ProblemData!$C$78:$AM$145,MATCH(J104+0.2,ProblemData!$C$78:$C$145,0),MATCH(C104,ProblemData!$C$78:$AM$78,0)),""),""),"")</f>
        <v/>
      </c>
      <c r="G104" s="324" t="str">
        <f>_xlfn.IFNA(IF(JournalAnswer[[#This Row],[Debit Account]]&lt;&gt;"",INDEX(ProblemData!$C$78:$AM$145,MATCH(J104+0.4,ProblemData!$C$78:$C$145,0),MATCH(C104,ProblemData!$C$78:$AM$78,0)),""),"")</f>
        <v/>
      </c>
      <c r="H104" s="325" t="str">
        <f>_xlfn.IFNA(IF(JournalAnswer[[#This Row],[Credit Account]]&lt;&gt;"",INDEX(ProblemData!$C$78:$AM$145,MATCH(J104+0.4,ProblemData!$C$78:$C$145,0),MATCH(C104,ProblemData!$C$78:$AM$78,0)),""),"")</f>
        <v/>
      </c>
      <c r="I104" s="353" t="str" cm="1">
        <f t="array" ref="I104">IF(JournalAnswer[[#This Row],[Debit Account]]="Cash",INDEX(ProblemData!$E$238:$AM$238,1,JournalAnswer[[#This Row],[Transaction '#]]),IF(JournalAnswer[[#This Row],[Credit Account]]="Cash",INDEX(ProblemData!$E$238:$AM$238,1,JournalAnswer[[#This Row],[Transaction '#]]),""))</f>
        <v/>
      </c>
      <c r="J104" s="85" t="str">
        <f>IF(JournalAnswer[[#This Row],[Transaction '#]]="","",IF(JournalAnswer[[#This Row],[Transaction '#]]=C103,J103+1,1))</f>
        <v/>
      </c>
      <c r="K104" s="37" cm="1">
        <f t="array" ref="K104">IFERROR(_xlfn.IFS(JournalAnswer[[#This Row],[Debit Account]]="Cash",JournalAnswer[[#This Row],[Dr Amt]],JournalAnswer[[#This Row],[Credit Account]]="Cash",-JournalAnswer[[#This Row],[Cr Amt]]),0)</f>
        <v>0</v>
      </c>
      <c r="L104" s="41" t="str" cm="1">
        <f t="array" ref="L104">IFERROR(INDEX(ProblemData!$E$239:$AM$239,1,JournalAnswer[[#This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322" t="str">
        <f t="shared" si="3"/>
        <v/>
      </c>
      <c r="D105" s="323" t="str">
        <f>IFERROR(_xlfn.IFNA(INDEX(ProblemData!$C$78:$AM$145,MATCH(J105+0.1,ProblemData!$C$78:$C$145,0),MATCH(C105,ProblemData!$C$78:$AM$78,0)),""),"")</f>
        <v/>
      </c>
      <c r="E105" s="66" t="str">
        <f>IFERROR(_xlfn.IFNA(IF(INDEX(ProblemData!$C$78:$AM$145,MATCH(J105+0.3,ProblemData!$C$78:$C$145,0),MATCH(C105,ProblemData!$C$78:$AM$78,0))="Debit",INDEX(ProblemData!$C$78:$AM$145,MATCH(J105+0.2,ProblemData!$C$78:$C$145,0),MATCH(C105,ProblemData!$C$78:$AM$78,0)),""),""),"")</f>
        <v/>
      </c>
      <c r="F105" s="66" t="str">
        <f>IFERROR(_xlfn.IFNA(IF(INDEX(ProblemData!$C$78:$AM$145,MATCH(J105+0.3,ProblemData!$C$78:$C$145,0),MATCH(C105,ProblemData!$C$78:$AM$78,0))="Credit",INDEX(ProblemData!$C$78:$AM$145,MATCH(J105+0.2,ProblemData!$C$78:$C$145,0),MATCH(C105,ProblemData!$C$78:$AM$78,0)),""),""),"")</f>
        <v/>
      </c>
      <c r="G105" s="324" t="str">
        <f>_xlfn.IFNA(IF(JournalAnswer[[#This Row],[Debit Account]]&lt;&gt;"",INDEX(ProblemData!$C$78:$AM$145,MATCH(J105+0.4,ProblemData!$C$78:$C$145,0),MATCH(C105,ProblemData!$C$78:$AM$78,0)),""),"")</f>
        <v/>
      </c>
      <c r="H105" s="325" t="str">
        <f>_xlfn.IFNA(IF(JournalAnswer[[#This Row],[Credit Account]]&lt;&gt;"",INDEX(ProblemData!$C$78:$AM$145,MATCH(J105+0.4,ProblemData!$C$78:$C$145,0),MATCH(C105,ProblemData!$C$78:$AM$78,0)),""),"")</f>
        <v/>
      </c>
      <c r="I105" s="353" t="str" cm="1">
        <f t="array" ref="I105">IF(JournalAnswer[[#This Row],[Debit Account]]="Cash",INDEX(ProblemData!$E$238:$AM$238,1,JournalAnswer[[#This Row],[Transaction '#]]),IF(JournalAnswer[[#This Row],[Credit Account]]="Cash",INDEX(ProblemData!$E$238:$AM$238,1,JournalAnswer[[#This Row],[Transaction '#]]),""))</f>
        <v/>
      </c>
      <c r="J105" s="85" t="str">
        <f>IF(JournalAnswer[[#This Row],[Transaction '#]]="","",IF(JournalAnswer[[#This Row],[Transaction '#]]=C104,J104+1,1))</f>
        <v/>
      </c>
      <c r="K105" s="37" cm="1">
        <f t="array" ref="K105">IFERROR(_xlfn.IFS(JournalAnswer[[#This Row],[Debit Account]]="Cash",JournalAnswer[[#This Row],[Dr Amt]],JournalAnswer[[#This Row],[Credit Account]]="Cash",-JournalAnswer[[#This Row],[Cr Amt]]),0)</f>
        <v>0</v>
      </c>
      <c r="L105" s="41" t="str" cm="1">
        <f t="array" ref="L105">IFERROR(INDEX(ProblemData!$E$239:$AM$239,1,JournalAnswer[[#This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322" t="str">
        <f t="shared" si="3"/>
        <v/>
      </c>
      <c r="D106" s="323" t="str">
        <f>IFERROR(_xlfn.IFNA(INDEX(ProblemData!$C$78:$AM$145,MATCH(J106+0.1,ProblemData!$C$78:$C$145,0),MATCH(C106,ProblemData!$C$78:$AM$78,0)),""),"")</f>
        <v/>
      </c>
      <c r="E106" s="66" t="str">
        <f>IFERROR(_xlfn.IFNA(IF(INDEX(ProblemData!$C$78:$AM$145,MATCH(J106+0.3,ProblemData!$C$78:$C$145,0),MATCH(C106,ProblemData!$C$78:$AM$78,0))="Debit",INDEX(ProblemData!$C$78:$AM$145,MATCH(J106+0.2,ProblemData!$C$78:$C$145,0),MATCH(C106,ProblemData!$C$78:$AM$78,0)),""),""),"")</f>
        <v/>
      </c>
      <c r="F106" s="66" t="str">
        <f>IFERROR(_xlfn.IFNA(IF(INDEX(ProblemData!$C$78:$AM$145,MATCH(J106+0.3,ProblemData!$C$78:$C$145,0),MATCH(C106,ProblemData!$C$78:$AM$78,0))="Credit",INDEX(ProblemData!$C$78:$AM$145,MATCH(J106+0.2,ProblemData!$C$78:$C$145,0),MATCH(C106,ProblemData!$C$78:$AM$78,0)),""),""),"")</f>
        <v/>
      </c>
      <c r="G106" s="324" t="str">
        <f>_xlfn.IFNA(IF(JournalAnswer[[#This Row],[Debit Account]]&lt;&gt;"",INDEX(ProblemData!$C$78:$AM$145,MATCH(J106+0.4,ProblemData!$C$78:$C$145,0),MATCH(C106,ProblemData!$C$78:$AM$78,0)),""),"")</f>
        <v/>
      </c>
      <c r="H106" s="325" t="str">
        <f>_xlfn.IFNA(IF(JournalAnswer[[#This Row],[Credit Account]]&lt;&gt;"",INDEX(ProblemData!$C$78:$AM$145,MATCH(J106+0.4,ProblemData!$C$78:$C$145,0),MATCH(C106,ProblemData!$C$78:$AM$78,0)),""),"")</f>
        <v/>
      </c>
      <c r="I106" s="353" t="str" cm="1">
        <f t="array" ref="I106">IF(JournalAnswer[[#This Row],[Debit Account]]="Cash",INDEX(ProblemData!$E$238:$AM$238,1,JournalAnswer[[#This Row],[Transaction '#]]),IF(JournalAnswer[[#This Row],[Credit Account]]="Cash",INDEX(ProblemData!$E$238:$AM$238,1,JournalAnswer[[#This Row],[Transaction '#]]),""))</f>
        <v/>
      </c>
      <c r="J106" s="85" t="str">
        <f>IF(JournalAnswer[[#This Row],[Transaction '#]]="","",IF(JournalAnswer[[#This Row],[Transaction '#]]=C105,J105+1,1))</f>
        <v/>
      </c>
      <c r="K106" s="37" cm="1">
        <f t="array" ref="K106">IFERROR(_xlfn.IFS(JournalAnswer[[#This Row],[Debit Account]]="Cash",JournalAnswer[[#This Row],[Dr Amt]],JournalAnswer[[#This Row],[Credit Account]]="Cash",-JournalAnswer[[#This Row],[Cr Amt]]),0)</f>
        <v>0</v>
      </c>
      <c r="L106" s="41" t="str" cm="1">
        <f t="array" ref="L106">IFERROR(INDEX(ProblemData!$E$239:$AM$239,1,JournalAnswer[[#This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322" t="str">
        <f t="shared" si="3"/>
        <v/>
      </c>
      <c r="D107" s="323" t="str">
        <f>IFERROR(_xlfn.IFNA(INDEX(ProblemData!$C$78:$AM$145,MATCH(J107+0.1,ProblemData!$C$78:$C$145,0),MATCH(C107,ProblemData!$C$78:$AM$78,0)),""),"")</f>
        <v/>
      </c>
      <c r="E107" s="66" t="str">
        <f>IFERROR(_xlfn.IFNA(IF(INDEX(ProblemData!$C$78:$AM$145,MATCH(J107+0.3,ProblemData!$C$78:$C$145,0),MATCH(C107,ProblemData!$C$78:$AM$78,0))="Debit",INDEX(ProblemData!$C$78:$AM$145,MATCH(J107+0.2,ProblemData!$C$78:$C$145,0),MATCH(C107,ProblemData!$C$78:$AM$78,0)),""),""),"")</f>
        <v/>
      </c>
      <c r="F107" s="66" t="str">
        <f>IFERROR(_xlfn.IFNA(IF(INDEX(ProblemData!$C$78:$AM$145,MATCH(J107+0.3,ProblemData!$C$78:$C$145,0),MATCH(C107,ProblemData!$C$78:$AM$78,0))="Credit",INDEX(ProblemData!$C$78:$AM$145,MATCH(J107+0.2,ProblemData!$C$78:$C$145,0),MATCH(C107,ProblemData!$C$78:$AM$78,0)),""),""),"")</f>
        <v/>
      </c>
      <c r="G107" s="324" t="str">
        <f>_xlfn.IFNA(IF(JournalAnswer[[#This Row],[Debit Account]]&lt;&gt;"",INDEX(ProblemData!$C$78:$AM$145,MATCH(J107+0.4,ProblemData!$C$78:$C$145,0),MATCH(C107,ProblemData!$C$78:$AM$78,0)),""),"")</f>
        <v/>
      </c>
      <c r="H107" s="325" t="str">
        <f>_xlfn.IFNA(IF(JournalAnswer[[#This Row],[Credit Account]]&lt;&gt;"",INDEX(ProblemData!$C$78:$AM$145,MATCH(J107+0.4,ProblemData!$C$78:$C$145,0),MATCH(C107,ProblemData!$C$78:$AM$78,0)),""),"")</f>
        <v/>
      </c>
      <c r="I107" s="353" t="str" cm="1">
        <f t="array" ref="I107">IF(JournalAnswer[[#This Row],[Debit Account]]="Cash",INDEX(ProblemData!$E$238:$AM$238,1,JournalAnswer[[#This Row],[Transaction '#]]),IF(JournalAnswer[[#This Row],[Credit Account]]="Cash",INDEX(ProblemData!$E$238:$AM$238,1,JournalAnswer[[#This Row],[Transaction '#]]),""))</f>
        <v/>
      </c>
      <c r="J107" s="85" t="str">
        <f>IF(JournalAnswer[[#This Row],[Transaction '#]]="","",IF(JournalAnswer[[#This Row],[Transaction '#]]=C106,J106+1,1))</f>
        <v/>
      </c>
      <c r="K107" s="37" cm="1">
        <f t="array" ref="K107">IFERROR(_xlfn.IFS(JournalAnswer[[#This Row],[Debit Account]]="Cash",JournalAnswer[[#This Row],[Dr Amt]],JournalAnswer[[#This Row],[Credit Account]]="Cash",-JournalAnswer[[#This Row],[Cr Amt]]),0)</f>
        <v>0</v>
      </c>
      <c r="L107" s="41" t="str" cm="1">
        <f t="array" ref="L107">IFERROR(INDEX(ProblemData!$E$239:$AM$239,1,JournalAnswer[[#This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322" t="str">
        <f t="shared" si="3"/>
        <v/>
      </c>
      <c r="D108" s="323" t="str">
        <f>IFERROR(_xlfn.IFNA(INDEX(ProblemData!$C$78:$AM$145,MATCH(J108+0.1,ProblemData!$C$78:$C$145,0),MATCH(C108,ProblemData!$C$78:$AM$78,0)),""),"")</f>
        <v/>
      </c>
      <c r="E108" s="66" t="str">
        <f>IFERROR(_xlfn.IFNA(IF(INDEX(ProblemData!$C$78:$AM$145,MATCH(J108+0.3,ProblemData!$C$78:$C$145,0),MATCH(C108,ProblemData!$C$78:$AM$78,0))="Debit",INDEX(ProblemData!$C$78:$AM$145,MATCH(J108+0.2,ProblemData!$C$78:$C$145,0),MATCH(C108,ProblemData!$C$78:$AM$78,0)),""),""),"")</f>
        <v/>
      </c>
      <c r="F108" s="66" t="str">
        <f>IFERROR(_xlfn.IFNA(IF(INDEX(ProblemData!$C$78:$AM$145,MATCH(J108+0.3,ProblemData!$C$78:$C$145,0),MATCH(C108,ProblemData!$C$78:$AM$78,0))="Credit",INDEX(ProblemData!$C$78:$AM$145,MATCH(J108+0.2,ProblemData!$C$78:$C$145,0),MATCH(C108,ProblemData!$C$78:$AM$78,0)),""),""),"")</f>
        <v/>
      </c>
      <c r="G108" s="324" t="str">
        <f>_xlfn.IFNA(IF(JournalAnswer[[#This Row],[Debit Account]]&lt;&gt;"",INDEX(ProblemData!$C$78:$AM$145,MATCH(J108+0.4,ProblemData!$C$78:$C$145,0),MATCH(C108,ProblemData!$C$78:$AM$78,0)),""),"")</f>
        <v/>
      </c>
      <c r="H108" s="325" t="str">
        <f>_xlfn.IFNA(IF(JournalAnswer[[#This Row],[Credit Account]]&lt;&gt;"",INDEX(ProblemData!$C$78:$AM$145,MATCH(J108+0.4,ProblemData!$C$78:$C$145,0),MATCH(C108,ProblemData!$C$78:$AM$78,0)),""),"")</f>
        <v/>
      </c>
      <c r="I108" s="353" t="str" cm="1">
        <f t="array" ref="I108">IF(JournalAnswer[[#This Row],[Debit Account]]="Cash",INDEX(ProblemData!$E$238:$AM$238,1,JournalAnswer[[#This Row],[Transaction '#]]),IF(JournalAnswer[[#This Row],[Credit Account]]="Cash",INDEX(ProblemData!$E$238:$AM$238,1,JournalAnswer[[#This Row],[Transaction '#]]),""))</f>
        <v/>
      </c>
      <c r="J108" s="85" t="str">
        <f>IF(JournalAnswer[[#This Row],[Transaction '#]]="","",IF(JournalAnswer[[#This Row],[Transaction '#]]=C107,J107+1,1))</f>
        <v/>
      </c>
      <c r="K108" s="37" cm="1">
        <f t="array" ref="K108">IFERROR(_xlfn.IFS(JournalAnswer[[#This Row],[Debit Account]]="Cash",JournalAnswer[[#This Row],[Dr Amt]],JournalAnswer[[#This Row],[Credit Account]]="Cash",-JournalAnswer[[#This Row],[Cr Amt]]),0)</f>
        <v>0</v>
      </c>
      <c r="L108" s="41" t="str" cm="1">
        <f t="array" ref="L108">IFERROR(INDEX(ProblemData!$E$239:$AM$239,1,JournalAnswer[[#This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322" t="str">
        <f t="shared" si="3"/>
        <v/>
      </c>
      <c r="D109" s="323" t="str">
        <f>IFERROR(_xlfn.IFNA(INDEX(ProblemData!$C$78:$AM$145,MATCH(J109+0.1,ProblemData!$C$78:$C$145,0),MATCH(C109,ProblemData!$C$78:$AM$78,0)),""),"")</f>
        <v/>
      </c>
      <c r="E109" s="66" t="str">
        <f>IFERROR(_xlfn.IFNA(IF(INDEX(ProblemData!$C$78:$AM$145,MATCH(J109+0.3,ProblemData!$C$78:$C$145,0),MATCH(C109,ProblemData!$C$78:$AM$78,0))="Debit",INDEX(ProblemData!$C$78:$AM$145,MATCH(J109+0.2,ProblemData!$C$78:$C$145,0),MATCH(C109,ProblemData!$C$78:$AM$78,0)),""),""),"")</f>
        <v/>
      </c>
      <c r="F109" s="66" t="str">
        <f>IFERROR(_xlfn.IFNA(IF(INDEX(ProblemData!$C$78:$AM$145,MATCH(J109+0.3,ProblemData!$C$78:$C$145,0),MATCH(C109,ProblemData!$C$78:$AM$78,0))="Credit",INDEX(ProblemData!$C$78:$AM$145,MATCH(J109+0.2,ProblemData!$C$78:$C$145,0),MATCH(C109,ProblemData!$C$78:$AM$78,0)),""),""),"")</f>
        <v/>
      </c>
      <c r="G109" s="324" t="str">
        <f>_xlfn.IFNA(IF(JournalAnswer[[#This Row],[Debit Account]]&lt;&gt;"",INDEX(ProblemData!$C$78:$AM$145,MATCH(J109+0.4,ProblemData!$C$78:$C$145,0),MATCH(C109,ProblemData!$C$78:$AM$78,0)),""),"")</f>
        <v/>
      </c>
      <c r="H109" s="325" t="str">
        <f>_xlfn.IFNA(IF(JournalAnswer[[#This Row],[Credit Account]]&lt;&gt;"",INDEX(ProblemData!$C$78:$AM$145,MATCH(J109+0.4,ProblemData!$C$78:$C$145,0),MATCH(C109,ProblemData!$C$78:$AM$78,0)),""),"")</f>
        <v/>
      </c>
      <c r="I109" s="353" t="str" cm="1">
        <f t="array" ref="I109">IF(JournalAnswer[[#This Row],[Debit Account]]="Cash",INDEX(ProblemData!$E$238:$AM$238,1,JournalAnswer[[#This Row],[Transaction '#]]),IF(JournalAnswer[[#This Row],[Credit Account]]="Cash",INDEX(ProblemData!$E$238:$AM$238,1,JournalAnswer[[#This Row],[Transaction '#]]),""))</f>
        <v/>
      </c>
      <c r="J109" s="85" t="str">
        <f>IF(JournalAnswer[[#This Row],[Transaction '#]]="","",IF(JournalAnswer[[#This Row],[Transaction '#]]=C108,J108+1,1))</f>
        <v/>
      </c>
      <c r="K109" s="37" cm="1">
        <f t="array" ref="K109">IFERROR(_xlfn.IFS(JournalAnswer[[#This Row],[Debit Account]]="Cash",JournalAnswer[[#This Row],[Dr Amt]],JournalAnswer[[#This Row],[Credit Account]]="Cash",-JournalAnswer[[#This Row],[Cr Amt]]),0)</f>
        <v>0</v>
      </c>
      <c r="L109" s="41" t="str" cm="1">
        <f t="array" ref="L109">IFERROR(INDEX(ProblemData!$E$239:$AM$239,1,JournalAnswer[[#This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322" t="str">
        <f t="shared" si="3"/>
        <v/>
      </c>
      <c r="D110" s="323" t="str">
        <f>IFERROR(_xlfn.IFNA(INDEX(ProblemData!$C$78:$AM$145,MATCH(J110+0.1,ProblemData!$C$78:$C$145,0),MATCH(C110,ProblemData!$C$78:$AM$78,0)),""),"")</f>
        <v/>
      </c>
      <c r="E110" s="66" t="str">
        <f>IFERROR(_xlfn.IFNA(IF(INDEX(ProblemData!$C$78:$AM$145,MATCH(J110+0.3,ProblemData!$C$78:$C$145,0),MATCH(C110,ProblemData!$C$78:$AM$78,0))="Debit",INDEX(ProblemData!$C$78:$AM$145,MATCH(J110+0.2,ProblemData!$C$78:$C$145,0),MATCH(C110,ProblemData!$C$78:$AM$78,0)),""),""),"")</f>
        <v/>
      </c>
      <c r="F110" s="66" t="str">
        <f>IFERROR(_xlfn.IFNA(IF(INDEX(ProblemData!$C$78:$AM$145,MATCH(J110+0.3,ProblemData!$C$78:$C$145,0),MATCH(C110,ProblemData!$C$78:$AM$78,0))="Credit",INDEX(ProblemData!$C$78:$AM$145,MATCH(J110+0.2,ProblemData!$C$78:$C$145,0),MATCH(C110,ProblemData!$C$78:$AM$78,0)),""),""),"")</f>
        <v/>
      </c>
      <c r="G110" s="324" t="str">
        <f>_xlfn.IFNA(IF(JournalAnswer[[#This Row],[Debit Account]]&lt;&gt;"",INDEX(ProblemData!$C$78:$AM$145,MATCH(J110+0.4,ProblemData!$C$78:$C$145,0),MATCH(C110,ProblemData!$C$78:$AM$78,0)),""),"")</f>
        <v/>
      </c>
      <c r="H110" s="325" t="str">
        <f>_xlfn.IFNA(IF(JournalAnswer[[#This Row],[Credit Account]]&lt;&gt;"",INDEX(ProblemData!$C$78:$AM$145,MATCH(J110+0.4,ProblemData!$C$78:$C$145,0),MATCH(C110,ProblemData!$C$78:$AM$78,0)),""),"")</f>
        <v/>
      </c>
      <c r="I110" s="353" t="str" cm="1">
        <f t="array" ref="I110">IF(JournalAnswer[[#This Row],[Debit Account]]="Cash",INDEX(ProblemData!$E$238:$AM$238,1,JournalAnswer[[#This Row],[Transaction '#]]),IF(JournalAnswer[[#This Row],[Credit Account]]="Cash",INDEX(ProblemData!$E$238:$AM$238,1,JournalAnswer[[#This Row],[Transaction '#]]),""))</f>
        <v/>
      </c>
      <c r="J110" s="85" t="str">
        <f>IF(JournalAnswer[[#This Row],[Transaction '#]]="","",IF(JournalAnswer[[#This Row],[Transaction '#]]=C109,J109+1,1))</f>
        <v/>
      </c>
      <c r="K110" s="37" cm="1">
        <f t="array" ref="K110">IFERROR(_xlfn.IFS(JournalAnswer[[#This Row],[Debit Account]]="Cash",JournalAnswer[[#This Row],[Dr Amt]],JournalAnswer[[#This Row],[Credit Account]]="Cash",-JournalAnswer[[#This Row],[Cr Amt]]),0)</f>
        <v>0</v>
      </c>
      <c r="L110" s="41" t="str" cm="1">
        <f t="array" ref="L110">IFERROR(INDEX(ProblemData!$E$239:$AM$239,1,JournalAnswer[[#This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322" t="str">
        <f t="shared" si="3"/>
        <v/>
      </c>
      <c r="D111" s="323" t="str">
        <f>IFERROR(_xlfn.IFNA(INDEX(ProblemData!$C$78:$AM$145,MATCH(J111+0.1,ProblemData!$C$78:$C$145,0),MATCH(C111,ProblemData!$C$78:$AM$78,0)),""),"")</f>
        <v/>
      </c>
      <c r="E111" s="66" t="str">
        <f>IFERROR(_xlfn.IFNA(IF(INDEX(ProblemData!$C$78:$AM$145,MATCH(J111+0.3,ProblemData!$C$78:$C$145,0),MATCH(C111,ProblemData!$C$78:$AM$78,0))="Debit",INDEX(ProblemData!$C$78:$AM$145,MATCH(J111+0.2,ProblemData!$C$78:$C$145,0),MATCH(C111,ProblemData!$C$78:$AM$78,0)),""),""),"")</f>
        <v/>
      </c>
      <c r="F111" s="66" t="str">
        <f>IFERROR(_xlfn.IFNA(IF(INDEX(ProblemData!$C$78:$AM$145,MATCH(J111+0.3,ProblemData!$C$78:$C$145,0),MATCH(C111,ProblemData!$C$78:$AM$78,0))="Credit",INDEX(ProblemData!$C$78:$AM$145,MATCH(J111+0.2,ProblemData!$C$78:$C$145,0),MATCH(C111,ProblemData!$C$78:$AM$78,0)),""),""),"")</f>
        <v/>
      </c>
      <c r="G111" s="324" t="str">
        <f>_xlfn.IFNA(IF(JournalAnswer[[#This Row],[Debit Account]]&lt;&gt;"",INDEX(ProblemData!$C$78:$AM$145,MATCH(J111+0.4,ProblemData!$C$78:$C$145,0),MATCH(C111,ProblemData!$C$78:$AM$78,0)),""),"")</f>
        <v/>
      </c>
      <c r="H111" s="325" t="str">
        <f>_xlfn.IFNA(IF(JournalAnswer[[#This Row],[Credit Account]]&lt;&gt;"",INDEX(ProblemData!$C$78:$AM$145,MATCH(J111+0.4,ProblemData!$C$78:$C$145,0),MATCH(C111,ProblemData!$C$78:$AM$78,0)),""),"")</f>
        <v/>
      </c>
      <c r="I111" s="353" t="str" cm="1">
        <f t="array" ref="I111">IF(JournalAnswer[[#This Row],[Debit Account]]="Cash",INDEX(ProblemData!$E$238:$AM$238,1,JournalAnswer[[#This Row],[Transaction '#]]),IF(JournalAnswer[[#This Row],[Credit Account]]="Cash",INDEX(ProblemData!$E$238:$AM$238,1,JournalAnswer[[#This Row],[Transaction '#]]),""))</f>
        <v/>
      </c>
      <c r="J111" s="85" t="str">
        <f>IF(JournalAnswer[[#This Row],[Transaction '#]]="","",IF(JournalAnswer[[#This Row],[Transaction '#]]=C110,J110+1,1))</f>
        <v/>
      </c>
      <c r="K111" s="37" cm="1">
        <f t="array" ref="K111">IFERROR(_xlfn.IFS(JournalAnswer[[#This Row],[Debit Account]]="Cash",JournalAnswer[[#This Row],[Dr Amt]],JournalAnswer[[#This Row],[Credit Account]]="Cash",-JournalAnswer[[#This Row],[Cr Amt]]),0)</f>
        <v>0</v>
      </c>
      <c r="L111" s="41" t="str" cm="1">
        <f t="array" ref="L111">IFERROR(INDEX(ProblemData!$E$239:$AM$239,1,JournalAnswer[[#This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322" t="str">
        <f t="shared" si="3"/>
        <v/>
      </c>
      <c r="D112" s="323" t="str">
        <f>IFERROR(_xlfn.IFNA(INDEX(ProblemData!$C$78:$AM$145,MATCH(J112+0.1,ProblemData!$C$78:$C$145,0),MATCH(C112,ProblemData!$C$78:$AM$78,0)),""),"")</f>
        <v/>
      </c>
      <c r="E112" s="66" t="str">
        <f>IFERROR(_xlfn.IFNA(IF(INDEX(ProblemData!$C$78:$AM$145,MATCH(J112+0.3,ProblemData!$C$78:$C$145,0),MATCH(C112,ProblemData!$C$78:$AM$78,0))="Debit",INDEX(ProblemData!$C$78:$AM$145,MATCH(J112+0.2,ProblemData!$C$78:$C$145,0),MATCH(C112,ProblemData!$C$78:$AM$78,0)),""),""),"")</f>
        <v/>
      </c>
      <c r="F112" s="66" t="str">
        <f>IFERROR(_xlfn.IFNA(IF(INDEX(ProblemData!$C$78:$AM$145,MATCH(J112+0.3,ProblemData!$C$78:$C$145,0),MATCH(C112,ProblemData!$C$78:$AM$78,0))="Credit",INDEX(ProblemData!$C$78:$AM$145,MATCH(J112+0.2,ProblemData!$C$78:$C$145,0),MATCH(C112,ProblemData!$C$78:$AM$78,0)),""),""),"")</f>
        <v/>
      </c>
      <c r="G112" s="324" t="str">
        <f>_xlfn.IFNA(IF(JournalAnswer[[#This Row],[Debit Account]]&lt;&gt;"",INDEX(ProblemData!$C$78:$AM$145,MATCH(J112+0.4,ProblemData!$C$78:$C$145,0),MATCH(C112,ProblemData!$C$78:$AM$78,0)),""),"")</f>
        <v/>
      </c>
      <c r="H112" s="325" t="str">
        <f>_xlfn.IFNA(IF(JournalAnswer[[#This Row],[Credit Account]]&lt;&gt;"",INDEX(ProblemData!$C$78:$AM$145,MATCH(J112+0.4,ProblemData!$C$78:$C$145,0),MATCH(C112,ProblemData!$C$78:$AM$78,0)),""),"")</f>
        <v/>
      </c>
      <c r="I112" s="353" t="str" cm="1">
        <f t="array" ref="I112">IF(JournalAnswer[[#This Row],[Debit Account]]="Cash",INDEX(ProblemData!$E$238:$AM$238,1,JournalAnswer[[#This Row],[Transaction '#]]),IF(JournalAnswer[[#This Row],[Credit Account]]="Cash",INDEX(ProblemData!$E$238:$AM$238,1,JournalAnswer[[#This Row],[Transaction '#]]),""))</f>
        <v/>
      </c>
      <c r="J112" s="85" t="str">
        <f>IF(JournalAnswer[[#This Row],[Transaction '#]]="","",IF(JournalAnswer[[#This Row],[Transaction '#]]=C111,J111+1,1))</f>
        <v/>
      </c>
      <c r="K112" s="37" cm="1">
        <f t="array" ref="K112">IFERROR(_xlfn.IFS(JournalAnswer[[#This Row],[Debit Account]]="Cash",JournalAnswer[[#This Row],[Dr Amt]],JournalAnswer[[#This Row],[Credit Account]]="Cash",-JournalAnswer[[#This Row],[Cr Amt]]),0)</f>
        <v>0</v>
      </c>
      <c r="L112" s="41" t="str" cm="1">
        <f t="array" ref="L112">IFERROR(INDEX(ProblemData!$E$239:$AM$239,1,JournalAnswer[[#This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322" t="str">
        <f t="shared" si="3"/>
        <v/>
      </c>
      <c r="D113" s="323" t="str">
        <f>IFERROR(_xlfn.IFNA(INDEX(ProblemData!$C$78:$AM$145,MATCH(J113+0.1,ProblemData!$C$78:$C$145,0),MATCH(C113,ProblemData!$C$78:$AM$78,0)),""),"")</f>
        <v/>
      </c>
      <c r="E113" s="66" t="str">
        <f>IFERROR(_xlfn.IFNA(IF(INDEX(ProblemData!$C$78:$AM$145,MATCH(J113+0.3,ProblemData!$C$78:$C$145,0),MATCH(C113,ProblemData!$C$78:$AM$78,0))="Debit",INDEX(ProblemData!$C$78:$AM$145,MATCH(J113+0.2,ProblemData!$C$78:$C$145,0),MATCH(C113,ProblemData!$C$78:$AM$78,0)),""),""),"")</f>
        <v/>
      </c>
      <c r="F113" s="66" t="str">
        <f>IFERROR(_xlfn.IFNA(IF(INDEX(ProblemData!$C$78:$AM$145,MATCH(J113+0.3,ProblemData!$C$78:$C$145,0),MATCH(C113,ProblemData!$C$78:$AM$78,0))="Credit",INDEX(ProblemData!$C$78:$AM$145,MATCH(J113+0.2,ProblemData!$C$78:$C$145,0),MATCH(C113,ProblemData!$C$78:$AM$78,0)),""),""),"")</f>
        <v/>
      </c>
      <c r="G113" s="324" t="str">
        <f>_xlfn.IFNA(IF(JournalAnswer[[#This Row],[Debit Account]]&lt;&gt;"",INDEX(ProblemData!$C$78:$AM$145,MATCH(J113+0.4,ProblemData!$C$78:$C$145,0),MATCH(C113,ProblemData!$C$78:$AM$78,0)),""),"")</f>
        <v/>
      </c>
      <c r="H113" s="325" t="str">
        <f>_xlfn.IFNA(IF(JournalAnswer[[#This Row],[Credit Account]]&lt;&gt;"",INDEX(ProblemData!$C$78:$AM$145,MATCH(J113+0.4,ProblemData!$C$78:$C$145,0),MATCH(C113,ProblemData!$C$78:$AM$78,0)),""),"")</f>
        <v/>
      </c>
      <c r="I113" s="353" t="str" cm="1">
        <f t="array" ref="I113">IF(JournalAnswer[[#This Row],[Debit Account]]="Cash",INDEX(ProblemData!$E$238:$AM$238,1,JournalAnswer[[#This Row],[Transaction '#]]),IF(JournalAnswer[[#This Row],[Credit Account]]="Cash",INDEX(ProblemData!$E$238:$AM$238,1,JournalAnswer[[#This Row],[Transaction '#]]),""))</f>
        <v/>
      </c>
      <c r="J113" s="85" t="str">
        <f>IF(JournalAnswer[[#This Row],[Transaction '#]]="","",IF(JournalAnswer[[#This Row],[Transaction '#]]=C112,J112+1,1))</f>
        <v/>
      </c>
      <c r="K113" s="37" cm="1">
        <f t="array" ref="K113">IFERROR(_xlfn.IFS(JournalAnswer[[#This Row],[Debit Account]]="Cash",JournalAnswer[[#This Row],[Dr Amt]],JournalAnswer[[#This Row],[Credit Account]]="Cash",-JournalAnswer[[#This Row],[Cr Amt]]),0)</f>
        <v>0</v>
      </c>
      <c r="L113" s="41" t="str" cm="1">
        <f t="array" ref="L113">IFERROR(INDEX(ProblemData!$E$239:$AM$239,1,JournalAnswer[[#This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322" t="str">
        <f t="shared" si="3"/>
        <v/>
      </c>
      <c r="D114" s="323" t="str">
        <f>IFERROR(_xlfn.IFNA(INDEX(ProblemData!$C$78:$AM$145,MATCH(J114+0.1,ProblemData!$C$78:$C$145,0),MATCH(C114,ProblemData!$C$78:$AM$78,0)),""),"")</f>
        <v/>
      </c>
      <c r="E114" s="66" t="str">
        <f>IFERROR(_xlfn.IFNA(IF(INDEX(ProblemData!$C$78:$AM$145,MATCH(J114+0.3,ProblemData!$C$78:$C$145,0),MATCH(C114,ProblemData!$C$78:$AM$78,0))="Debit",INDEX(ProblemData!$C$78:$AM$145,MATCH(J114+0.2,ProblemData!$C$78:$C$145,0),MATCH(C114,ProblemData!$C$78:$AM$78,0)),""),""),"")</f>
        <v/>
      </c>
      <c r="F114" s="66" t="str">
        <f>IFERROR(_xlfn.IFNA(IF(INDEX(ProblemData!$C$78:$AM$145,MATCH(J114+0.3,ProblemData!$C$78:$C$145,0),MATCH(C114,ProblemData!$C$78:$AM$78,0))="Credit",INDEX(ProblemData!$C$78:$AM$145,MATCH(J114+0.2,ProblemData!$C$78:$C$145,0),MATCH(C114,ProblemData!$C$78:$AM$78,0)),""),""),"")</f>
        <v/>
      </c>
      <c r="G114" s="324" t="str">
        <f>_xlfn.IFNA(IF(JournalAnswer[[#This Row],[Debit Account]]&lt;&gt;"",INDEX(ProblemData!$C$78:$AM$145,MATCH(J114+0.4,ProblemData!$C$78:$C$145,0),MATCH(C114,ProblemData!$C$78:$AM$78,0)),""),"")</f>
        <v/>
      </c>
      <c r="H114" s="325" t="str">
        <f>_xlfn.IFNA(IF(JournalAnswer[[#This Row],[Credit Account]]&lt;&gt;"",INDEX(ProblemData!$C$78:$AM$145,MATCH(J114+0.4,ProblemData!$C$78:$C$145,0),MATCH(C114,ProblemData!$C$78:$AM$78,0)),""),"")</f>
        <v/>
      </c>
      <c r="I114" s="353" t="str" cm="1">
        <f t="array" ref="I114">IF(JournalAnswer[[#This Row],[Debit Account]]="Cash",INDEX(ProblemData!$E$238:$AM$238,1,JournalAnswer[[#This Row],[Transaction '#]]),IF(JournalAnswer[[#This Row],[Credit Account]]="Cash",INDEX(ProblemData!$E$238:$AM$238,1,JournalAnswer[[#This Row],[Transaction '#]]),""))</f>
        <v/>
      </c>
      <c r="J114" s="85" t="str">
        <f>IF(JournalAnswer[[#This Row],[Transaction '#]]="","",IF(JournalAnswer[[#This Row],[Transaction '#]]=C113,J113+1,1))</f>
        <v/>
      </c>
      <c r="K114" s="37" cm="1">
        <f t="array" ref="K114">IFERROR(_xlfn.IFS(JournalAnswer[[#This Row],[Debit Account]]="Cash",JournalAnswer[[#This Row],[Dr Amt]],JournalAnswer[[#This Row],[Credit Account]]="Cash",-JournalAnswer[[#This Row],[Cr Amt]]),0)</f>
        <v>0</v>
      </c>
      <c r="L114" s="41" t="str" cm="1">
        <f t="array" ref="L114">IFERROR(INDEX(ProblemData!$E$239:$AM$239,1,JournalAnswer[[#This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322" t="str">
        <f t="shared" si="3"/>
        <v/>
      </c>
      <c r="D115" s="323" t="str">
        <f>IFERROR(_xlfn.IFNA(INDEX(ProblemData!$C$78:$AM$145,MATCH(J115+0.1,ProblemData!$C$78:$C$145,0),MATCH(C115,ProblemData!$C$78:$AM$78,0)),""),"")</f>
        <v/>
      </c>
      <c r="E115" s="66" t="str">
        <f>IFERROR(_xlfn.IFNA(IF(INDEX(ProblemData!$C$78:$AM$145,MATCH(J115+0.3,ProblemData!$C$78:$C$145,0),MATCH(C115,ProblemData!$C$78:$AM$78,0))="Debit",INDEX(ProblemData!$C$78:$AM$145,MATCH(J115+0.2,ProblemData!$C$78:$C$145,0),MATCH(C115,ProblemData!$C$78:$AM$78,0)),""),""),"")</f>
        <v/>
      </c>
      <c r="F115" s="66" t="str">
        <f>IFERROR(_xlfn.IFNA(IF(INDEX(ProblemData!$C$78:$AM$145,MATCH(J115+0.3,ProblemData!$C$78:$C$145,0),MATCH(C115,ProblemData!$C$78:$AM$78,0))="Credit",INDEX(ProblemData!$C$78:$AM$145,MATCH(J115+0.2,ProblemData!$C$78:$C$145,0),MATCH(C115,ProblemData!$C$78:$AM$78,0)),""),""),"")</f>
        <v/>
      </c>
      <c r="G115" s="324" t="str">
        <f>_xlfn.IFNA(IF(JournalAnswer[[#This Row],[Debit Account]]&lt;&gt;"",INDEX(ProblemData!$C$78:$AM$145,MATCH(J115+0.4,ProblemData!$C$78:$C$145,0),MATCH(C115,ProblemData!$C$78:$AM$78,0)),""),"")</f>
        <v/>
      </c>
      <c r="H115" s="325" t="str">
        <f>_xlfn.IFNA(IF(JournalAnswer[[#This Row],[Credit Account]]&lt;&gt;"",INDEX(ProblemData!$C$78:$AM$145,MATCH(J115+0.4,ProblemData!$C$78:$C$145,0),MATCH(C115,ProblemData!$C$78:$AM$78,0)),""),"")</f>
        <v/>
      </c>
      <c r="I115" s="353" t="str" cm="1">
        <f t="array" ref="I115">IF(JournalAnswer[[#This Row],[Debit Account]]="Cash",INDEX(ProblemData!$E$238:$AM$238,1,JournalAnswer[[#This Row],[Transaction '#]]),IF(JournalAnswer[[#This Row],[Credit Account]]="Cash",INDEX(ProblemData!$E$238:$AM$238,1,JournalAnswer[[#This Row],[Transaction '#]]),""))</f>
        <v/>
      </c>
      <c r="J115" s="85" t="str">
        <f>IF(JournalAnswer[[#This Row],[Transaction '#]]="","",IF(JournalAnswer[[#This Row],[Transaction '#]]=C114,J114+1,1))</f>
        <v/>
      </c>
      <c r="K115" s="37" cm="1">
        <f t="array" ref="K115">IFERROR(_xlfn.IFS(JournalAnswer[[#This Row],[Debit Account]]="Cash",JournalAnswer[[#This Row],[Dr Amt]],JournalAnswer[[#This Row],[Credit Account]]="Cash",-JournalAnswer[[#This Row],[Cr Amt]]),0)</f>
        <v>0</v>
      </c>
      <c r="L115" s="41" t="str" cm="1">
        <f t="array" ref="L115">IFERROR(INDEX(ProblemData!$E$239:$AM$239,1,JournalAnswer[[#This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322" t="str">
        <f t="shared" si="3"/>
        <v/>
      </c>
      <c r="D116" s="323" t="str">
        <f>IFERROR(_xlfn.IFNA(INDEX(ProblemData!$C$78:$AM$145,MATCH(J116+0.1,ProblemData!$C$78:$C$145,0),MATCH(C116,ProblemData!$C$78:$AM$78,0)),""),"")</f>
        <v/>
      </c>
      <c r="E116" s="66" t="str">
        <f>IFERROR(_xlfn.IFNA(IF(INDEX(ProblemData!$C$78:$AM$145,MATCH(J116+0.3,ProblemData!$C$78:$C$145,0),MATCH(C116,ProblemData!$C$78:$AM$78,0))="Debit",INDEX(ProblemData!$C$78:$AM$145,MATCH(J116+0.2,ProblemData!$C$78:$C$145,0),MATCH(C116,ProblemData!$C$78:$AM$78,0)),""),""),"")</f>
        <v/>
      </c>
      <c r="F116" s="66" t="str">
        <f>IFERROR(_xlfn.IFNA(IF(INDEX(ProblemData!$C$78:$AM$145,MATCH(J116+0.3,ProblemData!$C$78:$C$145,0),MATCH(C116,ProblemData!$C$78:$AM$78,0))="Credit",INDEX(ProblemData!$C$78:$AM$145,MATCH(J116+0.2,ProblemData!$C$78:$C$145,0),MATCH(C116,ProblemData!$C$78:$AM$78,0)),""),""),"")</f>
        <v/>
      </c>
      <c r="G116" s="324" t="str">
        <f>_xlfn.IFNA(IF(JournalAnswer[[#This Row],[Debit Account]]&lt;&gt;"",INDEX(ProblemData!$C$78:$AM$145,MATCH(J116+0.4,ProblemData!$C$78:$C$145,0),MATCH(C116,ProblemData!$C$78:$AM$78,0)),""),"")</f>
        <v/>
      </c>
      <c r="H116" s="325" t="str">
        <f>_xlfn.IFNA(IF(JournalAnswer[[#This Row],[Credit Account]]&lt;&gt;"",INDEX(ProblemData!$C$78:$AM$145,MATCH(J116+0.4,ProblemData!$C$78:$C$145,0),MATCH(C116,ProblemData!$C$78:$AM$78,0)),""),"")</f>
        <v/>
      </c>
      <c r="I116" s="353" t="str" cm="1">
        <f t="array" ref="I116">IF(JournalAnswer[[#This Row],[Debit Account]]="Cash",INDEX(ProblemData!$E$238:$AM$238,1,JournalAnswer[[#This Row],[Transaction '#]]),IF(JournalAnswer[[#This Row],[Credit Account]]="Cash",INDEX(ProblemData!$E$238:$AM$238,1,JournalAnswer[[#This Row],[Transaction '#]]),""))</f>
        <v/>
      </c>
      <c r="J116" s="85" t="str">
        <f>IF(JournalAnswer[[#This Row],[Transaction '#]]="","",IF(JournalAnswer[[#This Row],[Transaction '#]]=C115,J115+1,1))</f>
        <v/>
      </c>
      <c r="K116" s="37" cm="1">
        <f t="array" ref="K116">IFERROR(_xlfn.IFS(JournalAnswer[[#This Row],[Debit Account]]="Cash",JournalAnswer[[#This Row],[Dr Amt]],JournalAnswer[[#This Row],[Credit Account]]="Cash",-JournalAnswer[[#This Row],[Cr Amt]]),0)</f>
        <v>0</v>
      </c>
      <c r="L116" s="41" t="str" cm="1">
        <f t="array" ref="L116">IFERROR(INDEX(ProblemData!$E$239:$AM$239,1,JournalAnswer[[#This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322" t="str">
        <f t="shared" si="3"/>
        <v/>
      </c>
      <c r="D117" s="323" t="str">
        <f>IFERROR(_xlfn.IFNA(INDEX(ProblemData!$C$78:$AM$145,MATCH(J117+0.1,ProblemData!$C$78:$C$145,0),MATCH(C117,ProblemData!$C$78:$AM$78,0)),""),"")</f>
        <v/>
      </c>
      <c r="E117" s="66" t="str">
        <f>IFERROR(_xlfn.IFNA(IF(INDEX(ProblemData!$C$78:$AM$145,MATCH(J117+0.3,ProblemData!$C$78:$C$145,0),MATCH(C117,ProblemData!$C$78:$AM$78,0))="Debit",INDEX(ProblemData!$C$78:$AM$145,MATCH(J117+0.2,ProblemData!$C$78:$C$145,0),MATCH(C117,ProblemData!$C$78:$AM$78,0)),""),""),"")</f>
        <v/>
      </c>
      <c r="F117" s="66" t="str">
        <f>IFERROR(_xlfn.IFNA(IF(INDEX(ProblemData!$C$78:$AM$145,MATCH(J117+0.3,ProblemData!$C$78:$C$145,0),MATCH(C117,ProblemData!$C$78:$AM$78,0))="Credit",INDEX(ProblemData!$C$78:$AM$145,MATCH(J117+0.2,ProblemData!$C$78:$C$145,0),MATCH(C117,ProblemData!$C$78:$AM$78,0)),""),""),"")</f>
        <v/>
      </c>
      <c r="G117" s="324" t="str">
        <f>_xlfn.IFNA(IF(JournalAnswer[[#This Row],[Debit Account]]&lt;&gt;"",INDEX(ProblemData!$C$78:$AM$145,MATCH(J117+0.4,ProblemData!$C$78:$C$145,0),MATCH(C117,ProblemData!$C$78:$AM$78,0)),""),"")</f>
        <v/>
      </c>
      <c r="H117" s="325" t="str">
        <f>_xlfn.IFNA(IF(JournalAnswer[[#This Row],[Credit Account]]&lt;&gt;"",INDEX(ProblemData!$C$78:$AM$145,MATCH(J117+0.4,ProblemData!$C$78:$C$145,0),MATCH(C117,ProblemData!$C$78:$AM$78,0)),""),"")</f>
        <v/>
      </c>
      <c r="I117" s="353" t="str" cm="1">
        <f t="array" ref="I117">IF(JournalAnswer[[#This Row],[Debit Account]]="Cash",INDEX(ProblemData!$E$238:$AM$238,1,JournalAnswer[[#This Row],[Transaction '#]]),IF(JournalAnswer[[#This Row],[Credit Account]]="Cash",INDEX(ProblemData!$E$238:$AM$238,1,JournalAnswer[[#This Row],[Transaction '#]]),""))</f>
        <v/>
      </c>
      <c r="J117" s="85" t="str">
        <f>IF(JournalAnswer[[#This Row],[Transaction '#]]="","",IF(JournalAnswer[[#This Row],[Transaction '#]]=C116,J116+1,1))</f>
        <v/>
      </c>
      <c r="K117" s="37" cm="1">
        <f t="array" ref="K117">IFERROR(_xlfn.IFS(JournalAnswer[[#This Row],[Debit Account]]="Cash",JournalAnswer[[#This Row],[Dr Amt]],JournalAnswer[[#This Row],[Credit Account]]="Cash",-JournalAnswer[[#This Row],[Cr Amt]]),0)</f>
        <v>0</v>
      </c>
      <c r="L117" s="41" t="str" cm="1">
        <f t="array" ref="L117">IFERROR(INDEX(ProblemData!$E$239:$AM$239,1,JournalAnswer[[#This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322" t="str">
        <f t="shared" si="3"/>
        <v/>
      </c>
      <c r="D118" s="323" t="str">
        <f>IFERROR(_xlfn.IFNA(INDEX(ProblemData!$C$78:$AM$145,MATCH(J118+0.1,ProblemData!$C$78:$C$145,0),MATCH(C118,ProblemData!$C$78:$AM$78,0)),""),"")</f>
        <v/>
      </c>
      <c r="E118" s="66" t="str">
        <f>IFERROR(_xlfn.IFNA(IF(INDEX(ProblemData!$C$78:$AM$145,MATCH(J118+0.3,ProblemData!$C$78:$C$145,0),MATCH(C118,ProblemData!$C$78:$AM$78,0))="Debit",INDEX(ProblemData!$C$78:$AM$145,MATCH(J118+0.2,ProblemData!$C$78:$C$145,0),MATCH(C118,ProblemData!$C$78:$AM$78,0)),""),""),"")</f>
        <v/>
      </c>
      <c r="F118" s="66" t="str">
        <f>IFERROR(_xlfn.IFNA(IF(INDEX(ProblemData!$C$78:$AM$145,MATCH(J118+0.3,ProblemData!$C$78:$C$145,0),MATCH(C118,ProblemData!$C$78:$AM$78,0))="Credit",INDEX(ProblemData!$C$78:$AM$145,MATCH(J118+0.2,ProblemData!$C$78:$C$145,0),MATCH(C118,ProblemData!$C$78:$AM$78,0)),""),""),"")</f>
        <v/>
      </c>
      <c r="G118" s="324" t="str">
        <f>_xlfn.IFNA(IF(JournalAnswer[[#This Row],[Debit Account]]&lt;&gt;"",INDEX(ProblemData!$C$78:$AM$145,MATCH(J118+0.4,ProblemData!$C$78:$C$145,0),MATCH(C118,ProblemData!$C$78:$AM$78,0)),""),"")</f>
        <v/>
      </c>
      <c r="H118" s="325" t="str">
        <f>_xlfn.IFNA(IF(JournalAnswer[[#This Row],[Credit Account]]&lt;&gt;"",INDEX(ProblemData!$C$78:$AM$145,MATCH(J118+0.4,ProblemData!$C$78:$C$145,0),MATCH(C118,ProblemData!$C$78:$AM$78,0)),""),"")</f>
        <v/>
      </c>
      <c r="I118" s="353" t="str" cm="1">
        <f t="array" ref="I118">IF(JournalAnswer[[#This Row],[Debit Account]]="Cash",INDEX(ProblemData!$E$238:$AM$238,1,JournalAnswer[[#This Row],[Transaction '#]]),IF(JournalAnswer[[#This Row],[Credit Account]]="Cash",INDEX(ProblemData!$E$238:$AM$238,1,JournalAnswer[[#This Row],[Transaction '#]]),""))</f>
        <v/>
      </c>
      <c r="J118" s="85" t="str">
        <f>IF(JournalAnswer[[#This Row],[Transaction '#]]="","",IF(JournalAnswer[[#This Row],[Transaction '#]]=C117,J117+1,1))</f>
        <v/>
      </c>
      <c r="K118" s="37" cm="1">
        <f t="array" ref="K118">IFERROR(_xlfn.IFS(JournalAnswer[[#This Row],[Debit Account]]="Cash",JournalAnswer[[#This Row],[Dr Amt]],JournalAnswer[[#This Row],[Credit Account]]="Cash",-JournalAnswer[[#This Row],[Cr Amt]]),0)</f>
        <v>0</v>
      </c>
      <c r="L118" s="41" t="str" cm="1">
        <f t="array" ref="L118">IFERROR(INDEX(ProblemData!$E$239:$AM$239,1,JournalAnswer[[#This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322" t="str">
        <f t="shared" si="3"/>
        <v/>
      </c>
      <c r="D119" s="323" t="str">
        <f>IFERROR(_xlfn.IFNA(INDEX(ProblemData!$C$78:$AM$145,MATCH(J119+0.1,ProblemData!$C$78:$C$145,0),MATCH(C119,ProblemData!$C$78:$AM$78,0)),""),"")</f>
        <v/>
      </c>
      <c r="E119" s="66" t="str">
        <f>IFERROR(_xlfn.IFNA(IF(INDEX(ProblemData!$C$78:$AM$145,MATCH(J119+0.3,ProblemData!$C$78:$C$145,0),MATCH(C119,ProblemData!$C$78:$AM$78,0))="Debit",INDEX(ProblemData!$C$78:$AM$145,MATCH(J119+0.2,ProblemData!$C$78:$C$145,0),MATCH(C119,ProblemData!$C$78:$AM$78,0)),""),""),"")</f>
        <v/>
      </c>
      <c r="F119" s="66" t="str">
        <f>IFERROR(_xlfn.IFNA(IF(INDEX(ProblemData!$C$78:$AM$145,MATCH(J119+0.3,ProblemData!$C$78:$C$145,0),MATCH(C119,ProblemData!$C$78:$AM$78,0))="Credit",INDEX(ProblemData!$C$78:$AM$145,MATCH(J119+0.2,ProblemData!$C$78:$C$145,0),MATCH(C119,ProblemData!$C$78:$AM$78,0)),""),""),"")</f>
        <v/>
      </c>
      <c r="G119" s="324" t="str">
        <f>_xlfn.IFNA(IF(JournalAnswer[[#This Row],[Debit Account]]&lt;&gt;"",INDEX(ProblemData!$C$78:$AM$145,MATCH(J119+0.4,ProblemData!$C$78:$C$145,0),MATCH(C119,ProblemData!$C$78:$AM$78,0)),""),"")</f>
        <v/>
      </c>
      <c r="H119" s="325" t="str">
        <f>_xlfn.IFNA(IF(JournalAnswer[[#This Row],[Credit Account]]&lt;&gt;"",INDEX(ProblemData!$C$78:$AM$145,MATCH(J119+0.4,ProblemData!$C$78:$C$145,0),MATCH(C119,ProblemData!$C$78:$AM$78,0)),""),"")</f>
        <v/>
      </c>
      <c r="I119" s="353" t="str" cm="1">
        <f t="array" ref="I119">IF(JournalAnswer[[#This Row],[Debit Account]]="Cash",INDEX(ProblemData!$E$238:$AM$238,1,JournalAnswer[[#This Row],[Transaction '#]]),IF(JournalAnswer[[#This Row],[Credit Account]]="Cash",INDEX(ProblemData!$E$238:$AM$238,1,JournalAnswer[[#This Row],[Transaction '#]]),""))</f>
        <v/>
      </c>
      <c r="J119" s="85" t="str">
        <f>IF(JournalAnswer[[#This Row],[Transaction '#]]="","",IF(JournalAnswer[[#This Row],[Transaction '#]]=C118,J118+1,1))</f>
        <v/>
      </c>
      <c r="K119" s="37" cm="1">
        <f t="array" ref="K119">IFERROR(_xlfn.IFS(JournalAnswer[[#This Row],[Debit Account]]="Cash",JournalAnswer[[#This Row],[Dr Amt]],JournalAnswer[[#This Row],[Credit Account]]="Cash",-JournalAnswer[[#This Row],[Cr Amt]]),0)</f>
        <v>0</v>
      </c>
      <c r="L119" s="41" t="str" cm="1">
        <f t="array" ref="L119">IFERROR(INDEX(ProblemData!$E$239:$AM$239,1,JournalAnswer[[#This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322" t="str">
        <f t="shared" si="3"/>
        <v/>
      </c>
      <c r="D120" s="323" t="str">
        <f>IFERROR(_xlfn.IFNA(INDEX(ProblemData!$C$78:$AM$145,MATCH(J120+0.1,ProblemData!$C$78:$C$145,0),MATCH(C120,ProblemData!$C$78:$AM$78,0)),""),"")</f>
        <v/>
      </c>
      <c r="E120" s="66" t="str">
        <f>IFERROR(_xlfn.IFNA(IF(INDEX(ProblemData!$C$78:$AM$145,MATCH(J120+0.3,ProblemData!$C$78:$C$145,0),MATCH(C120,ProblemData!$C$78:$AM$78,0))="Debit",INDEX(ProblemData!$C$78:$AM$145,MATCH(J120+0.2,ProblemData!$C$78:$C$145,0),MATCH(C120,ProblemData!$C$78:$AM$78,0)),""),""),"")</f>
        <v/>
      </c>
      <c r="F120" s="66" t="str">
        <f>IFERROR(_xlfn.IFNA(IF(INDEX(ProblemData!$C$78:$AM$145,MATCH(J120+0.3,ProblemData!$C$78:$C$145,0),MATCH(C120,ProblemData!$C$78:$AM$78,0))="Credit",INDEX(ProblemData!$C$78:$AM$145,MATCH(J120+0.2,ProblemData!$C$78:$C$145,0),MATCH(C120,ProblemData!$C$78:$AM$78,0)),""),""),"")</f>
        <v/>
      </c>
      <c r="G120" s="324" t="str">
        <f>_xlfn.IFNA(IF(JournalAnswer[[#This Row],[Debit Account]]&lt;&gt;"",INDEX(ProblemData!$C$78:$AM$145,MATCH(J120+0.4,ProblemData!$C$78:$C$145,0),MATCH(C120,ProblemData!$C$78:$AM$78,0)),""),"")</f>
        <v/>
      </c>
      <c r="H120" s="325" t="str">
        <f>_xlfn.IFNA(IF(JournalAnswer[[#This Row],[Credit Account]]&lt;&gt;"",INDEX(ProblemData!$C$78:$AM$145,MATCH(J120+0.4,ProblemData!$C$78:$C$145,0),MATCH(C120,ProblemData!$C$78:$AM$78,0)),""),"")</f>
        <v/>
      </c>
      <c r="I120" s="353" t="str" cm="1">
        <f t="array" ref="I120">IF(JournalAnswer[[#This Row],[Debit Account]]="Cash",INDEX(ProblemData!$E$238:$AM$238,1,JournalAnswer[[#This Row],[Transaction '#]]),IF(JournalAnswer[[#This Row],[Credit Account]]="Cash",INDEX(ProblemData!$E$238:$AM$238,1,JournalAnswer[[#This Row],[Transaction '#]]),""))</f>
        <v/>
      </c>
      <c r="J120" s="85" t="str">
        <f>IF(JournalAnswer[[#This Row],[Transaction '#]]="","",IF(JournalAnswer[[#This Row],[Transaction '#]]=C119,J119+1,1))</f>
        <v/>
      </c>
      <c r="K120" s="37" cm="1">
        <f t="array" ref="K120">IFERROR(_xlfn.IFS(JournalAnswer[[#This Row],[Debit Account]]="Cash",JournalAnswer[[#This Row],[Dr Amt]],JournalAnswer[[#This Row],[Credit Account]]="Cash",-JournalAnswer[[#This Row],[Cr Amt]]),0)</f>
        <v>0</v>
      </c>
      <c r="L120" s="41" t="str" cm="1">
        <f t="array" ref="L120">IFERROR(INDEX(ProblemData!$E$239:$AM$239,1,JournalAnswer[[#This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322" t="str">
        <f t="shared" si="3"/>
        <v/>
      </c>
      <c r="D121" s="323" t="str">
        <f>IFERROR(_xlfn.IFNA(INDEX(ProblemData!$C$78:$AM$145,MATCH(J121+0.1,ProblemData!$C$78:$C$145,0),MATCH(C121,ProblemData!$C$78:$AM$78,0)),""),"")</f>
        <v/>
      </c>
      <c r="E121" s="66" t="str">
        <f>IFERROR(_xlfn.IFNA(IF(INDEX(ProblemData!$C$78:$AM$145,MATCH(J121+0.3,ProblemData!$C$78:$C$145,0),MATCH(C121,ProblemData!$C$78:$AM$78,0))="Debit",INDEX(ProblemData!$C$78:$AM$145,MATCH(J121+0.2,ProblemData!$C$78:$C$145,0),MATCH(C121,ProblemData!$C$78:$AM$78,0)),""),""),"")</f>
        <v/>
      </c>
      <c r="F121" s="66" t="str">
        <f>IFERROR(_xlfn.IFNA(IF(INDEX(ProblemData!$C$78:$AM$145,MATCH(J121+0.3,ProblemData!$C$78:$C$145,0),MATCH(C121,ProblemData!$C$78:$AM$78,0))="Credit",INDEX(ProblemData!$C$78:$AM$145,MATCH(J121+0.2,ProblemData!$C$78:$C$145,0),MATCH(C121,ProblemData!$C$78:$AM$78,0)),""),""),"")</f>
        <v/>
      </c>
      <c r="G121" s="324" t="str">
        <f>_xlfn.IFNA(IF(JournalAnswer[[#This Row],[Debit Account]]&lt;&gt;"",INDEX(ProblemData!$C$78:$AM$145,MATCH(J121+0.4,ProblemData!$C$78:$C$145,0),MATCH(C121,ProblemData!$C$78:$AM$78,0)),""),"")</f>
        <v/>
      </c>
      <c r="H121" s="325" t="str">
        <f>_xlfn.IFNA(IF(JournalAnswer[[#This Row],[Credit Account]]&lt;&gt;"",INDEX(ProblemData!$C$78:$AM$145,MATCH(J121+0.4,ProblemData!$C$78:$C$145,0),MATCH(C121,ProblemData!$C$78:$AM$78,0)),""),"")</f>
        <v/>
      </c>
      <c r="I121" s="353" t="str" cm="1">
        <f t="array" ref="I121">IF(JournalAnswer[[#This Row],[Debit Account]]="Cash",INDEX(ProblemData!$E$238:$AM$238,1,JournalAnswer[[#This Row],[Transaction '#]]),IF(JournalAnswer[[#This Row],[Credit Account]]="Cash",INDEX(ProblemData!$E$238:$AM$238,1,JournalAnswer[[#This Row],[Transaction '#]]),""))</f>
        <v/>
      </c>
      <c r="J121" s="85" t="str">
        <f>IF(JournalAnswer[[#This Row],[Transaction '#]]="","",IF(JournalAnswer[[#This Row],[Transaction '#]]=C120,J120+1,1))</f>
        <v/>
      </c>
      <c r="K121" s="37" cm="1">
        <f t="array" ref="K121">IFERROR(_xlfn.IFS(JournalAnswer[[#This Row],[Debit Account]]="Cash",JournalAnswer[[#This Row],[Dr Amt]],JournalAnswer[[#This Row],[Credit Account]]="Cash",-JournalAnswer[[#This Row],[Cr Amt]]),0)</f>
        <v>0</v>
      </c>
      <c r="L121" s="41" t="str" cm="1">
        <f t="array" ref="L121">IFERROR(INDEX(ProblemData!$E$239:$AM$239,1,JournalAnswer[[#This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322" t="str">
        <f t="shared" si="3"/>
        <v/>
      </c>
      <c r="D122" s="323" t="str">
        <f>IFERROR(_xlfn.IFNA(INDEX(ProblemData!$C$78:$AM$145,MATCH(J122+0.1,ProblemData!$C$78:$C$145,0),MATCH(C122,ProblemData!$C$78:$AM$78,0)),""),"")</f>
        <v/>
      </c>
      <c r="E122" s="66" t="str">
        <f>IFERROR(_xlfn.IFNA(IF(INDEX(ProblemData!$C$78:$AM$145,MATCH(J122+0.3,ProblemData!$C$78:$C$145,0),MATCH(C122,ProblemData!$C$78:$AM$78,0))="Debit",INDEX(ProblemData!$C$78:$AM$145,MATCH(J122+0.2,ProblemData!$C$78:$C$145,0),MATCH(C122,ProblemData!$C$78:$AM$78,0)),""),""),"")</f>
        <v/>
      </c>
      <c r="F122" s="66" t="str">
        <f>IFERROR(_xlfn.IFNA(IF(INDEX(ProblemData!$C$78:$AM$145,MATCH(J122+0.3,ProblemData!$C$78:$C$145,0),MATCH(C122,ProblemData!$C$78:$AM$78,0))="Credit",INDEX(ProblemData!$C$78:$AM$145,MATCH(J122+0.2,ProblemData!$C$78:$C$145,0),MATCH(C122,ProblemData!$C$78:$AM$78,0)),""),""),"")</f>
        <v/>
      </c>
      <c r="G122" s="324" t="str">
        <f>_xlfn.IFNA(IF(JournalAnswer[[#This Row],[Debit Account]]&lt;&gt;"",INDEX(ProblemData!$C$78:$AM$145,MATCH(J122+0.4,ProblemData!$C$78:$C$145,0),MATCH(C122,ProblemData!$C$78:$AM$78,0)),""),"")</f>
        <v/>
      </c>
      <c r="H122" s="325" t="str">
        <f>_xlfn.IFNA(IF(JournalAnswer[[#This Row],[Credit Account]]&lt;&gt;"",INDEX(ProblemData!$C$78:$AM$145,MATCH(J122+0.4,ProblemData!$C$78:$C$145,0),MATCH(C122,ProblemData!$C$78:$AM$78,0)),""),"")</f>
        <v/>
      </c>
      <c r="I122" s="353" t="str" cm="1">
        <f t="array" ref="I122">IF(JournalAnswer[[#This Row],[Debit Account]]="Cash",INDEX(ProblemData!$E$238:$AM$238,1,JournalAnswer[[#This Row],[Transaction '#]]),IF(JournalAnswer[[#This Row],[Credit Account]]="Cash",INDEX(ProblemData!$E$238:$AM$238,1,JournalAnswer[[#This Row],[Transaction '#]]),""))</f>
        <v/>
      </c>
      <c r="J122" s="85" t="str">
        <f>IF(JournalAnswer[[#This Row],[Transaction '#]]="","",IF(JournalAnswer[[#This Row],[Transaction '#]]=C121,J121+1,1))</f>
        <v/>
      </c>
      <c r="K122" s="37" cm="1">
        <f t="array" ref="K122">IFERROR(_xlfn.IFS(JournalAnswer[[#This Row],[Debit Account]]="Cash",JournalAnswer[[#This Row],[Dr Amt]],JournalAnswer[[#This Row],[Credit Account]]="Cash",-JournalAnswer[[#This Row],[Cr Amt]]),0)</f>
        <v>0</v>
      </c>
      <c r="L122" s="41" t="str" cm="1">
        <f t="array" ref="L122">IFERROR(INDEX(ProblemData!$E$239:$AM$239,1,JournalAnswer[[#This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322" t="str">
        <f t="shared" si="3"/>
        <v/>
      </c>
      <c r="D123" s="323" t="str">
        <f>IFERROR(_xlfn.IFNA(INDEX(ProblemData!$C$78:$AM$145,MATCH(J123+0.1,ProblemData!$C$78:$C$145,0),MATCH(C123,ProblemData!$C$78:$AM$78,0)),""),"")</f>
        <v/>
      </c>
      <c r="E123" s="66" t="str">
        <f>IFERROR(_xlfn.IFNA(IF(INDEX(ProblemData!$C$78:$AM$145,MATCH(J123+0.3,ProblemData!$C$78:$C$145,0),MATCH(C123,ProblemData!$C$78:$AM$78,0))="Debit",INDEX(ProblemData!$C$78:$AM$145,MATCH(J123+0.2,ProblemData!$C$78:$C$145,0),MATCH(C123,ProblemData!$C$78:$AM$78,0)),""),""),"")</f>
        <v/>
      </c>
      <c r="F123" s="66" t="str">
        <f>IFERROR(_xlfn.IFNA(IF(INDEX(ProblemData!$C$78:$AM$145,MATCH(J123+0.3,ProblemData!$C$78:$C$145,0),MATCH(C123,ProblemData!$C$78:$AM$78,0))="Credit",INDEX(ProblemData!$C$78:$AM$145,MATCH(J123+0.2,ProblemData!$C$78:$C$145,0),MATCH(C123,ProblemData!$C$78:$AM$78,0)),""),""),"")</f>
        <v/>
      </c>
      <c r="G123" s="324" t="str">
        <f>_xlfn.IFNA(IF(JournalAnswer[[#This Row],[Debit Account]]&lt;&gt;"",INDEX(ProblemData!$C$78:$AM$145,MATCH(J123+0.4,ProblemData!$C$78:$C$145,0),MATCH(C123,ProblemData!$C$78:$AM$78,0)),""),"")</f>
        <v/>
      </c>
      <c r="H123" s="325" t="str">
        <f>_xlfn.IFNA(IF(JournalAnswer[[#This Row],[Credit Account]]&lt;&gt;"",INDEX(ProblemData!$C$78:$AM$145,MATCH(J123+0.4,ProblemData!$C$78:$C$145,0),MATCH(C123,ProblemData!$C$78:$AM$78,0)),""),"")</f>
        <v/>
      </c>
      <c r="I123" s="353" t="str" cm="1">
        <f t="array" ref="I123">IF(JournalAnswer[[#This Row],[Debit Account]]="Cash",INDEX(ProblemData!$E$238:$AM$238,1,JournalAnswer[[#This Row],[Transaction '#]]),IF(JournalAnswer[[#This Row],[Credit Account]]="Cash",INDEX(ProblemData!$E$238:$AM$238,1,JournalAnswer[[#This Row],[Transaction '#]]),""))</f>
        <v/>
      </c>
      <c r="J123" s="85" t="str">
        <f>IF(JournalAnswer[[#This Row],[Transaction '#]]="","",IF(JournalAnswer[[#This Row],[Transaction '#]]=C122,J122+1,1))</f>
        <v/>
      </c>
      <c r="K123" s="37" cm="1">
        <f t="array" ref="K123">IFERROR(_xlfn.IFS(JournalAnswer[[#This Row],[Debit Account]]="Cash",JournalAnswer[[#This Row],[Dr Amt]],JournalAnswer[[#This Row],[Credit Account]]="Cash",-JournalAnswer[[#This Row],[Cr Amt]]),0)</f>
        <v>0</v>
      </c>
      <c r="L123" s="41" t="str" cm="1">
        <f t="array" ref="L123">IFERROR(INDEX(ProblemData!$E$239:$AM$239,1,JournalAnswer[[#This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322" t="str">
        <f t="shared" si="3"/>
        <v/>
      </c>
      <c r="D124" s="323" t="str">
        <f>IFERROR(_xlfn.IFNA(INDEX(ProblemData!$C$78:$AM$145,MATCH(J124+0.1,ProblemData!$C$78:$C$145,0),MATCH(C124,ProblemData!$C$78:$AM$78,0)),""),"")</f>
        <v/>
      </c>
      <c r="E124" s="66" t="str">
        <f>IFERROR(_xlfn.IFNA(IF(INDEX(ProblemData!$C$78:$AM$145,MATCH(J124+0.3,ProblemData!$C$78:$C$145,0),MATCH(C124,ProblemData!$C$78:$AM$78,0))="Debit",INDEX(ProblemData!$C$78:$AM$145,MATCH(J124+0.2,ProblemData!$C$78:$C$145,0),MATCH(C124,ProblemData!$C$78:$AM$78,0)),""),""),"")</f>
        <v/>
      </c>
      <c r="F124" s="66" t="str">
        <f>IFERROR(_xlfn.IFNA(IF(INDEX(ProblemData!$C$78:$AM$145,MATCH(J124+0.3,ProblemData!$C$78:$C$145,0),MATCH(C124,ProblemData!$C$78:$AM$78,0))="Credit",INDEX(ProblemData!$C$78:$AM$145,MATCH(J124+0.2,ProblemData!$C$78:$C$145,0),MATCH(C124,ProblemData!$C$78:$AM$78,0)),""),""),"")</f>
        <v/>
      </c>
      <c r="G124" s="324" t="str">
        <f>_xlfn.IFNA(IF(JournalAnswer[[#This Row],[Debit Account]]&lt;&gt;"",INDEX(ProblemData!$C$78:$AM$145,MATCH(J124+0.4,ProblemData!$C$78:$C$145,0),MATCH(C124,ProblemData!$C$78:$AM$78,0)),""),"")</f>
        <v/>
      </c>
      <c r="H124" s="325" t="str">
        <f>_xlfn.IFNA(IF(JournalAnswer[[#This Row],[Credit Account]]&lt;&gt;"",INDEX(ProblemData!$C$78:$AM$145,MATCH(J124+0.4,ProblemData!$C$78:$C$145,0),MATCH(C124,ProblemData!$C$78:$AM$78,0)),""),"")</f>
        <v/>
      </c>
      <c r="I124" s="353" t="str" cm="1">
        <f t="array" ref="I124">IF(JournalAnswer[[#This Row],[Debit Account]]="Cash",INDEX(ProblemData!$E$238:$AM$238,1,JournalAnswer[[#This Row],[Transaction '#]]),IF(JournalAnswer[[#This Row],[Credit Account]]="Cash",INDEX(ProblemData!$E$238:$AM$238,1,JournalAnswer[[#This Row],[Transaction '#]]),""))</f>
        <v/>
      </c>
      <c r="J124" s="85" t="str">
        <f>IF(JournalAnswer[[#This Row],[Transaction '#]]="","",IF(JournalAnswer[[#This Row],[Transaction '#]]=C123,J123+1,1))</f>
        <v/>
      </c>
      <c r="K124" s="37" cm="1">
        <f t="array" ref="K124">IFERROR(_xlfn.IFS(JournalAnswer[[#This Row],[Debit Account]]="Cash",JournalAnswer[[#This Row],[Dr Amt]],JournalAnswer[[#This Row],[Credit Account]]="Cash",-JournalAnswer[[#This Row],[Cr Amt]]),0)</f>
        <v>0</v>
      </c>
      <c r="L124" s="41" t="str" cm="1">
        <f t="array" ref="L124">IFERROR(INDEX(ProblemData!$E$239:$AM$239,1,JournalAnswer[[#This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322" t="str">
        <f t="shared" si="3"/>
        <v/>
      </c>
      <c r="D125" s="323" t="str">
        <f>IFERROR(_xlfn.IFNA(INDEX(ProblemData!$C$78:$AM$145,MATCH(J125+0.1,ProblemData!$C$78:$C$145,0),MATCH(C125,ProblemData!$C$78:$AM$78,0)),""),"")</f>
        <v/>
      </c>
      <c r="E125" s="66" t="str">
        <f>IFERROR(_xlfn.IFNA(IF(INDEX(ProblemData!$C$78:$AM$145,MATCH(J125+0.3,ProblemData!$C$78:$C$145,0),MATCH(C125,ProblemData!$C$78:$AM$78,0))="Debit",INDEX(ProblemData!$C$78:$AM$145,MATCH(J125+0.2,ProblemData!$C$78:$C$145,0),MATCH(C125,ProblemData!$C$78:$AM$78,0)),""),""),"")</f>
        <v/>
      </c>
      <c r="F125" s="66" t="str">
        <f>IFERROR(_xlfn.IFNA(IF(INDEX(ProblemData!$C$78:$AM$145,MATCH(J125+0.3,ProblemData!$C$78:$C$145,0),MATCH(C125,ProblemData!$C$78:$AM$78,0))="Credit",INDEX(ProblemData!$C$78:$AM$145,MATCH(J125+0.2,ProblemData!$C$78:$C$145,0),MATCH(C125,ProblemData!$C$78:$AM$78,0)),""),""),"")</f>
        <v/>
      </c>
      <c r="G125" s="324" t="str">
        <f>_xlfn.IFNA(IF(JournalAnswer[[#This Row],[Debit Account]]&lt;&gt;"",INDEX(ProblemData!$C$78:$AM$145,MATCH(J125+0.4,ProblemData!$C$78:$C$145,0),MATCH(C125,ProblemData!$C$78:$AM$78,0)),""),"")</f>
        <v/>
      </c>
      <c r="H125" s="325" t="str">
        <f>_xlfn.IFNA(IF(JournalAnswer[[#This Row],[Credit Account]]&lt;&gt;"",INDEX(ProblemData!$C$78:$AM$145,MATCH(J125+0.4,ProblemData!$C$78:$C$145,0),MATCH(C125,ProblemData!$C$78:$AM$78,0)),""),"")</f>
        <v/>
      </c>
      <c r="I125" s="353" t="str" cm="1">
        <f t="array" ref="I125">IF(JournalAnswer[[#This Row],[Debit Account]]="Cash",INDEX(ProblemData!$E$238:$AM$238,1,JournalAnswer[[#This Row],[Transaction '#]]),IF(JournalAnswer[[#This Row],[Credit Account]]="Cash",INDEX(ProblemData!$E$238:$AM$238,1,JournalAnswer[[#This Row],[Transaction '#]]),""))</f>
        <v/>
      </c>
      <c r="J125" s="85" t="str">
        <f>IF(JournalAnswer[[#This Row],[Transaction '#]]="","",IF(JournalAnswer[[#This Row],[Transaction '#]]=C124,J124+1,1))</f>
        <v/>
      </c>
      <c r="K125" s="37" cm="1">
        <f t="array" ref="K125">IFERROR(_xlfn.IFS(JournalAnswer[[#This Row],[Debit Account]]="Cash",JournalAnswer[[#This Row],[Dr Amt]],JournalAnswer[[#This Row],[Credit Account]]="Cash",-JournalAnswer[[#This Row],[Cr Amt]]),0)</f>
        <v>0</v>
      </c>
      <c r="L125" s="41" t="str" cm="1">
        <f t="array" ref="L125">IFERROR(INDEX(ProblemData!$E$239:$AM$239,1,JournalAnswer[[#This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322" t="str">
        <f t="shared" si="3"/>
        <v/>
      </c>
      <c r="D126" s="323" t="str">
        <f>IFERROR(_xlfn.IFNA(INDEX(ProblemData!$C$78:$AM$145,MATCH(J126+0.1,ProblemData!$C$78:$C$145,0),MATCH(C126,ProblemData!$C$78:$AM$78,0)),""),"")</f>
        <v/>
      </c>
      <c r="E126" s="66" t="str">
        <f>IFERROR(_xlfn.IFNA(IF(INDEX(ProblemData!$C$78:$AM$145,MATCH(J126+0.3,ProblemData!$C$78:$C$145,0),MATCH(C126,ProblemData!$C$78:$AM$78,0))="Debit",INDEX(ProblemData!$C$78:$AM$145,MATCH(J126+0.2,ProblemData!$C$78:$C$145,0),MATCH(C126,ProblemData!$C$78:$AM$78,0)),""),""),"")</f>
        <v/>
      </c>
      <c r="F126" s="66" t="str">
        <f>IFERROR(_xlfn.IFNA(IF(INDEX(ProblemData!$C$78:$AM$145,MATCH(J126+0.3,ProblemData!$C$78:$C$145,0),MATCH(C126,ProblemData!$C$78:$AM$78,0))="Credit",INDEX(ProblemData!$C$78:$AM$145,MATCH(J126+0.2,ProblemData!$C$78:$C$145,0),MATCH(C126,ProblemData!$C$78:$AM$78,0)),""),""),"")</f>
        <v/>
      </c>
      <c r="G126" s="324" t="str">
        <f>_xlfn.IFNA(IF(JournalAnswer[[#This Row],[Debit Account]]&lt;&gt;"",INDEX(ProblemData!$C$78:$AM$145,MATCH(J126+0.4,ProblemData!$C$78:$C$145,0),MATCH(C126,ProblemData!$C$78:$AM$78,0)),""),"")</f>
        <v/>
      </c>
      <c r="H126" s="325" t="str">
        <f>_xlfn.IFNA(IF(JournalAnswer[[#This Row],[Credit Account]]&lt;&gt;"",INDEX(ProblemData!$C$78:$AM$145,MATCH(J126+0.4,ProblemData!$C$78:$C$145,0),MATCH(C126,ProblemData!$C$78:$AM$78,0)),""),"")</f>
        <v/>
      </c>
      <c r="I126" s="353" t="str" cm="1">
        <f t="array" ref="I126">IF(JournalAnswer[[#This Row],[Debit Account]]="Cash",INDEX(ProblemData!$E$238:$AM$238,1,JournalAnswer[[#This Row],[Transaction '#]]),IF(JournalAnswer[[#This Row],[Credit Account]]="Cash",INDEX(ProblemData!$E$238:$AM$238,1,JournalAnswer[[#This Row],[Transaction '#]]),""))</f>
        <v/>
      </c>
      <c r="J126" s="85" t="str">
        <f>IF(JournalAnswer[[#This Row],[Transaction '#]]="","",IF(JournalAnswer[[#This Row],[Transaction '#]]=C125,J125+1,1))</f>
        <v/>
      </c>
      <c r="K126" s="37" cm="1">
        <f t="array" ref="K126">IFERROR(_xlfn.IFS(JournalAnswer[[#This Row],[Debit Account]]="Cash",JournalAnswer[[#This Row],[Dr Amt]],JournalAnswer[[#This Row],[Credit Account]]="Cash",-JournalAnswer[[#This Row],[Cr Amt]]),0)</f>
        <v>0</v>
      </c>
      <c r="L126" s="41" t="str" cm="1">
        <f t="array" ref="L126">IFERROR(INDEX(ProblemData!$E$239:$AM$239,1,JournalAnswer[[#This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322" t="str">
        <f t="shared" si="3"/>
        <v/>
      </c>
      <c r="D127" s="323" t="str">
        <f>IFERROR(_xlfn.IFNA(INDEX(ProblemData!$C$78:$AM$145,MATCH(J127+0.1,ProblemData!$C$78:$C$145,0),MATCH(C127,ProblemData!$C$78:$AM$78,0)),""),"")</f>
        <v/>
      </c>
      <c r="E127" s="66" t="str">
        <f>IFERROR(_xlfn.IFNA(IF(INDEX(ProblemData!$C$78:$AM$145,MATCH(J127+0.3,ProblemData!$C$78:$C$145,0),MATCH(C127,ProblemData!$C$78:$AM$78,0))="Debit",INDEX(ProblemData!$C$78:$AM$145,MATCH(J127+0.2,ProblemData!$C$78:$C$145,0),MATCH(C127,ProblemData!$C$78:$AM$78,0)),""),""),"")</f>
        <v/>
      </c>
      <c r="F127" s="66" t="str">
        <f>IFERROR(_xlfn.IFNA(IF(INDEX(ProblemData!$C$78:$AM$145,MATCH(J127+0.3,ProblemData!$C$78:$C$145,0),MATCH(C127,ProblemData!$C$78:$AM$78,0))="Credit",INDEX(ProblemData!$C$78:$AM$145,MATCH(J127+0.2,ProblemData!$C$78:$C$145,0),MATCH(C127,ProblemData!$C$78:$AM$78,0)),""),""),"")</f>
        <v/>
      </c>
      <c r="G127" s="324" t="str">
        <f>_xlfn.IFNA(IF(JournalAnswer[[#This Row],[Debit Account]]&lt;&gt;"",INDEX(ProblemData!$C$78:$AM$145,MATCH(J127+0.4,ProblemData!$C$78:$C$145,0),MATCH(C127,ProblemData!$C$78:$AM$78,0)),""),"")</f>
        <v/>
      </c>
      <c r="H127" s="325" t="str">
        <f>_xlfn.IFNA(IF(JournalAnswer[[#This Row],[Credit Account]]&lt;&gt;"",INDEX(ProblemData!$C$78:$AM$145,MATCH(J127+0.4,ProblemData!$C$78:$C$145,0),MATCH(C127,ProblemData!$C$78:$AM$78,0)),""),"")</f>
        <v/>
      </c>
      <c r="I127" s="353" t="str" cm="1">
        <f t="array" ref="I127">IF(JournalAnswer[[#This Row],[Debit Account]]="Cash",INDEX(ProblemData!$E$238:$AM$238,1,JournalAnswer[[#This Row],[Transaction '#]]),IF(JournalAnswer[[#This Row],[Credit Account]]="Cash",INDEX(ProblemData!$E$238:$AM$238,1,JournalAnswer[[#This Row],[Transaction '#]]),""))</f>
        <v/>
      </c>
      <c r="J127" s="85" t="str">
        <f>IF(JournalAnswer[[#This Row],[Transaction '#]]="","",IF(JournalAnswer[[#This Row],[Transaction '#]]=C126,J126+1,1))</f>
        <v/>
      </c>
      <c r="K127" s="37" cm="1">
        <f t="array" ref="K127">IFERROR(_xlfn.IFS(JournalAnswer[[#This Row],[Debit Account]]="Cash",JournalAnswer[[#This Row],[Dr Amt]],JournalAnswer[[#This Row],[Credit Account]]="Cash",-JournalAnswer[[#This Row],[Cr Amt]]),0)</f>
        <v>0</v>
      </c>
      <c r="L127" s="41" t="str" cm="1">
        <f t="array" ref="L127">IFERROR(INDEX(ProblemData!$E$239:$AM$239,1,JournalAnswer[[#This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322" t="str">
        <f t="shared" si="3"/>
        <v/>
      </c>
      <c r="D128" s="323" t="str">
        <f>IFERROR(_xlfn.IFNA(INDEX(ProblemData!$C$78:$AM$145,MATCH(J128+0.1,ProblemData!$C$78:$C$145,0),MATCH(C128,ProblemData!$C$78:$AM$78,0)),""),"")</f>
        <v/>
      </c>
      <c r="E128" s="66" t="str">
        <f>IFERROR(_xlfn.IFNA(IF(INDEX(ProblemData!$C$78:$AM$145,MATCH(J128+0.3,ProblemData!$C$78:$C$145,0),MATCH(C128,ProblemData!$C$78:$AM$78,0))="Debit",INDEX(ProblemData!$C$78:$AM$145,MATCH(J128+0.2,ProblemData!$C$78:$C$145,0),MATCH(C128,ProblemData!$C$78:$AM$78,0)),""),""),"")</f>
        <v/>
      </c>
      <c r="F128" s="66" t="str">
        <f>IFERROR(_xlfn.IFNA(IF(INDEX(ProblemData!$C$78:$AM$145,MATCH(J128+0.3,ProblemData!$C$78:$C$145,0),MATCH(C128,ProblemData!$C$78:$AM$78,0))="Credit",INDEX(ProblemData!$C$78:$AM$145,MATCH(J128+0.2,ProblemData!$C$78:$C$145,0),MATCH(C128,ProblemData!$C$78:$AM$78,0)),""),""),"")</f>
        <v/>
      </c>
      <c r="G128" s="324" t="str">
        <f>_xlfn.IFNA(IF(JournalAnswer[[#This Row],[Debit Account]]&lt;&gt;"",INDEX(ProblemData!$C$78:$AM$145,MATCH(J128+0.4,ProblemData!$C$78:$C$145,0),MATCH(C128,ProblemData!$C$78:$AM$78,0)),""),"")</f>
        <v/>
      </c>
      <c r="H128" s="325" t="str">
        <f>_xlfn.IFNA(IF(JournalAnswer[[#This Row],[Credit Account]]&lt;&gt;"",INDEX(ProblemData!$C$78:$AM$145,MATCH(J128+0.4,ProblemData!$C$78:$C$145,0),MATCH(C128,ProblemData!$C$78:$AM$78,0)),""),"")</f>
        <v/>
      </c>
      <c r="I128" s="353" t="str" cm="1">
        <f t="array" ref="I128">IF(JournalAnswer[[#This Row],[Debit Account]]="Cash",INDEX(ProblemData!$E$238:$AM$238,1,JournalAnswer[[#This Row],[Transaction '#]]),IF(JournalAnswer[[#This Row],[Credit Account]]="Cash",INDEX(ProblemData!$E$238:$AM$238,1,JournalAnswer[[#This Row],[Transaction '#]]),""))</f>
        <v/>
      </c>
      <c r="J128" s="85" t="str">
        <f>IF(JournalAnswer[[#This Row],[Transaction '#]]="","",IF(JournalAnswer[[#This Row],[Transaction '#]]=C127,J127+1,1))</f>
        <v/>
      </c>
      <c r="K128" s="37" cm="1">
        <f t="array" ref="K128">IFERROR(_xlfn.IFS(JournalAnswer[[#This Row],[Debit Account]]="Cash",JournalAnswer[[#This Row],[Dr Amt]],JournalAnswer[[#This Row],[Credit Account]]="Cash",-JournalAnswer[[#This Row],[Cr Amt]]),0)</f>
        <v>0</v>
      </c>
      <c r="L128" s="41" t="str" cm="1">
        <f t="array" ref="L128">IFERROR(INDEX(ProblemData!$E$239:$AM$239,1,JournalAnswer[[#This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322" t="str">
        <f t="shared" si="3"/>
        <v/>
      </c>
      <c r="D129" s="323" t="str">
        <f>IFERROR(_xlfn.IFNA(INDEX(ProblemData!$C$78:$AM$145,MATCH(J129+0.1,ProblemData!$C$78:$C$145,0),MATCH(C129,ProblemData!$C$78:$AM$78,0)),""),"")</f>
        <v/>
      </c>
      <c r="E129" s="66" t="str">
        <f>IFERROR(_xlfn.IFNA(IF(INDEX(ProblemData!$C$78:$AM$145,MATCH(J129+0.3,ProblemData!$C$78:$C$145,0),MATCH(C129,ProblemData!$C$78:$AM$78,0))="Debit",INDEX(ProblemData!$C$78:$AM$145,MATCH(J129+0.2,ProblemData!$C$78:$C$145,0),MATCH(C129,ProblemData!$C$78:$AM$78,0)),""),""),"")</f>
        <v/>
      </c>
      <c r="F129" s="66" t="str">
        <f>IFERROR(_xlfn.IFNA(IF(INDEX(ProblemData!$C$78:$AM$145,MATCH(J129+0.3,ProblemData!$C$78:$C$145,0),MATCH(C129,ProblemData!$C$78:$AM$78,0))="Credit",INDEX(ProblemData!$C$78:$AM$145,MATCH(J129+0.2,ProblemData!$C$78:$C$145,0),MATCH(C129,ProblemData!$C$78:$AM$78,0)),""),""),"")</f>
        <v/>
      </c>
      <c r="G129" s="324" t="str">
        <f>_xlfn.IFNA(IF(JournalAnswer[[#This Row],[Debit Account]]&lt;&gt;"",INDEX(ProblemData!$C$78:$AM$145,MATCH(J129+0.4,ProblemData!$C$78:$C$145,0),MATCH(C129,ProblemData!$C$78:$AM$78,0)),""),"")</f>
        <v/>
      </c>
      <c r="H129" s="325" t="str">
        <f>_xlfn.IFNA(IF(JournalAnswer[[#This Row],[Credit Account]]&lt;&gt;"",INDEX(ProblemData!$C$78:$AM$145,MATCH(J129+0.4,ProblemData!$C$78:$C$145,0),MATCH(C129,ProblemData!$C$78:$AM$78,0)),""),"")</f>
        <v/>
      </c>
      <c r="I129" s="353" t="str" cm="1">
        <f t="array" ref="I129">IF(JournalAnswer[[#This Row],[Debit Account]]="Cash",INDEX(ProblemData!$E$238:$AM$238,1,JournalAnswer[[#This Row],[Transaction '#]]),IF(JournalAnswer[[#This Row],[Credit Account]]="Cash",INDEX(ProblemData!$E$238:$AM$238,1,JournalAnswer[[#This Row],[Transaction '#]]),""))</f>
        <v/>
      </c>
      <c r="J129" s="85" t="str">
        <f>IF(JournalAnswer[[#This Row],[Transaction '#]]="","",IF(JournalAnswer[[#This Row],[Transaction '#]]=C128,J128+1,1))</f>
        <v/>
      </c>
      <c r="K129" s="37" cm="1">
        <f t="array" ref="K129">IFERROR(_xlfn.IFS(JournalAnswer[[#This Row],[Debit Account]]="Cash",JournalAnswer[[#This Row],[Dr Amt]],JournalAnswer[[#This Row],[Credit Account]]="Cash",-JournalAnswer[[#This Row],[Cr Amt]]),0)</f>
        <v>0</v>
      </c>
      <c r="L129" s="41" t="str" cm="1">
        <f t="array" ref="L129">IFERROR(INDEX(ProblemData!$E$239:$AM$239,1,JournalAnswer[[#This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322" t="str">
        <f t="shared" si="3"/>
        <v/>
      </c>
      <c r="D130" s="323" t="str">
        <f>IFERROR(_xlfn.IFNA(INDEX(ProblemData!$C$78:$AM$145,MATCH(J130+0.1,ProblemData!$C$78:$C$145,0),MATCH(C130,ProblemData!$C$78:$AM$78,0)),""),"")</f>
        <v/>
      </c>
      <c r="E130" s="66" t="str">
        <f>IFERROR(_xlfn.IFNA(IF(INDEX(ProblemData!$C$78:$AM$145,MATCH(J130+0.3,ProblemData!$C$78:$C$145,0),MATCH(C130,ProblemData!$C$78:$AM$78,0))="Debit",INDEX(ProblemData!$C$78:$AM$145,MATCH(J130+0.2,ProblemData!$C$78:$C$145,0),MATCH(C130,ProblemData!$C$78:$AM$78,0)),""),""),"")</f>
        <v/>
      </c>
      <c r="F130" s="66" t="str">
        <f>IFERROR(_xlfn.IFNA(IF(INDEX(ProblemData!$C$78:$AM$145,MATCH(J130+0.3,ProblemData!$C$78:$C$145,0),MATCH(C130,ProblemData!$C$78:$AM$78,0))="Credit",INDEX(ProblemData!$C$78:$AM$145,MATCH(J130+0.2,ProblemData!$C$78:$C$145,0),MATCH(C130,ProblemData!$C$78:$AM$78,0)),""),""),"")</f>
        <v/>
      </c>
      <c r="G130" s="324" t="str">
        <f>_xlfn.IFNA(IF(JournalAnswer[[#This Row],[Debit Account]]&lt;&gt;"",INDEX(ProblemData!$C$78:$AM$145,MATCH(J130+0.4,ProblemData!$C$78:$C$145,0),MATCH(C130,ProblemData!$C$78:$AM$78,0)),""),"")</f>
        <v/>
      </c>
      <c r="H130" s="325" t="str">
        <f>_xlfn.IFNA(IF(JournalAnswer[[#This Row],[Credit Account]]&lt;&gt;"",INDEX(ProblemData!$C$78:$AM$145,MATCH(J130+0.4,ProblemData!$C$78:$C$145,0),MATCH(C130,ProblemData!$C$78:$AM$78,0)),""),"")</f>
        <v/>
      </c>
      <c r="I130" s="353" t="str" cm="1">
        <f t="array" ref="I130">IF(JournalAnswer[[#This Row],[Debit Account]]="Cash",INDEX(ProblemData!$E$238:$AM$238,1,JournalAnswer[[#This Row],[Transaction '#]]),IF(JournalAnswer[[#This Row],[Credit Account]]="Cash",INDEX(ProblemData!$E$238:$AM$238,1,JournalAnswer[[#This Row],[Transaction '#]]),""))</f>
        <v/>
      </c>
      <c r="J130" s="85" t="str">
        <f>IF(JournalAnswer[[#This Row],[Transaction '#]]="","",IF(JournalAnswer[[#This Row],[Transaction '#]]=C129,J129+1,1))</f>
        <v/>
      </c>
      <c r="K130" s="37" cm="1">
        <f t="array" ref="K130">IFERROR(_xlfn.IFS(JournalAnswer[[#This Row],[Debit Account]]="Cash",JournalAnswer[[#This Row],[Dr Amt]],JournalAnswer[[#This Row],[Credit Account]]="Cash",-JournalAnswer[[#This Row],[Cr Amt]]),0)</f>
        <v>0</v>
      </c>
      <c r="L130" s="41" t="str" cm="1">
        <f t="array" ref="L130">IFERROR(INDEX(ProblemData!$E$239:$AM$239,1,JournalAnswer[[#This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322" t="str">
        <f t="shared" si="3"/>
        <v/>
      </c>
      <c r="D131" s="323" t="str">
        <f>IFERROR(_xlfn.IFNA(INDEX(ProblemData!$C$78:$AM$145,MATCH(J131+0.1,ProblemData!$C$78:$C$145,0),MATCH(C131,ProblemData!$C$78:$AM$78,0)),""),"")</f>
        <v/>
      </c>
      <c r="E131" s="66" t="str">
        <f>IFERROR(_xlfn.IFNA(IF(INDEX(ProblemData!$C$78:$AM$145,MATCH(J131+0.3,ProblemData!$C$78:$C$145,0),MATCH(C131,ProblemData!$C$78:$AM$78,0))="Debit",INDEX(ProblemData!$C$78:$AM$145,MATCH(J131+0.2,ProblemData!$C$78:$C$145,0),MATCH(C131,ProblemData!$C$78:$AM$78,0)),""),""),"")</f>
        <v/>
      </c>
      <c r="F131" s="66" t="str">
        <f>IFERROR(_xlfn.IFNA(IF(INDEX(ProblemData!$C$78:$AM$145,MATCH(J131+0.3,ProblemData!$C$78:$C$145,0),MATCH(C131,ProblemData!$C$78:$AM$78,0))="Credit",INDEX(ProblemData!$C$78:$AM$145,MATCH(J131+0.2,ProblemData!$C$78:$C$145,0),MATCH(C131,ProblemData!$C$78:$AM$78,0)),""),""),"")</f>
        <v/>
      </c>
      <c r="G131" s="324" t="str">
        <f>_xlfn.IFNA(IF(JournalAnswer[[#This Row],[Debit Account]]&lt;&gt;"",INDEX(ProblemData!$C$78:$AM$145,MATCH(J131+0.4,ProblemData!$C$78:$C$145,0),MATCH(C131,ProblemData!$C$78:$AM$78,0)),""),"")</f>
        <v/>
      </c>
      <c r="H131" s="325" t="str">
        <f>_xlfn.IFNA(IF(JournalAnswer[[#This Row],[Credit Account]]&lt;&gt;"",INDEX(ProblemData!$C$78:$AM$145,MATCH(J131+0.4,ProblemData!$C$78:$C$145,0),MATCH(C131,ProblemData!$C$78:$AM$78,0)),""),"")</f>
        <v/>
      </c>
      <c r="I131" s="353" t="str" cm="1">
        <f t="array" ref="I131">IF(JournalAnswer[[#This Row],[Debit Account]]="Cash",INDEX(ProblemData!$E$238:$AM$238,1,JournalAnswer[[#This Row],[Transaction '#]]),IF(JournalAnswer[[#This Row],[Credit Account]]="Cash",INDEX(ProblemData!$E$238:$AM$238,1,JournalAnswer[[#This Row],[Transaction '#]]),""))</f>
        <v/>
      </c>
      <c r="J131" s="85" t="str">
        <f>IF(JournalAnswer[[#This Row],[Transaction '#]]="","",IF(JournalAnswer[[#This Row],[Transaction '#]]=C130,J130+1,1))</f>
        <v/>
      </c>
      <c r="K131" s="37" cm="1">
        <f t="array" ref="K131">IFERROR(_xlfn.IFS(JournalAnswer[[#This Row],[Debit Account]]="Cash",JournalAnswer[[#This Row],[Dr Amt]],JournalAnswer[[#This Row],[Credit Account]]="Cash",-JournalAnswer[[#This Row],[Cr Amt]]),0)</f>
        <v>0</v>
      </c>
      <c r="L131" s="41" t="str" cm="1">
        <f t="array" ref="L131">IFERROR(INDEX(ProblemData!$E$239:$AM$239,1,JournalAnswer[[#This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322" t="str">
        <f t="shared" si="3"/>
        <v/>
      </c>
      <c r="D132" s="323" t="str">
        <f>IFERROR(_xlfn.IFNA(INDEX(ProblemData!$C$78:$AM$145,MATCH(J132+0.1,ProblemData!$C$78:$C$145,0),MATCH(C132,ProblemData!$C$78:$AM$78,0)),""),"")</f>
        <v/>
      </c>
      <c r="E132" s="66" t="str">
        <f>IFERROR(_xlfn.IFNA(IF(INDEX(ProblemData!$C$78:$AM$145,MATCH(J132+0.3,ProblemData!$C$78:$C$145,0),MATCH(C132,ProblemData!$C$78:$AM$78,0))="Debit",INDEX(ProblemData!$C$78:$AM$145,MATCH(J132+0.2,ProblemData!$C$78:$C$145,0),MATCH(C132,ProblemData!$C$78:$AM$78,0)),""),""),"")</f>
        <v/>
      </c>
      <c r="F132" s="66" t="str">
        <f>IFERROR(_xlfn.IFNA(IF(INDEX(ProblemData!$C$78:$AM$145,MATCH(J132+0.3,ProblemData!$C$78:$C$145,0),MATCH(C132,ProblemData!$C$78:$AM$78,0))="Credit",INDEX(ProblemData!$C$78:$AM$145,MATCH(J132+0.2,ProblemData!$C$78:$C$145,0),MATCH(C132,ProblemData!$C$78:$AM$78,0)),""),""),"")</f>
        <v/>
      </c>
      <c r="G132" s="324" t="str">
        <f>_xlfn.IFNA(IF(JournalAnswer[[#This Row],[Debit Account]]&lt;&gt;"",INDEX(ProblemData!$C$78:$AM$145,MATCH(J132+0.4,ProblemData!$C$78:$C$145,0),MATCH(C132,ProblemData!$C$78:$AM$78,0)),""),"")</f>
        <v/>
      </c>
      <c r="H132" s="325" t="str">
        <f>_xlfn.IFNA(IF(JournalAnswer[[#This Row],[Credit Account]]&lt;&gt;"",INDEX(ProblemData!$C$78:$AM$145,MATCH(J132+0.4,ProblemData!$C$78:$C$145,0),MATCH(C132,ProblemData!$C$78:$AM$78,0)),""),"")</f>
        <v/>
      </c>
      <c r="I132" s="353" t="str" cm="1">
        <f t="array" ref="I132">IF(JournalAnswer[[#This Row],[Debit Account]]="Cash",INDEX(ProblemData!$E$238:$AM$238,1,JournalAnswer[[#This Row],[Transaction '#]]),IF(JournalAnswer[[#This Row],[Credit Account]]="Cash",INDEX(ProblemData!$E$238:$AM$238,1,JournalAnswer[[#This Row],[Transaction '#]]),""))</f>
        <v/>
      </c>
      <c r="J132" s="85" t="str">
        <f>IF(JournalAnswer[[#This Row],[Transaction '#]]="","",IF(JournalAnswer[[#This Row],[Transaction '#]]=C131,J131+1,1))</f>
        <v/>
      </c>
      <c r="K132" s="37" cm="1">
        <f t="array" ref="K132">IFERROR(_xlfn.IFS(JournalAnswer[[#This Row],[Debit Account]]="Cash",JournalAnswer[[#This Row],[Dr Amt]],JournalAnswer[[#This Row],[Credit Account]]="Cash",-JournalAnswer[[#This Row],[Cr Amt]]),0)</f>
        <v>0</v>
      </c>
      <c r="L132" s="41" t="str" cm="1">
        <f t="array" ref="L132">IFERROR(INDEX(ProblemData!$E$239:$AM$239,1,JournalAnswer[[#This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322" t="str">
        <f t="shared" si="3"/>
        <v/>
      </c>
      <c r="D133" s="323" t="str">
        <f>IFERROR(_xlfn.IFNA(INDEX(ProblemData!$C$78:$AM$145,MATCH(J133+0.1,ProblemData!$C$78:$C$145,0),MATCH(C133,ProblemData!$C$78:$AM$78,0)),""),"")</f>
        <v/>
      </c>
      <c r="E133" s="66" t="str">
        <f>IFERROR(_xlfn.IFNA(IF(INDEX(ProblemData!$C$78:$AM$145,MATCH(J133+0.3,ProblemData!$C$78:$C$145,0),MATCH(C133,ProblemData!$C$78:$AM$78,0))="Debit",INDEX(ProblemData!$C$78:$AM$145,MATCH(J133+0.2,ProblemData!$C$78:$C$145,0),MATCH(C133,ProblemData!$C$78:$AM$78,0)),""),""),"")</f>
        <v/>
      </c>
      <c r="F133" s="66" t="str">
        <f>IFERROR(_xlfn.IFNA(IF(INDEX(ProblemData!$C$78:$AM$145,MATCH(J133+0.3,ProblemData!$C$78:$C$145,0),MATCH(C133,ProblemData!$C$78:$AM$78,0))="Credit",INDEX(ProblemData!$C$78:$AM$145,MATCH(J133+0.2,ProblemData!$C$78:$C$145,0),MATCH(C133,ProblemData!$C$78:$AM$78,0)),""),""),"")</f>
        <v/>
      </c>
      <c r="G133" s="324" t="str">
        <f>_xlfn.IFNA(IF(JournalAnswer[[#This Row],[Debit Account]]&lt;&gt;"",INDEX(ProblemData!$C$78:$AM$145,MATCH(J133+0.4,ProblemData!$C$78:$C$145,0),MATCH(C133,ProblemData!$C$78:$AM$78,0)),""),"")</f>
        <v/>
      </c>
      <c r="H133" s="325" t="str">
        <f>_xlfn.IFNA(IF(JournalAnswer[[#This Row],[Credit Account]]&lt;&gt;"",INDEX(ProblemData!$C$78:$AM$145,MATCH(J133+0.4,ProblemData!$C$78:$C$145,0),MATCH(C133,ProblemData!$C$78:$AM$78,0)),""),"")</f>
        <v/>
      </c>
      <c r="I133" s="353" t="str" cm="1">
        <f t="array" ref="I133">IF(JournalAnswer[[#This Row],[Debit Account]]="Cash",INDEX(ProblemData!$E$238:$AM$238,1,JournalAnswer[[#This Row],[Transaction '#]]),IF(JournalAnswer[[#This Row],[Credit Account]]="Cash",INDEX(ProblemData!$E$238:$AM$238,1,JournalAnswer[[#This Row],[Transaction '#]]),""))</f>
        <v/>
      </c>
      <c r="J133" s="85" t="str">
        <f>IF(JournalAnswer[[#This Row],[Transaction '#]]="","",IF(JournalAnswer[[#This Row],[Transaction '#]]=C132,J132+1,1))</f>
        <v/>
      </c>
      <c r="K133" s="37" cm="1">
        <f t="array" ref="K133">IFERROR(_xlfn.IFS(JournalAnswer[[#This Row],[Debit Account]]="Cash",JournalAnswer[[#This Row],[Dr Amt]],JournalAnswer[[#This Row],[Credit Account]]="Cash",-JournalAnswer[[#This Row],[Cr Amt]]),0)</f>
        <v>0</v>
      </c>
      <c r="L133" s="41" t="str" cm="1">
        <f t="array" ref="L133">IFERROR(INDEX(ProblemData!$E$239:$AM$239,1,JournalAnswer[[#This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322" t="str">
        <f t="shared" si="3"/>
        <v/>
      </c>
      <c r="D134" s="323" t="str">
        <f>IFERROR(_xlfn.IFNA(INDEX(ProblemData!$C$78:$AM$145,MATCH(J134+0.1,ProblemData!$C$78:$C$145,0),MATCH(C134,ProblemData!$C$78:$AM$78,0)),""),"")</f>
        <v/>
      </c>
      <c r="E134" s="66" t="str">
        <f>IFERROR(_xlfn.IFNA(IF(INDEX(ProblemData!$C$78:$AM$145,MATCH(J134+0.3,ProblemData!$C$78:$C$145,0),MATCH(C134,ProblemData!$C$78:$AM$78,0))="Debit",INDEX(ProblemData!$C$78:$AM$145,MATCH(J134+0.2,ProblemData!$C$78:$C$145,0),MATCH(C134,ProblemData!$C$78:$AM$78,0)),""),""),"")</f>
        <v/>
      </c>
      <c r="F134" s="66" t="str">
        <f>IFERROR(_xlfn.IFNA(IF(INDEX(ProblemData!$C$78:$AM$145,MATCH(J134+0.3,ProblemData!$C$78:$C$145,0),MATCH(C134,ProblemData!$C$78:$AM$78,0))="Credit",INDEX(ProblemData!$C$78:$AM$145,MATCH(J134+0.2,ProblemData!$C$78:$C$145,0),MATCH(C134,ProblemData!$C$78:$AM$78,0)),""),""),"")</f>
        <v/>
      </c>
      <c r="G134" s="324" t="str">
        <f>_xlfn.IFNA(IF(JournalAnswer[[#This Row],[Debit Account]]&lt;&gt;"",INDEX(ProblemData!$C$78:$AM$145,MATCH(J134+0.4,ProblemData!$C$78:$C$145,0),MATCH(C134,ProblemData!$C$78:$AM$78,0)),""),"")</f>
        <v/>
      </c>
      <c r="H134" s="325" t="str">
        <f>_xlfn.IFNA(IF(JournalAnswer[[#This Row],[Credit Account]]&lt;&gt;"",INDEX(ProblemData!$C$78:$AM$145,MATCH(J134+0.4,ProblemData!$C$78:$C$145,0),MATCH(C134,ProblemData!$C$78:$AM$78,0)),""),"")</f>
        <v/>
      </c>
      <c r="I134" s="353" t="str" cm="1">
        <f t="array" ref="I134">IF(JournalAnswer[[#This Row],[Debit Account]]="Cash",INDEX(ProblemData!$E$238:$AM$238,1,JournalAnswer[[#This Row],[Transaction '#]]),IF(JournalAnswer[[#This Row],[Credit Account]]="Cash",INDEX(ProblemData!$E$238:$AM$238,1,JournalAnswer[[#This Row],[Transaction '#]]),""))</f>
        <v/>
      </c>
      <c r="J134" s="85" t="str">
        <f>IF(JournalAnswer[[#This Row],[Transaction '#]]="","",IF(JournalAnswer[[#This Row],[Transaction '#]]=C133,J133+1,1))</f>
        <v/>
      </c>
      <c r="K134" s="37" cm="1">
        <f t="array" ref="K134">IFERROR(_xlfn.IFS(JournalAnswer[[#This Row],[Debit Account]]="Cash",JournalAnswer[[#This Row],[Dr Amt]],JournalAnswer[[#This Row],[Credit Account]]="Cash",-JournalAnswer[[#This Row],[Cr Amt]]),0)</f>
        <v>0</v>
      </c>
      <c r="L134" s="41" t="str" cm="1">
        <f t="array" ref="L134">IFERROR(INDEX(ProblemData!$E$239:$AM$239,1,JournalAnswer[[#This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322" t="str">
        <f t="shared" si="3"/>
        <v/>
      </c>
      <c r="D135" s="323" t="str">
        <f>IFERROR(_xlfn.IFNA(INDEX(ProblemData!$C$78:$AM$145,MATCH(J135+0.1,ProblemData!$C$78:$C$145,0),MATCH(C135,ProblemData!$C$78:$AM$78,0)),""),"")</f>
        <v/>
      </c>
      <c r="E135" s="66" t="str">
        <f>IFERROR(_xlfn.IFNA(IF(INDEX(ProblemData!$C$78:$AM$145,MATCH(J135+0.3,ProblemData!$C$78:$C$145,0),MATCH(C135,ProblemData!$C$78:$AM$78,0))="Debit",INDEX(ProblemData!$C$78:$AM$145,MATCH(J135+0.2,ProblemData!$C$78:$C$145,0),MATCH(C135,ProblemData!$C$78:$AM$78,0)),""),""),"")</f>
        <v/>
      </c>
      <c r="F135" s="66" t="str">
        <f>IFERROR(_xlfn.IFNA(IF(INDEX(ProblemData!$C$78:$AM$145,MATCH(J135+0.3,ProblemData!$C$78:$C$145,0),MATCH(C135,ProblemData!$C$78:$AM$78,0))="Credit",INDEX(ProblemData!$C$78:$AM$145,MATCH(J135+0.2,ProblemData!$C$78:$C$145,0),MATCH(C135,ProblemData!$C$78:$AM$78,0)),""),""),"")</f>
        <v/>
      </c>
      <c r="G135" s="324" t="str">
        <f>_xlfn.IFNA(IF(JournalAnswer[[#This Row],[Debit Account]]&lt;&gt;"",INDEX(ProblemData!$C$78:$AM$145,MATCH(J135+0.4,ProblemData!$C$78:$C$145,0),MATCH(C135,ProblemData!$C$78:$AM$78,0)),""),"")</f>
        <v/>
      </c>
      <c r="H135" s="325" t="str">
        <f>_xlfn.IFNA(IF(JournalAnswer[[#This Row],[Credit Account]]&lt;&gt;"",INDEX(ProblemData!$C$78:$AM$145,MATCH(J135+0.4,ProblemData!$C$78:$C$145,0),MATCH(C135,ProblemData!$C$78:$AM$78,0)),""),"")</f>
        <v/>
      </c>
      <c r="I135" s="353" t="str" cm="1">
        <f t="array" ref="I135">IF(JournalAnswer[[#This Row],[Debit Account]]="Cash",INDEX(ProblemData!$E$238:$AM$238,1,JournalAnswer[[#This Row],[Transaction '#]]),IF(JournalAnswer[[#This Row],[Credit Account]]="Cash",INDEX(ProblemData!$E$238:$AM$238,1,JournalAnswer[[#This Row],[Transaction '#]]),""))</f>
        <v/>
      </c>
      <c r="J135" s="85" t="str">
        <f>IF(JournalAnswer[[#This Row],[Transaction '#]]="","",IF(JournalAnswer[[#This Row],[Transaction '#]]=C134,J134+1,1))</f>
        <v/>
      </c>
      <c r="K135" s="37" cm="1">
        <f t="array" ref="K135">IFERROR(_xlfn.IFS(JournalAnswer[[#This Row],[Debit Account]]="Cash",JournalAnswer[[#This Row],[Dr Amt]],JournalAnswer[[#This Row],[Credit Account]]="Cash",-JournalAnswer[[#This Row],[Cr Amt]]),0)</f>
        <v>0</v>
      </c>
      <c r="L135" s="41" t="str" cm="1">
        <f t="array" ref="L135">IFERROR(INDEX(ProblemData!$E$239:$AM$239,1,JournalAnswer[[#This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322" t="str">
        <f t="shared" si="3"/>
        <v/>
      </c>
      <c r="D136" s="323" t="str">
        <f>IFERROR(_xlfn.IFNA(INDEX(ProblemData!$C$78:$AM$145,MATCH(J136+0.1,ProblemData!$C$78:$C$145,0),MATCH(C136,ProblemData!$C$78:$AM$78,0)),""),"")</f>
        <v/>
      </c>
      <c r="E136" s="66" t="str">
        <f>IFERROR(_xlfn.IFNA(IF(INDEX(ProblemData!$C$78:$AM$145,MATCH(J136+0.3,ProblemData!$C$78:$C$145,0),MATCH(C136,ProblemData!$C$78:$AM$78,0))="Debit",INDEX(ProblemData!$C$78:$AM$145,MATCH(J136+0.2,ProblemData!$C$78:$C$145,0),MATCH(C136,ProblemData!$C$78:$AM$78,0)),""),""),"")</f>
        <v/>
      </c>
      <c r="F136" s="66" t="str">
        <f>IFERROR(_xlfn.IFNA(IF(INDEX(ProblemData!$C$78:$AM$145,MATCH(J136+0.3,ProblemData!$C$78:$C$145,0),MATCH(C136,ProblemData!$C$78:$AM$78,0))="Credit",INDEX(ProblemData!$C$78:$AM$145,MATCH(J136+0.2,ProblemData!$C$78:$C$145,0),MATCH(C136,ProblemData!$C$78:$AM$78,0)),""),""),"")</f>
        <v/>
      </c>
      <c r="G136" s="324" t="str">
        <f>_xlfn.IFNA(IF(JournalAnswer[[#This Row],[Debit Account]]&lt;&gt;"",INDEX(ProblemData!$C$78:$AM$145,MATCH(J136+0.4,ProblemData!$C$78:$C$145,0),MATCH(C136,ProblemData!$C$78:$AM$78,0)),""),"")</f>
        <v/>
      </c>
      <c r="H136" s="325" t="str">
        <f>_xlfn.IFNA(IF(JournalAnswer[[#This Row],[Credit Account]]&lt;&gt;"",INDEX(ProblemData!$C$78:$AM$145,MATCH(J136+0.4,ProblemData!$C$78:$C$145,0),MATCH(C136,ProblemData!$C$78:$AM$78,0)),""),"")</f>
        <v/>
      </c>
      <c r="I136" s="353" t="str" cm="1">
        <f t="array" ref="I136">IF(JournalAnswer[[#This Row],[Debit Account]]="Cash",INDEX(ProblemData!$E$238:$AM$238,1,JournalAnswer[[#This Row],[Transaction '#]]),IF(JournalAnswer[[#This Row],[Credit Account]]="Cash",INDEX(ProblemData!$E$238:$AM$238,1,JournalAnswer[[#This Row],[Transaction '#]]),""))</f>
        <v/>
      </c>
      <c r="J136" s="85" t="str">
        <f>IF(JournalAnswer[[#This Row],[Transaction '#]]="","",IF(JournalAnswer[[#This Row],[Transaction '#]]=C135,J135+1,1))</f>
        <v/>
      </c>
      <c r="K136" s="37" cm="1">
        <f t="array" ref="K136">IFERROR(_xlfn.IFS(JournalAnswer[[#This Row],[Debit Account]]="Cash",JournalAnswer[[#This Row],[Dr Amt]],JournalAnswer[[#This Row],[Credit Account]]="Cash",-JournalAnswer[[#This Row],[Cr Amt]]),0)</f>
        <v>0</v>
      </c>
      <c r="L136" s="41" t="str" cm="1">
        <f t="array" ref="L136">IFERROR(INDEX(ProblemData!$E$239:$AM$239,1,JournalAnswer[[#This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322" t="str">
        <f t="shared" si="3"/>
        <v/>
      </c>
      <c r="D137" s="323" t="str">
        <f>IFERROR(_xlfn.IFNA(INDEX(ProblemData!$C$78:$AM$145,MATCH(J137+0.1,ProblemData!$C$78:$C$145,0),MATCH(C137,ProblemData!$C$78:$AM$78,0)),""),"")</f>
        <v/>
      </c>
      <c r="E137" s="66" t="str">
        <f>IFERROR(_xlfn.IFNA(IF(INDEX(ProblemData!$C$78:$AM$145,MATCH(J137+0.3,ProblemData!$C$78:$C$145,0),MATCH(C137,ProblemData!$C$78:$AM$78,0))="Debit",INDEX(ProblemData!$C$78:$AM$145,MATCH(J137+0.2,ProblemData!$C$78:$C$145,0),MATCH(C137,ProblemData!$C$78:$AM$78,0)),""),""),"")</f>
        <v/>
      </c>
      <c r="F137" s="66" t="str">
        <f>IFERROR(_xlfn.IFNA(IF(INDEX(ProblemData!$C$78:$AM$145,MATCH(J137+0.3,ProblemData!$C$78:$C$145,0),MATCH(C137,ProblemData!$C$78:$AM$78,0))="Credit",INDEX(ProblemData!$C$78:$AM$145,MATCH(J137+0.2,ProblemData!$C$78:$C$145,0),MATCH(C137,ProblemData!$C$78:$AM$78,0)),""),""),"")</f>
        <v/>
      </c>
      <c r="G137" s="324" t="str">
        <f>_xlfn.IFNA(IF(JournalAnswer[[#This Row],[Debit Account]]&lt;&gt;"",INDEX(ProblemData!$C$78:$AM$145,MATCH(J137+0.4,ProblemData!$C$78:$C$145,0),MATCH(C137,ProblemData!$C$78:$AM$78,0)),""),"")</f>
        <v/>
      </c>
      <c r="H137" s="325" t="str">
        <f>_xlfn.IFNA(IF(JournalAnswer[[#This Row],[Credit Account]]&lt;&gt;"",INDEX(ProblemData!$C$78:$AM$145,MATCH(J137+0.4,ProblemData!$C$78:$C$145,0),MATCH(C137,ProblemData!$C$78:$AM$78,0)),""),"")</f>
        <v/>
      </c>
      <c r="I137" s="353" t="str" cm="1">
        <f t="array" ref="I137">IF(JournalAnswer[[#This Row],[Debit Account]]="Cash",INDEX(ProblemData!$E$238:$AM$238,1,JournalAnswer[[#This Row],[Transaction '#]]),IF(JournalAnswer[[#This Row],[Credit Account]]="Cash",INDEX(ProblemData!$E$238:$AM$238,1,JournalAnswer[[#This Row],[Transaction '#]]),""))</f>
        <v/>
      </c>
      <c r="J137" s="85" t="str">
        <f>IF(JournalAnswer[[#This Row],[Transaction '#]]="","",IF(JournalAnswer[[#This Row],[Transaction '#]]=C136,J136+1,1))</f>
        <v/>
      </c>
      <c r="K137" s="37" cm="1">
        <f t="array" ref="K137">IFERROR(_xlfn.IFS(JournalAnswer[[#This Row],[Debit Account]]="Cash",JournalAnswer[[#This Row],[Dr Amt]],JournalAnswer[[#This Row],[Credit Account]]="Cash",-JournalAnswer[[#This Row],[Cr Amt]]),0)</f>
        <v>0</v>
      </c>
      <c r="L137" s="41" t="str" cm="1">
        <f t="array" ref="L137">IFERROR(INDEX(ProblemData!$E$239:$AM$239,1,JournalAnswer[[#This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322" t="str">
        <f t="shared" si="3"/>
        <v/>
      </c>
      <c r="D138" s="323" t="str">
        <f>IFERROR(_xlfn.IFNA(INDEX(ProblemData!$C$78:$AM$145,MATCH(J138+0.1,ProblemData!$C$78:$C$145,0),MATCH(C138,ProblemData!$C$78:$AM$78,0)),""),"")</f>
        <v/>
      </c>
      <c r="E138" s="66" t="str">
        <f>IFERROR(_xlfn.IFNA(IF(INDEX(ProblemData!$C$78:$AM$145,MATCH(J138+0.3,ProblemData!$C$78:$C$145,0),MATCH(C138,ProblemData!$C$78:$AM$78,0))="Debit",INDEX(ProblemData!$C$78:$AM$145,MATCH(J138+0.2,ProblemData!$C$78:$C$145,0),MATCH(C138,ProblemData!$C$78:$AM$78,0)),""),""),"")</f>
        <v/>
      </c>
      <c r="F138" s="66" t="str">
        <f>IFERROR(_xlfn.IFNA(IF(INDEX(ProblemData!$C$78:$AM$145,MATCH(J138+0.3,ProblemData!$C$78:$C$145,0),MATCH(C138,ProblemData!$C$78:$AM$78,0))="Credit",INDEX(ProblemData!$C$78:$AM$145,MATCH(J138+0.2,ProblemData!$C$78:$C$145,0),MATCH(C138,ProblemData!$C$78:$AM$78,0)),""),""),"")</f>
        <v/>
      </c>
      <c r="G138" s="324" t="str">
        <f>_xlfn.IFNA(IF(JournalAnswer[[#This Row],[Debit Account]]&lt;&gt;"",INDEX(ProblemData!$C$78:$AM$145,MATCH(J138+0.4,ProblemData!$C$78:$C$145,0),MATCH(C138,ProblemData!$C$78:$AM$78,0)),""),"")</f>
        <v/>
      </c>
      <c r="H138" s="325" t="str">
        <f>_xlfn.IFNA(IF(JournalAnswer[[#This Row],[Credit Account]]&lt;&gt;"",INDEX(ProblemData!$C$78:$AM$145,MATCH(J138+0.4,ProblemData!$C$78:$C$145,0),MATCH(C138,ProblemData!$C$78:$AM$78,0)),""),"")</f>
        <v/>
      </c>
      <c r="I138" s="353" t="str" cm="1">
        <f t="array" ref="I138">IF(JournalAnswer[[#This Row],[Debit Account]]="Cash",INDEX(ProblemData!$E$238:$AM$238,1,JournalAnswer[[#This Row],[Transaction '#]]),IF(JournalAnswer[[#This Row],[Credit Account]]="Cash",INDEX(ProblemData!$E$238:$AM$238,1,JournalAnswer[[#This Row],[Transaction '#]]),""))</f>
        <v/>
      </c>
      <c r="J138" s="85" t="str">
        <f>IF(JournalAnswer[[#This Row],[Transaction '#]]="","",IF(JournalAnswer[[#This Row],[Transaction '#]]=C137,J137+1,1))</f>
        <v/>
      </c>
      <c r="K138" s="37" cm="1">
        <f t="array" ref="K138">IFERROR(_xlfn.IFS(JournalAnswer[[#This Row],[Debit Account]]="Cash",JournalAnswer[[#This Row],[Dr Amt]],JournalAnswer[[#This Row],[Credit Account]]="Cash",-JournalAnswer[[#This Row],[Cr Amt]]),0)</f>
        <v>0</v>
      </c>
      <c r="L138" s="41" t="str" cm="1">
        <f t="array" ref="L138">IFERROR(INDEX(ProblemData!$E$239:$AM$239,1,JournalAnswer[[#This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322" t="str">
        <f t="shared" si="3"/>
        <v/>
      </c>
      <c r="D139" s="323" t="str">
        <f>IFERROR(_xlfn.IFNA(INDEX(ProblemData!$C$78:$AM$145,MATCH(J139+0.1,ProblemData!$C$78:$C$145,0),MATCH(C139,ProblemData!$C$78:$AM$78,0)),""),"")</f>
        <v/>
      </c>
      <c r="E139" s="66" t="str">
        <f>IFERROR(_xlfn.IFNA(IF(INDEX(ProblemData!$C$78:$AM$145,MATCH(J139+0.3,ProblemData!$C$78:$C$145,0),MATCH(C139,ProblemData!$C$78:$AM$78,0))="Debit",INDEX(ProblemData!$C$78:$AM$145,MATCH(J139+0.2,ProblemData!$C$78:$C$145,0),MATCH(C139,ProblemData!$C$78:$AM$78,0)),""),""),"")</f>
        <v/>
      </c>
      <c r="F139" s="66" t="str">
        <f>IFERROR(_xlfn.IFNA(IF(INDEX(ProblemData!$C$78:$AM$145,MATCH(J139+0.3,ProblemData!$C$78:$C$145,0),MATCH(C139,ProblemData!$C$78:$AM$78,0))="Credit",INDEX(ProblemData!$C$78:$AM$145,MATCH(J139+0.2,ProblemData!$C$78:$C$145,0),MATCH(C139,ProblemData!$C$78:$AM$78,0)),""),""),"")</f>
        <v/>
      </c>
      <c r="G139" s="324" t="str">
        <f>_xlfn.IFNA(IF(JournalAnswer[[#This Row],[Debit Account]]&lt;&gt;"",INDEX(ProblemData!$C$78:$AM$145,MATCH(J139+0.4,ProblemData!$C$78:$C$145,0),MATCH(C139,ProblemData!$C$78:$AM$78,0)),""),"")</f>
        <v/>
      </c>
      <c r="H139" s="325" t="str">
        <f>_xlfn.IFNA(IF(JournalAnswer[[#This Row],[Credit Account]]&lt;&gt;"",INDEX(ProblemData!$C$78:$AM$145,MATCH(J139+0.4,ProblemData!$C$78:$C$145,0),MATCH(C139,ProblemData!$C$78:$AM$78,0)),""),"")</f>
        <v/>
      </c>
      <c r="I139" s="353" t="str" cm="1">
        <f t="array" ref="I139">IF(JournalAnswer[[#This Row],[Debit Account]]="Cash",INDEX(ProblemData!$E$238:$AM$238,1,JournalAnswer[[#This Row],[Transaction '#]]),IF(JournalAnswer[[#This Row],[Credit Account]]="Cash",INDEX(ProblemData!$E$238:$AM$238,1,JournalAnswer[[#This Row],[Transaction '#]]),""))</f>
        <v/>
      </c>
      <c r="J139" s="85" t="str">
        <f>IF(JournalAnswer[[#This Row],[Transaction '#]]="","",IF(JournalAnswer[[#This Row],[Transaction '#]]=C138,J138+1,1))</f>
        <v/>
      </c>
      <c r="K139" s="37" cm="1">
        <f t="array" ref="K139">IFERROR(_xlfn.IFS(JournalAnswer[[#This Row],[Debit Account]]="Cash",JournalAnswer[[#This Row],[Dr Amt]],JournalAnswer[[#This Row],[Credit Account]]="Cash",-JournalAnswer[[#This Row],[Cr Amt]]),0)</f>
        <v>0</v>
      </c>
      <c r="L139" s="41" t="str" cm="1">
        <f t="array" ref="L139">IFERROR(INDEX(ProblemData!$E$239:$AM$239,1,JournalAnswer[[#This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322" t="str">
        <f t="shared" si="3"/>
        <v/>
      </c>
      <c r="D140" s="323" t="str">
        <f>IFERROR(_xlfn.IFNA(INDEX(ProblemData!$C$78:$AM$145,MATCH(J140+0.1,ProblemData!$C$78:$C$145,0),MATCH(C140,ProblemData!$C$78:$AM$78,0)),""),"")</f>
        <v/>
      </c>
      <c r="E140" s="66" t="str">
        <f>IFERROR(_xlfn.IFNA(IF(INDEX(ProblemData!$C$78:$AM$145,MATCH(J140+0.3,ProblemData!$C$78:$C$145,0),MATCH(C140,ProblemData!$C$78:$AM$78,0))="Debit",INDEX(ProblemData!$C$78:$AM$145,MATCH(J140+0.2,ProblemData!$C$78:$C$145,0),MATCH(C140,ProblemData!$C$78:$AM$78,0)),""),""),"")</f>
        <v/>
      </c>
      <c r="F140" s="66" t="str">
        <f>IFERROR(_xlfn.IFNA(IF(INDEX(ProblemData!$C$78:$AM$145,MATCH(J140+0.3,ProblemData!$C$78:$C$145,0),MATCH(C140,ProblemData!$C$78:$AM$78,0))="Credit",INDEX(ProblemData!$C$78:$AM$145,MATCH(J140+0.2,ProblemData!$C$78:$C$145,0),MATCH(C140,ProblemData!$C$78:$AM$78,0)),""),""),"")</f>
        <v/>
      </c>
      <c r="G140" s="324" t="str">
        <f>_xlfn.IFNA(IF(JournalAnswer[[#This Row],[Debit Account]]&lt;&gt;"",INDEX(ProblemData!$C$78:$AM$145,MATCH(J140+0.4,ProblemData!$C$78:$C$145,0),MATCH(C140,ProblemData!$C$78:$AM$78,0)),""),"")</f>
        <v/>
      </c>
      <c r="H140" s="325" t="str">
        <f>_xlfn.IFNA(IF(JournalAnswer[[#This Row],[Credit Account]]&lt;&gt;"",INDEX(ProblemData!$C$78:$AM$145,MATCH(J140+0.4,ProblemData!$C$78:$C$145,0),MATCH(C140,ProblemData!$C$78:$AM$78,0)),""),"")</f>
        <v/>
      </c>
      <c r="I140" s="353" t="str" cm="1">
        <f t="array" ref="I140">IF(JournalAnswer[[#This Row],[Debit Account]]="Cash",INDEX(ProblemData!$E$238:$AM$238,1,JournalAnswer[[#This Row],[Transaction '#]]),IF(JournalAnswer[[#This Row],[Credit Account]]="Cash",INDEX(ProblemData!$E$238:$AM$238,1,JournalAnswer[[#This Row],[Transaction '#]]),""))</f>
        <v/>
      </c>
      <c r="J140" s="85" t="str">
        <f>IF(JournalAnswer[[#This Row],[Transaction '#]]="","",IF(JournalAnswer[[#This Row],[Transaction '#]]=C139,J139+1,1))</f>
        <v/>
      </c>
      <c r="K140" s="37" cm="1">
        <f t="array" ref="K140">IFERROR(_xlfn.IFS(JournalAnswer[[#This Row],[Debit Account]]="Cash",JournalAnswer[[#This Row],[Dr Amt]],JournalAnswer[[#This Row],[Credit Account]]="Cash",-JournalAnswer[[#This Row],[Cr Amt]]),0)</f>
        <v>0</v>
      </c>
      <c r="L140" s="41" t="str" cm="1">
        <f t="array" ref="L140">IFERROR(INDEX(ProblemData!$E$239:$AM$239,1,JournalAnswer[[#This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322" t="str">
        <f t="shared" si="3"/>
        <v/>
      </c>
      <c r="D141" s="323" t="str">
        <f>IFERROR(_xlfn.IFNA(INDEX(ProblemData!$C$78:$AM$145,MATCH(J141+0.1,ProblemData!$C$78:$C$145,0),MATCH(C141,ProblemData!$C$78:$AM$78,0)),""),"")</f>
        <v/>
      </c>
      <c r="E141" s="66" t="str">
        <f>IFERROR(_xlfn.IFNA(IF(INDEX(ProblemData!$C$78:$AM$145,MATCH(J141+0.3,ProblemData!$C$78:$C$145,0),MATCH(C141,ProblemData!$C$78:$AM$78,0))="Debit",INDEX(ProblemData!$C$78:$AM$145,MATCH(J141+0.2,ProblemData!$C$78:$C$145,0),MATCH(C141,ProblemData!$C$78:$AM$78,0)),""),""),"")</f>
        <v/>
      </c>
      <c r="F141" s="66" t="str">
        <f>IFERROR(_xlfn.IFNA(IF(INDEX(ProblemData!$C$78:$AM$145,MATCH(J141+0.3,ProblemData!$C$78:$C$145,0),MATCH(C141,ProblemData!$C$78:$AM$78,0))="Credit",INDEX(ProblemData!$C$78:$AM$145,MATCH(J141+0.2,ProblemData!$C$78:$C$145,0),MATCH(C141,ProblemData!$C$78:$AM$78,0)),""),""),"")</f>
        <v/>
      </c>
      <c r="G141" s="324" t="str">
        <f>_xlfn.IFNA(IF(JournalAnswer[[#This Row],[Debit Account]]&lt;&gt;"",INDEX(ProblemData!$C$78:$AM$145,MATCH(J141+0.4,ProblemData!$C$78:$C$145,0),MATCH(C141,ProblemData!$C$78:$AM$78,0)),""),"")</f>
        <v/>
      </c>
      <c r="H141" s="325" t="str">
        <f>_xlfn.IFNA(IF(JournalAnswer[[#This Row],[Credit Account]]&lt;&gt;"",INDEX(ProblemData!$C$78:$AM$145,MATCH(J141+0.4,ProblemData!$C$78:$C$145,0),MATCH(C141,ProblemData!$C$78:$AM$78,0)),""),"")</f>
        <v/>
      </c>
      <c r="I141" s="353" t="str" cm="1">
        <f t="array" ref="I141">IF(JournalAnswer[[#This Row],[Debit Account]]="Cash",INDEX(ProblemData!$E$238:$AM$238,1,JournalAnswer[[#This Row],[Transaction '#]]),IF(JournalAnswer[[#This Row],[Credit Account]]="Cash",INDEX(ProblemData!$E$238:$AM$238,1,JournalAnswer[[#This Row],[Transaction '#]]),""))</f>
        <v/>
      </c>
      <c r="J141" s="85" t="str">
        <f>IF(JournalAnswer[[#This Row],[Transaction '#]]="","",IF(JournalAnswer[[#This Row],[Transaction '#]]=C140,J140+1,1))</f>
        <v/>
      </c>
      <c r="K141" s="37" cm="1">
        <f t="array" ref="K141">IFERROR(_xlfn.IFS(JournalAnswer[[#This Row],[Debit Account]]="Cash",JournalAnswer[[#This Row],[Dr Amt]],JournalAnswer[[#This Row],[Credit Account]]="Cash",-JournalAnswer[[#This Row],[Cr Amt]]),0)</f>
        <v>0</v>
      </c>
      <c r="L141" s="41" t="str" cm="1">
        <f t="array" ref="L141">IFERROR(INDEX(ProblemData!$E$239:$AM$239,1,JournalAnswer[[#This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322" t="str">
        <f t="shared" si="3"/>
        <v/>
      </c>
      <c r="D142" s="323" t="str">
        <f>IFERROR(_xlfn.IFNA(INDEX(ProblemData!$C$78:$AM$145,MATCH(J142+0.1,ProblemData!$C$78:$C$145,0),MATCH(C142,ProblemData!$C$78:$AM$78,0)),""),"")</f>
        <v/>
      </c>
      <c r="E142" s="66" t="str">
        <f>IFERROR(_xlfn.IFNA(IF(INDEX(ProblemData!$C$78:$AM$145,MATCH(J142+0.3,ProblemData!$C$78:$C$145,0),MATCH(C142,ProblemData!$C$78:$AM$78,0))="Debit",INDEX(ProblemData!$C$78:$AM$145,MATCH(J142+0.2,ProblemData!$C$78:$C$145,0),MATCH(C142,ProblemData!$C$78:$AM$78,0)),""),""),"")</f>
        <v/>
      </c>
      <c r="F142" s="66" t="str">
        <f>IFERROR(_xlfn.IFNA(IF(INDEX(ProblemData!$C$78:$AM$145,MATCH(J142+0.3,ProblemData!$C$78:$C$145,0),MATCH(C142,ProblemData!$C$78:$AM$78,0))="Credit",INDEX(ProblemData!$C$78:$AM$145,MATCH(J142+0.2,ProblemData!$C$78:$C$145,0),MATCH(C142,ProblemData!$C$78:$AM$78,0)),""),""),"")</f>
        <v/>
      </c>
      <c r="G142" s="324" t="str">
        <f>_xlfn.IFNA(IF(JournalAnswer[[#This Row],[Debit Account]]&lt;&gt;"",INDEX(ProblemData!$C$78:$AM$145,MATCH(J142+0.4,ProblemData!$C$78:$C$145,0),MATCH(C142,ProblemData!$C$78:$AM$78,0)),""),"")</f>
        <v/>
      </c>
      <c r="H142" s="325" t="str">
        <f>_xlfn.IFNA(IF(JournalAnswer[[#This Row],[Credit Account]]&lt;&gt;"",INDEX(ProblemData!$C$78:$AM$145,MATCH(J142+0.4,ProblemData!$C$78:$C$145,0),MATCH(C142,ProblemData!$C$78:$AM$78,0)),""),"")</f>
        <v/>
      </c>
      <c r="I142" s="353" t="str" cm="1">
        <f t="array" ref="I142">IF(JournalAnswer[[#This Row],[Debit Account]]="Cash",INDEX(ProblemData!$E$238:$AM$238,1,JournalAnswer[[#This Row],[Transaction '#]]),IF(JournalAnswer[[#This Row],[Credit Account]]="Cash",INDEX(ProblemData!$E$238:$AM$238,1,JournalAnswer[[#This Row],[Transaction '#]]),""))</f>
        <v/>
      </c>
      <c r="J142" s="85" t="str">
        <f>IF(JournalAnswer[[#This Row],[Transaction '#]]="","",IF(JournalAnswer[[#This Row],[Transaction '#]]=C141,J141+1,1))</f>
        <v/>
      </c>
      <c r="K142" s="37" cm="1">
        <f t="array" ref="K142">IFERROR(_xlfn.IFS(JournalAnswer[[#This Row],[Debit Account]]="Cash",JournalAnswer[[#This Row],[Dr Amt]],JournalAnswer[[#This Row],[Credit Account]]="Cash",-JournalAnswer[[#This Row],[Cr Amt]]),0)</f>
        <v>0</v>
      </c>
      <c r="L142" s="41" t="str" cm="1">
        <f t="array" ref="L142">IFERROR(INDEX(ProblemData!$E$239:$AM$239,1,JournalAnswer[[#This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322" t="str">
        <f t="shared" si="3"/>
        <v/>
      </c>
      <c r="D143" s="323" t="str">
        <f>IFERROR(_xlfn.IFNA(INDEX(ProblemData!$C$78:$AM$145,MATCH(J143+0.1,ProblemData!$C$78:$C$145,0),MATCH(C143,ProblemData!$C$78:$AM$78,0)),""),"")</f>
        <v/>
      </c>
      <c r="E143" s="66" t="str">
        <f>IFERROR(_xlfn.IFNA(IF(INDEX(ProblemData!$C$78:$AM$145,MATCH(J143+0.3,ProblemData!$C$78:$C$145,0),MATCH(C143,ProblemData!$C$78:$AM$78,0))="Debit",INDEX(ProblemData!$C$78:$AM$145,MATCH(J143+0.2,ProblemData!$C$78:$C$145,0),MATCH(C143,ProblemData!$C$78:$AM$78,0)),""),""),"")</f>
        <v/>
      </c>
      <c r="F143" s="66" t="str">
        <f>IFERROR(_xlfn.IFNA(IF(INDEX(ProblemData!$C$78:$AM$145,MATCH(J143+0.3,ProblemData!$C$78:$C$145,0),MATCH(C143,ProblemData!$C$78:$AM$78,0))="Credit",INDEX(ProblemData!$C$78:$AM$145,MATCH(J143+0.2,ProblemData!$C$78:$C$145,0),MATCH(C143,ProblemData!$C$78:$AM$78,0)),""),""),"")</f>
        <v/>
      </c>
      <c r="G143" s="324" t="str">
        <f>_xlfn.IFNA(IF(JournalAnswer[[#This Row],[Debit Account]]&lt;&gt;"",INDEX(ProblemData!$C$78:$AM$145,MATCH(J143+0.4,ProblemData!$C$78:$C$145,0),MATCH(C143,ProblemData!$C$78:$AM$78,0)),""),"")</f>
        <v/>
      </c>
      <c r="H143" s="325" t="str">
        <f>_xlfn.IFNA(IF(JournalAnswer[[#This Row],[Credit Account]]&lt;&gt;"",INDEX(ProblemData!$C$78:$AM$145,MATCH(J143+0.4,ProblemData!$C$78:$C$145,0),MATCH(C143,ProblemData!$C$78:$AM$78,0)),""),"")</f>
        <v/>
      </c>
      <c r="I143" s="353" t="str" cm="1">
        <f t="array" ref="I143">IF(JournalAnswer[[#This Row],[Debit Account]]="Cash",INDEX(ProblemData!$E$238:$AM$238,1,JournalAnswer[[#This Row],[Transaction '#]]),IF(JournalAnswer[[#This Row],[Credit Account]]="Cash",INDEX(ProblemData!$E$238:$AM$238,1,JournalAnswer[[#This Row],[Transaction '#]]),""))</f>
        <v/>
      </c>
      <c r="J143" s="85" t="str">
        <f>IF(JournalAnswer[[#This Row],[Transaction '#]]="","",IF(JournalAnswer[[#This Row],[Transaction '#]]=C142,J142+1,1))</f>
        <v/>
      </c>
      <c r="K143" s="37" cm="1">
        <f t="array" ref="K143">IFERROR(_xlfn.IFS(JournalAnswer[[#This Row],[Debit Account]]="Cash",JournalAnswer[[#This Row],[Dr Amt]],JournalAnswer[[#This Row],[Credit Account]]="Cash",-JournalAnswer[[#This Row],[Cr Amt]]),0)</f>
        <v>0</v>
      </c>
      <c r="L143" s="41" t="str" cm="1">
        <f t="array" ref="L143">IFERROR(INDEX(ProblemData!$E$239:$AM$239,1,JournalAnswer[[#This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322" t="str">
        <f t="shared" si="3"/>
        <v/>
      </c>
      <c r="D144" s="323" t="str">
        <f>IFERROR(_xlfn.IFNA(INDEX(ProblemData!$C$78:$AM$145,MATCH(J144+0.1,ProblemData!$C$78:$C$145,0),MATCH(C144,ProblemData!$C$78:$AM$78,0)),""),"")</f>
        <v/>
      </c>
      <c r="E144" s="66" t="str">
        <f>IFERROR(_xlfn.IFNA(IF(INDEX(ProblemData!$C$78:$AM$145,MATCH(J144+0.3,ProblemData!$C$78:$C$145,0),MATCH(C144,ProblemData!$C$78:$AM$78,0))="Debit",INDEX(ProblemData!$C$78:$AM$145,MATCH(J144+0.2,ProblemData!$C$78:$C$145,0),MATCH(C144,ProblemData!$C$78:$AM$78,0)),""),""),"")</f>
        <v/>
      </c>
      <c r="F144" s="66" t="str">
        <f>IFERROR(_xlfn.IFNA(IF(INDEX(ProblemData!$C$78:$AM$145,MATCH(J144+0.3,ProblemData!$C$78:$C$145,0),MATCH(C144,ProblemData!$C$78:$AM$78,0))="Credit",INDEX(ProblemData!$C$78:$AM$145,MATCH(J144+0.2,ProblemData!$C$78:$C$145,0),MATCH(C144,ProblemData!$C$78:$AM$78,0)),""),""),"")</f>
        <v/>
      </c>
      <c r="G144" s="324" t="str">
        <f>_xlfn.IFNA(IF(JournalAnswer[[#This Row],[Debit Account]]&lt;&gt;"",INDEX(ProblemData!$C$78:$AM$145,MATCH(J144+0.4,ProblemData!$C$78:$C$145,0),MATCH(C144,ProblemData!$C$78:$AM$78,0)),""),"")</f>
        <v/>
      </c>
      <c r="H144" s="325" t="str">
        <f>_xlfn.IFNA(IF(JournalAnswer[[#This Row],[Credit Account]]&lt;&gt;"",INDEX(ProblemData!$C$78:$AM$145,MATCH(J144+0.4,ProblemData!$C$78:$C$145,0),MATCH(C144,ProblemData!$C$78:$AM$78,0)),""),"")</f>
        <v/>
      </c>
      <c r="I144" s="353" t="str" cm="1">
        <f t="array" ref="I144">IF(JournalAnswer[[#This Row],[Debit Account]]="Cash",INDEX(ProblemData!$E$238:$AM$238,1,JournalAnswer[[#This Row],[Transaction '#]]),IF(JournalAnswer[[#This Row],[Credit Account]]="Cash",INDEX(ProblemData!$E$238:$AM$238,1,JournalAnswer[[#This Row],[Transaction '#]]),""))</f>
        <v/>
      </c>
      <c r="J144" s="85" t="str">
        <f>IF(JournalAnswer[[#This Row],[Transaction '#]]="","",IF(JournalAnswer[[#This Row],[Transaction '#]]=C143,J143+1,1))</f>
        <v/>
      </c>
      <c r="K144" s="37" cm="1">
        <f t="array" ref="K144">IFERROR(_xlfn.IFS(JournalAnswer[[#This Row],[Debit Account]]="Cash",JournalAnswer[[#This Row],[Dr Amt]],JournalAnswer[[#This Row],[Credit Account]]="Cash",-JournalAnswer[[#This Row],[Cr Amt]]),0)</f>
        <v>0</v>
      </c>
      <c r="L144" s="41" t="str" cm="1">
        <f t="array" ref="L144">IFERROR(INDEX(ProblemData!$E$239:$AM$239,1,JournalAnswer[[#This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322" t="str">
        <f t="shared" si="3"/>
        <v/>
      </c>
      <c r="D145" s="323" t="str">
        <f>IFERROR(_xlfn.IFNA(INDEX(ProblemData!$C$78:$AM$145,MATCH(J145+0.1,ProblemData!$C$78:$C$145,0),MATCH(C145,ProblemData!$C$78:$AM$78,0)),""),"")</f>
        <v/>
      </c>
      <c r="E145" s="66" t="str">
        <f>IFERROR(_xlfn.IFNA(IF(INDEX(ProblemData!$C$78:$AM$145,MATCH(J145+0.3,ProblemData!$C$78:$C$145,0),MATCH(C145,ProblemData!$C$78:$AM$78,0))="Debit",INDEX(ProblemData!$C$78:$AM$145,MATCH(J145+0.2,ProblemData!$C$78:$C$145,0),MATCH(C145,ProblemData!$C$78:$AM$78,0)),""),""),"")</f>
        <v/>
      </c>
      <c r="F145" s="66" t="str">
        <f>IFERROR(_xlfn.IFNA(IF(INDEX(ProblemData!$C$78:$AM$145,MATCH(J145+0.3,ProblemData!$C$78:$C$145,0),MATCH(C145,ProblemData!$C$78:$AM$78,0))="Credit",INDEX(ProblemData!$C$78:$AM$145,MATCH(J145+0.2,ProblemData!$C$78:$C$145,0),MATCH(C145,ProblemData!$C$78:$AM$78,0)),""),""),"")</f>
        <v/>
      </c>
      <c r="G145" s="324" t="str">
        <f>_xlfn.IFNA(IF(JournalAnswer[[#This Row],[Debit Account]]&lt;&gt;"",INDEX(ProblemData!$C$78:$AM$145,MATCH(J145+0.4,ProblemData!$C$78:$C$145,0),MATCH(C145,ProblemData!$C$78:$AM$78,0)),""),"")</f>
        <v/>
      </c>
      <c r="H145" s="325" t="str">
        <f>_xlfn.IFNA(IF(JournalAnswer[[#This Row],[Credit Account]]&lt;&gt;"",INDEX(ProblemData!$C$78:$AM$145,MATCH(J145+0.4,ProblemData!$C$78:$C$145,0),MATCH(C145,ProblemData!$C$78:$AM$78,0)),""),"")</f>
        <v/>
      </c>
      <c r="I145" s="353" t="str" cm="1">
        <f t="array" ref="I145">IF(JournalAnswer[[#This Row],[Debit Account]]="Cash",INDEX(ProblemData!$E$238:$AM$238,1,JournalAnswer[[#This Row],[Transaction '#]]),IF(JournalAnswer[[#This Row],[Credit Account]]="Cash",INDEX(ProblemData!$E$238:$AM$238,1,JournalAnswer[[#This Row],[Transaction '#]]),""))</f>
        <v/>
      </c>
      <c r="J145" s="85" t="str">
        <f>IF(JournalAnswer[[#This Row],[Transaction '#]]="","",IF(JournalAnswer[[#This Row],[Transaction '#]]=C144,J144+1,1))</f>
        <v/>
      </c>
      <c r="K145" s="37" cm="1">
        <f t="array" ref="K145">IFERROR(_xlfn.IFS(JournalAnswer[[#This Row],[Debit Account]]="Cash",JournalAnswer[[#This Row],[Dr Amt]],JournalAnswer[[#This Row],[Credit Account]]="Cash",-JournalAnswer[[#This Row],[Cr Amt]]),0)</f>
        <v>0</v>
      </c>
      <c r="L145" s="41" t="str" cm="1">
        <f t="array" ref="L145">IFERROR(INDEX(ProblemData!$E$239:$AM$239,1,JournalAnswer[[#This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322" t="str">
        <f t="shared" si="3"/>
        <v/>
      </c>
      <c r="D146" s="323" t="str">
        <f>IFERROR(_xlfn.IFNA(INDEX(ProblemData!$C$78:$AM$145,MATCH(J146+0.1,ProblemData!$C$78:$C$145,0),MATCH(C146,ProblemData!$C$78:$AM$78,0)),""),"")</f>
        <v/>
      </c>
      <c r="E146" s="66" t="str">
        <f>IFERROR(_xlfn.IFNA(IF(INDEX(ProblemData!$C$78:$AM$145,MATCH(J146+0.3,ProblemData!$C$78:$C$145,0),MATCH(C146,ProblemData!$C$78:$AM$78,0))="Debit",INDEX(ProblemData!$C$78:$AM$145,MATCH(J146+0.2,ProblemData!$C$78:$C$145,0),MATCH(C146,ProblemData!$C$78:$AM$78,0)),""),""),"")</f>
        <v/>
      </c>
      <c r="F146" s="66" t="str">
        <f>IFERROR(_xlfn.IFNA(IF(INDEX(ProblemData!$C$78:$AM$145,MATCH(J146+0.3,ProblemData!$C$78:$C$145,0),MATCH(C146,ProblemData!$C$78:$AM$78,0))="Credit",INDEX(ProblemData!$C$78:$AM$145,MATCH(J146+0.2,ProblemData!$C$78:$C$145,0),MATCH(C146,ProblemData!$C$78:$AM$78,0)),""),""),"")</f>
        <v/>
      </c>
      <c r="G146" s="324" t="str">
        <f>_xlfn.IFNA(IF(JournalAnswer[[#This Row],[Debit Account]]&lt;&gt;"",INDEX(ProblemData!$C$78:$AM$145,MATCH(J146+0.4,ProblemData!$C$78:$C$145,0),MATCH(C146,ProblemData!$C$78:$AM$78,0)),""),"")</f>
        <v/>
      </c>
      <c r="H146" s="325" t="str">
        <f>_xlfn.IFNA(IF(JournalAnswer[[#This Row],[Credit Account]]&lt;&gt;"",INDEX(ProblemData!$C$78:$AM$145,MATCH(J146+0.4,ProblemData!$C$78:$C$145,0),MATCH(C146,ProblemData!$C$78:$AM$78,0)),""),"")</f>
        <v/>
      </c>
      <c r="I146" s="353" t="str" cm="1">
        <f t="array" ref="I146">IF(JournalAnswer[[#This Row],[Debit Account]]="Cash",INDEX(ProblemData!$E$238:$AM$238,1,JournalAnswer[[#This Row],[Transaction '#]]),IF(JournalAnswer[[#This Row],[Credit Account]]="Cash",INDEX(ProblemData!$E$238:$AM$238,1,JournalAnswer[[#This Row],[Transaction '#]]),""))</f>
        <v/>
      </c>
      <c r="J146" s="85" t="str">
        <f>IF(JournalAnswer[[#This Row],[Transaction '#]]="","",IF(JournalAnswer[[#This Row],[Transaction '#]]=C145,J145+1,1))</f>
        <v/>
      </c>
      <c r="K146" s="37" cm="1">
        <f t="array" ref="K146">IFERROR(_xlfn.IFS(JournalAnswer[[#This Row],[Debit Account]]="Cash",JournalAnswer[[#This Row],[Dr Amt]],JournalAnswer[[#This Row],[Credit Account]]="Cash",-JournalAnswer[[#This Row],[Cr Amt]]),0)</f>
        <v>0</v>
      </c>
      <c r="L146" s="41" t="str" cm="1">
        <f t="array" ref="L146">IFERROR(INDEX(ProblemData!$E$239:$AM$239,1,JournalAnswer[[#This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322" t="str">
        <f t="shared" si="3"/>
        <v/>
      </c>
      <c r="D147" s="323" t="str">
        <f>IFERROR(_xlfn.IFNA(INDEX(ProblemData!$C$78:$AM$145,MATCH(J147+0.1,ProblemData!$C$78:$C$145,0),MATCH(C147,ProblemData!$C$78:$AM$78,0)),""),"")</f>
        <v/>
      </c>
      <c r="E147" s="66" t="str">
        <f>IFERROR(_xlfn.IFNA(IF(INDEX(ProblemData!$C$78:$AM$145,MATCH(J147+0.3,ProblemData!$C$78:$C$145,0),MATCH(C147,ProblemData!$C$78:$AM$78,0))="Debit",INDEX(ProblemData!$C$78:$AM$145,MATCH(J147+0.2,ProblemData!$C$78:$C$145,0),MATCH(C147,ProblemData!$C$78:$AM$78,0)),""),""),"")</f>
        <v/>
      </c>
      <c r="F147" s="66" t="str">
        <f>IFERROR(_xlfn.IFNA(IF(INDEX(ProblemData!$C$78:$AM$145,MATCH(J147+0.3,ProblemData!$C$78:$C$145,0),MATCH(C147,ProblemData!$C$78:$AM$78,0))="Credit",INDEX(ProblemData!$C$78:$AM$145,MATCH(J147+0.2,ProblemData!$C$78:$C$145,0),MATCH(C147,ProblemData!$C$78:$AM$78,0)),""),""),"")</f>
        <v/>
      </c>
      <c r="G147" s="324" t="str">
        <f>_xlfn.IFNA(IF(JournalAnswer[[#This Row],[Debit Account]]&lt;&gt;"",INDEX(ProblemData!$C$78:$AM$145,MATCH(J147+0.4,ProblemData!$C$78:$C$145,0),MATCH(C147,ProblemData!$C$78:$AM$78,0)),""),"")</f>
        <v/>
      </c>
      <c r="H147" s="325" t="str">
        <f>_xlfn.IFNA(IF(JournalAnswer[[#This Row],[Credit Account]]&lt;&gt;"",INDEX(ProblemData!$C$78:$AM$145,MATCH(J147+0.4,ProblemData!$C$78:$C$145,0),MATCH(C147,ProblemData!$C$78:$AM$78,0)),""),"")</f>
        <v/>
      </c>
      <c r="I147" s="353" t="str" cm="1">
        <f t="array" ref="I147">IF(JournalAnswer[[#This Row],[Debit Account]]="Cash",INDEX(ProblemData!$E$238:$AM$238,1,JournalAnswer[[#This Row],[Transaction '#]]),IF(JournalAnswer[[#This Row],[Credit Account]]="Cash",INDEX(ProblemData!$E$238:$AM$238,1,JournalAnswer[[#This Row],[Transaction '#]]),""))</f>
        <v/>
      </c>
      <c r="J147" s="85" t="str">
        <f>IF(JournalAnswer[[#This Row],[Transaction '#]]="","",IF(JournalAnswer[[#This Row],[Transaction '#]]=C146,J146+1,1))</f>
        <v/>
      </c>
      <c r="K147" s="37" cm="1">
        <f t="array" ref="K147">IFERROR(_xlfn.IFS(JournalAnswer[[#This Row],[Debit Account]]="Cash",JournalAnswer[[#This Row],[Dr Amt]],JournalAnswer[[#This Row],[Credit Account]]="Cash",-JournalAnswer[[#This Row],[Cr Amt]]),0)</f>
        <v>0</v>
      </c>
      <c r="L147" s="41" t="str" cm="1">
        <f t="array" ref="L147">IFERROR(INDEX(ProblemData!$E$239:$AM$239,1,JournalAnswer[[#This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322" t="str">
        <f t="shared" si="3"/>
        <v/>
      </c>
      <c r="D148" s="323" t="str">
        <f>IFERROR(_xlfn.IFNA(INDEX(ProblemData!$C$78:$AM$145,MATCH(J148+0.1,ProblemData!$C$78:$C$145,0),MATCH(C148,ProblemData!$C$78:$AM$78,0)),""),"")</f>
        <v/>
      </c>
      <c r="E148" s="66" t="str">
        <f>IFERROR(_xlfn.IFNA(IF(INDEX(ProblemData!$C$78:$AM$145,MATCH(J148+0.3,ProblemData!$C$78:$C$145,0),MATCH(C148,ProblemData!$C$78:$AM$78,0))="Debit",INDEX(ProblemData!$C$78:$AM$145,MATCH(J148+0.2,ProblemData!$C$78:$C$145,0),MATCH(C148,ProblemData!$C$78:$AM$78,0)),""),""),"")</f>
        <v/>
      </c>
      <c r="F148" s="66" t="str">
        <f>IFERROR(_xlfn.IFNA(IF(INDEX(ProblemData!$C$78:$AM$145,MATCH(J148+0.3,ProblemData!$C$78:$C$145,0),MATCH(C148,ProblemData!$C$78:$AM$78,0))="Credit",INDEX(ProblemData!$C$78:$AM$145,MATCH(J148+0.2,ProblemData!$C$78:$C$145,0),MATCH(C148,ProblemData!$C$78:$AM$78,0)),""),""),"")</f>
        <v/>
      </c>
      <c r="G148" s="324" t="str">
        <f>_xlfn.IFNA(IF(JournalAnswer[[#This Row],[Debit Account]]&lt;&gt;"",INDEX(ProblemData!$C$78:$AM$145,MATCH(J148+0.4,ProblemData!$C$78:$C$145,0),MATCH(C148,ProblemData!$C$78:$AM$78,0)),""),"")</f>
        <v/>
      </c>
      <c r="H148" s="325" t="str">
        <f>_xlfn.IFNA(IF(JournalAnswer[[#This Row],[Credit Account]]&lt;&gt;"",INDEX(ProblemData!$C$78:$AM$145,MATCH(J148+0.4,ProblemData!$C$78:$C$145,0),MATCH(C148,ProblemData!$C$78:$AM$78,0)),""),"")</f>
        <v/>
      </c>
      <c r="I148" s="353" t="str" cm="1">
        <f t="array" ref="I148">IF(JournalAnswer[[#This Row],[Debit Account]]="Cash",INDEX(ProblemData!$E$238:$AM$238,1,JournalAnswer[[#This Row],[Transaction '#]]),IF(JournalAnswer[[#This Row],[Credit Account]]="Cash",INDEX(ProblemData!$E$238:$AM$238,1,JournalAnswer[[#This Row],[Transaction '#]]),""))</f>
        <v/>
      </c>
      <c r="J148" s="85" t="str">
        <f>IF(JournalAnswer[[#This Row],[Transaction '#]]="","",IF(JournalAnswer[[#This Row],[Transaction '#]]=C147,J147+1,1))</f>
        <v/>
      </c>
      <c r="K148" s="37" cm="1">
        <f t="array" ref="K148">IFERROR(_xlfn.IFS(JournalAnswer[[#This Row],[Debit Account]]="Cash",JournalAnswer[[#This Row],[Dr Amt]],JournalAnswer[[#This Row],[Credit Account]]="Cash",-JournalAnswer[[#This Row],[Cr Amt]]),0)</f>
        <v>0</v>
      </c>
      <c r="L148" s="41" t="str" cm="1">
        <f t="array" ref="L148">IFERROR(INDEX(ProblemData!$E$239:$AM$239,1,JournalAnswer[[#This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322" t="str">
        <f t="shared" ref="C149:C197" si="4">IF(B149="","",B149)</f>
        <v/>
      </c>
      <c r="D149" s="323" t="str">
        <f>IFERROR(_xlfn.IFNA(INDEX(ProblemData!$C$78:$AM$145,MATCH(J149+0.1,ProblemData!$C$78:$C$145,0),MATCH(C149,ProblemData!$C$78:$AM$78,0)),""),"")</f>
        <v/>
      </c>
      <c r="E149" s="66" t="str">
        <f>IFERROR(_xlfn.IFNA(IF(INDEX(ProblemData!$C$78:$AM$145,MATCH(J149+0.3,ProblemData!$C$78:$C$145,0),MATCH(C149,ProblemData!$C$78:$AM$78,0))="Debit",INDEX(ProblemData!$C$78:$AM$145,MATCH(J149+0.2,ProblemData!$C$78:$C$145,0),MATCH(C149,ProblemData!$C$78:$AM$78,0)),""),""),"")</f>
        <v/>
      </c>
      <c r="F149" s="66" t="str">
        <f>IFERROR(_xlfn.IFNA(IF(INDEX(ProblemData!$C$78:$AM$145,MATCH(J149+0.3,ProblemData!$C$78:$C$145,0),MATCH(C149,ProblemData!$C$78:$AM$78,0))="Credit",INDEX(ProblemData!$C$78:$AM$145,MATCH(J149+0.2,ProblemData!$C$78:$C$145,0),MATCH(C149,ProblemData!$C$78:$AM$78,0)),""),""),"")</f>
        <v/>
      </c>
      <c r="G149" s="324" t="str">
        <f>_xlfn.IFNA(IF(JournalAnswer[[#This Row],[Debit Account]]&lt;&gt;"",INDEX(ProblemData!$C$78:$AM$145,MATCH(J149+0.4,ProblemData!$C$78:$C$145,0),MATCH(C149,ProblemData!$C$78:$AM$78,0)),""),"")</f>
        <v/>
      </c>
      <c r="H149" s="325" t="str">
        <f>_xlfn.IFNA(IF(JournalAnswer[[#This Row],[Credit Account]]&lt;&gt;"",INDEX(ProblemData!$C$78:$AM$145,MATCH(J149+0.4,ProblemData!$C$78:$C$145,0),MATCH(C149,ProblemData!$C$78:$AM$78,0)),""),"")</f>
        <v/>
      </c>
      <c r="I149" s="353" t="str" cm="1">
        <f t="array" ref="I149">IF(JournalAnswer[[#This Row],[Debit Account]]="Cash",INDEX(ProblemData!$E$238:$AM$238,1,JournalAnswer[[#This Row],[Transaction '#]]),IF(JournalAnswer[[#This Row],[Credit Account]]="Cash",INDEX(ProblemData!$E$238:$AM$238,1,JournalAnswer[[#This Row],[Transaction '#]]),""))</f>
        <v/>
      </c>
      <c r="J149" s="85" t="str">
        <f>IF(JournalAnswer[[#This Row],[Transaction '#]]="","",IF(JournalAnswer[[#This Row],[Transaction '#]]=C148,J148+1,1))</f>
        <v/>
      </c>
      <c r="K149" s="37" cm="1">
        <f t="array" ref="K149">IFERROR(_xlfn.IFS(JournalAnswer[[#This Row],[Debit Account]]="Cash",JournalAnswer[[#This Row],[Dr Amt]],JournalAnswer[[#This Row],[Credit Account]]="Cash",-JournalAnswer[[#This Row],[Cr Amt]]),0)</f>
        <v>0</v>
      </c>
      <c r="L149" s="41" t="str" cm="1">
        <f t="array" ref="L149">IFERROR(INDEX(ProblemData!$E$239:$AM$239,1,JournalAnswer[[#This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322" t="str">
        <f t="shared" si="4"/>
        <v/>
      </c>
      <c r="D150" s="323" t="str">
        <f>IFERROR(_xlfn.IFNA(INDEX(ProblemData!$C$78:$AM$145,MATCH(J150+0.1,ProblemData!$C$78:$C$145,0),MATCH(C150,ProblemData!$C$78:$AM$78,0)),""),"")</f>
        <v/>
      </c>
      <c r="E150" s="66" t="str">
        <f>IFERROR(_xlfn.IFNA(IF(INDEX(ProblemData!$C$78:$AM$145,MATCH(J150+0.3,ProblemData!$C$78:$C$145,0),MATCH(C150,ProblemData!$C$78:$AM$78,0))="Debit",INDEX(ProblemData!$C$78:$AM$145,MATCH(J150+0.2,ProblemData!$C$78:$C$145,0),MATCH(C150,ProblemData!$C$78:$AM$78,0)),""),""),"")</f>
        <v/>
      </c>
      <c r="F150" s="66" t="str">
        <f>IFERROR(_xlfn.IFNA(IF(INDEX(ProblemData!$C$78:$AM$145,MATCH(J150+0.3,ProblemData!$C$78:$C$145,0),MATCH(C150,ProblemData!$C$78:$AM$78,0))="Credit",INDEX(ProblemData!$C$78:$AM$145,MATCH(J150+0.2,ProblemData!$C$78:$C$145,0),MATCH(C150,ProblemData!$C$78:$AM$78,0)),""),""),"")</f>
        <v/>
      </c>
      <c r="G150" s="324" t="str">
        <f>_xlfn.IFNA(IF(JournalAnswer[[#This Row],[Debit Account]]&lt;&gt;"",INDEX(ProblemData!$C$78:$AM$145,MATCH(J150+0.4,ProblemData!$C$78:$C$145,0),MATCH(C150,ProblemData!$C$78:$AM$78,0)),""),"")</f>
        <v/>
      </c>
      <c r="H150" s="325" t="str">
        <f>_xlfn.IFNA(IF(JournalAnswer[[#This Row],[Credit Account]]&lt;&gt;"",INDEX(ProblemData!$C$78:$AM$145,MATCH(J150+0.4,ProblemData!$C$78:$C$145,0),MATCH(C150,ProblemData!$C$78:$AM$78,0)),""),"")</f>
        <v/>
      </c>
      <c r="I150" s="353" t="str" cm="1">
        <f t="array" ref="I150">IF(JournalAnswer[[#This Row],[Debit Account]]="Cash",INDEX(ProblemData!$E$238:$AM$238,1,JournalAnswer[[#This Row],[Transaction '#]]),IF(JournalAnswer[[#This Row],[Credit Account]]="Cash",INDEX(ProblemData!$E$238:$AM$238,1,JournalAnswer[[#This Row],[Transaction '#]]),""))</f>
        <v/>
      </c>
      <c r="J150" s="85" t="str">
        <f>IF(JournalAnswer[[#This Row],[Transaction '#]]="","",IF(JournalAnswer[[#This Row],[Transaction '#]]=C149,J149+1,1))</f>
        <v/>
      </c>
      <c r="K150" s="37" cm="1">
        <f t="array" ref="K150">IFERROR(_xlfn.IFS(JournalAnswer[[#This Row],[Debit Account]]="Cash",JournalAnswer[[#This Row],[Dr Amt]],JournalAnswer[[#This Row],[Credit Account]]="Cash",-JournalAnswer[[#This Row],[Cr Amt]]),0)</f>
        <v>0</v>
      </c>
      <c r="L150" s="41" t="str" cm="1">
        <f t="array" ref="L150">IFERROR(INDEX(ProblemData!$E$239:$AM$239,1,JournalAnswer[[#This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322" t="str">
        <f t="shared" si="4"/>
        <v/>
      </c>
      <c r="D151" s="323" t="str">
        <f>IFERROR(_xlfn.IFNA(INDEX(ProblemData!$C$78:$AM$145,MATCH(J151+0.1,ProblemData!$C$78:$C$145,0),MATCH(C151,ProblemData!$C$78:$AM$78,0)),""),"")</f>
        <v/>
      </c>
      <c r="E151" s="66" t="str">
        <f>IFERROR(_xlfn.IFNA(IF(INDEX(ProblemData!$C$78:$AM$145,MATCH(J151+0.3,ProblemData!$C$78:$C$145,0),MATCH(C151,ProblemData!$C$78:$AM$78,0))="Debit",INDEX(ProblemData!$C$78:$AM$145,MATCH(J151+0.2,ProblemData!$C$78:$C$145,0),MATCH(C151,ProblemData!$C$78:$AM$78,0)),""),""),"")</f>
        <v/>
      </c>
      <c r="F151" s="66" t="str">
        <f>IFERROR(_xlfn.IFNA(IF(INDEX(ProblemData!$C$78:$AM$145,MATCH(J151+0.3,ProblemData!$C$78:$C$145,0),MATCH(C151,ProblemData!$C$78:$AM$78,0))="Credit",INDEX(ProblemData!$C$78:$AM$145,MATCH(J151+0.2,ProblemData!$C$78:$C$145,0),MATCH(C151,ProblemData!$C$78:$AM$78,0)),""),""),"")</f>
        <v/>
      </c>
      <c r="G151" s="324" t="str">
        <f>_xlfn.IFNA(IF(JournalAnswer[[#This Row],[Debit Account]]&lt;&gt;"",INDEX(ProblemData!$C$78:$AM$145,MATCH(J151+0.4,ProblemData!$C$78:$C$145,0),MATCH(C151,ProblemData!$C$78:$AM$78,0)),""),"")</f>
        <v/>
      </c>
      <c r="H151" s="325" t="str">
        <f>_xlfn.IFNA(IF(JournalAnswer[[#This Row],[Credit Account]]&lt;&gt;"",INDEX(ProblemData!$C$78:$AM$145,MATCH(J151+0.4,ProblemData!$C$78:$C$145,0),MATCH(C151,ProblemData!$C$78:$AM$78,0)),""),"")</f>
        <v/>
      </c>
      <c r="I151" s="353" t="str" cm="1">
        <f t="array" ref="I151">IF(JournalAnswer[[#This Row],[Debit Account]]="Cash",INDEX(ProblemData!$E$238:$AM$238,1,JournalAnswer[[#This Row],[Transaction '#]]),IF(JournalAnswer[[#This Row],[Credit Account]]="Cash",INDEX(ProblemData!$E$238:$AM$238,1,JournalAnswer[[#This Row],[Transaction '#]]),""))</f>
        <v/>
      </c>
      <c r="J151" s="85" t="str">
        <f>IF(JournalAnswer[[#This Row],[Transaction '#]]="","",IF(JournalAnswer[[#This Row],[Transaction '#]]=C150,J150+1,1))</f>
        <v/>
      </c>
      <c r="K151" s="37" cm="1">
        <f t="array" ref="K151">IFERROR(_xlfn.IFS(JournalAnswer[[#This Row],[Debit Account]]="Cash",JournalAnswer[[#This Row],[Dr Amt]],JournalAnswer[[#This Row],[Credit Account]]="Cash",-JournalAnswer[[#This Row],[Cr Amt]]),0)</f>
        <v>0</v>
      </c>
      <c r="L151" s="41" t="str" cm="1">
        <f t="array" ref="L151">IFERROR(INDEX(ProblemData!$E$239:$AM$239,1,JournalAnswer[[#This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322" t="str">
        <f t="shared" si="4"/>
        <v/>
      </c>
      <c r="D152" s="323" t="str">
        <f>IFERROR(_xlfn.IFNA(INDEX(ProblemData!$C$78:$AM$145,MATCH(J152+0.1,ProblemData!$C$78:$C$145,0),MATCH(C152,ProblemData!$C$78:$AM$78,0)),""),"")</f>
        <v/>
      </c>
      <c r="E152" s="66" t="str">
        <f>IFERROR(_xlfn.IFNA(IF(INDEX(ProblemData!$C$78:$AM$145,MATCH(J152+0.3,ProblemData!$C$78:$C$145,0),MATCH(C152,ProblemData!$C$78:$AM$78,0))="Debit",INDEX(ProblemData!$C$78:$AM$145,MATCH(J152+0.2,ProblemData!$C$78:$C$145,0),MATCH(C152,ProblemData!$C$78:$AM$78,0)),""),""),"")</f>
        <v/>
      </c>
      <c r="F152" s="66" t="str">
        <f>IFERROR(_xlfn.IFNA(IF(INDEX(ProblemData!$C$78:$AM$145,MATCH(J152+0.3,ProblemData!$C$78:$C$145,0),MATCH(C152,ProblemData!$C$78:$AM$78,0))="Credit",INDEX(ProblemData!$C$78:$AM$145,MATCH(J152+0.2,ProblemData!$C$78:$C$145,0),MATCH(C152,ProblemData!$C$78:$AM$78,0)),""),""),"")</f>
        <v/>
      </c>
      <c r="G152" s="324" t="str">
        <f>_xlfn.IFNA(IF(JournalAnswer[[#This Row],[Debit Account]]&lt;&gt;"",INDEX(ProblemData!$C$78:$AM$145,MATCH(J152+0.4,ProblemData!$C$78:$C$145,0),MATCH(C152,ProblemData!$C$78:$AM$78,0)),""),"")</f>
        <v/>
      </c>
      <c r="H152" s="325" t="str">
        <f>_xlfn.IFNA(IF(JournalAnswer[[#This Row],[Credit Account]]&lt;&gt;"",INDEX(ProblemData!$C$78:$AM$145,MATCH(J152+0.4,ProblemData!$C$78:$C$145,0),MATCH(C152,ProblemData!$C$78:$AM$78,0)),""),"")</f>
        <v/>
      </c>
      <c r="I152" s="353" t="str" cm="1">
        <f t="array" ref="I152">IF(JournalAnswer[[#This Row],[Debit Account]]="Cash",INDEX(ProblemData!$E$238:$AM$238,1,JournalAnswer[[#This Row],[Transaction '#]]),IF(JournalAnswer[[#This Row],[Credit Account]]="Cash",INDEX(ProblemData!$E$238:$AM$238,1,JournalAnswer[[#This Row],[Transaction '#]]),""))</f>
        <v/>
      </c>
      <c r="J152" s="85" t="str">
        <f>IF(JournalAnswer[[#This Row],[Transaction '#]]="","",IF(JournalAnswer[[#This Row],[Transaction '#]]=C151,J151+1,1))</f>
        <v/>
      </c>
      <c r="K152" s="37" cm="1">
        <f t="array" ref="K152">IFERROR(_xlfn.IFS(JournalAnswer[[#This Row],[Debit Account]]="Cash",JournalAnswer[[#This Row],[Dr Amt]],JournalAnswer[[#This Row],[Credit Account]]="Cash",-JournalAnswer[[#This Row],[Cr Amt]]),0)</f>
        <v>0</v>
      </c>
      <c r="L152" s="41" t="str" cm="1">
        <f t="array" ref="L152">IFERROR(INDEX(ProblemData!$E$239:$AM$239,1,JournalAnswer[[#This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322" t="str">
        <f t="shared" si="4"/>
        <v/>
      </c>
      <c r="D153" s="323" t="str">
        <f>IFERROR(_xlfn.IFNA(INDEX(ProblemData!$C$78:$AM$145,MATCH(J153+0.1,ProblemData!$C$78:$C$145,0),MATCH(C153,ProblemData!$C$78:$AM$78,0)),""),"")</f>
        <v/>
      </c>
      <c r="E153" s="66" t="str">
        <f>IFERROR(_xlfn.IFNA(IF(INDEX(ProblemData!$C$78:$AM$145,MATCH(J153+0.3,ProblemData!$C$78:$C$145,0),MATCH(C153,ProblemData!$C$78:$AM$78,0))="Debit",INDEX(ProblemData!$C$78:$AM$145,MATCH(J153+0.2,ProblemData!$C$78:$C$145,0),MATCH(C153,ProblemData!$C$78:$AM$78,0)),""),""),"")</f>
        <v/>
      </c>
      <c r="F153" s="66" t="str">
        <f>IFERROR(_xlfn.IFNA(IF(INDEX(ProblemData!$C$78:$AM$145,MATCH(J153+0.3,ProblemData!$C$78:$C$145,0),MATCH(C153,ProblemData!$C$78:$AM$78,0))="Credit",INDEX(ProblemData!$C$78:$AM$145,MATCH(J153+0.2,ProblemData!$C$78:$C$145,0),MATCH(C153,ProblemData!$C$78:$AM$78,0)),""),""),"")</f>
        <v/>
      </c>
      <c r="G153" s="324" t="str">
        <f>_xlfn.IFNA(IF(JournalAnswer[[#This Row],[Debit Account]]&lt;&gt;"",INDEX(ProblemData!$C$78:$AM$145,MATCH(J153+0.4,ProblemData!$C$78:$C$145,0),MATCH(C153,ProblemData!$C$78:$AM$78,0)),""),"")</f>
        <v/>
      </c>
      <c r="H153" s="325" t="str">
        <f>_xlfn.IFNA(IF(JournalAnswer[[#This Row],[Credit Account]]&lt;&gt;"",INDEX(ProblemData!$C$78:$AM$145,MATCH(J153+0.4,ProblemData!$C$78:$C$145,0),MATCH(C153,ProblemData!$C$78:$AM$78,0)),""),"")</f>
        <v/>
      </c>
      <c r="I153" s="353" t="str" cm="1">
        <f t="array" ref="I153">IF(JournalAnswer[[#This Row],[Debit Account]]="Cash",INDEX(ProblemData!$E$238:$AM$238,1,JournalAnswer[[#This Row],[Transaction '#]]),IF(JournalAnswer[[#This Row],[Credit Account]]="Cash",INDEX(ProblemData!$E$238:$AM$238,1,JournalAnswer[[#This Row],[Transaction '#]]),""))</f>
        <v/>
      </c>
      <c r="J153" s="85" t="str">
        <f>IF(JournalAnswer[[#This Row],[Transaction '#]]="","",IF(JournalAnswer[[#This Row],[Transaction '#]]=C152,J152+1,1))</f>
        <v/>
      </c>
      <c r="K153" s="37" cm="1">
        <f t="array" ref="K153">IFERROR(_xlfn.IFS(JournalAnswer[[#This Row],[Debit Account]]="Cash",JournalAnswer[[#This Row],[Dr Amt]],JournalAnswer[[#This Row],[Credit Account]]="Cash",-JournalAnswer[[#This Row],[Cr Amt]]),0)</f>
        <v>0</v>
      </c>
      <c r="L153" s="41" t="str" cm="1">
        <f t="array" ref="L153">IFERROR(INDEX(ProblemData!$E$239:$AM$239,1,JournalAnswer[[#This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322" t="str">
        <f t="shared" si="4"/>
        <v/>
      </c>
      <c r="D154" s="323" t="str">
        <f>IFERROR(_xlfn.IFNA(INDEX(ProblemData!$C$78:$AM$145,MATCH(J154+0.1,ProblemData!$C$78:$C$145,0),MATCH(C154,ProblemData!$C$78:$AM$78,0)),""),"")</f>
        <v/>
      </c>
      <c r="E154" s="66" t="str">
        <f>IFERROR(_xlfn.IFNA(IF(INDEX(ProblemData!$C$78:$AM$145,MATCH(J154+0.3,ProblemData!$C$78:$C$145,0),MATCH(C154,ProblemData!$C$78:$AM$78,0))="Debit",INDEX(ProblemData!$C$78:$AM$145,MATCH(J154+0.2,ProblemData!$C$78:$C$145,0),MATCH(C154,ProblemData!$C$78:$AM$78,0)),""),""),"")</f>
        <v/>
      </c>
      <c r="F154" s="66" t="str">
        <f>IFERROR(_xlfn.IFNA(IF(INDEX(ProblemData!$C$78:$AM$145,MATCH(J154+0.3,ProblemData!$C$78:$C$145,0),MATCH(C154,ProblemData!$C$78:$AM$78,0))="Credit",INDEX(ProblemData!$C$78:$AM$145,MATCH(J154+0.2,ProblemData!$C$78:$C$145,0),MATCH(C154,ProblemData!$C$78:$AM$78,0)),""),""),"")</f>
        <v/>
      </c>
      <c r="G154" s="324" t="str">
        <f>_xlfn.IFNA(IF(JournalAnswer[[#This Row],[Debit Account]]&lt;&gt;"",INDEX(ProblemData!$C$78:$AM$145,MATCH(J154+0.4,ProblemData!$C$78:$C$145,0),MATCH(C154,ProblemData!$C$78:$AM$78,0)),""),"")</f>
        <v/>
      </c>
      <c r="H154" s="325" t="str">
        <f>_xlfn.IFNA(IF(JournalAnswer[[#This Row],[Credit Account]]&lt;&gt;"",INDEX(ProblemData!$C$78:$AM$145,MATCH(J154+0.4,ProblemData!$C$78:$C$145,0),MATCH(C154,ProblemData!$C$78:$AM$78,0)),""),"")</f>
        <v/>
      </c>
      <c r="I154" s="353" t="str" cm="1">
        <f t="array" ref="I154">IF(JournalAnswer[[#This Row],[Debit Account]]="Cash",INDEX(ProblemData!$E$238:$AM$238,1,JournalAnswer[[#This Row],[Transaction '#]]),IF(JournalAnswer[[#This Row],[Credit Account]]="Cash",INDEX(ProblemData!$E$238:$AM$238,1,JournalAnswer[[#This Row],[Transaction '#]]),""))</f>
        <v/>
      </c>
      <c r="J154" s="85" t="str">
        <f>IF(JournalAnswer[[#This Row],[Transaction '#]]="","",IF(JournalAnswer[[#This Row],[Transaction '#]]=C153,J153+1,1))</f>
        <v/>
      </c>
      <c r="K154" s="37" cm="1">
        <f t="array" ref="K154">IFERROR(_xlfn.IFS(JournalAnswer[[#This Row],[Debit Account]]="Cash",JournalAnswer[[#This Row],[Dr Amt]],JournalAnswer[[#This Row],[Credit Account]]="Cash",-JournalAnswer[[#This Row],[Cr Amt]]),0)</f>
        <v>0</v>
      </c>
      <c r="L154" s="41" t="str" cm="1">
        <f t="array" ref="L154">IFERROR(INDEX(ProblemData!$E$239:$AM$239,1,JournalAnswer[[#This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322" t="str">
        <f t="shared" si="4"/>
        <v/>
      </c>
      <c r="D155" s="323" t="str">
        <f>IFERROR(_xlfn.IFNA(INDEX(ProblemData!$C$78:$AM$145,MATCH(J155+0.1,ProblemData!$C$78:$C$145,0),MATCH(C155,ProblemData!$C$78:$AM$78,0)),""),"")</f>
        <v/>
      </c>
      <c r="E155" s="66" t="str">
        <f>IFERROR(_xlfn.IFNA(IF(INDEX(ProblemData!$C$78:$AM$145,MATCH(J155+0.3,ProblemData!$C$78:$C$145,0),MATCH(C155,ProblemData!$C$78:$AM$78,0))="Debit",INDEX(ProblemData!$C$78:$AM$145,MATCH(J155+0.2,ProblemData!$C$78:$C$145,0),MATCH(C155,ProblemData!$C$78:$AM$78,0)),""),""),"")</f>
        <v/>
      </c>
      <c r="F155" s="66" t="str">
        <f>IFERROR(_xlfn.IFNA(IF(INDEX(ProblemData!$C$78:$AM$145,MATCH(J155+0.3,ProblemData!$C$78:$C$145,0),MATCH(C155,ProblemData!$C$78:$AM$78,0))="Credit",INDEX(ProblemData!$C$78:$AM$145,MATCH(J155+0.2,ProblemData!$C$78:$C$145,0),MATCH(C155,ProblemData!$C$78:$AM$78,0)),""),""),"")</f>
        <v/>
      </c>
      <c r="G155" s="324" t="str">
        <f>_xlfn.IFNA(IF(JournalAnswer[[#This Row],[Debit Account]]&lt;&gt;"",INDEX(ProblemData!$C$78:$AM$145,MATCH(J155+0.4,ProblemData!$C$78:$C$145,0),MATCH(C155,ProblemData!$C$78:$AM$78,0)),""),"")</f>
        <v/>
      </c>
      <c r="H155" s="325" t="str">
        <f>_xlfn.IFNA(IF(JournalAnswer[[#This Row],[Credit Account]]&lt;&gt;"",INDEX(ProblemData!$C$78:$AM$145,MATCH(J155+0.4,ProblemData!$C$78:$C$145,0),MATCH(C155,ProblemData!$C$78:$AM$78,0)),""),"")</f>
        <v/>
      </c>
      <c r="I155" s="353" t="str" cm="1">
        <f t="array" ref="I155">IF(JournalAnswer[[#This Row],[Debit Account]]="Cash",INDEX(ProblemData!$E$238:$AM$238,1,JournalAnswer[[#This Row],[Transaction '#]]),IF(JournalAnswer[[#This Row],[Credit Account]]="Cash",INDEX(ProblemData!$E$238:$AM$238,1,JournalAnswer[[#This Row],[Transaction '#]]),""))</f>
        <v/>
      </c>
      <c r="J155" s="85" t="str">
        <f>IF(JournalAnswer[[#This Row],[Transaction '#]]="","",IF(JournalAnswer[[#This Row],[Transaction '#]]=C154,J154+1,1))</f>
        <v/>
      </c>
      <c r="K155" s="37" cm="1">
        <f t="array" ref="K155">IFERROR(_xlfn.IFS(JournalAnswer[[#This Row],[Debit Account]]="Cash",JournalAnswer[[#This Row],[Dr Amt]],JournalAnswer[[#This Row],[Credit Account]]="Cash",-JournalAnswer[[#This Row],[Cr Amt]]),0)</f>
        <v>0</v>
      </c>
      <c r="L155" s="41" t="str" cm="1">
        <f t="array" ref="L155">IFERROR(INDEX(ProblemData!$E$239:$AM$239,1,JournalAnswer[[#This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322" t="str">
        <f t="shared" si="4"/>
        <v/>
      </c>
      <c r="D156" s="323" t="str">
        <f>IFERROR(_xlfn.IFNA(INDEX(ProblemData!$C$78:$AM$145,MATCH(J156+0.1,ProblemData!$C$78:$C$145,0),MATCH(C156,ProblemData!$C$78:$AM$78,0)),""),"")</f>
        <v/>
      </c>
      <c r="E156" s="66" t="str">
        <f>IFERROR(_xlfn.IFNA(IF(INDEX(ProblemData!$C$78:$AM$145,MATCH(J156+0.3,ProblemData!$C$78:$C$145,0),MATCH(C156,ProblemData!$C$78:$AM$78,0))="Debit",INDEX(ProblemData!$C$78:$AM$145,MATCH(J156+0.2,ProblemData!$C$78:$C$145,0),MATCH(C156,ProblemData!$C$78:$AM$78,0)),""),""),"")</f>
        <v/>
      </c>
      <c r="F156" s="66" t="str">
        <f>IFERROR(_xlfn.IFNA(IF(INDEX(ProblemData!$C$78:$AM$145,MATCH(J156+0.3,ProblemData!$C$78:$C$145,0),MATCH(C156,ProblemData!$C$78:$AM$78,0))="Credit",INDEX(ProblemData!$C$78:$AM$145,MATCH(J156+0.2,ProblemData!$C$78:$C$145,0),MATCH(C156,ProblemData!$C$78:$AM$78,0)),""),""),"")</f>
        <v/>
      </c>
      <c r="G156" s="324" t="str">
        <f>_xlfn.IFNA(IF(JournalAnswer[[#This Row],[Debit Account]]&lt;&gt;"",INDEX(ProblemData!$C$78:$AM$145,MATCH(J156+0.4,ProblemData!$C$78:$C$145,0),MATCH(C156,ProblemData!$C$78:$AM$78,0)),""),"")</f>
        <v/>
      </c>
      <c r="H156" s="325" t="str">
        <f>_xlfn.IFNA(IF(JournalAnswer[[#This Row],[Credit Account]]&lt;&gt;"",INDEX(ProblemData!$C$78:$AM$145,MATCH(J156+0.4,ProblemData!$C$78:$C$145,0),MATCH(C156,ProblemData!$C$78:$AM$78,0)),""),"")</f>
        <v/>
      </c>
      <c r="I156" s="353" t="str" cm="1">
        <f t="array" ref="I156">IF(JournalAnswer[[#This Row],[Debit Account]]="Cash",INDEX(ProblemData!$E$238:$AM$238,1,JournalAnswer[[#This Row],[Transaction '#]]),IF(JournalAnswer[[#This Row],[Credit Account]]="Cash",INDEX(ProblemData!$E$238:$AM$238,1,JournalAnswer[[#This Row],[Transaction '#]]),""))</f>
        <v/>
      </c>
      <c r="J156" s="85" t="str">
        <f>IF(JournalAnswer[[#This Row],[Transaction '#]]="","",IF(JournalAnswer[[#This Row],[Transaction '#]]=C155,J155+1,1))</f>
        <v/>
      </c>
      <c r="K156" s="37" cm="1">
        <f t="array" ref="K156">IFERROR(_xlfn.IFS(JournalAnswer[[#This Row],[Debit Account]]="Cash",JournalAnswer[[#This Row],[Dr Amt]],JournalAnswer[[#This Row],[Credit Account]]="Cash",-JournalAnswer[[#This Row],[Cr Amt]]),0)</f>
        <v>0</v>
      </c>
      <c r="L156" s="41" t="str" cm="1">
        <f t="array" ref="L156">IFERROR(INDEX(ProblemData!$E$239:$AM$239,1,JournalAnswer[[#This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322" t="str">
        <f t="shared" si="4"/>
        <v/>
      </c>
      <c r="D157" s="323" t="str">
        <f>IFERROR(_xlfn.IFNA(INDEX(ProblemData!$C$78:$AM$145,MATCH(J157+0.1,ProblemData!$C$78:$C$145,0),MATCH(C157,ProblemData!$C$78:$AM$78,0)),""),"")</f>
        <v/>
      </c>
      <c r="E157" s="66" t="str">
        <f>IFERROR(_xlfn.IFNA(IF(INDEX(ProblemData!$C$78:$AM$145,MATCH(J157+0.3,ProblemData!$C$78:$C$145,0),MATCH(C157,ProblemData!$C$78:$AM$78,0))="Debit",INDEX(ProblemData!$C$78:$AM$145,MATCH(J157+0.2,ProblemData!$C$78:$C$145,0),MATCH(C157,ProblemData!$C$78:$AM$78,0)),""),""),"")</f>
        <v/>
      </c>
      <c r="F157" s="66" t="str">
        <f>IFERROR(_xlfn.IFNA(IF(INDEX(ProblemData!$C$78:$AM$145,MATCH(J157+0.3,ProblemData!$C$78:$C$145,0),MATCH(C157,ProblemData!$C$78:$AM$78,0))="Credit",INDEX(ProblemData!$C$78:$AM$145,MATCH(J157+0.2,ProblemData!$C$78:$C$145,0),MATCH(C157,ProblemData!$C$78:$AM$78,0)),""),""),"")</f>
        <v/>
      </c>
      <c r="G157" s="324" t="str">
        <f>_xlfn.IFNA(IF(JournalAnswer[[#This Row],[Debit Account]]&lt;&gt;"",INDEX(ProblemData!$C$78:$AM$145,MATCH(J157+0.4,ProblemData!$C$78:$C$145,0),MATCH(C157,ProblemData!$C$78:$AM$78,0)),""),"")</f>
        <v/>
      </c>
      <c r="H157" s="325" t="str">
        <f>_xlfn.IFNA(IF(JournalAnswer[[#This Row],[Credit Account]]&lt;&gt;"",INDEX(ProblemData!$C$78:$AM$145,MATCH(J157+0.4,ProblemData!$C$78:$C$145,0),MATCH(C157,ProblemData!$C$78:$AM$78,0)),""),"")</f>
        <v/>
      </c>
      <c r="I157" s="353" t="str" cm="1">
        <f t="array" ref="I157">IF(JournalAnswer[[#This Row],[Debit Account]]="Cash",INDEX(ProblemData!$E$238:$AM$238,1,JournalAnswer[[#This Row],[Transaction '#]]),IF(JournalAnswer[[#This Row],[Credit Account]]="Cash",INDEX(ProblemData!$E$238:$AM$238,1,JournalAnswer[[#This Row],[Transaction '#]]),""))</f>
        <v/>
      </c>
      <c r="J157" s="85" t="str">
        <f>IF(JournalAnswer[[#This Row],[Transaction '#]]="","",IF(JournalAnswer[[#This Row],[Transaction '#]]=C156,J156+1,1))</f>
        <v/>
      </c>
      <c r="K157" s="37" cm="1">
        <f t="array" ref="K157">IFERROR(_xlfn.IFS(JournalAnswer[[#This Row],[Debit Account]]="Cash",JournalAnswer[[#This Row],[Dr Amt]],JournalAnswer[[#This Row],[Credit Account]]="Cash",-JournalAnswer[[#This Row],[Cr Amt]]),0)</f>
        <v>0</v>
      </c>
      <c r="L157" s="41" t="str" cm="1">
        <f t="array" ref="L157">IFERROR(INDEX(ProblemData!$E$239:$AM$239,1,JournalAnswer[[#This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322" t="str">
        <f t="shared" si="4"/>
        <v/>
      </c>
      <c r="D158" s="323" t="str">
        <f>IFERROR(_xlfn.IFNA(INDEX(ProblemData!$C$78:$AM$145,MATCH(J158+0.1,ProblemData!$C$78:$C$145,0),MATCH(C158,ProblemData!$C$78:$AM$78,0)),""),"")</f>
        <v/>
      </c>
      <c r="E158" s="66" t="str">
        <f>IFERROR(_xlfn.IFNA(IF(INDEX(ProblemData!$C$78:$AM$145,MATCH(J158+0.3,ProblemData!$C$78:$C$145,0),MATCH(C158,ProblemData!$C$78:$AM$78,0))="Debit",INDEX(ProblemData!$C$78:$AM$145,MATCH(J158+0.2,ProblemData!$C$78:$C$145,0),MATCH(C158,ProblemData!$C$78:$AM$78,0)),""),""),"")</f>
        <v/>
      </c>
      <c r="F158" s="66" t="str">
        <f>IFERROR(_xlfn.IFNA(IF(INDEX(ProblemData!$C$78:$AM$145,MATCH(J158+0.3,ProblemData!$C$78:$C$145,0),MATCH(C158,ProblemData!$C$78:$AM$78,0))="Credit",INDEX(ProblemData!$C$78:$AM$145,MATCH(J158+0.2,ProblemData!$C$78:$C$145,0),MATCH(C158,ProblemData!$C$78:$AM$78,0)),""),""),"")</f>
        <v/>
      </c>
      <c r="G158" s="324" t="str">
        <f>_xlfn.IFNA(IF(JournalAnswer[[#This Row],[Debit Account]]&lt;&gt;"",INDEX(ProblemData!$C$78:$AM$145,MATCH(J158+0.4,ProblemData!$C$78:$C$145,0),MATCH(C158,ProblemData!$C$78:$AM$78,0)),""),"")</f>
        <v/>
      </c>
      <c r="H158" s="325" t="str">
        <f>_xlfn.IFNA(IF(JournalAnswer[[#This Row],[Credit Account]]&lt;&gt;"",INDEX(ProblemData!$C$78:$AM$145,MATCH(J158+0.4,ProblemData!$C$78:$C$145,0),MATCH(C158,ProblemData!$C$78:$AM$78,0)),""),"")</f>
        <v/>
      </c>
      <c r="I158" s="353" t="str" cm="1">
        <f t="array" ref="I158">IF(JournalAnswer[[#This Row],[Debit Account]]="Cash",INDEX(ProblemData!$E$238:$AM$238,1,JournalAnswer[[#This Row],[Transaction '#]]),IF(JournalAnswer[[#This Row],[Credit Account]]="Cash",INDEX(ProblemData!$E$238:$AM$238,1,JournalAnswer[[#This Row],[Transaction '#]]),""))</f>
        <v/>
      </c>
      <c r="J158" s="85" t="str">
        <f>IF(JournalAnswer[[#This Row],[Transaction '#]]="","",IF(JournalAnswer[[#This Row],[Transaction '#]]=C157,J157+1,1))</f>
        <v/>
      </c>
      <c r="K158" s="37" cm="1">
        <f t="array" ref="K158">IFERROR(_xlfn.IFS(JournalAnswer[[#This Row],[Debit Account]]="Cash",JournalAnswer[[#This Row],[Dr Amt]],JournalAnswer[[#This Row],[Credit Account]]="Cash",-JournalAnswer[[#This Row],[Cr Amt]]),0)</f>
        <v>0</v>
      </c>
      <c r="L158" s="41" t="str" cm="1">
        <f t="array" ref="L158">IFERROR(INDEX(ProblemData!$E$239:$AM$239,1,JournalAnswer[[#This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322" t="str">
        <f t="shared" si="4"/>
        <v/>
      </c>
      <c r="D159" s="323" t="str">
        <f>IFERROR(_xlfn.IFNA(INDEX(ProblemData!$C$78:$AM$145,MATCH(J159+0.1,ProblemData!$C$78:$C$145,0),MATCH(C159,ProblemData!$C$78:$AM$78,0)),""),"")</f>
        <v/>
      </c>
      <c r="E159" s="66" t="str">
        <f>IFERROR(_xlfn.IFNA(IF(INDEX(ProblemData!$C$78:$AM$145,MATCH(J159+0.3,ProblemData!$C$78:$C$145,0),MATCH(C159,ProblemData!$C$78:$AM$78,0))="Debit",INDEX(ProblemData!$C$78:$AM$145,MATCH(J159+0.2,ProblemData!$C$78:$C$145,0),MATCH(C159,ProblemData!$C$78:$AM$78,0)),""),""),"")</f>
        <v/>
      </c>
      <c r="F159" s="66" t="str">
        <f>IFERROR(_xlfn.IFNA(IF(INDEX(ProblemData!$C$78:$AM$145,MATCH(J159+0.3,ProblemData!$C$78:$C$145,0),MATCH(C159,ProblemData!$C$78:$AM$78,0))="Credit",INDEX(ProblemData!$C$78:$AM$145,MATCH(J159+0.2,ProblemData!$C$78:$C$145,0),MATCH(C159,ProblemData!$C$78:$AM$78,0)),""),""),"")</f>
        <v/>
      </c>
      <c r="G159" s="324" t="str">
        <f>_xlfn.IFNA(IF(JournalAnswer[[#This Row],[Debit Account]]&lt;&gt;"",INDEX(ProblemData!$C$78:$AM$145,MATCH(J159+0.4,ProblemData!$C$78:$C$145,0),MATCH(C159,ProblemData!$C$78:$AM$78,0)),""),"")</f>
        <v/>
      </c>
      <c r="H159" s="325" t="str">
        <f>_xlfn.IFNA(IF(JournalAnswer[[#This Row],[Credit Account]]&lt;&gt;"",INDEX(ProblemData!$C$78:$AM$145,MATCH(J159+0.4,ProblemData!$C$78:$C$145,0),MATCH(C159,ProblemData!$C$78:$AM$78,0)),""),"")</f>
        <v/>
      </c>
      <c r="I159" s="353" t="str" cm="1">
        <f t="array" ref="I159">IF(JournalAnswer[[#This Row],[Debit Account]]="Cash",INDEX(ProblemData!$E$238:$AM$238,1,JournalAnswer[[#This Row],[Transaction '#]]),IF(JournalAnswer[[#This Row],[Credit Account]]="Cash",INDEX(ProblemData!$E$238:$AM$238,1,JournalAnswer[[#This Row],[Transaction '#]]),""))</f>
        <v/>
      </c>
      <c r="J159" s="85" t="str">
        <f>IF(JournalAnswer[[#This Row],[Transaction '#]]="","",IF(JournalAnswer[[#This Row],[Transaction '#]]=C158,J158+1,1))</f>
        <v/>
      </c>
      <c r="K159" s="37" cm="1">
        <f t="array" ref="K159">IFERROR(_xlfn.IFS(JournalAnswer[[#This Row],[Debit Account]]="Cash",JournalAnswer[[#This Row],[Dr Amt]],JournalAnswer[[#This Row],[Credit Account]]="Cash",-JournalAnswer[[#This Row],[Cr Amt]]),0)</f>
        <v>0</v>
      </c>
      <c r="L159" s="41" t="str" cm="1">
        <f t="array" ref="L159">IFERROR(INDEX(ProblemData!$E$239:$AM$239,1,JournalAnswer[[#This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322" t="str">
        <f t="shared" si="4"/>
        <v/>
      </c>
      <c r="D160" s="323" t="str">
        <f>IFERROR(_xlfn.IFNA(INDEX(ProblemData!$C$78:$AM$145,MATCH(J160+0.1,ProblemData!$C$78:$C$145,0),MATCH(C160,ProblemData!$C$78:$AM$78,0)),""),"")</f>
        <v/>
      </c>
      <c r="E160" s="66" t="str">
        <f>IFERROR(_xlfn.IFNA(IF(INDEX(ProblemData!$C$78:$AM$145,MATCH(J160+0.3,ProblemData!$C$78:$C$145,0),MATCH(C160,ProblemData!$C$78:$AM$78,0))="Debit",INDEX(ProblemData!$C$78:$AM$145,MATCH(J160+0.2,ProblemData!$C$78:$C$145,0),MATCH(C160,ProblemData!$C$78:$AM$78,0)),""),""),"")</f>
        <v/>
      </c>
      <c r="F160" s="66" t="str">
        <f>IFERROR(_xlfn.IFNA(IF(INDEX(ProblemData!$C$78:$AM$145,MATCH(J160+0.3,ProblemData!$C$78:$C$145,0),MATCH(C160,ProblemData!$C$78:$AM$78,0))="Credit",INDEX(ProblemData!$C$78:$AM$145,MATCH(J160+0.2,ProblemData!$C$78:$C$145,0),MATCH(C160,ProblemData!$C$78:$AM$78,0)),""),""),"")</f>
        <v/>
      </c>
      <c r="G160" s="324" t="str">
        <f>_xlfn.IFNA(IF(JournalAnswer[[#This Row],[Debit Account]]&lt;&gt;"",INDEX(ProblemData!$C$78:$AM$145,MATCH(J160+0.4,ProblemData!$C$78:$C$145,0),MATCH(C160,ProblemData!$C$78:$AM$78,0)),""),"")</f>
        <v/>
      </c>
      <c r="H160" s="325" t="str">
        <f>_xlfn.IFNA(IF(JournalAnswer[[#This Row],[Credit Account]]&lt;&gt;"",INDEX(ProblemData!$C$78:$AM$145,MATCH(J160+0.4,ProblemData!$C$78:$C$145,0),MATCH(C160,ProblemData!$C$78:$AM$78,0)),""),"")</f>
        <v/>
      </c>
      <c r="I160" s="353" t="str" cm="1">
        <f t="array" ref="I160">IF(JournalAnswer[[#This Row],[Debit Account]]="Cash",INDEX(ProblemData!$E$238:$AM$238,1,JournalAnswer[[#This Row],[Transaction '#]]),IF(JournalAnswer[[#This Row],[Credit Account]]="Cash",INDEX(ProblemData!$E$238:$AM$238,1,JournalAnswer[[#This Row],[Transaction '#]]),""))</f>
        <v/>
      </c>
      <c r="J160" s="85" t="str">
        <f>IF(JournalAnswer[[#This Row],[Transaction '#]]="","",IF(JournalAnswer[[#This Row],[Transaction '#]]=C159,J159+1,1))</f>
        <v/>
      </c>
      <c r="K160" s="37" cm="1">
        <f t="array" ref="K160">IFERROR(_xlfn.IFS(JournalAnswer[[#This Row],[Debit Account]]="Cash",JournalAnswer[[#This Row],[Dr Amt]],JournalAnswer[[#This Row],[Credit Account]]="Cash",-JournalAnswer[[#This Row],[Cr Amt]]),0)</f>
        <v>0</v>
      </c>
      <c r="L160" s="41" t="str" cm="1">
        <f t="array" ref="L160">IFERROR(INDEX(ProblemData!$E$239:$AM$239,1,JournalAnswer[[#This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322" t="str">
        <f t="shared" si="4"/>
        <v/>
      </c>
      <c r="D161" s="323" t="str">
        <f>IFERROR(_xlfn.IFNA(INDEX(ProblemData!$C$78:$AM$145,MATCH(J161+0.1,ProblemData!$C$78:$C$145,0),MATCH(C161,ProblemData!$C$78:$AM$78,0)),""),"")</f>
        <v/>
      </c>
      <c r="E161" s="66" t="str">
        <f>IFERROR(_xlfn.IFNA(IF(INDEX(ProblemData!$C$78:$AM$145,MATCH(J161+0.3,ProblemData!$C$78:$C$145,0),MATCH(C161,ProblemData!$C$78:$AM$78,0))="Debit",INDEX(ProblemData!$C$78:$AM$145,MATCH(J161+0.2,ProblemData!$C$78:$C$145,0),MATCH(C161,ProblemData!$C$78:$AM$78,0)),""),""),"")</f>
        <v/>
      </c>
      <c r="F161" s="66" t="str">
        <f>IFERROR(_xlfn.IFNA(IF(INDEX(ProblemData!$C$78:$AM$145,MATCH(J161+0.3,ProblemData!$C$78:$C$145,0),MATCH(C161,ProblemData!$C$78:$AM$78,0))="Credit",INDEX(ProblemData!$C$78:$AM$145,MATCH(J161+0.2,ProblemData!$C$78:$C$145,0),MATCH(C161,ProblemData!$C$78:$AM$78,0)),""),""),"")</f>
        <v/>
      </c>
      <c r="G161" s="324" t="str">
        <f>_xlfn.IFNA(IF(JournalAnswer[[#This Row],[Debit Account]]&lt;&gt;"",INDEX(ProblemData!$C$78:$AM$145,MATCH(J161+0.4,ProblemData!$C$78:$C$145,0),MATCH(C161,ProblemData!$C$78:$AM$78,0)),""),"")</f>
        <v/>
      </c>
      <c r="H161" s="325" t="str">
        <f>_xlfn.IFNA(IF(JournalAnswer[[#This Row],[Credit Account]]&lt;&gt;"",INDEX(ProblemData!$C$78:$AM$145,MATCH(J161+0.4,ProblemData!$C$78:$C$145,0),MATCH(C161,ProblemData!$C$78:$AM$78,0)),""),"")</f>
        <v/>
      </c>
      <c r="I161" s="353" t="str" cm="1">
        <f t="array" ref="I161">IF(JournalAnswer[[#This Row],[Debit Account]]="Cash",INDEX(ProblemData!$E$238:$AM$238,1,JournalAnswer[[#This Row],[Transaction '#]]),IF(JournalAnswer[[#This Row],[Credit Account]]="Cash",INDEX(ProblemData!$E$238:$AM$238,1,JournalAnswer[[#This Row],[Transaction '#]]),""))</f>
        <v/>
      </c>
      <c r="J161" s="85" t="str">
        <f>IF(JournalAnswer[[#This Row],[Transaction '#]]="","",IF(JournalAnswer[[#This Row],[Transaction '#]]=C160,J160+1,1))</f>
        <v/>
      </c>
      <c r="K161" s="37" cm="1">
        <f t="array" ref="K161">IFERROR(_xlfn.IFS(JournalAnswer[[#This Row],[Debit Account]]="Cash",JournalAnswer[[#This Row],[Dr Amt]],JournalAnswer[[#This Row],[Credit Account]]="Cash",-JournalAnswer[[#This Row],[Cr Amt]]),0)</f>
        <v>0</v>
      </c>
      <c r="L161" s="41" t="str" cm="1">
        <f t="array" ref="L161">IFERROR(INDEX(ProblemData!$E$239:$AM$239,1,JournalAnswer[[#This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322" t="str">
        <f t="shared" si="4"/>
        <v/>
      </c>
      <c r="D162" s="323" t="str">
        <f>IFERROR(_xlfn.IFNA(INDEX(ProblemData!$C$78:$AM$145,MATCH(J162+0.1,ProblemData!$C$78:$C$145,0),MATCH(C162,ProblemData!$C$78:$AM$78,0)),""),"")</f>
        <v/>
      </c>
      <c r="E162" s="66" t="str">
        <f>IFERROR(_xlfn.IFNA(IF(INDEX(ProblemData!$C$78:$AM$145,MATCH(J162+0.3,ProblemData!$C$78:$C$145,0),MATCH(C162,ProblemData!$C$78:$AM$78,0))="Debit",INDEX(ProblemData!$C$78:$AM$145,MATCH(J162+0.2,ProblemData!$C$78:$C$145,0),MATCH(C162,ProblemData!$C$78:$AM$78,0)),""),""),"")</f>
        <v/>
      </c>
      <c r="F162" s="66" t="str">
        <f>IFERROR(_xlfn.IFNA(IF(INDEX(ProblemData!$C$78:$AM$145,MATCH(J162+0.3,ProblemData!$C$78:$C$145,0),MATCH(C162,ProblemData!$C$78:$AM$78,0))="Credit",INDEX(ProblemData!$C$78:$AM$145,MATCH(J162+0.2,ProblemData!$C$78:$C$145,0),MATCH(C162,ProblemData!$C$78:$AM$78,0)),""),""),"")</f>
        <v/>
      </c>
      <c r="G162" s="324" t="str">
        <f>_xlfn.IFNA(IF(JournalAnswer[[#This Row],[Debit Account]]&lt;&gt;"",INDEX(ProblemData!$C$78:$AM$145,MATCH(J162+0.4,ProblemData!$C$78:$C$145,0),MATCH(C162,ProblemData!$C$78:$AM$78,0)),""),"")</f>
        <v/>
      </c>
      <c r="H162" s="325" t="str">
        <f>_xlfn.IFNA(IF(JournalAnswer[[#This Row],[Credit Account]]&lt;&gt;"",INDEX(ProblemData!$C$78:$AM$145,MATCH(J162+0.4,ProblemData!$C$78:$C$145,0),MATCH(C162,ProblemData!$C$78:$AM$78,0)),""),"")</f>
        <v/>
      </c>
      <c r="I162" s="353" t="str" cm="1">
        <f t="array" ref="I162">IF(JournalAnswer[[#This Row],[Debit Account]]="Cash",INDEX(ProblemData!$E$238:$AM$238,1,JournalAnswer[[#This Row],[Transaction '#]]),IF(JournalAnswer[[#This Row],[Credit Account]]="Cash",INDEX(ProblemData!$E$238:$AM$238,1,JournalAnswer[[#This Row],[Transaction '#]]),""))</f>
        <v/>
      </c>
      <c r="J162" s="85" t="str">
        <f>IF(JournalAnswer[[#This Row],[Transaction '#]]="","",IF(JournalAnswer[[#This Row],[Transaction '#]]=C161,J161+1,1))</f>
        <v/>
      </c>
      <c r="K162" s="37" cm="1">
        <f t="array" ref="K162">IFERROR(_xlfn.IFS(JournalAnswer[[#This Row],[Debit Account]]="Cash",JournalAnswer[[#This Row],[Dr Amt]],JournalAnswer[[#This Row],[Credit Account]]="Cash",-JournalAnswer[[#This Row],[Cr Amt]]),0)</f>
        <v>0</v>
      </c>
      <c r="L162" s="41" t="str" cm="1">
        <f t="array" ref="L162">IFERROR(INDEX(ProblemData!$E$239:$AM$239,1,JournalAnswer[[#This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322" t="str">
        <f t="shared" si="4"/>
        <v/>
      </c>
      <c r="D163" s="323" t="str">
        <f>IFERROR(_xlfn.IFNA(INDEX(ProblemData!$C$78:$AM$145,MATCH(J163+0.1,ProblemData!$C$78:$C$145,0),MATCH(C163,ProblemData!$C$78:$AM$78,0)),""),"")</f>
        <v/>
      </c>
      <c r="E163" s="66" t="str">
        <f>IFERROR(_xlfn.IFNA(IF(INDEX(ProblemData!$C$78:$AM$145,MATCH(J163+0.3,ProblemData!$C$78:$C$145,0),MATCH(C163,ProblemData!$C$78:$AM$78,0))="Debit",INDEX(ProblemData!$C$78:$AM$145,MATCH(J163+0.2,ProblemData!$C$78:$C$145,0),MATCH(C163,ProblemData!$C$78:$AM$78,0)),""),""),"")</f>
        <v/>
      </c>
      <c r="F163" s="66" t="str">
        <f>IFERROR(_xlfn.IFNA(IF(INDEX(ProblemData!$C$78:$AM$145,MATCH(J163+0.3,ProblemData!$C$78:$C$145,0),MATCH(C163,ProblemData!$C$78:$AM$78,0))="Credit",INDEX(ProblemData!$C$78:$AM$145,MATCH(J163+0.2,ProblemData!$C$78:$C$145,0),MATCH(C163,ProblemData!$C$78:$AM$78,0)),""),""),"")</f>
        <v/>
      </c>
      <c r="G163" s="324" t="str">
        <f>_xlfn.IFNA(IF(JournalAnswer[[#This Row],[Debit Account]]&lt;&gt;"",INDEX(ProblemData!$C$78:$AM$145,MATCH(J163+0.4,ProblemData!$C$78:$C$145,0),MATCH(C163,ProblemData!$C$78:$AM$78,0)),""),"")</f>
        <v/>
      </c>
      <c r="H163" s="325" t="str">
        <f>_xlfn.IFNA(IF(JournalAnswer[[#This Row],[Credit Account]]&lt;&gt;"",INDEX(ProblemData!$C$78:$AM$145,MATCH(J163+0.4,ProblemData!$C$78:$C$145,0),MATCH(C163,ProblemData!$C$78:$AM$78,0)),""),"")</f>
        <v/>
      </c>
      <c r="I163" s="353" t="str" cm="1">
        <f t="array" ref="I163">IF(JournalAnswer[[#This Row],[Debit Account]]="Cash",INDEX(ProblemData!$E$238:$AM$238,1,JournalAnswer[[#This Row],[Transaction '#]]),IF(JournalAnswer[[#This Row],[Credit Account]]="Cash",INDEX(ProblemData!$E$238:$AM$238,1,JournalAnswer[[#This Row],[Transaction '#]]),""))</f>
        <v/>
      </c>
      <c r="J163" s="85" t="str">
        <f>IF(JournalAnswer[[#This Row],[Transaction '#]]="","",IF(JournalAnswer[[#This Row],[Transaction '#]]=C162,J162+1,1))</f>
        <v/>
      </c>
      <c r="K163" s="37" cm="1">
        <f t="array" ref="K163">IFERROR(_xlfn.IFS(JournalAnswer[[#This Row],[Debit Account]]="Cash",JournalAnswer[[#This Row],[Dr Amt]],JournalAnswer[[#This Row],[Credit Account]]="Cash",-JournalAnswer[[#This Row],[Cr Amt]]),0)</f>
        <v>0</v>
      </c>
      <c r="L163" s="41" t="str" cm="1">
        <f t="array" ref="L163">IFERROR(INDEX(ProblemData!$E$239:$AM$239,1,JournalAnswer[[#This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322" t="str">
        <f t="shared" si="4"/>
        <v/>
      </c>
      <c r="D164" s="323" t="str">
        <f>IFERROR(_xlfn.IFNA(INDEX(ProblemData!$C$78:$AM$145,MATCH(J164+0.1,ProblemData!$C$78:$C$145,0),MATCH(C164,ProblemData!$C$78:$AM$78,0)),""),"")</f>
        <v/>
      </c>
      <c r="E164" s="66" t="str">
        <f>IFERROR(_xlfn.IFNA(IF(INDEX(ProblemData!$C$78:$AM$145,MATCH(J164+0.3,ProblemData!$C$78:$C$145,0),MATCH(C164,ProblemData!$C$78:$AM$78,0))="Debit",INDEX(ProblemData!$C$78:$AM$145,MATCH(J164+0.2,ProblemData!$C$78:$C$145,0),MATCH(C164,ProblemData!$C$78:$AM$78,0)),""),""),"")</f>
        <v/>
      </c>
      <c r="F164" s="66" t="str">
        <f>IFERROR(_xlfn.IFNA(IF(INDEX(ProblemData!$C$78:$AM$145,MATCH(J164+0.3,ProblemData!$C$78:$C$145,0),MATCH(C164,ProblemData!$C$78:$AM$78,0))="Credit",INDEX(ProblemData!$C$78:$AM$145,MATCH(J164+0.2,ProblemData!$C$78:$C$145,0),MATCH(C164,ProblemData!$C$78:$AM$78,0)),""),""),"")</f>
        <v/>
      </c>
      <c r="G164" s="324" t="str">
        <f>_xlfn.IFNA(IF(JournalAnswer[[#This Row],[Debit Account]]&lt;&gt;"",INDEX(ProblemData!$C$78:$AM$145,MATCH(J164+0.4,ProblemData!$C$78:$C$145,0),MATCH(C164,ProblemData!$C$78:$AM$78,0)),""),"")</f>
        <v/>
      </c>
      <c r="H164" s="325" t="str">
        <f>_xlfn.IFNA(IF(JournalAnswer[[#This Row],[Credit Account]]&lt;&gt;"",INDEX(ProblemData!$C$78:$AM$145,MATCH(J164+0.4,ProblemData!$C$78:$C$145,0),MATCH(C164,ProblemData!$C$78:$AM$78,0)),""),"")</f>
        <v/>
      </c>
      <c r="I164" s="353" t="str" cm="1">
        <f t="array" ref="I164">IF(JournalAnswer[[#This Row],[Debit Account]]="Cash",INDEX(ProblemData!$E$238:$AM$238,1,JournalAnswer[[#This Row],[Transaction '#]]),IF(JournalAnswer[[#This Row],[Credit Account]]="Cash",INDEX(ProblemData!$E$238:$AM$238,1,JournalAnswer[[#This Row],[Transaction '#]]),""))</f>
        <v/>
      </c>
      <c r="J164" s="85" t="str">
        <f>IF(JournalAnswer[[#This Row],[Transaction '#]]="","",IF(JournalAnswer[[#This Row],[Transaction '#]]=C163,J163+1,1))</f>
        <v/>
      </c>
      <c r="K164" s="37" cm="1">
        <f t="array" ref="K164">IFERROR(_xlfn.IFS(JournalAnswer[[#This Row],[Debit Account]]="Cash",JournalAnswer[[#This Row],[Dr Amt]],JournalAnswer[[#This Row],[Credit Account]]="Cash",-JournalAnswer[[#This Row],[Cr Amt]]),0)</f>
        <v>0</v>
      </c>
      <c r="L164" s="41" t="str" cm="1">
        <f t="array" ref="L164">IFERROR(INDEX(ProblemData!$E$239:$AM$239,1,JournalAnswer[[#This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322" t="str">
        <f t="shared" si="4"/>
        <v/>
      </c>
      <c r="D165" s="323" t="str">
        <f>IFERROR(_xlfn.IFNA(INDEX(ProblemData!$C$78:$AM$145,MATCH(J165+0.1,ProblemData!$C$78:$C$145,0),MATCH(C165,ProblemData!$C$78:$AM$78,0)),""),"")</f>
        <v/>
      </c>
      <c r="E165" s="66" t="str">
        <f>IFERROR(_xlfn.IFNA(IF(INDEX(ProblemData!$C$78:$AM$145,MATCH(J165+0.3,ProblemData!$C$78:$C$145,0),MATCH(C165,ProblemData!$C$78:$AM$78,0))="Debit",INDEX(ProblemData!$C$78:$AM$145,MATCH(J165+0.2,ProblemData!$C$78:$C$145,0),MATCH(C165,ProblemData!$C$78:$AM$78,0)),""),""),"")</f>
        <v/>
      </c>
      <c r="F165" s="66" t="str">
        <f>IFERROR(_xlfn.IFNA(IF(INDEX(ProblemData!$C$78:$AM$145,MATCH(J165+0.3,ProblemData!$C$78:$C$145,0),MATCH(C165,ProblemData!$C$78:$AM$78,0))="Credit",INDEX(ProblemData!$C$78:$AM$145,MATCH(J165+0.2,ProblemData!$C$78:$C$145,0),MATCH(C165,ProblemData!$C$78:$AM$78,0)),""),""),"")</f>
        <v/>
      </c>
      <c r="G165" s="324" t="str">
        <f>_xlfn.IFNA(IF(JournalAnswer[[#This Row],[Debit Account]]&lt;&gt;"",INDEX(ProblemData!$C$78:$AM$145,MATCH(J165+0.4,ProblemData!$C$78:$C$145,0),MATCH(C165,ProblemData!$C$78:$AM$78,0)),""),"")</f>
        <v/>
      </c>
      <c r="H165" s="325" t="str">
        <f>_xlfn.IFNA(IF(JournalAnswer[[#This Row],[Credit Account]]&lt;&gt;"",INDEX(ProblemData!$C$78:$AM$145,MATCH(J165+0.4,ProblemData!$C$78:$C$145,0),MATCH(C165,ProblemData!$C$78:$AM$78,0)),""),"")</f>
        <v/>
      </c>
      <c r="I165" s="353" t="str" cm="1">
        <f t="array" ref="I165">IF(JournalAnswer[[#This Row],[Debit Account]]="Cash",INDEX(ProblemData!$E$238:$AM$238,1,JournalAnswer[[#This Row],[Transaction '#]]),IF(JournalAnswer[[#This Row],[Credit Account]]="Cash",INDEX(ProblemData!$E$238:$AM$238,1,JournalAnswer[[#This Row],[Transaction '#]]),""))</f>
        <v/>
      </c>
      <c r="J165" s="85" t="str">
        <f>IF(JournalAnswer[[#This Row],[Transaction '#]]="","",IF(JournalAnswer[[#This Row],[Transaction '#]]=C164,J164+1,1))</f>
        <v/>
      </c>
      <c r="K165" s="37" cm="1">
        <f t="array" ref="K165">IFERROR(_xlfn.IFS(JournalAnswer[[#This Row],[Debit Account]]="Cash",JournalAnswer[[#This Row],[Dr Amt]],JournalAnswer[[#This Row],[Credit Account]]="Cash",-JournalAnswer[[#This Row],[Cr Amt]]),0)</f>
        <v>0</v>
      </c>
      <c r="L165" s="41" t="str" cm="1">
        <f t="array" ref="L165">IFERROR(INDEX(ProblemData!$E$239:$AM$239,1,JournalAnswer[[#This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322" t="str">
        <f t="shared" si="4"/>
        <v/>
      </c>
      <c r="D166" s="323" t="str">
        <f>IFERROR(_xlfn.IFNA(INDEX(ProblemData!$C$78:$AM$145,MATCH(J166+0.1,ProblemData!$C$78:$C$145,0),MATCH(C166,ProblemData!$C$78:$AM$78,0)),""),"")</f>
        <v/>
      </c>
      <c r="E166" s="66" t="str">
        <f>IFERROR(_xlfn.IFNA(IF(INDEX(ProblemData!$C$78:$AM$145,MATCH(J166+0.3,ProblemData!$C$78:$C$145,0),MATCH(C166,ProblemData!$C$78:$AM$78,0))="Debit",INDEX(ProblemData!$C$78:$AM$145,MATCH(J166+0.2,ProblemData!$C$78:$C$145,0),MATCH(C166,ProblemData!$C$78:$AM$78,0)),""),""),"")</f>
        <v/>
      </c>
      <c r="F166" s="66" t="str">
        <f>IFERROR(_xlfn.IFNA(IF(INDEX(ProblemData!$C$78:$AM$145,MATCH(J166+0.3,ProblemData!$C$78:$C$145,0),MATCH(C166,ProblemData!$C$78:$AM$78,0))="Credit",INDEX(ProblemData!$C$78:$AM$145,MATCH(J166+0.2,ProblemData!$C$78:$C$145,0),MATCH(C166,ProblemData!$C$78:$AM$78,0)),""),""),"")</f>
        <v/>
      </c>
      <c r="G166" s="324" t="str">
        <f>_xlfn.IFNA(IF(JournalAnswer[[#This Row],[Debit Account]]&lt;&gt;"",INDEX(ProblemData!$C$78:$AM$145,MATCH(J166+0.4,ProblemData!$C$78:$C$145,0),MATCH(C166,ProblemData!$C$78:$AM$78,0)),""),"")</f>
        <v/>
      </c>
      <c r="H166" s="325" t="str">
        <f>_xlfn.IFNA(IF(JournalAnswer[[#This Row],[Credit Account]]&lt;&gt;"",INDEX(ProblemData!$C$78:$AM$145,MATCH(J166+0.4,ProblemData!$C$78:$C$145,0),MATCH(C166,ProblemData!$C$78:$AM$78,0)),""),"")</f>
        <v/>
      </c>
      <c r="I166" s="353" t="str" cm="1">
        <f t="array" ref="I166">IF(JournalAnswer[[#This Row],[Debit Account]]="Cash",INDEX(ProblemData!$E$238:$AM$238,1,JournalAnswer[[#This Row],[Transaction '#]]),IF(JournalAnswer[[#This Row],[Credit Account]]="Cash",INDEX(ProblemData!$E$238:$AM$238,1,JournalAnswer[[#This Row],[Transaction '#]]),""))</f>
        <v/>
      </c>
      <c r="J166" s="85" t="str">
        <f>IF(JournalAnswer[[#This Row],[Transaction '#]]="","",IF(JournalAnswer[[#This Row],[Transaction '#]]=C165,J165+1,1))</f>
        <v/>
      </c>
      <c r="K166" s="37" cm="1">
        <f t="array" ref="K166">IFERROR(_xlfn.IFS(JournalAnswer[[#This Row],[Debit Account]]="Cash",JournalAnswer[[#This Row],[Dr Amt]],JournalAnswer[[#This Row],[Credit Account]]="Cash",-JournalAnswer[[#This Row],[Cr Amt]]),0)</f>
        <v>0</v>
      </c>
      <c r="L166" s="41" t="str" cm="1">
        <f t="array" ref="L166">IFERROR(INDEX(ProblemData!$E$239:$AM$239,1,JournalAnswer[[#This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322" t="str">
        <f t="shared" si="4"/>
        <v/>
      </c>
      <c r="D167" s="323" t="str">
        <f>IFERROR(_xlfn.IFNA(INDEX(ProblemData!$C$78:$AM$145,MATCH(J167+0.1,ProblemData!$C$78:$C$145,0),MATCH(C167,ProblemData!$C$78:$AM$78,0)),""),"")</f>
        <v/>
      </c>
      <c r="E167" s="66" t="str">
        <f>IFERROR(_xlfn.IFNA(IF(INDEX(ProblemData!$C$78:$AM$145,MATCH(J167+0.3,ProblemData!$C$78:$C$145,0),MATCH(C167,ProblemData!$C$78:$AM$78,0))="Debit",INDEX(ProblemData!$C$78:$AM$145,MATCH(J167+0.2,ProblemData!$C$78:$C$145,0),MATCH(C167,ProblemData!$C$78:$AM$78,0)),""),""),"")</f>
        <v/>
      </c>
      <c r="F167" s="66" t="str">
        <f>IFERROR(_xlfn.IFNA(IF(INDEX(ProblemData!$C$78:$AM$145,MATCH(J167+0.3,ProblemData!$C$78:$C$145,0),MATCH(C167,ProblemData!$C$78:$AM$78,0))="Credit",INDEX(ProblemData!$C$78:$AM$145,MATCH(J167+0.2,ProblemData!$C$78:$C$145,0),MATCH(C167,ProblemData!$C$78:$AM$78,0)),""),""),"")</f>
        <v/>
      </c>
      <c r="G167" s="324" t="str">
        <f>_xlfn.IFNA(IF(JournalAnswer[[#This Row],[Debit Account]]&lt;&gt;"",INDEX(ProblemData!$C$78:$AM$145,MATCH(J167+0.4,ProblemData!$C$78:$C$145,0),MATCH(C167,ProblemData!$C$78:$AM$78,0)),""),"")</f>
        <v/>
      </c>
      <c r="H167" s="325" t="str">
        <f>_xlfn.IFNA(IF(JournalAnswer[[#This Row],[Credit Account]]&lt;&gt;"",INDEX(ProblemData!$C$78:$AM$145,MATCH(J167+0.4,ProblemData!$C$78:$C$145,0),MATCH(C167,ProblemData!$C$78:$AM$78,0)),""),"")</f>
        <v/>
      </c>
      <c r="I167" s="353" t="str" cm="1">
        <f t="array" ref="I167">IF(JournalAnswer[[#This Row],[Debit Account]]="Cash",INDEX(ProblemData!$E$238:$AM$238,1,JournalAnswer[[#This Row],[Transaction '#]]),IF(JournalAnswer[[#This Row],[Credit Account]]="Cash",INDEX(ProblemData!$E$238:$AM$238,1,JournalAnswer[[#This Row],[Transaction '#]]),""))</f>
        <v/>
      </c>
      <c r="J167" s="85" t="str">
        <f>IF(JournalAnswer[[#This Row],[Transaction '#]]="","",IF(JournalAnswer[[#This Row],[Transaction '#]]=C166,J166+1,1))</f>
        <v/>
      </c>
      <c r="K167" s="37" cm="1">
        <f t="array" ref="K167">IFERROR(_xlfn.IFS(JournalAnswer[[#This Row],[Debit Account]]="Cash",JournalAnswer[[#This Row],[Dr Amt]],JournalAnswer[[#This Row],[Credit Account]]="Cash",-JournalAnswer[[#This Row],[Cr Amt]]),0)</f>
        <v>0</v>
      </c>
      <c r="L167" s="41" t="str" cm="1">
        <f t="array" ref="L167">IFERROR(INDEX(ProblemData!$E$239:$AM$239,1,JournalAnswer[[#This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322" t="str">
        <f t="shared" si="4"/>
        <v/>
      </c>
      <c r="D168" s="323" t="str">
        <f>IFERROR(_xlfn.IFNA(INDEX(ProblemData!$C$78:$AM$145,MATCH(J168+0.1,ProblemData!$C$78:$C$145,0),MATCH(C168,ProblemData!$C$78:$AM$78,0)),""),"")</f>
        <v/>
      </c>
      <c r="E168" s="66" t="str">
        <f>IFERROR(_xlfn.IFNA(IF(INDEX(ProblemData!$C$78:$AM$145,MATCH(J168+0.3,ProblemData!$C$78:$C$145,0),MATCH(C168,ProblemData!$C$78:$AM$78,0))="Debit",INDEX(ProblemData!$C$78:$AM$145,MATCH(J168+0.2,ProblemData!$C$78:$C$145,0),MATCH(C168,ProblemData!$C$78:$AM$78,0)),""),""),"")</f>
        <v/>
      </c>
      <c r="F168" s="66" t="str">
        <f>IFERROR(_xlfn.IFNA(IF(INDEX(ProblemData!$C$78:$AM$145,MATCH(J168+0.3,ProblemData!$C$78:$C$145,0),MATCH(C168,ProblemData!$C$78:$AM$78,0))="Credit",INDEX(ProblemData!$C$78:$AM$145,MATCH(J168+0.2,ProblemData!$C$78:$C$145,0),MATCH(C168,ProblemData!$C$78:$AM$78,0)),""),""),"")</f>
        <v/>
      </c>
      <c r="G168" s="324" t="str">
        <f>_xlfn.IFNA(IF(JournalAnswer[[#This Row],[Debit Account]]&lt;&gt;"",INDEX(ProblemData!$C$78:$AM$145,MATCH(J168+0.4,ProblemData!$C$78:$C$145,0),MATCH(C168,ProblemData!$C$78:$AM$78,0)),""),"")</f>
        <v/>
      </c>
      <c r="H168" s="325" t="str">
        <f>_xlfn.IFNA(IF(JournalAnswer[[#This Row],[Credit Account]]&lt;&gt;"",INDEX(ProblemData!$C$78:$AM$145,MATCH(J168+0.4,ProblemData!$C$78:$C$145,0),MATCH(C168,ProblemData!$C$78:$AM$78,0)),""),"")</f>
        <v/>
      </c>
      <c r="I168" s="353" t="str" cm="1">
        <f t="array" ref="I168">IF(JournalAnswer[[#This Row],[Debit Account]]="Cash",INDEX(ProblemData!$E$238:$AM$238,1,JournalAnswer[[#This Row],[Transaction '#]]),IF(JournalAnswer[[#This Row],[Credit Account]]="Cash",INDEX(ProblemData!$E$238:$AM$238,1,JournalAnswer[[#This Row],[Transaction '#]]),""))</f>
        <v/>
      </c>
      <c r="J168" s="85" t="str">
        <f>IF(JournalAnswer[[#This Row],[Transaction '#]]="","",IF(JournalAnswer[[#This Row],[Transaction '#]]=C167,J167+1,1))</f>
        <v/>
      </c>
      <c r="K168" s="37" cm="1">
        <f t="array" ref="K168">IFERROR(_xlfn.IFS(JournalAnswer[[#This Row],[Debit Account]]="Cash",JournalAnswer[[#This Row],[Dr Amt]],JournalAnswer[[#This Row],[Credit Account]]="Cash",-JournalAnswer[[#This Row],[Cr Amt]]),0)</f>
        <v>0</v>
      </c>
      <c r="L168" s="41" t="str" cm="1">
        <f t="array" ref="L168">IFERROR(INDEX(ProblemData!$E$239:$AM$239,1,JournalAnswer[[#This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322" t="str">
        <f t="shared" si="4"/>
        <v/>
      </c>
      <c r="D169" s="323" t="str">
        <f>IFERROR(_xlfn.IFNA(INDEX(ProblemData!$C$78:$AM$145,MATCH(J169+0.1,ProblemData!$C$78:$C$145,0),MATCH(C169,ProblemData!$C$78:$AM$78,0)),""),"")</f>
        <v/>
      </c>
      <c r="E169" s="66" t="str">
        <f>IFERROR(_xlfn.IFNA(IF(INDEX(ProblemData!$C$78:$AM$145,MATCH(J169+0.3,ProblemData!$C$78:$C$145,0),MATCH(C169,ProblemData!$C$78:$AM$78,0))="Debit",INDEX(ProblemData!$C$78:$AM$145,MATCH(J169+0.2,ProblemData!$C$78:$C$145,0),MATCH(C169,ProblemData!$C$78:$AM$78,0)),""),""),"")</f>
        <v/>
      </c>
      <c r="F169" s="66" t="str">
        <f>IFERROR(_xlfn.IFNA(IF(INDEX(ProblemData!$C$78:$AM$145,MATCH(J169+0.3,ProblemData!$C$78:$C$145,0),MATCH(C169,ProblemData!$C$78:$AM$78,0))="Credit",INDEX(ProblemData!$C$78:$AM$145,MATCH(J169+0.2,ProblemData!$C$78:$C$145,0),MATCH(C169,ProblemData!$C$78:$AM$78,0)),""),""),"")</f>
        <v/>
      </c>
      <c r="G169" s="324" t="str">
        <f>_xlfn.IFNA(IF(JournalAnswer[[#This Row],[Debit Account]]&lt;&gt;"",INDEX(ProblemData!$C$78:$AM$145,MATCH(J169+0.4,ProblemData!$C$78:$C$145,0),MATCH(C169,ProblemData!$C$78:$AM$78,0)),""),"")</f>
        <v/>
      </c>
      <c r="H169" s="325" t="str">
        <f>_xlfn.IFNA(IF(JournalAnswer[[#This Row],[Credit Account]]&lt;&gt;"",INDEX(ProblemData!$C$78:$AM$145,MATCH(J169+0.4,ProblemData!$C$78:$C$145,0),MATCH(C169,ProblemData!$C$78:$AM$78,0)),""),"")</f>
        <v/>
      </c>
      <c r="I169" s="353" t="str" cm="1">
        <f t="array" ref="I169">IF(JournalAnswer[[#This Row],[Debit Account]]="Cash",INDEX(ProblemData!$E$238:$AM$238,1,JournalAnswer[[#This Row],[Transaction '#]]),IF(JournalAnswer[[#This Row],[Credit Account]]="Cash",INDEX(ProblemData!$E$238:$AM$238,1,JournalAnswer[[#This Row],[Transaction '#]]),""))</f>
        <v/>
      </c>
      <c r="J169" s="85" t="str">
        <f>IF(JournalAnswer[[#This Row],[Transaction '#]]="","",IF(JournalAnswer[[#This Row],[Transaction '#]]=C168,J168+1,1))</f>
        <v/>
      </c>
      <c r="K169" s="37" cm="1">
        <f t="array" ref="K169">IFERROR(_xlfn.IFS(JournalAnswer[[#This Row],[Debit Account]]="Cash",JournalAnswer[[#This Row],[Dr Amt]],JournalAnswer[[#This Row],[Credit Account]]="Cash",-JournalAnswer[[#This Row],[Cr Amt]]),0)</f>
        <v>0</v>
      </c>
      <c r="L169" s="41" t="str" cm="1">
        <f t="array" ref="L169">IFERROR(INDEX(ProblemData!$E$239:$AM$239,1,JournalAnswer[[#This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322" t="str">
        <f t="shared" si="4"/>
        <v/>
      </c>
      <c r="D170" s="323" t="str">
        <f>IFERROR(_xlfn.IFNA(INDEX(ProblemData!$C$78:$AM$145,MATCH(J170+0.1,ProblemData!$C$78:$C$145,0),MATCH(C170,ProblemData!$C$78:$AM$78,0)),""),"")</f>
        <v/>
      </c>
      <c r="E170" s="66" t="str">
        <f>IFERROR(_xlfn.IFNA(IF(INDEX(ProblemData!$C$78:$AM$145,MATCH(J170+0.3,ProblemData!$C$78:$C$145,0),MATCH(C170,ProblemData!$C$78:$AM$78,0))="Debit",INDEX(ProblemData!$C$78:$AM$145,MATCH(J170+0.2,ProblemData!$C$78:$C$145,0),MATCH(C170,ProblemData!$C$78:$AM$78,0)),""),""),"")</f>
        <v/>
      </c>
      <c r="F170" s="66" t="str">
        <f>IFERROR(_xlfn.IFNA(IF(INDEX(ProblemData!$C$78:$AM$145,MATCH(J170+0.3,ProblemData!$C$78:$C$145,0),MATCH(C170,ProblemData!$C$78:$AM$78,0))="Credit",INDEX(ProblemData!$C$78:$AM$145,MATCH(J170+0.2,ProblemData!$C$78:$C$145,0),MATCH(C170,ProblemData!$C$78:$AM$78,0)),""),""),"")</f>
        <v/>
      </c>
      <c r="G170" s="324" t="str">
        <f>_xlfn.IFNA(IF(JournalAnswer[[#This Row],[Debit Account]]&lt;&gt;"",INDEX(ProblemData!$C$78:$AM$145,MATCH(J170+0.4,ProblemData!$C$78:$C$145,0),MATCH(C170,ProblemData!$C$78:$AM$78,0)),""),"")</f>
        <v/>
      </c>
      <c r="H170" s="325" t="str">
        <f>_xlfn.IFNA(IF(JournalAnswer[[#This Row],[Credit Account]]&lt;&gt;"",INDEX(ProblemData!$C$78:$AM$145,MATCH(J170+0.4,ProblemData!$C$78:$C$145,0),MATCH(C170,ProblemData!$C$78:$AM$78,0)),""),"")</f>
        <v/>
      </c>
      <c r="I170" s="353" t="str" cm="1">
        <f t="array" ref="I170">IF(JournalAnswer[[#This Row],[Debit Account]]="Cash",INDEX(ProblemData!$E$238:$AM$238,1,JournalAnswer[[#This Row],[Transaction '#]]),IF(JournalAnswer[[#This Row],[Credit Account]]="Cash",INDEX(ProblemData!$E$238:$AM$238,1,JournalAnswer[[#This Row],[Transaction '#]]),""))</f>
        <v/>
      </c>
      <c r="J170" s="85" t="str">
        <f>IF(JournalAnswer[[#This Row],[Transaction '#]]="","",IF(JournalAnswer[[#This Row],[Transaction '#]]=C169,J169+1,1))</f>
        <v/>
      </c>
      <c r="K170" s="37" cm="1">
        <f t="array" ref="K170">IFERROR(_xlfn.IFS(JournalAnswer[[#This Row],[Debit Account]]="Cash",JournalAnswer[[#This Row],[Dr Amt]],JournalAnswer[[#This Row],[Credit Account]]="Cash",-JournalAnswer[[#This Row],[Cr Amt]]),0)</f>
        <v>0</v>
      </c>
      <c r="L170" s="41" t="str" cm="1">
        <f t="array" ref="L170">IFERROR(INDEX(ProblemData!$E$239:$AM$239,1,JournalAnswer[[#This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322" t="str">
        <f t="shared" si="4"/>
        <v/>
      </c>
      <c r="D171" s="323" t="str">
        <f>IFERROR(_xlfn.IFNA(INDEX(ProblemData!$C$78:$AM$145,MATCH(J171+0.1,ProblemData!$C$78:$C$145,0),MATCH(C171,ProblemData!$C$78:$AM$78,0)),""),"")</f>
        <v/>
      </c>
      <c r="E171" s="66" t="str">
        <f>IFERROR(_xlfn.IFNA(IF(INDEX(ProblemData!$C$78:$AM$145,MATCH(J171+0.3,ProblemData!$C$78:$C$145,0),MATCH(C171,ProblemData!$C$78:$AM$78,0))="Debit",INDEX(ProblemData!$C$78:$AM$145,MATCH(J171+0.2,ProblemData!$C$78:$C$145,0),MATCH(C171,ProblemData!$C$78:$AM$78,0)),""),""),"")</f>
        <v/>
      </c>
      <c r="F171" s="66" t="str">
        <f>IFERROR(_xlfn.IFNA(IF(INDEX(ProblemData!$C$78:$AM$145,MATCH(J171+0.3,ProblemData!$C$78:$C$145,0),MATCH(C171,ProblemData!$C$78:$AM$78,0))="Credit",INDEX(ProblemData!$C$78:$AM$145,MATCH(J171+0.2,ProblemData!$C$78:$C$145,0),MATCH(C171,ProblemData!$C$78:$AM$78,0)),""),""),"")</f>
        <v/>
      </c>
      <c r="G171" s="324" t="str">
        <f>_xlfn.IFNA(IF(JournalAnswer[[#This Row],[Debit Account]]&lt;&gt;"",INDEX(ProblemData!$C$78:$AM$145,MATCH(J171+0.4,ProblemData!$C$78:$C$145,0),MATCH(C171,ProblemData!$C$78:$AM$78,0)),""),"")</f>
        <v/>
      </c>
      <c r="H171" s="325" t="str">
        <f>_xlfn.IFNA(IF(JournalAnswer[[#This Row],[Credit Account]]&lt;&gt;"",INDEX(ProblemData!$C$78:$AM$145,MATCH(J171+0.4,ProblemData!$C$78:$C$145,0),MATCH(C171,ProblemData!$C$78:$AM$78,0)),""),"")</f>
        <v/>
      </c>
      <c r="I171" s="353" t="str" cm="1">
        <f t="array" ref="I171">IF(JournalAnswer[[#This Row],[Debit Account]]="Cash",INDEX(ProblemData!$E$238:$AM$238,1,JournalAnswer[[#This Row],[Transaction '#]]),IF(JournalAnswer[[#This Row],[Credit Account]]="Cash",INDEX(ProblemData!$E$238:$AM$238,1,JournalAnswer[[#This Row],[Transaction '#]]),""))</f>
        <v/>
      </c>
      <c r="J171" s="85" t="str">
        <f>IF(JournalAnswer[[#This Row],[Transaction '#]]="","",IF(JournalAnswer[[#This Row],[Transaction '#]]=C170,J170+1,1))</f>
        <v/>
      </c>
      <c r="K171" s="37" cm="1">
        <f t="array" ref="K171">IFERROR(_xlfn.IFS(JournalAnswer[[#This Row],[Debit Account]]="Cash",JournalAnswer[[#This Row],[Dr Amt]],JournalAnswer[[#This Row],[Credit Account]]="Cash",-JournalAnswer[[#This Row],[Cr Amt]]),0)</f>
        <v>0</v>
      </c>
      <c r="L171" s="41" t="str" cm="1">
        <f t="array" ref="L171">IFERROR(INDEX(ProblemData!$E$239:$AM$239,1,JournalAnswer[[#This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322" t="str">
        <f t="shared" si="4"/>
        <v/>
      </c>
      <c r="D172" s="323" t="str">
        <f>IFERROR(_xlfn.IFNA(INDEX(ProblemData!$C$78:$AM$145,MATCH(J172+0.1,ProblemData!$C$78:$C$145,0),MATCH(C172,ProblemData!$C$78:$AM$78,0)),""),"")</f>
        <v/>
      </c>
      <c r="E172" s="66" t="str">
        <f>IFERROR(_xlfn.IFNA(IF(INDEX(ProblemData!$C$78:$AM$145,MATCH(J172+0.3,ProblemData!$C$78:$C$145,0),MATCH(C172,ProblemData!$C$78:$AM$78,0))="Debit",INDEX(ProblemData!$C$78:$AM$145,MATCH(J172+0.2,ProblemData!$C$78:$C$145,0),MATCH(C172,ProblemData!$C$78:$AM$78,0)),""),""),"")</f>
        <v/>
      </c>
      <c r="F172" s="66" t="str">
        <f>IFERROR(_xlfn.IFNA(IF(INDEX(ProblemData!$C$78:$AM$145,MATCH(J172+0.3,ProblemData!$C$78:$C$145,0),MATCH(C172,ProblemData!$C$78:$AM$78,0))="Credit",INDEX(ProblemData!$C$78:$AM$145,MATCH(J172+0.2,ProblemData!$C$78:$C$145,0),MATCH(C172,ProblemData!$C$78:$AM$78,0)),""),""),"")</f>
        <v/>
      </c>
      <c r="G172" s="324" t="str">
        <f>_xlfn.IFNA(IF(JournalAnswer[[#This Row],[Debit Account]]&lt;&gt;"",INDEX(ProblemData!$C$78:$AM$145,MATCH(J172+0.4,ProblemData!$C$78:$C$145,0),MATCH(C172,ProblemData!$C$78:$AM$78,0)),""),"")</f>
        <v/>
      </c>
      <c r="H172" s="325" t="str">
        <f>_xlfn.IFNA(IF(JournalAnswer[[#This Row],[Credit Account]]&lt;&gt;"",INDEX(ProblemData!$C$78:$AM$145,MATCH(J172+0.4,ProblemData!$C$78:$C$145,0),MATCH(C172,ProblemData!$C$78:$AM$78,0)),""),"")</f>
        <v/>
      </c>
      <c r="I172" s="353" t="str" cm="1">
        <f t="array" ref="I172">IF(JournalAnswer[[#This Row],[Debit Account]]="Cash",INDEX(ProblemData!$E$238:$AM$238,1,JournalAnswer[[#This Row],[Transaction '#]]),IF(JournalAnswer[[#This Row],[Credit Account]]="Cash",INDEX(ProblemData!$E$238:$AM$238,1,JournalAnswer[[#This Row],[Transaction '#]]),""))</f>
        <v/>
      </c>
      <c r="J172" s="85" t="str">
        <f>IF(JournalAnswer[[#This Row],[Transaction '#]]="","",IF(JournalAnswer[[#This Row],[Transaction '#]]=C171,J171+1,1))</f>
        <v/>
      </c>
      <c r="K172" s="37" cm="1">
        <f t="array" ref="K172">IFERROR(_xlfn.IFS(JournalAnswer[[#This Row],[Debit Account]]="Cash",JournalAnswer[[#This Row],[Dr Amt]],JournalAnswer[[#This Row],[Credit Account]]="Cash",-JournalAnswer[[#This Row],[Cr Amt]]),0)</f>
        <v>0</v>
      </c>
      <c r="L172" s="41" t="str" cm="1">
        <f t="array" ref="L172">IFERROR(INDEX(ProblemData!$E$239:$AM$239,1,JournalAnswer[[#This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322" t="str">
        <f t="shared" si="4"/>
        <v/>
      </c>
      <c r="D173" s="323" t="str">
        <f>IFERROR(_xlfn.IFNA(INDEX(ProblemData!$C$78:$AM$145,MATCH(J173+0.1,ProblemData!$C$78:$C$145,0),MATCH(C173,ProblemData!$C$78:$AM$78,0)),""),"")</f>
        <v/>
      </c>
      <c r="E173" s="66" t="str">
        <f>IFERROR(_xlfn.IFNA(IF(INDEX(ProblemData!$C$78:$AM$145,MATCH(J173+0.3,ProblemData!$C$78:$C$145,0),MATCH(C173,ProblemData!$C$78:$AM$78,0))="Debit",INDEX(ProblemData!$C$78:$AM$145,MATCH(J173+0.2,ProblemData!$C$78:$C$145,0),MATCH(C173,ProblemData!$C$78:$AM$78,0)),""),""),"")</f>
        <v/>
      </c>
      <c r="F173" s="66" t="str">
        <f>IFERROR(_xlfn.IFNA(IF(INDEX(ProblemData!$C$78:$AM$145,MATCH(J173+0.3,ProblemData!$C$78:$C$145,0),MATCH(C173,ProblemData!$C$78:$AM$78,0))="Credit",INDEX(ProblemData!$C$78:$AM$145,MATCH(J173+0.2,ProblemData!$C$78:$C$145,0),MATCH(C173,ProblemData!$C$78:$AM$78,0)),""),""),"")</f>
        <v/>
      </c>
      <c r="G173" s="324" t="str">
        <f>_xlfn.IFNA(IF(JournalAnswer[[#This Row],[Debit Account]]&lt;&gt;"",INDEX(ProblemData!$C$78:$AM$145,MATCH(J173+0.4,ProblemData!$C$78:$C$145,0),MATCH(C173,ProblemData!$C$78:$AM$78,0)),""),"")</f>
        <v/>
      </c>
      <c r="H173" s="325" t="str">
        <f>_xlfn.IFNA(IF(JournalAnswer[[#This Row],[Credit Account]]&lt;&gt;"",INDEX(ProblemData!$C$78:$AM$145,MATCH(J173+0.4,ProblemData!$C$78:$C$145,0),MATCH(C173,ProblemData!$C$78:$AM$78,0)),""),"")</f>
        <v/>
      </c>
      <c r="I173" s="353" t="str" cm="1">
        <f t="array" ref="I173">IF(JournalAnswer[[#This Row],[Debit Account]]="Cash",INDEX(ProblemData!$E$238:$AM$238,1,JournalAnswer[[#This Row],[Transaction '#]]),IF(JournalAnswer[[#This Row],[Credit Account]]="Cash",INDEX(ProblemData!$E$238:$AM$238,1,JournalAnswer[[#This Row],[Transaction '#]]),""))</f>
        <v/>
      </c>
      <c r="J173" s="85" t="str">
        <f>IF(JournalAnswer[[#This Row],[Transaction '#]]="","",IF(JournalAnswer[[#This Row],[Transaction '#]]=C172,J172+1,1))</f>
        <v/>
      </c>
      <c r="K173" s="37" cm="1">
        <f t="array" ref="K173">IFERROR(_xlfn.IFS(JournalAnswer[[#This Row],[Debit Account]]="Cash",JournalAnswer[[#This Row],[Dr Amt]],JournalAnswer[[#This Row],[Credit Account]]="Cash",-JournalAnswer[[#This Row],[Cr Amt]]),0)</f>
        <v>0</v>
      </c>
      <c r="L173" s="41" t="str" cm="1">
        <f t="array" ref="L173">IFERROR(INDEX(ProblemData!$E$239:$AM$239,1,JournalAnswer[[#This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322" t="str">
        <f t="shared" si="4"/>
        <v/>
      </c>
      <c r="D174" s="323" t="str">
        <f>IFERROR(_xlfn.IFNA(INDEX(ProblemData!$C$78:$AM$145,MATCH(J174+0.1,ProblemData!$C$78:$C$145,0),MATCH(C174,ProblemData!$C$78:$AM$78,0)),""),"")</f>
        <v/>
      </c>
      <c r="E174" s="66" t="str">
        <f>IFERROR(_xlfn.IFNA(IF(INDEX(ProblemData!$C$78:$AM$145,MATCH(J174+0.3,ProblemData!$C$78:$C$145,0),MATCH(C174,ProblemData!$C$78:$AM$78,0))="Debit",INDEX(ProblemData!$C$78:$AM$145,MATCH(J174+0.2,ProblemData!$C$78:$C$145,0),MATCH(C174,ProblemData!$C$78:$AM$78,0)),""),""),"")</f>
        <v/>
      </c>
      <c r="F174" s="66" t="str">
        <f>IFERROR(_xlfn.IFNA(IF(INDEX(ProblemData!$C$78:$AM$145,MATCH(J174+0.3,ProblemData!$C$78:$C$145,0),MATCH(C174,ProblemData!$C$78:$AM$78,0))="Credit",INDEX(ProblemData!$C$78:$AM$145,MATCH(J174+0.2,ProblemData!$C$78:$C$145,0),MATCH(C174,ProblemData!$C$78:$AM$78,0)),""),""),"")</f>
        <v/>
      </c>
      <c r="G174" s="324" t="str">
        <f>_xlfn.IFNA(IF(JournalAnswer[[#This Row],[Debit Account]]&lt;&gt;"",INDEX(ProblemData!$C$78:$AM$145,MATCH(J174+0.4,ProblemData!$C$78:$C$145,0),MATCH(C174,ProblemData!$C$78:$AM$78,0)),""),"")</f>
        <v/>
      </c>
      <c r="H174" s="325" t="str">
        <f>_xlfn.IFNA(IF(JournalAnswer[[#This Row],[Credit Account]]&lt;&gt;"",INDEX(ProblemData!$C$78:$AM$145,MATCH(J174+0.4,ProblemData!$C$78:$C$145,0),MATCH(C174,ProblemData!$C$78:$AM$78,0)),""),"")</f>
        <v/>
      </c>
      <c r="I174" s="353" t="str" cm="1">
        <f t="array" ref="I174">IF(JournalAnswer[[#This Row],[Debit Account]]="Cash",INDEX(ProblemData!$E$238:$AM$238,1,JournalAnswer[[#This Row],[Transaction '#]]),IF(JournalAnswer[[#This Row],[Credit Account]]="Cash",INDEX(ProblemData!$E$238:$AM$238,1,JournalAnswer[[#This Row],[Transaction '#]]),""))</f>
        <v/>
      </c>
      <c r="J174" s="85" t="str">
        <f>IF(JournalAnswer[[#This Row],[Transaction '#]]="","",IF(JournalAnswer[[#This Row],[Transaction '#]]=C173,J173+1,1))</f>
        <v/>
      </c>
      <c r="K174" s="37" cm="1">
        <f t="array" ref="K174">IFERROR(_xlfn.IFS(JournalAnswer[[#This Row],[Debit Account]]="Cash",JournalAnswer[[#This Row],[Dr Amt]],JournalAnswer[[#This Row],[Credit Account]]="Cash",-JournalAnswer[[#This Row],[Cr Amt]]),0)</f>
        <v>0</v>
      </c>
      <c r="L174" s="41" t="str" cm="1">
        <f t="array" ref="L174">IFERROR(INDEX(ProblemData!$E$239:$AM$239,1,JournalAnswer[[#This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322" t="str">
        <f t="shared" si="4"/>
        <v/>
      </c>
      <c r="D175" s="323" t="str">
        <f>IFERROR(_xlfn.IFNA(INDEX(ProblemData!$C$78:$AM$145,MATCH(J175+0.1,ProblemData!$C$78:$C$145,0),MATCH(C175,ProblemData!$C$78:$AM$78,0)),""),"")</f>
        <v/>
      </c>
      <c r="E175" s="66" t="str">
        <f>IFERROR(_xlfn.IFNA(IF(INDEX(ProblemData!$C$78:$AM$145,MATCH(J175+0.3,ProblemData!$C$78:$C$145,0),MATCH(C175,ProblemData!$C$78:$AM$78,0))="Debit",INDEX(ProblemData!$C$78:$AM$145,MATCH(J175+0.2,ProblemData!$C$78:$C$145,0),MATCH(C175,ProblemData!$C$78:$AM$78,0)),""),""),"")</f>
        <v/>
      </c>
      <c r="F175" s="66" t="str">
        <f>IFERROR(_xlfn.IFNA(IF(INDEX(ProblemData!$C$78:$AM$145,MATCH(J175+0.3,ProblemData!$C$78:$C$145,0),MATCH(C175,ProblemData!$C$78:$AM$78,0))="Credit",INDEX(ProblemData!$C$78:$AM$145,MATCH(J175+0.2,ProblemData!$C$78:$C$145,0),MATCH(C175,ProblemData!$C$78:$AM$78,0)),""),""),"")</f>
        <v/>
      </c>
      <c r="G175" s="324" t="str">
        <f>_xlfn.IFNA(IF(JournalAnswer[[#This Row],[Debit Account]]&lt;&gt;"",INDEX(ProblemData!$C$78:$AM$145,MATCH(J175+0.4,ProblemData!$C$78:$C$145,0),MATCH(C175,ProblemData!$C$78:$AM$78,0)),""),"")</f>
        <v/>
      </c>
      <c r="H175" s="325" t="str">
        <f>_xlfn.IFNA(IF(JournalAnswer[[#This Row],[Credit Account]]&lt;&gt;"",INDEX(ProblemData!$C$78:$AM$145,MATCH(J175+0.4,ProblemData!$C$78:$C$145,0),MATCH(C175,ProblemData!$C$78:$AM$78,0)),""),"")</f>
        <v/>
      </c>
      <c r="I175" s="353" t="str" cm="1">
        <f t="array" ref="I175">IF(JournalAnswer[[#This Row],[Debit Account]]="Cash",INDEX(ProblemData!$E$238:$AM$238,1,JournalAnswer[[#This Row],[Transaction '#]]),IF(JournalAnswer[[#This Row],[Credit Account]]="Cash",INDEX(ProblemData!$E$238:$AM$238,1,JournalAnswer[[#This Row],[Transaction '#]]),""))</f>
        <v/>
      </c>
      <c r="J175" s="85" t="str">
        <f>IF(JournalAnswer[[#This Row],[Transaction '#]]="","",IF(JournalAnswer[[#This Row],[Transaction '#]]=C174,J174+1,1))</f>
        <v/>
      </c>
      <c r="K175" s="37" cm="1">
        <f t="array" ref="K175">IFERROR(_xlfn.IFS(JournalAnswer[[#This Row],[Debit Account]]="Cash",JournalAnswer[[#This Row],[Dr Amt]],JournalAnswer[[#This Row],[Credit Account]]="Cash",-JournalAnswer[[#This Row],[Cr Amt]]),0)</f>
        <v>0</v>
      </c>
      <c r="L175" s="41" t="str" cm="1">
        <f t="array" ref="L175">IFERROR(INDEX(ProblemData!$E$239:$AM$239,1,JournalAnswer[[#This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322" t="str">
        <f t="shared" si="4"/>
        <v/>
      </c>
      <c r="D176" s="323" t="str">
        <f>IFERROR(_xlfn.IFNA(INDEX(ProblemData!$C$78:$AM$145,MATCH(J176+0.1,ProblemData!$C$78:$C$145,0),MATCH(C176,ProblemData!$C$78:$AM$78,0)),""),"")</f>
        <v/>
      </c>
      <c r="E176" s="66" t="str">
        <f>IFERROR(_xlfn.IFNA(IF(INDEX(ProblemData!$C$78:$AM$145,MATCH(J176+0.3,ProblemData!$C$78:$C$145,0),MATCH(C176,ProblemData!$C$78:$AM$78,0))="Debit",INDEX(ProblemData!$C$78:$AM$145,MATCH(J176+0.2,ProblemData!$C$78:$C$145,0),MATCH(C176,ProblemData!$C$78:$AM$78,0)),""),""),"")</f>
        <v/>
      </c>
      <c r="F176" s="66" t="str">
        <f>IFERROR(_xlfn.IFNA(IF(INDEX(ProblemData!$C$78:$AM$145,MATCH(J176+0.3,ProblemData!$C$78:$C$145,0),MATCH(C176,ProblemData!$C$78:$AM$78,0))="Credit",INDEX(ProblemData!$C$78:$AM$145,MATCH(J176+0.2,ProblemData!$C$78:$C$145,0),MATCH(C176,ProblemData!$C$78:$AM$78,0)),""),""),"")</f>
        <v/>
      </c>
      <c r="G176" s="324" t="str">
        <f>_xlfn.IFNA(IF(JournalAnswer[[#This Row],[Debit Account]]&lt;&gt;"",INDEX(ProblemData!$C$78:$AM$145,MATCH(J176+0.4,ProblemData!$C$78:$C$145,0),MATCH(C176,ProblemData!$C$78:$AM$78,0)),""),"")</f>
        <v/>
      </c>
      <c r="H176" s="325" t="str">
        <f>_xlfn.IFNA(IF(JournalAnswer[[#This Row],[Credit Account]]&lt;&gt;"",INDEX(ProblemData!$C$78:$AM$145,MATCH(J176+0.4,ProblemData!$C$78:$C$145,0),MATCH(C176,ProblemData!$C$78:$AM$78,0)),""),"")</f>
        <v/>
      </c>
      <c r="I176" s="353" t="str" cm="1">
        <f t="array" ref="I176">IF(JournalAnswer[[#This Row],[Debit Account]]="Cash",INDEX(ProblemData!$E$238:$AM$238,1,JournalAnswer[[#This Row],[Transaction '#]]),IF(JournalAnswer[[#This Row],[Credit Account]]="Cash",INDEX(ProblemData!$E$238:$AM$238,1,JournalAnswer[[#This Row],[Transaction '#]]),""))</f>
        <v/>
      </c>
      <c r="J176" s="85" t="str">
        <f>IF(JournalAnswer[[#This Row],[Transaction '#]]="","",IF(JournalAnswer[[#This Row],[Transaction '#]]=C175,J175+1,1))</f>
        <v/>
      </c>
      <c r="K176" s="37" cm="1">
        <f t="array" ref="K176">IFERROR(_xlfn.IFS(JournalAnswer[[#This Row],[Debit Account]]="Cash",JournalAnswer[[#This Row],[Dr Amt]],JournalAnswer[[#This Row],[Credit Account]]="Cash",-JournalAnswer[[#This Row],[Cr Amt]]),0)</f>
        <v>0</v>
      </c>
      <c r="L176" s="41" t="str" cm="1">
        <f t="array" ref="L176">IFERROR(INDEX(ProblemData!$E$239:$AM$239,1,JournalAnswer[[#This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322" t="str">
        <f t="shared" si="4"/>
        <v/>
      </c>
      <c r="D177" s="323" t="str">
        <f>IFERROR(_xlfn.IFNA(INDEX(ProblemData!$C$78:$AM$145,MATCH(J177+0.1,ProblemData!$C$78:$C$145,0),MATCH(C177,ProblemData!$C$78:$AM$78,0)),""),"")</f>
        <v/>
      </c>
      <c r="E177" s="66" t="str">
        <f>IFERROR(_xlfn.IFNA(IF(INDEX(ProblemData!$C$78:$AM$145,MATCH(J177+0.3,ProblemData!$C$78:$C$145,0),MATCH(C177,ProblemData!$C$78:$AM$78,0))="Debit",INDEX(ProblemData!$C$78:$AM$145,MATCH(J177+0.2,ProblemData!$C$78:$C$145,0),MATCH(C177,ProblemData!$C$78:$AM$78,0)),""),""),"")</f>
        <v/>
      </c>
      <c r="F177" s="66" t="str">
        <f>IFERROR(_xlfn.IFNA(IF(INDEX(ProblemData!$C$78:$AM$145,MATCH(J177+0.3,ProblemData!$C$78:$C$145,0),MATCH(C177,ProblemData!$C$78:$AM$78,0))="Credit",INDEX(ProblemData!$C$78:$AM$145,MATCH(J177+0.2,ProblemData!$C$78:$C$145,0),MATCH(C177,ProblemData!$C$78:$AM$78,0)),""),""),"")</f>
        <v/>
      </c>
      <c r="G177" s="324" t="str">
        <f>_xlfn.IFNA(IF(JournalAnswer[[#This Row],[Debit Account]]&lt;&gt;"",INDEX(ProblemData!$C$78:$AM$145,MATCH(J177+0.4,ProblemData!$C$78:$C$145,0),MATCH(C177,ProblemData!$C$78:$AM$78,0)),""),"")</f>
        <v/>
      </c>
      <c r="H177" s="325" t="str">
        <f>_xlfn.IFNA(IF(JournalAnswer[[#This Row],[Credit Account]]&lt;&gt;"",INDEX(ProblemData!$C$78:$AM$145,MATCH(J177+0.4,ProblemData!$C$78:$C$145,0),MATCH(C177,ProblemData!$C$78:$AM$78,0)),""),"")</f>
        <v/>
      </c>
      <c r="I177" s="353" t="str" cm="1">
        <f t="array" ref="I177">IF(JournalAnswer[[#This Row],[Debit Account]]="Cash",INDEX(ProblemData!$E$238:$AM$238,1,JournalAnswer[[#This Row],[Transaction '#]]),IF(JournalAnswer[[#This Row],[Credit Account]]="Cash",INDEX(ProblemData!$E$238:$AM$238,1,JournalAnswer[[#This Row],[Transaction '#]]),""))</f>
        <v/>
      </c>
      <c r="J177" s="85" t="str">
        <f>IF(JournalAnswer[[#This Row],[Transaction '#]]="","",IF(JournalAnswer[[#This Row],[Transaction '#]]=C176,J176+1,1))</f>
        <v/>
      </c>
      <c r="K177" s="37" cm="1">
        <f t="array" ref="K177">IFERROR(_xlfn.IFS(JournalAnswer[[#This Row],[Debit Account]]="Cash",JournalAnswer[[#This Row],[Dr Amt]],JournalAnswer[[#This Row],[Credit Account]]="Cash",-JournalAnswer[[#This Row],[Cr Amt]]),0)</f>
        <v>0</v>
      </c>
      <c r="L177" s="41" t="str" cm="1">
        <f t="array" ref="L177">IFERROR(INDEX(ProblemData!$E$239:$AM$239,1,JournalAnswer[[#This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322" t="str">
        <f t="shared" si="4"/>
        <v/>
      </c>
      <c r="D178" s="323" t="str">
        <f>IFERROR(_xlfn.IFNA(INDEX(ProblemData!$C$78:$AM$145,MATCH(J178+0.1,ProblemData!$C$78:$C$145,0),MATCH(C178,ProblemData!$C$78:$AM$78,0)),""),"")</f>
        <v/>
      </c>
      <c r="E178" s="66" t="str">
        <f>IFERROR(_xlfn.IFNA(IF(INDEX(ProblemData!$C$78:$AM$145,MATCH(J178+0.3,ProblemData!$C$78:$C$145,0),MATCH(C178,ProblemData!$C$78:$AM$78,0))="Debit",INDEX(ProblemData!$C$78:$AM$145,MATCH(J178+0.2,ProblemData!$C$78:$C$145,0),MATCH(C178,ProblemData!$C$78:$AM$78,0)),""),""),"")</f>
        <v/>
      </c>
      <c r="F178" s="66" t="str">
        <f>IFERROR(_xlfn.IFNA(IF(INDEX(ProblemData!$C$78:$AM$145,MATCH(J178+0.3,ProblemData!$C$78:$C$145,0),MATCH(C178,ProblemData!$C$78:$AM$78,0))="Credit",INDEX(ProblemData!$C$78:$AM$145,MATCH(J178+0.2,ProblemData!$C$78:$C$145,0),MATCH(C178,ProblemData!$C$78:$AM$78,0)),""),""),"")</f>
        <v/>
      </c>
      <c r="G178" s="324" t="str">
        <f>_xlfn.IFNA(IF(JournalAnswer[[#This Row],[Debit Account]]&lt;&gt;"",INDEX(ProblemData!$C$78:$AM$145,MATCH(J178+0.4,ProblemData!$C$78:$C$145,0),MATCH(C178,ProblemData!$C$78:$AM$78,0)),""),"")</f>
        <v/>
      </c>
      <c r="H178" s="325" t="str">
        <f>_xlfn.IFNA(IF(JournalAnswer[[#This Row],[Credit Account]]&lt;&gt;"",INDEX(ProblemData!$C$78:$AM$145,MATCH(J178+0.4,ProblemData!$C$78:$C$145,0),MATCH(C178,ProblemData!$C$78:$AM$78,0)),""),"")</f>
        <v/>
      </c>
      <c r="I178" s="353" t="str" cm="1">
        <f t="array" ref="I178">IF(JournalAnswer[[#This Row],[Debit Account]]="Cash",INDEX(ProblemData!$E$238:$AM$238,1,JournalAnswer[[#This Row],[Transaction '#]]),IF(JournalAnswer[[#This Row],[Credit Account]]="Cash",INDEX(ProblemData!$E$238:$AM$238,1,JournalAnswer[[#This Row],[Transaction '#]]),""))</f>
        <v/>
      </c>
      <c r="J178" s="85" t="str">
        <f>IF(JournalAnswer[[#This Row],[Transaction '#]]="","",IF(JournalAnswer[[#This Row],[Transaction '#]]=C177,J177+1,1))</f>
        <v/>
      </c>
      <c r="K178" s="37" cm="1">
        <f t="array" ref="K178">IFERROR(_xlfn.IFS(JournalAnswer[[#This Row],[Debit Account]]="Cash",JournalAnswer[[#This Row],[Dr Amt]],JournalAnswer[[#This Row],[Credit Account]]="Cash",-JournalAnswer[[#This Row],[Cr Amt]]),0)</f>
        <v>0</v>
      </c>
      <c r="L178" s="41" t="str" cm="1">
        <f t="array" ref="L178">IFERROR(INDEX(ProblemData!$E$239:$AM$239,1,JournalAnswer[[#This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322" t="str">
        <f t="shared" si="4"/>
        <v/>
      </c>
      <c r="D179" s="323" t="str">
        <f>IFERROR(_xlfn.IFNA(INDEX(ProblemData!$C$78:$AM$145,MATCH(J179+0.1,ProblemData!$C$78:$C$145,0),MATCH(C179,ProblemData!$C$78:$AM$78,0)),""),"")</f>
        <v/>
      </c>
      <c r="E179" s="66" t="str">
        <f>IFERROR(_xlfn.IFNA(IF(INDEX(ProblemData!$C$78:$AM$145,MATCH(J179+0.3,ProblemData!$C$78:$C$145,0),MATCH(C179,ProblemData!$C$78:$AM$78,0))="Debit",INDEX(ProblemData!$C$78:$AM$145,MATCH(J179+0.2,ProblemData!$C$78:$C$145,0),MATCH(C179,ProblemData!$C$78:$AM$78,0)),""),""),"")</f>
        <v/>
      </c>
      <c r="F179" s="66" t="str">
        <f>IFERROR(_xlfn.IFNA(IF(INDEX(ProblemData!$C$78:$AM$145,MATCH(J179+0.3,ProblemData!$C$78:$C$145,0),MATCH(C179,ProblemData!$C$78:$AM$78,0))="Credit",INDEX(ProblemData!$C$78:$AM$145,MATCH(J179+0.2,ProblemData!$C$78:$C$145,0),MATCH(C179,ProblemData!$C$78:$AM$78,0)),""),""),"")</f>
        <v/>
      </c>
      <c r="G179" s="324" t="str">
        <f>_xlfn.IFNA(IF(JournalAnswer[[#This Row],[Debit Account]]&lt;&gt;"",INDEX(ProblemData!$C$78:$AM$145,MATCH(J179+0.4,ProblemData!$C$78:$C$145,0),MATCH(C179,ProblemData!$C$78:$AM$78,0)),""),"")</f>
        <v/>
      </c>
      <c r="H179" s="325" t="str">
        <f>_xlfn.IFNA(IF(JournalAnswer[[#This Row],[Credit Account]]&lt;&gt;"",INDEX(ProblemData!$C$78:$AM$145,MATCH(J179+0.4,ProblemData!$C$78:$C$145,0),MATCH(C179,ProblemData!$C$78:$AM$78,0)),""),"")</f>
        <v/>
      </c>
      <c r="I179" s="353" t="str" cm="1">
        <f t="array" ref="I179">IF(JournalAnswer[[#This Row],[Debit Account]]="Cash",INDEX(ProblemData!$E$238:$AM$238,1,JournalAnswer[[#This Row],[Transaction '#]]),IF(JournalAnswer[[#This Row],[Credit Account]]="Cash",INDEX(ProblemData!$E$238:$AM$238,1,JournalAnswer[[#This Row],[Transaction '#]]),""))</f>
        <v/>
      </c>
      <c r="J179" s="85" t="str">
        <f>IF(JournalAnswer[[#This Row],[Transaction '#]]="","",IF(JournalAnswer[[#This Row],[Transaction '#]]=C178,J178+1,1))</f>
        <v/>
      </c>
      <c r="K179" s="37" cm="1">
        <f t="array" ref="K179">IFERROR(_xlfn.IFS(JournalAnswer[[#This Row],[Debit Account]]="Cash",JournalAnswer[[#This Row],[Dr Amt]],JournalAnswer[[#This Row],[Credit Account]]="Cash",-JournalAnswer[[#This Row],[Cr Amt]]),0)</f>
        <v>0</v>
      </c>
      <c r="L179" s="41" t="str" cm="1">
        <f t="array" ref="L179">IFERROR(INDEX(ProblemData!$E$239:$AM$239,1,JournalAnswer[[#This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322" t="str">
        <f t="shared" si="4"/>
        <v/>
      </c>
      <c r="D180" s="323" t="str">
        <f>IFERROR(_xlfn.IFNA(INDEX(ProblemData!$C$78:$AM$145,MATCH(J180+0.1,ProblemData!$C$78:$C$145,0),MATCH(C180,ProblemData!$C$78:$AM$78,0)),""),"")</f>
        <v/>
      </c>
      <c r="E180" s="66" t="str">
        <f>IFERROR(_xlfn.IFNA(IF(INDEX(ProblemData!$C$78:$AM$145,MATCH(J180+0.3,ProblemData!$C$78:$C$145,0),MATCH(C180,ProblemData!$C$78:$AM$78,0))="Debit",INDEX(ProblemData!$C$78:$AM$145,MATCH(J180+0.2,ProblemData!$C$78:$C$145,0),MATCH(C180,ProblemData!$C$78:$AM$78,0)),""),""),"")</f>
        <v/>
      </c>
      <c r="F180" s="66" t="str">
        <f>IFERROR(_xlfn.IFNA(IF(INDEX(ProblemData!$C$78:$AM$145,MATCH(J180+0.3,ProblemData!$C$78:$C$145,0),MATCH(C180,ProblemData!$C$78:$AM$78,0))="Credit",INDEX(ProblemData!$C$78:$AM$145,MATCH(J180+0.2,ProblemData!$C$78:$C$145,0),MATCH(C180,ProblemData!$C$78:$AM$78,0)),""),""),"")</f>
        <v/>
      </c>
      <c r="G180" s="324" t="str">
        <f>_xlfn.IFNA(IF(JournalAnswer[[#This Row],[Debit Account]]&lt;&gt;"",INDEX(ProblemData!$C$78:$AM$145,MATCH(J180+0.4,ProblemData!$C$78:$C$145,0),MATCH(C180,ProblemData!$C$78:$AM$78,0)),""),"")</f>
        <v/>
      </c>
      <c r="H180" s="325" t="str">
        <f>_xlfn.IFNA(IF(JournalAnswer[[#This Row],[Credit Account]]&lt;&gt;"",INDEX(ProblemData!$C$78:$AM$145,MATCH(J180+0.4,ProblemData!$C$78:$C$145,0),MATCH(C180,ProblemData!$C$78:$AM$78,0)),""),"")</f>
        <v/>
      </c>
      <c r="I180" s="353" t="str" cm="1">
        <f t="array" ref="I180">IF(JournalAnswer[[#This Row],[Debit Account]]="Cash",INDEX(ProblemData!$E$238:$AM$238,1,JournalAnswer[[#This Row],[Transaction '#]]),IF(JournalAnswer[[#This Row],[Credit Account]]="Cash",INDEX(ProblemData!$E$238:$AM$238,1,JournalAnswer[[#This Row],[Transaction '#]]),""))</f>
        <v/>
      </c>
      <c r="J180" s="85" t="str">
        <f>IF(JournalAnswer[[#This Row],[Transaction '#]]="","",IF(JournalAnswer[[#This Row],[Transaction '#]]=C179,J179+1,1))</f>
        <v/>
      </c>
      <c r="K180" s="37" cm="1">
        <f t="array" ref="K180">IFERROR(_xlfn.IFS(JournalAnswer[[#This Row],[Debit Account]]="Cash",JournalAnswer[[#This Row],[Dr Amt]],JournalAnswer[[#This Row],[Credit Account]]="Cash",-JournalAnswer[[#This Row],[Cr Amt]]),0)</f>
        <v>0</v>
      </c>
      <c r="L180" s="41" t="str" cm="1">
        <f t="array" ref="L180">IFERROR(INDEX(ProblemData!$E$239:$AM$239,1,JournalAnswer[[#This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322" t="str">
        <f t="shared" si="4"/>
        <v/>
      </c>
      <c r="D181" s="323" t="str">
        <f>IFERROR(_xlfn.IFNA(INDEX(ProblemData!$C$78:$AM$145,MATCH(J181+0.1,ProblemData!$C$78:$C$145,0),MATCH(C181,ProblemData!$C$78:$AM$78,0)),""),"")</f>
        <v/>
      </c>
      <c r="E181" s="66" t="str">
        <f>IFERROR(_xlfn.IFNA(IF(INDEX(ProblemData!$C$78:$AM$145,MATCH(J181+0.3,ProblemData!$C$78:$C$145,0),MATCH(C181,ProblemData!$C$78:$AM$78,0))="Debit",INDEX(ProblemData!$C$78:$AM$145,MATCH(J181+0.2,ProblemData!$C$78:$C$145,0),MATCH(C181,ProblemData!$C$78:$AM$78,0)),""),""),"")</f>
        <v/>
      </c>
      <c r="F181" s="66" t="str">
        <f>IFERROR(_xlfn.IFNA(IF(INDEX(ProblemData!$C$78:$AM$145,MATCH(J181+0.3,ProblemData!$C$78:$C$145,0),MATCH(C181,ProblemData!$C$78:$AM$78,0))="Credit",INDEX(ProblemData!$C$78:$AM$145,MATCH(J181+0.2,ProblemData!$C$78:$C$145,0),MATCH(C181,ProblemData!$C$78:$AM$78,0)),""),""),"")</f>
        <v/>
      </c>
      <c r="G181" s="324" t="str">
        <f>_xlfn.IFNA(IF(JournalAnswer[[#This Row],[Debit Account]]&lt;&gt;"",INDEX(ProblemData!$C$78:$AM$145,MATCH(J181+0.4,ProblemData!$C$78:$C$145,0),MATCH(C181,ProblemData!$C$78:$AM$78,0)),""),"")</f>
        <v/>
      </c>
      <c r="H181" s="325" t="str">
        <f>_xlfn.IFNA(IF(JournalAnswer[[#This Row],[Credit Account]]&lt;&gt;"",INDEX(ProblemData!$C$78:$AM$145,MATCH(J181+0.4,ProblemData!$C$78:$C$145,0),MATCH(C181,ProblemData!$C$78:$AM$78,0)),""),"")</f>
        <v/>
      </c>
      <c r="I181" s="353" t="str" cm="1">
        <f t="array" ref="I181">IF(JournalAnswer[[#This Row],[Debit Account]]="Cash",INDEX(ProblemData!$E$238:$AM$238,1,JournalAnswer[[#This Row],[Transaction '#]]),IF(JournalAnswer[[#This Row],[Credit Account]]="Cash",INDEX(ProblemData!$E$238:$AM$238,1,JournalAnswer[[#This Row],[Transaction '#]]),""))</f>
        <v/>
      </c>
      <c r="J181" s="85" t="str">
        <f>IF(JournalAnswer[[#This Row],[Transaction '#]]="","",IF(JournalAnswer[[#This Row],[Transaction '#]]=C180,J180+1,1))</f>
        <v/>
      </c>
      <c r="K181" s="37" cm="1">
        <f t="array" ref="K181">IFERROR(_xlfn.IFS(JournalAnswer[[#This Row],[Debit Account]]="Cash",JournalAnswer[[#This Row],[Dr Amt]],JournalAnswer[[#This Row],[Credit Account]]="Cash",-JournalAnswer[[#This Row],[Cr Amt]]),0)</f>
        <v>0</v>
      </c>
      <c r="L181" s="41" t="str" cm="1">
        <f t="array" ref="L181">IFERROR(INDEX(ProblemData!$E$239:$AM$239,1,JournalAnswer[[#This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322" t="str">
        <f t="shared" si="4"/>
        <v/>
      </c>
      <c r="D182" s="323" t="str">
        <f>IFERROR(_xlfn.IFNA(INDEX(ProblemData!$C$78:$AM$145,MATCH(J182+0.1,ProblemData!$C$78:$C$145,0),MATCH(C182,ProblemData!$C$78:$AM$78,0)),""),"")</f>
        <v/>
      </c>
      <c r="E182" s="66" t="str">
        <f>IFERROR(_xlfn.IFNA(IF(INDEX(ProblemData!$C$78:$AM$145,MATCH(J182+0.3,ProblemData!$C$78:$C$145,0),MATCH(C182,ProblemData!$C$78:$AM$78,0))="Debit",INDEX(ProblemData!$C$78:$AM$145,MATCH(J182+0.2,ProblemData!$C$78:$C$145,0),MATCH(C182,ProblemData!$C$78:$AM$78,0)),""),""),"")</f>
        <v/>
      </c>
      <c r="F182" s="66" t="str">
        <f>IFERROR(_xlfn.IFNA(IF(INDEX(ProblemData!$C$78:$AM$145,MATCH(J182+0.3,ProblemData!$C$78:$C$145,0),MATCH(C182,ProblemData!$C$78:$AM$78,0))="Credit",INDEX(ProblemData!$C$78:$AM$145,MATCH(J182+0.2,ProblemData!$C$78:$C$145,0),MATCH(C182,ProblemData!$C$78:$AM$78,0)),""),""),"")</f>
        <v/>
      </c>
      <c r="G182" s="324" t="str">
        <f>_xlfn.IFNA(IF(JournalAnswer[[#This Row],[Debit Account]]&lt;&gt;"",INDEX(ProblemData!$C$78:$AM$145,MATCH(J182+0.4,ProblemData!$C$78:$C$145,0),MATCH(C182,ProblemData!$C$78:$AM$78,0)),""),"")</f>
        <v/>
      </c>
      <c r="H182" s="325" t="str">
        <f>_xlfn.IFNA(IF(JournalAnswer[[#This Row],[Credit Account]]&lt;&gt;"",INDEX(ProblemData!$C$78:$AM$145,MATCH(J182+0.4,ProblemData!$C$78:$C$145,0),MATCH(C182,ProblemData!$C$78:$AM$78,0)),""),"")</f>
        <v/>
      </c>
      <c r="I182" s="353" t="str" cm="1">
        <f t="array" ref="I182">IF(JournalAnswer[[#This Row],[Debit Account]]="Cash",INDEX(ProblemData!$E$238:$AM$238,1,JournalAnswer[[#This Row],[Transaction '#]]),IF(JournalAnswer[[#This Row],[Credit Account]]="Cash",INDEX(ProblemData!$E$238:$AM$238,1,JournalAnswer[[#This Row],[Transaction '#]]),""))</f>
        <v/>
      </c>
      <c r="J182" s="85" t="str">
        <f>IF(JournalAnswer[[#This Row],[Transaction '#]]="","",IF(JournalAnswer[[#This Row],[Transaction '#]]=C181,J181+1,1))</f>
        <v/>
      </c>
      <c r="K182" s="37" cm="1">
        <f t="array" ref="K182">IFERROR(_xlfn.IFS(JournalAnswer[[#This Row],[Debit Account]]="Cash",JournalAnswer[[#This Row],[Dr Amt]],JournalAnswer[[#This Row],[Credit Account]]="Cash",-JournalAnswer[[#This Row],[Cr Amt]]),0)</f>
        <v>0</v>
      </c>
      <c r="L182" s="41" t="str" cm="1">
        <f t="array" ref="L182">IFERROR(INDEX(ProblemData!$E$239:$AM$239,1,JournalAnswer[[#This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322" t="str">
        <f t="shared" si="4"/>
        <v/>
      </c>
      <c r="D183" s="323" t="str">
        <f>IFERROR(_xlfn.IFNA(INDEX(ProblemData!$C$78:$AM$145,MATCH(J183+0.1,ProblemData!$C$78:$C$145,0),MATCH(C183,ProblemData!$C$78:$AM$78,0)),""),"")</f>
        <v/>
      </c>
      <c r="E183" s="66" t="str">
        <f>IFERROR(_xlfn.IFNA(IF(INDEX(ProblemData!$C$78:$AM$145,MATCH(J183+0.3,ProblemData!$C$78:$C$145,0),MATCH(C183,ProblemData!$C$78:$AM$78,0))="Debit",INDEX(ProblemData!$C$78:$AM$145,MATCH(J183+0.2,ProblemData!$C$78:$C$145,0),MATCH(C183,ProblemData!$C$78:$AM$78,0)),""),""),"")</f>
        <v/>
      </c>
      <c r="F183" s="66" t="str">
        <f>IFERROR(_xlfn.IFNA(IF(INDEX(ProblemData!$C$78:$AM$145,MATCH(J183+0.3,ProblemData!$C$78:$C$145,0),MATCH(C183,ProblemData!$C$78:$AM$78,0))="Credit",INDEX(ProblemData!$C$78:$AM$145,MATCH(J183+0.2,ProblemData!$C$78:$C$145,0),MATCH(C183,ProblemData!$C$78:$AM$78,0)),""),""),"")</f>
        <v/>
      </c>
      <c r="G183" s="324" t="str">
        <f>_xlfn.IFNA(IF(JournalAnswer[[#This Row],[Debit Account]]&lt;&gt;"",INDEX(ProblemData!$C$78:$AM$145,MATCH(J183+0.4,ProblemData!$C$78:$C$145,0),MATCH(C183,ProblemData!$C$78:$AM$78,0)),""),"")</f>
        <v/>
      </c>
      <c r="H183" s="325" t="str">
        <f>_xlfn.IFNA(IF(JournalAnswer[[#This Row],[Credit Account]]&lt;&gt;"",INDEX(ProblemData!$C$78:$AM$145,MATCH(J183+0.4,ProblemData!$C$78:$C$145,0),MATCH(C183,ProblemData!$C$78:$AM$78,0)),""),"")</f>
        <v/>
      </c>
      <c r="I183" s="353" t="str" cm="1">
        <f t="array" ref="I183">IF(JournalAnswer[[#This Row],[Debit Account]]="Cash",INDEX(ProblemData!$E$238:$AM$238,1,JournalAnswer[[#This Row],[Transaction '#]]),IF(JournalAnswer[[#This Row],[Credit Account]]="Cash",INDEX(ProblemData!$E$238:$AM$238,1,JournalAnswer[[#This Row],[Transaction '#]]),""))</f>
        <v/>
      </c>
      <c r="J183" s="85" t="str">
        <f>IF(JournalAnswer[[#This Row],[Transaction '#]]="","",IF(JournalAnswer[[#This Row],[Transaction '#]]=C182,J182+1,1))</f>
        <v/>
      </c>
      <c r="K183" s="37" cm="1">
        <f t="array" ref="K183">IFERROR(_xlfn.IFS(JournalAnswer[[#This Row],[Debit Account]]="Cash",JournalAnswer[[#This Row],[Dr Amt]],JournalAnswer[[#This Row],[Credit Account]]="Cash",-JournalAnswer[[#This Row],[Cr Amt]]),0)</f>
        <v>0</v>
      </c>
      <c r="L183" s="41" t="str" cm="1">
        <f t="array" ref="L183">IFERROR(INDEX(ProblemData!$E$239:$AM$239,1,JournalAnswer[[#This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322" t="str">
        <f t="shared" si="4"/>
        <v/>
      </c>
      <c r="D184" s="323" t="str">
        <f>IFERROR(_xlfn.IFNA(INDEX(ProblemData!$C$78:$AM$145,MATCH(J184+0.1,ProblemData!$C$78:$C$145,0),MATCH(C184,ProblemData!$C$78:$AM$78,0)),""),"")</f>
        <v/>
      </c>
      <c r="E184" s="66" t="str">
        <f>IFERROR(_xlfn.IFNA(IF(INDEX(ProblemData!$C$78:$AM$145,MATCH(J184+0.3,ProblemData!$C$78:$C$145,0),MATCH(C184,ProblemData!$C$78:$AM$78,0))="Debit",INDEX(ProblemData!$C$78:$AM$145,MATCH(J184+0.2,ProblemData!$C$78:$C$145,0),MATCH(C184,ProblemData!$C$78:$AM$78,0)),""),""),"")</f>
        <v/>
      </c>
      <c r="F184" s="66" t="str">
        <f>IFERROR(_xlfn.IFNA(IF(INDEX(ProblemData!$C$78:$AM$145,MATCH(J184+0.3,ProblemData!$C$78:$C$145,0),MATCH(C184,ProblemData!$C$78:$AM$78,0))="Credit",INDEX(ProblemData!$C$78:$AM$145,MATCH(J184+0.2,ProblemData!$C$78:$C$145,0),MATCH(C184,ProblemData!$C$78:$AM$78,0)),""),""),"")</f>
        <v/>
      </c>
      <c r="G184" s="324" t="str">
        <f>_xlfn.IFNA(IF(JournalAnswer[[#This Row],[Debit Account]]&lt;&gt;"",INDEX(ProblemData!$C$78:$AM$145,MATCH(J184+0.4,ProblemData!$C$78:$C$145,0),MATCH(C184,ProblemData!$C$78:$AM$78,0)),""),"")</f>
        <v/>
      </c>
      <c r="H184" s="325" t="str">
        <f>_xlfn.IFNA(IF(JournalAnswer[[#This Row],[Credit Account]]&lt;&gt;"",INDEX(ProblemData!$C$78:$AM$145,MATCH(J184+0.4,ProblemData!$C$78:$C$145,0),MATCH(C184,ProblemData!$C$78:$AM$78,0)),""),"")</f>
        <v/>
      </c>
      <c r="I184" s="353" t="str" cm="1">
        <f t="array" ref="I184">IF(JournalAnswer[[#This Row],[Debit Account]]="Cash",INDEX(ProblemData!$E$238:$AM$238,1,JournalAnswer[[#This Row],[Transaction '#]]),IF(JournalAnswer[[#This Row],[Credit Account]]="Cash",INDEX(ProblemData!$E$238:$AM$238,1,JournalAnswer[[#This Row],[Transaction '#]]),""))</f>
        <v/>
      </c>
      <c r="J184" s="85" t="str">
        <f>IF(JournalAnswer[[#This Row],[Transaction '#]]="","",IF(JournalAnswer[[#This Row],[Transaction '#]]=C183,J183+1,1))</f>
        <v/>
      </c>
      <c r="K184" s="37" cm="1">
        <f t="array" ref="K184">IFERROR(_xlfn.IFS(JournalAnswer[[#This Row],[Debit Account]]="Cash",JournalAnswer[[#This Row],[Dr Amt]],JournalAnswer[[#This Row],[Credit Account]]="Cash",-JournalAnswer[[#This Row],[Cr Amt]]),0)</f>
        <v>0</v>
      </c>
      <c r="L184" s="41" t="str" cm="1">
        <f t="array" ref="L184">IFERROR(INDEX(ProblemData!$E$239:$AM$239,1,JournalAnswer[[#This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322" t="str">
        <f t="shared" si="4"/>
        <v/>
      </c>
      <c r="D185" s="323" t="str">
        <f>IFERROR(_xlfn.IFNA(INDEX(ProblemData!$C$78:$AM$145,MATCH(J185+0.1,ProblemData!$C$78:$C$145,0),MATCH(C185,ProblemData!$C$78:$AM$78,0)),""),"")</f>
        <v/>
      </c>
      <c r="E185" s="66" t="str">
        <f>IFERROR(_xlfn.IFNA(IF(INDEX(ProblemData!$C$78:$AM$145,MATCH(J185+0.3,ProblemData!$C$78:$C$145,0),MATCH(C185,ProblemData!$C$78:$AM$78,0))="Debit",INDEX(ProblemData!$C$78:$AM$145,MATCH(J185+0.2,ProblemData!$C$78:$C$145,0),MATCH(C185,ProblemData!$C$78:$AM$78,0)),""),""),"")</f>
        <v/>
      </c>
      <c r="F185" s="66" t="str">
        <f>IFERROR(_xlfn.IFNA(IF(INDEX(ProblemData!$C$78:$AM$145,MATCH(J185+0.3,ProblemData!$C$78:$C$145,0),MATCH(C185,ProblemData!$C$78:$AM$78,0))="Credit",INDEX(ProblemData!$C$78:$AM$145,MATCH(J185+0.2,ProblemData!$C$78:$C$145,0),MATCH(C185,ProblemData!$C$78:$AM$78,0)),""),""),"")</f>
        <v/>
      </c>
      <c r="G185" s="324" t="str">
        <f>_xlfn.IFNA(IF(JournalAnswer[[#This Row],[Debit Account]]&lt;&gt;"",INDEX(ProblemData!$C$78:$AM$145,MATCH(J185+0.4,ProblemData!$C$78:$C$145,0),MATCH(C185,ProblemData!$C$78:$AM$78,0)),""),"")</f>
        <v/>
      </c>
      <c r="H185" s="325" t="str">
        <f>_xlfn.IFNA(IF(JournalAnswer[[#This Row],[Credit Account]]&lt;&gt;"",INDEX(ProblemData!$C$78:$AM$145,MATCH(J185+0.4,ProblemData!$C$78:$C$145,0),MATCH(C185,ProblemData!$C$78:$AM$78,0)),""),"")</f>
        <v/>
      </c>
      <c r="I185" s="353" t="str" cm="1">
        <f t="array" ref="I185">IF(JournalAnswer[[#This Row],[Debit Account]]="Cash",INDEX(ProblemData!$E$238:$AM$238,1,JournalAnswer[[#This Row],[Transaction '#]]),IF(JournalAnswer[[#This Row],[Credit Account]]="Cash",INDEX(ProblemData!$E$238:$AM$238,1,JournalAnswer[[#This Row],[Transaction '#]]),""))</f>
        <v/>
      </c>
      <c r="J185" s="85" t="str">
        <f>IF(JournalAnswer[[#This Row],[Transaction '#]]="","",IF(JournalAnswer[[#This Row],[Transaction '#]]=C184,J184+1,1))</f>
        <v/>
      </c>
      <c r="K185" s="37" cm="1">
        <f t="array" ref="K185">IFERROR(_xlfn.IFS(JournalAnswer[[#This Row],[Debit Account]]="Cash",JournalAnswer[[#This Row],[Dr Amt]],JournalAnswer[[#This Row],[Credit Account]]="Cash",-JournalAnswer[[#This Row],[Cr Amt]]),0)</f>
        <v>0</v>
      </c>
      <c r="L185" s="41" t="str" cm="1">
        <f t="array" ref="L185">IFERROR(INDEX(ProblemData!$E$239:$AM$239,1,JournalAnswer[[#This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322" t="str">
        <f t="shared" si="4"/>
        <v/>
      </c>
      <c r="D186" s="323" t="str">
        <f>IFERROR(_xlfn.IFNA(INDEX(ProblemData!$C$78:$AM$145,MATCH(J186+0.1,ProblemData!$C$78:$C$145,0),MATCH(C186,ProblemData!$C$78:$AM$78,0)),""),"")</f>
        <v/>
      </c>
      <c r="E186" s="66" t="str">
        <f>IFERROR(_xlfn.IFNA(IF(INDEX(ProblemData!$C$78:$AM$145,MATCH(J186+0.3,ProblemData!$C$78:$C$145,0),MATCH(C186,ProblemData!$C$78:$AM$78,0))="Debit",INDEX(ProblemData!$C$78:$AM$145,MATCH(J186+0.2,ProblemData!$C$78:$C$145,0),MATCH(C186,ProblemData!$C$78:$AM$78,0)),""),""),"")</f>
        <v/>
      </c>
      <c r="F186" s="66" t="str">
        <f>IFERROR(_xlfn.IFNA(IF(INDEX(ProblemData!$C$78:$AM$145,MATCH(J186+0.3,ProblemData!$C$78:$C$145,0),MATCH(C186,ProblemData!$C$78:$AM$78,0))="Credit",INDEX(ProblemData!$C$78:$AM$145,MATCH(J186+0.2,ProblemData!$C$78:$C$145,0),MATCH(C186,ProblemData!$C$78:$AM$78,0)),""),""),"")</f>
        <v/>
      </c>
      <c r="G186" s="324" t="str">
        <f>_xlfn.IFNA(IF(JournalAnswer[[#This Row],[Debit Account]]&lt;&gt;"",INDEX(ProblemData!$C$78:$AM$145,MATCH(J186+0.4,ProblemData!$C$78:$C$145,0),MATCH(C186,ProblemData!$C$78:$AM$78,0)),""),"")</f>
        <v/>
      </c>
      <c r="H186" s="325" t="str">
        <f>_xlfn.IFNA(IF(JournalAnswer[[#This Row],[Credit Account]]&lt;&gt;"",INDEX(ProblemData!$C$78:$AM$145,MATCH(J186+0.4,ProblemData!$C$78:$C$145,0),MATCH(C186,ProblemData!$C$78:$AM$78,0)),""),"")</f>
        <v/>
      </c>
      <c r="I186" s="353" t="str" cm="1">
        <f t="array" ref="I186">IF(JournalAnswer[[#This Row],[Debit Account]]="Cash",INDEX(ProblemData!$E$238:$AM$238,1,JournalAnswer[[#This Row],[Transaction '#]]),IF(JournalAnswer[[#This Row],[Credit Account]]="Cash",INDEX(ProblemData!$E$238:$AM$238,1,JournalAnswer[[#This Row],[Transaction '#]]),""))</f>
        <v/>
      </c>
      <c r="J186" s="85" t="str">
        <f>IF(JournalAnswer[[#This Row],[Transaction '#]]="","",IF(JournalAnswer[[#This Row],[Transaction '#]]=C185,J185+1,1))</f>
        <v/>
      </c>
      <c r="K186" s="37" cm="1">
        <f t="array" ref="K186">IFERROR(_xlfn.IFS(JournalAnswer[[#This Row],[Debit Account]]="Cash",JournalAnswer[[#This Row],[Dr Amt]],JournalAnswer[[#This Row],[Credit Account]]="Cash",-JournalAnswer[[#This Row],[Cr Amt]]),0)</f>
        <v>0</v>
      </c>
      <c r="L186" s="41" t="str" cm="1">
        <f t="array" ref="L186">IFERROR(INDEX(ProblemData!$E$239:$AM$239,1,JournalAnswer[[#This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322" t="str">
        <f t="shared" si="4"/>
        <v/>
      </c>
      <c r="D187" s="323" t="str">
        <f>IFERROR(_xlfn.IFNA(INDEX(ProblemData!$C$78:$AM$145,MATCH(J187+0.1,ProblemData!$C$78:$C$145,0),MATCH(C187,ProblemData!$C$78:$AM$78,0)),""),"")</f>
        <v/>
      </c>
      <c r="E187" s="66" t="str">
        <f>IFERROR(_xlfn.IFNA(IF(INDEX(ProblemData!$C$78:$AM$145,MATCH(J187+0.3,ProblemData!$C$78:$C$145,0),MATCH(C187,ProblemData!$C$78:$AM$78,0))="Debit",INDEX(ProblemData!$C$78:$AM$145,MATCH(J187+0.2,ProblemData!$C$78:$C$145,0),MATCH(C187,ProblemData!$C$78:$AM$78,0)),""),""),"")</f>
        <v/>
      </c>
      <c r="F187" s="66" t="str">
        <f>IFERROR(_xlfn.IFNA(IF(INDEX(ProblemData!$C$78:$AM$145,MATCH(J187+0.3,ProblemData!$C$78:$C$145,0),MATCH(C187,ProblemData!$C$78:$AM$78,0))="Credit",INDEX(ProblemData!$C$78:$AM$145,MATCH(J187+0.2,ProblemData!$C$78:$C$145,0),MATCH(C187,ProblemData!$C$78:$AM$78,0)),""),""),"")</f>
        <v/>
      </c>
      <c r="G187" s="324" t="str">
        <f>_xlfn.IFNA(IF(JournalAnswer[[#This Row],[Debit Account]]&lt;&gt;"",INDEX(ProblemData!$C$78:$AM$145,MATCH(J187+0.4,ProblemData!$C$78:$C$145,0),MATCH(C187,ProblemData!$C$78:$AM$78,0)),""),"")</f>
        <v/>
      </c>
      <c r="H187" s="325" t="str">
        <f>_xlfn.IFNA(IF(JournalAnswer[[#This Row],[Credit Account]]&lt;&gt;"",INDEX(ProblemData!$C$78:$AM$145,MATCH(J187+0.4,ProblemData!$C$78:$C$145,0),MATCH(C187,ProblemData!$C$78:$AM$78,0)),""),"")</f>
        <v/>
      </c>
      <c r="I187" s="353" t="str" cm="1">
        <f t="array" ref="I187">IF(JournalAnswer[[#This Row],[Debit Account]]="Cash",INDEX(ProblemData!$E$238:$AM$238,1,JournalAnswer[[#This Row],[Transaction '#]]),IF(JournalAnswer[[#This Row],[Credit Account]]="Cash",INDEX(ProblemData!$E$238:$AM$238,1,JournalAnswer[[#This Row],[Transaction '#]]),""))</f>
        <v/>
      </c>
      <c r="J187" s="85" t="str">
        <f>IF(JournalAnswer[[#This Row],[Transaction '#]]="","",IF(JournalAnswer[[#This Row],[Transaction '#]]=C186,J186+1,1))</f>
        <v/>
      </c>
      <c r="K187" s="37" cm="1">
        <f t="array" ref="K187">IFERROR(_xlfn.IFS(JournalAnswer[[#This Row],[Debit Account]]="Cash",JournalAnswer[[#This Row],[Dr Amt]],JournalAnswer[[#This Row],[Credit Account]]="Cash",-JournalAnswer[[#This Row],[Cr Amt]]),0)</f>
        <v>0</v>
      </c>
      <c r="L187" s="41" t="str" cm="1">
        <f t="array" ref="L187">IFERROR(INDEX(ProblemData!$E$239:$AM$239,1,JournalAnswer[[#This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322" t="str">
        <f t="shared" si="4"/>
        <v/>
      </c>
      <c r="D188" s="323" t="str">
        <f>IFERROR(_xlfn.IFNA(INDEX(ProblemData!$C$78:$AM$145,MATCH(J188+0.1,ProblemData!$C$78:$C$145,0),MATCH(C188,ProblemData!$C$78:$AM$78,0)),""),"")</f>
        <v/>
      </c>
      <c r="E188" s="66" t="str">
        <f>IFERROR(_xlfn.IFNA(IF(INDEX(ProblemData!$C$78:$AM$145,MATCH(J188+0.3,ProblemData!$C$78:$C$145,0),MATCH(C188,ProblemData!$C$78:$AM$78,0))="Debit",INDEX(ProblemData!$C$78:$AM$145,MATCH(J188+0.2,ProblemData!$C$78:$C$145,0),MATCH(C188,ProblemData!$C$78:$AM$78,0)),""),""),"")</f>
        <v/>
      </c>
      <c r="F188" s="66" t="str">
        <f>IFERROR(_xlfn.IFNA(IF(INDEX(ProblemData!$C$78:$AM$145,MATCH(J188+0.3,ProblemData!$C$78:$C$145,0),MATCH(C188,ProblemData!$C$78:$AM$78,0))="Credit",INDEX(ProblemData!$C$78:$AM$145,MATCH(J188+0.2,ProblemData!$C$78:$C$145,0),MATCH(C188,ProblemData!$C$78:$AM$78,0)),""),""),"")</f>
        <v/>
      </c>
      <c r="G188" s="324" t="str">
        <f>_xlfn.IFNA(IF(JournalAnswer[[#This Row],[Debit Account]]&lt;&gt;"",INDEX(ProblemData!$C$78:$AM$145,MATCH(J188+0.4,ProblemData!$C$78:$C$145,0),MATCH(C188,ProblemData!$C$78:$AM$78,0)),""),"")</f>
        <v/>
      </c>
      <c r="H188" s="325" t="str">
        <f>_xlfn.IFNA(IF(JournalAnswer[[#This Row],[Credit Account]]&lt;&gt;"",INDEX(ProblemData!$C$78:$AM$145,MATCH(J188+0.4,ProblemData!$C$78:$C$145,0),MATCH(C188,ProblemData!$C$78:$AM$78,0)),""),"")</f>
        <v/>
      </c>
      <c r="I188" s="353" t="str" cm="1">
        <f t="array" ref="I188">IF(JournalAnswer[[#This Row],[Debit Account]]="Cash",INDEX(ProblemData!$E$238:$AM$238,1,JournalAnswer[[#This Row],[Transaction '#]]),IF(JournalAnswer[[#This Row],[Credit Account]]="Cash",INDEX(ProblemData!$E$238:$AM$238,1,JournalAnswer[[#This Row],[Transaction '#]]),""))</f>
        <v/>
      </c>
      <c r="J188" s="85" t="str">
        <f>IF(JournalAnswer[[#This Row],[Transaction '#]]="","",IF(JournalAnswer[[#This Row],[Transaction '#]]=C187,J187+1,1))</f>
        <v/>
      </c>
      <c r="K188" s="37" cm="1">
        <f t="array" ref="K188">IFERROR(_xlfn.IFS(JournalAnswer[[#This Row],[Debit Account]]="Cash",JournalAnswer[[#This Row],[Dr Amt]],JournalAnswer[[#This Row],[Credit Account]]="Cash",-JournalAnswer[[#This Row],[Cr Amt]]),0)</f>
        <v>0</v>
      </c>
      <c r="L188" s="41" t="str" cm="1">
        <f t="array" ref="L188">IFERROR(INDEX(ProblemData!$E$239:$AM$239,1,JournalAnswer[[#This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322" t="str">
        <f t="shared" si="4"/>
        <v/>
      </c>
      <c r="D189" s="323" t="str">
        <f>IFERROR(_xlfn.IFNA(INDEX(ProblemData!$C$78:$AM$145,MATCH(J189+0.1,ProblemData!$C$78:$C$145,0),MATCH(C189,ProblemData!$C$78:$AM$78,0)),""),"")</f>
        <v/>
      </c>
      <c r="E189" s="66" t="str">
        <f>IFERROR(_xlfn.IFNA(IF(INDEX(ProblemData!$C$78:$AM$145,MATCH(J189+0.3,ProblemData!$C$78:$C$145,0),MATCH(C189,ProblemData!$C$78:$AM$78,0))="Debit",INDEX(ProblemData!$C$78:$AM$145,MATCH(J189+0.2,ProblemData!$C$78:$C$145,0),MATCH(C189,ProblemData!$C$78:$AM$78,0)),""),""),"")</f>
        <v/>
      </c>
      <c r="F189" s="66" t="str">
        <f>IFERROR(_xlfn.IFNA(IF(INDEX(ProblemData!$C$78:$AM$145,MATCH(J189+0.3,ProblemData!$C$78:$C$145,0),MATCH(C189,ProblemData!$C$78:$AM$78,0))="Credit",INDEX(ProblemData!$C$78:$AM$145,MATCH(J189+0.2,ProblemData!$C$78:$C$145,0),MATCH(C189,ProblemData!$C$78:$AM$78,0)),""),""),"")</f>
        <v/>
      </c>
      <c r="G189" s="324" t="str">
        <f>_xlfn.IFNA(IF(JournalAnswer[[#This Row],[Debit Account]]&lt;&gt;"",INDEX(ProblemData!$C$78:$AM$145,MATCH(J189+0.4,ProblemData!$C$78:$C$145,0),MATCH(C189,ProblemData!$C$78:$AM$78,0)),""),"")</f>
        <v/>
      </c>
      <c r="H189" s="325" t="str">
        <f>_xlfn.IFNA(IF(JournalAnswer[[#This Row],[Credit Account]]&lt;&gt;"",INDEX(ProblemData!$C$78:$AM$145,MATCH(J189+0.4,ProblemData!$C$78:$C$145,0),MATCH(C189,ProblemData!$C$78:$AM$78,0)),""),"")</f>
        <v/>
      </c>
      <c r="I189" s="353" t="str" cm="1">
        <f t="array" ref="I189">IF(JournalAnswer[[#This Row],[Debit Account]]="Cash",INDEX(ProblemData!$E$238:$AM$238,1,JournalAnswer[[#This Row],[Transaction '#]]),IF(JournalAnswer[[#This Row],[Credit Account]]="Cash",INDEX(ProblemData!$E$238:$AM$238,1,JournalAnswer[[#This Row],[Transaction '#]]),""))</f>
        <v/>
      </c>
      <c r="J189" s="85" t="str">
        <f>IF(JournalAnswer[[#This Row],[Transaction '#]]="","",IF(JournalAnswer[[#This Row],[Transaction '#]]=C188,J188+1,1))</f>
        <v/>
      </c>
      <c r="K189" s="37" cm="1">
        <f t="array" ref="K189">IFERROR(_xlfn.IFS(JournalAnswer[[#This Row],[Debit Account]]="Cash",JournalAnswer[[#This Row],[Dr Amt]],JournalAnswer[[#This Row],[Credit Account]]="Cash",-JournalAnswer[[#This Row],[Cr Amt]]),0)</f>
        <v>0</v>
      </c>
      <c r="L189" s="41" t="str" cm="1">
        <f t="array" ref="L189">IFERROR(INDEX(ProblemData!$E$239:$AM$239,1,JournalAnswer[[#This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322" t="str">
        <f t="shared" si="4"/>
        <v/>
      </c>
      <c r="D190" s="323" t="str">
        <f>IFERROR(_xlfn.IFNA(INDEX(ProblemData!$C$78:$AM$145,MATCH(J190+0.1,ProblemData!$C$78:$C$145,0),MATCH(C190,ProblemData!$C$78:$AM$78,0)),""),"")</f>
        <v/>
      </c>
      <c r="E190" s="66" t="str">
        <f>IFERROR(_xlfn.IFNA(IF(INDEX(ProblemData!$C$78:$AM$145,MATCH(J190+0.3,ProblemData!$C$78:$C$145,0),MATCH(C190,ProblemData!$C$78:$AM$78,0))="Debit",INDEX(ProblemData!$C$78:$AM$145,MATCH(J190+0.2,ProblemData!$C$78:$C$145,0),MATCH(C190,ProblemData!$C$78:$AM$78,0)),""),""),"")</f>
        <v/>
      </c>
      <c r="F190" s="66" t="str">
        <f>IFERROR(_xlfn.IFNA(IF(INDEX(ProblemData!$C$78:$AM$145,MATCH(J190+0.3,ProblemData!$C$78:$C$145,0),MATCH(C190,ProblemData!$C$78:$AM$78,0))="Credit",INDEX(ProblemData!$C$78:$AM$145,MATCH(J190+0.2,ProblemData!$C$78:$C$145,0),MATCH(C190,ProblemData!$C$78:$AM$78,0)),""),""),"")</f>
        <v/>
      </c>
      <c r="G190" s="324" t="str">
        <f>_xlfn.IFNA(IF(JournalAnswer[[#This Row],[Debit Account]]&lt;&gt;"",INDEX(ProblemData!$C$78:$AM$145,MATCH(J190+0.4,ProblemData!$C$78:$C$145,0),MATCH(C190,ProblemData!$C$78:$AM$78,0)),""),"")</f>
        <v/>
      </c>
      <c r="H190" s="325" t="str">
        <f>_xlfn.IFNA(IF(JournalAnswer[[#This Row],[Credit Account]]&lt;&gt;"",INDEX(ProblemData!$C$78:$AM$145,MATCH(J190+0.4,ProblemData!$C$78:$C$145,0),MATCH(C190,ProblemData!$C$78:$AM$78,0)),""),"")</f>
        <v/>
      </c>
      <c r="I190" s="353" t="str" cm="1">
        <f t="array" ref="I190">IF(JournalAnswer[[#This Row],[Debit Account]]="Cash",INDEX(ProblemData!$E$238:$AM$238,1,JournalAnswer[[#This Row],[Transaction '#]]),IF(JournalAnswer[[#This Row],[Credit Account]]="Cash",INDEX(ProblemData!$E$238:$AM$238,1,JournalAnswer[[#This Row],[Transaction '#]]),""))</f>
        <v/>
      </c>
      <c r="J190" s="85" t="str">
        <f>IF(JournalAnswer[[#This Row],[Transaction '#]]="","",IF(JournalAnswer[[#This Row],[Transaction '#]]=C189,J189+1,1))</f>
        <v/>
      </c>
      <c r="K190" s="37" cm="1">
        <f t="array" ref="K190">IFERROR(_xlfn.IFS(JournalAnswer[[#This Row],[Debit Account]]="Cash",JournalAnswer[[#This Row],[Dr Amt]],JournalAnswer[[#This Row],[Credit Account]]="Cash",-JournalAnswer[[#This Row],[Cr Amt]]),0)</f>
        <v>0</v>
      </c>
      <c r="L190" s="41" t="str" cm="1">
        <f t="array" ref="L190">IFERROR(INDEX(ProblemData!$E$239:$AM$239,1,JournalAnswer[[#This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322" t="str">
        <f t="shared" si="4"/>
        <v/>
      </c>
      <c r="D191" s="323" t="str">
        <f>IFERROR(_xlfn.IFNA(INDEX(ProblemData!$C$78:$AM$145,MATCH(J191+0.1,ProblemData!$C$78:$C$145,0),MATCH(C191,ProblemData!$C$78:$AM$78,0)),""),"")</f>
        <v/>
      </c>
      <c r="E191" s="66" t="str">
        <f>IFERROR(_xlfn.IFNA(IF(INDEX(ProblemData!$C$78:$AM$145,MATCH(J191+0.3,ProblemData!$C$78:$C$145,0),MATCH(C191,ProblemData!$C$78:$AM$78,0))="Debit",INDEX(ProblemData!$C$78:$AM$145,MATCH(J191+0.2,ProblemData!$C$78:$C$145,0),MATCH(C191,ProblemData!$C$78:$AM$78,0)),""),""),"")</f>
        <v/>
      </c>
      <c r="F191" s="66" t="str">
        <f>IFERROR(_xlfn.IFNA(IF(INDEX(ProblemData!$C$78:$AM$145,MATCH(J191+0.3,ProblemData!$C$78:$C$145,0),MATCH(C191,ProblemData!$C$78:$AM$78,0))="Credit",INDEX(ProblemData!$C$78:$AM$145,MATCH(J191+0.2,ProblemData!$C$78:$C$145,0),MATCH(C191,ProblemData!$C$78:$AM$78,0)),""),""),"")</f>
        <v/>
      </c>
      <c r="G191" s="324" t="str">
        <f>_xlfn.IFNA(IF(JournalAnswer[[#This Row],[Debit Account]]&lt;&gt;"",INDEX(ProblemData!$C$78:$AM$145,MATCH(J191+0.4,ProblemData!$C$78:$C$145,0),MATCH(C191,ProblemData!$C$78:$AM$78,0)),""),"")</f>
        <v/>
      </c>
      <c r="H191" s="325" t="str">
        <f>_xlfn.IFNA(IF(JournalAnswer[[#This Row],[Credit Account]]&lt;&gt;"",INDEX(ProblemData!$C$78:$AM$145,MATCH(J191+0.4,ProblemData!$C$78:$C$145,0),MATCH(C191,ProblemData!$C$78:$AM$78,0)),""),"")</f>
        <v/>
      </c>
      <c r="I191" s="353" t="str" cm="1">
        <f t="array" ref="I191">IF(JournalAnswer[[#This Row],[Debit Account]]="Cash",INDEX(ProblemData!$E$238:$AM$238,1,JournalAnswer[[#This Row],[Transaction '#]]),IF(JournalAnswer[[#This Row],[Credit Account]]="Cash",INDEX(ProblemData!$E$238:$AM$238,1,JournalAnswer[[#This Row],[Transaction '#]]),""))</f>
        <v/>
      </c>
      <c r="J191" s="85" t="str">
        <f>IF(JournalAnswer[[#This Row],[Transaction '#]]="","",IF(JournalAnswer[[#This Row],[Transaction '#]]=C190,J190+1,1))</f>
        <v/>
      </c>
      <c r="K191" s="37" cm="1">
        <f t="array" ref="K191">IFERROR(_xlfn.IFS(JournalAnswer[[#This Row],[Debit Account]]="Cash",JournalAnswer[[#This Row],[Dr Amt]],JournalAnswer[[#This Row],[Credit Account]]="Cash",-JournalAnswer[[#This Row],[Cr Amt]]),0)</f>
        <v>0</v>
      </c>
      <c r="L191" s="41" t="str" cm="1">
        <f t="array" ref="L191">IFERROR(INDEX(ProblemData!$E$239:$AM$239,1,JournalAnswer[[#This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322" t="str">
        <f t="shared" si="4"/>
        <v/>
      </c>
      <c r="D192" s="323" t="str">
        <f>IFERROR(_xlfn.IFNA(INDEX(ProblemData!$C$78:$AM$145,MATCH(J192+0.1,ProblemData!$C$78:$C$145,0),MATCH(C192,ProblemData!$C$78:$AM$78,0)),""),"")</f>
        <v/>
      </c>
      <c r="E192" s="66" t="str">
        <f>IFERROR(_xlfn.IFNA(IF(INDEX(ProblemData!$C$78:$AM$145,MATCH(J192+0.3,ProblemData!$C$78:$C$145,0),MATCH(C192,ProblemData!$C$78:$AM$78,0))="Debit",INDEX(ProblemData!$C$78:$AM$145,MATCH(J192+0.2,ProblemData!$C$78:$C$145,0),MATCH(C192,ProblemData!$C$78:$AM$78,0)),""),""),"")</f>
        <v/>
      </c>
      <c r="F192" s="66" t="str">
        <f>IFERROR(_xlfn.IFNA(IF(INDEX(ProblemData!$C$78:$AM$145,MATCH(J192+0.3,ProblemData!$C$78:$C$145,0),MATCH(C192,ProblemData!$C$78:$AM$78,0))="Credit",INDEX(ProblemData!$C$78:$AM$145,MATCH(J192+0.2,ProblemData!$C$78:$C$145,0),MATCH(C192,ProblemData!$C$78:$AM$78,0)),""),""),"")</f>
        <v/>
      </c>
      <c r="G192" s="324" t="str">
        <f>_xlfn.IFNA(IF(JournalAnswer[[#This Row],[Debit Account]]&lt;&gt;"",INDEX(ProblemData!$C$78:$AM$145,MATCH(J192+0.4,ProblemData!$C$78:$C$145,0),MATCH(C192,ProblemData!$C$78:$AM$78,0)),""),"")</f>
        <v/>
      </c>
      <c r="H192" s="325" t="str">
        <f>_xlfn.IFNA(IF(JournalAnswer[[#This Row],[Credit Account]]&lt;&gt;"",INDEX(ProblemData!$C$78:$AM$145,MATCH(J192+0.4,ProblemData!$C$78:$C$145,0),MATCH(C192,ProblemData!$C$78:$AM$78,0)),""),"")</f>
        <v/>
      </c>
      <c r="I192" s="353" t="str" cm="1">
        <f t="array" ref="I192">IF(JournalAnswer[[#This Row],[Debit Account]]="Cash",INDEX(ProblemData!$E$238:$AM$238,1,JournalAnswer[[#This Row],[Transaction '#]]),IF(JournalAnswer[[#This Row],[Credit Account]]="Cash",INDEX(ProblemData!$E$238:$AM$238,1,JournalAnswer[[#This Row],[Transaction '#]]),""))</f>
        <v/>
      </c>
      <c r="J192" s="85" t="str">
        <f>IF(JournalAnswer[[#This Row],[Transaction '#]]="","",IF(JournalAnswer[[#This Row],[Transaction '#]]=C191,J191+1,1))</f>
        <v/>
      </c>
      <c r="K192" s="37" cm="1">
        <f t="array" ref="K192">IFERROR(_xlfn.IFS(JournalAnswer[[#This Row],[Debit Account]]="Cash",JournalAnswer[[#This Row],[Dr Amt]],JournalAnswer[[#This Row],[Credit Account]]="Cash",-JournalAnswer[[#This Row],[Cr Amt]]),0)</f>
        <v>0</v>
      </c>
      <c r="L192" s="41" t="str" cm="1">
        <f t="array" ref="L192">IFERROR(INDEX(ProblemData!$E$239:$AM$239,1,JournalAnswer[[#This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322" t="str">
        <f t="shared" si="4"/>
        <v/>
      </c>
      <c r="D193" s="323" t="str">
        <f>IFERROR(_xlfn.IFNA(INDEX(ProblemData!$C$78:$AM$145,MATCH(J193+0.1,ProblemData!$C$78:$C$145,0),MATCH(C193,ProblemData!$C$78:$AM$78,0)),""),"")</f>
        <v/>
      </c>
      <c r="E193" s="66" t="str">
        <f>IFERROR(_xlfn.IFNA(IF(INDEX(ProblemData!$C$78:$AM$145,MATCH(J193+0.3,ProblemData!$C$78:$C$145,0),MATCH(C193,ProblemData!$C$78:$AM$78,0))="Debit",INDEX(ProblemData!$C$78:$AM$145,MATCH(J193+0.2,ProblemData!$C$78:$C$145,0),MATCH(C193,ProblemData!$C$78:$AM$78,0)),""),""),"")</f>
        <v/>
      </c>
      <c r="F193" s="66" t="str">
        <f>IFERROR(_xlfn.IFNA(IF(INDEX(ProblemData!$C$78:$AM$145,MATCH(J193+0.3,ProblemData!$C$78:$C$145,0),MATCH(C193,ProblemData!$C$78:$AM$78,0))="Credit",INDEX(ProblemData!$C$78:$AM$145,MATCH(J193+0.2,ProblemData!$C$78:$C$145,0),MATCH(C193,ProblemData!$C$78:$AM$78,0)),""),""),"")</f>
        <v/>
      </c>
      <c r="G193" s="324" t="str">
        <f>_xlfn.IFNA(IF(JournalAnswer[[#This Row],[Debit Account]]&lt;&gt;"",INDEX(ProblemData!$C$78:$AM$145,MATCH(J193+0.4,ProblemData!$C$78:$C$145,0),MATCH(C193,ProblemData!$C$78:$AM$78,0)),""),"")</f>
        <v/>
      </c>
      <c r="H193" s="325" t="str">
        <f>_xlfn.IFNA(IF(JournalAnswer[[#This Row],[Credit Account]]&lt;&gt;"",INDEX(ProblemData!$C$78:$AM$145,MATCH(J193+0.4,ProblemData!$C$78:$C$145,0),MATCH(C193,ProblemData!$C$78:$AM$78,0)),""),"")</f>
        <v/>
      </c>
      <c r="I193" s="353" t="str" cm="1">
        <f t="array" ref="I193">IF(JournalAnswer[[#This Row],[Debit Account]]="Cash",INDEX(ProblemData!$E$238:$AM$238,1,JournalAnswer[[#This Row],[Transaction '#]]),IF(JournalAnswer[[#This Row],[Credit Account]]="Cash",INDEX(ProblemData!$E$238:$AM$238,1,JournalAnswer[[#This Row],[Transaction '#]]),""))</f>
        <v/>
      </c>
      <c r="J193" s="85" t="str">
        <f>IF(JournalAnswer[[#This Row],[Transaction '#]]="","",IF(JournalAnswer[[#This Row],[Transaction '#]]=C192,J192+1,1))</f>
        <v/>
      </c>
      <c r="K193" s="37" cm="1">
        <f t="array" ref="K193">IFERROR(_xlfn.IFS(JournalAnswer[[#This Row],[Debit Account]]="Cash",JournalAnswer[[#This Row],[Dr Amt]],JournalAnswer[[#This Row],[Credit Account]]="Cash",-JournalAnswer[[#This Row],[Cr Amt]]),0)</f>
        <v>0</v>
      </c>
      <c r="L193" s="41" t="str" cm="1">
        <f t="array" ref="L193">IFERROR(INDEX(ProblemData!$E$239:$AM$239,1,JournalAnswer[[#This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322" t="str">
        <f t="shared" si="4"/>
        <v/>
      </c>
      <c r="D194" s="323" t="str">
        <f>IFERROR(_xlfn.IFNA(INDEX(ProblemData!$C$78:$AM$145,MATCH(J194+0.1,ProblemData!$C$78:$C$145,0),MATCH(C194,ProblemData!$C$78:$AM$78,0)),""),"")</f>
        <v/>
      </c>
      <c r="E194" s="66" t="str">
        <f>IFERROR(_xlfn.IFNA(IF(INDEX(ProblemData!$C$78:$AM$145,MATCH(J194+0.3,ProblemData!$C$78:$C$145,0),MATCH(C194,ProblemData!$C$78:$AM$78,0))="Debit",INDEX(ProblemData!$C$78:$AM$145,MATCH(J194+0.2,ProblemData!$C$78:$C$145,0),MATCH(C194,ProblemData!$C$78:$AM$78,0)),""),""),"")</f>
        <v/>
      </c>
      <c r="F194" s="66" t="str">
        <f>IFERROR(_xlfn.IFNA(IF(INDEX(ProblemData!$C$78:$AM$145,MATCH(J194+0.3,ProblemData!$C$78:$C$145,0),MATCH(C194,ProblemData!$C$78:$AM$78,0))="Credit",INDEX(ProblemData!$C$78:$AM$145,MATCH(J194+0.2,ProblemData!$C$78:$C$145,0),MATCH(C194,ProblemData!$C$78:$AM$78,0)),""),""),"")</f>
        <v/>
      </c>
      <c r="G194" s="324" t="str">
        <f>_xlfn.IFNA(IF(JournalAnswer[[#This Row],[Debit Account]]&lt;&gt;"",INDEX(ProblemData!$C$78:$AM$145,MATCH(J194+0.4,ProblemData!$C$78:$C$145,0),MATCH(C194,ProblemData!$C$78:$AM$78,0)),""),"")</f>
        <v/>
      </c>
      <c r="H194" s="325" t="str">
        <f>_xlfn.IFNA(IF(JournalAnswer[[#This Row],[Credit Account]]&lt;&gt;"",INDEX(ProblemData!$C$78:$AM$145,MATCH(J194+0.4,ProblemData!$C$78:$C$145,0),MATCH(C194,ProblemData!$C$78:$AM$78,0)),""),"")</f>
        <v/>
      </c>
      <c r="I194" s="353" t="str" cm="1">
        <f t="array" ref="I194">IF(JournalAnswer[[#This Row],[Debit Account]]="Cash",INDEX(ProblemData!$E$238:$AM$238,1,JournalAnswer[[#This Row],[Transaction '#]]),IF(JournalAnswer[[#This Row],[Credit Account]]="Cash",INDEX(ProblemData!$E$238:$AM$238,1,JournalAnswer[[#This Row],[Transaction '#]]),""))</f>
        <v/>
      </c>
      <c r="J194" s="85" t="str">
        <f>IF(JournalAnswer[[#This Row],[Transaction '#]]="","",IF(JournalAnswer[[#This Row],[Transaction '#]]=C193,J193+1,1))</f>
        <v/>
      </c>
      <c r="K194" s="37" cm="1">
        <f t="array" ref="K194">IFERROR(_xlfn.IFS(JournalAnswer[[#This Row],[Debit Account]]="Cash",JournalAnswer[[#This Row],[Dr Amt]],JournalAnswer[[#This Row],[Credit Account]]="Cash",-JournalAnswer[[#This Row],[Cr Amt]]),0)</f>
        <v>0</v>
      </c>
      <c r="L194" s="41" t="str" cm="1">
        <f t="array" ref="L194">IFERROR(INDEX(ProblemData!$E$239:$AM$239,1,JournalAnswer[[#This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322" t="str">
        <f t="shared" si="4"/>
        <v/>
      </c>
      <c r="D195" s="323" t="str">
        <f>IFERROR(_xlfn.IFNA(INDEX(ProblemData!$C$78:$AM$145,MATCH(J195+0.1,ProblemData!$C$78:$C$145,0),MATCH(C195,ProblemData!$C$78:$AM$78,0)),""),"")</f>
        <v/>
      </c>
      <c r="E195" s="66" t="str">
        <f>IFERROR(_xlfn.IFNA(IF(INDEX(ProblemData!$C$78:$AM$145,MATCH(J195+0.3,ProblemData!$C$78:$C$145,0),MATCH(C195,ProblemData!$C$78:$AM$78,0))="Debit",INDEX(ProblemData!$C$78:$AM$145,MATCH(J195+0.2,ProblemData!$C$78:$C$145,0),MATCH(C195,ProblemData!$C$78:$AM$78,0)),""),""),"")</f>
        <v/>
      </c>
      <c r="F195" s="66" t="str">
        <f>IFERROR(_xlfn.IFNA(IF(INDEX(ProblemData!$C$78:$AM$145,MATCH(J195+0.3,ProblemData!$C$78:$C$145,0),MATCH(C195,ProblemData!$C$78:$AM$78,0))="Credit",INDEX(ProblemData!$C$78:$AM$145,MATCH(J195+0.2,ProblemData!$C$78:$C$145,0),MATCH(C195,ProblemData!$C$78:$AM$78,0)),""),""),"")</f>
        <v/>
      </c>
      <c r="G195" s="324" t="str">
        <f>_xlfn.IFNA(IF(JournalAnswer[[#This Row],[Debit Account]]&lt;&gt;"",INDEX(ProblemData!$C$78:$AM$145,MATCH(J195+0.4,ProblemData!$C$78:$C$145,0),MATCH(C195,ProblemData!$C$78:$AM$78,0)),""),"")</f>
        <v/>
      </c>
      <c r="H195" s="325" t="str">
        <f>_xlfn.IFNA(IF(JournalAnswer[[#This Row],[Credit Account]]&lt;&gt;"",INDEX(ProblemData!$C$78:$AM$145,MATCH(J195+0.4,ProblemData!$C$78:$C$145,0),MATCH(C195,ProblemData!$C$78:$AM$78,0)),""),"")</f>
        <v/>
      </c>
      <c r="I195" s="353" t="str" cm="1">
        <f t="array" ref="I195">IF(JournalAnswer[[#This Row],[Debit Account]]="Cash",INDEX(ProblemData!$E$238:$AM$238,1,JournalAnswer[[#This Row],[Transaction '#]]),IF(JournalAnswer[[#This Row],[Credit Account]]="Cash",INDEX(ProblemData!$E$238:$AM$238,1,JournalAnswer[[#This Row],[Transaction '#]]),""))</f>
        <v/>
      </c>
      <c r="J195" s="85" t="str">
        <f>IF(JournalAnswer[[#This Row],[Transaction '#]]="","",IF(JournalAnswer[[#This Row],[Transaction '#]]=C194,J194+1,1))</f>
        <v/>
      </c>
      <c r="K195" s="37" cm="1">
        <f t="array" ref="K195">IFERROR(_xlfn.IFS(JournalAnswer[[#This Row],[Debit Account]]="Cash",JournalAnswer[[#This Row],[Dr Amt]],JournalAnswer[[#This Row],[Credit Account]]="Cash",-JournalAnswer[[#This Row],[Cr Amt]]),0)</f>
        <v>0</v>
      </c>
      <c r="L195" s="41" t="str" cm="1">
        <f t="array" ref="L195">IFERROR(INDEX(ProblemData!$E$239:$AM$239,1,JournalAnswer[[#This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322" t="str">
        <f t="shared" si="4"/>
        <v/>
      </c>
      <c r="D196" s="323" t="str">
        <f>IFERROR(_xlfn.IFNA(INDEX(ProblemData!$C$78:$AM$145,MATCH(J196+0.1,ProblemData!$C$78:$C$145,0),MATCH(C196,ProblemData!$C$78:$AM$78,0)),""),"")</f>
        <v/>
      </c>
      <c r="E196" s="66" t="str">
        <f>IFERROR(_xlfn.IFNA(IF(INDEX(ProblemData!$C$78:$AM$145,MATCH(J196+0.3,ProblemData!$C$78:$C$145,0),MATCH(C196,ProblemData!$C$78:$AM$78,0))="Debit",INDEX(ProblemData!$C$78:$AM$145,MATCH(J196+0.2,ProblemData!$C$78:$C$145,0),MATCH(C196,ProblemData!$C$78:$AM$78,0)),""),""),"")</f>
        <v/>
      </c>
      <c r="F196" s="66" t="str">
        <f>IFERROR(_xlfn.IFNA(IF(INDEX(ProblemData!$C$78:$AM$145,MATCH(J196+0.3,ProblemData!$C$78:$C$145,0),MATCH(C196,ProblemData!$C$78:$AM$78,0))="Credit",INDEX(ProblemData!$C$78:$AM$145,MATCH(J196+0.2,ProblemData!$C$78:$C$145,0),MATCH(C196,ProblemData!$C$78:$AM$78,0)),""),""),"")</f>
        <v/>
      </c>
      <c r="G196" s="324" t="str">
        <f>_xlfn.IFNA(IF(JournalAnswer[[#This Row],[Debit Account]]&lt;&gt;"",INDEX(ProblemData!$C$78:$AM$145,MATCH(J196+0.4,ProblemData!$C$78:$C$145,0),MATCH(C196,ProblemData!$C$78:$AM$78,0)),""),"")</f>
        <v/>
      </c>
      <c r="H196" s="325" t="str">
        <f>_xlfn.IFNA(IF(JournalAnswer[[#This Row],[Credit Account]]&lt;&gt;"",INDEX(ProblemData!$C$78:$AM$145,MATCH(J196+0.4,ProblemData!$C$78:$C$145,0),MATCH(C196,ProblemData!$C$78:$AM$78,0)),""),"")</f>
        <v/>
      </c>
      <c r="I196" s="353" t="str" cm="1">
        <f t="array" ref="I196">IF(JournalAnswer[[#This Row],[Debit Account]]="Cash",INDEX(ProblemData!$E$238:$AM$238,1,JournalAnswer[[#This Row],[Transaction '#]]),IF(JournalAnswer[[#This Row],[Credit Account]]="Cash",INDEX(ProblemData!$E$238:$AM$238,1,JournalAnswer[[#This Row],[Transaction '#]]),""))</f>
        <v/>
      </c>
      <c r="J196" s="85" t="str">
        <f>IF(JournalAnswer[[#This Row],[Transaction '#]]="","",IF(JournalAnswer[[#This Row],[Transaction '#]]=C195,J195+1,1))</f>
        <v/>
      </c>
      <c r="K196" s="37" cm="1">
        <f t="array" ref="K196">IFERROR(_xlfn.IFS(JournalAnswer[[#This Row],[Debit Account]]="Cash",JournalAnswer[[#This Row],[Dr Amt]],JournalAnswer[[#This Row],[Credit Account]]="Cash",-JournalAnswer[[#This Row],[Cr Amt]]),0)</f>
        <v>0</v>
      </c>
      <c r="L196" s="41" t="str" cm="1">
        <f t="array" ref="L196">IFERROR(INDEX(ProblemData!$E$239:$AM$239,1,JournalAnswer[[#This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322" t="str">
        <f t="shared" si="4"/>
        <v/>
      </c>
      <c r="D197" s="323" t="str">
        <f>IFERROR(_xlfn.IFNA(INDEX(ProblemData!$C$78:$AM$145,MATCH(J197+0.1,ProblemData!$C$78:$C$145,0),MATCH(C197,ProblemData!$C$78:$AM$78,0)),""),"")</f>
        <v/>
      </c>
      <c r="E197" s="66" t="str">
        <f>IFERROR(_xlfn.IFNA(IF(INDEX(ProblemData!$C$78:$AM$145,MATCH(J197+0.3,ProblemData!$C$78:$C$145,0),MATCH(C197,ProblemData!$C$78:$AM$78,0))="Debit",INDEX(ProblemData!$C$78:$AM$145,MATCH(J197+0.2,ProblemData!$C$78:$C$145,0),MATCH(C197,ProblemData!$C$78:$AM$78,0)),""),""),"")</f>
        <v/>
      </c>
      <c r="F197" s="66" t="str">
        <f>IFERROR(_xlfn.IFNA(IF(INDEX(ProblemData!$C$78:$AM$145,MATCH(J197+0.3,ProblemData!$C$78:$C$145,0),MATCH(C197,ProblemData!$C$78:$AM$78,0))="Credit",INDEX(ProblemData!$C$78:$AM$145,MATCH(J197+0.2,ProblemData!$C$78:$C$145,0),MATCH(C197,ProblemData!$C$78:$AM$78,0)),""),""),"")</f>
        <v/>
      </c>
      <c r="G197" s="324" t="str">
        <f>_xlfn.IFNA(IF(JournalAnswer[[#This Row],[Debit Account]]&lt;&gt;"",INDEX(ProblemData!$C$78:$AM$145,MATCH(J197+0.4,ProblemData!$C$78:$C$145,0),MATCH(C197,ProblemData!$C$78:$AM$78,0)),""),"")</f>
        <v/>
      </c>
      <c r="H197" s="325" t="str">
        <f>_xlfn.IFNA(IF(JournalAnswer[[#This Row],[Credit Account]]&lt;&gt;"",INDEX(ProblemData!$C$78:$AM$145,MATCH(J197+0.4,ProblemData!$C$78:$C$145,0),MATCH(C197,ProblemData!$C$78:$AM$78,0)),""),"")</f>
        <v/>
      </c>
      <c r="I197" s="353" t="str" cm="1">
        <f t="array" ref="I197">IF(JournalAnswer[[#This Row],[Debit Account]]="Cash",INDEX(ProblemData!$E$238:$AM$238,1,JournalAnswer[[#This Row],[Transaction '#]]),IF(JournalAnswer[[#This Row],[Credit Account]]="Cash",INDEX(ProblemData!$E$238:$AM$238,1,JournalAnswer[[#This Row],[Transaction '#]]),""))</f>
        <v/>
      </c>
      <c r="J197" s="85" t="str">
        <f>IF(JournalAnswer[[#This Row],[Transaction '#]]="","",IF(JournalAnswer[[#This Row],[Transaction '#]]=C196,J196+1,1))</f>
        <v/>
      </c>
      <c r="K197" s="37" cm="1">
        <f t="array" ref="K197">IFERROR(_xlfn.IFS(JournalAnswer[[#This Row],[Debit Account]]="Cash",JournalAnswer[[#This Row],[Dr Amt]],JournalAnswer[[#This Row],[Credit Account]]="Cash",-JournalAnswer[[#This Row],[Cr Amt]]),0)</f>
        <v>0</v>
      </c>
      <c r="L197" s="41" t="str" cm="1">
        <f t="array" ref="L197">IFERROR(INDEX(ProblemData!$E$239:$AM$239,1,JournalAnswer[[#This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683" priority="2">
      <formula>ISEVEN($C12)</formula>
    </cfRule>
  </conditionalFormatting>
  <conditionalFormatting sqref="G9:I10">
    <cfRule type="expression" dxfId="682" priority="3">
      <formula>ROUND($I$10,2)&lt;&gt;0</formula>
    </cfRule>
  </conditionalFormatting>
  <conditionalFormatting sqref="I12:I197">
    <cfRule type="expression" dxfId="681" priority="1">
      <formula>OR($E12="Cash",$F12="Cash")</formula>
    </cfRule>
  </conditionalFormatting>
  <conditionalFormatting sqref="J3:L3">
    <cfRule type="expression" dxfId="680" priority="4">
      <formula>LEN(Line1)&gt;125</formula>
    </cfRule>
  </conditionalFormatting>
  <conditionalFormatting sqref="J4:L4">
    <cfRule type="expression" dxfId="679" priority="5">
      <formula>LEN(Line2)&gt;125</formula>
    </cfRule>
  </conditionalFormatting>
  <conditionalFormatting sqref="J5:L5">
    <cfRule type="expression" dxfId="678" priority="6">
      <formula>LEN(Line3)&gt;125</formula>
    </cfRule>
  </conditionalFormatting>
  <conditionalFormatting sqref="J6:L6">
    <cfRule type="expression" dxfId="677" priority="7">
      <formula>LEN(Line4)&gt;125</formula>
    </cfRule>
  </conditionalFormatting>
  <conditionalFormatting sqref="J7:L7">
    <cfRule type="expression" dxfId="676"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_xlfn.ANCHORARRAY(ProblemData!$F$812)</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H1" workbookViewId="0">
      <selection activeCell="C723" sqref="C723"/>
    </sheetView>
  </sheetViews>
  <sheetFormatPr defaultRowHeight="14.45"/>
  <cols>
    <col min="1" max="1" width="17.42578125" bestFit="1" customWidth="1"/>
    <col min="2" max="2" width="3.42578125" style="42" customWidth="1"/>
    <col min="3" max="3" width="34.7109375" customWidth="1"/>
    <col min="4" max="4" width="10.42578125" customWidth="1"/>
    <col min="5" max="5" width="15" bestFit="1" customWidth="1"/>
    <col min="6" max="6" width="15" customWidth="1"/>
    <col min="7" max="7" width="4.85546875" style="42" customWidth="1"/>
    <col min="8" max="8" width="34.42578125" customWidth="1"/>
    <col min="9" max="9" width="10.85546875" customWidth="1"/>
    <col min="10" max="11" width="3.42578125" style="42" customWidth="1"/>
    <col min="12" max="12" width="36.7109375" customWidth="1"/>
    <col min="13" max="13" width="10.85546875" customWidth="1"/>
    <col min="14" max="14" width="3.7109375" style="224" customWidth="1"/>
    <col min="15" max="15" width="3.42578125" style="42" customWidth="1"/>
    <col min="16" max="16" width="44.85546875" customWidth="1"/>
    <col min="17" max="17" width="9.140625" customWidth="1"/>
    <col min="18" max="18" width="3.42578125" style="224" customWidth="1"/>
    <col min="19" max="19" width="3.42578125" style="42" customWidth="1"/>
    <col min="20" max="20" width="31.5703125" customWidth="1"/>
    <col min="21" max="21" width="10.28515625" customWidth="1"/>
    <col min="22" max="22" width="5.28515625" style="42" bestFit="1" customWidth="1"/>
    <col min="23" max="23" width="9.140625" customWidth="1"/>
  </cols>
  <sheetData>
    <row r="1" spans="1:23" ht="23.45">
      <c r="A1" s="403">
        <v>1</v>
      </c>
      <c r="C1" s="414" t="str">
        <f>Entity</f>
        <v>Accounting Identity LLC</v>
      </c>
    </row>
    <row r="2" spans="1:23">
      <c r="A2" s="409">
        <v>2</v>
      </c>
      <c r="C2" s="413" t="str">
        <f>Units</f>
        <v>Dollars in Thousands</v>
      </c>
      <c r="D2" s="293"/>
      <c r="E2" s="293"/>
      <c r="F2" s="293"/>
      <c r="H2" s="293"/>
      <c r="I2" s="293"/>
      <c r="L2" s="293"/>
      <c r="M2" s="293"/>
      <c r="P2" s="293"/>
      <c r="Q2" s="293"/>
      <c r="T2" s="293"/>
      <c r="U2" s="293"/>
      <c r="W2" s="293"/>
    </row>
    <row r="3" spans="1:23">
      <c r="A3" s="409" t="s">
        <v>828</v>
      </c>
      <c r="C3" s="293"/>
      <c r="D3" s="293"/>
      <c r="E3" s="293"/>
      <c r="F3" s="293"/>
      <c r="H3" s="293"/>
      <c r="I3" s="293"/>
      <c r="L3" s="293"/>
      <c r="M3" s="293"/>
      <c r="P3" s="293"/>
      <c r="Q3" s="293"/>
      <c r="T3" s="293"/>
      <c r="U3" s="293"/>
      <c r="W3" s="293"/>
    </row>
    <row r="4" spans="1:23" ht="18.600000000000001" thickBot="1">
      <c r="A4" s="409" t="s">
        <v>829</v>
      </c>
      <c r="C4" s="415" t="str">
        <f>BegDate</f>
        <v>12/31/20x0</v>
      </c>
      <c r="D4" s="412"/>
      <c r="E4" s="293"/>
      <c r="F4" s="293"/>
      <c r="H4" s="652" t="s">
        <v>830</v>
      </c>
      <c r="I4" s="653"/>
      <c r="J4" s="653"/>
      <c r="K4" s="653"/>
      <c r="L4" s="653"/>
      <c r="M4" s="653"/>
      <c r="N4" s="653"/>
      <c r="O4" s="653"/>
      <c r="P4" s="653"/>
      <c r="Q4" s="653"/>
      <c r="T4" s="415" t="str">
        <f>EndDate</f>
        <v>12/31/20x1</v>
      </c>
      <c r="U4" s="412"/>
      <c r="W4" s="293"/>
    </row>
    <row r="5" spans="1:23">
      <c r="A5" s="409" t="s">
        <v>831</v>
      </c>
      <c r="C5" s="293"/>
      <c r="D5" s="293"/>
      <c r="E5" s="293"/>
      <c r="F5" s="293"/>
      <c r="H5" s="293"/>
      <c r="I5" s="293"/>
      <c r="L5" s="293"/>
      <c r="M5" s="293"/>
      <c r="P5" s="293"/>
      <c r="Q5" s="293"/>
      <c r="T5" s="293"/>
      <c r="U5" s="293"/>
      <c r="W5" s="293"/>
    </row>
    <row r="6" spans="1:23" ht="15" thickBot="1">
      <c r="A6" s="409" t="s">
        <v>832</v>
      </c>
      <c r="B6" s="42">
        <v>1</v>
      </c>
      <c r="C6" s="411" t="s">
        <v>625</v>
      </c>
      <c r="D6" s="412"/>
      <c r="E6" s="293"/>
      <c r="F6" s="293"/>
      <c r="G6" s="42">
        <v>1</v>
      </c>
      <c r="H6" s="411" t="s">
        <v>586</v>
      </c>
      <c r="I6" s="412"/>
      <c r="K6" s="42">
        <v>1</v>
      </c>
      <c r="L6" s="411" t="s">
        <v>696</v>
      </c>
      <c r="M6" s="412"/>
      <c r="O6" s="42">
        <v>1</v>
      </c>
      <c r="P6" s="411" t="s">
        <v>626</v>
      </c>
      <c r="Q6" s="412"/>
      <c r="S6" s="42">
        <v>1</v>
      </c>
      <c r="T6" s="411" t="s">
        <v>625</v>
      </c>
      <c r="U6" s="412"/>
      <c r="W6" s="410"/>
    </row>
    <row r="7" spans="1:23">
      <c r="B7" s="42" cm="1">
        <f t="array" ref="B7:D29">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7" t="str">
        <v/>
      </c>
      <c r="E7" s="37"/>
      <c r="F7" s="37"/>
      <c r="G7" s="224" cm="1">
        <f t="array" aca="1" ref="G7:I17" ca="1">IF(OR(J190=1,J200=1),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224" t="str">
        <f ca="1"/>
        <v>REVENUES</v>
      </c>
      <c r="I7" s="37" t="str">
        <f ca="1"/>
        <v/>
      </c>
      <c r="L7" s="224" t="b" cm="1">
        <f t="array" aca="1" ref="L7" ca="1">IF($M$224=1,_xlfn.ANCHORARRAY(L230))</f>
        <v>0</v>
      </c>
      <c r="M7" s="548"/>
      <c r="O7" s="224" cm="1">
        <f t="array" aca="1" ref="O7:Q24" ca="1">_xlfn.VSTACK(_xlfn.ANCHORARRAY(O316),{"","",""},_xlfn.ANCHORARRAY(O317),{"","",""},_xlfn.ANCHORARRAY(O335),{"","",""},_xlfn.ANCHORARRAY(O336),{"","",""},_xlfn.ANCHORARRAY(O351),{"","",""},_xlfn.ANCHORARRAY(O352),{"","",""},_xlfn.ANCHORARRAY(O365),{"","",""},_xlfn.ANCHORARRAY(O367))</f>
        <v>2</v>
      </c>
      <c r="P7" t="str">
        <f ca="1"/>
        <v>Operating Activities</v>
      </c>
      <c r="Q7" s="37" t="str">
        <f ca="1"/>
        <v/>
      </c>
      <c r="S7" s="42" cm="1">
        <f t="array" ref="S7:U41">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7" t="str">
        <v/>
      </c>
      <c r="V7" s="42">
        <v>0</v>
      </c>
    </row>
    <row r="8" spans="1:23">
      <c r="B8" s="42" t="str">
        <v/>
      </c>
      <c r="C8" t="str">
        <v/>
      </c>
      <c r="D8" s="37" t="str">
        <v/>
      </c>
      <c r="E8" s="37"/>
      <c r="F8" s="37"/>
      <c r="G8" s="224" t="str">
        <f ca="1"/>
        <v/>
      </c>
      <c r="H8" s="224" t="str">
        <f ca="1"/>
        <v/>
      </c>
      <c r="I8" s="37" t="str">
        <f ca="1"/>
        <v/>
      </c>
      <c r="M8" s="37"/>
      <c r="O8" s="224" t="str">
        <f ca="1"/>
        <v/>
      </c>
      <c r="P8" t="str">
        <f ca="1"/>
        <v/>
      </c>
      <c r="Q8" s="37" t="str">
        <f ca="1"/>
        <v/>
      </c>
      <c r="S8" s="42" t="str">
        <v/>
      </c>
      <c r="T8" t="str">
        <v/>
      </c>
      <c r="U8" s="37" t="str">
        <v/>
      </c>
      <c r="V8" s="42">
        <v>0</v>
      </c>
    </row>
    <row r="9" spans="1:23">
      <c r="B9" s="42" t="str">
        <v/>
      </c>
      <c r="C9" t="str">
        <v/>
      </c>
      <c r="D9" s="37" t="str">
        <v/>
      </c>
      <c r="E9" s="37"/>
      <c r="F9" s="37"/>
      <c r="G9" s="224">
        <f ca="1"/>
        <v>6</v>
      </c>
      <c r="H9" s="224" t="str">
        <f ca="1"/>
        <v>Sales</v>
      </c>
      <c r="I9" s="37">
        <f ca="1"/>
        <v>18</v>
      </c>
      <c r="M9" s="37"/>
      <c r="O9" s="224">
        <f ca="1"/>
        <v>6</v>
      </c>
      <c r="P9" t="str">
        <f ca="1"/>
        <v>Collections from customers</v>
      </c>
      <c r="Q9" s="37">
        <f ca="1"/>
        <v>91</v>
      </c>
      <c r="S9" s="42">
        <v>4</v>
      </c>
      <c r="T9" t="str">
        <v xml:space="preserve"> Current Assets:</v>
      </c>
      <c r="U9" s="37" t="str">
        <v/>
      </c>
      <c r="V9" s="42">
        <v>0</v>
      </c>
      <c r="W9" s="42"/>
    </row>
    <row r="10" spans="1:23">
      <c r="B10" s="42" t="str">
        <v/>
      </c>
      <c r="C10" t="str">
        <v/>
      </c>
      <c r="D10" s="37" t="str">
        <v/>
      </c>
      <c r="E10" s="37"/>
      <c r="F10" s="37"/>
      <c r="G10" s="224">
        <f ca="1"/>
        <v>5</v>
      </c>
      <c r="H10" s="224" t="str">
        <f ca="1"/>
        <v xml:space="preserve">  Total Revenues</v>
      </c>
      <c r="I10" s="37">
        <f ca="1"/>
        <v>18</v>
      </c>
      <c r="M10" s="37"/>
      <c r="O10" s="224">
        <f ca="1"/>
        <v>7</v>
      </c>
      <c r="P10" t="str">
        <f ca="1"/>
        <v>Payments to suppliers</v>
      </c>
      <c r="Q10" s="37">
        <f ca="1"/>
        <v>-52</v>
      </c>
      <c r="S10" s="42">
        <v>6</v>
      </c>
      <c r="T10" t="str">
        <v>Cash</v>
      </c>
      <c r="U10" s="37">
        <v>137</v>
      </c>
      <c r="V10" s="42">
        <v>0</v>
      </c>
    </row>
    <row r="11" spans="1:23">
      <c r="B11" s="42" t="str">
        <v/>
      </c>
      <c r="C11" t="str">
        <v/>
      </c>
      <c r="D11" s="37" t="str">
        <v/>
      </c>
      <c r="E11" s="37"/>
      <c r="F11" s="37"/>
      <c r="G11" s="224" t="str">
        <f ca="1"/>
        <v/>
      </c>
      <c r="H11" s="224" t="str">
        <f ca="1"/>
        <v/>
      </c>
      <c r="I11" s="37" t="str">
        <f ca="1"/>
        <v/>
      </c>
      <c r="M11" s="37"/>
      <c r="O11" s="224" t="str">
        <f ca="1"/>
        <v/>
      </c>
      <c r="P11" t="str">
        <f ca="1"/>
        <v/>
      </c>
      <c r="Q11" s="37" t="str">
        <f ca="1"/>
        <v/>
      </c>
      <c r="S11" s="42">
        <v>7</v>
      </c>
      <c r="T11" t="str">
        <v>Accounts Receivable</v>
      </c>
      <c r="U11" s="37">
        <v>0</v>
      </c>
      <c r="V11" s="42">
        <v>0</v>
      </c>
    </row>
    <row r="12" spans="1:23">
      <c r="B12" s="42">
        <v>5</v>
      </c>
      <c r="C12" t="str">
        <v xml:space="preserve">  Total Noncurrent Assets</v>
      </c>
      <c r="D12" s="37">
        <v>0</v>
      </c>
      <c r="E12" s="37"/>
      <c r="F12" s="37"/>
      <c r="G12" s="224">
        <f ca="1"/>
        <v>2</v>
      </c>
      <c r="H12" s="224" t="str">
        <f ca="1"/>
        <v>EXPENSES</v>
      </c>
      <c r="I12" s="37" t="str">
        <f ca="1"/>
        <v/>
      </c>
      <c r="M12" s="37"/>
      <c r="O12" s="224">
        <f ca="1"/>
        <v>3</v>
      </c>
      <c r="P12" t="str">
        <f ca="1"/>
        <v>Total Cash Flow from Operating Activities</v>
      </c>
      <c r="Q12" s="37">
        <f ca="1"/>
        <v>39</v>
      </c>
      <c r="S12" s="42">
        <v>7</v>
      </c>
      <c r="T12" t="str">
        <v>Inventories</v>
      </c>
      <c r="U12" s="37">
        <v>42</v>
      </c>
      <c r="V12" s="42">
        <v>0</v>
      </c>
    </row>
    <row r="13" spans="1:23">
      <c r="B13" s="42" t="str">
        <v/>
      </c>
      <c r="C13" t="str">
        <v/>
      </c>
      <c r="D13" s="37" t="str">
        <v/>
      </c>
      <c r="E13" s="37"/>
      <c r="F13" s="37"/>
      <c r="G13" s="224" t="str">
        <f ca="1"/>
        <v/>
      </c>
      <c r="H13" s="224" t="str">
        <f ca="1"/>
        <v/>
      </c>
      <c r="I13" s="37" t="str">
        <f ca="1"/>
        <v/>
      </c>
      <c r="M13" s="37"/>
      <c r="O13" s="224" t="str">
        <f ca="1"/>
        <v/>
      </c>
      <c r="P13" t="str">
        <f ca="1"/>
        <v/>
      </c>
      <c r="Q13" s="37" t="str">
        <f ca="1"/>
        <v/>
      </c>
      <c r="S13" s="42">
        <v>5</v>
      </c>
      <c r="T13" t="str">
        <v xml:space="preserve">  Total Current Assets</v>
      </c>
      <c r="U13" s="37">
        <v>179</v>
      </c>
      <c r="V13" s="42">
        <v>0</v>
      </c>
    </row>
    <row r="14" spans="1:23">
      <c r="B14" s="42">
        <v>3</v>
      </c>
      <c r="C14" t="str">
        <v>Total Assets</v>
      </c>
      <c r="D14" s="37">
        <v>0</v>
      </c>
      <c r="E14" s="37"/>
      <c r="F14" s="37"/>
      <c r="G14" s="224">
        <f ca="1"/>
        <v>6</v>
      </c>
      <c r="H14" s="224" t="str">
        <f ca="1"/>
        <v>Cost of Goods Sold</v>
      </c>
      <c r="I14" s="37">
        <f ca="1"/>
        <v>6</v>
      </c>
      <c r="M14" s="37"/>
      <c r="O14" s="224">
        <f ca="1"/>
        <v>2</v>
      </c>
      <c r="P14" t="str">
        <f ca="1"/>
        <v>Investing Activities</v>
      </c>
      <c r="Q14" s="37" t="str">
        <f ca="1"/>
        <v/>
      </c>
      <c r="S14" s="42" t="str">
        <v/>
      </c>
      <c r="T14" t="str">
        <v/>
      </c>
      <c r="U14" s="37" t="str">
        <v/>
      </c>
      <c r="V14" s="42">
        <v>0</v>
      </c>
    </row>
    <row r="15" spans="1:23">
      <c r="B15" s="42" t="str">
        <v/>
      </c>
      <c r="C15" t="str">
        <v/>
      </c>
      <c r="D15" s="37" t="str">
        <v/>
      </c>
      <c r="E15" s="37"/>
      <c r="F15" s="37"/>
      <c r="G15" s="224">
        <f ca="1"/>
        <v>5</v>
      </c>
      <c r="H15" s="224" t="str">
        <f ca="1"/>
        <v xml:space="preserve">  Total Expenses</v>
      </c>
      <c r="I15" s="37">
        <f ca="1"/>
        <v>6</v>
      </c>
      <c r="M15" s="37"/>
      <c r="O15" s="224" t="str">
        <f ca="1"/>
        <v/>
      </c>
      <c r="P15" t="str">
        <f ca="1"/>
        <v/>
      </c>
      <c r="Q15" s="37" t="str">
        <f ca="1"/>
        <v/>
      </c>
      <c r="S15" s="42">
        <v>4</v>
      </c>
      <c r="T15" t="str">
        <v xml:space="preserve"> Noncurrent Assets:</v>
      </c>
      <c r="U15" s="37" t="str">
        <v/>
      </c>
      <c r="V15" s="42">
        <v>0</v>
      </c>
    </row>
    <row r="16" spans="1:23">
      <c r="B16" s="42">
        <v>2</v>
      </c>
      <c r="C16" t="str">
        <v>LIABILITIES</v>
      </c>
      <c r="D16" s="37" t="str">
        <v/>
      </c>
      <c r="E16" s="37"/>
      <c r="F16" s="37"/>
      <c r="G16" s="224" t="str">
        <f ca="1"/>
        <v/>
      </c>
      <c r="H16" s="224" t="str">
        <f ca="1"/>
        <v/>
      </c>
      <c r="I16" s="37" t="str">
        <f ca="1"/>
        <v/>
      </c>
      <c r="M16" s="37"/>
      <c r="O16" s="224">
        <f ca="1"/>
        <v>2</v>
      </c>
      <c r="P16" t="str">
        <f ca="1"/>
        <v>Financing Activities</v>
      </c>
      <c r="Q16" s="37" t="str">
        <f ca="1"/>
        <v/>
      </c>
      <c r="S16" s="42">
        <v>6</v>
      </c>
      <c r="T16" t="str">
        <v>Property, Plant &amp; Equipment</v>
      </c>
      <c r="U16" s="37">
        <v>100</v>
      </c>
      <c r="V16" s="42">
        <v>0</v>
      </c>
    </row>
    <row r="17" spans="2:22">
      <c r="B17" s="42" t="str">
        <v/>
      </c>
      <c r="C17" t="str">
        <v/>
      </c>
      <c r="D17" s="37" t="str">
        <v/>
      </c>
      <c r="E17" s="37"/>
      <c r="F17" s="37"/>
      <c r="G17" s="224">
        <f ca="1"/>
        <v>3</v>
      </c>
      <c r="H17" s="224" t="str">
        <f ca="1"/>
        <v>Net Income</v>
      </c>
      <c r="I17" s="37">
        <f ca="1"/>
        <v>12</v>
      </c>
      <c r="M17" s="37"/>
      <c r="O17" s="224" t="str">
        <f ca="1"/>
        <v/>
      </c>
      <c r="P17" t="str">
        <f ca="1"/>
        <v/>
      </c>
      <c r="Q17" s="37" t="str">
        <f ca="1"/>
        <v/>
      </c>
      <c r="S17" s="42">
        <v>7</v>
      </c>
      <c r="T17" t="str">
        <v>Land</v>
      </c>
      <c r="U17" s="37">
        <v>0</v>
      </c>
      <c r="V17" s="42">
        <v>0</v>
      </c>
    </row>
    <row r="18" spans="2:22">
      <c r="B18" s="42" t="str">
        <v/>
      </c>
      <c r="C18" t="str">
        <v/>
      </c>
      <c r="D18" s="37" t="str">
        <v/>
      </c>
      <c r="E18" s="37"/>
      <c r="F18" s="37"/>
      <c r="G18" s="224"/>
      <c r="H18" s="224"/>
      <c r="I18" s="37"/>
      <c r="M18" s="37"/>
      <c r="O18" s="224">
        <f ca="1"/>
        <v>6</v>
      </c>
      <c r="P18" t="str">
        <f ca="1"/>
        <v>Issued common stock</v>
      </c>
      <c r="Q18" s="37">
        <f ca="1"/>
        <v>50</v>
      </c>
      <c r="S18" s="42">
        <v>5</v>
      </c>
      <c r="T18" t="str">
        <v xml:space="preserve">  Total Noncurrent Assets</v>
      </c>
      <c r="U18" s="37">
        <v>100</v>
      </c>
      <c r="V18" s="42">
        <v>0</v>
      </c>
    </row>
    <row r="19" spans="2:22">
      <c r="B19" s="42" t="str">
        <v/>
      </c>
      <c r="C19" t="str">
        <v/>
      </c>
      <c r="D19" s="37" t="str">
        <v/>
      </c>
      <c r="E19" s="37"/>
      <c r="F19" s="37"/>
      <c r="G19" s="224"/>
      <c r="H19" s="224"/>
      <c r="I19" s="37"/>
      <c r="M19" s="37"/>
      <c r="O19" s="224">
        <f ca="1"/>
        <v>7</v>
      </c>
      <c r="P19" t="str">
        <f ca="1"/>
        <v>Got a loan from a bank</v>
      </c>
      <c r="Q19" s="37">
        <f ca="1"/>
        <v>50</v>
      </c>
      <c r="S19" s="42" t="str">
        <v/>
      </c>
      <c r="T19" t="str">
        <v/>
      </c>
      <c r="U19" s="37" t="str">
        <v/>
      </c>
      <c r="V19" s="42">
        <v>0</v>
      </c>
    </row>
    <row r="20" spans="2:22">
      <c r="B20" s="42" t="str">
        <v/>
      </c>
      <c r="C20" t="str">
        <v/>
      </c>
      <c r="D20" s="37" t="str">
        <v/>
      </c>
      <c r="E20" s="37"/>
      <c r="F20" s="37"/>
      <c r="G20" s="224"/>
      <c r="H20" s="224"/>
      <c r="I20" s="37"/>
      <c r="M20" s="37"/>
      <c r="O20" s="224" t="str">
        <f ca="1"/>
        <v/>
      </c>
      <c r="P20" t="str">
        <f ca="1"/>
        <v/>
      </c>
      <c r="Q20" s="37" t="str">
        <f ca="1"/>
        <v/>
      </c>
      <c r="S20" s="42">
        <v>3</v>
      </c>
      <c r="T20" t="str">
        <v>Total Assets</v>
      </c>
      <c r="U20" s="37">
        <v>279</v>
      </c>
      <c r="V20" s="42">
        <v>0</v>
      </c>
    </row>
    <row r="21" spans="2:22">
      <c r="B21" s="42" t="str">
        <v/>
      </c>
      <c r="C21" t="str">
        <v/>
      </c>
      <c r="D21" s="37" t="str">
        <v/>
      </c>
      <c r="E21" s="37"/>
      <c r="F21" s="37"/>
      <c r="G21" s="224"/>
      <c r="H21" s="224"/>
      <c r="I21" s="37"/>
      <c r="M21" s="37"/>
      <c r="O21" s="224">
        <f ca="1"/>
        <v>3</v>
      </c>
      <c r="P21" t="str">
        <f ca="1"/>
        <v>Total Cash Flow from Financing Activities</v>
      </c>
      <c r="Q21" s="37">
        <f ca="1"/>
        <v>100</v>
      </c>
      <c r="S21" s="42" t="str">
        <v/>
      </c>
      <c r="T21" t="str">
        <v/>
      </c>
      <c r="U21" s="37" t="str">
        <v/>
      </c>
      <c r="V21" s="42">
        <v>0</v>
      </c>
    </row>
    <row r="22" spans="2:22">
      <c r="B22" s="42" t="str">
        <v/>
      </c>
      <c r="C22" t="str">
        <v/>
      </c>
      <c r="D22" s="37" t="str">
        <v/>
      </c>
      <c r="E22" s="37"/>
      <c r="F22" s="37"/>
      <c r="G22" s="224"/>
      <c r="H22" s="224"/>
      <c r="I22" s="37"/>
      <c r="M22" s="37"/>
      <c r="O22" s="224" t="str">
        <f ca="1"/>
        <v/>
      </c>
      <c r="P22" t="str">
        <f ca="1"/>
        <v/>
      </c>
      <c r="Q22" s="37" t="str">
        <f ca="1"/>
        <v/>
      </c>
      <c r="S22" s="42">
        <v>2</v>
      </c>
      <c r="T22" t="str">
        <v>LIABILITIES</v>
      </c>
      <c r="U22" s="37" t="str">
        <v/>
      </c>
      <c r="V22" s="42">
        <v>0</v>
      </c>
    </row>
    <row r="23" spans="2:22">
      <c r="B23" s="42">
        <v>2</v>
      </c>
      <c r="C23" t="str">
        <v>EQUITIES</v>
      </c>
      <c r="D23" s="37" t="str">
        <v/>
      </c>
      <c r="E23" s="37"/>
      <c r="F23" s="37"/>
      <c r="G23" s="224"/>
      <c r="H23" s="224"/>
      <c r="I23" s="37"/>
      <c r="M23" s="37"/>
      <c r="O23" s="224">
        <f ca="1"/>
        <v>3</v>
      </c>
      <c r="P23" t="str">
        <f ca="1"/>
        <v>Increase (decrease) in cash</v>
      </c>
      <c r="Q23" s="37">
        <f ca="1"/>
        <v>139</v>
      </c>
      <c r="S23" s="42" t="str">
        <v/>
      </c>
      <c r="T23" t="str">
        <v/>
      </c>
      <c r="U23" s="37" t="str">
        <v/>
      </c>
      <c r="V23" s="42">
        <v>0</v>
      </c>
    </row>
    <row r="24" spans="2:22">
      <c r="B24" s="42" t="str">
        <v/>
      </c>
      <c r="C24" t="str">
        <v/>
      </c>
      <c r="D24" s="37" t="str">
        <v/>
      </c>
      <c r="E24" s="37"/>
      <c r="F24" s="37"/>
      <c r="G24" s="224"/>
      <c r="H24" s="224"/>
      <c r="I24" s="37"/>
      <c r="M24" s="37"/>
      <c r="O24" s="224">
        <f ca="1"/>
        <v>5</v>
      </c>
      <c r="P24" t="str">
        <f ca="1"/>
        <v>Cash @ 12/31/20x1</v>
      </c>
      <c r="Q24" s="37">
        <f ca="1"/>
        <v>139</v>
      </c>
      <c r="S24" s="42">
        <v>4</v>
      </c>
      <c r="T24" t="str">
        <v>Current Liabilities:</v>
      </c>
      <c r="U24" s="37" t="str">
        <v/>
      </c>
      <c r="V24" s="42">
        <v>0</v>
      </c>
    </row>
    <row r="25" spans="2:22">
      <c r="B25" s="42">
        <v>6</v>
      </c>
      <c r="C25" t="str">
        <v>Common Stock</v>
      </c>
      <c r="D25" s="37">
        <v>0</v>
      </c>
      <c r="E25" s="37"/>
      <c r="F25" s="37"/>
      <c r="G25" s="224"/>
      <c r="H25" s="224"/>
      <c r="I25" s="37"/>
      <c r="M25" s="37"/>
      <c r="Q25" s="37"/>
      <c r="S25" s="42">
        <v>6</v>
      </c>
      <c r="T25" t="str">
        <v>Accounts Payable</v>
      </c>
      <c r="U25" s="37">
        <v>2</v>
      </c>
      <c r="V25" s="42">
        <v>0</v>
      </c>
    </row>
    <row r="26" spans="2:22">
      <c r="B26" s="42">
        <v>7</v>
      </c>
      <c r="C26" t="str">
        <v>Retained Earnings</v>
      </c>
      <c r="D26" s="37">
        <v>0</v>
      </c>
      <c r="E26" s="37"/>
      <c r="F26" s="37"/>
      <c r="G26" s="224"/>
      <c r="H26" s="224"/>
      <c r="I26" s="37"/>
      <c r="M26" s="37"/>
      <c r="Q26" s="37"/>
      <c r="S26" s="42">
        <v>7</v>
      </c>
      <c r="T26" t="str">
        <v>Dividends Payable</v>
      </c>
      <c r="U26" s="37">
        <v>0</v>
      </c>
      <c r="V26" s="42" t="e">
        <v>#NAME?</v>
      </c>
    </row>
    <row r="27" spans="2:22">
      <c r="B27" s="42">
        <v>3</v>
      </c>
      <c r="C27" t="str">
        <v>Total Equities</v>
      </c>
      <c r="D27" s="37">
        <v>0</v>
      </c>
      <c r="E27" s="37"/>
      <c r="F27" s="37"/>
      <c r="G27" s="224"/>
      <c r="H27" s="224"/>
      <c r="I27" s="37"/>
      <c r="J27" s="42">
        <v>0</v>
      </c>
      <c r="M27" s="37"/>
      <c r="Q27" s="37"/>
      <c r="S27" s="42">
        <v>7</v>
      </c>
      <c r="T27" t="str">
        <v>Unearned Revenue</v>
      </c>
      <c r="U27" s="37">
        <v>8</v>
      </c>
      <c r="V27" s="42">
        <v>0</v>
      </c>
    </row>
    <row r="28" spans="2:22">
      <c r="B28" s="42" t="str">
        <v/>
      </c>
      <c r="C28" t="str">
        <v/>
      </c>
      <c r="D28" s="37" t="str">
        <v/>
      </c>
      <c r="E28" s="37"/>
      <c r="F28" s="37"/>
      <c r="H28" s="224"/>
      <c r="I28" s="37"/>
      <c r="J28" s="42">
        <v>0</v>
      </c>
      <c r="M28" s="37"/>
      <c r="Q28" s="37"/>
      <c r="S28" s="42">
        <v>5</v>
      </c>
      <c r="T28" t="str">
        <v xml:space="preserve">  Total Current Liabilities</v>
      </c>
      <c r="U28" s="37">
        <v>10</v>
      </c>
      <c r="V28" s="42">
        <v>0</v>
      </c>
    </row>
    <row r="29" spans="2:22">
      <c r="B29" s="42" t="str">
        <v/>
      </c>
      <c r="C29" t="str">
        <v/>
      </c>
      <c r="D29" s="37" t="str">
        <v/>
      </c>
      <c r="E29" s="37"/>
      <c r="F29" s="37"/>
      <c r="H29" s="224"/>
      <c r="I29" s="37"/>
      <c r="J29" s="42">
        <v>0</v>
      </c>
      <c r="M29" s="37"/>
      <c r="Q29" s="37"/>
      <c r="S29" s="42" t="str">
        <v/>
      </c>
      <c r="T29" t="str">
        <v/>
      </c>
      <c r="U29" s="37" t="str">
        <v/>
      </c>
      <c r="V29" s="42">
        <v>0</v>
      </c>
    </row>
    <row r="30" spans="2:22">
      <c r="D30" s="37"/>
      <c r="E30" s="37"/>
      <c r="F30" s="37"/>
      <c r="H30" s="224"/>
      <c r="I30" s="37"/>
      <c r="J30" s="42">
        <v>0</v>
      </c>
      <c r="M30" s="37"/>
      <c r="Q30" s="37"/>
      <c r="S30" s="42">
        <v>4</v>
      </c>
      <c r="T30" t="str">
        <v>Noncurrent Liabilities:</v>
      </c>
      <c r="U30" s="37" t="str">
        <v/>
      </c>
      <c r="V30" s="42">
        <v>0</v>
      </c>
    </row>
    <row r="31" spans="2:22">
      <c r="D31" s="37"/>
      <c r="E31" s="37"/>
      <c r="F31" s="37"/>
      <c r="H31" s="224"/>
      <c r="I31" s="37"/>
      <c r="J31" s="42">
        <f>IF(H31&lt;&gt;"",COUNTIFS(#REF!,H31),0)</f>
        <v>0</v>
      </c>
      <c r="M31" s="37"/>
      <c r="Q31" s="37"/>
      <c r="S31" s="42">
        <v>6</v>
      </c>
      <c r="T31" t="str">
        <v>Loans Payable</v>
      </c>
      <c r="U31" s="37">
        <v>100</v>
      </c>
    </row>
    <row r="32" spans="2:22">
      <c r="D32" s="37"/>
      <c r="E32" s="37"/>
      <c r="F32" s="37"/>
      <c r="H32" s="224"/>
      <c r="I32" s="37"/>
      <c r="J32" s="42">
        <f>IF(H32&lt;&gt;"",COUNTIFS(#REF!,H32),0)</f>
        <v>0</v>
      </c>
      <c r="M32" s="37"/>
      <c r="Q32" s="37"/>
      <c r="S32" s="42">
        <v>5</v>
      </c>
      <c r="T32" t="str">
        <v xml:space="preserve">  Total Noncurrent Liabilities</v>
      </c>
      <c r="U32" s="37">
        <v>100</v>
      </c>
    </row>
    <row r="33" spans="4:21">
      <c r="D33" s="37"/>
      <c r="E33" s="37"/>
      <c r="F33" s="37"/>
      <c r="H33" s="224"/>
      <c r="I33" s="37"/>
      <c r="J33" s="42">
        <f>IF(H33&lt;&gt;"",COUNTIFS(#REF!,H33),0)</f>
        <v>0</v>
      </c>
      <c r="M33" s="37"/>
      <c r="Q33" s="37"/>
      <c r="S33" s="42">
        <v>3</v>
      </c>
      <c r="T33" t="str">
        <v>Total Liabilities</v>
      </c>
      <c r="U33" s="37">
        <v>110</v>
      </c>
    </row>
    <row r="34" spans="4:21">
      <c r="D34" s="37"/>
      <c r="E34" s="37"/>
      <c r="F34" s="37"/>
      <c r="H34" s="224"/>
      <c r="I34" s="37"/>
      <c r="J34" s="42">
        <f>IF(H34&lt;&gt;"",COUNTIFS(#REF!,H34),0)</f>
        <v>0</v>
      </c>
      <c r="M34" s="37"/>
      <c r="Q34" s="37"/>
      <c r="S34" s="42" t="str">
        <v/>
      </c>
      <c r="T34" t="str">
        <v/>
      </c>
      <c r="U34" s="37" t="str">
        <v/>
      </c>
    </row>
    <row r="35" spans="4:21">
      <c r="D35" s="37"/>
      <c r="E35" s="37"/>
      <c r="F35" s="37"/>
      <c r="H35" s="224"/>
      <c r="I35" s="37"/>
      <c r="J35" s="42">
        <f>IF(H35&lt;&gt;"",COUNTIFS(#REF!,H35),0)</f>
        <v>0</v>
      </c>
      <c r="M35" s="37"/>
      <c r="Q35" s="37"/>
      <c r="S35" s="42">
        <v>2</v>
      </c>
      <c r="T35" t="str">
        <v>EQUITIES</v>
      </c>
      <c r="U35" s="37" t="str">
        <v/>
      </c>
    </row>
    <row r="36" spans="4:21">
      <c r="D36" s="37"/>
      <c r="E36" s="37"/>
      <c r="F36" s="37"/>
      <c r="H36" s="224"/>
      <c r="I36" s="37"/>
      <c r="J36" s="42">
        <f>IF(H36&lt;&gt;"",COUNTIFS(#REF!,H36),0)</f>
        <v>0</v>
      </c>
      <c r="M36" s="37"/>
      <c r="Q36" s="37"/>
      <c r="S36" s="42" t="str">
        <v/>
      </c>
      <c r="T36" t="str">
        <v/>
      </c>
      <c r="U36" s="37" t="str">
        <v/>
      </c>
    </row>
    <row r="37" spans="4:21">
      <c r="D37" s="37"/>
      <c r="E37" s="37"/>
      <c r="F37" s="37"/>
      <c r="H37" s="224"/>
      <c r="I37" s="37"/>
      <c r="J37" s="42">
        <f>IF(H37&lt;&gt;"",COUNTIFS(#REF!,H37),0)</f>
        <v>0</v>
      </c>
      <c r="M37" s="37"/>
      <c r="Q37" s="37"/>
      <c r="S37" s="42">
        <v>6</v>
      </c>
      <c r="T37" t="str">
        <v>Common Stock</v>
      </c>
      <c r="U37" s="37">
        <v>100</v>
      </c>
    </row>
    <row r="38" spans="4:21">
      <c r="D38" s="37"/>
      <c r="E38" s="37"/>
      <c r="F38" s="37"/>
      <c r="H38" s="224"/>
      <c r="I38" s="37"/>
      <c r="J38" s="42">
        <f>IF(H38&lt;&gt;"",COUNTIFS(#REF!,H38),0)</f>
        <v>0</v>
      </c>
      <c r="M38" s="37"/>
      <c r="Q38" s="37"/>
      <c r="S38" s="42">
        <v>7</v>
      </c>
      <c r="T38" t="str">
        <v>Retained Earnings</v>
      </c>
      <c r="U38" s="37">
        <v>-2</v>
      </c>
    </row>
    <row r="39" spans="4:21">
      <c r="D39" s="37"/>
      <c r="E39" s="37"/>
      <c r="F39" s="37"/>
      <c r="H39" s="224"/>
      <c r="I39" s="37"/>
      <c r="J39" s="42">
        <f>IF(H39&lt;&gt;"",COUNTIFS(#REF!,H39),0)</f>
        <v>0</v>
      </c>
      <c r="M39" s="37"/>
      <c r="Q39" s="37"/>
      <c r="S39" s="42">
        <v>3</v>
      </c>
      <c r="T39" t="str">
        <v>Total Equities</v>
      </c>
      <c r="U39" s="37">
        <v>98</v>
      </c>
    </row>
    <row r="40" spans="4:21">
      <c r="D40" s="37"/>
      <c r="E40" s="37"/>
      <c r="F40" s="37"/>
      <c r="H40" s="224"/>
      <c r="I40" s="37"/>
      <c r="J40" s="42">
        <f>IF(H40&lt;&gt;"",COUNTIFS(#REF!,H40),0)</f>
        <v>0</v>
      </c>
      <c r="M40" s="37"/>
      <c r="Q40" s="37"/>
      <c r="S40" s="42" t="str">
        <v/>
      </c>
      <c r="T40" t="str">
        <v/>
      </c>
      <c r="U40" s="37" t="str">
        <v/>
      </c>
    </row>
    <row r="41" spans="4:21">
      <c r="D41" s="37"/>
      <c r="E41" s="37"/>
      <c r="F41" s="37"/>
      <c r="H41" s="224"/>
      <c r="I41" s="37"/>
      <c r="J41" s="42">
        <f>IF(H41&lt;&gt;"",COUNTIFS(#REF!,H41),0)</f>
        <v>0</v>
      </c>
      <c r="M41" s="37"/>
      <c r="Q41" s="37"/>
      <c r="S41" s="42">
        <v>3</v>
      </c>
      <c r="T41" t="str">
        <v>Total Liabilities and Equities</v>
      </c>
      <c r="U41" s="37">
        <v>208</v>
      </c>
    </row>
    <row r="42" spans="4:21">
      <c r="D42" s="37"/>
      <c r="E42" s="37"/>
      <c r="F42" s="37"/>
      <c r="H42" s="224"/>
      <c r="I42" s="37"/>
      <c r="J42" s="42">
        <f>IF(H42&lt;&gt;"",COUNTIFS(#REF!,H42),0)</f>
        <v>0</v>
      </c>
      <c r="M42" s="37"/>
      <c r="Q42" s="37"/>
      <c r="U42" s="37"/>
    </row>
    <row r="43" spans="4:21">
      <c r="D43" s="37"/>
      <c r="E43" s="37"/>
      <c r="F43" s="37"/>
      <c r="H43" s="224"/>
      <c r="I43" s="37"/>
      <c r="J43" s="42">
        <f>IF(H43&lt;&gt;"",COUNTIFS(#REF!,H43),0)</f>
        <v>0</v>
      </c>
      <c r="M43" s="37"/>
      <c r="Q43" s="37"/>
      <c r="U43" s="37"/>
    </row>
    <row r="44" spans="4:21">
      <c r="D44" s="37"/>
      <c r="E44" s="37"/>
      <c r="F44" s="37"/>
      <c r="H44" s="224"/>
      <c r="I44" s="37"/>
      <c r="J44" s="42">
        <f>IF(H44&lt;&gt;"",COUNTIFS(#REF!,H44),0)</f>
        <v>0</v>
      </c>
      <c r="M44" s="37"/>
      <c r="Q44" s="37"/>
      <c r="U44" s="37"/>
    </row>
    <row r="45" spans="4:21">
      <c r="D45" s="37"/>
      <c r="E45" s="37"/>
      <c r="F45" s="37"/>
      <c r="I45" s="37"/>
      <c r="J45" s="42">
        <f>IF(H45&lt;&gt;"",COUNTIFS(#REF!,H45),0)</f>
        <v>0</v>
      </c>
      <c r="M45" s="37"/>
      <c r="Q45" s="37"/>
      <c r="U45" s="37"/>
    </row>
    <row r="46" spans="4:21">
      <c r="D46" s="37"/>
      <c r="E46" s="37"/>
      <c r="F46" s="37"/>
      <c r="I46" s="37"/>
      <c r="J46" s="42">
        <f>IF(H46&lt;&gt;"",COUNTIFS(#REF!,H46),0)</f>
        <v>0</v>
      </c>
      <c r="M46" s="37"/>
      <c r="Q46" s="37"/>
      <c r="U46" s="37"/>
    </row>
    <row r="47" spans="4:21">
      <c r="D47" s="37"/>
      <c r="E47" s="37"/>
      <c r="F47" s="37"/>
      <c r="I47" s="37"/>
      <c r="J47" s="42">
        <f>IF(H47&lt;&gt;"",COUNTIFS(#REF!,H47),0)</f>
        <v>0</v>
      </c>
      <c r="M47" s="37"/>
      <c r="Q47" s="37"/>
      <c r="U47" s="37"/>
    </row>
    <row r="48" spans="4:21">
      <c r="D48" s="37"/>
      <c r="E48" s="37"/>
      <c r="F48" s="37"/>
      <c r="I48" s="37"/>
      <c r="J48" s="42">
        <f>IF(H48&lt;&gt;"",COUNTIFS(#REF!,H48),0)</f>
        <v>0</v>
      </c>
      <c r="M48" s="37"/>
      <c r="Q48" s="37"/>
      <c r="U48" s="37"/>
    </row>
    <row r="49" spans="4:21">
      <c r="D49" s="37"/>
      <c r="E49" s="37"/>
      <c r="F49" s="37"/>
      <c r="I49" s="37"/>
      <c r="J49" s="42">
        <f>IF(H49&lt;&gt;"",COUNTIFS(#REF!,H49),0)</f>
        <v>0</v>
      </c>
      <c r="M49" s="37"/>
      <c r="Q49" s="37"/>
      <c r="U49" s="37"/>
    </row>
    <row r="50" spans="4:21">
      <c r="D50" s="37"/>
      <c r="E50" s="37"/>
      <c r="F50" s="37"/>
      <c r="I50" s="37"/>
      <c r="J50" s="42">
        <f>IF(H50&lt;&gt;"",COUNTIFS(#REF!,H50),0)</f>
        <v>0</v>
      </c>
      <c r="M50" s="37"/>
      <c r="Q50" s="37"/>
      <c r="U50" s="37"/>
    </row>
    <row r="51" spans="4:21">
      <c r="D51" s="37"/>
      <c r="E51" s="37"/>
      <c r="F51" s="37"/>
      <c r="I51" s="37"/>
      <c r="J51" s="42">
        <f>IF(H51&lt;&gt;"",COUNTIFS(#REF!,H51),0)</f>
        <v>0</v>
      </c>
      <c r="M51" s="37"/>
      <c r="Q51" s="37"/>
      <c r="U51" s="37"/>
    </row>
    <row r="52" spans="4:21">
      <c r="D52" s="37"/>
      <c r="E52" s="37"/>
      <c r="F52" s="37"/>
      <c r="I52" s="37"/>
      <c r="J52" s="42">
        <f>IF(H52&lt;&gt;"",COUNTIFS(#REF!,H52),0)</f>
        <v>0</v>
      </c>
      <c r="M52" s="37"/>
      <c r="Q52" s="37"/>
      <c r="U52" s="37"/>
    </row>
    <row r="53" spans="4:21">
      <c r="D53" s="37"/>
      <c r="E53" s="37"/>
      <c r="F53" s="37"/>
      <c r="I53" s="37"/>
      <c r="J53" s="42">
        <f>IF(H53&lt;&gt;"",COUNTIFS(#REF!,H53),0)</f>
        <v>0</v>
      </c>
      <c r="M53" s="37"/>
      <c r="Q53" s="37"/>
      <c r="U53" s="37"/>
    </row>
    <row r="54" spans="4:21">
      <c r="D54" s="37"/>
      <c r="E54" s="37"/>
      <c r="F54" s="37"/>
      <c r="I54" s="37"/>
      <c r="J54" s="42">
        <f>IF(H54&lt;&gt;"",COUNTIFS(#REF!,H54),0)</f>
        <v>0</v>
      </c>
      <c r="M54" s="37"/>
      <c r="Q54" s="37"/>
      <c r="U54" s="37"/>
    </row>
    <row r="55" spans="4:21">
      <c r="D55" s="37"/>
      <c r="E55" s="37"/>
      <c r="F55" s="37"/>
      <c r="I55" s="37"/>
      <c r="J55" s="42">
        <f>IF(H55&lt;&gt;"",COUNTIFS(#REF!,H55),0)</f>
        <v>0</v>
      </c>
      <c r="M55" s="37"/>
      <c r="Q55" s="37"/>
      <c r="U55" s="37"/>
    </row>
    <row r="56" spans="4:21">
      <c r="D56" s="37"/>
      <c r="E56" s="37"/>
      <c r="F56" s="37"/>
      <c r="I56" s="37"/>
      <c r="J56" s="42">
        <f>IF(H56&lt;&gt;"",COUNTIFS(#REF!,H56),0)</f>
        <v>0</v>
      </c>
      <c r="M56" s="37"/>
      <c r="Q56" s="37"/>
      <c r="U56" s="37"/>
    </row>
    <row r="57" spans="4:21">
      <c r="D57" s="37"/>
      <c r="E57" s="37"/>
      <c r="F57" s="37"/>
      <c r="I57" s="37"/>
      <c r="J57" s="42">
        <f>IF(H57&lt;&gt;"",COUNTIFS(#REF!,H57),0)</f>
        <v>0</v>
      </c>
      <c r="M57" s="37"/>
      <c r="Q57" s="37"/>
      <c r="U57" s="37"/>
    </row>
    <row r="58" spans="4:21">
      <c r="D58" s="37"/>
      <c r="E58" s="37"/>
      <c r="F58" s="37"/>
      <c r="I58" s="37"/>
      <c r="J58" s="42">
        <f>IF(H58&lt;&gt;"",COUNTIFS(#REF!,H58),0)</f>
        <v>0</v>
      </c>
      <c r="M58" s="37"/>
      <c r="Q58" s="37"/>
      <c r="U58" s="37"/>
    </row>
    <row r="59" spans="4:21">
      <c r="D59" s="37"/>
      <c r="E59" s="37"/>
      <c r="F59" s="37"/>
      <c r="I59" s="37"/>
      <c r="J59" s="42">
        <f>IF(H59&lt;&gt;"",COUNTIFS(#REF!,H59),0)</f>
        <v>0</v>
      </c>
      <c r="M59" s="37"/>
      <c r="Q59" s="37"/>
      <c r="U59" s="37"/>
    </row>
    <row r="60" spans="4:21">
      <c r="D60" s="37"/>
      <c r="E60" s="37"/>
      <c r="F60" s="37"/>
      <c r="I60" s="37"/>
      <c r="J60" s="42">
        <f>IF(H60&lt;&gt;"",COUNTIFS(#REF!,H60),0)</f>
        <v>0</v>
      </c>
      <c r="M60" s="37"/>
      <c r="Q60" s="37"/>
      <c r="U60" s="37"/>
    </row>
    <row r="61" spans="4:21">
      <c r="D61" s="37"/>
      <c r="E61" s="37"/>
      <c r="F61" s="37"/>
      <c r="I61" s="37"/>
      <c r="M61" s="37"/>
      <c r="Q61" s="37"/>
      <c r="U61" s="37"/>
    </row>
    <row r="62" spans="4:21">
      <c r="D62" s="37"/>
      <c r="E62" s="37"/>
      <c r="F62" s="37"/>
      <c r="I62" s="37"/>
      <c r="M62" s="37"/>
      <c r="Q62" s="37"/>
      <c r="U62" s="37"/>
    </row>
    <row r="63" spans="4:21">
      <c r="D63" s="37"/>
      <c r="E63" s="37"/>
      <c r="F63" s="37"/>
      <c r="I63" s="37"/>
      <c r="M63" s="37"/>
      <c r="Q63" s="37"/>
      <c r="U63" s="37"/>
    </row>
    <row r="64" spans="4:21">
      <c r="D64" s="37"/>
      <c r="E64" s="37"/>
      <c r="F64" s="37"/>
      <c r="I64" s="37"/>
      <c r="M64" s="37"/>
      <c r="Q64" s="37"/>
      <c r="U64" s="37"/>
    </row>
    <row r="65" spans="4:21">
      <c r="D65" s="37"/>
      <c r="E65" s="37"/>
      <c r="F65" s="37"/>
      <c r="I65" s="37"/>
      <c r="M65" s="37"/>
      <c r="Q65" s="37"/>
      <c r="U65" s="37"/>
    </row>
    <row r="66" spans="4:21">
      <c r="D66" s="37"/>
      <c r="E66" s="37"/>
      <c r="F66" s="37"/>
      <c r="I66" s="37"/>
      <c r="M66" s="37"/>
      <c r="Q66" s="37"/>
      <c r="U66" s="37"/>
    </row>
    <row r="67" spans="4:21">
      <c r="D67" s="37"/>
      <c r="E67" s="37"/>
      <c r="F67" s="37"/>
      <c r="I67" s="37"/>
      <c r="M67" s="37"/>
      <c r="Q67" s="37"/>
      <c r="U67" s="37"/>
    </row>
    <row r="68" spans="4:21">
      <c r="D68" s="37"/>
      <c r="E68" s="37"/>
      <c r="F68" s="37"/>
      <c r="I68" s="37"/>
      <c r="M68" s="37"/>
      <c r="Q68" s="37"/>
      <c r="U68" s="37"/>
    </row>
    <row r="69" spans="4:21">
      <c r="D69" s="37"/>
      <c r="E69" s="37"/>
      <c r="F69" s="37"/>
      <c r="I69" s="37"/>
      <c r="M69" s="37"/>
      <c r="Q69" s="37"/>
      <c r="U69" s="37"/>
    </row>
    <row r="70" spans="4:21">
      <c r="D70" s="37"/>
      <c r="E70" s="37"/>
      <c r="F70" s="37"/>
      <c r="I70" s="37"/>
      <c r="M70" s="37"/>
      <c r="Q70" s="37"/>
      <c r="U70" s="37"/>
    </row>
    <row r="71" spans="4:21">
      <c r="D71" s="37"/>
      <c r="E71" s="37"/>
      <c r="F71" s="37"/>
      <c r="I71" s="37"/>
      <c r="M71" s="37"/>
      <c r="Q71" s="37"/>
      <c r="U71" s="37"/>
    </row>
    <row r="72" spans="4:21">
      <c r="D72" s="37"/>
      <c r="E72" s="37"/>
      <c r="F72" s="37"/>
      <c r="I72" s="37"/>
      <c r="M72" s="37"/>
      <c r="Q72" s="37"/>
      <c r="U72" s="37"/>
    </row>
    <row r="73" spans="4:21">
      <c r="D73" s="37"/>
      <c r="E73" s="37"/>
      <c r="F73" s="37"/>
      <c r="I73" s="37"/>
      <c r="M73" s="37"/>
      <c r="Q73" s="37"/>
      <c r="U73" s="37"/>
    </row>
    <row r="74" spans="4:21">
      <c r="D74" s="37"/>
      <c r="E74" s="37"/>
      <c r="F74" s="37"/>
      <c r="I74" s="37"/>
      <c r="M74" s="37"/>
      <c r="Q74" s="37"/>
      <c r="U74" s="37"/>
    </row>
    <row r="75" spans="4:21">
      <c r="D75" s="37"/>
      <c r="E75" s="37"/>
      <c r="F75" s="37"/>
      <c r="I75" s="37"/>
      <c r="M75" s="37"/>
      <c r="Q75" s="37"/>
      <c r="U75" s="37"/>
    </row>
    <row r="76" spans="4:21">
      <c r="D76" s="37"/>
      <c r="E76" s="37"/>
      <c r="F76" s="37"/>
      <c r="I76" s="37"/>
      <c r="M76" s="37"/>
      <c r="Q76" s="37"/>
      <c r="U76" s="37"/>
    </row>
    <row r="77" spans="4:21">
      <c r="D77" s="37"/>
      <c r="E77" s="37"/>
      <c r="F77" s="37"/>
      <c r="I77" s="37"/>
      <c r="M77" s="37"/>
      <c r="Q77" s="37"/>
      <c r="U77" s="37"/>
    </row>
    <row r="78" spans="4:21">
      <c r="D78" s="37"/>
      <c r="E78" s="37"/>
      <c r="F78" s="37"/>
      <c r="I78" s="37"/>
      <c r="M78" s="37"/>
      <c r="Q78" s="37"/>
      <c r="U78" s="37"/>
    </row>
    <row r="79" spans="4:21">
      <c r="D79" s="37"/>
      <c r="E79" s="37"/>
      <c r="F79" s="37"/>
      <c r="I79" s="37"/>
      <c r="M79" s="37"/>
      <c r="Q79" s="37"/>
      <c r="U79" s="37"/>
    </row>
    <row r="80" spans="4:21">
      <c r="D80" s="37"/>
      <c r="E80" s="37"/>
      <c r="F80" s="37"/>
      <c r="I80" s="37"/>
      <c r="M80" s="37"/>
      <c r="Q80" s="37"/>
      <c r="U80" s="37"/>
    </row>
    <row r="81" spans="4:21">
      <c r="D81" s="37"/>
      <c r="E81" s="37"/>
      <c r="F81" s="37"/>
      <c r="I81" s="37"/>
      <c r="M81" s="37"/>
      <c r="Q81" s="37"/>
      <c r="U81" s="37"/>
    </row>
    <row r="82" spans="4:21">
      <c r="D82" s="37"/>
      <c r="E82" s="37"/>
      <c r="F82" s="37"/>
      <c r="I82" s="37"/>
      <c r="M82" s="37"/>
      <c r="Q82" s="37"/>
      <c r="U82" s="37"/>
    </row>
    <row r="83" spans="4:21">
      <c r="D83" s="37"/>
      <c r="E83" s="37"/>
      <c r="F83" s="37"/>
      <c r="I83" s="37"/>
      <c r="M83" s="37"/>
      <c r="Q83" s="37"/>
      <c r="U83" s="37"/>
    </row>
    <row r="84" spans="4:21">
      <c r="D84" s="37"/>
      <c r="E84" s="37"/>
      <c r="F84" s="37"/>
      <c r="I84" s="37"/>
      <c r="M84" s="37"/>
      <c r="Q84" s="37"/>
      <c r="U84" s="37"/>
    </row>
    <row r="85" spans="4:21">
      <c r="D85" s="37"/>
      <c r="E85" s="37"/>
      <c r="F85" s="37"/>
      <c r="I85" s="37"/>
      <c r="M85" s="37"/>
      <c r="Q85" s="37"/>
      <c r="U85" s="37"/>
    </row>
    <row r="86" spans="4:21">
      <c r="D86" s="37"/>
      <c r="E86" s="37"/>
      <c r="F86" s="37"/>
      <c r="I86" s="37"/>
      <c r="M86" s="37"/>
      <c r="Q86" s="37"/>
      <c r="U86" s="37"/>
    </row>
    <row r="87" spans="4:21">
      <c r="D87" s="37"/>
      <c r="E87" s="37"/>
      <c r="F87" s="37"/>
      <c r="I87" s="37"/>
      <c r="M87" s="37"/>
      <c r="Q87" s="37"/>
      <c r="U87" s="37"/>
    </row>
    <row r="88" spans="4:21">
      <c r="D88" s="37"/>
      <c r="E88" s="37"/>
      <c r="F88" s="37"/>
      <c r="I88" s="37"/>
      <c r="M88" s="37"/>
      <c r="Q88" s="37"/>
      <c r="U88" s="37"/>
    </row>
    <row r="89" spans="4:21">
      <c r="D89" s="37"/>
      <c r="E89" s="37"/>
      <c r="F89" s="37"/>
      <c r="I89" s="37"/>
      <c r="M89" s="37"/>
      <c r="Q89" s="37"/>
      <c r="U89" s="37"/>
    </row>
    <row r="90" spans="4:21">
      <c r="D90" s="37"/>
      <c r="E90" s="37"/>
      <c r="F90" s="37"/>
      <c r="I90" s="37"/>
      <c r="M90" s="37"/>
      <c r="Q90" s="37"/>
      <c r="U90" s="37"/>
    </row>
    <row r="99" spans="3:21" ht="15" thickBot="1">
      <c r="C99" t="s">
        <v>833</v>
      </c>
      <c r="D99" t="b">
        <f ca="1">ISNUMBER(MATCH(FALSE,D100:D154,0))</f>
        <v>1</v>
      </c>
      <c r="H99" t="s">
        <v>833</v>
      </c>
      <c r="I99" t="b">
        <f ca="1">ISNUMBER(MATCH(FALSE,I100:I154,0))</f>
        <v>1</v>
      </c>
      <c r="L99" t="s">
        <v>833</v>
      </c>
      <c r="M99" t="b">
        <f ca="1">ISNUMBER(MATCH(FALSE,M100:M154,0))</f>
        <v>1</v>
      </c>
      <c r="P99" t="s">
        <v>833</v>
      </c>
      <c r="Q99" t="b">
        <f ca="1">ISNUMBER(MATCH(FALSE,Q100:Q154,0))</f>
        <v>1</v>
      </c>
      <c r="T99" s="5" t="s">
        <v>834</v>
      </c>
      <c r="U99" t="b">
        <f ca="1">ISNUMBER(MATCH(FALSE,U100:U154,0))</f>
        <v>1</v>
      </c>
    </row>
    <row r="100" spans="3:21">
      <c r="C100" s="405" t="str">
        <f t="shared" ref="C100:C119" si="0">C7&amp;D7</f>
        <v>ASSETS</v>
      </c>
      <c r="D100" t="b">
        <f ca="1">ISNUMBER(MATCH(C100,Financial_Statement_Builder!$J$405:$J$488,0))</f>
        <v>1</v>
      </c>
      <c r="H100" s="405" t="str">
        <f t="shared" ref="H100:H119" ca="1" si="1">H7&amp;I7</f>
        <v>REVENUES</v>
      </c>
      <c r="I100" t="b">
        <f ca="1">ISNUMBER(MATCH(H100,Financial_Statement_Builder!$M$405:$M$488,0))</f>
        <v>1</v>
      </c>
      <c r="L100" s="405" t="str">
        <f ca="1">_xlfn.CONCAT(L7:M7)</f>
        <v>FALSE</v>
      </c>
      <c r="M100" t="b">
        <f ca="1">ISNUMBER(MATCH(L100,Financial_Statement_Builder!$Q$405:$Q$488,0))</f>
        <v>0</v>
      </c>
      <c r="P100" s="405" t="str">
        <f t="shared" ref="P100:P119" ca="1" si="2">P7&amp;Q7</f>
        <v>Operating Activities</v>
      </c>
      <c r="Q100" t="b">
        <f ca="1">ISNUMBER(MATCH(P100,Financial_Statement_Builder!$T$405:$T$488,0))</f>
        <v>1</v>
      </c>
      <c r="T100" s="405" t="str">
        <f t="shared" ref="T100:T119" si="3">T7&amp;U7</f>
        <v>ASSETS</v>
      </c>
      <c r="U100" t="b">
        <f ca="1">ISNUMBER(MATCH(T100,Financial_Statement_Builder!$X$405:$X$488,0))</f>
        <v>1</v>
      </c>
    </row>
    <row r="101" spans="3:21">
      <c r="C101" s="194" t="str">
        <f t="shared" si="0"/>
        <v/>
      </c>
      <c r="D101" t="b">
        <f ca="1">ISNUMBER(MATCH(C101,Financial_Statement_Builder!$J$405:$J$488,0))</f>
        <v>1</v>
      </c>
      <c r="H101" s="194" t="str">
        <f t="shared" ca="1" si="1"/>
        <v/>
      </c>
      <c r="I101" t="b">
        <f ca="1">ISNUMBER(MATCH(H101,Financial_Statement_Builder!$M$405:$M$488,0))</f>
        <v>1</v>
      </c>
      <c r="L101" s="194" t="str">
        <f>_xlfn.CONCAT(L8:M8)</f>
        <v/>
      </c>
      <c r="M101" t="b">
        <f ca="1">ISNUMBER(MATCH(L101,Financial_Statement_Builder!$Q$405:$Q$488,0))</f>
        <v>1</v>
      </c>
      <c r="P101" s="194" t="str">
        <f t="shared" ca="1" si="2"/>
        <v/>
      </c>
      <c r="Q101" t="b">
        <f ca="1">ISNUMBER(MATCH(P101,Financial_Statement_Builder!$T$405:$T$488,0))</f>
        <v>1</v>
      </c>
      <c r="T101" s="194" t="str">
        <f t="shared" si="3"/>
        <v/>
      </c>
      <c r="U101" t="b">
        <f ca="1">ISNUMBER(MATCH(T101,Financial_Statement_Builder!$X$405:$X$488,0))</f>
        <v>1</v>
      </c>
    </row>
    <row r="102" spans="3:21">
      <c r="C102" s="194" t="str">
        <f t="shared" si="0"/>
        <v/>
      </c>
      <c r="D102" t="b">
        <f ca="1">ISNUMBER(MATCH(C102,Financial_Statement_Builder!$J$405:$J$488,0))</f>
        <v>1</v>
      </c>
      <c r="H102" s="194" t="str">
        <f t="shared" ca="1" si="1"/>
        <v>Sales18</v>
      </c>
      <c r="I102" t="b">
        <f ca="1">ISNUMBER(MATCH(H102,Financial_Statement_Builder!$M$405:$M$488,0))</f>
        <v>0</v>
      </c>
      <c r="L102" s="194" t="str">
        <f t="shared" ref="L102:L131" si="4">_xlfn.CONCAT(L9:M9)</f>
        <v/>
      </c>
      <c r="M102" t="b">
        <f ca="1">ISNUMBER(MATCH(L102,Financial_Statement_Builder!$Q$405:$Q$488,0))</f>
        <v>1</v>
      </c>
      <c r="P102" s="194" t="str">
        <f t="shared" ca="1" si="2"/>
        <v>Collections from customers91</v>
      </c>
      <c r="Q102" t="b">
        <f ca="1">ISNUMBER(MATCH(P102,Financial_Statement_Builder!$T$405:$T$488,0))</f>
        <v>0</v>
      </c>
      <c r="T102" s="194" t="str">
        <f t="shared" si="3"/>
        <v xml:space="preserve"> Current Assets:</v>
      </c>
      <c r="U102" t="b">
        <f ca="1">ISNUMBER(MATCH(T102,Financial_Statement_Builder!$X$405:$X$488,0))</f>
        <v>1</v>
      </c>
    </row>
    <row r="103" spans="3:21">
      <c r="C103" s="194" t="str">
        <f t="shared" si="0"/>
        <v/>
      </c>
      <c r="D103" t="b">
        <f ca="1">ISNUMBER(MATCH(C103,Financial_Statement_Builder!$J$405:$J$488,0))</f>
        <v>1</v>
      </c>
      <c r="H103" s="194" t="str">
        <f t="shared" ca="1" si="1"/>
        <v xml:space="preserve">  Total Revenues18</v>
      </c>
      <c r="I103" t="b">
        <f ca="1">ISNUMBER(MATCH(H103,Financial_Statement_Builder!$M$405:$M$488,0))</f>
        <v>0</v>
      </c>
      <c r="L103" s="194" t="str">
        <f t="shared" si="4"/>
        <v/>
      </c>
      <c r="M103" t="b">
        <f ca="1">ISNUMBER(MATCH(L103,Financial_Statement_Builder!$Q$405:$Q$488,0))</f>
        <v>1</v>
      </c>
      <c r="P103" s="194" t="str">
        <f t="shared" ca="1" si="2"/>
        <v>Payments to suppliers-52</v>
      </c>
      <c r="Q103" t="b">
        <f ca="1">ISNUMBER(MATCH(P103,Financial_Statement_Builder!$T$405:$T$488,0))</f>
        <v>0</v>
      </c>
      <c r="T103" s="194" t="str">
        <f t="shared" si="3"/>
        <v>Cash137</v>
      </c>
      <c r="U103" t="b">
        <f ca="1">ISNUMBER(MATCH(T103,Financial_Statement_Builder!$X$405:$X$488,0))</f>
        <v>0</v>
      </c>
    </row>
    <row r="104" spans="3:21">
      <c r="C104" s="194" t="str">
        <f t="shared" si="0"/>
        <v/>
      </c>
      <c r="D104" t="b">
        <f ca="1">ISNUMBER(MATCH(C104,Financial_Statement_Builder!$J$405:$J$488,0))</f>
        <v>1</v>
      </c>
      <c r="H104" s="194" t="str">
        <f t="shared" ca="1" si="1"/>
        <v/>
      </c>
      <c r="I104" t="b">
        <f ca="1">ISNUMBER(MATCH(H104,Financial_Statement_Builder!$M$405:$M$488,0))</f>
        <v>1</v>
      </c>
      <c r="L104" s="194" t="str">
        <f t="shared" si="4"/>
        <v/>
      </c>
      <c r="M104" t="b">
        <f ca="1">ISNUMBER(MATCH(L104,Financial_Statement_Builder!$Q$405:$Q$488,0))</f>
        <v>1</v>
      </c>
      <c r="P104" s="194" t="str">
        <f t="shared" ca="1" si="2"/>
        <v/>
      </c>
      <c r="Q104" t="b">
        <f ca="1">ISNUMBER(MATCH(P104,Financial_Statement_Builder!$T$405:$T$488,0))</f>
        <v>1</v>
      </c>
      <c r="T104" s="194" t="str">
        <f t="shared" si="3"/>
        <v>Accounts Receivable0</v>
      </c>
      <c r="U104" t="b">
        <f ca="1">ISNUMBER(MATCH(T104,Financial_Statement_Builder!$X$405:$X$488,0))</f>
        <v>1</v>
      </c>
    </row>
    <row r="105" spans="3:21">
      <c r="C105" s="194" t="str">
        <f t="shared" si="0"/>
        <v xml:space="preserve">  Total Noncurrent Assets0</v>
      </c>
      <c r="D105" t="b">
        <f ca="1">ISNUMBER(MATCH(C105,Financial_Statement_Builder!$J$405:$J$488,0))</f>
        <v>0</v>
      </c>
      <c r="H105" s="194" t="str">
        <f t="shared" ca="1" si="1"/>
        <v>EXPENSES</v>
      </c>
      <c r="I105" t="b">
        <f ca="1">ISNUMBER(MATCH(H105,Financial_Statement_Builder!$M$405:$M$488,0))</f>
        <v>1</v>
      </c>
      <c r="L105" s="194" t="str">
        <f t="shared" si="4"/>
        <v/>
      </c>
      <c r="M105" t="b">
        <f ca="1">ISNUMBER(MATCH(L105,Financial_Statement_Builder!$Q$405:$Q$488,0))</f>
        <v>1</v>
      </c>
      <c r="P105" s="194" t="str">
        <f t="shared" ca="1" si="2"/>
        <v>Total Cash Flow from Operating Activities39</v>
      </c>
      <c r="Q105" t="b">
        <f ca="1">ISNUMBER(MATCH(P105,Financial_Statement_Builder!$T$405:$T$488,0))</f>
        <v>0</v>
      </c>
      <c r="T105" s="194" t="str">
        <f t="shared" si="3"/>
        <v>Inventories42</v>
      </c>
      <c r="U105" t="b">
        <f ca="1">ISNUMBER(MATCH(T105,Financial_Statement_Builder!$X$405:$X$488,0))</f>
        <v>0</v>
      </c>
    </row>
    <row r="106" spans="3:21">
      <c r="C106" s="194" t="str">
        <f t="shared" si="0"/>
        <v/>
      </c>
      <c r="D106" t="b">
        <f ca="1">ISNUMBER(MATCH(C106,Financial_Statement_Builder!$J$405:$J$488,0))</f>
        <v>1</v>
      </c>
      <c r="H106" s="194" t="str">
        <f t="shared" ca="1" si="1"/>
        <v/>
      </c>
      <c r="I106" t="b">
        <f ca="1">ISNUMBER(MATCH(H106,Financial_Statement_Builder!$M$405:$M$488,0))</f>
        <v>1</v>
      </c>
      <c r="L106" s="194" t="str">
        <f t="shared" si="4"/>
        <v/>
      </c>
      <c r="M106" t="b">
        <f ca="1">ISNUMBER(MATCH(L106,Financial_Statement_Builder!$Q$405:$Q$488,0))</f>
        <v>1</v>
      </c>
      <c r="P106" s="194" t="str">
        <f t="shared" ca="1" si="2"/>
        <v/>
      </c>
      <c r="Q106" t="b">
        <f ca="1">ISNUMBER(MATCH(P106,Financial_Statement_Builder!$T$405:$T$488,0))</f>
        <v>1</v>
      </c>
      <c r="T106" s="194" t="str">
        <f t="shared" si="3"/>
        <v xml:space="preserve">  Total Current Assets179</v>
      </c>
      <c r="U106" t="b">
        <f ca="1">ISNUMBER(MATCH(T106,Financial_Statement_Builder!$X$405:$X$488,0))</f>
        <v>0</v>
      </c>
    </row>
    <row r="107" spans="3:21">
      <c r="C107" s="194" t="str">
        <f t="shared" si="0"/>
        <v>Total Assets0</v>
      </c>
      <c r="D107" t="b">
        <f ca="1">ISNUMBER(MATCH(C107,Financial_Statement_Builder!$J$405:$J$488,0))</f>
        <v>0</v>
      </c>
      <c r="H107" s="194" t="str">
        <f t="shared" ca="1" si="1"/>
        <v>Cost of Goods Sold6</v>
      </c>
      <c r="I107" t="b">
        <f ca="1">ISNUMBER(MATCH(H107,Financial_Statement_Builder!$M$405:$M$488,0))</f>
        <v>0</v>
      </c>
      <c r="L107" s="194" t="str">
        <f t="shared" si="4"/>
        <v/>
      </c>
      <c r="M107" t="b">
        <f ca="1">ISNUMBER(MATCH(L107,Financial_Statement_Builder!$Q$405:$Q$488,0))</f>
        <v>1</v>
      </c>
      <c r="P107" s="194" t="str">
        <f t="shared" ca="1" si="2"/>
        <v>Investing Activities</v>
      </c>
      <c r="Q107" t="b">
        <f ca="1">ISNUMBER(MATCH(P107,Financial_Statement_Builder!$T$405:$T$488,0))</f>
        <v>1</v>
      </c>
      <c r="T107" s="194" t="str">
        <f t="shared" si="3"/>
        <v/>
      </c>
      <c r="U107" t="b">
        <f ca="1">ISNUMBER(MATCH(T107,Financial_Statement_Builder!$X$405:$X$488,0))</f>
        <v>1</v>
      </c>
    </row>
    <row r="108" spans="3:21">
      <c r="C108" s="194" t="str">
        <f t="shared" si="0"/>
        <v/>
      </c>
      <c r="D108" t="b">
        <f ca="1">ISNUMBER(MATCH(C108,Financial_Statement_Builder!$J$405:$J$488,0))</f>
        <v>1</v>
      </c>
      <c r="H108" s="194" t="str">
        <f t="shared" ca="1" si="1"/>
        <v xml:space="preserve">  Total Expenses6</v>
      </c>
      <c r="I108" t="b">
        <f ca="1">ISNUMBER(MATCH(H108,Financial_Statement_Builder!$M$405:$M$488,0))</f>
        <v>0</v>
      </c>
      <c r="L108" s="194" t="str">
        <f t="shared" si="4"/>
        <v/>
      </c>
      <c r="M108" t="b">
        <f ca="1">ISNUMBER(MATCH(L108,Financial_Statement_Builder!$Q$405:$Q$488,0))</f>
        <v>1</v>
      </c>
      <c r="P108" s="194" t="str">
        <f t="shared" ca="1" si="2"/>
        <v/>
      </c>
      <c r="Q108" t="b">
        <f ca="1">ISNUMBER(MATCH(P108,Financial_Statement_Builder!$T$405:$T$488,0))</f>
        <v>1</v>
      </c>
      <c r="T108" s="194" t="str">
        <f t="shared" si="3"/>
        <v xml:space="preserve"> Noncurrent Assets:</v>
      </c>
      <c r="U108" t="b">
        <f ca="1">ISNUMBER(MATCH(T108,Financial_Statement_Builder!$X$405:$X$488,0))</f>
        <v>1</v>
      </c>
    </row>
    <row r="109" spans="3:21">
      <c r="C109" s="194" t="str">
        <f t="shared" si="0"/>
        <v>LIABILITIES</v>
      </c>
      <c r="D109" t="b">
        <f ca="1">ISNUMBER(MATCH(C109,Financial_Statement_Builder!$J$405:$J$488,0))</f>
        <v>1</v>
      </c>
      <c r="H109" s="194" t="str">
        <f t="shared" ca="1" si="1"/>
        <v/>
      </c>
      <c r="I109" t="b">
        <f ca="1">ISNUMBER(MATCH(H109,Financial_Statement_Builder!$M$405:$M$488,0))</f>
        <v>1</v>
      </c>
      <c r="L109" s="194" t="str">
        <f t="shared" si="4"/>
        <v/>
      </c>
      <c r="M109" t="b">
        <f ca="1">ISNUMBER(MATCH(L109,Financial_Statement_Builder!$Q$405:$Q$488,0))</f>
        <v>1</v>
      </c>
      <c r="P109" s="194" t="str">
        <f t="shared" ca="1" si="2"/>
        <v>Financing Activities</v>
      </c>
      <c r="Q109" t="b">
        <f ca="1">ISNUMBER(MATCH(P109,Financial_Statement_Builder!$T$405:$T$488,0))</f>
        <v>1</v>
      </c>
      <c r="T109" s="194" t="str">
        <f t="shared" si="3"/>
        <v>Property, Plant &amp; Equipment100</v>
      </c>
      <c r="U109" t="b">
        <f ca="1">ISNUMBER(MATCH(T109,Financial_Statement_Builder!$X$405:$X$488,0))</f>
        <v>0</v>
      </c>
    </row>
    <row r="110" spans="3:21">
      <c r="C110" s="194" t="str">
        <f t="shared" si="0"/>
        <v/>
      </c>
      <c r="D110" t="b">
        <f ca="1">ISNUMBER(MATCH(C110,Financial_Statement_Builder!$J$405:$J$488,0))</f>
        <v>1</v>
      </c>
      <c r="H110" s="194" t="str">
        <f t="shared" ca="1" si="1"/>
        <v>Net Income12</v>
      </c>
      <c r="I110" t="b">
        <f ca="1">ISNUMBER(MATCH(H110,Financial_Statement_Builder!$M$405:$M$488,0))</f>
        <v>0</v>
      </c>
      <c r="L110" s="194" t="str">
        <f t="shared" si="4"/>
        <v/>
      </c>
      <c r="M110" t="b">
        <f ca="1">ISNUMBER(MATCH(L110,Financial_Statement_Builder!$Q$405:$Q$488,0))</f>
        <v>1</v>
      </c>
      <c r="P110" s="194" t="str">
        <f t="shared" ca="1" si="2"/>
        <v/>
      </c>
      <c r="Q110" t="b">
        <f ca="1">ISNUMBER(MATCH(P110,Financial_Statement_Builder!$T$405:$T$488,0))</f>
        <v>1</v>
      </c>
      <c r="T110" s="194" t="str">
        <f t="shared" si="3"/>
        <v>Land0</v>
      </c>
      <c r="U110" t="b">
        <f ca="1">ISNUMBER(MATCH(T110,Financial_Statement_Builder!$X$405:$X$488,0))</f>
        <v>1</v>
      </c>
    </row>
    <row r="111" spans="3:21">
      <c r="C111" s="194" t="str">
        <f t="shared" si="0"/>
        <v/>
      </c>
      <c r="D111" t="b">
        <f ca="1">ISNUMBER(MATCH(C111,Financial_Statement_Builder!$J$405:$J$488,0))</f>
        <v>1</v>
      </c>
      <c r="H111" s="194" t="str">
        <f t="shared" si="1"/>
        <v/>
      </c>
      <c r="I111" t="b">
        <f>ISNUMBER(MATCH(H111,Financial_Statement_Builder!$M$405:$M$488,0))</f>
        <v>1</v>
      </c>
      <c r="L111" s="194" t="str">
        <f t="shared" si="4"/>
        <v/>
      </c>
      <c r="M111" t="b">
        <f ca="1">ISNUMBER(MATCH(L111,Financial_Statement_Builder!$Q$405:$Q$488,0))</f>
        <v>1</v>
      </c>
      <c r="P111" s="194" t="str">
        <f t="shared" ca="1" si="2"/>
        <v>Issued common stock50</v>
      </c>
      <c r="Q111" t="b">
        <f ca="1">ISNUMBER(MATCH(P111,Financial_Statement_Builder!$T$405:$T$488,0))</f>
        <v>0</v>
      </c>
      <c r="T111" s="194" t="str">
        <f t="shared" si="3"/>
        <v xml:space="preserve">  Total Noncurrent Assets100</v>
      </c>
      <c r="U111" t="b">
        <f ca="1">ISNUMBER(MATCH(T111,Financial_Statement_Builder!$X$405:$X$488,0))</f>
        <v>0</v>
      </c>
    </row>
    <row r="112" spans="3:21">
      <c r="C112" s="194" t="str">
        <f t="shared" si="0"/>
        <v/>
      </c>
      <c r="D112" t="b">
        <f ca="1">ISNUMBER(MATCH(C112,Financial_Statement_Builder!$J$405:$J$488,0))</f>
        <v>1</v>
      </c>
      <c r="H112" s="194" t="str">
        <f t="shared" si="1"/>
        <v/>
      </c>
      <c r="I112" t="b">
        <f>ISNUMBER(MATCH(H112,Financial_Statement_Builder!$M$405:$M$488,0))</f>
        <v>1</v>
      </c>
      <c r="L112" s="194" t="str">
        <f t="shared" si="4"/>
        <v/>
      </c>
      <c r="M112" t="b">
        <f ca="1">ISNUMBER(MATCH(L112,Financial_Statement_Builder!$Q$405:$Q$488,0))</f>
        <v>1</v>
      </c>
      <c r="P112" s="194" t="str">
        <f t="shared" ca="1" si="2"/>
        <v>Got a loan from a bank50</v>
      </c>
      <c r="Q112" t="b">
        <f ca="1">ISNUMBER(MATCH(P112,Financial_Statement_Builder!$T$405:$T$488,0))</f>
        <v>0</v>
      </c>
      <c r="T112" s="194" t="str">
        <f t="shared" si="3"/>
        <v/>
      </c>
      <c r="U112" t="b">
        <f ca="1">ISNUMBER(MATCH(T112,Financial_Statement_Builder!$X$405:$X$488,0))</f>
        <v>1</v>
      </c>
    </row>
    <row r="113" spans="3:21">
      <c r="C113" s="194" t="str">
        <f t="shared" si="0"/>
        <v/>
      </c>
      <c r="D113" t="b">
        <f ca="1">ISNUMBER(MATCH(C113,Financial_Statement_Builder!$J$405:$J$488,0))</f>
        <v>1</v>
      </c>
      <c r="H113" s="194" t="str">
        <f t="shared" si="1"/>
        <v/>
      </c>
      <c r="I113" t="b">
        <f>ISNUMBER(MATCH(H113,Financial_Statement_Builder!$M$405:$M$488,0))</f>
        <v>1</v>
      </c>
      <c r="L113" s="194" t="str">
        <f t="shared" si="4"/>
        <v/>
      </c>
      <c r="M113" t="b">
        <f ca="1">ISNUMBER(MATCH(L113,Financial_Statement_Builder!$Q$405:$Q$488,0))</f>
        <v>1</v>
      </c>
      <c r="P113" s="194" t="str">
        <f t="shared" ca="1" si="2"/>
        <v/>
      </c>
      <c r="Q113" t="b">
        <f ca="1">ISNUMBER(MATCH(P113,Financial_Statement_Builder!$T$405:$T$488,0))</f>
        <v>1</v>
      </c>
      <c r="T113" s="194" t="str">
        <f t="shared" si="3"/>
        <v>Total Assets279</v>
      </c>
      <c r="U113" t="b">
        <f ca="1">ISNUMBER(MATCH(T113,Financial_Statement_Builder!$X$405:$X$488,0))</f>
        <v>0</v>
      </c>
    </row>
    <row r="114" spans="3:21">
      <c r="C114" s="194" t="str">
        <f t="shared" si="0"/>
        <v/>
      </c>
      <c r="D114" t="b">
        <f ca="1">ISNUMBER(MATCH(C114,Financial_Statement_Builder!$J$405:$J$488,0))</f>
        <v>1</v>
      </c>
      <c r="H114" s="194" t="str">
        <f t="shared" si="1"/>
        <v/>
      </c>
      <c r="I114" t="b">
        <f>ISNUMBER(MATCH(H114,Financial_Statement_Builder!$M$405:$M$488,0))</f>
        <v>1</v>
      </c>
      <c r="L114" s="194" t="str">
        <f t="shared" si="4"/>
        <v/>
      </c>
      <c r="M114" t="b">
        <f ca="1">ISNUMBER(MATCH(L114,Financial_Statement_Builder!$Q$405:$Q$488,0))</f>
        <v>1</v>
      </c>
      <c r="P114" s="194" t="str">
        <f t="shared" ca="1" si="2"/>
        <v>Total Cash Flow from Financing Activities100</v>
      </c>
      <c r="Q114" t="b">
        <f ca="1">ISNUMBER(MATCH(P114,Financial_Statement_Builder!$T$405:$T$488,0))</f>
        <v>0</v>
      </c>
      <c r="T114" s="194" t="str">
        <f t="shared" si="3"/>
        <v/>
      </c>
      <c r="U114" t="b">
        <f ca="1">ISNUMBER(MATCH(T114,Financial_Statement_Builder!$X$405:$X$488,0))</f>
        <v>1</v>
      </c>
    </row>
    <row r="115" spans="3:21">
      <c r="C115" s="194" t="str">
        <f t="shared" si="0"/>
        <v/>
      </c>
      <c r="D115" t="b">
        <f ca="1">ISNUMBER(MATCH(C115,Financial_Statement_Builder!$J$405:$J$488,0))</f>
        <v>1</v>
      </c>
      <c r="H115" s="194" t="str">
        <f t="shared" si="1"/>
        <v/>
      </c>
      <c r="I115" t="b">
        <f>ISNUMBER(MATCH(H115,Financial_Statement_Builder!$M$405:$M$488,0))</f>
        <v>1</v>
      </c>
      <c r="L115" s="194" t="str">
        <f t="shared" si="4"/>
        <v/>
      </c>
      <c r="M115" t="b">
        <f ca="1">ISNUMBER(MATCH(L115,Financial_Statement_Builder!$Q$405:$Q$488,0))</f>
        <v>1</v>
      </c>
      <c r="P115" s="194" t="str">
        <f t="shared" ca="1" si="2"/>
        <v/>
      </c>
      <c r="Q115" t="b">
        <f ca="1">ISNUMBER(MATCH(P115,Financial_Statement_Builder!$T$405:$T$488,0))</f>
        <v>1</v>
      </c>
      <c r="T115" s="194" t="str">
        <f t="shared" si="3"/>
        <v>LIABILITIES</v>
      </c>
      <c r="U115" t="b">
        <f ca="1">ISNUMBER(MATCH(T115,Financial_Statement_Builder!$X$405:$X$488,0))</f>
        <v>1</v>
      </c>
    </row>
    <row r="116" spans="3:21">
      <c r="C116" s="194" t="str">
        <f t="shared" si="0"/>
        <v>EQUITIES</v>
      </c>
      <c r="D116" t="b">
        <f ca="1">ISNUMBER(MATCH(C116,Financial_Statement_Builder!$J$405:$J$488,0))</f>
        <v>1</v>
      </c>
      <c r="H116" s="194" t="str">
        <f t="shared" si="1"/>
        <v/>
      </c>
      <c r="I116" t="b">
        <f>ISNUMBER(MATCH(H116,Financial_Statement_Builder!$M$405:$M$488,0))</f>
        <v>1</v>
      </c>
      <c r="L116" s="194" t="str">
        <f t="shared" si="4"/>
        <v/>
      </c>
      <c r="M116" t="b">
        <f ca="1">ISNUMBER(MATCH(L116,Financial_Statement_Builder!$Q$405:$Q$488,0))</f>
        <v>1</v>
      </c>
      <c r="P116" s="194" t="str">
        <f t="shared" ca="1" si="2"/>
        <v>Increase (decrease) in cash139</v>
      </c>
      <c r="Q116" t="b">
        <f ca="1">ISNUMBER(MATCH(P116,Financial_Statement_Builder!$T$405:$T$488,0))</f>
        <v>0</v>
      </c>
      <c r="T116" s="194" t="str">
        <f t="shared" si="3"/>
        <v/>
      </c>
      <c r="U116" t="b">
        <f ca="1">ISNUMBER(MATCH(T116,Financial_Statement_Builder!$X$405:$X$488,0))</f>
        <v>1</v>
      </c>
    </row>
    <row r="117" spans="3:21">
      <c r="C117" s="194" t="str">
        <f t="shared" si="0"/>
        <v/>
      </c>
      <c r="D117" t="b">
        <f ca="1">ISNUMBER(MATCH(C117,Financial_Statement_Builder!$J$405:$J$488,0))</f>
        <v>1</v>
      </c>
      <c r="H117" s="194" t="str">
        <f t="shared" si="1"/>
        <v/>
      </c>
      <c r="I117" t="b">
        <f>ISNUMBER(MATCH(H117,Financial_Statement_Builder!$M$405:$M$488,0))</f>
        <v>1</v>
      </c>
      <c r="L117" s="194" t="str">
        <f t="shared" si="4"/>
        <v/>
      </c>
      <c r="M117" t="b">
        <f ca="1">ISNUMBER(MATCH(L117,Financial_Statement_Builder!$Q$405:$Q$488,0))</f>
        <v>1</v>
      </c>
      <c r="P117" s="194" t="str">
        <f t="shared" ca="1" si="2"/>
        <v>Cash @ 12/31/20x1139</v>
      </c>
      <c r="Q117" t="b">
        <f ca="1">ISNUMBER(MATCH(P117,Financial_Statement_Builder!$T$405:$T$488,0))</f>
        <v>0</v>
      </c>
      <c r="T117" s="194" t="str">
        <f t="shared" si="3"/>
        <v>Current Liabilities:</v>
      </c>
      <c r="U117" t="b">
        <f ca="1">ISNUMBER(MATCH(T117,Financial_Statement_Builder!$X$405:$X$488,0))</f>
        <v>0</v>
      </c>
    </row>
    <row r="118" spans="3:21">
      <c r="C118" s="194" t="str">
        <f t="shared" si="0"/>
        <v>Common Stock0</v>
      </c>
      <c r="D118" t="b">
        <f ca="1">ISNUMBER(MATCH(C118,Financial_Statement_Builder!$J$405:$J$488,0))</f>
        <v>1</v>
      </c>
      <c r="H118" s="194" t="str">
        <f t="shared" si="1"/>
        <v/>
      </c>
      <c r="I118" t="b">
        <f>ISNUMBER(MATCH(H118,Financial_Statement_Builder!$M$405:$M$488,0))</f>
        <v>1</v>
      </c>
      <c r="L118" s="194" t="str">
        <f t="shared" si="4"/>
        <v/>
      </c>
      <c r="M118" t="b">
        <f ca="1">ISNUMBER(MATCH(L118,Financial_Statement_Builder!$Q$405:$Q$488,0))</f>
        <v>1</v>
      </c>
      <c r="P118" s="194" t="str">
        <f t="shared" si="2"/>
        <v/>
      </c>
      <c r="Q118" t="b">
        <f ca="1">ISNUMBER(MATCH(P118,Financial_Statement_Builder!$T$405:$T$488,0))</f>
        <v>1</v>
      </c>
      <c r="T118" s="194" t="str">
        <f t="shared" si="3"/>
        <v>Accounts Payable2</v>
      </c>
      <c r="U118" t="b">
        <f ca="1">ISNUMBER(MATCH(T118,Financial_Statement_Builder!$X$405:$X$488,0))</f>
        <v>0</v>
      </c>
    </row>
    <row r="119" spans="3:21">
      <c r="C119" s="194" t="str">
        <f t="shared" si="0"/>
        <v>Retained Earnings0</v>
      </c>
      <c r="D119" t="b">
        <f ca="1">ISNUMBER(MATCH(C119,Financial_Statement_Builder!$J$405:$J$488,0))</f>
        <v>1</v>
      </c>
      <c r="H119" s="194" t="str">
        <f t="shared" si="1"/>
        <v/>
      </c>
      <c r="I119" t="b">
        <f>ISNUMBER(MATCH(H119,Financial_Statement_Builder!$M$405:$M$488,0))</f>
        <v>1</v>
      </c>
      <c r="L119" s="194" t="str">
        <f t="shared" si="4"/>
        <v/>
      </c>
      <c r="M119" t="b">
        <f ca="1">ISNUMBER(MATCH(L119,Financial_Statement_Builder!$Q$405:$Q$488,0))</f>
        <v>1</v>
      </c>
      <c r="P119" s="194" t="str">
        <f t="shared" si="2"/>
        <v/>
      </c>
      <c r="Q119" t="b">
        <f ca="1">ISNUMBER(MATCH(P119,Financial_Statement_Builder!$T$405:$T$488,0))</f>
        <v>1</v>
      </c>
      <c r="T119" s="194" t="str">
        <f t="shared" si="3"/>
        <v>Dividends Payable0</v>
      </c>
      <c r="U119" t="b">
        <f ca="1">ISNUMBER(MATCH(T119,Financial_Statement_Builder!$X$405:$X$488,0))</f>
        <v>0</v>
      </c>
    </row>
    <row r="120" spans="3:21">
      <c r="C120" s="194" t="str">
        <f t="shared" ref="C120:C154" si="5">C27&amp;D27</f>
        <v>Total Equities0</v>
      </c>
      <c r="D120" t="b">
        <f ca="1">ISNUMBER(MATCH(C120,Financial_Statement_Builder!$J$405:$J$488,0))</f>
        <v>0</v>
      </c>
      <c r="H120" s="194" t="str">
        <f t="shared" ref="H120:H156" si="6">H27&amp;I27</f>
        <v/>
      </c>
      <c r="I120" t="b">
        <f>ISNUMBER(MATCH(H120,Financial_Statement_Builder!$M$405:$M$488,0))</f>
        <v>1</v>
      </c>
      <c r="L120" s="194" t="str">
        <f t="shared" si="4"/>
        <v/>
      </c>
      <c r="M120" t="b">
        <f ca="1">ISNUMBER(MATCH(L120,Financial_Statement_Builder!$Q$405:$Q$488,0))</f>
        <v>1</v>
      </c>
      <c r="P120" s="194" t="str">
        <f t="shared" ref="P120:P154" si="7">P27&amp;Q27</f>
        <v/>
      </c>
      <c r="Q120" t="b">
        <f ca="1">ISNUMBER(MATCH(P120,Financial_Statement_Builder!$T$405:$T$488,0))</f>
        <v>1</v>
      </c>
      <c r="T120" s="194" t="str">
        <f t="shared" ref="T120:T151" si="8">T27&amp;U27</f>
        <v>Unearned Revenue8</v>
      </c>
      <c r="U120" t="b">
        <f ca="1">ISNUMBER(MATCH(T120,Financial_Statement_Builder!$X$405:$X$488,0))</f>
        <v>0</v>
      </c>
    </row>
    <row r="121" spans="3:21">
      <c r="C121" s="194" t="str">
        <f t="shared" si="5"/>
        <v/>
      </c>
      <c r="D121" t="b">
        <f ca="1">ISNUMBER(MATCH(C121,Financial_Statement_Builder!$J$405:$J$488,0))</f>
        <v>1</v>
      </c>
      <c r="H121" s="194" t="str">
        <f t="shared" si="6"/>
        <v/>
      </c>
      <c r="I121" t="b">
        <f>ISNUMBER(MATCH(H121,Financial_Statement_Builder!$M$405:$M$488,0))</f>
        <v>1</v>
      </c>
      <c r="L121" s="194" t="str">
        <f t="shared" si="4"/>
        <v/>
      </c>
      <c r="M121" t="b">
        <f ca="1">ISNUMBER(MATCH(L121,Financial_Statement_Builder!$Q$405:$Q$488,0))</f>
        <v>1</v>
      </c>
      <c r="P121" s="194" t="str">
        <f t="shared" si="7"/>
        <v/>
      </c>
      <c r="Q121" t="b">
        <f ca="1">ISNUMBER(MATCH(P121,Financial_Statement_Builder!$T$405:$T$488,0))</f>
        <v>1</v>
      </c>
      <c r="T121" s="194" t="str">
        <f t="shared" si="8"/>
        <v xml:space="preserve">  Total Current Liabilities10</v>
      </c>
      <c r="U121" t="b">
        <f ca="1">ISNUMBER(MATCH(T121,Financial_Statement_Builder!$X$405:$X$488,0))</f>
        <v>0</v>
      </c>
    </row>
    <row r="122" spans="3:21">
      <c r="C122" s="194" t="str">
        <f t="shared" si="5"/>
        <v/>
      </c>
      <c r="D122" t="b">
        <f ca="1">ISNUMBER(MATCH(C122,Financial_Statement_Builder!$J$405:$J$488,0))</f>
        <v>1</v>
      </c>
      <c r="H122" s="194" t="str">
        <f t="shared" si="6"/>
        <v/>
      </c>
      <c r="I122" t="b">
        <f>ISNUMBER(MATCH(H122,Financial_Statement_Builder!$M$405:$M$488,0))</f>
        <v>1</v>
      </c>
      <c r="L122" s="194" t="str">
        <f t="shared" si="4"/>
        <v/>
      </c>
      <c r="M122" t="b">
        <f ca="1">ISNUMBER(MATCH(L122,Financial_Statement_Builder!$Q$405:$Q$488,0))</f>
        <v>1</v>
      </c>
      <c r="P122" s="194" t="str">
        <f t="shared" si="7"/>
        <v/>
      </c>
      <c r="Q122" t="b">
        <f ca="1">ISNUMBER(MATCH(P122,Financial_Statement_Builder!$T$405:$T$488,0))</f>
        <v>1</v>
      </c>
      <c r="T122" s="194" t="str">
        <f t="shared" si="8"/>
        <v/>
      </c>
      <c r="U122" t="b">
        <f ca="1">ISNUMBER(MATCH(T122,Financial_Statement_Builder!$X$405:$X$488,0))</f>
        <v>1</v>
      </c>
    </row>
    <row r="123" spans="3:21">
      <c r="C123" s="194" t="str">
        <f t="shared" si="5"/>
        <v/>
      </c>
      <c r="D123" t="b">
        <f ca="1">ISNUMBER(MATCH(C123,Financial_Statement_Builder!$J$405:$J$488,0))</f>
        <v>1</v>
      </c>
      <c r="H123" s="194" t="str">
        <f t="shared" si="6"/>
        <v/>
      </c>
      <c r="I123" t="b">
        <f>ISNUMBER(MATCH(H123,Financial_Statement_Builder!$M$405:$M$488,0))</f>
        <v>1</v>
      </c>
      <c r="L123" s="194" t="str">
        <f t="shared" si="4"/>
        <v/>
      </c>
      <c r="M123" t="b">
        <f ca="1">ISNUMBER(MATCH(L123,Financial_Statement_Builder!$Q$405:$Q$488,0))</f>
        <v>1</v>
      </c>
      <c r="P123" s="194" t="str">
        <f t="shared" si="7"/>
        <v/>
      </c>
      <c r="Q123" t="b">
        <f ca="1">ISNUMBER(MATCH(P123,Financial_Statement_Builder!$T$405:$T$488,0))</f>
        <v>1</v>
      </c>
      <c r="T123" s="194" t="str">
        <f t="shared" si="8"/>
        <v>Noncurrent Liabilities:</v>
      </c>
      <c r="U123" t="b">
        <f ca="1">ISNUMBER(MATCH(T123,Financial_Statement_Builder!$X$405:$X$488,0))</f>
        <v>0</v>
      </c>
    </row>
    <row r="124" spans="3:21">
      <c r="C124" s="194" t="str">
        <f t="shared" si="5"/>
        <v/>
      </c>
      <c r="D124" t="b">
        <f ca="1">ISNUMBER(MATCH(C124,Financial_Statement_Builder!$J$405:$J$488,0))</f>
        <v>1</v>
      </c>
      <c r="H124" s="194" t="str">
        <f t="shared" si="6"/>
        <v/>
      </c>
      <c r="I124" t="b">
        <f>ISNUMBER(MATCH(H124,Financial_Statement_Builder!$M$405:$M$488,0))</f>
        <v>1</v>
      </c>
      <c r="L124" s="194" t="str">
        <f t="shared" si="4"/>
        <v/>
      </c>
      <c r="M124" t="b">
        <f ca="1">ISNUMBER(MATCH(L124,Financial_Statement_Builder!$Q$405:$Q$488,0))</f>
        <v>1</v>
      </c>
      <c r="P124" s="194" t="str">
        <f t="shared" si="7"/>
        <v/>
      </c>
      <c r="Q124" t="b">
        <f ca="1">ISNUMBER(MATCH(P124,Financial_Statement_Builder!$T$405:$T$488,0))</f>
        <v>1</v>
      </c>
      <c r="T124" s="194" t="str">
        <f t="shared" si="8"/>
        <v>Loans Payable100</v>
      </c>
      <c r="U124" t="b">
        <f ca="1">ISNUMBER(MATCH(T124,Financial_Statement_Builder!$X$405:$X$488,0))</f>
        <v>0</v>
      </c>
    </row>
    <row r="125" spans="3:21">
      <c r="C125" s="194" t="str">
        <f t="shared" si="5"/>
        <v/>
      </c>
      <c r="D125" t="b">
        <f ca="1">ISNUMBER(MATCH(C125,Financial_Statement_Builder!$J$405:$J$488,0))</f>
        <v>1</v>
      </c>
      <c r="H125" s="194" t="str">
        <f t="shared" si="6"/>
        <v/>
      </c>
      <c r="I125" t="b">
        <f>ISNUMBER(MATCH(H125,Financial_Statement_Builder!$M$405:$M$488,0))</f>
        <v>1</v>
      </c>
      <c r="L125" s="194" t="str">
        <f t="shared" si="4"/>
        <v/>
      </c>
      <c r="M125" t="b">
        <f ca="1">ISNUMBER(MATCH(L125,Financial_Statement_Builder!$Q$405:$Q$488,0))</f>
        <v>1</v>
      </c>
      <c r="P125" s="194" t="str">
        <f t="shared" si="7"/>
        <v/>
      </c>
      <c r="Q125" t="b">
        <f ca="1">ISNUMBER(MATCH(P125,Financial_Statement_Builder!$T$405:$T$488,0))</f>
        <v>1</v>
      </c>
      <c r="T125" s="194" t="str">
        <f t="shared" si="8"/>
        <v xml:space="preserve">  Total Noncurrent Liabilities100</v>
      </c>
      <c r="U125" t="b">
        <f ca="1">ISNUMBER(MATCH(T125,Financial_Statement_Builder!$X$405:$X$488,0))</f>
        <v>0</v>
      </c>
    </row>
    <row r="126" spans="3:21">
      <c r="C126" s="194" t="str">
        <f t="shared" si="5"/>
        <v/>
      </c>
      <c r="D126" t="b">
        <f ca="1">ISNUMBER(MATCH(C126,Financial_Statement_Builder!$J$405:$J$488,0))</f>
        <v>1</v>
      </c>
      <c r="H126" s="194" t="str">
        <f t="shared" si="6"/>
        <v/>
      </c>
      <c r="I126" t="b">
        <f>ISNUMBER(MATCH(H126,Financial_Statement_Builder!$M$405:$M$488,0))</f>
        <v>1</v>
      </c>
      <c r="L126" s="194" t="str">
        <f t="shared" si="4"/>
        <v/>
      </c>
      <c r="M126" t="b">
        <f ca="1">ISNUMBER(MATCH(L126,Financial_Statement_Builder!$Q$405:$Q$488,0))</f>
        <v>1</v>
      </c>
      <c r="P126" s="194" t="str">
        <f t="shared" si="7"/>
        <v/>
      </c>
      <c r="Q126" t="b">
        <f ca="1">ISNUMBER(MATCH(P126,Financial_Statement_Builder!$T$405:$T$488,0))</f>
        <v>1</v>
      </c>
      <c r="T126" s="194" t="str">
        <f t="shared" si="8"/>
        <v>Total Liabilities110</v>
      </c>
      <c r="U126" t="b">
        <f ca="1">ISNUMBER(MATCH(T126,Financial_Statement_Builder!$X$405:$X$488,0))</f>
        <v>0</v>
      </c>
    </row>
    <row r="127" spans="3:21">
      <c r="C127" s="194" t="str">
        <f t="shared" si="5"/>
        <v/>
      </c>
      <c r="D127" t="b">
        <f ca="1">ISNUMBER(MATCH(C127,Financial_Statement_Builder!$J$405:$J$488,0))</f>
        <v>1</v>
      </c>
      <c r="H127" s="194" t="str">
        <f t="shared" si="6"/>
        <v/>
      </c>
      <c r="I127" t="b">
        <f>ISNUMBER(MATCH(H127,Financial_Statement_Builder!$M$405:$M$488,0))</f>
        <v>1</v>
      </c>
      <c r="L127" s="194" t="str">
        <f t="shared" si="4"/>
        <v/>
      </c>
      <c r="M127" t="b">
        <f ca="1">ISNUMBER(MATCH(L127,Financial_Statement_Builder!$Q$405:$Q$488,0))</f>
        <v>1</v>
      </c>
      <c r="P127" s="194" t="str">
        <f t="shared" si="7"/>
        <v/>
      </c>
      <c r="Q127" t="b">
        <f ca="1">ISNUMBER(MATCH(P127,Financial_Statement_Builder!$T$405:$T$488,0))</f>
        <v>1</v>
      </c>
      <c r="T127" s="194" t="str">
        <f t="shared" si="8"/>
        <v/>
      </c>
      <c r="U127" t="b">
        <f ca="1">ISNUMBER(MATCH(T127,Financial_Statement_Builder!$X$405:$X$488,0))</f>
        <v>1</v>
      </c>
    </row>
    <row r="128" spans="3:21">
      <c r="C128" s="194" t="str">
        <f t="shared" si="5"/>
        <v/>
      </c>
      <c r="D128" t="b">
        <f ca="1">ISNUMBER(MATCH(C128,Financial_Statement_Builder!$J$405:$J$488,0))</f>
        <v>1</v>
      </c>
      <c r="H128" s="194" t="str">
        <f t="shared" si="6"/>
        <v/>
      </c>
      <c r="I128" t="b">
        <f>ISNUMBER(MATCH(H128,Financial_Statement_Builder!$M$405:$M$488,0))</f>
        <v>1</v>
      </c>
      <c r="L128" s="194" t="str">
        <f t="shared" si="4"/>
        <v/>
      </c>
      <c r="M128" t="b">
        <f ca="1">ISNUMBER(MATCH(L128,Financial_Statement_Builder!$Q$405:$Q$488,0))</f>
        <v>1</v>
      </c>
      <c r="P128" s="194" t="str">
        <f t="shared" si="7"/>
        <v/>
      </c>
      <c r="Q128" t="b">
        <f ca="1">ISNUMBER(MATCH(P128,Financial_Statement_Builder!$T$405:$T$488,0))</f>
        <v>1</v>
      </c>
      <c r="T128" s="194" t="str">
        <f t="shared" si="8"/>
        <v>EQUITIES</v>
      </c>
      <c r="U128" t="b">
        <f ca="1">ISNUMBER(MATCH(T128,Financial_Statement_Builder!$X$405:$X$488,0))</f>
        <v>1</v>
      </c>
    </row>
    <row r="129" spans="3:21">
      <c r="C129" s="194" t="str">
        <f t="shared" si="5"/>
        <v/>
      </c>
      <c r="D129" t="b">
        <f ca="1">ISNUMBER(MATCH(C129,Financial_Statement_Builder!$J$405:$J$488,0))</f>
        <v>1</v>
      </c>
      <c r="H129" s="194" t="str">
        <f t="shared" si="6"/>
        <v/>
      </c>
      <c r="I129" t="b">
        <f>ISNUMBER(MATCH(H129,Financial_Statement_Builder!$M$405:$M$488,0))</f>
        <v>1</v>
      </c>
      <c r="L129" s="194" t="str">
        <f t="shared" si="4"/>
        <v/>
      </c>
      <c r="M129" t="b">
        <f ca="1">ISNUMBER(MATCH(L129,Financial_Statement_Builder!$Q$405:$Q$488,0))</f>
        <v>1</v>
      </c>
      <c r="P129" s="194" t="str">
        <f t="shared" si="7"/>
        <v/>
      </c>
      <c r="Q129" t="b">
        <f ca="1">ISNUMBER(MATCH(P129,Financial_Statement_Builder!$T$405:$T$488,0))</f>
        <v>1</v>
      </c>
      <c r="T129" s="194" t="str">
        <f t="shared" si="8"/>
        <v/>
      </c>
      <c r="U129" t="b">
        <f ca="1">ISNUMBER(MATCH(T129,Financial_Statement_Builder!$X$405:$X$488,0))</f>
        <v>1</v>
      </c>
    </row>
    <row r="130" spans="3:21">
      <c r="C130" s="194" t="str">
        <f t="shared" si="5"/>
        <v/>
      </c>
      <c r="D130" t="b">
        <f ca="1">ISNUMBER(MATCH(C130,Financial_Statement_Builder!$J$405:$J$488,0))</f>
        <v>1</v>
      </c>
      <c r="H130" s="194" t="str">
        <f t="shared" si="6"/>
        <v/>
      </c>
      <c r="I130" t="b">
        <f>ISNUMBER(MATCH(H130,Financial_Statement_Builder!$M$405:$M$488,0))</f>
        <v>1</v>
      </c>
      <c r="L130" s="194" t="str">
        <f t="shared" si="4"/>
        <v/>
      </c>
      <c r="M130" t="b">
        <f ca="1">ISNUMBER(MATCH(L130,Financial_Statement_Builder!$Q$405:$Q$488,0))</f>
        <v>1</v>
      </c>
      <c r="P130" s="194" t="str">
        <f t="shared" si="7"/>
        <v/>
      </c>
      <c r="Q130" t="b">
        <f ca="1">ISNUMBER(MATCH(P130,Financial_Statement_Builder!$T$405:$T$488,0))</f>
        <v>1</v>
      </c>
      <c r="T130" s="194" t="str">
        <f t="shared" si="8"/>
        <v>Common Stock100</v>
      </c>
      <c r="U130" t="b">
        <f ca="1">ISNUMBER(MATCH(T130,Financial_Statement_Builder!$X$405:$X$488,0))</f>
        <v>0</v>
      </c>
    </row>
    <row r="131" spans="3:21">
      <c r="C131" s="194" t="str">
        <f t="shared" si="5"/>
        <v/>
      </c>
      <c r="D131" t="b">
        <f ca="1">ISNUMBER(MATCH(C131,Financial_Statement_Builder!$J$405:$J$488,0))</f>
        <v>1</v>
      </c>
      <c r="H131" s="194" t="str">
        <f t="shared" si="6"/>
        <v/>
      </c>
      <c r="I131" t="b">
        <f>ISNUMBER(MATCH(H131,Financial_Statement_Builder!$M$405:$M$488,0))</f>
        <v>1</v>
      </c>
      <c r="L131" s="194" t="str">
        <f t="shared" si="4"/>
        <v/>
      </c>
      <c r="M131" t="b">
        <f ca="1">ISNUMBER(MATCH(L131,Financial_Statement_Builder!$Q$405:$Q$488,0))</f>
        <v>1</v>
      </c>
      <c r="P131" s="194" t="str">
        <f t="shared" si="7"/>
        <v/>
      </c>
      <c r="Q131" t="b">
        <f ca="1">ISNUMBER(MATCH(P131,Financial_Statement_Builder!$T$405:$T$488,0))</f>
        <v>1</v>
      </c>
      <c r="T131" s="194" t="str">
        <f t="shared" si="8"/>
        <v>Retained Earnings-2</v>
      </c>
      <c r="U131" t="b">
        <f ca="1">ISNUMBER(MATCH(T131,Financial_Statement_Builder!$X$405:$X$488,0))</f>
        <v>0</v>
      </c>
    </row>
    <row r="132" spans="3:21">
      <c r="C132" s="194" t="str">
        <f t="shared" si="5"/>
        <v/>
      </c>
      <c r="D132" t="b">
        <f ca="1">ISNUMBER(MATCH(C132,Financial_Statement_Builder!$J$405:$J$488,0))</f>
        <v>1</v>
      </c>
      <c r="H132" s="194" t="str">
        <f t="shared" si="6"/>
        <v/>
      </c>
      <c r="I132" t="b">
        <f>ISNUMBER(MATCH(H132,Financial_Statement_Builder!$M$405:$M$488,0))</f>
        <v>1</v>
      </c>
      <c r="L132" s="194" t="str">
        <f t="shared" ref="L132:L154" si="9">_xlfn.CONCAT(L39:M39)</f>
        <v/>
      </c>
      <c r="M132" t="b">
        <f ca="1">ISNUMBER(MATCH(L132,Financial_Statement_Builder!$Q$405:$Q$488,0))</f>
        <v>1</v>
      </c>
      <c r="P132" s="194" t="str">
        <f t="shared" si="7"/>
        <v/>
      </c>
      <c r="Q132" t="b">
        <f ca="1">ISNUMBER(MATCH(P132,Financial_Statement_Builder!$T$405:$T$488,0))</f>
        <v>1</v>
      </c>
      <c r="T132" s="194" t="str">
        <f t="shared" si="8"/>
        <v>Total Equities98</v>
      </c>
      <c r="U132" t="b">
        <f ca="1">ISNUMBER(MATCH(T132,Financial_Statement_Builder!$X$405:$X$488,0))</f>
        <v>0</v>
      </c>
    </row>
    <row r="133" spans="3:21">
      <c r="C133" s="194" t="str">
        <f t="shared" si="5"/>
        <v/>
      </c>
      <c r="D133" t="b">
        <f ca="1">ISNUMBER(MATCH(C133,Financial_Statement_Builder!$J$405:$J$488,0))</f>
        <v>1</v>
      </c>
      <c r="H133" s="194" t="str">
        <f t="shared" si="6"/>
        <v/>
      </c>
      <c r="I133" t="b">
        <f>ISNUMBER(MATCH(H133,Financial_Statement_Builder!$M$405:$M$488,0))</f>
        <v>1</v>
      </c>
      <c r="L133" s="194" t="str">
        <f t="shared" si="9"/>
        <v/>
      </c>
      <c r="M133" t="b">
        <f ca="1">ISNUMBER(MATCH(L133,Financial_Statement_Builder!$Q$405:$Q$488,0))</f>
        <v>1</v>
      </c>
      <c r="P133" s="194" t="str">
        <f t="shared" si="7"/>
        <v/>
      </c>
      <c r="Q133" t="b">
        <f ca="1">ISNUMBER(MATCH(P133,Financial_Statement_Builder!$T$405:$T$488,0))</f>
        <v>1</v>
      </c>
      <c r="T133" s="194" t="str">
        <f t="shared" si="8"/>
        <v/>
      </c>
      <c r="U133" t="b">
        <f ca="1">ISNUMBER(MATCH(T133,Financial_Statement_Builder!$X$405:$X$488,0))</f>
        <v>1</v>
      </c>
    </row>
    <row r="134" spans="3:21">
      <c r="C134" s="194" t="str">
        <f t="shared" si="5"/>
        <v/>
      </c>
      <c r="D134" t="b">
        <f ca="1">ISNUMBER(MATCH(C134,Financial_Statement_Builder!$J$405:$J$488,0))</f>
        <v>1</v>
      </c>
      <c r="H134" s="194" t="str">
        <f t="shared" si="6"/>
        <v/>
      </c>
      <c r="I134" t="b">
        <f>ISNUMBER(MATCH(H134,Financial_Statement_Builder!$M$405:$M$488,0))</f>
        <v>1</v>
      </c>
      <c r="L134" s="194" t="str">
        <f t="shared" si="9"/>
        <v/>
      </c>
      <c r="M134" t="b">
        <f ca="1">ISNUMBER(MATCH(L134,Financial_Statement_Builder!$Q$405:$Q$488,0))</f>
        <v>1</v>
      </c>
      <c r="P134" s="194" t="str">
        <f t="shared" si="7"/>
        <v/>
      </c>
      <c r="Q134" t="b">
        <f ca="1">ISNUMBER(MATCH(P134,Financial_Statement_Builder!$T$405:$T$488,0))</f>
        <v>1</v>
      </c>
      <c r="T134" s="194" t="str">
        <f t="shared" si="8"/>
        <v>Total Liabilities and Equities208</v>
      </c>
      <c r="U134" t="b">
        <f ca="1">ISNUMBER(MATCH(T134,Financial_Statement_Builder!$X$405:$X$488,0))</f>
        <v>0</v>
      </c>
    </row>
    <row r="135" spans="3:21">
      <c r="C135" s="194" t="str">
        <f t="shared" si="5"/>
        <v/>
      </c>
      <c r="D135" t="b">
        <f ca="1">ISNUMBER(MATCH(C135,Financial_Statement_Builder!$J$405:$J$488,0))</f>
        <v>1</v>
      </c>
      <c r="H135" s="194" t="str">
        <f t="shared" si="6"/>
        <v/>
      </c>
      <c r="I135" t="b">
        <f>ISNUMBER(MATCH(H135,Financial_Statement_Builder!$M$405:$M$488,0))</f>
        <v>1</v>
      </c>
      <c r="L135" s="194" t="str">
        <f t="shared" si="9"/>
        <v/>
      </c>
      <c r="M135" t="b">
        <f ca="1">ISNUMBER(MATCH(L135,Financial_Statement_Builder!$Q$405:$Q$488,0))</f>
        <v>1</v>
      </c>
      <c r="P135" s="194" t="str">
        <f t="shared" si="7"/>
        <v/>
      </c>
      <c r="Q135" t="b">
        <f ca="1">ISNUMBER(MATCH(P135,Financial_Statement_Builder!$T$405:$T$488,0))</f>
        <v>1</v>
      </c>
      <c r="T135" s="194" t="str">
        <f t="shared" si="8"/>
        <v/>
      </c>
      <c r="U135" t="b">
        <f ca="1">ISNUMBER(MATCH(T135,Financial_Statement_Builder!$X$405:$X$488,0))</f>
        <v>1</v>
      </c>
    </row>
    <row r="136" spans="3:21">
      <c r="C136" s="194" t="str">
        <f t="shared" si="5"/>
        <v/>
      </c>
      <c r="D136" t="b">
        <f ca="1">ISNUMBER(MATCH(C136,Financial_Statement_Builder!$J$405:$J$488,0))</f>
        <v>1</v>
      </c>
      <c r="H136" s="194" t="str">
        <f t="shared" si="6"/>
        <v/>
      </c>
      <c r="I136" t="b">
        <f>ISNUMBER(MATCH(H136,Financial_Statement_Builder!$M$405:$M$488,0))</f>
        <v>1</v>
      </c>
      <c r="L136" s="194" t="str">
        <f t="shared" si="9"/>
        <v/>
      </c>
      <c r="M136" t="b">
        <f ca="1">ISNUMBER(MATCH(L136,Financial_Statement_Builder!$Q$405:$Q$488,0))</f>
        <v>1</v>
      </c>
      <c r="P136" s="194" t="str">
        <f t="shared" si="7"/>
        <v/>
      </c>
      <c r="Q136" t="b">
        <f ca="1">ISNUMBER(MATCH(P136,Financial_Statement_Builder!$T$405:$T$488,0))</f>
        <v>1</v>
      </c>
      <c r="T136" s="194" t="str">
        <f t="shared" si="8"/>
        <v/>
      </c>
      <c r="U136" t="b">
        <f ca="1">ISNUMBER(MATCH(T136,Financial_Statement_Builder!$X$405:$X$488,0))</f>
        <v>1</v>
      </c>
    </row>
    <row r="137" spans="3:21">
      <c r="C137" s="194" t="str">
        <f t="shared" si="5"/>
        <v/>
      </c>
      <c r="D137" t="b">
        <f ca="1">ISNUMBER(MATCH(C137,Financial_Statement_Builder!$J$405:$J$488,0))</f>
        <v>1</v>
      </c>
      <c r="H137" s="194" t="str">
        <f t="shared" si="6"/>
        <v/>
      </c>
      <c r="I137" t="b">
        <f>ISNUMBER(MATCH(H137,Financial_Statement_Builder!$M$405:$M$488,0))</f>
        <v>1</v>
      </c>
      <c r="L137" s="194" t="str">
        <f t="shared" si="9"/>
        <v/>
      </c>
      <c r="M137" t="b">
        <f ca="1">ISNUMBER(MATCH(L137,Financial_Statement_Builder!$Q$405:$Q$488,0))</f>
        <v>1</v>
      </c>
      <c r="P137" s="194" t="str">
        <f t="shared" si="7"/>
        <v/>
      </c>
      <c r="Q137" t="b">
        <f ca="1">ISNUMBER(MATCH(P137,Financial_Statement_Builder!$T$405:$T$488,0))</f>
        <v>1</v>
      </c>
      <c r="T137" s="194" t="str">
        <f t="shared" si="8"/>
        <v/>
      </c>
      <c r="U137" t="b">
        <f ca="1">ISNUMBER(MATCH(T137,Financial_Statement_Builder!$X$405:$X$488,0))</f>
        <v>1</v>
      </c>
    </row>
    <row r="138" spans="3:21">
      <c r="C138" s="194" t="str">
        <f t="shared" si="5"/>
        <v/>
      </c>
      <c r="D138" t="b">
        <f ca="1">ISNUMBER(MATCH(C138,Financial_Statement_Builder!$J$405:$J$488,0))</f>
        <v>1</v>
      </c>
      <c r="H138" s="194" t="str">
        <f t="shared" si="6"/>
        <v/>
      </c>
      <c r="I138" t="b">
        <f>ISNUMBER(MATCH(H138,Financial_Statement_Builder!$M$405:$M$488,0))</f>
        <v>1</v>
      </c>
      <c r="L138" s="194" t="str">
        <f t="shared" si="9"/>
        <v/>
      </c>
      <c r="M138" t="b">
        <f ca="1">ISNUMBER(MATCH(L138,Financial_Statement_Builder!$Q$405:$Q$488,0))</f>
        <v>1</v>
      </c>
      <c r="P138" s="194" t="str">
        <f t="shared" si="7"/>
        <v/>
      </c>
      <c r="Q138" t="b">
        <f ca="1">ISNUMBER(MATCH(P138,Financial_Statement_Builder!$T$405:$T$488,0))</f>
        <v>1</v>
      </c>
      <c r="T138" s="194" t="str">
        <f t="shared" si="8"/>
        <v/>
      </c>
      <c r="U138" t="b">
        <f ca="1">ISNUMBER(MATCH(T138,Financial_Statement_Builder!$X$405:$X$488,0))</f>
        <v>1</v>
      </c>
    </row>
    <row r="139" spans="3:21">
      <c r="C139" s="194" t="str">
        <f t="shared" si="5"/>
        <v/>
      </c>
      <c r="D139" t="b">
        <f ca="1">ISNUMBER(MATCH(C139,Financial_Statement_Builder!$J$405:$J$488,0))</f>
        <v>1</v>
      </c>
      <c r="H139" s="194" t="str">
        <f t="shared" si="6"/>
        <v/>
      </c>
      <c r="I139" t="b">
        <f>ISNUMBER(MATCH(H139,Financial_Statement_Builder!$M$405:$M$488,0))</f>
        <v>1</v>
      </c>
      <c r="L139" s="194" t="str">
        <f t="shared" si="9"/>
        <v/>
      </c>
      <c r="M139" t="b">
        <f ca="1">ISNUMBER(MATCH(L139,Financial_Statement_Builder!$Q$405:$Q$488,0))</f>
        <v>1</v>
      </c>
      <c r="P139" s="194" t="str">
        <f t="shared" si="7"/>
        <v/>
      </c>
      <c r="Q139" t="b">
        <f ca="1">ISNUMBER(MATCH(P139,Financial_Statement_Builder!$T$405:$T$488,0))</f>
        <v>1</v>
      </c>
      <c r="T139" s="194" t="str">
        <f t="shared" si="8"/>
        <v/>
      </c>
      <c r="U139" t="b">
        <f ca="1">ISNUMBER(MATCH(T139,Financial_Statement_Builder!$X$405:$X$488,0))</f>
        <v>1</v>
      </c>
    </row>
    <row r="140" spans="3:21">
      <c r="C140" s="194" t="str">
        <f t="shared" si="5"/>
        <v/>
      </c>
      <c r="D140" t="b">
        <f ca="1">ISNUMBER(MATCH(C140,Financial_Statement_Builder!$J$405:$J$488,0))</f>
        <v>1</v>
      </c>
      <c r="H140" s="194" t="str">
        <f t="shared" si="6"/>
        <v/>
      </c>
      <c r="I140" t="b">
        <f>ISNUMBER(MATCH(H140,Financial_Statement_Builder!$M$405:$M$488,0))</f>
        <v>1</v>
      </c>
      <c r="L140" s="194" t="str">
        <f t="shared" si="9"/>
        <v/>
      </c>
      <c r="M140" t="b">
        <f ca="1">ISNUMBER(MATCH(L140,Financial_Statement_Builder!$Q$405:$Q$488,0))</f>
        <v>1</v>
      </c>
      <c r="P140" s="194" t="str">
        <f t="shared" si="7"/>
        <v/>
      </c>
      <c r="Q140" t="b">
        <f ca="1">ISNUMBER(MATCH(P140,Financial_Statement_Builder!$T$405:$T$488,0))</f>
        <v>1</v>
      </c>
      <c r="T140" s="194" t="str">
        <f t="shared" si="8"/>
        <v/>
      </c>
      <c r="U140" t="b">
        <f ca="1">ISNUMBER(MATCH(T140,Financial_Statement_Builder!$X$405:$X$488,0))</f>
        <v>1</v>
      </c>
    </row>
    <row r="141" spans="3:21">
      <c r="C141" s="194" t="str">
        <f t="shared" si="5"/>
        <v/>
      </c>
      <c r="D141" t="b">
        <f ca="1">ISNUMBER(MATCH(C141,Financial_Statement_Builder!$J$405:$J$488,0))</f>
        <v>1</v>
      </c>
      <c r="H141" s="194" t="str">
        <f t="shared" si="6"/>
        <v/>
      </c>
      <c r="I141" t="b">
        <f>ISNUMBER(MATCH(H141,Financial_Statement_Builder!$M$405:$M$488,0))</f>
        <v>1</v>
      </c>
      <c r="L141" s="194" t="str">
        <f t="shared" si="9"/>
        <v/>
      </c>
      <c r="M141" t="b">
        <f ca="1">ISNUMBER(MATCH(L141,Financial_Statement_Builder!$Q$405:$Q$488,0))</f>
        <v>1</v>
      </c>
      <c r="P141" s="194" t="str">
        <f t="shared" si="7"/>
        <v/>
      </c>
      <c r="Q141" t="b">
        <f ca="1">ISNUMBER(MATCH(P141,Financial_Statement_Builder!$T$405:$T$488,0))</f>
        <v>1</v>
      </c>
      <c r="T141" s="194" t="str">
        <f t="shared" si="8"/>
        <v/>
      </c>
      <c r="U141" t="b">
        <f ca="1">ISNUMBER(MATCH(T141,Financial_Statement_Builder!$X$405:$X$488,0))</f>
        <v>1</v>
      </c>
    </row>
    <row r="142" spans="3:21">
      <c r="C142" s="194" t="str">
        <f t="shared" si="5"/>
        <v/>
      </c>
      <c r="D142" t="b">
        <f ca="1">ISNUMBER(MATCH(C142,Financial_Statement_Builder!$J$405:$J$488,0))</f>
        <v>1</v>
      </c>
      <c r="H142" s="194" t="str">
        <f t="shared" si="6"/>
        <v/>
      </c>
      <c r="I142" t="b">
        <f>ISNUMBER(MATCH(H142,Financial_Statement_Builder!$M$405:$M$488,0))</f>
        <v>1</v>
      </c>
      <c r="L142" s="194" t="str">
        <f t="shared" si="9"/>
        <v/>
      </c>
      <c r="M142" t="b">
        <f ca="1">ISNUMBER(MATCH(L142,Financial_Statement_Builder!$Q$405:$Q$488,0))</f>
        <v>1</v>
      </c>
      <c r="P142" s="194" t="str">
        <f t="shared" si="7"/>
        <v/>
      </c>
      <c r="Q142" t="b">
        <f ca="1">ISNUMBER(MATCH(P142,Financial_Statement_Builder!$T$405:$T$488,0))</f>
        <v>1</v>
      </c>
      <c r="T142" s="194" t="str">
        <f t="shared" si="8"/>
        <v/>
      </c>
      <c r="U142" t="b">
        <f ca="1">ISNUMBER(MATCH(T142,Financial_Statement_Builder!$X$405:$X$488,0))</f>
        <v>1</v>
      </c>
    </row>
    <row r="143" spans="3:21">
      <c r="C143" s="194" t="str">
        <f t="shared" si="5"/>
        <v/>
      </c>
      <c r="D143" t="b">
        <f ca="1">ISNUMBER(MATCH(C143,Financial_Statement_Builder!$J$405:$J$488,0))</f>
        <v>1</v>
      </c>
      <c r="H143" s="194" t="str">
        <f t="shared" si="6"/>
        <v/>
      </c>
      <c r="I143" t="b">
        <f>ISNUMBER(MATCH(H143,Financial_Statement_Builder!$M$405:$M$488,0))</f>
        <v>1</v>
      </c>
      <c r="L143" s="194" t="str">
        <f t="shared" si="9"/>
        <v/>
      </c>
      <c r="M143" t="b">
        <f ca="1">ISNUMBER(MATCH(L143,Financial_Statement_Builder!$Q$405:$Q$488,0))</f>
        <v>1</v>
      </c>
      <c r="P143" s="194" t="str">
        <f t="shared" si="7"/>
        <v/>
      </c>
      <c r="Q143" t="b">
        <f ca="1">ISNUMBER(MATCH(P143,Financial_Statement_Builder!$T$405:$T$488,0))</f>
        <v>1</v>
      </c>
      <c r="T143" s="194" t="str">
        <f t="shared" si="8"/>
        <v/>
      </c>
      <c r="U143" t="b">
        <f ca="1">ISNUMBER(MATCH(T143,Financial_Statement_Builder!$X$405:$X$488,0))</f>
        <v>1</v>
      </c>
    </row>
    <row r="144" spans="3:21">
      <c r="C144" s="194" t="str">
        <f t="shared" si="5"/>
        <v/>
      </c>
      <c r="D144" t="b">
        <f ca="1">ISNUMBER(MATCH(C144,Financial_Statement_Builder!$J$405:$J$488,0))</f>
        <v>1</v>
      </c>
      <c r="H144" s="194" t="str">
        <f t="shared" si="6"/>
        <v/>
      </c>
      <c r="I144" t="b">
        <f>ISNUMBER(MATCH(H144,Financial_Statement_Builder!$M$405:$M$488,0))</f>
        <v>1</v>
      </c>
      <c r="L144" s="194" t="str">
        <f t="shared" si="9"/>
        <v/>
      </c>
      <c r="M144" t="b">
        <f ca="1">ISNUMBER(MATCH(L144,Financial_Statement_Builder!$Q$405:$Q$488,0))</f>
        <v>1</v>
      </c>
      <c r="P144" s="194" t="str">
        <f t="shared" si="7"/>
        <v/>
      </c>
      <c r="Q144" t="b">
        <f ca="1">ISNUMBER(MATCH(P144,Financial_Statement_Builder!$T$405:$T$488,0))</f>
        <v>1</v>
      </c>
      <c r="T144" s="194" t="str">
        <f t="shared" si="8"/>
        <v/>
      </c>
      <c r="U144" t="b">
        <f ca="1">ISNUMBER(MATCH(T144,Financial_Statement_Builder!$X$405:$X$488,0))</f>
        <v>1</v>
      </c>
    </row>
    <row r="145" spans="1:23">
      <c r="C145" s="194" t="str">
        <f t="shared" si="5"/>
        <v/>
      </c>
      <c r="D145" t="b">
        <f ca="1">ISNUMBER(MATCH(C145,Financial_Statement_Builder!$J$405:$J$488,0))</f>
        <v>1</v>
      </c>
      <c r="H145" s="194" t="str">
        <f t="shared" si="6"/>
        <v/>
      </c>
      <c r="I145" t="b">
        <f>ISNUMBER(MATCH(H145,Financial_Statement_Builder!$M$405:$M$488,0))</f>
        <v>1</v>
      </c>
      <c r="L145" s="194" t="str">
        <f t="shared" si="9"/>
        <v/>
      </c>
      <c r="M145" t="b">
        <f ca="1">ISNUMBER(MATCH(L145,Financial_Statement_Builder!$Q$405:$Q$488,0))</f>
        <v>1</v>
      </c>
      <c r="P145" s="194" t="str">
        <f t="shared" si="7"/>
        <v/>
      </c>
      <c r="Q145" t="b">
        <f ca="1">ISNUMBER(MATCH(P145,Financial_Statement_Builder!$T$405:$T$488,0))</f>
        <v>1</v>
      </c>
      <c r="T145" s="194" t="str">
        <f t="shared" si="8"/>
        <v/>
      </c>
      <c r="U145" t="b">
        <f ca="1">ISNUMBER(MATCH(T145,Financial_Statement_Builder!$X$405:$X$488,0))</f>
        <v>1</v>
      </c>
    </row>
    <row r="146" spans="1:23">
      <c r="C146" s="194" t="str">
        <f t="shared" si="5"/>
        <v/>
      </c>
      <c r="D146" t="b">
        <f ca="1">ISNUMBER(MATCH(C146,Financial_Statement_Builder!$J$405:$J$488,0))</f>
        <v>1</v>
      </c>
      <c r="H146" s="194" t="str">
        <f t="shared" si="6"/>
        <v/>
      </c>
      <c r="I146" t="b">
        <f>ISNUMBER(MATCH(H146,Financial_Statement_Builder!$M$405:$M$488,0))</f>
        <v>1</v>
      </c>
      <c r="L146" s="194" t="str">
        <f t="shared" si="9"/>
        <v/>
      </c>
      <c r="M146" t="b">
        <f ca="1">ISNUMBER(MATCH(L146,Financial_Statement_Builder!$Q$405:$Q$488,0))</f>
        <v>1</v>
      </c>
      <c r="P146" s="194" t="str">
        <f t="shared" si="7"/>
        <v/>
      </c>
      <c r="Q146" t="b">
        <f ca="1">ISNUMBER(MATCH(P146,Financial_Statement_Builder!$T$405:$T$488,0))</f>
        <v>1</v>
      </c>
      <c r="T146" s="194" t="str">
        <f t="shared" si="8"/>
        <v/>
      </c>
      <c r="U146" t="b">
        <f ca="1">ISNUMBER(MATCH(T146,Financial_Statement_Builder!$X$405:$X$488,0))</f>
        <v>1</v>
      </c>
    </row>
    <row r="147" spans="1:23">
      <c r="C147" s="194" t="str">
        <f t="shared" si="5"/>
        <v/>
      </c>
      <c r="D147" t="b">
        <f ca="1">ISNUMBER(MATCH(C147,Financial_Statement_Builder!$J$405:$J$488,0))</f>
        <v>1</v>
      </c>
      <c r="H147" s="194" t="str">
        <f t="shared" si="6"/>
        <v/>
      </c>
      <c r="I147" t="b">
        <f>ISNUMBER(MATCH(H147,Financial_Statement_Builder!$M$405:$M$488,0))</f>
        <v>1</v>
      </c>
      <c r="L147" s="194" t="str">
        <f t="shared" si="9"/>
        <v/>
      </c>
      <c r="M147" t="b">
        <f ca="1">ISNUMBER(MATCH(L147,Financial_Statement_Builder!$Q$405:$Q$488,0))</f>
        <v>1</v>
      </c>
      <c r="P147" s="194" t="str">
        <f t="shared" si="7"/>
        <v/>
      </c>
      <c r="Q147" t="b">
        <f ca="1">ISNUMBER(MATCH(P147,Financial_Statement_Builder!$T$405:$T$488,0))</f>
        <v>1</v>
      </c>
      <c r="T147" s="194" t="str">
        <f t="shared" si="8"/>
        <v/>
      </c>
      <c r="U147" t="b">
        <f ca="1">ISNUMBER(MATCH(T147,Financial_Statement_Builder!$X$405:$X$488,0))</f>
        <v>1</v>
      </c>
    </row>
    <row r="148" spans="1:23">
      <c r="C148" s="194" t="str">
        <f t="shared" si="5"/>
        <v/>
      </c>
      <c r="D148" t="b">
        <f ca="1">ISNUMBER(MATCH(C148,Financial_Statement_Builder!$J$405:$J$488,0))</f>
        <v>1</v>
      </c>
      <c r="H148" s="194" t="str">
        <f t="shared" si="6"/>
        <v/>
      </c>
      <c r="I148" t="b">
        <f>ISNUMBER(MATCH(H148,Financial_Statement_Builder!$M$405:$M$488,0))</f>
        <v>1</v>
      </c>
      <c r="L148" s="194" t="str">
        <f t="shared" si="9"/>
        <v/>
      </c>
      <c r="M148" t="b">
        <f ca="1">ISNUMBER(MATCH(L148,Financial_Statement_Builder!$Q$405:$Q$488,0))</f>
        <v>1</v>
      </c>
      <c r="P148" s="194" t="str">
        <f t="shared" si="7"/>
        <v/>
      </c>
      <c r="Q148" t="b">
        <f ca="1">ISNUMBER(MATCH(P148,Financial_Statement_Builder!$T$405:$T$488,0))</f>
        <v>1</v>
      </c>
      <c r="T148" s="194" t="str">
        <f t="shared" si="8"/>
        <v/>
      </c>
      <c r="U148" t="b">
        <f ca="1">ISNUMBER(MATCH(T148,Financial_Statement_Builder!$X$405:$X$488,0))</f>
        <v>1</v>
      </c>
    </row>
    <row r="149" spans="1:23">
      <c r="C149" s="194" t="str">
        <f t="shared" si="5"/>
        <v/>
      </c>
      <c r="D149" t="b">
        <f ca="1">ISNUMBER(MATCH(C149,Financial_Statement_Builder!$J$405:$J$488,0))</f>
        <v>1</v>
      </c>
      <c r="H149" s="194" t="str">
        <f t="shared" si="6"/>
        <v/>
      </c>
      <c r="I149" t="b">
        <f>ISNUMBER(MATCH(H149,Financial_Statement_Builder!$M$405:$M$488,0))</f>
        <v>1</v>
      </c>
      <c r="L149" s="194" t="str">
        <f t="shared" si="9"/>
        <v/>
      </c>
      <c r="M149" t="b">
        <f ca="1">ISNUMBER(MATCH(L149,Financial_Statement_Builder!$Q$405:$Q$488,0))</f>
        <v>1</v>
      </c>
      <c r="P149" s="194" t="str">
        <f t="shared" si="7"/>
        <v/>
      </c>
      <c r="Q149" t="b">
        <f ca="1">ISNUMBER(MATCH(P149,Financial_Statement_Builder!$T$405:$T$488,0))</f>
        <v>1</v>
      </c>
      <c r="T149" s="194" t="str">
        <f t="shared" si="8"/>
        <v/>
      </c>
      <c r="U149" t="b">
        <f ca="1">ISNUMBER(MATCH(T149,Financial_Statement_Builder!$X$405:$X$488,0))</f>
        <v>1</v>
      </c>
    </row>
    <row r="150" spans="1:23">
      <c r="C150" s="194" t="str">
        <f t="shared" si="5"/>
        <v/>
      </c>
      <c r="D150" t="b">
        <f ca="1">ISNUMBER(MATCH(C150,Financial_Statement_Builder!$J$405:$J$488,0))</f>
        <v>1</v>
      </c>
      <c r="H150" s="194" t="str">
        <f t="shared" si="6"/>
        <v/>
      </c>
      <c r="I150" t="b">
        <f>ISNUMBER(MATCH(H150,Financial_Statement_Builder!$M$405:$M$488,0))</f>
        <v>1</v>
      </c>
      <c r="L150" s="194" t="str">
        <f t="shared" si="9"/>
        <v/>
      </c>
      <c r="M150" t="b">
        <f ca="1">ISNUMBER(MATCH(L150,Financial_Statement_Builder!$Q$405:$Q$488,0))</f>
        <v>1</v>
      </c>
      <c r="P150" s="194" t="str">
        <f t="shared" si="7"/>
        <v/>
      </c>
      <c r="Q150" t="b">
        <f ca="1">ISNUMBER(MATCH(P150,Financial_Statement_Builder!$T$405:$T$488,0))</f>
        <v>1</v>
      </c>
      <c r="T150" s="194" t="str">
        <f t="shared" si="8"/>
        <v/>
      </c>
      <c r="U150" t="b">
        <f ca="1">ISNUMBER(MATCH(T150,Financial_Statement_Builder!$X$405:$X$488,0))</f>
        <v>1</v>
      </c>
    </row>
    <row r="151" spans="1:23">
      <c r="C151" s="194" t="str">
        <f t="shared" si="5"/>
        <v/>
      </c>
      <c r="D151" t="b">
        <f ca="1">ISNUMBER(MATCH(C151,Financial_Statement_Builder!$J$405:$J$488,0))</f>
        <v>1</v>
      </c>
      <c r="H151" s="194" t="str">
        <f t="shared" si="6"/>
        <v/>
      </c>
      <c r="I151" t="b">
        <f>ISNUMBER(MATCH(H151,Financial_Statement_Builder!$M$405:$M$488,0))</f>
        <v>1</v>
      </c>
      <c r="L151" s="194" t="str">
        <f t="shared" si="9"/>
        <v/>
      </c>
      <c r="M151" t="b">
        <f ca="1">ISNUMBER(MATCH(L151,Financial_Statement_Builder!$Q$405:$Q$488,0))</f>
        <v>1</v>
      </c>
      <c r="P151" s="194" t="str">
        <f t="shared" si="7"/>
        <v/>
      </c>
      <c r="Q151" t="b">
        <f ca="1">ISNUMBER(MATCH(P151,Financial_Statement_Builder!$T$405:$T$488,0))</f>
        <v>1</v>
      </c>
      <c r="T151" s="194" t="str">
        <f t="shared" si="8"/>
        <v/>
      </c>
      <c r="U151" t="b">
        <f ca="1">ISNUMBER(MATCH(T151,Financial_Statement_Builder!$X$405:$X$488,0))</f>
        <v>1</v>
      </c>
    </row>
    <row r="152" spans="1:23">
      <c r="C152" s="194" t="str">
        <f t="shared" si="5"/>
        <v/>
      </c>
      <c r="D152" t="b">
        <f ca="1">ISNUMBER(MATCH(C152,Financial_Statement_Builder!$J$405:$J$488,0))</f>
        <v>1</v>
      </c>
      <c r="H152" s="194" t="str">
        <f t="shared" si="6"/>
        <v/>
      </c>
      <c r="I152" t="b">
        <f>ISNUMBER(MATCH(H152,Financial_Statement_Builder!$M$405:$M$488,0))</f>
        <v>1</v>
      </c>
      <c r="L152" s="194" t="str">
        <f t="shared" si="9"/>
        <v/>
      </c>
      <c r="M152" t="b">
        <f ca="1">ISNUMBER(MATCH(L152,Financial_Statement_Builder!$Q$405:$Q$488,0))</f>
        <v>1</v>
      </c>
      <c r="P152" s="194" t="str">
        <f t="shared" si="7"/>
        <v/>
      </c>
      <c r="Q152" t="b">
        <f ca="1">ISNUMBER(MATCH(P152,Financial_Statement_Builder!$T$405:$T$488,0))</f>
        <v>1</v>
      </c>
      <c r="T152" s="194" t="str">
        <f>T59&amp;U59</f>
        <v/>
      </c>
      <c r="U152" t="b">
        <f ca="1">ISNUMBER(MATCH(T152,Financial_Statement_Builder!$X$405:$X$488,0))</f>
        <v>1</v>
      </c>
    </row>
    <row r="153" spans="1:23">
      <c r="A153" s="224"/>
      <c r="C153" s="194" t="str">
        <f t="shared" si="5"/>
        <v/>
      </c>
      <c r="D153" t="b">
        <f ca="1">ISNUMBER(MATCH(C153,Financial_Statement_Builder!$J$405:$J$488,0))</f>
        <v>1</v>
      </c>
      <c r="H153" s="194" t="str">
        <f t="shared" si="6"/>
        <v/>
      </c>
      <c r="I153" t="b">
        <f>ISNUMBER(MATCH(H153,Financial_Statement_Builder!$M$405:$M$488,0))</f>
        <v>1</v>
      </c>
      <c r="L153" s="194" t="str">
        <f t="shared" si="9"/>
        <v/>
      </c>
      <c r="M153" t="b">
        <f ca="1">ISNUMBER(MATCH(L153,Financial_Statement_Builder!$Q$405:$Q$488,0))</f>
        <v>1</v>
      </c>
      <c r="P153" s="194" t="str">
        <f t="shared" si="7"/>
        <v/>
      </c>
      <c r="Q153" t="b">
        <f ca="1">ISNUMBER(MATCH(P153,Financial_Statement_Builder!$T$405:$T$488,0))</f>
        <v>1</v>
      </c>
      <c r="T153" s="194" t="str">
        <f>T60&amp;U60</f>
        <v/>
      </c>
      <c r="U153" t="b">
        <f ca="1">ISNUMBER(MATCH(T153,Financial_Statement_Builder!$X$405:$X$488,0))</f>
        <v>1</v>
      </c>
    </row>
    <row r="154" spans="1:23" ht="15" thickBot="1">
      <c r="C154" s="195" t="str">
        <f t="shared" si="5"/>
        <v/>
      </c>
      <c r="D154" t="b">
        <f ca="1">ISNUMBER(MATCH(C154,Financial_Statement_Builder!$J$405:$J$488,0))</f>
        <v>1</v>
      </c>
      <c r="H154" s="195" t="str">
        <f t="shared" si="6"/>
        <v/>
      </c>
      <c r="I154" t="b">
        <f>ISNUMBER(MATCH(H154,Financial_Statement_Builder!$M$405:$M$488,0))</f>
        <v>1</v>
      </c>
      <c r="L154" s="195" t="str">
        <f t="shared" si="9"/>
        <v/>
      </c>
      <c r="M154" t="b">
        <f ca="1">ISNUMBER(MATCH(L154,Financial_Statement_Builder!$Q$405:$Q$488,0))</f>
        <v>1</v>
      </c>
      <c r="P154" s="195" t="str">
        <f t="shared" si="7"/>
        <v/>
      </c>
      <c r="Q154" t="b">
        <f ca="1">ISNUMBER(MATCH(P154,Financial_Statement_Builder!$T$405:$T$488,0))</f>
        <v>1</v>
      </c>
      <c r="T154" s="195" t="str">
        <f>T61&amp;U61</f>
        <v/>
      </c>
      <c r="U154" t="b">
        <f ca="1">ISNUMBER(MATCH(T154,Financial_Statement_Builder!$X$405:$X$488,0))</f>
        <v>1</v>
      </c>
    </row>
    <row r="155" spans="1:23">
      <c r="H155" t="str">
        <f t="shared" si="6"/>
        <v/>
      </c>
    </row>
    <row r="156" spans="1:23">
      <c r="H156" t="str">
        <f t="shared" si="6"/>
        <v/>
      </c>
    </row>
    <row r="158" spans="1:23">
      <c r="H158" t="b">
        <f>COUNTIF(Journal!$D$7:$D$179,"Gain")&gt;0</f>
        <v>0</v>
      </c>
    </row>
    <row r="159" spans="1:23" ht="15" thickBot="1">
      <c r="E159" s="593" t="s">
        <v>835</v>
      </c>
      <c r="F159" s="5" t="s">
        <v>836</v>
      </c>
      <c r="P159" s="224" t="s">
        <v>837</v>
      </c>
      <c r="V159" s="593" t="s">
        <v>835</v>
      </c>
      <c r="W159" s="5" t="s">
        <v>836</v>
      </c>
    </row>
    <row r="160" spans="1:23">
      <c r="B160" s="224">
        <v>6</v>
      </c>
      <c r="C160" s="541" t="str" cm="1">
        <f t="array" ref="C160:D162">_xlfn._xlws.FILTER(CHOOSE({1,2},BCurrAssets[Account],BCurrAssets[Amt]),BCurrAssets[Used]=1,"")</f>
        <v>Cash</v>
      </c>
      <c r="D160" s="542">
        <v>0</v>
      </c>
      <c r="E160">
        <f>ABS(D160)</f>
        <v>0</v>
      </c>
      <c r="F160" s="593" t="b">
        <f>SUM(E160:E169)&gt;0.000001</f>
        <v>0</v>
      </c>
      <c r="G160" s="224">
        <v>6</v>
      </c>
      <c r="H160" s="541" t="str" cm="1">
        <f t="array" aca="1" ref="H160:I160" ca="1">IF(J160,_xlfn._xlws.FILTER(CHOOSE({1,2},IS_Revenues[Account],IS_Revenues[AmtAnswer]),IS_Revenues[UsedAnswer]=1,""),{"",""})</f>
        <v>Sales</v>
      </c>
      <c r="I160" s="542">
        <f ca="1"/>
        <v>18</v>
      </c>
      <c r="J160" s="224" t="b">
        <f>COUNTIF(JournalAnswer[Accnt Type],"Revenue")&gt;0</f>
        <v>1</v>
      </c>
      <c r="K160"/>
      <c r="L160" s="405" t="s">
        <v>371</v>
      </c>
      <c r="O160" s="224">
        <v>6</v>
      </c>
      <c r="P160" s="541" t="str" cm="1">
        <f t="array" aca="1" ref="P160:Q161" ca="1">_xlfn._xlws.FILTER(CHOOSE({1,2},CFS_CFO[Account],CFS_CFO[AmtAnswer]),CFS_CFO[UsedAnswer]=1,"")</f>
        <v>Collections from customers</v>
      </c>
      <c r="Q160" s="549">
        <f ca="1"/>
        <v>91</v>
      </c>
      <c r="S160" s="224">
        <v>6</v>
      </c>
      <c r="T160" s="541" t="str" cm="1">
        <f t="array" ref="T160:U162">_xlfn._xlws.FILTER(CHOOSE({1,2},ECurrAssets[Account],ECurrAssets[AmtAnswer]),ECurrAssets[Used]=1,"")</f>
        <v>Cash</v>
      </c>
      <c r="U160" s="542">
        <v>137</v>
      </c>
      <c r="V160">
        <f>ABS(U160)</f>
        <v>137</v>
      </c>
      <c r="W160" s="593" t="b">
        <f>SUM(V160:V169)&gt;0.000001</f>
        <v>1</v>
      </c>
    </row>
    <row r="161" spans="2:23">
      <c r="B161" s="224">
        <v>7</v>
      </c>
      <c r="C161" s="543" t="str">
        <v>Accounts Receivable</v>
      </c>
      <c r="D161" s="544">
        <v>0</v>
      </c>
      <c r="E161">
        <f t="shared" ref="E161:E219" si="10">ABS(D161)</f>
        <v>0</v>
      </c>
      <c r="F161" s="592"/>
      <c r="G161" s="224">
        <v>7</v>
      </c>
      <c r="H161" s="543"/>
      <c r="I161" s="544"/>
      <c r="J161" s="224"/>
      <c r="K161"/>
      <c r="L161" s="194" t="s">
        <v>369</v>
      </c>
      <c r="O161" s="224">
        <v>7</v>
      </c>
      <c r="P161" s="543" t="str">
        <f ca="1"/>
        <v>Payments to suppliers</v>
      </c>
      <c r="Q161" s="289">
        <f ca="1"/>
        <v>-52</v>
      </c>
      <c r="S161" s="224">
        <v>7</v>
      </c>
      <c r="T161" s="543" t="str">
        <v>Accounts Receivable</v>
      </c>
      <c r="U161" s="544">
        <v>0</v>
      </c>
      <c r="V161">
        <f t="shared" ref="V161:V209" si="11">ABS(U161)</f>
        <v>0</v>
      </c>
      <c r="W161" s="592"/>
    </row>
    <row r="162" spans="2:23">
      <c r="B162" s="224">
        <v>7</v>
      </c>
      <c r="C162" s="543" t="str">
        <v>Inventories</v>
      </c>
      <c r="D162" s="544">
        <v>0</v>
      </c>
      <c r="E162">
        <f t="shared" si="10"/>
        <v>0</v>
      </c>
      <c r="F162" s="592"/>
      <c r="G162" s="224">
        <v>7</v>
      </c>
      <c r="H162" s="543"/>
      <c r="I162" s="544"/>
      <c r="J162" s="224"/>
      <c r="K162"/>
      <c r="L162" s="194" t="s">
        <v>412</v>
      </c>
      <c r="O162" s="224">
        <v>7</v>
      </c>
      <c r="P162" s="543"/>
      <c r="Q162" s="289"/>
      <c r="S162" s="224">
        <v>7</v>
      </c>
      <c r="T162" s="543" t="str">
        <v>Inventories</v>
      </c>
      <c r="U162" s="544">
        <v>42</v>
      </c>
      <c r="V162">
        <f t="shared" si="11"/>
        <v>42</v>
      </c>
      <c r="W162" s="592"/>
    </row>
    <row r="163" spans="2:23">
      <c r="B163" s="224">
        <v>7</v>
      </c>
      <c r="C163" s="543"/>
      <c r="D163" s="544"/>
      <c r="E163">
        <f t="shared" si="10"/>
        <v>0</v>
      </c>
      <c r="F163" s="592"/>
      <c r="G163" s="224">
        <v>7</v>
      </c>
      <c r="H163" s="543"/>
      <c r="I163" s="544"/>
      <c r="J163" s="224"/>
      <c r="K163"/>
      <c r="L163" s="194" t="s">
        <v>72</v>
      </c>
      <c r="O163" s="224">
        <v>7</v>
      </c>
      <c r="P163" s="543"/>
      <c r="Q163" s="289"/>
      <c r="S163" s="224">
        <v>7</v>
      </c>
      <c r="T163" s="543"/>
      <c r="U163" s="544"/>
      <c r="V163">
        <f t="shared" si="11"/>
        <v>0</v>
      </c>
      <c r="W163" s="592"/>
    </row>
    <row r="164" spans="2:23">
      <c r="B164" s="224">
        <v>7</v>
      </c>
      <c r="C164" s="543"/>
      <c r="D164" s="544"/>
      <c r="E164">
        <f t="shared" si="10"/>
        <v>0</v>
      </c>
      <c r="F164" s="592"/>
      <c r="G164" s="224">
        <v>7</v>
      </c>
      <c r="H164" s="543"/>
      <c r="I164" s="544"/>
      <c r="J164" s="224"/>
      <c r="K164"/>
      <c r="L164" s="194" t="s">
        <v>838</v>
      </c>
      <c r="O164" s="224">
        <v>7</v>
      </c>
      <c r="P164" s="543"/>
      <c r="Q164" s="289"/>
      <c r="S164" s="224">
        <v>7</v>
      </c>
      <c r="T164" s="543"/>
      <c r="U164" s="544"/>
      <c r="V164">
        <f t="shared" si="11"/>
        <v>0</v>
      </c>
      <c r="W164" s="592"/>
    </row>
    <row r="165" spans="2:23">
      <c r="B165" s="224">
        <v>7</v>
      </c>
      <c r="C165" s="543"/>
      <c r="D165" s="544"/>
      <c r="E165">
        <f t="shared" si="10"/>
        <v>0</v>
      </c>
      <c r="F165" s="592"/>
      <c r="G165" s="224">
        <v>7</v>
      </c>
      <c r="H165" s="543"/>
      <c r="I165" s="544"/>
      <c r="J165" s="224"/>
      <c r="K165"/>
      <c r="L165" s="194" t="s">
        <v>839</v>
      </c>
      <c r="O165" s="224">
        <v>7</v>
      </c>
      <c r="P165" s="543"/>
      <c r="Q165" s="289"/>
      <c r="S165" s="224">
        <v>7</v>
      </c>
      <c r="T165" s="543"/>
      <c r="U165" s="544"/>
      <c r="V165">
        <f t="shared" si="11"/>
        <v>0</v>
      </c>
      <c r="W165" s="592"/>
    </row>
    <row r="166" spans="2:23">
      <c r="B166" s="224">
        <v>7</v>
      </c>
      <c r="C166" s="543"/>
      <c r="D166" s="544"/>
      <c r="E166">
        <f t="shared" si="10"/>
        <v>0</v>
      </c>
      <c r="F166" s="592"/>
      <c r="G166" s="224">
        <v>7</v>
      </c>
      <c r="H166" s="543"/>
      <c r="I166" s="544"/>
      <c r="J166" s="224"/>
      <c r="K166"/>
      <c r="L166" s="194" t="s">
        <v>430</v>
      </c>
      <c r="O166" s="224">
        <v>7</v>
      </c>
      <c r="P166" s="543"/>
      <c r="Q166" s="289"/>
      <c r="S166" s="224">
        <v>7</v>
      </c>
      <c r="T166" s="543"/>
      <c r="U166" s="544"/>
      <c r="V166">
        <f t="shared" si="11"/>
        <v>0</v>
      </c>
      <c r="W166" s="592"/>
    </row>
    <row r="167" spans="2:23">
      <c r="B167" s="224">
        <v>7</v>
      </c>
      <c r="C167" s="543"/>
      <c r="D167" s="544"/>
      <c r="E167">
        <f t="shared" si="10"/>
        <v>0</v>
      </c>
      <c r="F167" s="592"/>
      <c r="G167" s="224">
        <v>7</v>
      </c>
      <c r="H167" s="543"/>
      <c r="I167" s="544"/>
      <c r="J167" s="224"/>
      <c r="K167"/>
      <c r="L167" s="194" t="s">
        <v>840</v>
      </c>
      <c r="O167" s="224">
        <v>7</v>
      </c>
      <c r="P167" s="543"/>
      <c r="Q167" s="289"/>
      <c r="S167" s="224">
        <v>7</v>
      </c>
      <c r="T167" s="543"/>
      <c r="U167" s="544"/>
      <c r="V167">
        <f t="shared" si="11"/>
        <v>0</v>
      </c>
      <c r="W167" s="592"/>
    </row>
    <row r="168" spans="2:23" ht="15" thickBot="1">
      <c r="B168" s="224">
        <v>7</v>
      </c>
      <c r="C168" s="543"/>
      <c r="D168" s="544"/>
      <c r="E168">
        <f t="shared" si="10"/>
        <v>0</v>
      </c>
      <c r="F168" s="592"/>
      <c r="G168" s="224">
        <v>7</v>
      </c>
      <c r="H168" s="543"/>
      <c r="I168" s="544"/>
      <c r="J168" s="224"/>
      <c r="K168"/>
      <c r="L168" s="195" t="s">
        <v>841</v>
      </c>
      <c r="O168" s="224">
        <v>7</v>
      </c>
      <c r="P168" s="543"/>
      <c r="Q168" s="289"/>
      <c r="S168" s="224">
        <v>7</v>
      </c>
      <c r="T168" s="543"/>
      <c r="U168" s="544"/>
      <c r="V168">
        <f t="shared" si="11"/>
        <v>0</v>
      </c>
      <c r="W168" s="592"/>
    </row>
    <row r="169" spans="2:23" ht="15" thickBot="1">
      <c r="B169" s="224">
        <v>7</v>
      </c>
      <c r="C169" s="545"/>
      <c r="D169" s="547"/>
      <c r="E169">
        <f t="shared" si="10"/>
        <v>0</v>
      </c>
      <c r="F169" s="592"/>
      <c r="G169" s="224">
        <v>7</v>
      </c>
      <c r="H169" s="545"/>
      <c r="I169" s="547"/>
      <c r="J169" s="224"/>
      <c r="K169"/>
      <c r="O169" s="224">
        <v>7</v>
      </c>
      <c r="P169" s="543"/>
      <c r="Q169" s="289"/>
      <c r="S169" s="224">
        <v>7</v>
      </c>
      <c r="T169" s="545"/>
      <c r="U169" s="547"/>
      <c r="V169">
        <f t="shared" si="11"/>
        <v>0</v>
      </c>
      <c r="W169" s="592"/>
    </row>
    <row r="170" spans="2:23">
      <c r="B170" s="224">
        <v>6</v>
      </c>
      <c r="C170" s="541" t="str" cm="1">
        <f t="array" ref="C170:D171">_xlfn._xlws.FILTER(CHOOSE({1,2},BNonCurrAssets[Account],BNonCurrAssets[Amt]),BNonCurrAssets[Used]=1,"")</f>
        <v>Property, Plant &amp; Equipment</v>
      </c>
      <c r="D170" s="542">
        <v>0</v>
      </c>
      <c r="E170">
        <f t="shared" si="10"/>
        <v>0</v>
      </c>
      <c r="F170" s="593" t="b">
        <f>SUM(E170:E179)&gt;0.000001</f>
        <v>0</v>
      </c>
      <c r="G170" s="224">
        <v>6</v>
      </c>
      <c r="H170" s="541" t="str" cm="1">
        <f t="array" aca="1" ref="H170:I170" ca="1">IF(J170,_xlfn._xlws.FILTER(CHOOSE({1,2},IS_Expenses[Account],IS_Expenses[AmtAnswer]),IS_Expenses[UsedAnswer]=1,""),{"",""})</f>
        <v>Cost of Goods Sold</v>
      </c>
      <c r="I170" s="542">
        <f ca="1"/>
        <v>6</v>
      </c>
      <c r="J170" s="224" t="b">
        <f>COUNTIF(JournalAnswer[Accnt Type],"Expense")&gt;0</f>
        <v>1</v>
      </c>
      <c r="K170"/>
      <c r="L170" s="5" t="s">
        <v>696</v>
      </c>
      <c r="O170" s="224">
        <v>7</v>
      </c>
      <c r="P170" s="543"/>
      <c r="Q170" s="289"/>
      <c r="S170" s="224">
        <v>6</v>
      </c>
      <c r="T170" s="541" t="str" cm="1">
        <f t="array" ref="T170:U171">_xlfn._xlws.FILTER(CHOOSE({1,2},ENonCurrAssets[Account],ENonCurrAssets[AmtAnswer]),ENonCurrAssets[Used]=1,"")</f>
        <v>Property, Plant &amp; Equipment</v>
      </c>
      <c r="U170" s="542">
        <v>100</v>
      </c>
      <c r="V170">
        <f t="shared" si="11"/>
        <v>100</v>
      </c>
      <c r="W170" s="593" t="b">
        <f>SUM(V170:V179)&gt;0.000001</f>
        <v>1</v>
      </c>
    </row>
    <row r="171" spans="2:23" ht="15" thickBot="1">
      <c r="B171" s="224">
        <v>7</v>
      </c>
      <c r="C171" s="543" t="str">
        <v>Land</v>
      </c>
      <c r="D171" s="544">
        <v>0</v>
      </c>
      <c r="E171">
        <f t="shared" si="10"/>
        <v>0</v>
      </c>
      <c r="F171" s="592"/>
      <c r="G171" s="224">
        <v>7</v>
      </c>
      <c r="H171" s="543"/>
      <c r="I171" s="544"/>
      <c r="J171" s="224"/>
      <c r="K171"/>
      <c r="L171" s="5" t="s">
        <v>240</v>
      </c>
      <c r="M171">
        <f ca="1">IF(ABS(MAX(M172:M174)&gt;0),1,0)</f>
        <v>0</v>
      </c>
      <c r="O171" s="224">
        <v>7</v>
      </c>
      <c r="P171" s="543"/>
      <c r="Q171" s="289"/>
      <c r="S171" s="224">
        <v>7</v>
      </c>
      <c r="T171" s="543" t="str">
        <v>Land</v>
      </c>
      <c r="U171" s="544">
        <v>0</v>
      </c>
      <c r="V171">
        <f t="shared" si="11"/>
        <v>0</v>
      </c>
      <c r="W171" s="592"/>
    </row>
    <row r="172" spans="2:23">
      <c r="B172" s="224">
        <v>7</v>
      </c>
      <c r="C172" s="543"/>
      <c r="D172" s="544"/>
      <c r="E172">
        <f t="shared" si="10"/>
        <v>0</v>
      </c>
      <c r="F172" s="592"/>
      <c r="G172" s="224">
        <v>7</v>
      </c>
      <c r="H172" s="543"/>
      <c r="I172" s="544"/>
      <c r="J172" s="224"/>
      <c r="K172">
        <v>5</v>
      </c>
      <c r="L172" s="207" t="str">
        <f>"Balance @ "&amp;BegDate</f>
        <v>Balance @ 12/31/20x0</v>
      </c>
      <c r="M172" s="206" cm="1">
        <f t="array" ref="M172">_xlfn._xlws.FILTER(BegBalanceSheet_Equities[Amount],BegBalanceSheet_Equities[Account]=L171,0)</f>
        <v>0</v>
      </c>
      <c r="O172" s="224">
        <v>7</v>
      </c>
      <c r="P172" s="543"/>
      <c r="Q172" s="289"/>
      <c r="S172" s="224">
        <v>7</v>
      </c>
      <c r="T172" s="543"/>
      <c r="U172" s="544"/>
      <c r="V172">
        <f t="shared" si="11"/>
        <v>0</v>
      </c>
      <c r="W172" s="592"/>
    </row>
    <row r="173" spans="2:23">
      <c r="B173" s="224">
        <v>7</v>
      </c>
      <c r="C173" s="543"/>
      <c r="D173" s="544"/>
      <c r="E173">
        <f t="shared" si="10"/>
        <v>0</v>
      </c>
      <c r="F173" s="592"/>
      <c r="G173" s="224">
        <v>7</v>
      </c>
      <c r="H173" s="543"/>
      <c r="I173" s="544"/>
      <c r="J173" s="224"/>
      <c r="K173">
        <v>7</v>
      </c>
      <c r="L173" s="107" t="s">
        <v>842</v>
      </c>
      <c r="M173" s="599">
        <f ca="1">FSConstruction!AG9</f>
        <v>0</v>
      </c>
      <c r="O173" s="224">
        <v>7</v>
      </c>
      <c r="P173" s="543"/>
      <c r="Q173" s="289"/>
      <c r="S173" s="224">
        <v>7</v>
      </c>
      <c r="T173" s="543"/>
      <c r="U173" s="544"/>
      <c r="V173">
        <f t="shared" si="11"/>
        <v>0</v>
      </c>
      <c r="W173" s="592"/>
    </row>
    <row r="174" spans="2:23" ht="15" thickBot="1">
      <c r="B174" s="224">
        <v>7</v>
      </c>
      <c r="C174" s="543"/>
      <c r="D174" s="544"/>
      <c r="E174">
        <f t="shared" si="10"/>
        <v>0</v>
      </c>
      <c r="F174" s="592"/>
      <c r="G174" s="224">
        <v>7</v>
      </c>
      <c r="H174" s="543"/>
      <c r="I174" s="544"/>
      <c r="J174" s="224"/>
      <c r="K174">
        <v>5</v>
      </c>
      <c r="L174" s="109" t="str">
        <f>"Balance @ "&amp;EndDate</f>
        <v>Balance @ 12/31/20x1</v>
      </c>
      <c r="M174" s="110" cm="1">
        <f t="array" ref="M174">_xlfn._xlws.FILTER(EEquities[AmtAnswer],(EEquities[UsedAnswer]=1)*(EEquities[Account]=L171),0)</f>
        <v>0</v>
      </c>
      <c r="O174" s="224">
        <v>7</v>
      </c>
      <c r="P174" s="543"/>
      <c r="Q174" s="289"/>
      <c r="S174" s="224">
        <v>7</v>
      </c>
      <c r="T174" s="543"/>
      <c r="U174" s="544"/>
      <c r="V174">
        <f t="shared" si="11"/>
        <v>0</v>
      </c>
      <c r="W174" s="592"/>
    </row>
    <row r="175" spans="2:23">
      <c r="B175" s="224">
        <v>7</v>
      </c>
      <c r="C175" s="543"/>
      <c r="D175" s="544"/>
      <c r="E175">
        <f t="shared" si="10"/>
        <v>0</v>
      </c>
      <c r="F175" s="592"/>
      <c r="G175" s="224">
        <v>7</v>
      </c>
      <c r="H175" s="543"/>
      <c r="I175" s="544"/>
      <c r="J175" s="224"/>
      <c r="K175">
        <v>8</v>
      </c>
      <c r="O175" s="224">
        <v>7</v>
      </c>
      <c r="P175" s="543"/>
      <c r="Q175" s="289"/>
      <c r="S175" s="224">
        <v>7</v>
      </c>
      <c r="T175" s="543"/>
      <c r="U175" s="544"/>
      <c r="V175">
        <f t="shared" si="11"/>
        <v>0</v>
      </c>
      <c r="W175" s="592"/>
    </row>
    <row r="176" spans="2:23" ht="15" thickBot="1">
      <c r="B176" s="224">
        <v>7</v>
      </c>
      <c r="C176" s="543"/>
      <c r="D176" s="544"/>
      <c r="E176">
        <f t="shared" si="10"/>
        <v>0</v>
      </c>
      <c r="F176" s="592"/>
      <c r="G176" s="224">
        <v>7</v>
      </c>
      <c r="H176" s="543"/>
      <c r="I176" s="544"/>
      <c r="J176" s="224"/>
      <c r="K176"/>
      <c r="L176" s="5" t="s">
        <v>243</v>
      </c>
      <c r="M176">
        <f ca="1">IF(ABS(MAX(M177:M181)&gt;0),1,0)</f>
        <v>1</v>
      </c>
      <c r="O176" s="224">
        <v>7</v>
      </c>
      <c r="P176" s="543"/>
      <c r="Q176" s="289"/>
      <c r="S176" s="224">
        <v>7</v>
      </c>
      <c r="T176" s="543"/>
      <c r="U176" s="544"/>
      <c r="V176">
        <f t="shared" si="11"/>
        <v>0</v>
      </c>
      <c r="W176" s="592"/>
    </row>
    <row r="177" spans="2:23">
      <c r="B177" s="224">
        <v>7</v>
      </c>
      <c r="C177" s="543"/>
      <c r="D177" s="544"/>
      <c r="E177">
        <f t="shared" si="10"/>
        <v>0</v>
      </c>
      <c r="F177" s="592"/>
      <c r="G177" s="224">
        <v>7</v>
      </c>
      <c r="H177" s="543"/>
      <c r="I177" s="544"/>
      <c r="J177" s="224"/>
      <c r="K177">
        <v>5</v>
      </c>
      <c r="L177" s="207" t="str">
        <f>"Balance @ "&amp;BegDate</f>
        <v>Balance @ 12/31/20x0</v>
      </c>
      <c r="M177" s="206" cm="1">
        <f t="array" ref="M177">_xlfn._xlws.FILTER(BegBalanceSheet_Equities[Amount],BegBalanceSheet_Equities[Account]=L176,0)</f>
        <v>0</v>
      </c>
      <c r="N177" s="224">
        <v>1</v>
      </c>
      <c r="O177" s="224">
        <v>7</v>
      </c>
      <c r="P177" s="543"/>
      <c r="Q177" s="289"/>
      <c r="S177" s="224">
        <v>7</v>
      </c>
      <c r="T177" s="543"/>
      <c r="U177" s="544"/>
      <c r="V177">
        <f t="shared" si="11"/>
        <v>0</v>
      </c>
      <c r="W177" s="592"/>
    </row>
    <row r="178" spans="2:23" ht="15" thickBot="1">
      <c r="B178" s="224">
        <v>7</v>
      </c>
      <c r="C178" s="543"/>
      <c r="D178" s="544"/>
      <c r="E178">
        <f t="shared" si="10"/>
        <v>0</v>
      </c>
      <c r="F178" s="592"/>
      <c r="G178" s="224">
        <v>7</v>
      </c>
      <c r="H178" s="543"/>
      <c r="I178" s="544"/>
      <c r="J178" s="224"/>
      <c r="K178">
        <v>7</v>
      </c>
      <c r="L178" s="107" t="s">
        <v>843</v>
      </c>
      <c r="M178" s="600">
        <f ca="1">FSConstruction!AG10</f>
        <v>50</v>
      </c>
      <c r="N178" s="224">
        <f ca="1">IF(M178="",0,1)</f>
        <v>1</v>
      </c>
      <c r="O178" s="224">
        <v>7</v>
      </c>
      <c r="P178" s="545"/>
      <c r="Q178" s="550"/>
      <c r="S178" s="224">
        <v>7</v>
      </c>
      <c r="T178" s="543"/>
      <c r="U178" s="544"/>
      <c r="V178">
        <f t="shared" si="11"/>
        <v>0</v>
      </c>
      <c r="W178" s="592"/>
    </row>
    <row r="179" spans="2:23" ht="15" thickBot="1">
      <c r="B179" s="224">
        <v>7</v>
      </c>
      <c r="C179" s="545"/>
      <c r="D179" s="547"/>
      <c r="E179">
        <f t="shared" si="10"/>
        <v>0</v>
      </c>
      <c r="F179" s="592"/>
      <c r="G179" s="224">
        <v>7</v>
      </c>
      <c r="H179" s="543"/>
      <c r="I179" s="544"/>
      <c r="J179" s="224"/>
      <c r="K179">
        <v>7</v>
      </c>
      <c r="L179" s="107" t="s">
        <v>844</v>
      </c>
      <c r="M179" s="600">
        <f ca="1">FSConstruction!AG17</f>
        <v>50</v>
      </c>
      <c r="N179" s="224">
        <f t="shared" ref="N179:N180" ca="1" si="12">IF(M179="",0,1)</f>
        <v>1</v>
      </c>
      <c r="P179" s="224" t="s">
        <v>17</v>
      </c>
      <c r="Q179" s="224"/>
      <c r="S179" s="224">
        <v>7</v>
      </c>
      <c r="T179" s="545"/>
      <c r="U179" s="547"/>
      <c r="V179">
        <f t="shared" si="11"/>
        <v>0</v>
      </c>
      <c r="W179" s="592"/>
    </row>
    <row r="180" spans="2:23">
      <c r="B180" s="224">
        <v>6</v>
      </c>
      <c r="C180" s="541" t="str" cm="1">
        <f t="array" ref="C180:D182">_xlfn._xlws.FILTER(CHOOSE({1,2},BCurrLiabs[Account],BCurrLiabs[Amt]),BCurrLiabs[Used]=1,"")</f>
        <v>Accounts Payable</v>
      </c>
      <c r="D180" s="542">
        <v>0</v>
      </c>
      <c r="E180">
        <f t="shared" si="10"/>
        <v>0</v>
      </c>
      <c r="F180" s="593" t="b">
        <f>SUM(E180:E189)&gt;0.000001</f>
        <v>0</v>
      </c>
      <c r="G180" s="224">
        <v>7</v>
      </c>
      <c r="H180" s="543"/>
      <c r="I180" s="544"/>
      <c r="J180" s="224"/>
      <c r="K180">
        <v>7</v>
      </c>
      <c r="L180" s="107" t="s">
        <v>841</v>
      </c>
      <c r="M180" s="600">
        <f ca="1">FSConstruction!AG19</f>
        <v>0</v>
      </c>
      <c r="N180" s="224">
        <f t="shared" ca="1" si="12"/>
        <v>1</v>
      </c>
      <c r="O180" s="224">
        <v>6</v>
      </c>
      <c r="P180" s="541" t="str" cm="1">
        <f t="array" aca="1" ref="P180" ca="1">_xlfn._xlws.FILTER(CHOOSE({1,2},CFS_CFI[Account],CFS_CFI[AmtAnswer]),CFS_CFI[UsedAnswer]=1,"")</f>
        <v/>
      </c>
      <c r="Q180" s="549"/>
      <c r="S180" s="224">
        <v>6</v>
      </c>
      <c r="T180" s="541" t="str" cm="1">
        <f t="array" ref="T180:U182">_xlfn._xlws.FILTER(CHOOSE({1,2},ECurrLiabs[Account],ECurrLiabs[AmtAnswer]),ECurrLiabs[Used]=1,"")</f>
        <v>Accounts Payable</v>
      </c>
      <c r="U180" s="542">
        <v>2</v>
      </c>
      <c r="V180">
        <f t="shared" si="11"/>
        <v>2</v>
      </c>
      <c r="W180" s="593" t="b">
        <f>SUM(V180:V189)&gt;0.000001</f>
        <v>1</v>
      </c>
    </row>
    <row r="181" spans="2:23" ht="15" thickBot="1">
      <c r="B181" s="224">
        <v>7</v>
      </c>
      <c r="C181" s="543" t="str">
        <v>Dividends Payable</v>
      </c>
      <c r="D181" s="544">
        <v>0</v>
      </c>
      <c r="E181">
        <f t="shared" si="10"/>
        <v>0</v>
      </c>
      <c r="F181" s="592"/>
      <c r="G181" s="224">
        <v>7</v>
      </c>
      <c r="H181" s="543"/>
      <c r="I181" s="544"/>
      <c r="J181" s="224"/>
      <c r="K181">
        <v>5</v>
      </c>
      <c r="L181" s="109" t="str">
        <f>"Balance @ "&amp;EndDate</f>
        <v>Balance @ 12/31/20x1</v>
      </c>
      <c r="M181" s="110" cm="1">
        <f t="array" ref="M181">_xlfn._xlws.FILTER(EEquities[AmtAnswer],(EEquities[UsedAnswer]=1)*(EEquities[Account]=L176),0)</f>
        <v>100</v>
      </c>
      <c r="N181" s="224">
        <v>1</v>
      </c>
      <c r="O181" s="224">
        <v>7</v>
      </c>
      <c r="P181" s="543"/>
      <c r="Q181" s="289"/>
      <c r="S181" s="224">
        <v>7</v>
      </c>
      <c r="T181" s="543" t="str">
        <v>Dividends Payable</v>
      </c>
      <c r="U181" s="544">
        <v>0</v>
      </c>
      <c r="V181">
        <f t="shared" si="11"/>
        <v>0</v>
      </c>
      <c r="W181" s="592"/>
    </row>
    <row r="182" spans="2:23">
      <c r="B182" s="224">
        <v>7</v>
      </c>
      <c r="C182" s="543" t="str">
        <v>Unearned Revenue</v>
      </c>
      <c r="D182" s="544">
        <v>0</v>
      </c>
      <c r="E182">
        <f t="shared" si="10"/>
        <v>0</v>
      </c>
      <c r="F182" s="592"/>
      <c r="G182" s="224">
        <v>7</v>
      </c>
      <c r="H182" s="543"/>
      <c r="I182" s="544"/>
      <c r="J182" s="224"/>
      <c r="K182">
        <v>8</v>
      </c>
      <c r="M182" s="37"/>
      <c r="N182" s="224">
        <v>1</v>
      </c>
      <c r="O182" s="224">
        <v>7</v>
      </c>
      <c r="P182" s="543"/>
      <c r="Q182" s="289"/>
      <c r="S182" s="224">
        <v>7</v>
      </c>
      <c r="T182" s="543" t="str">
        <v>Unearned Revenue</v>
      </c>
      <c r="U182" s="544">
        <v>8</v>
      </c>
      <c r="V182">
        <f t="shared" si="11"/>
        <v>8</v>
      </c>
      <c r="W182" s="592"/>
    </row>
    <row r="183" spans="2:23" ht="15" thickBot="1">
      <c r="B183" s="224">
        <v>7</v>
      </c>
      <c r="C183" s="543"/>
      <c r="D183" s="544"/>
      <c r="E183">
        <f t="shared" si="10"/>
        <v>0</v>
      </c>
      <c r="F183" s="592"/>
      <c r="G183" s="224">
        <v>7</v>
      </c>
      <c r="H183" s="543"/>
      <c r="I183" s="544"/>
      <c r="J183" s="224"/>
      <c r="K183"/>
      <c r="L183" s="5" t="s">
        <v>246</v>
      </c>
      <c r="M183">
        <f ca="1">IF(ABS(MAX(M184:M188)&gt;0),1,0)</f>
        <v>1</v>
      </c>
      <c r="O183" s="224">
        <v>7</v>
      </c>
      <c r="P183" s="543"/>
      <c r="Q183" s="289"/>
      <c r="S183" s="224">
        <v>7</v>
      </c>
      <c r="T183" s="543"/>
      <c r="U183" s="544"/>
      <c r="V183">
        <f t="shared" si="11"/>
        <v>0</v>
      </c>
      <c r="W183" s="592"/>
    </row>
    <row r="184" spans="2:23">
      <c r="B184" s="224">
        <v>7</v>
      </c>
      <c r="C184" s="543"/>
      <c r="D184" s="544"/>
      <c r="E184">
        <f t="shared" si="10"/>
        <v>0</v>
      </c>
      <c r="F184" s="592"/>
      <c r="G184" s="224">
        <v>7</v>
      </c>
      <c r="H184" s="543"/>
      <c r="I184" s="544"/>
      <c r="J184" s="224"/>
      <c r="K184">
        <v>5</v>
      </c>
      <c r="L184" s="207" t="str">
        <f>"Balance @ "&amp;BegDate</f>
        <v>Balance @ 12/31/20x0</v>
      </c>
      <c r="M184" s="206" cm="1">
        <f t="array" ref="M184">_xlfn._xlws.FILTER(BegBalanceSheet_Equities[Amount],BegBalanceSheet_Equities[Account]=L183,0)</f>
        <v>0</v>
      </c>
      <c r="N184" s="224">
        <v>1</v>
      </c>
      <c r="O184" s="224">
        <v>7</v>
      </c>
      <c r="P184" s="543"/>
      <c r="Q184" s="289"/>
      <c r="S184" s="224">
        <v>7</v>
      </c>
      <c r="T184" s="543"/>
      <c r="U184" s="544"/>
      <c r="V184">
        <f t="shared" si="11"/>
        <v>0</v>
      </c>
      <c r="W184" s="592"/>
    </row>
    <row r="185" spans="2:23">
      <c r="B185" s="224">
        <v>7</v>
      </c>
      <c r="C185" s="543"/>
      <c r="D185" s="544"/>
      <c r="E185">
        <f t="shared" si="10"/>
        <v>0</v>
      </c>
      <c r="F185" s="592"/>
      <c r="G185" s="224">
        <v>7</v>
      </c>
      <c r="H185" s="543"/>
      <c r="I185" s="544"/>
      <c r="J185" s="224"/>
      <c r="K185">
        <v>7</v>
      </c>
      <c r="L185" s="107" t="s">
        <v>845</v>
      </c>
      <c r="M185" s="600">
        <f ca="1">FSConstruction!AG11</f>
        <v>0</v>
      </c>
      <c r="N185" s="224">
        <f t="shared" ref="N185:N187" ca="1" si="13">IF(M185="",0,1)</f>
        <v>1</v>
      </c>
      <c r="O185" s="224">
        <v>7</v>
      </c>
      <c r="P185" s="543"/>
      <c r="Q185" s="289"/>
      <c r="S185" s="224">
        <v>7</v>
      </c>
      <c r="T185" s="543"/>
      <c r="U185" s="544"/>
      <c r="V185">
        <f t="shared" si="11"/>
        <v>0</v>
      </c>
      <c r="W185" s="592"/>
    </row>
    <row r="186" spans="2:23">
      <c r="B186" s="224">
        <v>7</v>
      </c>
      <c r="C186" s="543"/>
      <c r="D186" s="544"/>
      <c r="E186">
        <f t="shared" si="10"/>
        <v>0</v>
      </c>
      <c r="F186" s="592"/>
      <c r="G186" s="224">
        <v>7</v>
      </c>
      <c r="H186" s="543"/>
      <c r="I186" s="544"/>
      <c r="J186" s="224"/>
      <c r="K186">
        <v>7</v>
      </c>
      <c r="L186" s="107" t="s">
        <v>846</v>
      </c>
      <c r="M186" s="600">
        <f ca="1">FSConstruction!AG17</f>
        <v>50</v>
      </c>
      <c r="N186" s="224">
        <f t="shared" ca="1" si="13"/>
        <v>1</v>
      </c>
      <c r="O186" s="224">
        <v>7</v>
      </c>
      <c r="P186" s="543"/>
      <c r="Q186" s="289"/>
      <c r="S186" s="224">
        <v>7</v>
      </c>
      <c r="T186" s="543"/>
      <c r="U186" s="544"/>
      <c r="V186">
        <f t="shared" si="11"/>
        <v>0</v>
      </c>
      <c r="W186" s="592"/>
    </row>
    <row r="187" spans="2:23">
      <c r="B187" s="224">
        <v>7</v>
      </c>
      <c r="C187" s="543"/>
      <c r="D187" s="544"/>
      <c r="E187">
        <f t="shared" si="10"/>
        <v>0</v>
      </c>
      <c r="F187" s="592"/>
      <c r="G187" s="224">
        <v>7</v>
      </c>
      <c r="H187" s="543"/>
      <c r="I187" s="544"/>
      <c r="J187" s="224"/>
      <c r="K187">
        <v>7</v>
      </c>
      <c r="L187" s="107" t="s">
        <v>847</v>
      </c>
      <c r="M187" s="600">
        <f ca="1">FSConstruction!AG20</f>
        <v>0</v>
      </c>
      <c r="N187" s="224">
        <f t="shared" ca="1" si="13"/>
        <v>1</v>
      </c>
      <c r="O187" s="224">
        <v>7</v>
      </c>
      <c r="P187" s="543"/>
      <c r="Q187" s="289"/>
      <c r="S187" s="224">
        <v>7</v>
      </c>
      <c r="T187" s="543"/>
      <c r="U187" s="544"/>
      <c r="V187">
        <f t="shared" si="11"/>
        <v>0</v>
      </c>
      <c r="W187" s="592"/>
    </row>
    <row r="188" spans="2:23" ht="15" thickBot="1">
      <c r="B188" s="224">
        <v>7</v>
      </c>
      <c r="C188" s="543"/>
      <c r="D188" s="544"/>
      <c r="E188">
        <f t="shared" si="10"/>
        <v>0</v>
      </c>
      <c r="F188" s="592"/>
      <c r="G188" s="224">
        <v>7</v>
      </c>
      <c r="H188" s="543"/>
      <c r="I188" s="544"/>
      <c r="J188" s="224"/>
      <c r="K188">
        <v>5</v>
      </c>
      <c r="L188" s="109" t="str">
        <f>"Balance @ "&amp;EndDate</f>
        <v>Balance @ 12/31/20x1</v>
      </c>
      <c r="M188" s="110" cm="1">
        <f t="array" ref="M188">_xlfn._xlws.FILTER(EEquities[AmtAnswer],(EEquities[UsedAnswer]=1)*(EEquities[Account]=L183),0)</f>
        <v>0</v>
      </c>
      <c r="N188" s="224">
        <v>1</v>
      </c>
      <c r="O188" s="224">
        <v>7</v>
      </c>
      <c r="P188" s="543"/>
      <c r="Q188" s="289"/>
      <c r="S188" s="224">
        <v>7</v>
      </c>
      <c r="T188" s="543"/>
      <c r="U188" s="544"/>
      <c r="V188">
        <f t="shared" si="11"/>
        <v>0</v>
      </c>
      <c r="W188" s="592"/>
    </row>
    <row r="189" spans="2:23" ht="15" thickBot="1">
      <c r="B189" s="224">
        <v>7</v>
      </c>
      <c r="C189" s="545"/>
      <c r="D189" s="547"/>
      <c r="E189">
        <f t="shared" si="10"/>
        <v>0</v>
      </c>
      <c r="F189" s="592"/>
      <c r="G189" s="224">
        <v>7</v>
      </c>
      <c r="H189" s="545"/>
      <c r="I189" s="547"/>
      <c r="J189" s="42">
        <f>COUNTIF(JournalAnswer[Accnt Type],"Gain")</f>
        <v>0</v>
      </c>
      <c r="K189">
        <v>8</v>
      </c>
      <c r="M189" s="37"/>
      <c r="N189" s="224">
        <v>1</v>
      </c>
      <c r="O189" s="224">
        <v>7</v>
      </c>
      <c r="P189" s="543"/>
      <c r="Q189" s="289"/>
      <c r="S189" s="224">
        <v>7</v>
      </c>
      <c r="T189" s="545"/>
      <c r="U189" s="547"/>
      <c r="V189">
        <f t="shared" si="11"/>
        <v>0</v>
      </c>
      <c r="W189" s="592"/>
    </row>
    <row r="190" spans="2:23" ht="15" thickBot="1">
      <c r="B190" s="224">
        <v>6</v>
      </c>
      <c r="C190" s="541" t="str" cm="1">
        <f t="array" ref="C190:D190">_xlfn._xlws.FILTER(CHOOSE({1,2},BNonCurrLiabs[Account],BNonCurrLiabs[Amt]),BNonCurrLiabs[Used]=1,"")</f>
        <v>Loans Payable</v>
      </c>
      <c r="D190" s="542">
        <v>0</v>
      </c>
      <c r="E190">
        <f t="shared" si="10"/>
        <v>0</v>
      </c>
      <c r="F190" s="593" t="b">
        <f>SUM(E190:E199)&gt;0.000001</f>
        <v>0</v>
      </c>
      <c r="G190" s="224">
        <v>6</v>
      </c>
      <c r="H190" s="541" t="str" cm="1">
        <f t="array" ref="H190">IF(J170,_xlfn._xlws.FILTER(CHOOSE({1,2},IS_Gains[Account],IS_Gains[AmtAnswer]),IS_Gains[UsedAnswer]=1,""),{"",""})</f>
        <v/>
      </c>
      <c r="I190" s="542"/>
      <c r="J190" s="224" t="b">
        <f>COUNTIF(JournalAnswer[Accnt Type],"Gain")&gt;0</f>
        <v>0</v>
      </c>
      <c r="K190"/>
      <c r="L190" s="5" t="s">
        <v>252</v>
      </c>
      <c r="M190">
        <f ca="1">IF(ABS(MAX(M191:M194)&gt;0),1,0)</f>
        <v>1</v>
      </c>
      <c r="O190" s="224">
        <v>7</v>
      </c>
      <c r="P190" s="543"/>
      <c r="Q190" s="289"/>
      <c r="S190" s="224">
        <v>6</v>
      </c>
      <c r="T190" s="541" t="str" cm="1">
        <f t="array" ref="T190:U190">_xlfn._xlws.FILTER(CHOOSE({1,2},ENonCurrLiabs[Account],ENonCurrLiabs[AmtAnswer]),ENonCurrLiabs[Used]=1,"")</f>
        <v>Loans Payable</v>
      </c>
      <c r="U190" s="542">
        <v>100</v>
      </c>
      <c r="V190">
        <f t="shared" si="11"/>
        <v>100</v>
      </c>
      <c r="W190" s="593" t="b">
        <f>SUM(V190:V199)&gt;0.000001</f>
        <v>1</v>
      </c>
    </row>
    <row r="191" spans="2:23">
      <c r="B191" s="224">
        <v>7</v>
      </c>
      <c r="C191" s="543"/>
      <c r="D191" s="544"/>
      <c r="E191">
        <f t="shared" si="10"/>
        <v>0</v>
      </c>
      <c r="F191" s="592"/>
      <c r="G191" s="224">
        <v>7</v>
      </c>
      <c r="H191" s="543"/>
      <c r="I191" s="544"/>
      <c r="J191" s="224"/>
      <c r="K191">
        <v>5</v>
      </c>
      <c r="L191" s="207" t="str">
        <f>"Balance @ "&amp;BegDate</f>
        <v>Balance @ 12/31/20x0</v>
      </c>
      <c r="M191" s="206" cm="1">
        <f t="array" ref="M191">_xlfn._xlws.FILTER(BegBalanceSheet_Equities[Amount],BegBalanceSheet_Equities[Account]=L190,0)</f>
        <v>0</v>
      </c>
      <c r="N191" s="224">
        <v>1</v>
      </c>
      <c r="O191" s="224">
        <v>7</v>
      </c>
      <c r="P191" s="543"/>
      <c r="Q191" s="289"/>
      <c r="S191" s="224">
        <v>7</v>
      </c>
      <c r="T191" s="543"/>
      <c r="U191" s="544"/>
      <c r="V191">
        <f t="shared" si="11"/>
        <v>0</v>
      </c>
      <c r="W191" s="592"/>
    </row>
    <row r="192" spans="2:23">
      <c r="B192" s="224">
        <v>7</v>
      </c>
      <c r="C192" s="543"/>
      <c r="D192" s="544"/>
      <c r="E192">
        <f t="shared" si="10"/>
        <v>0</v>
      </c>
      <c r="F192" s="592"/>
      <c r="G192" s="224">
        <v>7</v>
      </c>
      <c r="H192" s="543"/>
      <c r="I192" s="544"/>
      <c r="J192" s="224"/>
      <c r="K192">
        <v>7</v>
      </c>
      <c r="L192" s="107" t="s">
        <v>412</v>
      </c>
      <c r="M192" s="600">
        <f ca="1">FSConstruction!AG12</f>
        <v>0</v>
      </c>
      <c r="N192" s="224">
        <f t="shared" ref="N192:N193" ca="1" si="14">IF(M192="",0,1)</f>
        <v>1</v>
      </c>
      <c r="O192" s="224">
        <v>7</v>
      </c>
      <c r="P192" s="543"/>
      <c r="Q192" s="289"/>
      <c r="S192" s="224">
        <v>7</v>
      </c>
      <c r="T192" s="543"/>
      <c r="U192" s="544"/>
      <c r="V192">
        <f t="shared" si="11"/>
        <v>0</v>
      </c>
      <c r="W192" s="592"/>
    </row>
    <row r="193" spans="2:23">
      <c r="B193" s="224">
        <v>7</v>
      </c>
      <c r="C193" s="543"/>
      <c r="D193" s="544"/>
      <c r="E193">
        <f t="shared" si="10"/>
        <v>0</v>
      </c>
      <c r="F193" s="592"/>
      <c r="G193" s="224">
        <v>7</v>
      </c>
      <c r="H193" s="543"/>
      <c r="I193" s="544"/>
      <c r="J193" s="224"/>
      <c r="K193">
        <v>7</v>
      </c>
      <c r="L193" s="107" t="s">
        <v>72</v>
      </c>
      <c r="M193" s="600">
        <f ca="1">FSConstruction!AG13</f>
        <v>12</v>
      </c>
      <c r="N193" s="224">
        <f t="shared" ca="1" si="14"/>
        <v>1</v>
      </c>
      <c r="O193" s="224">
        <v>7</v>
      </c>
      <c r="P193" s="543"/>
      <c r="Q193" s="289"/>
      <c r="S193" s="224">
        <v>7</v>
      </c>
      <c r="T193" s="543"/>
      <c r="U193" s="544"/>
      <c r="V193">
        <f t="shared" si="11"/>
        <v>0</v>
      </c>
      <c r="W193" s="592"/>
    </row>
    <row r="194" spans="2:23" ht="15" thickBot="1">
      <c r="B194" s="224">
        <v>7</v>
      </c>
      <c r="C194" s="543"/>
      <c r="D194" s="544"/>
      <c r="E194">
        <f t="shared" si="10"/>
        <v>0</v>
      </c>
      <c r="F194" s="592"/>
      <c r="G194" s="224">
        <v>7</v>
      </c>
      <c r="H194" s="543"/>
      <c r="I194" s="544"/>
      <c r="J194" s="224"/>
      <c r="K194">
        <v>5</v>
      </c>
      <c r="L194" s="109" t="str">
        <f>"Balance @ "&amp;EndDate</f>
        <v>Balance @ 12/31/20x1</v>
      </c>
      <c r="M194" s="110" cm="1">
        <f t="array" ref="M194">_xlfn._xlws.FILTER(EEquities[AmtAnswer],(EEquities[UsedAnswer]=1)*(EEquities[Account]=L190),0)</f>
        <v>-2</v>
      </c>
      <c r="N194" s="224">
        <v>1</v>
      </c>
      <c r="O194" s="224">
        <v>7</v>
      </c>
      <c r="P194" s="543"/>
      <c r="Q194" s="289"/>
      <c r="S194" s="224">
        <v>7</v>
      </c>
      <c r="T194" s="543"/>
      <c r="U194" s="544"/>
      <c r="V194">
        <f t="shared" si="11"/>
        <v>0</v>
      </c>
      <c r="W194" s="592"/>
    </row>
    <row r="195" spans="2:23">
      <c r="B195" s="224">
        <v>7</v>
      </c>
      <c r="C195" s="543"/>
      <c r="D195" s="544"/>
      <c r="E195">
        <f t="shared" si="10"/>
        <v>0</v>
      </c>
      <c r="F195" s="592"/>
      <c r="G195" s="224">
        <v>7</v>
      </c>
      <c r="H195" s="543"/>
      <c r="I195" s="544"/>
      <c r="J195" s="224"/>
      <c r="K195">
        <v>8</v>
      </c>
      <c r="M195" s="37"/>
      <c r="O195" s="224">
        <v>7</v>
      </c>
      <c r="P195" s="543"/>
      <c r="Q195" s="289"/>
      <c r="S195" s="224">
        <v>7</v>
      </c>
      <c r="T195" s="543"/>
      <c r="U195" s="544"/>
      <c r="V195">
        <f t="shared" si="11"/>
        <v>0</v>
      </c>
      <c r="W195" s="592"/>
    </row>
    <row r="196" spans="2:23" ht="15" thickBot="1">
      <c r="B196" s="224">
        <v>7</v>
      </c>
      <c r="C196" s="543"/>
      <c r="D196" s="544"/>
      <c r="E196">
        <f t="shared" si="10"/>
        <v>0</v>
      </c>
      <c r="F196" s="592"/>
      <c r="G196" s="224">
        <v>7</v>
      </c>
      <c r="H196" s="543"/>
      <c r="I196" s="544"/>
      <c r="J196" s="224"/>
      <c r="K196"/>
      <c r="L196" s="5" t="s">
        <v>848</v>
      </c>
      <c r="M196">
        <f ca="1">IF(ABS(MAX(M197:M199)&gt;0),1,0)</f>
        <v>0</v>
      </c>
      <c r="O196" s="224">
        <v>7</v>
      </c>
      <c r="P196" s="543"/>
      <c r="Q196" s="289"/>
      <c r="S196" s="224">
        <v>7</v>
      </c>
      <c r="T196" s="543"/>
      <c r="U196" s="544"/>
      <c r="V196">
        <f t="shared" si="11"/>
        <v>0</v>
      </c>
      <c r="W196" s="592"/>
    </row>
    <row r="197" spans="2:23">
      <c r="B197" s="224">
        <v>7</v>
      </c>
      <c r="C197" s="543"/>
      <c r="D197" s="544"/>
      <c r="E197">
        <f t="shared" si="10"/>
        <v>0</v>
      </c>
      <c r="F197" s="592"/>
      <c r="G197" s="224">
        <v>7</v>
      </c>
      <c r="H197" s="543"/>
      <c r="I197" s="544"/>
      <c r="J197" s="224"/>
      <c r="K197">
        <v>5</v>
      </c>
      <c r="L197" s="207" t="str">
        <f>"Balance @ "&amp;BegDate</f>
        <v>Balance @ 12/31/20x0</v>
      </c>
      <c r="M197" s="206" cm="1">
        <f t="array" ref="M197">_xlfn._xlws.FILTER(BegBalanceSheet_Equities[Amount],BegBalanceSheet_Equities[Account]=L196,0)</f>
        <v>0</v>
      </c>
      <c r="N197" s="224">
        <v>1</v>
      </c>
      <c r="O197" s="224">
        <v>7</v>
      </c>
      <c r="P197" s="543"/>
      <c r="Q197" s="289"/>
      <c r="S197" s="224">
        <v>7</v>
      </c>
      <c r="T197" s="543"/>
      <c r="U197" s="544"/>
      <c r="V197">
        <f t="shared" si="11"/>
        <v>0</v>
      </c>
      <c r="W197" s="592"/>
    </row>
    <row r="198" spans="2:23" ht="15" thickBot="1">
      <c r="B198" s="224">
        <v>7</v>
      </c>
      <c r="C198" s="543"/>
      <c r="D198" s="544"/>
      <c r="E198">
        <f t="shared" si="10"/>
        <v>0</v>
      </c>
      <c r="F198" s="592"/>
      <c r="G198" s="224">
        <v>7</v>
      </c>
      <c r="H198" s="543"/>
      <c r="I198" s="544"/>
      <c r="J198" s="224"/>
      <c r="K198">
        <v>7</v>
      </c>
      <c r="L198" s="107" t="s">
        <v>849</v>
      </c>
      <c r="M198" s="600">
        <f ca="1">FSConstruction!AG16</f>
        <v>0</v>
      </c>
      <c r="N198" s="224">
        <f t="shared" ref="N198" ca="1" si="15">IF(M198="",0,1)</f>
        <v>1</v>
      </c>
      <c r="O198" s="224">
        <v>7</v>
      </c>
      <c r="P198" s="545"/>
      <c r="Q198" s="550"/>
      <c r="S198" s="224">
        <v>7</v>
      </c>
      <c r="T198" s="543"/>
      <c r="U198" s="544"/>
      <c r="V198">
        <f t="shared" si="11"/>
        <v>0</v>
      </c>
      <c r="W198" s="592"/>
    </row>
    <row r="199" spans="2:23" ht="15" thickBot="1">
      <c r="B199" s="224">
        <v>7</v>
      </c>
      <c r="C199" s="545"/>
      <c r="D199" s="547"/>
      <c r="E199">
        <f t="shared" si="10"/>
        <v>0</v>
      </c>
      <c r="F199" s="592"/>
      <c r="G199" s="224">
        <v>7</v>
      </c>
      <c r="H199" s="545"/>
      <c r="I199" s="547"/>
      <c r="J199" s="224"/>
      <c r="K199">
        <v>5</v>
      </c>
      <c r="L199" s="109" t="str">
        <f>"Balance @ "&amp;EndDate</f>
        <v>Balance @ 12/31/20x1</v>
      </c>
      <c r="M199" s="110" cm="1">
        <f t="array" ref="M199">_xlfn._xlws.FILTER(EEquities[AmtAnswer],(EEquities[UsedAnswer]=1)*(EEquities[Account]=L196),0)</f>
        <v>0</v>
      </c>
      <c r="N199" s="224">
        <v>1</v>
      </c>
      <c r="P199" s="224" t="s">
        <v>19</v>
      </c>
      <c r="Q199" s="224"/>
      <c r="S199" s="224">
        <v>7</v>
      </c>
      <c r="T199" s="545"/>
      <c r="U199" s="547"/>
      <c r="V199">
        <f t="shared" si="11"/>
        <v>0</v>
      </c>
      <c r="W199" s="592"/>
    </row>
    <row r="200" spans="2:23">
      <c r="B200" s="224">
        <v>6</v>
      </c>
      <c r="C200" s="541" t="str" cm="1">
        <f t="array" ref="C200:D201">_xlfn._xlws.FILTER(CHOOSE({1,2},BEquities[Account],BEquities[Amt]),BEquities[Used]=1,"")</f>
        <v>Common Stock</v>
      </c>
      <c r="D200" s="542">
        <v>0</v>
      </c>
      <c r="E200">
        <f t="shared" si="10"/>
        <v>0</v>
      </c>
      <c r="F200" s="593" t="b">
        <f>SUM(E200:E209)&gt;0.000001</f>
        <v>0</v>
      </c>
      <c r="G200" s="224">
        <v>6</v>
      </c>
      <c r="H200" s="541" t="str" cm="1">
        <f t="array" ref="H200">IF(J170,_xlfn._xlws.FILTER(CHOOSE({1,2},IS_Losses[Account],IS_Losses[AmtAnswer]),IS_Losses[UsedAnswer]=1,""),{"",""})</f>
        <v/>
      </c>
      <c r="I200" s="542"/>
      <c r="J200" s="224" t="b">
        <f>COUNTIF(JournalAnswer[Accnt Type],"Loss")&gt;0</f>
        <v>1</v>
      </c>
      <c r="K200">
        <v>8</v>
      </c>
      <c r="M200" s="37"/>
      <c r="N200" s="224">
        <v>1</v>
      </c>
      <c r="O200" s="224">
        <v>6</v>
      </c>
      <c r="P200" s="541" t="str" cm="1">
        <f t="array" aca="1" ref="P200:Q201" ca="1">_xlfn._xlws.FILTER(CHOOSE({1,2},CFS_CFF[Account],CFS_CFF[AmtAnswer]),CFS_CFF[UsedAnswer]=1,"")</f>
        <v>Issued common stock</v>
      </c>
      <c r="Q200" s="549">
        <f ca="1"/>
        <v>50</v>
      </c>
      <c r="S200" s="224">
        <v>6</v>
      </c>
      <c r="T200" s="541" t="str" cm="1">
        <f t="array" ref="T200:U201">_xlfn._xlws.FILTER(CHOOSE({1,2},EEquities[Account],EEquities[AmtAnswer]),EEquities[Used]=1,"")</f>
        <v>Common Stock</v>
      </c>
      <c r="U200" s="542">
        <v>100</v>
      </c>
      <c r="V200">
        <f t="shared" si="11"/>
        <v>100</v>
      </c>
      <c r="W200" s="593" t="b">
        <f>SUM(V200:V209)&gt;0.000001</f>
        <v>1</v>
      </c>
    </row>
    <row r="201" spans="2:23" ht="15" thickBot="1">
      <c r="B201" s="224">
        <v>7</v>
      </c>
      <c r="C201" s="543" t="str">
        <v>Retained Earnings</v>
      </c>
      <c r="D201" s="544">
        <v>0</v>
      </c>
      <c r="E201">
        <f t="shared" si="10"/>
        <v>0</v>
      </c>
      <c r="F201" s="592"/>
      <c r="G201" s="224">
        <v>7</v>
      </c>
      <c r="H201" s="543"/>
      <c r="I201" s="544"/>
      <c r="K201"/>
      <c r="L201" s="5" t="s">
        <v>255</v>
      </c>
      <c r="M201">
        <f ca="1">IF(ABS(MAX(M202:M205)&gt;0),1,0)</f>
        <v>0</v>
      </c>
      <c r="O201" s="224">
        <v>7</v>
      </c>
      <c r="P201" s="543" t="str">
        <f ca="1"/>
        <v>Got a loan from a bank</v>
      </c>
      <c r="Q201" s="289">
        <f ca="1"/>
        <v>50</v>
      </c>
      <c r="S201" s="224">
        <v>7</v>
      </c>
      <c r="T201" s="543" t="str">
        <v>Retained Earnings</v>
      </c>
      <c r="U201" s="544">
        <v>-2</v>
      </c>
      <c r="V201">
        <f t="shared" si="11"/>
        <v>2</v>
      </c>
      <c r="W201" s="592"/>
    </row>
    <row r="202" spans="2:23">
      <c r="B202" s="224">
        <v>7</v>
      </c>
      <c r="C202" s="543"/>
      <c r="D202" s="544"/>
      <c r="E202">
        <f t="shared" si="10"/>
        <v>0</v>
      </c>
      <c r="F202" s="592"/>
      <c r="G202" s="224">
        <v>7</v>
      </c>
      <c r="H202" s="543"/>
      <c r="I202" s="544"/>
      <c r="J202" s="224"/>
      <c r="K202">
        <v>5</v>
      </c>
      <c r="L202" s="207" t="str">
        <f>"Balance @ "&amp;BegDate</f>
        <v>Balance @ 12/31/20x0</v>
      </c>
      <c r="M202" s="206" cm="1">
        <f t="array" ref="M202">_xlfn._xlws.FILTER(BegBalanceSheet_Equities[Amount],BegBalanceSheet_Equities[Account]=L201,0)</f>
        <v>0</v>
      </c>
      <c r="N202" s="224">
        <v>1</v>
      </c>
      <c r="O202" s="224">
        <v>7</v>
      </c>
      <c r="P202" s="543"/>
      <c r="Q202" s="289"/>
      <c r="S202" s="224">
        <v>7</v>
      </c>
      <c r="T202" s="543"/>
      <c r="U202" s="544"/>
      <c r="V202">
        <f t="shared" si="11"/>
        <v>0</v>
      </c>
      <c r="W202" s="592"/>
    </row>
    <row r="203" spans="2:23">
      <c r="B203" s="224">
        <v>7</v>
      </c>
      <c r="C203" s="543"/>
      <c r="D203" s="544"/>
      <c r="E203">
        <f t="shared" si="10"/>
        <v>0</v>
      </c>
      <c r="F203" s="592"/>
      <c r="G203" s="224">
        <v>7</v>
      </c>
      <c r="H203" s="543"/>
      <c r="I203" s="544"/>
      <c r="J203" s="224"/>
      <c r="K203">
        <v>7</v>
      </c>
      <c r="L203" s="107" t="s">
        <v>850</v>
      </c>
      <c r="M203" s="600">
        <f ca="1">FSConstruction!AG15</f>
        <v>0</v>
      </c>
      <c r="N203" s="224">
        <f t="shared" ref="N203:N204" ca="1" si="16">IF(M203="",0,1)</f>
        <v>1</v>
      </c>
      <c r="O203" s="224">
        <v>7</v>
      </c>
      <c r="P203" s="543"/>
      <c r="Q203" s="289"/>
      <c r="S203" s="224">
        <v>7</v>
      </c>
      <c r="T203" s="543"/>
      <c r="U203" s="544"/>
      <c r="V203">
        <f t="shared" si="11"/>
        <v>0</v>
      </c>
      <c r="W203" s="592"/>
    </row>
    <row r="204" spans="2:23">
      <c r="B204" s="224">
        <v>7</v>
      </c>
      <c r="C204" s="543"/>
      <c r="D204" s="544"/>
      <c r="E204">
        <f t="shared" si="10"/>
        <v>0</v>
      </c>
      <c r="F204" s="592"/>
      <c r="G204" s="224">
        <v>7</v>
      </c>
      <c r="H204" s="543"/>
      <c r="I204" s="544"/>
      <c r="J204" s="224"/>
      <c r="K204">
        <v>7</v>
      </c>
      <c r="L204" s="107" t="s">
        <v>389</v>
      </c>
      <c r="M204" s="600">
        <f ca="1">FSConstruction!AG14</f>
        <v>0</v>
      </c>
      <c r="N204" s="224">
        <f t="shared" ca="1" si="16"/>
        <v>1</v>
      </c>
      <c r="O204" s="224">
        <v>7</v>
      </c>
      <c r="P204" s="543"/>
      <c r="Q204" s="289"/>
      <c r="S204" s="224">
        <v>7</v>
      </c>
      <c r="T204" s="543"/>
      <c r="U204" s="544"/>
      <c r="V204">
        <f t="shared" si="11"/>
        <v>0</v>
      </c>
      <c r="W204" s="592"/>
    </row>
    <row r="205" spans="2:23" ht="15" thickBot="1">
      <c r="B205" s="224">
        <v>7</v>
      </c>
      <c r="C205" s="543"/>
      <c r="D205" s="544"/>
      <c r="E205">
        <f t="shared" si="10"/>
        <v>0</v>
      </c>
      <c r="F205" s="592"/>
      <c r="G205" s="224">
        <v>7</v>
      </c>
      <c r="H205" s="543"/>
      <c r="I205" s="544"/>
      <c r="J205" s="224"/>
      <c r="K205">
        <v>5</v>
      </c>
      <c r="L205" s="109" t="str">
        <f>"Balance @ "&amp;EndDate</f>
        <v>Balance @ 12/31/20x1</v>
      </c>
      <c r="M205" s="110" cm="1">
        <f t="array" ref="M205">_xlfn._xlws.FILTER(EEquities[AmtAnswer],(EEquities[UsedAnswer]=1)*(EEquities[Account]=L201),0)</f>
        <v>0</v>
      </c>
      <c r="N205" s="224">
        <v>1</v>
      </c>
      <c r="O205" s="224">
        <v>7</v>
      </c>
      <c r="P205" s="543"/>
      <c r="Q205" s="289"/>
      <c r="S205" s="224">
        <v>7</v>
      </c>
      <c r="T205" s="543"/>
      <c r="U205" s="544"/>
      <c r="V205">
        <f t="shared" si="11"/>
        <v>0</v>
      </c>
      <c r="W205" s="592"/>
    </row>
    <row r="206" spans="2:23">
      <c r="B206" s="224">
        <v>7</v>
      </c>
      <c r="C206" s="543"/>
      <c r="D206" s="544"/>
      <c r="E206">
        <f t="shared" si="10"/>
        <v>0</v>
      </c>
      <c r="F206" s="592"/>
      <c r="G206" s="224">
        <v>7</v>
      </c>
      <c r="H206" s="543"/>
      <c r="I206" s="544"/>
      <c r="J206" s="224"/>
      <c r="K206">
        <v>8</v>
      </c>
      <c r="N206" s="224">
        <v>1</v>
      </c>
      <c r="O206" s="224">
        <v>7</v>
      </c>
      <c r="P206" s="543"/>
      <c r="Q206" s="289"/>
      <c r="S206" s="224">
        <v>7</v>
      </c>
      <c r="T206" s="543"/>
      <c r="U206" s="544"/>
      <c r="V206">
        <f t="shared" si="11"/>
        <v>0</v>
      </c>
      <c r="W206" s="592"/>
    </row>
    <row r="207" spans="2:23">
      <c r="B207" s="224">
        <v>7</v>
      </c>
      <c r="C207" s="543"/>
      <c r="D207" s="544"/>
      <c r="E207">
        <f t="shared" si="10"/>
        <v>0</v>
      </c>
      <c r="F207" s="592"/>
      <c r="G207" s="224">
        <v>7</v>
      </c>
      <c r="H207" s="543"/>
      <c r="I207" s="544"/>
      <c r="J207" s="224"/>
      <c r="K207"/>
      <c r="O207" s="224">
        <v>7</v>
      </c>
      <c r="P207" s="543"/>
      <c r="Q207" s="289"/>
      <c r="S207" s="224">
        <v>7</v>
      </c>
      <c r="T207" s="543"/>
      <c r="U207" s="544"/>
      <c r="V207">
        <f t="shared" si="11"/>
        <v>0</v>
      </c>
      <c r="W207" s="592"/>
    </row>
    <row r="208" spans="2:23">
      <c r="B208" s="224">
        <v>7</v>
      </c>
      <c r="C208" s="543"/>
      <c r="D208" s="544"/>
      <c r="E208">
        <f t="shared" si="10"/>
        <v>0</v>
      </c>
      <c r="F208" s="592"/>
      <c r="G208" s="224">
        <v>7</v>
      </c>
      <c r="H208" s="543"/>
      <c r="I208" s="544"/>
      <c r="J208" s="224"/>
      <c r="K208"/>
      <c r="O208" s="224">
        <v>7</v>
      </c>
      <c r="P208" s="543"/>
      <c r="Q208" s="289"/>
      <c r="S208" s="224">
        <v>7</v>
      </c>
      <c r="T208" s="543"/>
      <c r="U208" s="544"/>
      <c r="V208">
        <f t="shared" si="11"/>
        <v>0</v>
      </c>
      <c r="W208" s="592"/>
    </row>
    <row r="209" spans="2:23" ht="15" thickBot="1">
      <c r="B209" s="224">
        <v>7</v>
      </c>
      <c r="C209" s="545"/>
      <c r="D209" s="547"/>
      <c r="E209">
        <f t="shared" si="10"/>
        <v>0</v>
      </c>
      <c r="F209" s="592"/>
      <c r="G209" s="224">
        <v>7</v>
      </c>
      <c r="H209" s="545"/>
      <c r="I209" s="547"/>
      <c r="J209" s="224"/>
      <c r="K209"/>
      <c r="O209" s="224">
        <v>7</v>
      </c>
      <c r="P209" s="543"/>
      <c r="Q209" s="289"/>
      <c r="S209" s="224">
        <v>7</v>
      </c>
      <c r="T209" s="545"/>
      <c r="U209" s="547"/>
      <c r="V209">
        <f t="shared" si="11"/>
        <v>0</v>
      </c>
      <c r="W209" s="592"/>
    </row>
    <row r="210" spans="2:23" ht="15" thickBot="1">
      <c r="B210"/>
      <c r="C210" s="5" t="s">
        <v>583</v>
      </c>
      <c r="E210">
        <f t="shared" si="10"/>
        <v>0</v>
      </c>
      <c r="G210" s="546"/>
      <c r="H210" s="224"/>
      <c r="I210" s="548"/>
      <c r="J210" s="224"/>
      <c r="K210"/>
      <c r="L210" s="5" t="s">
        <v>696</v>
      </c>
      <c r="M210">
        <v>1</v>
      </c>
      <c r="O210" s="224">
        <v>7</v>
      </c>
      <c r="P210" s="543"/>
      <c r="Q210" s="289"/>
      <c r="S210"/>
      <c r="T210" s="5" t="s">
        <v>592</v>
      </c>
      <c r="V210" s="224"/>
      <c r="W210" s="224"/>
    </row>
    <row r="211" spans="2:23">
      <c r="B211"/>
      <c r="C211" s="5" t="s">
        <v>851</v>
      </c>
      <c r="E211">
        <f t="shared" si="10"/>
        <v>0</v>
      </c>
      <c r="G211" s="541" t="str" cm="1">
        <f t="array" aca="1" ref="G211:I211" ca="1">IF(J211,_xlfn.VSTACK({1,"Statement of Comprehensive Income (Loss)",""},{"","",""},G220:I220,_xlfn._xlws.FILTER(CHOOSE({1,2,3},OCI[FC],OCI[Account],OCI[AmtAnswer]),OCI[UsedAnswer]=1,{"","",""})),{"","",""})</f>
        <v/>
      </c>
      <c r="H211" s="451" t="str">
        <f ca="1"/>
        <v/>
      </c>
      <c r="I211" s="542" t="str">
        <f ca="1"/>
        <v/>
      </c>
      <c r="J211" s="224" t="b">
        <f ca="1">COUNTIF(JournalAnswer[ref1],"OCI")&gt;0</f>
        <v>0</v>
      </c>
      <c r="K211"/>
      <c r="L211" s="5" t="s">
        <v>851</v>
      </c>
      <c r="O211" s="224">
        <v>7</v>
      </c>
      <c r="P211" s="543"/>
      <c r="Q211" s="289"/>
      <c r="S211"/>
      <c r="T211" s="5" t="s">
        <v>851</v>
      </c>
      <c r="V211" s="224"/>
      <c r="W211" s="224"/>
    </row>
    <row r="212" spans="2:23">
      <c r="B212">
        <v>5</v>
      </c>
      <c r="C212" t="s">
        <v>852</v>
      </c>
      <c r="D212">
        <f>SUM(D160:D169)</f>
        <v>0</v>
      </c>
      <c r="E212">
        <f t="shared" si="10"/>
        <v>0</v>
      </c>
      <c r="G212" s="543"/>
      <c r="H212" s="224"/>
      <c r="I212" s="544"/>
      <c r="J212" s="224"/>
      <c r="K212">
        <v>3</v>
      </c>
      <c r="L212" t="str">
        <f>"Total Shareholders' Equity @ "&amp;BegDate</f>
        <v>Total Shareholders' Equity @ 12/31/20x0</v>
      </c>
      <c r="M212" s="37">
        <f>M172+M177+M184+M202</f>
        <v>0</v>
      </c>
      <c r="O212" s="224">
        <v>7</v>
      </c>
      <c r="P212" s="543"/>
      <c r="Q212" s="289"/>
      <c r="S212">
        <v>5</v>
      </c>
      <c r="T212" t="s">
        <v>852</v>
      </c>
      <c r="U212">
        <f>SUM(U160:U169)</f>
        <v>179</v>
      </c>
      <c r="V212" s="224"/>
      <c r="W212" s="224"/>
    </row>
    <row r="213" spans="2:23">
      <c r="B213">
        <v>5</v>
      </c>
      <c r="C213" t="s">
        <v>853</v>
      </c>
      <c r="D213">
        <f>SUM(D170:D179)</f>
        <v>0</v>
      </c>
      <c r="E213">
        <f t="shared" si="10"/>
        <v>0</v>
      </c>
      <c r="G213" s="543"/>
      <c r="H213" s="224"/>
      <c r="I213" s="544"/>
      <c r="J213" s="224"/>
      <c r="K213">
        <v>3</v>
      </c>
      <c r="L213" t="str">
        <f>"Total Shareholders' Equity @ "&amp;EndDate</f>
        <v>Total Shareholders' Equity @ 12/31/20x1</v>
      </c>
      <c r="M213" s="37">
        <f>M174+M181+M188+M194+M205</f>
        <v>98</v>
      </c>
      <c r="O213" s="224">
        <v>7</v>
      </c>
      <c r="P213" s="543"/>
      <c r="Q213" s="289"/>
      <c r="S213">
        <v>5</v>
      </c>
      <c r="T213" t="s">
        <v>853</v>
      </c>
      <c r="U213">
        <f>SUM(U170:U179)</f>
        <v>100</v>
      </c>
      <c r="V213" s="224"/>
      <c r="W213" s="224"/>
    </row>
    <row r="214" spans="2:23">
      <c r="B214">
        <v>3</v>
      </c>
      <c r="C214" t="s">
        <v>854</v>
      </c>
      <c r="D214">
        <f>D212+D213</f>
        <v>0</v>
      </c>
      <c r="E214">
        <f t="shared" si="10"/>
        <v>0</v>
      </c>
      <c r="G214" s="543"/>
      <c r="H214" s="224"/>
      <c r="I214" s="544"/>
      <c r="J214" s="224"/>
      <c r="K214"/>
      <c r="O214" s="224">
        <v>7</v>
      </c>
      <c r="P214" s="543"/>
      <c r="Q214" s="289"/>
      <c r="S214">
        <v>3</v>
      </c>
      <c r="T214" t="s">
        <v>854</v>
      </c>
      <c r="U214">
        <f>U212+U213</f>
        <v>279</v>
      </c>
      <c r="V214" s="224"/>
      <c r="W214" s="224"/>
    </row>
    <row r="215" spans="2:23">
      <c r="B215">
        <v>5</v>
      </c>
      <c r="C215" t="s">
        <v>855</v>
      </c>
      <c r="D215">
        <f>SUM(D180:D189)</f>
        <v>0</v>
      </c>
      <c r="E215">
        <f t="shared" si="10"/>
        <v>0</v>
      </c>
      <c r="G215" s="543"/>
      <c r="H215" s="224"/>
      <c r="I215" s="544"/>
      <c r="J215" s="224"/>
      <c r="K215"/>
      <c r="L215" s="5"/>
      <c r="O215" s="224">
        <v>7</v>
      </c>
      <c r="P215" s="543"/>
      <c r="Q215" s="289"/>
      <c r="S215">
        <v>5</v>
      </c>
      <c r="T215" t="s">
        <v>855</v>
      </c>
      <c r="U215">
        <f>SUM(U180:U189)</f>
        <v>10</v>
      </c>
      <c r="V215" s="224"/>
      <c r="W215" s="224"/>
    </row>
    <row r="216" spans="2:23">
      <c r="B216">
        <v>5</v>
      </c>
      <c r="C216" t="s">
        <v>856</v>
      </c>
      <c r="D216">
        <f>SUM(D190:D199)</f>
        <v>0</v>
      </c>
      <c r="E216">
        <f t="shared" si="10"/>
        <v>0</v>
      </c>
      <c r="G216" s="543"/>
      <c r="H216" s="224"/>
      <c r="I216" s="544"/>
      <c r="J216" s="224"/>
      <c r="K216"/>
      <c r="M216" s="43" t="s">
        <v>857</v>
      </c>
      <c r="O216" s="224">
        <v>7</v>
      </c>
      <c r="P216" s="543"/>
      <c r="Q216" s="289"/>
      <c r="S216">
        <v>5</v>
      </c>
      <c r="T216" t="s">
        <v>856</v>
      </c>
      <c r="U216">
        <f>SUM(U190:U199)</f>
        <v>100</v>
      </c>
      <c r="V216" s="224"/>
      <c r="W216" s="224"/>
    </row>
    <row r="217" spans="2:23" ht="15" thickBot="1">
      <c r="B217">
        <v>3</v>
      </c>
      <c r="C217" t="s">
        <v>858</v>
      </c>
      <c r="D217">
        <f>D215+D216</f>
        <v>0</v>
      </c>
      <c r="E217">
        <f t="shared" si="10"/>
        <v>0</v>
      </c>
      <c r="G217" s="545"/>
      <c r="H217" s="546"/>
      <c r="I217" s="547"/>
      <c r="J217" s="224"/>
      <c r="K217"/>
      <c r="L217" t="s">
        <v>240</v>
      </c>
      <c r="M217" t="b">
        <f ca="1">M171=1</f>
        <v>0</v>
      </c>
      <c r="O217" s="224">
        <v>7</v>
      </c>
      <c r="P217" s="543"/>
      <c r="Q217" s="289"/>
      <c r="S217">
        <v>3</v>
      </c>
      <c r="T217" t="s">
        <v>858</v>
      </c>
      <c r="U217">
        <f>U215+U216</f>
        <v>110</v>
      </c>
      <c r="V217" s="224"/>
      <c r="W217" s="224"/>
    </row>
    <row r="218" spans="2:23" ht="15" thickBot="1">
      <c r="B218">
        <v>3</v>
      </c>
      <c r="C218" t="s">
        <v>859</v>
      </c>
      <c r="D218">
        <f>SUM(D200:D209)</f>
        <v>0</v>
      </c>
      <c r="E218">
        <f t="shared" si="10"/>
        <v>0</v>
      </c>
      <c r="K218"/>
      <c r="L218" t="s">
        <v>243</v>
      </c>
      <c r="M218" t="b">
        <f ca="1">M176=1</f>
        <v>1</v>
      </c>
      <c r="O218" s="224">
        <v>7</v>
      </c>
      <c r="P218" s="545"/>
      <c r="Q218" s="550"/>
      <c r="S218">
        <v>3</v>
      </c>
      <c r="T218" t="s">
        <v>859</v>
      </c>
      <c r="U218">
        <f>SUM(U200:U209)</f>
        <v>98</v>
      </c>
      <c r="V218" s="224"/>
      <c r="W218" s="224"/>
    </row>
    <row r="219" spans="2:23" ht="15" thickBot="1">
      <c r="B219">
        <v>3</v>
      </c>
      <c r="C219" t="s">
        <v>860</v>
      </c>
      <c r="D219">
        <f>D217+D218</f>
        <v>0</v>
      </c>
      <c r="E219">
        <f t="shared" si="10"/>
        <v>0</v>
      </c>
      <c r="K219"/>
      <c r="L219" t="s">
        <v>246</v>
      </c>
      <c r="M219" t="b">
        <f ca="1">M183=1</f>
        <v>1</v>
      </c>
      <c r="P219" s="224" t="s">
        <v>861</v>
      </c>
      <c r="Q219" s="224"/>
      <c r="S219">
        <v>3</v>
      </c>
      <c r="T219" t="s">
        <v>860</v>
      </c>
      <c r="U219">
        <f>U217+U218</f>
        <v>208</v>
      </c>
      <c r="V219" s="224"/>
      <c r="W219" s="224"/>
    </row>
    <row r="220" spans="2:23">
      <c r="B220"/>
      <c r="C220" s="5"/>
      <c r="G220" s="423">
        <v>3</v>
      </c>
      <c r="H220" s="5" t="s">
        <v>862</v>
      </c>
      <c r="I220" s="539">
        <f ca="1">FSConstruction!M54</f>
        <v>12</v>
      </c>
      <c r="K220"/>
      <c r="L220" t="s">
        <v>252</v>
      </c>
      <c r="M220" t="b">
        <f ca="1">M190=1</f>
        <v>1</v>
      </c>
      <c r="O220" s="224">
        <v>3</v>
      </c>
      <c r="P220" s="541" t="str" cm="1">
        <f t="array" aca="1" ref="P220:Q221" ca="1">_xlfn._xlws.FILTER(CHOOSE({1,2},CFSummary[Account],CFSummary[AmtAnswer]),CFSummary[UsedAnswer]=1,"")</f>
        <v>Increase (decrease) in cash</v>
      </c>
      <c r="Q220" s="549">
        <f ca="1"/>
        <v>139</v>
      </c>
      <c r="S220" s="224"/>
      <c r="T220" s="224"/>
      <c r="U220" s="224"/>
      <c r="V220" s="224"/>
      <c r="W220" s="224"/>
    </row>
    <row r="221" spans="2:23">
      <c r="B221"/>
      <c r="G221" s="423">
        <v>3</v>
      </c>
      <c r="H221" s="5" t="s">
        <v>863</v>
      </c>
      <c r="I221" s="539">
        <f ca="1">FSConstruction!X21</f>
        <v>12</v>
      </c>
      <c r="K221"/>
      <c r="L221" t="s">
        <v>848</v>
      </c>
      <c r="M221" t="b">
        <f ca="1">M196=1</f>
        <v>0</v>
      </c>
      <c r="O221" s="224">
        <v>5</v>
      </c>
      <c r="P221" s="543" t="str">
        <f ca="1"/>
        <v>Cash @ 12/31/20x1</v>
      </c>
      <c r="Q221" s="289">
        <f ca="1"/>
        <v>139</v>
      </c>
      <c r="S221" s="224"/>
      <c r="T221" s="224"/>
      <c r="U221" s="224"/>
      <c r="V221" s="224"/>
      <c r="W221" s="224"/>
    </row>
    <row r="222" spans="2:23">
      <c r="B222"/>
      <c r="G222" s="224"/>
      <c r="K222"/>
      <c r="L222" t="s">
        <v>255</v>
      </c>
      <c r="M222" t="b">
        <f ca="1">M201=1</f>
        <v>0</v>
      </c>
      <c r="O222" s="224">
        <v>5</v>
      </c>
      <c r="P222" s="543"/>
      <c r="Q222" s="289"/>
      <c r="S222" s="224"/>
      <c r="T222" s="224"/>
      <c r="U222" s="224"/>
      <c r="V222" s="224"/>
      <c r="W222" s="224"/>
    </row>
    <row r="223" spans="2:23">
      <c r="B223"/>
      <c r="G223" s="224">
        <v>5</v>
      </c>
      <c r="H223" t="s">
        <v>864</v>
      </c>
      <c r="I223" s="248">
        <f ca="1">SUM(I160:I169)</f>
        <v>18</v>
      </c>
      <c r="K223"/>
      <c r="O223" s="224"/>
      <c r="P223" s="543"/>
      <c r="Q223" s="289"/>
      <c r="S223" s="224"/>
      <c r="T223" s="224"/>
      <c r="U223" s="224"/>
      <c r="V223" s="224"/>
      <c r="W223" s="224"/>
    </row>
    <row r="224" spans="2:23">
      <c r="B224"/>
      <c r="G224" s="224">
        <v>5</v>
      </c>
      <c r="H224" t="s">
        <v>865</v>
      </c>
      <c r="I224" s="248">
        <f ca="1">SUM(I170:I189)</f>
        <v>6</v>
      </c>
      <c r="K224"/>
      <c r="L224" s="5" t="s">
        <v>866</v>
      </c>
      <c r="M224" cm="1">
        <f t="array" aca="1" ref="M224" ca="1">_xlfn.IFS(AND(NOT(M217),NOT(M219),NOT(M221),NOT(M222)),1,M219,2,OR(M217,M221,M222),3)</f>
        <v>2</v>
      </c>
      <c r="O224" s="224"/>
      <c r="P224" s="543"/>
      <c r="Q224" s="289"/>
      <c r="S224" s="224"/>
      <c r="T224" s="224"/>
      <c r="U224" s="224"/>
      <c r="V224" s="224"/>
      <c r="W224" s="224"/>
    </row>
    <row r="225" spans="2:23">
      <c r="B225"/>
      <c r="G225" s="224">
        <v>5</v>
      </c>
      <c r="H225" t="s">
        <v>867</v>
      </c>
      <c r="I225" s="248">
        <f>SUM(I190:I199)</f>
        <v>0</v>
      </c>
      <c r="K225"/>
      <c r="O225" s="224"/>
      <c r="P225" s="543"/>
      <c r="Q225" s="289"/>
      <c r="S225" s="224"/>
      <c r="T225" s="224"/>
      <c r="U225" s="224"/>
      <c r="V225" s="224"/>
      <c r="W225" s="224"/>
    </row>
    <row r="226" spans="2:23">
      <c r="B226"/>
      <c r="G226" s="224">
        <v>5</v>
      </c>
      <c r="H226" t="s">
        <v>868</v>
      </c>
      <c r="I226" s="248">
        <f>SUM(I200:I209)</f>
        <v>0</v>
      </c>
      <c r="K226"/>
      <c r="O226" s="224"/>
      <c r="P226" s="543"/>
      <c r="Q226" s="289"/>
      <c r="S226" s="224"/>
      <c r="T226" s="224"/>
      <c r="U226" s="224"/>
      <c r="V226" s="224"/>
      <c r="W226" s="224"/>
    </row>
    <row r="227" spans="2:23">
      <c r="B227"/>
      <c r="G227" s="224"/>
      <c r="K227"/>
      <c r="O227" s="224"/>
      <c r="P227" s="543"/>
      <c r="Q227" s="289"/>
      <c r="S227" s="224"/>
      <c r="T227" s="224"/>
      <c r="U227" s="224"/>
      <c r="V227" s="224"/>
      <c r="W227" s="224"/>
    </row>
    <row r="228" spans="2:23">
      <c r="B228"/>
      <c r="G228" s="224"/>
      <c r="K228"/>
      <c r="O228" s="224"/>
      <c r="P228" s="543"/>
      <c r="Q228" s="289"/>
      <c r="S228" s="224"/>
      <c r="T228" s="224"/>
      <c r="U228" s="224"/>
      <c r="V228" s="224"/>
      <c r="W228" s="224"/>
    </row>
    <row r="229" spans="2:23">
      <c r="B229"/>
      <c r="G229" s="224"/>
      <c r="K229"/>
      <c r="L229" s="5" t="s">
        <v>869</v>
      </c>
      <c r="O229" s="224"/>
      <c r="P229" s="543"/>
      <c r="Q229" s="289"/>
      <c r="S229" s="224"/>
      <c r="T229" s="224"/>
      <c r="U229" s="224"/>
      <c r="V229" s="224"/>
      <c r="W229" s="224"/>
    </row>
    <row r="230" spans="2:23">
      <c r="B230"/>
      <c r="G230" s="224"/>
      <c r="K230"/>
      <c r="L230" t="str" cm="1">
        <f t="array" aca="1" ref="L230:M238" ca="1">_xlfn.VSTACK(L212:M212,L213:M213,{"Common Stock",""},_xlfn._xlws.FILTER(L177:M181,M177:M181&lt;&gt;0,{"",""}),{"Retained Earnings",""},_xlfn._xlws.FILTER(L191:M194,M191:M194&lt;&gt;0,{"",""}))</f>
        <v>Total Shareholders' Equity @ 12/31/20x0</v>
      </c>
      <c r="M230">
        <f ca="1"/>
        <v>0</v>
      </c>
      <c r="O230" s="224"/>
      <c r="P230" s="543"/>
      <c r="Q230" s="289"/>
      <c r="S230" s="224"/>
      <c r="T230" s="224"/>
      <c r="U230" s="224"/>
      <c r="V230" s="224"/>
      <c r="W230" s="224"/>
    </row>
    <row r="231" spans="2:23">
      <c r="B231"/>
      <c r="G231" s="224"/>
      <c r="K231"/>
      <c r="L231" t="str">
        <f ca="1"/>
        <v>Total Shareholders' Equity @ 12/31/20x1</v>
      </c>
      <c r="M231">
        <f ca="1"/>
        <v>98</v>
      </c>
      <c r="O231" s="224"/>
      <c r="P231" s="543"/>
      <c r="Q231" s="289"/>
      <c r="S231" s="224"/>
      <c r="T231" s="224"/>
      <c r="U231" s="224"/>
      <c r="V231" s="224"/>
      <c r="W231" s="224"/>
    </row>
    <row r="232" spans="2:23">
      <c r="B232"/>
      <c r="G232" s="224"/>
      <c r="K232"/>
      <c r="L232" t="str">
        <f ca="1"/>
        <v>Common Stock</v>
      </c>
      <c r="M232" t="str">
        <f ca="1"/>
        <v/>
      </c>
      <c r="O232" s="224"/>
      <c r="P232" s="543"/>
      <c r="Q232" s="289"/>
      <c r="S232" s="224"/>
      <c r="T232" s="224"/>
      <c r="U232" s="224"/>
      <c r="V232" s="224"/>
      <c r="W232" s="224"/>
    </row>
    <row r="233" spans="2:23">
      <c r="B233"/>
      <c r="G233" s="224"/>
      <c r="K233"/>
      <c r="L233" t="str">
        <f ca="1"/>
        <v>Issued Common Stock</v>
      </c>
      <c r="M233">
        <f ca="1"/>
        <v>50</v>
      </c>
      <c r="O233" s="224"/>
      <c r="P233" s="543"/>
      <c r="Q233" s="289"/>
      <c r="S233" s="224"/>
      <c r="T233" s="224"/>
      <c r="U233" s="224"/>
      <c r="V233" s="224"/>
      <c r="W233" s="224"/>
    </row>
    <row r="234" spans="2:23">
      <c r="B234"/>
      <c r="G234" s="224"/>
      <c r="H234" s="224"/>
      <c r="I234" s="224"/>
      <c r="K234"/>
      <c r="L234" t="str">
        <f ca="1"/>
        <v>Issued Common Stock for PP&amp;E</v>
      </c>
      <c r="M234">
        <f ca="1"/>
        <v>50</v>
      </c>
      <c r="O234" s="224"/>
      <c r="P234" s="543"/>
      <c r="Q234" s="289"/>
      <c r="S234" s="224"/>
      <c r="T234" s="224"/>
      <c r="U234" s="224"/>
      <c r="V234" s="224"/>
      <c r="W234" s="224"/>
    </row>
    <row r="235" spans="2:23">
      <c r="B235" cm="1">
        <f t="array" ref="B235:D235">{2,"ASSETS",""}</f>
        <v>2</v>
      </c>
      <c r="C235" t="str">
        <v>ASSETS</v>
      </c>
      <c r="D235" t="str">
        <v/>
      </c>
      <c r="G235" s="224" cm="1">
        <f t="array" ref="G235:I235">{2,"REVENUES",""}</f>
        <v>2</v>
      </c>
      <c r="H235" s="224" t="str">
        <v>REVENUES</v>
      </c>
      <c r="I235" s="224" t="str">
        <v/>
      </c>
      <c r="K235"/>
      <c r="L235" t="str">
        <f ca="1"/>
        <v>Balance @ 12/31/20x1</v>
      </c>
      <c r="M235">
        <f ca="1"/>
        <v>100</v>
      </c>
      <c r="O235" s="224"/>
      <c r="P235" s="543"/>
      <c r="Q235" s="289"/>
      <c r="S235" cm="1">
        <f t="array" ref="S235:U235">{2,"ASSETS",""}</f>
        <v>2</v>
      </c>
      <c r="T235" s="224" t="str">
        <v>ASSETS</v>
      </c>
      <c r="U235" s="224" t="str">
        <v/>
      </c>
      <c r="V235" s="224"/>
      <c r="W235" s="224"/>
    </row>
    <row r="236" spans="2:23">
      <c r="B236" t="str" cm="1">
        <f t="array" ref="B236:D236">IF(F160,_xlfn.VSTACK({4," Current Assets:",""},_xlfn._xlws.FILTER(B160:D169,D160:D169&lt;&gt;""),B212:D212),{"","",""})</f>
        <v/>
      </c>
      <c r="C236" t="str">
        <v/>
      </c>
      <c r="D236" t="str">
        <v/>
      </c>
      <c r="G236" cm="1">
        <f t="array" aca="1" ref="G236:I236" ca="1">_xlfn._xlws.FILTER(G160:I169,I160:I169&lt;&gt;"")</f>
        <v>6</v>
      </c>
      <c r="H236" s="224" t="str">
        <f ca="1"/>
        <v>Sales</v>
      </c>
      <c r="I236" s="224">
        <f ca="1"/>
        <v>18</v>
      </c>
      <c r="L236" t="str">
        <f ca="1"/>
        <v>Retained Earnings</v>
      </c>
      <c r="M236" t="str">
        <f ca="1"/>
        <v/>
      </c>
      <c r="O236" s="224"/>
      <c r="P236" s="543"/>
      <c r="Q236" s="289"/>
      <c r="S236" cm="1">
        <f t="array" ref="S236:U240">IF(W160,_xlfn.VSTACK({4," Current Assets:",""},_xlfn._xlws.FILTER(S160:U169,U160:U169&lt;&gt;""),S212:U212),"")</f>
        <v>4</v>
      </c>
      <c r="T236" s="224" t="str">
        <v xml:space="preserve"> Current Assets:</v>
      </c>
      <c r="U236" s="224" t="str">
        <v/>
      </c>
      <c r="V236" s="224"/>
      <c r="W236" s="224"/>
    </row>
    <row r="237" spans="2:23">
      <c r="B237"/>
      <c r="G237" s="224"/>
      <c r="H237" s="224"/>
      <c r="I237" s="224"/>
      <c r="K237"/>
      <c r="L237" t="str">
        <f ca="1"/>
        <v>Net Income (Loss)</v>
      </c>
      <c r="M237">
        <f ca="1"/>
        <v>12</v>
      </c>
      <c r="O237" s="224"/>
      <c r="P237" s="543"/>
      <c r="Q237" s="289"/>
      <c r="S237">
        <v>6</v>
      </c>
      <c r="T237" s="224" t="str">
        <v>Cash</v>
      </c>
      <c r="U237" s="224">
        <v>137</v>
      </c>
      <c r="V237" s="224"/>
      <c r="W237" s="224"/>
    </row>
    <row r="238" spans="2:23" ht="15" thickBot="1">
      <c r="B238"/>
      <c r="G238" s="224"/>
      <c r="H238" s="224"/>
      <c r="I238" s="224"/>
      <c r="K238"/>
      <c r="L238" t="str">
        <f ca="1"/>
        <v>Balance @ 12/31/20x1</v>
      </c>
      <c r="M238">
        <f ca="1"/>
        <v>-2</v>
      </c>
      <c r="O238" s="224"/>
      <c r="P238" s="545"/>
      <c r="Q238" s="550"/>
      <c r="S238">
        <v>7</v>
      </c>
      <c r="T238" s="224" t="str">
        <v>Accounts Receivable</v>
      </c>
      <c r="U238" s="224">
        <v>0</v>
      </c>
      <c r="V238" s="224"/>
      <c r="W238" s="224"/>
    </row>
    <row r="239" spans="2:23" ht="15" thickBot="1">
      <c r="B239"/>
      <c r="G239" s="224"/>
      <c r="H239" s="224"/>
      <c r="I239" s="224"/>
      <c r="K239"/>
      <c r="O239" s="224" t="s">
        <v>698</v>
      </c>
      <c r="P239" s="224"/>
      <c r="Q239" s="224"/>
      <c r="S239">
        <v>7</v>
      </c>
      <c r="T239" s="224" t="str">
        <v>Inventories</v>
      </c>
      <c r="U239" s="224">
        <v>42</v>
      </c>
      <c r="V239" s="224"/>
      <c r="W239" s="224"/>
    </row>
    <row r="240" spans="2:23">
      <c r="B240"/>
      <c r="G240" s="224"/>
      <c r="H240" s="224"/>
      <c r="I240" s="224"/>
      <c r="K240"/>
      <c r="O240" s="224">
        <v>1</v>
      </c>
      <c r="P240" s="541" t="str" cm="1">
        <f t="array" aca="1" ref="P240:Q242" ca="1">IF(FSConstruction!AR63&gt;0,_xlfn.VSTACK({"Noncash Investing/Financing Transactions",""},_xlfn._xlws.FILTER(CHOOSE({1,2},Noncash_IF[Account],Noncash_IF[AmtAnswer]),Noncash_IF[UsedAnswer]=1,""),{"",""}),{"",""})</f>
        <v>Noncash Investing/Financing Transactions</v>
      </c>
      <c r="Q240" s="549" t="str">
        <f ca="1"/>
        <v/>
      </c>
      <c r="S240">
        <v>5</v>
      </c>
      <c r="T240" s="224" t="str">
        <v xml:space="preserve">  Total Current Assets</v>
      </c>
      <c r="U240" s="224">
        <v>179</v>
      </c>
      <c r="V240" s="224"/>
      <c r="W240" s="224"/>
    </row>
    <row r="241" spans="2:23">
      <c r="B241"/>
      <c r="G241" s="224"/>
      <c r="H241" s="224"/>
      <c r="I241" s="224"/>
      <c r="K241"/>
      <c r="O241" s="224">
        <v>6</v>
      </c>
      <c r="P241" s="543" t="str">
        <f ca="1"/>
        <v>Acquired PP&amp;E with common stock</v>
      </c>
      <c r="Q241" s="289">
        <f ca="1"/>
        <v>50</v>
      </c>
      <c r="S241"/>
      <c r="T241" s="224"/>
      <c r="U241" s="224"/>
      <c r="V241" s="224"/>
      <c r="W241" s="224"/>
    </row>
    <row r="242" spans="2:23">
      <c r="B242"/>
      <c r="G242" s="224"/>
      <c r="H242" s="224"/>
      <c r="I242" s="224"/>
      <c r="K242"/>
      <c r="O242" s="224">
        <v>7</v>
      </c>
      <c r="P242" s="543" t="str">
        <f ca="1"/>
        <v/>
      </c>
      <c r="Q242" s="289" t="str">
        <f ca="1"/>
        <v/>
      </c>
      <c r="S242"/>
      <c r="T242" s="224"/>
      <c r="U242" s="224"/>
      <c r="V242" s="224"/>
      <c r="W242" s="224"/>
    </row>
    <row r="243" spans="2:23">
      <c r="B243"/>
      <c r="G243" s="224"/>
      <c r="H243" s="224"/>
      <c r="I243" s="224"/>
      <c r="K243"/>
      <c r="O243" s="224">
        <v>7</v>
      </c>
      <c r="P243" s="543"/>
      <c r="Q243" s="289"/>
      <c r="S243"/>
      <c r="T243" s="224"/>
      <c r="U243" s="224"/>
      <c r="V243" s="224"/>
      <c r="W243" s="224"/>
    </row>
    <row r="244" spans="2:23">
      <c r="B244"/>
      <c r="G244" s="224"/>
      <c r="H244" s="224"/>
      <c r="I244" s="224"/>
      <c r="K244"/>
      <c r="L244" s="5" t="s">
        <v>870</v>
      </c>
      <c r="O244" s="224">
        <v>7</v>
      </c>
      <c r="P244" s="543"/>
      <c r="Q244" s="289"/>
      <c r="S244"/>
      <c r="T244" s="224"/>
      <c r="U244" s="224"/>
      <c r="V244" s="224"/>
      <c r="W244" s="224"/>
    </row>
    <row r="245" spans="2:23">
      <c r="B245"/>
      <c r="G245" s="224" cm="1">
        <f t="array" aca="1" ref="G245:I245" ca="1">G223:I223</f>
        <v>5</v>
      </c>
      <c r="H245" s="224" t="str">
        <f ca="1"/>
        <v xml:space="preserve">  Total Revenues</v>
      </c>
      <c r="I245" s="224">
        <f ca="1"/>
        <v>18</v>
      </c>
      <c r="K245"/>
      <c r="L245" t="str" cm="1">
        <f t="array" aca="1" ref="L245:M255" ca="1">_xlfn.VSTACK(_xlfn.ANCHORARRAY(L230),{"Additional Paid-in Capital",""},_xlfn._xlws.FILTER(L184:M188,M184:M188&lt;&gt;0,{"",""}))</f>
        <v>Total Shareholders' Equity @ 12/31/20x0</v>
      </c>
      <c r="M245">
        <f ca="1"/>
        <v>0</v>
      </c>
      <c r="O245" s="224">
        <v>7</v>
      </c>
      <c r="P245" s="543"/>
      <c r="Q245" s="289"/>
      <c r="S245"/>
      <c r="T245" s="224"/>
      <c r="U245" s="224"/>
      <c r="V245" s="224"/>
      <c r="W245" s="224"/>
    </row>
    <row r="246" spans="2:23">
      <c r="B246" t="str" cm="1">
        <f t="array" ref="B246:D246">IF(F170,_xlfn.VSTACK({4," Noncurrent Assets:",""},_xlfn._xlws.FILTER(B170:D179,D170:D179&lt;&gt;"")),{"","",""})</f>
        <v/>
      </c>
      <c r="C246" t="str">
        <v/>
      </c>
      <c r="D246" t="str">
        <v/>
      </c>
      <c r="G246" s="224" cm="1">
        <f t="array" ref="G246:I246">{2,"EXPENSES",""}</f>
        <v>2</v>
      </c>
      <c r="H246" s="224" t="str">
        <v>EXPENSES</v>
      </c>
      <c r="I246" s="224" t="str">
        <v/>
      </c>
      <c r="K246"/>
      <c r="L246" t="str">
        <f ca="1"/>
        <v>Total Shareholders' Equity @ 12/31/20x1</v>
      </c>
      <c r="M246">
        <f ca="1"/>
        <v>98</v>
      </c>
      <c r="O246" s="224">
        <v>7</v>
      </c>
      <c r="P246" s="543"/>
      <c r="Q246" s="289"/>
      <c r="S246" cm="1">
        <f t="array" ref="S246:U248">IF(W170,_xlfn.VSTACK({4," Noncurrent Assets:",""},_xlfn._xlws.FILTER(S170:U179,U170:U179&lt;&gt;"")),"")</f>
        <v>4</v>
      </c>
      <c r="T246" s="224" t="str">
        <v xml:space="preserve"> Noncurrent Assets:</v>
      </c>
      <c r="U246" s="224" t="str">
        <v/>
      </c>
      <c r="V246" s="224"/>
      <c r="W246" s="224"/>
    </row>
    <row r="247" spans="2:23">
      <c r="B247"/>
      <c r="G247" s="224" cm="1">
        <f t="array" aca="1" ref="G247:I247" ca="1">_xlfn._xlws.FILTER(G170:I189,I170:I189&lt;&gt;"")</f>
        <v>6</v>
      </c>
      <c r="H247" s="224" t="str">
        <f ca="1"/>
        <v>Cost of Goods Sold</v>
      </c>
      <c r="I247" s="224">
        <f ca="1"/>
        <v>6</v>
      </c>
      <c r="K247"/>
      <c r="L247" t="str">
        <f ca="1"/>
        <v>Common Stock</v>
      </c>
      <c r="M247" t="str">
        <f ca="1"/>
        <v/>
      </c>
      <c r="O247" s="224">
        <v>7</v>
      </c>
      <c r="P247" s="543"/>
      <c r="Q247" s="289"/>
      <c r="S247">
        <v>6</v>
      </c>
      <c r="T247" s="224" t="str">
        <v>Property, Plant &amp; Equipment</v>
      </c>
      <c r="U247" s="224">
        <v>100</v>
      </c>
      <c r="V247" s="224"/>
      <c r="W247" s="224"/>
    </row>
    <row r="248" spans="2:23">
      <c r="B248"/>
      <c r="G248" s="224"/>
      <c r="H248" s="224"/>
      <c r="I248" s="224"/>
      <c r="K248"/>
      <c r="L248" t="str">
        <f ca="1"/>
        <v>Issued Common Stock</v>
      </c>
      <c r="M248">
        <f ca="1"/>
        <v>50</v>
      </c>
      <c r="O248" s="224">
        <v>7</v>
      </c>
      <c r="P248" s="543"/>
      <c r="Q248" s="289"/>
      <c r="S248">
        <v>7</v>
      </c>
      <c r="T248" s="224" t="str">
        <v>Land</v>
      </c>
      <c r="U248" s="224">
        <v>0</v>
      </c>
      <c r="V248" s="224"/>
      <c r="W248" s="224"/>
    </row>
    <row r="249" spans="2:23">
      <c r="B249"/>
      <c r="G249" s="224"/>
      <c r="H249" s="224"/>
      <c r="I249" s="224"/>
      <c r="K249"/>
      <c r="L249" t="str">
        <f ca="1"/>
        <v>Issued Common Stock for PP&amp;E</v>
      </c>
      <c r="M249">
        <f ca="1"/>
        <v>50</v>
      </c>
      <c r="O249" s="224">
        <v>7</v>
      </c>
      <c r="P249" s="543"/>
      <c r="Q249" s="289"/>
      <c r="S249"/>
      <c r="T249" s="224"/>
      <c r="U249" s="224"/>
      <c r="V249" s="224"/>
      <c r="W249" s="224"/>
    </row>
    <row r="250" spans="2:23">
      <c r="B250"/>
      <c r="G250" s="224"/>
      <c r="H250" s="224"/>
      <c r="I250" s="224"/>
      <c r="K250"/>
      <c r="L250" t="str">
        <f ca="1"/>
        <v>Balance @ 12/31/20x1</v>
      </c>
      <c r="M250">
        <f ca="1"/>
        <v>100</v>
      </c>
      <c r="O250" s="224">
        <v>7</v>
      </c>
      <c r="P250" s="543"/>
      <c r="Q250" s="289"/>
      <c r="S250"/>
      <c r="T250" s="224"/>
      <c r="U250" s="224"/>
      <c r="V250" s="224"/>
      <c r="W250" s="224"/>
    </row>
    <row r="251" spans="2:23">
      <c r="B251"/>
      <c r="G251" s="224"/>
      <c r="H251" s="224"/>
      <c r="I251" s="224"/>
      <c r="K251"/>
      <c r="L251" t="str">
        <f ca="1"/>
        <v>Retained Earnings</v>
      </c>
      <c r="M251" t="str">
        <f ca="1"/>
        <v/>
      </c>
      <c r="O251" s="224">
        <v>7</v>
      </c>
      <c r="P251" s="543"/>
      <c r="Q251" s="289"/>
      <c r="S251"/>
      <c r="T251" s="224"/>
      <c r="U251" s="224"/>
      <c r="V251" s="224"/>
      <c r="W251" s="224"/>
    </row>
    <row r="252" spans="2:23">
      <c r="B252"/>
      <c r="G252" s="224"/>
      <c r="H252" s="224"/>
      <c r="I252" s="224"/>
      <c r="K252"/>
      <c r="L252" t="str">
        <f ca="1"/>
        <v>Net Income (Loss)</v>
      </c>
      <c r="M252">
        <f ca="1"/>
        <v>12</v>
      </c>
      <c r="O252" s="224">
        <v>7</v>
      </c>
      <c r="P252" s="543"/>
      <c r="Q252" s="289"/>
      <c r="S252"/>
      <c r="T252" s="224"/>
      <c r="U252" s="224"/>
      <c r="V252" s="224"/>
      <c r="W252" s="224"/>
    </row>
    <row r="253" spans="2:23">
      <c r="B253"/>
      <c r="G253" s="224"/>
      <c r="H253" s="224"/>
      <c r="I253" s="224"/>
      <c r="K253"/>
      <c r="L253" t="str">
        <f ca="1"/>
        <v>Balance @ 12/31/20x1</v>
      </c>
      <c r="M253">
        <f ca="1"/>
        <v>-2</v>
      </c>
      <c r="O253" s="224">
        <v>7</v>
      </c>
      <c r="P253" s="543"/>
      <c r="Q253" s="289"/>
      <c r="S253"/>
      <c r="T253" s="224"/>
      <c r="U253" s="224"/>
      <c r="V253" s="224"/>
      <c r="W253" s="224"/>
    </row>
    <row r="254" spans="2:23">
      <c r="B254"/>
      <c r="G254" s="224"/>
      <c r="H254" s="224"/>
      <c r="I254" s="224"/>
      <c r="K254"/>
      <c r="L254" t="str">
        <f ca="1"/>
        <v>Additional Paid-in Capital</v>
      </c>
      <c r="M254" t="str">
        <f ca="1"/>
        <v/>
      </c>
      <c r="O254" s="224">
        <v>7</v>
      </c>
      <c r="P254" s="543"/>
      <c r="Q254" s="289"/>
      <c r="S254"/>
      <c r="T254" s="224"/>
      <c r="U254" s="224"/>
      <c r="V254" s="224"/>
      <c r="W254" s="224"/>
    </row>
    <row r="255" spans="2:23">
      <c r="B255" cm="1">
        <f t="array" ref="B255:D255">B213:D213</f>
        <v>5</v>
      </c>
      <c r="C255" t="str">
        <v xml:space="preserve">  Total Noncurrent Assets</v>
      </c>
      <c r="D255">
        <v>0</v>
      </c>
      <c r="G255" s="224"/>
      <c r="H255" s="224"/>
      <c r="I255" s="224"/>
      <c r="K255"/>
      <c r="L255" t="str">
        <f ca="1"/>
        <v>Issued Common Stock for PP&amp;E - APIC</v>
      </c>
      <c r="M255">
        <f ca="1"/>
        <v>50</v>
      </c>
      <c r="O255" s="224">
        <v>7</v>
      </c>
      <c r="P255" s="543"/>
      <c r="Q255" s="289"/>
      <c r="S255" cm="1">
        <f t="array" ref="S255:U255">S213:U213</f>
        <v>5</v>
      </c>
      <c r="T255" s="224" t="str">
        <v xml:space="preserve">  Total Noncurrent Assets</v>
      </c>
      <c r="U255" s="224">
        <v>100</v>
      </c>
      <c r="V255" s="224"/>
      <c r="W255" s="224"/>
    </row>
    <row r="256" spans="2:23">
      <c r="B256" cm="1">
        <f t="array" ref="B256:D256">B214:D214</f>
        <v>3</v>
      </c>
      <c r="C256" t="str">
        <v>Total Assets</v>
      </c>
      <c r="D256">
        <v>0</v>
      </c>
      <c r="G256" s="224"/>
      <c r="H256" s="224"/>
      <c r="I256" s="224"/>
      <c r="K256"/>
      <c r="O256" s="224">
        <v>7</v>
      </c>
      <c r="P256" s="543"/>
      <c r="Q256" s="289"/>
      <c r="S256" cm="1">
        <f t="array" ref="S256:U256">S214:U214</f>
        <v>3</v>
      </c>
      <c r="T256" s="224" t="str">
        <v>Total Assets</v>
      </c>
      <c r="U256" s="224">
        <v>279</v>
      </c>
      <c r="V256" s="224"/>
      <c r="W256" s="224"/>
    </row>
    <row r="257" spans="2:23">
      <c r="B257"/>
      <c r="G257" s="224"/>
      <c r="H257" s="224"/>
      <c r="I257" s="224"/>
      <c r="K257"/>
      <c r="O257" s="224">
        <v>7</v>
      </c>
      <c r="P257" s="543"/>
      <c r="Q257" s="289"/>
      <c r="S257"/>
      <c r="T257" s="224"/>
      <c r="U257" s="224"/>
      <c r="V257" s="224"/>
      <c r="W257" s="224"/>
    </row>
    <row r="258" spans="2:23" ht="15" thickBot="1">
      <c r="B258" cm="1">
        <f t="array" ref="B258:D258">{2,"LIABILITIES",""}</f>
        <v>2</v>
      </c>
      <c r="C258" t="str">
        <v>LIABILITIES</v>
      </c>
      <c r="D258" t="str">
        <v/>
      </c>
      <c r="G258" s="224"/>
      <c r="H258" s="224"/>
      <c r="I258" s="224"/>
      <c r="K258"/>
      <c r="O258" s="224">
        <v>7</v>
      </c>
      <c r="P258" s="545"/>
      <c r="Q258" s="550"/>
      <c r="S258" cm="1">
        <f t="array" ref="S258:U258">{2,"LIABILITIES",""}</f>
        <v>2</v>
      </c>
      <c r="T258" s="224" t="str">
        <v>LIABILITIES</v>
      </c>
      <c r="U258" s="224" t="str">
        <v/>
      </c>
      <c r="V258" s="224"/>
      <c r="W258" s="224"/>
    </row>
    <row r="259" spans="2:23" ht="15" thickBot="1">
      <c r="B259"/>
      <c r="G259" s="224"/>
      <c r="H259" s="224"/>
      <c r="I259" s="224"/>
      <c r="K259"/>
      <c r="L259" s="5" t="s">
        <v>871</v>
      </c>
      <c r="P259" s="224" t="s">
        <v>872</v>
      </c>
      <c r="Q259" s="224"/>
      <c r="S259"/>
      <c r="T259" s="224"/>
      <c r="U259" s="224"/>
      <c r="V259" s="224"/>
      <c r="W259" s="224"/>
    </row>
    <row r="260" spans="2:23">
      <c r="B260" t="str" cm="1">
        <f t="array" ref="B260:D260">IF(F180,_xlfn.VSTACK({4," Current Liabilities:",""},_xlfn._xlws.FILTER(B180:D189,D180:D189&lt;&gt;""),B215:D215),{"","",""})</f>
        <v/>
      </c>
      <c r="C260" t="str">
        <v/>
      </c>
      <c r="D260" t="str">
        <v/>
      </c>
      <c r="G260" s="224"/>
      <c r="H260" s="224"/>
      <c r="I260" s="224"/>
      <c r="K260"/>
      <c r="L260" t="str" cm="1">
        <f t="array" aca="1" ref="L260:M276" ca="1">_xlfn.VSTACK(_xlfn.ANCHORARRAY(L245),{"Preferred Stock",""},_xlfn._xlws.FILTER(L172:M174,M172:M174&lt;&gt;0,{"",""}),{"Accumulated Other Comprehensive Income",""},_xlfn._xlws.FILTER(L197:M199,M197:M199&lt;&gt;0,{"",""}),{"Treasury Stock",""},_xlfn._xlws.FILTER(L202:M205,M202:M205&lt;&gt;0,{"",""}))</f>
        <v>Total Shareholders' Equity @ 12/31/20x0</v>
      </c>
      <c r="M260">
        <f ca="1"/>
        <v>0</v>
      </c>
      <c r="O260" s="224">
        <v>6</v>
      </c>
      <c r="P260" s="541" t="str" cm="1">
        <f t="array" aca="1" ref="P260:Q260" ca="1">_xlfn._xlws.FILTER(CHOOSE({1,2},NI_CFO_Recon_Other[Account],NI_CFO_Recon_Other[AmtAnswer]),NI_CFO_Recon_Other[UsedAnswer]=1,{"",""})</f>
        <v/>
      </c>
      <c r="Q260" s="549" t="str">
        <f ca="1"/>
        <v/>
      </c>
      <c r="S260" cm="1">
        <f t="array" ref="S260:U264">IF(W180,_xlfn.VSTACK({4,"Current Liabilities:",""},_xlfn._xlws.FILTER(S180:U189,U180:U189&lt;&gt;""),S215:U215),{"","",""})</f>
        <v>4</v>
      </c>
      <c r="T260" s="224" t="str">
        <v>Current Liabilities:</v>
      </c>
      <c r="U260" s="224" t="str">
        <v/>
      </c>
      <c r="V260" s="224"/>
      <c r="W260" s="224"/>
    </row>
    <row r="261" spans="2:23">
      <c r="B261"/>
      <c r="G261" s="224"/>
      <c r="H261" s="224"/>
      <c r="I261" s="224"/>
      <c r="K261"/>
      <c r="L261" t="str">
        <f ca="1"/>
        <v>Total Shareholders' Equity @ 12/31/20x1</v>
      </c>
      <c r="M261">
        <f ca="1"/>
        <v>98</v>
      </c>
      <c r="O261" s="224">
        <v>7</v>
      </c>
      <c r="P261" s="543"/>
      <c r="Q261" s="289"/>
      <c r="S261">
        <v>6</v>
      </c>
      <c r="T261" s="224" t="str">
        <v>Accounts Payable</v>
      </c>
      <c r="U261" s="224">
        <v>2</v>
      </c>
      <c r="V261" s="224"/>
      <c r="W261" s="224"/>
    </row>
    <row r="262" spans="2:23">
      <c r="B262"/>
      <c r="G262" s="224"/>
      <c r="H262" s="224"/>
      <c r="I262" s="224"/>
      <c r="K262"/>
      <c r="L262" t="str">
        <f ca="1"/>
        <v>Common Stock</v>
      </c>
      <c r="M262" t="str">
        <f ca="1"/>
        <v/>
      </c>
      <c r="O262" s="224">
        <v>7</v>
      </c>
      <c r="P262" s="543"/>
      <c r="Q262" s="289"/>
      <c r="S262">
        <v>7</v>
      </c>
      <c r="T262" s="224" t="str">
        <v>Dividends Payable</v>
      </c>
      <c r="U262" s="224">
        <v>0</v>
      </c>
      <c r="V262" s="224"/>
      <c r="W262" s="224"/>
    </row>
    <row r="263" spans="2:23">
      <c r="B263"/>
      <c r="G263" s="224"/>
      <c r="H263" s="224"/>
      <c r="I263" s="224"/>
      <c r="K263"/>
      <c r="L263" t="str">
        <f ca="1"/>
        <v>Issued Common Stock</v>
      </c>
      <c r="M263">
        <f ca="1"/>
        <v>50</v>
      </c>
      <c r="O263" s="224">
        <v>7</v>
      </c>
      <c r="P263" s="543"/>
      <c r="Q263" s="289"/>
      <c r="S263">
        <v>7</v>
      </c>
      <c r="T263" s="224" t="str">
        <v>Unearned Revenue</v>
      </c>
      <c r="U263" s="224">
        <v>8</v>
      </c>
      <c r="V263" s="224"/>
      <c r="W263" s="224"/>
    </row>
    <row r="264" spans="2:23">
      <c r="B264"/>
      <c r="G264" s="224"/>
      <c r="H264" s="224"/>
      <c r="I264" s="224"/>
      <c r="K264"/>
      <c r="L264" t="str">
        <f ca="1"/>
        <v>Issued Common Stock for PP&amp;E</v>
      </c>
      <c r="M264">
        <f ca="1"/>
        <v>50</v>
      </c>
      <c r="O264" s="224">
        <v>7</v>
      </c>
      <c r="P264" s="543"/>
      <c r="Q264" s="289"/>
      <c r="S264">
        <v>5</v>
      </c>
      <c r="T264" s="224" t="str">
        <v xml:space="preserve">  Total Current Liabilities</v>
      </c>
      <c r="U264" s="224">
        <v>10</v>
      </c>
      <c r="V264" s="224"/>
      <c r="W264" s="224"/>
    </row>
    <row r="265" spans="2:23">
      <c r="B265"/>
      <c r="G265" s="224"/>
      <c r="H265" s="224"/>
      <c r="I265" s="224"/>
      <c r="K265"/>
      <c r="L265" t="str">
        <f ca="1"/>
        <v>Balance @ 12/31/20x1</v>
      </c>
      <c r="M265">
        <f ca="1"/>
        <v>100</v>
      </c>
      <c r="O265" s="224">
        <v>7</v>
      </c>
      <c r="P265" s="543"/>
      <c r="Q265" s="289"/>
      <c r="S265"/>
      <c r="T265" s="224"/>
      <c r="U265" s="224"/>
      <c r="V265" s="224"/>
      <c r="W265" s="224"/>
    </row>
    <row r="266" spans="2:23">
      <c r="B266"/>
      <c r="G266" s="224"/>
      <c r="H266" s="224"/>
      <c r="I266" s="224"/>
      <c r="K266"/>
      <c r="L266" t="str">
        <f ca="1"/>
        <v>Retained Earnings</v>
      </c>
      <c r="M266" t="str">
        <f ca="1"/>
        <v/>
      </c>
      <c r="O266" s="224">
        <v>7</v>
      </c>
      <c r="P266" s="543"/>
      <c r="Q266" s="289"/>
      <c r="S266"/>
      <c r="T266" s="224"/>
      <c r="U266" s="224"/>
      <c r="V266" s="224"/>
      <c r="W266" s="224"/>
    </row>
    <row r="267" spans="2:23">
      <c r="B267"/>
      <c r="G267" s="224"/>
      <c r="H267" s="224"/>
      <c r="I267" s="224"/>
      <c r="K267"/>
      <c r="L267" t="str">
        <f ca="1"/>
        <v>Net Income (Loss)</v>
      </c>
      <c r="M267">
        <f ca="1"/>
        <v>12</v>
      </c>
      <c r="O267" s="224">
        <v>7</v>
      </c>
      <c r="P267" s="543"/>
      <c r="Q267" s="289"/>
      <c r="S267"/>
      <c r="T267" s="224"/>
      <c r="U267" s="224"/>
      <c r="V267" s="224"/>
      <c r="W267" s="224"/>
    </row>
    <row r="268" spans="2:23">
      <c r="B268"/>
      <c r="G268" s="224"/>
      <c r="H268" s="224"/>
      <c r="I268" s="224"/>
      <c r="K268"/>
      <c r="L268" t="str">
        <f ca="1"/>
        <v>Balance @ 12/31/20x1</v>
      </c>
      <c r="M268">
        <f ca="1"/>
        <v>-2</v>
      </c>
      <c r="O268" s="224">
        <v>7</v>
      </c>
      <c r="P268" s="543"/>
      <c r="Q268" s="289"/>
      <c r="S268"/>
      <c r="T268" s="224"/>
      <c r="U268" s="224"/>
      <c r="V268" s="224"/>
      <c r="W268" s="224"/>
    </row>
    <row r="269" spans="2:23" ht="15" thickBot="1">
      <c r="B269"/>
      <c r="G269" s="224" cm="1">
        <f t="array" aca="1" ref="G269:I269" ca="1">G224:I224</f>
        <v>5</v>
      </c>
      <c r="H269" s="224" t="str">
        <f ca="1"/>
        <v xml:space="preserve">  Total Expenses</v>
      </c>
      <c r="I269" s="224">
        <f ca="1"/>
        <v>6</v>
      </c>
      <c r="K269"/>
      <c r="L269" t="str">
        <f ca="1"/>
        <v>Additional Paid-in Capital</v>
      </c>
      <c r="M269" t="str">
        <f ca="1"/>
        <v/>
      </c>
      <c r="O269" s="224">
        <v>7</v>
      </c>
      <c r="P269" s="545"/>
      <c r="Q269" s="550"/>
      <c r="S269"/>
      <c r="T269" s="224"/>
      <c r="U269" s="224"/>
      <c r="V269" s="224"/>
      <c r="W269" s="224"/>
    </row>
    <row r="270" spans="2:23">
      <c r="B270" t="str" cm="1">
        <f t="array" ref="B270:D270">IF(F190,_xlfn.VSTACK({4," Noncurrent Liabilities:",""},_xlfn._xlws.FILTER(B190:D199,D190:D199&lt;&gt;""),B216:D216),{"","",""})</f>
        <v/>
      </c>
      <c r="C270" t="str">
        <v/>
      </c>
      <c r="D270" t="str">
        <v/>
      </c>
      <c r="G270" s="224" cm="1">
        <f t="array" ref="G270:I270">{2,"GAINS",""}</f>
        <v>2</v>
      </c>
      <c r="H270" s="224" t="str">
        <v>GAINS</v>
      </c>
      <c r="I270" s="224" t="str">
        <v/>
      </c>
      <c r="K270"/>
      <c r="L270" t="str">
        <f ca="1"/>
        <v>Issued Common Stock for PP&amp;E - APIC</v>
      </c>
      <c r="M270">
        <f ca="1"/>
        <v>50</v>
      </c>
      <c r="O270" s="224">
        <v>6</v>
      </c>
      <c r="P270" s="541" t="str" cm="1">
        <f t="array" ref="P270:Q270">_xlfn._xlws.FILTER(CHOOSE({1,2},NI_CFO_Recon_Losses[Account],NI_CFO_Recon_Losses[AmtAnswer]),NI_CFO_Recon_Losses[UsedAnswer]=1,{"",""})</f>
        <v/>
      </c>
      <c r="Q270" s="549" t="str">
        <v/>
      </c>
      <c r="S270" cm="1">
        <f t="array" ref="S270:U272">IF(W190,_xlfn.VSTACK({4,"Noncurrent Liabilities:",""},_xlfn._xlws.FILTER(S190:U199,U190:U199&lt;&gt;""),S216:U216),{"","",""})</f>
        <v>4</v>
      </c>
      <c r="T270" s="224" t="str">
        <v>Noncurrent Liabilities:</v>
      </c>
      <c r="U270" s="224" t="str">
        <v/>
      </c>
      <c r="V270" s="224"/>
      <c r="W270" s="224"/>
    </row>
    <row r="271" spans="2:23">
      <c r="B271"/>
      <c r="G271" t="str" cm="1">
        <f t="array" ref="G271:I271">IFERROR(_xlfn._xlws.FILTER(G190:I199,I190:I199&lt;&gt;""),{"","",""})</f>
        <v/>
      </c>
      <c r="H271" s="224" t="str">
        <v/>
      </c>
      <c r="I271" s="224" t="str">
        <v/>
      </c>
      <c r="K271"/>
      <c r="L271" t="str">
        <f ca="1"/>
        <v>Preferred Stock</v>
      </c>
      <c r="M271" t="str">
        <f ca="1"/>
        <v/>
      </c>
      <c r="O271" s="224">
        <v>7</v>
      </c>
      <c r="P271" s="543"/>
      <c r="Q271" s="289"/>
      <c r="S271">
        <v>6</v>
      </c>
      <c r="T271" s="224" t="str">
        <v>Loans Payable</v>
      </c>
      <c r="U271" s="224">
        <v>100</v>
      </c>
      <c r="V271" s="224"/>
      <c r="W271" s="224"/>
    </row>
    <row r="272" spans="2:23">
      <c r="B272"/>
      <c r="G272" s="224"/>
      <c r="H272" s="224"/>
      <c r="I272" s="224"/>
      <c r="K272"/>
      <c r="L272" t="str">
        <f ca="1"/>
        <v/>
      </c>
      <c r="M272" t="str">
        <f ca="1"/>
        <v/>
      </c>
      <c r="O272" s="224">
        <v>7</v>
      </c>
      <c r="P272" s="543"/>
      <c r="Q272" s="289"/>
      <c r="S272">
        <v>5</v>
      </c>
      <c r="T272" s="224" t="str">
        <v xml:space="preserve">  Total Noncurrent Liabilities</v>
      </c>
      <c r="U272" s="224">
        <v>100</v>
      </c>
      <c r="V272" s="224"/>
      <c r="W272" s="224"/>
    </row>
    <row r="273" spans="2:23">
      <c r="B273"/>
      <c r="G273" s="224"/>
      <c r="H273" s="224"/>
      <c r="I273" s="224"/>
      <c r="K273"/>
      <c r="L273" t="str">
        <f ca="1"/>
        <v>Accumulated Other Comprehensive Income</v>
      </c>
      <c r="M273" t="str">
        <f ca="1"/>
        <v/>
      </c>
      <c r="O273" s="224">
        <v>7</v>
      </c>
      <c r="P273" s="543"/>
      <c r="Q273" s="289"/>
      <c r="S273"/>
      <c r="T273" s="224"/>
      <c r="U273" s="224"/>
      <c r="V273" s="224"/>
      <c r="W273" s="224"/>
    </row>
    <row r="274" spans="2:23">
      <c r="B274"/>
      <c r="G274" s="224"/>
      <c r="H274" s="224"/>
      <c r="I274" s="224"/>
      <c r="K274"/>
      <c r="L274" t="str">
        <f ca="1"/>
        <v/>
      </c>
      <c r="M274" t="str">
        <f ca="1"/>
        <v/>
      </c>
      <c r="O274" s="224">
        <v>7</v>
      </c>
      <c r="P274" s="543"/>
      <c r="Q274" s="289"/>
      <c r="S274"/>
      <c r="T274" s="224"/>
      <c r="U274" s="224"/>
      <c r="V274" s="224"/>
      <c r="W274" s="224"/>
    </row>
    <row r="275" spans="2:23">
      <c r="B275"/>
      <c r="G275" s="224"/>
      <c r="H275" s="224"/>
      <c r="I275" s="224"/>
      <c r="K275"/>
      <c r="L275" t="str">
        <f ca="1"/>
        <v>Treasury Stock</v>
      </c>
      <c r="M275" t="str">
        <f ca="1"/>
        <v/>
      </c>
      <c r="O275" s="224">
        <v>7</v>
      </c>
      <c r="P275" s="543"/>
      <c r="Q275" s="289"/>
      <c r="S275"/>
      <c r="T275" s="224"/>
      <c r="U275" s="224"/>
      <c r="V275" s="224"/>
      <c r="W275" s="224"/>
    </row>
    <row r="276" spans="2:23">
      <c r="B276"/>
      <c r="G276" s="224"/>
      <c r="H276" s="224"/>
      <c r="I276" s="224"/>
      <c r="K276"/>
      <c r="L276" t="str">
        <f ca="1"/>
        <v/>
      </c>
      <c r="M276" t="str">
        <f ca="1"/>
        <v/>
      </c>
      <c r="O276" s="224">
        <v>7</v>
      </c>
      <c r="P276" s="543"/>
      <c r="Q276" s="289"/>
      <c r="S276"/>
      <c r="T276" s="224"/>
      <c r="U276" s="224"/>
      <c r="V276" s="224"/>
      <c r="W276" s="224"/>
    </row>
    <row r="277" spans="2:23">
      <c r="B277"/>
      <c r="G277" s="224"/>
      <c r="H277" s="224"/>
      <c r="I277" s="224"/>
      <c r="K277"/>
      <c r="O277" s="224">
        <v>7</v>
      </c>
      <c r="P277" s="543"/>
      <c r="Q277" s="289"/>
      <c r="S277"/>
      <c r="T277" s="224"/>
      <c r="U277" s="224"/>
      <c r="V277" s="224"/>
      <c r="W277" s="224"/>
    </row>
    <row r="278" spans="2:23">
      <c r="B278"/>
      <c r="G278" s="224"/>
      <c r="H278" s="224"/>
      <c r="I278" s="224"/>
      <c r="K278"/>
      <c r="O278" s="224">
        <v>7</v>
      </c>
      <c r="P278" s="543"/>
      <c r="Q278" s="289"/>
      <c r="S278"/>
      <c r="T278" s="224"/>
      <c r="U278" s="224"/>
      <c r="V278" s="224"/>
      <c r="W278" s="224"/>
    </row>
    <row r="279" spans="2:23" ht="15" thickBot="1">
      <c r="B279"/>
      <c r="G279" s="224" cm="1">
        <f t="array" ref="G279:I279">G225:I225</f>
        <v>5</v>
      </c>
      <c r="H279" s="224" t="str">
        <v xml:space="preserve">  Total Gains</v>
      </c>
      <c r="I279" s="224">
        <v>0</v>
      </c>
      <c r="K279"/>
      <c r="O279" s="224">
        <v>7</v>
      </c>
      <c r="P279" s="545"/>
      <c r="Q279" s="550"/>
      <c r="S279"/>
      <c r="T279" s="224"/>
      <c r="U279" s="224"/>
      <c r="V279" s="224"/>
      <c r="W279" s="224"/>
    </row>
    <row r="280" spans="2:23">
      <c r="B280" t="str" cm="1">
        <f t="array" ref="B280:D280">IF(OR(F180,F190),B217:D217,{"","",""})</f>
        <v/>
      </c>
      <c r="C280" t="str">
        <v/>
      </c>
      <c r="D280" t="str">
        <v/>
      </c>
      <c r="G280" s="224" cm="1">
        <f t="array" ref="G280:I280">{2,"LOSSES",""}</f>
        <v>2</v>
      </c>
      <c r="H280" s="224" t="str">
        <v>LOSSES</v>
      </c>
      <c r="I280" s="224" t="str">
        <v/>
      </c>
      <c r="K280"/>
      <c r="O280" s="224">
        <v>6</v>
      </c>
      <c r="P280" s="541" t="str" cm="1">
        <f t="array" ref="P280:Q280">_xlfn._xlws.FILTER(CHOOSE({1,2},NI_CFO_Recon_Gains[Account],NI_CFO_Recon_Gains[AmtAnswer]),NI_CFO_Recon_Gains[UsedAnswer]=1,{"",""})</f>
        <v/>
      </c>
      <c r="Q280" s="549" t="str">
        <v/>
      </c>
      <c r="S280" cm="1">
        <f t="array" ref="S280:U280">IF(OR(W180,W190),S217:U217,{"","",""})</f>
        <v>3</v>
      </c>
      <c r="T280" s="224" t="str">
        <v>Total Liabilities</v>
      </c>
      <c r="U280" s="224">
        <v>110</v>
      </c>
      <c r="V280" s="224"/>
      <c r="W280" s="224"/>
    </row>
    <row r="281" spans="2:23">
      <c r="B281"/>
      <c r="G281" t="str" cm="1">
        <f t="array" ref="G281:I281">IFERROR(_xlfn._xlws.FILTER(G200:I209,I200:I209&lt;&gt;""),{"","",""})</f>
        <v/>
      </c>
      <c r="H281" s="224" t="str">
        <v/>
      </c>
      <c r="I281" s="224" t="str">
        <v/>
      </c>
      <c r="N281" s="423"/>
      <c r="O281" s="224">
        <v>7</v>
      </c>
      <c r="P281" s="551"/>
      <c r="Q281" s="552"/>
      <c r="S281"/>
      <c r="T281" s="224"/>
      <c r="U281" s="224"/>
      <c r="V281" s="224"/>
      <c r="W281" s="224"/>
    </row>
    <row r="282" spans="2:23">
      <c r="B282" cm="1">
        <f t="array" ref="B282:D282">{2,"EQUITIES",""}</f>
        <v>2</v>
      </c>
      <c r="C282" t="str">
        <v>EQUITIES</v>
      </c>
      <c r="D282" t="str">
        <v/>
      </c>
      <c r="G282" s="224"/>
      <c r="H282" s="224"/>
      <c r="I282" s="224"/>
      <c r="N282" s="423"/>
      <c r="O282" s="224">
        <v>7</v>
      </c>
      <c r="P282" s="551"/>
      <c r="Q282" s="552"/>
      <c r="S282" cm="1">
        <f t="array" ref="S282:U282">{2,"EQUITIES",""}</f>
        <v>2</v>
      </c>
      <c r="T282" s="224" t="str">
        <v>EQUITIES</v>
      </c>
      <c r="U282" s="224" t="str">
        <v/>
      </c>
      <c r="V282" s="224"/>
      <c r="W282" s="224"/>
    </row>
    <row r="283" spans="2:23">
      <c r="B283"/>
      <c r="G283" s="224"/>
      <c r="H283" s="224"/>
      <c r="I283" s="224"/>
      <c r="N283" s="423"/>
      <c r="O283" s="224">
        <v>7</v>
      </c>
      <c r="P283" s="551"/>
      <c r="Q283" s="552"/>
      <c r="S283"/>
      <c r="T283" s="224"/>
      <c r="U283" s="224"/>
      <c r="V283" s="224"/>
      <c r="W283" s="224"/>
    </row>
    <row r="284" spans="2:23">
      <c r="B284" cm="1">
        <f t="array" ref="B284:D285">_xlfn._xlws.FILTER(B200:D209,D200:D209&lt;&gt;"")</f>
        <v>6</v>
      </c>
      <c r="C284" t="str">
        <v>Common Stock</v>
      </c>
      <c r="D284">
        <v>0</v>
      </c>
      <c r="G284" s="224"/>
      <c r="H284" s="224"/>
      <c r="I284" s="224"/>
      <c r="N284" s="423"/>
      <c r="O284" s="224">
        <v>7</v>
      </c>
      <c r="P284" s="551"/>
      <c r="Q284" s="552"/>
      <c r="S284" cm="1">
        <f t="array" ref="S284:U285">_xlfn._xlws.FILTER(S200:U209,U200:U209&lt;&gt;"")</f>
        <v>6</v>
      </c>
      <c r="T284" s="224" t="str">
        <v>Common Stock</v>
      </c>
      <c r="U284" s="224">
        <v>100</v>
      </c>
      <c r="V284" s="224"/>
      <c r="W284" s="224"/>
    </row>
    <row r="285" spans="2:23">
      <c r="B285">
        <v>7</v>
      </c>
      <c r="C285" t="str">
        <v>Retained Earnings</v>
      </c>
      <c r="D285">
        <v>0</v>
      </c>
      <c r="G285" s="224"/>
      <c r="H285" s="224"/>
      <c r="I285" s="224"/>
      <c r="N285" s="423"/>
      <c r="O285" s="224">
        <v>7</v>
      </c>
      <c r="P285" s="551"/>
      <c r="Q285" s="552"/>
      <c r="S285">
        <v>7</v>
      </c>
      <c r="T285" s="224" t="str">
        <v>Retained Earnings</v>
      </c>
      <c r="U285" s="224">
        <v>-2</v>
      </c>
      <c r="V285" s="224"/>
      <c r="W285" s="224"/>
    </row>
    <row r="286" spans="2:23">
      <c r="B286"/>
      <c r="G286" s="224"/>
      <c r="H286" s="224"/>
      <c r="I286" s="224"/>
      <c r="N286" s="423"/>
      <c r="O286" s="224">
        <v>7</v>
      </c>
      <c r="P286" s="551"/>
      <c r="Q286" s="552"/>
      <c r="S286"/>
      <c r="T286" s="224"/>
      <c r="U286" s="224"/>
      <c r="V286" s="224"/>
      <c r="W286" s="224"/>
    </row>
    <row r="287" spans="2:23">
      <c r="B287"/>
      <c r="G287" s="224"/>
      <c r="H287" s="224"/>
      <c r="I287" s="224"/>
      <c r="N287" s="423"/>
      <c r="O287" s="224">
        <v>7</v>
      </c>
      <c r="P287" s="551"/>
      <c r="Q287" s="552"/>
      <c r="S287"/>
      <c r="T287" s="224"/>
      <c r="U287" s="224"/>
      <c r="V287" s="224"/>
      <c r="W287" s="224"/>
    </row>
    <row r="288" spans="2:23">
      <c r="B288"/>
      <c r="G288" s="224"/>
      <c r="H288" s="224"/>
      <c r="I288" s="224"/>
      <c r="N288" s="423"/>
      <c r="O288" s="224">
        <v>7</v>
      </c>
      <c r="P288" s="551"/>
      <c r="Q288" s="552"/>
      <c r="S288"/>
      <c r="T288" s="224"/>
      <c r="U288" s="224"/>
      <c r="V288" s="224"/>
      <c r="W288" s="224"/>
    </row>
    <row r="289" spans="2:23" ht="15" thickBot="1">
      <c r="B289"/>
      <c r="G289" s="224" cm="1">
        <f t="array" ref="G289:I289">G226:I226</f>
        <v>5</v>
      </c>
      <c r="H289" s="224" t="str">
        <v xml:space="preserve">  Total Losses</v>
      </c>
      <c r="I289" s="224">
        <v>0</v>
      </c>
      <c r="N289" s="423"/>
      <c r="O289" s="224">
        <v>7</v>
      </c>
      <c r="P289" s="551"/>
      <c r="Q289" s="552"/>
      <c r="S289"/>
      <c r="T289" s="224"/>
      <c r="U289" s="224"/>
      <c r="V289" s="224"/>
      <c r="W289" s="224"/>
    </row>
    <row r="290" spans="2:23">
      <c r="B290" cm="1">
        <f t="array" ref="B290:D290">B218:D218</f>
        <v>3</v>
      </c>
      <c r="C290" t="str">
        <v>Total Equities</v>
      </c>
      <c r="D290">
        <v>0</v>
      </c>
      <c r="G290" s="224" cm="1">
        <f t="array" aca="1" ref="G290:I290" ca="1">G220:I220</f>
        <v>3</v>
      </c>
      <c r="H290" s="224" t="str">
        <f ca="1"/>
        <v>Net Income</v>
      </c>
      <c r="I290" s="224">
        <f ca="1"/>
        <v>12</v>
      </c>
      <c r="O290" s="224">
        <v>6</v>
      </c>
      <c r="P290" s="541" t="str" cm="1">
        <f t="array" ref="P290:Q290">_xlfn._xlws.FILTER(CHOOSE({1,2},NI_CFO_Recon_Assets[Account],NI_CFO_Recon_Assets[AmtAnswer]),NI_CFO_Recon_Assets[UsedAnswer]=1,{"",""})</f>
        <v/>
      </c>
      <c r="Q290" s="549" t="str">
        <v/>
      </c>
      <c r="S290" cm="1">
        <f t="array" ref="S290:U290">S218:U218</f>
        <v>3</v>
      </c>
      <c r="T290" s="224" t="str">
        <v>Total Equities</v>
      </c>
      <c r="U290" s="224">
        <v>98</v>
      </c>
      <c r="V290" s="224"/>
      <c r="W290" s="224"/>
    </row>
    <row r="291" spans="2:23">
      <c r="B291"/>
      <c r="G291" s="224"/>
      <c r="H291" s="224"/>
      <c r="I291" s="224"/>
      <c r="O291" s="224">
        <v>7</v>
      </c>
      <c r="P291" s="543"/>
      <c r="Q291" s="289"/>
      <c r="S291"/>
      <c r="T291" s="224"/>
      <c r="U291" s="224"/>
      <c r="V291" s="224"/>
      <c r="W291" s="224"/>
    </row>
    <row r="292" spans="2:23">
      <c r="B292" t="str" cm="1">
        <f t="array" ref="B292:D292">IF(AND(F200,OR(F190,F180)),B219:D219,{"","",""})</f>
        <v/>
      </c>
      <c r="C292" t="str">
        <v/>
      </c>
      <c r="D292" t="str">
        <v/>
      </c>
      <c r="G292" s="224"/>
      <c r="H292" s="224"/>
      <c r="I292" s="224"/>
      <c r="O292" s="224">
        <v>7</v>
      </c>
      <c r="P292" s="543"/>
      <c r="Q292" s="289"/>
      <c r="S292" cm="1">
        <f t="array" ref="S292:U292">IF(AND(W200,OR(W190,W180)),S219:U219,{"","",""})</f>
        <v>3</v>
      </c>
      <c r="T292" s="224" t="str">
        <v>Total Liabilities and Equities</v>
      </c>
      <c r="U292" s="224">
        <v>208</v>
      </c>
      <c r="V292" s="224"/>
      <c r="W292" s="224"/>
    </row>
    <row r="293" spans="2:23">
      <c r="G293" s="224"/>
      <c r="H293" s="224"/>
      <c r="I293" s="224"/>
      <c r="O293" s="224">
        <v>7</v>
      </c>
      <c r="P293" s="543"/>
      <c r="Q293" s="289"/>
      <c r="S293" s="224"/>
      <c r="T293" s="224"/>
      <c r="U293" s="224"/>
      <c r="V293" s="224"/>
      <c r="W293" s="224"/>
    </row>
    <row r="294" spans="2:23">
      <c r="G294" s="224"/>
      <c r="H294" s="224"/>
      <c r="I294" s="224"/>
      <c r="O294" s="224">
        <v>7</v>
      </c>
      <c r="P294" s="543"/>
      <c r="Q294" s="289"/>
      <c r="S294" s="224"/>
      <c r="T294" s="224"/>
      <c r="U294" s="224"/>
      <c r="V294" s="224"/>
      <c r="W294" s="224"/>
    </row>
    <row r="295" spans="2:23">
      <c r="G295" s="224"/>
      <c r="H295" s="224"/>
      <c r="I295" s="224"/>
      <c r="O295" s="224">
        <v>7</v>
      </c>
      <c r="P295" s="543"/>
      <c r="Q295" s="289"/>
      <c r="S295" s="224"/>
      <c r="T295" s="224"/>
      <c r="U295" s="224"/>
      <c r="V295" s="224"/>
      <c r="W295" s="224"/>
    </row>
    <row r="296" spans="2:23">
      <c r="G296" s="224"/>
      <c r="H296" s="224"/>
      <c r="I296" s="224"/>
      <c r="O296" s="224">
        <v>7</v>
      </c>
      <c r="P296" s="543"/>
      <c r="Q296" s="289"/>
      <c r="S296" s="224"/>
      <c r="T296" s="224"/>
      <c r="U296" s="224"/>
      <c r="V296" s="224"/>
      <c r="W296" s="224"/>
    </row>
    <row r="297" spans="2:23">
      <c r="G297" s="224"/>
      <c r="H297" s="224"/>
      <c r="I297" s="224"/>
      <c r="O297" s="224">
        <v>7</v>
      </c>
      <c r="P297" s="543"/>
      <c r="Q297" s="289"/>
      <c r="S297" s="224"/>
      <c r="T297" s="224"/>
      <c r="U297" s="224"/>
      <c r="V297" s="224"/>
      <c r="W297" s="224"/>
    </row>
    <row r="298" spans="2:23">
      <c r="G298" s="224"/>
      <c r="H298" s="224"/>
      <c r="I298" s="224"/>
      <c r="O298" s="224">
        <v>7</v>
      </c>
      <c r="P298" s="543"/>
      <c r="Q298" s="289"/>
      <c r="S298" s="224"/>
      <c r="T298" s="224"/>
      <c r="U298" s="224"/>
      <c r="V298" s="224"/>
      <c r="W298" s="224"/>
    </row>
    <row r="299" spans="2:23" ht="15" thickBot="1">
      <c r="G299" s="224"/>
      <c r="H299" s="224"/>
      <c r="I299" s="224"/>
      <c r="O299" s="224">
        <v>7</v>
      </c>
      <c r="P299" s="545"/>
      <c r="Q299" s="550"/>
      <c r="S299" s="224"/>
      <c r="T299" s="224"/>
      <c r="U299" s="224"/>
      <c r="V299" s="224"/>
      <c r="W299" s="224"/>
    </row>
    <row r="300" spans="2:23">
      <c r="G300" s="224"/>
      <c r="H300" s="224"/>
      <c r="I300" s="224"/>
      <c r="O300" s="224">
        <v>6</v>
      </c>
      <c r="P300" s="541" t="str" cm="1">
        <f t="array" ref="P300:Q300">_xlfn._xlws.FILTER(CHOOSE({1,2},NI_CFO_Recon_Liabilities[Account],NI_CFO_Recon_Liabilities[AmtAnswer]),NI_CFO_Recon_Liabilities[UsedAnswer]=1,{"",""})</f>
        <v/>
      </c>
      <c r="Q300" s="549" t="str">
        <v/>
      </c>
      <c r="S300" s="224"/>
      <c r="T300" s="224"/>
      <c r="U300" s="224"/>
      <c r="V300" s="224"/>
      <c r="W300" s="224"/>
    </row>
    <row r="301" spans="2:23">
      <c r="G301" s="224"/>
      <c r="H301" s="224"/>
      <c r="I301" s="224"/>
      <c r="O301" s="224">
        <v>7</v>
      </c>
      <c r="P301" s="543"/>
      <c r="Q301" s="289"/>
      <c r="S301" s="224"/>
      <c r="T301" s="224"/>
      <c r="U301" s="224"/>
      <c r="V301" s="224"/>
      <c r="W301" s="224"/>
    </row>
    <row r="302" spans="2:23">
      <c r="G302" s="224"/>
      <c r="H302" s="224"/>
      <c r="I302" s="224"/>
      <c r="O302" s="224">
        <v>7</v>
      </c>
      <c r="P302" s="543"/>
      <c r="Q302" s="289"/>
      <c r="S302" s="224"/>
      <c r="T302" s="224"/>
      <c r="U302" s="224"/>
      <c r="V302" s="224"/>
      <c r="W302" s="224"/>
    </row>
    <row r="303" spans="2:23">
      <c r="G303" s="224"/>
      <c r="H303" s="224"/>
      <c r="I303" s="224"/>
      <c r="O303" s="224">
        <v>7</v>
      </c>
      <c r="P303" s="543"/>
      <c r="Q303" s="289"/>
      <c r="S303" s="224"/>
      <c r="T303" s="224"/>
      <c r="U303" s="224"/>
      <c r="V303" s="224"/>
      <c r="W303" s="224"/>
    </row>
    <row r="304" spans="2:23">
      <c r="G304" s="224"/>
      <c r="H304" s="224"/>
      <c r="I304" s="224"/>
      <c r="O304" s="224">
        <v>7</v>
      </c>
      <c r="P304" s="543"/>
      <c r="Q304" s="289"/>
      <c r="S304" s="224"/>
      <c r="T304" s="224"/>
      <c r="U304" s="224"/>
      <c r="V304" s="224"/>
      <c r="W304" s="224"/>
    </row>
    <row r="305" spans="7:23">
      <c r="G305" s="224"/>
      <c r="H305" s="224"/>
      <c r="I305" s="224"/>
      <c r="O305" s="224">
        <v>7</v>
      </c>
      <c r="P305" s="543"/>
      <c r="Q305" s="289"/>
      <c r="S305" s="224"/>
      <c r="T305" s="224"/>
      <c r="U305" s="224"/>
      <c r="V305" s="224"/>
      <c r="W305" s="224"/>
    </row>
    <row r="306" spans="7:23">
      <c r="G306" s="224"/>
      <c r="H306" s="224"/>
      <c r="I306" s="224"/>
      <c r="O306" s="224">
        <v>7</v>
      </c>
      <c r="P306" s="543"/>
      <c r="Q306" s="289"/>
      <c r="S306" s="224"/>
      <c r="T306" s="224"/>
      <c r="U306" s="224"/>
      <c r="V306" s="224"/>
      <c r="W306" s="224"/>
    </row>
    <row r="307" spans="7:23">
      <c r="G307" s="224"/>
      <c r="H307" s="224"/>
      <c r="I307" s="224"/>
      <c r="O307" s="224">
        <v>7</v>
      </c>
      <c r="P307" s="543"/>
      <c r="Q307" s="289"/>
      <c r="S307" s="224"/>
      <c r="T307" s="224"/>
      <c r="U307" s="224"/>
      <c r="V307" s="224"/>
      <c r="W307" s="224"/>
    </row>
    <row r="308" spans="7:23">
      <c r="G308" s="224"/>
      <c r="H308" s="224"/>
      <c r="I308" s="224"/>
      <c r="O308" s="224">
        <v>7</v>
      </c>
      <c r="P308" s="543"/>
      <c r="Q308" s="289"/>
      <c r="S308" s="224"/>
      <c r="T308" s="224"/>
      <c r="U308" s="224"/>
      <c r="V308" s="224"/>
      <c r="W308" s="224"/>
    </row>
    <row r="309" spans="7:23" ht="15" thickBot="1">
      <c r="G309" s="224"/>
      <c r="H309" s="224"/>
      <c r="I309" s="224"/>
      <c r="O309" s="224">
        <v>7</v>
      </c>
      <c r="P309" s="545"/>
      <c r="Q309" s="550"/>
      <c r="S309" s="224"/>
      <c r="T309" s="224"/>
      <c r="U309" s="224"/>
      <c r="V309" s="224"/>
      <c r="W309" s="224"/>
    </row>
    <row r="310" spans="7:23">
      <c r="G310" s="224"/>
      <c r="H310" s="224"/>
      <c r="I310" s="224"/>
      <c r="S310" s="224"/>
      <c r="T310" s="224"/>
      <c r="U310" s="224"/>
      <c r="V310" s="224"/>
      <c r="W310" s="224"/>
    </row>
    <row r="311" spans="7:23">
      <c r="G311" s="224"/>
      <c r="H311" s="224"/>
      <c r="I311" s="224"/>
      <c r="O311" s="224"/>
      <c r="P311" s="423" t="s">
        <v>851</v>
      </c>
      <c r="Q311" s="553"/>
      <c r="S311" s="224"/>
      <c r="T311" s="224"/>
      <c r="U311" s="224"/>
      <c r="V311" s="224"/>
      <c r="W311" s="224"/>
    </row>
    <row r="312" spans="7:23">
      <c r="G312" s="224"/>
      <c r="H312" s="224"/>
      <c r="I312" s="224"/>
      <c r="O312" s="224">
        <v>3</v>
      </c>
      <c r="P312" s="224" t="s">
        <v>873</v>
      </c>
      <c r="Q312" s="553">
        <f ca="1">SUM(Q160:Q178)</f>
        <v>39</v>
      </c>
      <c r="S312" s="224"/>
      <c r="T312" s="224"/>
      <c r="U312" s="224"/>
      <c r="V312" s="224"/>
      <c r="W312" s="224"/>
    </row>
    <row r="313" spans="7:23">
      <c r="G313" s="224"/>
      <c r="H313" s="224"/>
      <c r="I313" s="224"/>
      <c r="O313" s="224">
        <v>3</v>
      </c>
      <c r="P313" s="224" t="s">
        <v>874</v>
      </c>
      <c r="Q313" s="553">
        <f>SUM(Q180:Q198)</f>
        <v>0</v>
      </c>
      <c r="S313" s="224"/>
      <c r="T313" s="224"/>
      <c r="U313" s="224"/>
      <c r="V313" s="224"/>
      <c r="W313" s="224"/>
    </row>
    <row r="314" spans="7:23">
      <c r="G314" s="224"/>
      <c r="H314" s="224"/>
      <c r="I314" s="224"/>
      <c r="O314" s="224">
        <v>3</v>
      </c>
      <c r="P314" s="224" t="s">
        <v>875</v>
      </c>
      <c r="Q314" s="553">
        <f ca="1">SUM(Q200:Q218)</f>
        <v>100</v>
      </c>
      <c r="S314" s="224"/>
      <c r="T314" s="224"/>
      <c r="U314" s="224"/>
      <c r="V314" s="224"/>
      <c r="W314" s="224"/>
    </row>
    <row r="315" spans="7:23">
      <c r="G315" s="224"/>
      <c r="H315" s="224"/>
      <c r="I315" s="224"/>
      <c r="O315" s="224"/>
      <c r="P315" s="224"/>
      <c r="Q315" s="224"/>
      <c r="S315" s="224"/>
      <c r="T315" s="224"/>
      <c r="U315" s="224"/>
      <c r="V315" s="224"/>
      <c r="W315" s="224"/>
    </row>
    <row r="316" spans="7:23">
      <c r="G316" s="224"/>
      <c r="H316" s="224"/>
      <c r="I316" s="224"/>
      <c r="O316" s="224" cm="1">
        <f t="array" ref="O316:Q316">{2,"Operating Activities",""}</f>
        <v>2</v>
      </c>
      <c r="P316" s="224" t="str">
        <v>Operating Activities</v>
      </c>
      <c r="Q316" s="224" t="str">
        <v/>
      </c>
      <c r="S316" s="224"/>
      <c r="T316" s="224"/>
      <c r="U316" s="224"/>
      <c r="V316" s="224"/>
      <c r="W316" s="224"/>
    </row>
    <row r="317" spans="7:23">
      <c r="G317" s="224"/>
      <c r="H317" s="224"/>
      <c r="I317" s="224"/>
      <c r="O317" s="224" cm="1">
        <f t="array" aca="1" ref="O317:Q318" ca="1">_xlfn._xlws.FILTER(O160:Q178,Q160:Q178&lt;&gt;"")</f>
        <v>6</v>
      </c>
      <c r="P317" s="224" t="str">
        <f ca="1"/>
        <v>Collections from customers</v>
      </c>
      <c r="Q317" s="224">
        <f ca="1"/>
        <v>91</v>
      </c>
      <c r="S317" s="224"/>
      <c r="T317" s="224"/>
      <c r="U317" s="224"/>
      <c r="V317" s="224"/>
      <c r="W317" s="224"/>
    </row>
    <row r="318" spans="7:23">
      <c r="G318" s="224"/>
      <c r="H318" s="224"/>
      <c r="I318" s="224"/>
      <c r="O318" s="224">
        <f ca="1"/>
        <v>7</v>
      </c>
      <c r="P318" s="224" t="str">
        <f ca="1"/>
        <v>Payments to suppliers</v>
      </c>
      <c r="Q318" s="224">
        <f ca="1"/>
        <v>-52</v>
      </c>
      <c r="S318" s="224"/>
      <c r="T318" s="224"/>
      <c r="U318" s="224"/>
      <c r="V318" s="224"/>
      <c r="W318" s="224"/>
    </row>
    <row r="319" spans="7:23">
      <c r="G319" s="224"/>
      <c r="H319" s="224"/>
      <c r="I319" s="224"/>
      <c r="O319" s="224"/>
      <c r="S319" s="224"/>
      <c r="T319" s="224"/>
      <c r="U319" s="224"/>
      <c r="V319" s="224"/>
      <c r="W319" s="224"/>
    </row>
    <row r="320" spans="7:23">
      <c r="G320" s="224"/>
      <c r="H320" s="224"/>
      <c r="I320" s="224"/>
      <c r="O320" s="224"/>
      <c r="S320" s="224"/>
      <c r="T320" s="224"/>
      <c r="U320" s="224"/>
      <c r="V320" s="224"/>
      <c r="W320" s="224"/>
    </row>
    <row r="321" spans="15:23">
      <c r="O321" s="224"/>
      <c r="S321" s="224"/>
      <c r="T321" s="224"/>
      <c r="U321" s="224"/>
      <c r="V321" s="224"/>
      <c r="W321" s="224"/>
    </row>
    <row r="322" spans="15:23">
      <c r="O322" s="224"/>
      <c r="S322" s="224"/>
      <c r="T322" s="224"/>
      <c r="U322" s="224"/>
      <c r="V322" s="224"/>
      <c r="W322" s="224"/>
    </row>
    <row r="323" spans="15:23">
      <c r="O323" s="224"/>
      <c r="S323" s="224"/>
      <c r="T323" s="224"/>
      <c r="U323" s="224"/>
      <c r="V323" s="224"/>
      <c r="W323" s="224"/>
    </row>
    <row r="324" spans="15:23">
      <c r="O324" s="224"/>
      <c r="S324" s="224"/>
      <c r="T324" s="224"/>
      <c r="U324" s="224"/>
      <c r="V324" s="224"/>
      <c r="W324" s="224"/>
    </row>
    <row r="325" spans="15:23">
      <c r="O325" s="224"/>
    </row>
    <row r="326" spans="15:23">
      <c r="O326" s="224"/>
    </row>
    <row r="327" spans="15:23">
      <c r="O327" s="224"/>
    </row>
    <row r="328" spans="15:23">
      <c r="O328" s="224"/>
    </row>
    <row r="329" spans="15:23">
      <c r="O329" s="224"/>
    </row>
    <row r="330" spans="15:23">
      <c r="O330" s="224"/>
    </row>
    <row r="331" spans="15:23">
      <c r="O331" s="224"/>
    </row>
    <row r="332" spans="15:23">
      <c r="O332" s="224"/>
    </row>
    <row r="333" spans="15:23">
      <c r="O333" s="224"/>
    </row>
    <row r="334" spans="15:23">
      <c r="O334" s="224"/>
    </row>
    <row r="335" spans="15:23">
      <c r="O335" s="224" cm="1">
        <f t="array" aca="1" ref="O335:Q335" ca="1">IF(ABS(Q312&gt;0),O312:Q312,{"","",""})</f>
        <v>3</v>
      </c>
      <c r="P335" s="224" t="str">
        <f ca="1"/>
        <v>Total Cash Flow from Operating Activities</v>
      </c>
      <c r="Q335" s="553">
        <f ca="1"/>
        <v>39</v>
      </c>
    </row>
    <row r="336" spans="15:23">
      <c r="O336" s="224" cm="1">
        <f t="array" ref="O336:Q336">{2,"Investing Activities",""}</f>
        <v>2</v>
      </c>
      <c r="P336" s="224" t="str">
        <v>Investing Activities</v>
      </c>
      <c r="Q336" t="str">
        <v/>
      </c>
    </row>
    <row r="337" spans="15:17">
      <c r="O337" s="224" t="str" cm="1">
        <f t="array" ref="O337:Q337">IFERROR(_xlfn._xlws.FILTER(O180:Q198,Q180:Q198&lt;&gt;""),{"","",""})</f>
        <v/>
      </c>
      <c r="P337" t="str">
        <v/>
      </c>
      <c r="Q337" t="str">
        <v/>
      </c>
    </row>
    <row r="338" spans="15:17">
      <c r="O338" s="224"/>
    </row>
    <row r="339" spans="15:17">
      <c r="O339" s="224"/>
    </row>
    <row r="340" spans="15:17">
      <c r="O340" s="224"/>
    </row>
    <row r="341" spans="15:17">
      <c r="O341" s="224"/>
    </row>
    <row r="342" spans="15:17">
      <c r="O342" s="224"/>
    </row>
    <row r="343" spans="15:17">
      <c r="O343" s="224"/>
    </row>
    <row r="344" spans="15:17">
      <c r="O344" s="224"/>
    </row>
    <row r="345" spans="15:17">
      <c r="O345" s="224"/>
    </row>
    <row r="346" spans="15:17">
      <c r="O346" s="224"/>
    </row>
    <row r="347" spans="15:17">
      <c r="O347" s="224"/>
    </row>
    <row r="348" spans="15:17">
      <c r="O348" s="224"/>
    </row>
    <row r="349" spans="15:17">
      <c r="O349" s="224"/>
    </row>
    <row r="350" spans="15:17">
      <c r="O350" s="224" t="str" cm="1">
        <f t="array" ref="O350:Q350">IF(ABS(Q313&gt;0),O313:Q313,{"","",""})</f>
        <v/>
      </c>
      <c r="P350" s="224" t="str">
        <v/>
      </c>
      <c r="Q350" t="str">
        <v/>
      </c>
    </row>
    <row r="351" spans="15:17">
      <c r="O351" s="224" cm="1">
        <f t="array" ref="O351:Q351">{2,"Financing Activities",""}</f>
        <v>2</v>
      </c>
      <c r="P351" s="224" t="str">
        <v>Financing Activities</v>
      </c>
      <c r="Q351" t="str">
        <v/>
      </c>
    </row>
    <row r="352" spans="15:17">
      <c r="O352" s="224" cm="1">
        <f t="array" aca="1" ref="O352:Q353" ca="1">IFERROR(_xlfn._xlws.FILTER(O200:Q218,Q200:Q218&lt;&gt;""),{"","",""})</f>
        <v>6</v>
      </c>
      <c r="P352" t="str">
        <f ca="1"/>
        <v>Issued common stock</v>
      </c>
      <c r="Q352">
        <f ca="1"/>
        <v>50</v>
      </c>
    </row>
    <row r="353" spans="15:17">
      <c r="O353" s="224">
        <f ca="1"/>
        <v>7</v>
      </c>
      <c r="P353" t="str">
        <f ca="1"/>
        <v>Got a loan from a bank</v>
      </c>
      <c r="Q353">
        <f ca="1"/>
        <v>50</v>
      </c>
    </row>
    <row r="354" spans="15:17">
      <c r="O354" s="224"/>
    </row>
    <row r="355" spans="15:17">
      <c r="O355" s="224"/>
    </row>
    <row r="356" spans="15:17">
      <c r="O356" s="224"/>
    </row>
    <row r="357" spans="15:17">
      <c r="O357" s="224"/>
    </row>
    <row r="358" spans="15:17">
      <c r="O358" s="224"/>
    </row>
    <row r="359" spans="15:17">
      <c r="O359" s="224"/>
    </row>
    <row r="360" spans="15:17">
      <c r="O360" s="224"/>
    </row>
    <row r="361" spans="15:17">
      <c r="O361" s="224"/>
    </row>
    <row r="362" spans="15:17">
      <c r="O362" s="224"/>
    </row>
    <row r="363" spans="15:17">
      <c r="O363" s="224"/>
    </row>
    <row r="364" spans="15:17">
      <c r="O364" s="224"/>
    </row>
    <row r="365" spans="15:17">
      <c r="O365" s="224" cm="1">
        <f t="array" aca="1" ref="O365:Q365" ca="1">IF(Q314&gt;0,O314:Q314,{"","",""})</f>
        <v>3</v>
      </c>
      <c r="P365" s="224" t="str">
        <f ca="1"/>
        <v>Total Cash Flow from Financing Activities</v>
      </c>
      <c r="Q365">
        <f ca="1"/>
        <v>100</v>
      </c>
    </row>
    <row r="366" spans="15:17">
      <c r="O366" s="224"/>
    </row>
    <row r="367" spans="15:17">
      <c r="O367" s="224" cm="1">
        <f t="array" aca="1" ref="O367:Q368" ca="1">IFERROR(_xlfn._xlws.FILTER(O216:Q234,Q216:Q234&lt;&gt;""),{"","",""})</f>
        <v>3</v>
      </c>
      <c r="P367" t="str">
        <f ca="1"/>
        <v>Increase (decrease) in cash</v>
      </c>
      <c r="Q367">
        <f ca="1"/>
        <v>139</v>
      </c>
    </row>
    <row r="368" spans="15:17">
      <c r="O368" s="224">
        <f ca="1"/>
        <v>5</v>
      </c>
      <c r="P368" t="str">
        <f ca="1"/>
        <v>Cash @ 12/31/20x1</v>
      </c>
      <c r="Q368">
        <f ca="1"/>
        <v>139</v>
      </c>
    </row>
    <row r="369" spans="15:15">
      <c r="O369" s="224"/>
    </row>
    <row r="370" spans="15:15">
      <c r="O370" s="224"/>
    </row>
    <row r="371" spans="15:15">
      <c r="O371" s="224"/>
    </row>
    <row r="372" spans="15:15">
      <c r="O372" s="224"/>
    </row>
    <row r="373" spans="15:15">
      <c r="O373" s="224"/>
    </row>
    <row r="374" spans="15:15">
      <c r="O374" s="224"/>
    </row>
    <row r="375" spans="15:15">
      <c r="O375" s="224"/>
    </row>
    <row r="376" spans="15:15">
      <c r="O376" s="224"/>
    </row>
    <row r="377" spans="15:15">
      <c r="O377" s="224"/>
    </row>
    <row r="378" spans="15:15">
      <c r="O378" s="224"/>
    </row>
    <row r="379" spans="15:15">
      <c r="O379" s="224"/>
    </row>
    <row r="380" spans="15:15">
      <c r="O380" s="224"/>
    </row>
    <row r="381" spans="15:15">
      <c r="O381" s="224"/>
    </row>
    <row r="382" spans="15:15">
      <c r="O382" s="224"/>
    </row>
    <row r="383" spans="15:15">
      <c r="O383" s="224"/>
    </row>
    <row r="384" spans="15:15">
      <c r="O384" s="224"/>
    </row>
    <row r="385" spans="15:17">
      <c r="O385" s="224"/>
    </row>
    <row r="386" spans="15:17">
      <c r="O386" s="224"/>
    </row>
    <row r="387" spans="15:17">
      <c r="O387" s="224"/>
    </row>
    <row r="388" spans="15:17">
      <c r="O388" s="224"/>
    </row>
    <row r="389" spans="15:17">
      <c r="O389" s="224"/>
    </row>
    <row r="390" spans="15:17">
      <c r="O390" s="224"/>
    </row>
    <row r="400" spans="15:17">
      <c r="O400" s="423" t="s">
        <v>591</v>
      </c>
      <c r="P400" s="224"/>
      <c r="Q400" s="224"/>
    </row>
    <row r="401" spans="15:17">
      <c r="O401" s="224" cm="1">
        <f t="array" aca="1" ref="O401:Q406"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224" t="str">
        <f ca="1"/>
        <v>Adjustments</v>
      </c>
      <c r="Q401" s="548" t="str">
        <f ca="1"/>
        <v/>
      </c>
    </row>
    <row r="402" spans="15:17">
      <c r="O402" s="224" t="str">
        <f ca="1"/>
        <v/>
      </c>
      <c r="P402" s="224" t="str">
        <f ca="1"/>
        <v/>
      </c>
      <c r="Q402" s="548" t="str">
        <f ca="1"/>
        <v/>
      </c>
    </row>
    <row r="403" spans="15:17">
      <c r="O403" s="224" t="str">
        <f ca="1"/>
        <v/>
      </c>
      <c r="P403" s="224" t="str">
        <f ca="1"/>
        <v/>
      </c>
      <c r="Q403" s="548" t="str">
        <f ca="1"/>
        <v/>
      </c>
    </row>
    <row r="404" spans="15:17">
      <c r="O404" s="224">
        <f ca="1"/>
        <v>4</v>
      </c>
      <c r="P404" s="224" t="str">
        <f ca="1"/>
        <v>Changes in Assets and Liabilities Due to Operations</v>
      </c>
      <c r="Q404" s="548" t="str">
        <f ca="1"/>
        <v/>
      </c>
    </row>
    <row r="405" spans="15:17">
      <c r="O405" s="224" t="str">
        <f ca="1"/>
        <v/>
      </c>
      <c r="P405" s="224" t="str">
        <f ca="1"/>
        <v/>
      </c>
      <c r="Q405" s="548" t="str">
        <f ca="1"/>
        <v/>
      </c>
    </row>
    <row r="406" spans="15:17">
      <c r="O406" s="42" t="str">
        <f ca="1"/>
        <v/>
      </c>
      <c r="P406" t="str">
        <f ca="1"/>
        <v/>
      </c>
      <c r="Q406" s="37" t="str">
        <f ca="1"/>
        <v/>
      </c>
    </row>
    <row r="407" spans="15:17">
      <c r="Q407" s="37"/>
    </row>
    <row r="408" spans="15:17">
      <c r="Q408" s="37"/>
    </row>
    <row r="409" spans="15:17">
      <c r="Q409" s="37"/>
    </row>
    <row r="410" spans="15:17">
      <c r="Q410" s="37"/>
    </row>
    <row r="411" spans="15:17">
      <c r="O411"/>
      <c r="Q411" s="37"/>
    </row>
    <row r="412" spans="15:17">
      <c r="Q412" s="37"/>
    </row>
    <row r="413" spans="15:17">
      <c r="Q413" s="37"/>
    </row>
    <row r="414" spans="15:17">
      <c r="Q414" s="37"/>
    </row>
    <row r="415" spans="15:17">
      <c r="Q415" s="37"/>
    </row>
    <row r="416" spans="15:17">
      <c r="Q416" s="37"/>
    </row>
    <row r="417" spans="16:17">
      <c r="Q417" s="37"/>
    </row>
    <row r="418" spans="16:17">
      <c r="Q418" s="37"/>
    </row>
    <row r="419" spans="16:17">
      <c r="Q419" s="37"/>
    </row>
    <row r="420" spans="16:17">
      <c r="Q420" s="37"/>
    </row>
    <row r="421" spans="16:17">
      <c r="Q421" s="37"/>
    </row>
    <row r="422" spans="16:17">
      <c r="Q422" s="37"/>
    </row>
    <row r="423" spans="16:17">
      <c r="Q423" s="37"/>
    </row>
    <row r="424" spans="16:17">
      <c r="Q424" s="37"/>
    </row>
    <row r="425" spans="16:17">
      <c r="Q425" s="37"/>
    </row>
    <row r="427" spans="16:17">
      <c r="P427" s="5" t="s">
        <v>876</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607</v>
      </c>
      <c r="Q431" s="5">
        <f>SUM(Q428:Q430)</f>
        <v>3</v>
      </c>
    </row>
    <row r="438" spans="16:17">
      <c r="P438" t="s">
        <v>829</v>
      </c>
      <c r="Q438">
        <v>0</v>
      </c>
    </row>
    <row r="439" spans="16:17">
      <c r="P439" t="s">
        <v>877</v>
      </c>
      <c r="Q439">
        <v>2</v>
      </c>
    </row>
    <row r="440" spans="16:17">
      <c r="P440" t="s">
        <v>878</v>
      </c>
      <c r="Q440">
        <v>3</v>
      </c>
    </row>
    <row r="441" spans="16:17">
      <c r="P441" t="s">
        <v>879</v>
      </c>
      <c r="Q441">
        <v>4</v>
      </c>
    </row>
    <row r="442" spans="16:17">
      <c r="P442" t="s">
        <v>880</v>
      </c>
      <c r="Q442">
        <v>6</v>
      </c>
    </row>
  </sheetData>
  <mergeCells count="1">
    <mergeCell ref="H4:Q4"/>
  </mergeCells>
  <dataValidations disablePrompts="1"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C2:AZ163"/>
  <sheetViews>
    <sheetView workbookViewId="0">
      <selection activeCell="C723" sqref="C723"/>
    </sheetView>
  </sheetViews>
  <sheetFormatPr defaultRowHeight="14.45"/>
  <cols>
    <col min="2" max="2" width="11.42578125" customWidth="1"/>
    <col min="3" max="3" width="27.28515625" bestFit="1" customWidth="1"/>
    <col min="4" max="4" width="4.85546875" bestFit="1" customWidth="1"/>
    <col min="6" max="6" width="18.7109375" bestFit="1" customWidth="1"/>
    <col min="8" max="8" width="18.140625" bestFit="1" customWidth="1"/>
    <col min="9" max="9" width="38.42578125" bestFit="1" customWidth="1"/>
    <col min="19" max="19" width="38.5703125" bestFit="1" customWidth="1"/>
    <col min="22" max="22" width="51.85546875" bestFit="1" customWidth="1"/>
    <col min="25" max="25" width="9" customWidth="1"/>
  </cols>
  <sheetData>
    <row r="2" spans="3:48">
      <c r="C2" t="s">
        <v>452</v>
      </c>
    </row>
    <row r="4" spans="3:48">
      <c r="C4" t="s">
        <v>644</v>
      </c>
      <c r="F4" t="s">
        <v>881</v>
      </c>
      <c r="Y4" t="s">
        <v>645</v>
      </c>
    </row>
    <row r="5" spans="3:48">
      <c r="AD5" t="s">
        <v>65</v>
      </c>
    </row>
    <row r="6" spans="3:48">
      <c r="C6" t="s">
        <v>625</v>
      </c>
      <c r="E6">
        <v>1</v>
      </c>
      <c r="F6" t="s">
        <v>586</v>
      </c>
      <c r="I6">
        <v>1</v>
      </c>
      <c r="J6" t="s">
        <v>696</v>
      </c>
      <c r="T6">
        <v>1</v>
      </c>
      <c r="U6" t="s">
        <v>626</v>
      </c>
      <c r="X6">
        <v>1</v>
      </c>
      <c r="Y6" t="s">
        <v>625</v>
      </c>
      <c r="AD6" t="s">
        <v>92</v>
      </c>
      <c r="AH6" t="s">
        <v>92</v>
      </c>
      <c r="AL6" t="s">
        <v>92</v>
      </c>
      <c r="AP6" t="s">
        <v>92</v>
      </c>
      <c r="AT6" t="s">
        <v>92</v>
      </c>
    </row>
    <row r="7" spans="3:48">
      <c r="C7" t="s">
        <v>65</v>
      </c>
      <c r="E7">
        <v>2</v>
      </c>
      <c r="F7" t="s">
        <v>69</v>
      </c>
      <c r="H7">
        <v>0</v>
      </c>
      <c r="I7">
        <v>2</v>
      </c>
      <c r="J7" t="s">
        <v>882</v>
      </c>
      <c r="K7" t="s">
        <v>244</v>
      </c>
      <c r="L7" t="s">
        <v>883</v>
      </c>
      <c r="T7">
        <v>2</v>
      </c>
      <c r="U7" t="s">
        <v>20</v>
      </c>
      <c r="X7">
        <v>2</v>
      </c>
      <c r="Y7" t="s">
        <v>65</v>
      </c>
      <c r="AA7">
        <v>0</v>
      </c>
      <c r="AC7" t="s">
        <v>884</v>
      </c>
      <c r="AD7">
        <v>0</v>
      </c>
      <c r="AE7">
        <v>0</v>
      </c>
      <c r="AF7" t="s">
        <v>884</v>
      </c>
      <c r="AG7" t="s">
        <v>884</v>
      </c>
      <c r="AH7">
        <v>0</v>
      </c>
      <c r="AI7">
        <v>0</v>
      </c>
      <c r="AJ7" t="s">
        <v>884</v>
      </c>
      <c r="AK7" t="s">
        <v>884</v>
      </c>
      <c r="AL7">
        <v>0</v>
      </c>
      <c r="AM7">
        <v>0</v>
      </c>
      <c r="AN7" t="s">
        <v>884</v>
      </c>
      <c r="AO7" t="s">
        <v>884</v>
      </c>
      <c r="AP7">
        <v>0</v>
      </c>
      <c r="AQ7">
        <v>0</v>
      </c>
      <c r="AR7" t="s">
        <v>884</v>
      </c>
      <c r="AS7" t="s">
        <v>884</v>
      </c>
      <c r="AT7">
        <v>0</v>
      </c>
      <c r="AU7">
        <v>0</v>
      </c>
      <c r="AV7" t="s">
        <v>884</v>
      </c>
    </row>
    <row r="8" spans="3:48">
      <c r="C8" t="s">
        <v>885</v>
      </c>
      <c r="H8">
        <v>0</v>
      </c>
      <c r="I8">
        <v>3</v>
      </c>
      <c r="J8" t="s">
        <v>886</v>
      </c>
      <c r="K8">
        <v>60</v>
      </c>
      <c r="L8">
        <v>60</v>
      </c>
      <c r="N8">
        <v>0</v>
      </c>
      <c r="O8">
        <v>0</v>
      </c>
      <c r="P8">
        <v>0</v>
      </c>
      <c r="Q8">
        <v>0</v>
      </c>
      <c r="R8">
        <v>0</v>
      </c>
      <c r="X8">
        <v>4</v>
      </c>
      <c r="Y8" t="s">
        <v>885</v>
      </c>
      <c r="AA8">
        <v>0</v>
      </c>
      <c r="AD8">
        <v>0</v>
      </c>
      <c r="AE8">
        <v>0</v>
      </c>
      <c r="AH8">
        <v>0</v>
      </c>
      <c r="AI8">
        <v>0</v>
      </c>
      <c r="AL8">
        <v>0</v>
      </c>
      <c r="AM8">
        <v>0</v>
      </c>
      <c r="AP8">
        <v>0</v>
      </c>
      <c r="AQ8">
        <v>0</v>
      </c>
      <c r="AT8">
        <v>0</v>
      </c>
      <c r="AU8">
        <v>0</v>
      </c>
    </row>
    <row r="9" spans="3:48">
      <c r="C9" t="s">
        <v>115</v>
      </c>
      <c r="D9">
        <v>55</v>
      </c>
      <c r="H9">
        <v>0</v>
      </c>
      <c r="I9">
        <v>3</v>
      </c>
      <c r="J9" t="s">
        <v>887</v>
      </c>
      <c r="K9">
        <v>60</v>
      </c>
      <c r="L9">
        <v>60</v>
      </c>
      <c r="N9">
        <v>0</v>
      </c>
      <c r="O9">
        <v>0</v>
      </c>
      <c r="P9">
        <v>0</v>
      </c>
      <c r="Q9">
        <v>0</v>
      </c>
      <c r="R9">
        <v>0</v>
      </c>
      <c r="X9">
        <v>6</v>
      </c>
      <c r="Y9" t="s">
        <v>115</v>
      </c>
      <c r="Z9">
        <v>55</v>
      </c>
      <c r="AA9">
        <v>0</v>
      </c>
    </row>
    <row r="10" spans="3:48">
      <c r="C10" t="s">
        <v>130</v>
      </c>
      <c r="D10">
        <v>0</v>
      </c>
      <c r="H10">
        <v>0</v>
      </c>
      <c r="T10">
        <v>2</v>
      </c>
      <c r="U10" t="s">
        <v>17</v>
      </c>
      <c r="X10">
        <v>7</v>
      </c>
      <c r="Y10" t="s">
        <v>130</v>
      </c>
      <c r="Z10">
        <v>0</v>
      </c>
      <c r="AA10">
        <v>0</v>
      </c>
    </row>
    <row r="11" spans="3:48">
      <c r="C11" t="s">
        <v>852</v>
      </c>
      <c r="D11">
        <v>55</v>
      </c>
      <c r="E11">
        <v>2</v>
      </c>
      <c r="F11" t="s">
        <v>70</v>
      </c>
      <c r="H11">
        <v>0</v>
      </c>
      <c r="X11">
        <v>5</v>
      </c>
      <c r="Y11" t="s">
        <v>852</v>
      </c>
      <c r="Z11">
        <v>55</v>
      </c>
      <c r="AA11">
        <v>0</v>
      </c>
    </row>
    <row r="12" spans="3:48">
      <c r="C12" t="s">
        <v>888</v>
      </c>
      <c r="H12">
        <v>0</v>
      </c>
      <c r="X12">
        <v>4</v>
      </c>
      <c r="Y12" t="s">
        <v>888</v>
      </c>
      <c r="AA12">
        <v>0</v>
      </c>
    </row>
    <row r="13" spans="3:48">
      <c r="C13" t="s">
        <v>164</v>
      </c>
      <c r="D13">
        <v>5</v>
      </c>
      <c r="H13">
        <v>0</v>
      </c>
      <c r="T13">
        <v>2</v>
      </c>
      <c r="U13" t="s">
        <v>19</v>
      </c>
      <c r="X13">
        <v>6</v>
      </c>
      <c r="Y13" t="s">
        <v>164</v>
      </c>
      <c r="Z13">
        <v>5</v>
      </c>
      <c r="AA13">
        <v>0</v>
      </c>
    </row>
    <row r="14" spans="3:48">
      <c r="C14" t="s">
        <v>853</v>
      </c>
      <c r="D14">
        <v>5</v>
      </c>
      <c r="H14">
        <v>0</v>
      </c>
      <c r="X14">
        <v>5</v>
      </c>
      <c r="Y14" t="s">
        <v>853</v>
      </c>
      <c r="Z14">
        <v>5</v>
      </c>
      <c r="AA14">
        <v>0</v>
      </c>
    </row>
    <row r="15" spans="3:48">
      <c r="C15" t="s">
        <v>854</v>
      </c>
      <c r="D15">
        <v>60</v>
      </c>
      <c r="H15">
        <v>0</v>
      </c>
      <c r="X15">
        <v>3</v>
      </c>
      <c r="Y15" t="s">
        <v>854</v>
      </c>
      <c r="Z15">
        <v>60</v>
      </c>
      <c r="AA15">
        <v>0</v>
      </c>
    </row>
    <row r="16" spans="3:48">
      <c r="C16" t="s">
        <v>66</v>
      </c>
      <c r="E16">
        <v>3</v>
      </c>
      <c r="F16" t="s">
        <v>72</v>
      </c>
      <c r="G16">
        <v>0</v>
      </c>
      <c r="H16">
        <v>0</v>
      </c>
      <c r="T16">
        <v>5</v>
      </c>
      <c r="U16" t="s">
        <v>889</v>
      </c>
      <c r="V16">
        <v>55</v>
      </c>
      <c r="X16">
        <v>2</v>
      </c>
      <c r="Y16" t="s">
        <v>66</v>
      </c>
      <c r="AA16">
        <v>0</v>
      </c>
    </row>
    <row r="17" spans="3:52">
      <c r="C17" t="s">
        <v>890</v>
      </c>
      <c r="H17">
        <v>0</v>
      </c>
      <c r="T17">
        <v>5</v>
      </c>
      <c r="U17" t="s">
        <v>891</v>
      </c>
      <c r="V17">
        <v>55</v>
      </c>
      <c r="X17">
        <v>4</v>
      </c>
      <c r="Y17" t="s">
        <v>890</v>
      </c>
      <c r="AA17">
        <v>0</v>
      </c>
    </row>
    <row r="18" spans="3:52">
      <c r="C18" t="s">
        <v>234</v>
      </c>
      <c r="D18">
        <v>0</v>
      </c>
      <c r="H18">
        <v>0</v>
      </c>
      <c r="X18">
        <v>6</v>
      </c>
      <c r="Y18" t="s">
        <v>892</v>
      </c>
      <c r="Z18">
        <v>0</v>
      </c>
      <c r="AA18">
        <v>0</v>
      </c>
    </row>
    <row r="19" spans="3:52">
      <c r="C19" t="s">
        <v>855</v>
      </c>
      <c r="D19">
        <v>0</v>
      </c>
      <c r="H19">
        <v>0</v>
      </c>
      <c r="X19">
        <v>5</v>
      </c>
      <c r="Y19" t="s">
        <v>855</v>
      </c>
      <c r="Z19">
        <v>0</v>
      </c>
      <c r="AA19">
        <v>0</v>
      </c>
      <c r="AZ19">
        <v>1</v>
      </c>
    </row>
    <row r="20" spans="3:52">
      <c r="C20" t="s">
        <v>893</v>
      </c>
      <c r="H20">
        <v>0</v>
      </c>
      <c r="T20">
        <v>1</v>
      </c>
      <c r="U20" t="s">
        <v>697</v>
      </c>
      <c r="X20">
        <v>4</v>
      </c>
      <c r="Y20" t="s">
        <v>893</v>
      </c>
      <c r="AA20">
        <v>0</v>
      </c>
      <c r="AC20" t="s">
        <v>894</v>
      </c>
      <c r="AD20">
        <v>0</v>
      </c>
      <c r="AE20">
        <v>0</v>
      </c>
      <c r="AF20" t="s">
        <v>894</v>
      </c>
      <c r="AG20" t="s">
        <v>894</v>
      </c>
      <c r="AH20">
        <v>0</v>
      </c>
      <c r="AI20">
        <v>0</v>
      </c>
      <c r="AJ20" t="s">
        <v>894</v>
      </c>
      <c r="AK20" t="s">
        <v>894</v>
      </c>
      <c r="AL20">
        <v>0</v>
      </c>
      <c r="AM20">
        <v>0</v>
      </c>
      <c r="AN20" t="s">
        <v>894</v>
      </c>
      <c r="AO20" t="s">
        <v>894</v>
      </c>
      <c r="AP20">
        <v>0</v>
      </c>
      <c r="AQ20">
        <v>0</v>
      </c>
      <c r="AR20" t="s">
        <v>894</v>
      </c>
      <c r="AS20" t="s">
        <v>894</v>
      </c>
      <c r="AT20">
        <v>0</v>
      </c>
      <c r="AU20">
        <v>0</v>
      </c>
      <c r="AV20" t="s">
        <v>894</v>
      </c>
    </row>
    <row r="21" spans="3:52">
      <c r="C21" t="s">
        <v>236</v>
      </c>
      <c r="D21">
        <v>0</v>
      </c>
      <c r="H21">
        <v>0</v>
      </c>
      <c r="T21">
        <v>3</v>
      </c>
      <c r="U21" t="s">
        <v>862</v>
      </c>
      <c r="V21">
        <v>0</v>
      </c>
      <c r="X21">
        <v>6</v>
      </c>
      <c r="Y21" t="s">
        <v>895</v>
      </c>
      <c r="Z21">
        <v>0</v>
      </c>
      <c r="AA21">
        <v>0</v>
      </c>
      <c r="AD21" t="s">
        <v>66</v>
      </c>
    </row>
    <row r="22" spans="3:52">
      <c r="C22" t="s">
        <v>856</v>
      </c>
      <c r="D22">
        <v>0</v>
      </c>
      <c r="H22">
        <v>0</v>
      </c>
      <c r="T22">
        <v>4</v>
      </c>
      <c r="U22" t="s">
        <v>896</v>
      </c>
      <c r="X22">
        <v>5</v>
      </c>
      <c r="Y22" t="s">
        <v>856</v>
      </c>
      <c r="Z22">
        <v>0</v>
      </c>
      <c r="AA22">
        <v>0</v>
      </c>
      <c r="AD22" t="s">
        <v>92</v>
      </c>
      <c r="AH22" t="s">
        <v>92</v>
      </c>
      <c r="AL22" t="s">
        <v>92</v>
      </c>
      <c r="AP22" t="s">
        <v>92</v>
      </c>
      <c r="AT22" t="s">
        <v>92</v>
      </c>
    </row>
    <row r="23" spans="3:52">
      <c r="C23" t="s">
        <v>858</v>
      </c>
      <c r="D23">
        <v>0</v>
      </c>
      <c r="H23">
        <v>0</v>
      </c>
      <c r="X23">
        <v>3</v>
      </c>
      <c r="Y23" t="s">
        <v>858</v>
      </c>
      <c r="Z23">
        <v>0</v>
      </c>
      <c r="AA23">
        <v>0</v>
      </c>
      <c r="AC23" t="s">
        <v>884</v>
      </c>
      <c r="AD23">
        <v>0</v>
      </c>
      <c r="AE23">
        <v>0</v>
      </c>
      <c r="AF23" t="s">
        <v>884</v>
      </c>
      <c r="AG23" t="s">
        <v>884</v>
      </c>
      <c r="AH23">
        <v>0</v>
      </c>
      <c r="AI23">
        <v>0</v>
      </c>
      <c r="AJ23" t="s">
        <v>884</v>
      </c>
      <c r="AK23" t="s">
        <v>884</v>
      </c>
      <c r="AL23">
        <v>0</v>
      </c>
      <c r="AM23">
        <v>0</v>
      </c>
      <c r="AN23" t="s">
        <v>884</v>
      </c>
      <c r="AO23" t="s">
        <v>884</v>
      </c>
      <c r="AP23">
        <v>0</v>
      </c>
      <c r="AQ23">
        <v>0</v>
      </c>
      <c r="AR23" t="s">
        <v>884</v>
      </c>
      <c r="AS23" t="s">
        <v>884</v>
      </c>
      <c r="AT23">
        <v>0</v>
      </c>
      <c r="AU23">
        <v>0</v>
      </c>
      <c r="AV23" t="s">
        <v>884</v>
      </c>
    </row>
    <row r="24" spans="3:52">
      <c r="C24" t="s">
        <v>67</v>
      </c>
      <c r="H24">
        <v>0</v>
      </c>
      <c r="T24">
        <v>4</v>
      </c>
      <c r="U24" t="s">
        <v>897</v>
      </c>
      <c r="X24">
        <v>2</v>
      </c>
      <c r="Y24" t="s">
        <v>67</v>
      </c>
      <c r="AA24">
        <v>0</v>
      </c>
      <c r="AD24">
        <v>0</v>
      </c>
      <c r="AE24">
        <v>0</v>
      </c>
      <c r="AH24">
        <v>0</v>
      </c>
      <c r="AI24">
        <v>0</v>
      </c>
      <c r="AL24">
        <v>0</v>
      </c>
      <c r="AM24">
        <v>0</v>
      </c>
      <c r="AP24">
        <v>0</v>
      </c>
      <c r="AQ24">
        <v>0</v>
      </c>
      <c r="AT24">
        <v>0</v>
      </c>
      <c r="AU24">
        <v>0</v>
      </c>
    </row>
    <row r="25" spans="3:52">
      <c r="C25" t="s">
        <v>243</v>
      </c>
      <c r="D25">
        <v>60</v>
      </c>
      <c r="H25">
        <v>0</v>
      </c>
      <c r="X25">
        <v>6</v>
      </c>
      <c r="Y25" t="s">
        <v>243</v>
      </c>
      <c r="Z25">
        <v>60</v>
      </c>
      <c r="AA25">
        <v>0</v>
      </c>
    </row>
    <row r="26" spans="3:52">
      <c r="C26" t="s">
        <v>252</v>
      </c>
      <c r="D26">
        <v>0</v>
      </c>
      <c r="H26">
        <v>0</v>
      </c>
      <c r="T26">
        <v>3</v>
      </c>
      <c r="U26" t="s">
        <v>898</v>
      </c>
      <c r="V26">
        <v>0</v>
      </c>
      <c r="X26">
        <v>7</v>
      </c>
      <c r="Y26" t="s">
        <v>252</v>
      </c>
      <c r="Z26">
        <v>0</v>
      </c>
      <c r="AA26">
        <v>0</v>
      </c>
    </row>
    <row r="27" spans="3:52">
      <c r="C27" t="s">
        <v>859</v>
      </c>
      <c r="D27">
        <v>60</v>
      </c>
      <c r="H27">
        <v>0</v>
      </c>
      <c r="X27">
        <v>3</v>
      </c>
      <c r="Y27" t="s">
        <v>859</v>
      </c>
      <c r="Z27">
        <v>60</v>
      </c>
      <c r="AA27">
        <v>0</v>
      </c>
    </row>
    <row r="28" spans="3:52">
      <c r="C28" t="s">
        <v>899</v>
      </c>
      <c r="D28">
        <v>60</v>
      </c>
      <c r="H28">
        <v>0</v>
      </c>
      <c r="X28">
        <v>3</v>
      </c>
      <c r="Y28" t="s">
        <v>899</v>
      </c>
      <c r="Z28">
        <v>60</v>
      </c>
      <c r="AA28">
        <v>0</v>
      </c>
    </row>
    <row r="29" spans="3:52">
      <c r="H29">
        <v>0</v>
      </c>
      <c r="AA29">
        <v>0</v>
      </c>
    </row>
    <row r="30" spans="3:52">
      <c r="H30">
        <v>0</v>
      </c>
      <c r="AA30">
        <v>0</v>
      </c>
      <c r="AC30" t="s">
        <v>894</v>
      </c>
      <c r="AD30">
        <v>0</v>
      </c>
      <c r="AE30">
        <v>0</v>
      </c>
      <c r="AF30" t="s">
        <v>894</v>
      </c>
      <c r="AG30" t="s">
        <v>894</v>
      </c>
      <c r="AH30">
        <v>0</v>
      </c>
      <c r="AI30">
        <v>0</v>
      </c>
      <c r="AJ30" t="s">
        <v>894</v>
      </c>
      <c r="AK30" t="s">
        <v>894</v>
      </c>
      <c r="AL30">
        <v>0</v>
      </c>
      <c r="AM30">
        <v>0</v>
      </c>
      <c r="AN30" t="s">
        <v>894</v>
      </c>
      <c r="AO30" t="s">
        <v>894</v>
      </c>
      <c r="AP30">
        <v>0</v>
      </c>
      <c r="AQ30">
        <v>0</v>
      </c>
      <c r="AR30" t="s">
        <v>894</v>
      </c>
      <c r="AS30" t="s">
        <v>894</v>
      </c>
      <c r="AT30">
        <v>0</v>
      </c>
      <c r="AU30">
        <v>0</v>
      </c>
      <c r="AV30" t="s">
        <v>894</v>
      </c>
    </row>
    <row r="31" spans="3:52">
      <c r="H31">
        <v>0</v>
      </c>
      <c r="AA31">
        <v>0</v>
      </c>
      <c r="AD31" t="s">
        <v>67</v>
      </c>
    </row>
    <row r="32" spans="3:52">
      <c r="H32">
        <v>0</v>
      </c>
      <c r="AA32">
        <v>0</v>
      </c>
      <c r="AD32" t="s">
        <v>92</v>
      </c>
      <c r="AH32" t="s">
        <v>92</v>
      </c>
      <c r="AL32" t="s">
        <v>92</v>
      </c>
      <c r="AP32" t="s">
        <v>92</v>
      </c>
      <c r="AT32" t="s">
        <v>92</v>
      </c>
    </row>
    <row r="33" spans="8:48">
      <c r="H33">
        <v>0</v>
      </c>
      <c r="AA33">
        <v>0</v>
      </c>
      <c r="AC33" t="s">
        <v>884</v>
      </c>
      <c r="AD33">
        <v>0</v>
      </c>
      <c r="AE33">
        <v>0</v>
      </c>
      <c r="AF33" t="s">
        <v>884</v>
      </c>
      <c r="AG33" t="s">
        <v>884</v>
      </c>
      <c r="AH33">
        <v>0</v>
      </c>
      <c r="AI33">
        <v>0</v>
      </c>
      <c r="AJ33" t="s">
        <v>884</v>
      </c>
      <c r="AK33" t="s">
        <v>884</v>
      </c>
      <c r="AL33">
        <v>0</v>
      </c>
      <c r="AM33">
        <v>0</v>
      </c>
      <c r="AN33" t="s">
        <v>884</v>
      </c>
      <c r="AO33" t="s">
        <v>884</v>
      </c>
      <c r="AP33">
        <v>0</v>
      </c>
      <c r="AQ33">
        <v>0</v>
      </c>
      <c r="AR33" t="s">
        <v>884</v>
      </c>
      <c r="AS33" t="s">
        <v>884</v>
      </c>
      <c r="AT33">
        <v>0</v>
      </c>
      <c r="AU33">
        <v>0</v>
      </c>
      <c r="AV33" t="s">
        <v>884</v>
      </c>
    </row>
    <row r="34" spans="8:48">
      <c r="H34">
        <v>0</v>
      </c>
      <c r="AA34">
        <v>0</v>
      </c>
      <c r="AD34">
        <v>0</v>
      </c>
      <c r="AE34">
        <v>0</v>
      </c>
      <c r="AH34">
        <v>0</v>
      </c>
      <c r="AI34">
        <v>0</v>
      </c>
      <c r="AL34">
        <v>0</v>
      </c>
      <c r="AM34">
        <v>0</v>
      </c>
      <c r="AP34">
        <v>0</v>
      </c>
      <c r="AQ34">
        <v>0</v>
      </c>
      <c r="AT34">
        <v>0</v>
      </c>
      <c r="AU34">
        <v>0</v>
      </c>
    </row>
    <row r="35" spans="8:48">
      <c r="H35">
        <v>0</v>
      </c>
      <c r="AA35">
        <v>0</v>
      </c>
    </row>
    <row r="36" spans="8:48">
      <c r="H36">
        <v>0</v>
      </c>
      <c r="AA36">
        <v>0</v>
      </c>
    </row>
    <row r="37" spans="8:48">
      <c r="H37">
        <v>0</v>
      </c>
      <c r="AA37">
        <v>0</v>
      </c>
    </row>
    <row r="38" spans="8:48">
      <c r="H38">
        <v>0</v>
      </c>
      <c r="AA38">
        <v>0</v>
      </c>
    </row>
    <row r="39" spans="8:48">
      <c r="H39">
        <v>0</v>
      </c>
      <c r="AA39">
        <v>0</v>
      </c>
    </row>
    <row r="40" spans="8:48">
      <c r="H40">
        <v>0</v>
      </c>
      <c r="AA40">
        <v>0</v>
      </c>
      <c r="AC40" t="s">
        <v>894</v>
      </c>
      <c r="AD40">
        <v>0</v>
      </c>
      <c r="AE40">
        <v>0</v>
      </c>
      <c r="AF40" t="s">
        <v>894</v>
      </c>
      <c r="AG40" t="s">
        <v>894</v>
      </c>
      <c r="AH40">
        <v>0</v>
      </c>
      <c r="AI40">
        <v>0</v>
      </c>
      <c r="AJ40" t="s">
        <v>894</v>
      </c>
      <c r="AK40" t="s">
        <v>894</v>
      </c>
      <c r="AL40">
        <v>0</v>
      </c>
      <c r="AM40">
        <v>0</v>
      </c>
      <c r="AN40" t="s">
        <v>894</v>
      </c>
      <c r="AO40" t="s">
        <v>894</v>
      </c>
      <c r="AP40">
        <v>0</v>
      </c>
      <c r="AQ40">
        <v>0</v>
      </c>
      <c r="AR40" t="s">
        <v>894</v>
      </c>
      <c r="AS40" t="s">
        <v>894</v>
      </c>
      <c r="AT40">
        <v>0</v>
      </c>
      <c r="AU40">
        <v>0</v>
      </c>
      <c r="AV40" t="s">
        <v>894</v>
      </c>
    </row>
    <row r="41" spans="8:48">
      <c r="H41">
        <v>0</v>
      </c>
      <c r="AA41">
        <v>0</v>
      </c>
      <c r="AD41" t="s">
        <v>900</v>
      </c>
    </row>
    <row r="42" spans="8:48">
      <c r="H42">
        <v>0</v>
      </c>
      <c r="AA42">
        <v>0</v>
      </c>
      <c r="AD42" t="s">
        <v>92</v>
      </c>
      <c r="AH42" t="s">
        <v>92</v>
      </c>
      <c r="AL42" t="s">
        <v>92</v>
      </c>
      <c r="AP42" t="s">
        <v>92</v>
      </c>
      <c r="AT42" t="s">
        <v>92</v>
      </c>
    </row>
    <row r="43" spans="8:48">
      <c r="H43">
        <v>0</v>
      </c>
      <c r="AA43">
        <v>0</v>
      </c>
      <c r="AD43">
        <v>0</v>
      </c>
      <c r="AE43">
        <v>0</v>
      </c>
      <c r="AH43">
        <v>0</v>
      </c>
      <c r="AI43">
        <v>0</v>
      </c>
      <c r="AL43">
        <v>0</v>
      </c>
      <c r="AM43">
        <v>0</v>
      </c>
      <c r="AP43">
        <v>0</v>
      </c>
      <c r="AQ43">
        <v>0</v>
      </c>
      <c r="AT43">
        <v>0</v>
      </c>
      <c r="AU43">
        <v>0</v>
      </c>
    </row>
    <row r="44" spans="8:48">
      <c r="H44">
        <v>0</v>
      </c>
      <c r="AA44">
        <v>0</v>
      </c>
    </row>
    <row r="45" spans="8:48">
      <c r="H45">
        <v>0</v>
      </c>
      <c r="AA45">
        <v>0</v>
      </c>
    </row>
    <row r="46" spans="8:48">
      <c r="H46">
        <v>0</v>
      </c>
      <c r="AA46">
        <v>0</v>
      </c>
    </row>
    <row r="47" spans="8:48">
      <c r="H47">
        <v>0</v>
      </c>
      <c r="AA47">
        <v>0</v>
      </c>
    </row>
    <row r="48" spans="8:48">
      <c r="H48">
        <v>0</v>
      </c>
      <c r="AA48">
        <v>0</v>
      </c>
    </row>
    <row r="49" spans="8:48">
      <c r="H49">
        <v>0</v>
      </c>
      <c r="AA49">
        <v>0</v>
      </c>
    </row>
    <row r="50" spans="8:48">
      <c r="H50">
        <v>0</v>
      </c>
      <c r="AA50">
        <v>0</v>
      </c>
      <c r="AC50" t="s">
        <v>894</v>
      </c>
      <c r="AD50">
        <v>0</v>
      </c>
      <c r="AE50">
        <v>0</v>
      </c>
      <c r="AF50" t="s">
        <v>894</v>
      </c>
      <c r="AG50" t="s">
        <v>894</v>
      </c>
      <c r="AH50">
        <v>0</v>
      </c>
      <c r="AI50">
        <v>0</v>
      </c>
      <c r="AJ50" t="s">
        <v>894</v>
      </c>
      <c r="AK50" t="s">
        <v>894</v>
      </c>
      <c r="AL50">
        <v>0</v>
      </c>
      <c r="AM50">
        <v>0</v>
      </c>
      <c r="AN50" t="s">
        <v>894</v>
      </c>
      <c r="AO50" t="s">
        <v>894</v>
      </c>
      <c r="AP50">
        <v>0</v>
      </c>
      <c r="AQ50">
        <v>0</v>
      </c>
      <c r="AR50" t="s">
        <v>894</v>
      </c>
      <c r="AS50" t="s">
        <v>894</v>
      </c>
      <c r="AT50">
        <v>0</v>
      </c>
      <c r="AU50">
        <v>0</v>
      </c>
      <c r="AV50" t="s">
        <v>894</v>
      </c>
    </row>
    <row r="51" spans="8:48">
      <c r="H51">
        <v>0</v>
      </c>
      <c r="AA51">
        <v>0</v>
      </c>
      <c r="AD51" t="s">
        <v>901</v>
      </c>
    </row>
    <row r="52" spans="8:48">
      <c r="H52">
        <v>0</v>
      </c>
      <c r="AA52">
        <v>0</v>
      </c>
      <c r="AD52" t="s">
        <v>92</v>
      </c>
      <c r="AH52" t="s">
        <v>92</v>
      </c>
      <c r="AL52" t="s">
        <v>92</v>
      </c>
      <c r="AP52" t="s">
        <v>92</v>
      </c>
      <c r="AT52" t="s">
        <v>92</v>
      </c>
    </row>
    <row r="53" spans="8:48">
      <c r="H53">
        <v>0</v>
      </c>
      <c r="AA53">
        <v>0</v>
      </c>
      <c r="AD53">
        <v>0</v>
      </c>
      <c r="AE53">
        <v>0</v>
      </c>
      <c r="AH53">
        <v>0</v>
      </c>
      <c r="AI53">
        <v>0</v>
      </c>
      <c r="AL53">
        <v>0</v>
      </c>
      <c r="AM53">
        <v>0</v>
      </c>
      <c r="AP53">
        <v>0</v>
      </c>
      <c r="AQ53">
        <v>0</v>
      </c>
      <c r="AT53">
        <v>0</v>
      </c>
      <c r="AU53">
        <v>0</v>
      </c>
    </row>
    <row r="54" spans="8:48">
      <c r="H54">
        <v>0</v>
      </c>
      <c r="AA54">
        <v>0</v>
      </c>
    </row>
    <row r="55" spans="8:48">
      <c r="H55">
        <v>0</v>
      </c>
      <c r="AA55">
        <v>0</v>
      </c>
    </row>
    <row r="56" spans="8:48">
      <c r="H56">
        <v>0</v>
      </c>
      <c r="AA56">
        <v>0</v>
      </c>
    </row>
    <row r="57" spans="8:48">
      <c r="H57">
        <v>0</v>
      </c>
      <c r="AA57">
        <v>0</v>
      </c>
    </row>
    <row r="58" spans="8:48">
      <c r="H58">
        <v>0</v>
      </c>
      <c r="AA58">
        <v>0</v>
      </c>
    </row>
    <row r="59" spans="8:48">
      <c r="H59">
        <v>0</v>
      </c>
      <c r="AA59">
        <v>0</v>
      </c>
    </row>
    <row r="60" spans="8:48">
      <c r="H60">
        <v>0</v>
      </c>
      <c r="AA60" s="5">
        <v>0</v>
      </c>
      <c r="AE60" s="5"/>
    </row>
    <row r="61" spans="8:48">
      <c r="AA61">
        <v>0</v>
      </c>
    </row>
    <row r="62" spans="8:48">
      <c r="AA62">
        <v>0</v>
      </c>
    </row>
    <row r="63" spans="8:48">
      <c r="AA63">
        <v>0</v>
      </c>
    </row>
    <row r="64" spans="8:48">
      <c r="AA64">
        <v>0</v>
      </c>
    </row>
    <row r="100" spans="3:47">
      <c r="C100" t="s">
        <v>65</v>
      </c>
      <c r="F100" t="s">
        <v>69</v>
      </c>
      <c r="G100" t="b">
        <v>1</v>
      </c>
      <c r="J100" t="s">
        <v>902</v>
      </c>
      <c r="K100" t="b">
        <v>1</v>
      </c>
      <c r="U100" t="s">
        <v>20</v>
      </c>
      <c r="V100" t="b">
        <v>1</v>
      </c>
      <c r="Y100" t="s">
        <v>65</v>
      </c>
      <c r="Z100" t="s">
        <v>903</v>
      </c>
      <c r="AS100" t="s">
        <v>631</v>
      </c>
      <c r="AT100" t="s">
        <v>779</v>
      </c>
      <c r="AU100" t="s">
        <v>904</v>
      </c>
    </row>
    <row r="101" spans="3:47">
      <c r="C101" t="s">
        <v>885</v>
      </c>
      <c r="G101" t="b">
        <v>0</v>
      </c>
      <c r="J101" t="s">
        <v>905</v>
      </c>
      <c r="K101" t="b">
        <v>1</v>
      </c>
      <c r="V101" t="b">
        <v>0</v>
      </c>
      <c r="Y101" t="s">
        <v>885</v>
      </c>
      <c r="Z101" t="s">
        <v>903</v>
      </c>
      <c r="AQ101" t="s">
        <v>906</v>
      </c>
      <c r="AR101">
        <v>0</v>
      </c>
      <c r="AU101">
        <v>0</v>
      </c>
    </row>
    <row r="102" spans="3:47">
      <c r="C102" t="s">
        <v>907</v>
      </c>
      <c r="G102" t="b">
        <v>0</v>
      </c>
      <c r="J102" t="s">
        <v>908</v>
      </c>
      <c r="K102" t="b">
        <v>1</v>
      </c>
      <c r="V102" t="b">
        <v>0</v>
      </c>
      <c r="Y102" t="s">
        <v>907</v>
      </c>
      <c r="Z102" t="s">
        <v>903</v>
      </c>
      <c r="AQ102" t="s">
        <v>80</v>
      </c>
      <c r="AU102">
        <v>1</v>
      </c>
    </row>
    <row r="103" spans="3:47">
      <c r="C103" t="s">
        <v>909</v>
      </c>
      <c r="G103" t="b">
        <v>0</v>
      </c>
      <c r="K103" t="s">
        <v>903</v>
      </c>
      <c r="U103" t="s">
        <v>17</v>
      </c>
      <c r="V103" t="b">
        <v>1</v>
      </c>
      <c r="Y103" t="s">
        <v>909</v>
      </c>
      <c r="Z103" t="s">
        <v>903</v>
      </c>
      <c r="AQ103" t="s">
        <v>81</v>
      </c>
    </row>
    <row r="104" spans="3:47">
      <c r="C104" t="s">
        <v>910</v>
      </c>
      <c r="F104" t="s">
        <v>70</v>
      </c>
      <c r="G104" t="b">
        <v>1</v>
      </c>
      <c r="K104" t="s">
        <v>903</v>
      </c>
      <c r="V104" t="b">
        <v>0</v>
      </c>
      <c r="Y104" t="s">
        <v>910</v>
      </c>
      <c r="Z104" t="s">
        <v>903</v>
      </c>
      <c r="AQ104" t="s">
        <v>82</v>
      </c>
    </row>
    <row r="105" spans="3:47">
      <c r="C105" t="s">
        <v>888</v>
      </c>
      <c r="G105" t="b">
        <v>0</v>
      </c>
      <c r="K105" t="s">
        <v>903</v>
      </c>
      <c r="V105" t="b">
        <v>0</v>
      </c>
      <c r="Y105" t="s">
        <v>888</v>
      </c>
      <c r="Z105" t="s">
        <v>903</v>
      </c>
      <c r="AQ105" t="s">
        <v>83</v>
      </c>
    </row>
    <row r="106" spans="3:47">
      <c r="C106" t="s">
        <v>911</v>
      </c>
      <c r="G106" t="b">
        <v>0</v>
      </c>
      <c r="K106" t="s">
        <v>903</v>
      </c>
      <c r="U106" t="s">
        <v>19</v>
      </c>
      <c r="V106" t="b">
        <v>1</v>
      </c>
      <c r="Y106" t="s">
        <v>911</v>
      </c>
      <c r="Z106" t="s">
        <v>903</v>
      </c>
    </row>
    <row r="107" spans="3:47">
      <c r="C107" t="s">
        <v>912</v>
      </c>
      <c r="G107" t="b">
        <v>0</v>
      </c>
      <c r="K107" t="s">
        <v>903</v>
      </c>
      <c r="V107" t="b">
        <v>0</v>
      </c>
      <c r="Y107" t="s">
        <v>912</v>
      </c>
      <c r="Z107" t="s">
        <v>903</v>
      </c>
    </row>
    <row r="108" spans="3:47">
      <c r="C108" t="s">
        <v>913</v>
      </c>
      <c r="G108" t="b">
        <v>0</v>
      </c>
      <c r="K108" t="s">
        <v>903</v>
      </c>
      <c r="V108" t="b">
        <v>0</v>
      </c>
      <c r="Y108" t="s">
        <v>913</v>
      </c>
      <c r="Z108" t="s">
        <v>903</v>
      </c>
    </row>
    <row r="109" spans="3:47">
      <c r="C109" t="s">
        <v>66</v>
      </c>
      <c r="F109" t="s">
        <v>914</v>
      </c>
      <c r="G109" t="b">
        <v>1</v>
      </c>
      <c r="K109" t="s">
        <v>903</v>
      </c>
      <c r="U109" t="s">
        <v>915</v>
      </c>
      <c r="V109" t="b">
        <v>1</v>
      </c>
      <c r="Y109" t="s">
        <v>66</v>
      </c>
      <c r="Z109" t="s">
        <v>903</v>
      </c>
    </row>
    <row r="110" spans="3:47">
      <c r="C110" t="s">
        <v>890</v>
      </c>
      <c r="G110" t="b">
        <v>0</v>
      </c>
      <c r="K110" t="s">
        <v>903</v>
      </c>
      <c r="U110" t="s">
        <v>916</v>
      </c>
      <c r="V110" t="b">
        <v>1</v>
      </c>
      <c r="Y110" t="s">
        <v>890</v>
      </c>
      <c r="Z110" t="s">
        <v>903</v>
      </c>
    </row>
    <row r="111" spans="3:47">
      <c r="C111" t="s">
        <v>917</v>
      </c>
      <c r="G111" t="b">
        <v>0</v>
      </c>
      <c r="K111" t="s">
        <v>903</v>
      </c>
      <c r="V111" t="b">
        <v>0</v>
      </c>
      <c r="Y111" t="s">
        <v>918</v>
      </c>
      <c r="Z111" t="s">
        <v>903</v>
      </c>
    </row>
    <row r="112" spans="3:47">
      <c r="C112" t="s">
        <v>919</v>
      </c>
      <c r="G112" t="b">
        <v>0</v>
      </c>
      <c r="K112" t="s">
        <v>903</v>
      </c>
      <c r="V112" t="b">
        <v>0</v>
      </c>
      <c r="Y112" t="s">
        <v>919</v>
      </c>
      <c r="Z112" t="s">
        <v>903</v>
      </c>
    </row>
    <row r="113" spans="3:26">
      <c r="C113" t="s">
        <v>893</v>
      </c>
      <c r="G113" t="b">
        <v>0</v>
      </c>
      <c r="K113" t="s">
        <v>903</v>
      </c>
      <c r="U113" t="s">
        <v>697</v>
      </c>
      <c r="V113" t="b">
        <v>1</v>
      </c>
      <c r="Y113" t="s">
        <v>893</v>
      </c>
      <c r="Z113" t="s">
        <v>903</v>
      </c>
    </row>
    <row r="114" spans="3:26">
      <c r="C114" t="s">
        <v>920</v>
      </c>
      <c r="G114" t="b">
        <v>0</v>
      </c>
      <c r="K114" t="s">
        <v>903</v>
      </c>
      <c r="U114" t="s">
        <v>921</v>
      </c>
      <c r="V114" t="b">
        <v>1</v>
      </c>
      <c r="Y114" t="s">
        <v>922</v>
      </c>
      <c r="Z114" t="s">
        <v>903</v>
      </c>
    </row>
    <row r="115" spans="3:26">
      <c r="C115" t="s">
        <v>923</v>
      </c>
      <c r="G115" t="b">
        <v>0</v>
      </c>
      <c r="K115" t="s">
        <v>903</v>
      </c>
      <c r="U115" t="s">
        <v>896</v>
      </c>
      <c r="V115" t="b">
        <v>1</v>
      </c>
      <c r="Y115" t="s">
        <v>923</v>
      </c>
      <c r="Z115" t="s">
        <v>903</v>
      </c>
    </row>
    <row r="116" spans="3:26">
      <c r="C116" t="s">
        <v>924</v>
      </c>
      <c r="G116" t="b">
        <v>0</v>
      </c>
      <c r="K116" t="s">
        <v>903</v>
      </c>
      <c r="V116" t="b">
        <v>0</v>
      </c>
      <c r="Y116" t="s">
        <v>924</v>
      </c>
      <c r="Z116" t="s">
        <v>903</v>
      </c>
    </row>
    <row r="117" spans="3:26">
      <c r="C117" t="s">
        <v>67</v>
      </c>
      <c r="G117" t="b">
        <v>0</v>
      </c>
      <c r="K117" t="s">
        <v>903</v>
      </c>
      <c r="U117" t="s">
        <v>897</v>
      </c>
      <c r="V117" t="b">
        <v>1</v>
      </c>
      <c r="Y117" t="s">
        <v>67</v>
      </c>
      <c r="Z117" t="s">
        <v>903</v>
      </c>
    </row>
    <row r="118" spans="3:26">
      <c r="C118" t="s">
        <v>925</v>
      </c>
      <c r="G118" t="b">
        <v>0</v>
      </c>
      <c r="K118" t="s">
        <v>903</v>
      </c>
      <c r="V118" t="b">
        <v>0</v>
      </c>
      <c r="Y118" t="s">
        <v>925</v>
      </c>
      <c r="Z118" t="s">
        <v>903</v>
      </c>
    </row>
    <row r="119" spans="3:26">
      <c r="C119" t="s">
        <v>926</v>
      </c>
      <c r="G119" t="b">
        <v>0</v>
      </c>
      <c r="K119" t="s">
        <v>903</v>
      </c>
      <c r="U119" t="s">
        <v>927</v>
      </c>
      <c r="V119" t="b">
        <v>1</v>
      </c>
      <c r="Y119" t="s">
        <v>926</v>
      </c>
      <c r="Z119" t="s">
        <v>903</v>
      </c>
    </row>
    <row r="120" spans="3:26">
      <c r="C120" t="s">
        <v>928</v>
      </c>
      <c r="G120" t="b">
        <v>0</v>
      </c>
      <c r="K120" t="s">
        <v>903</v>
      </c>
      <c r="V120" t="b">
        <v>0</v>
      </c>
      <c r="Y120" t="s">
        <v>928</v>
      </c>
      <c r="Z120" t="s">
        <v>903</v>
      </c>
    </row>
    <row r="121" spans="3:26">
      <c r="C121" t="str">
        <f t="shared" ref="C121:C153" si="0">C28&amp;D28</f>
        <v>Total Liabilities &amp; Equities60</v>
      </c>
      <c r="F121" t="str">
        <f t="shared" ref="F121:F153" si="1">F28&amp;G28</f>
        <v/>
      </c>
      <c r="I121" t="str">
        <f t="shared" ref="I121:I153" si="2">_xlfn.CONCAT(I28:Q28)</f>
        <v/>
      </c>
      <c r="S121" t="str">
        <f t="shared" ref="S121:S153" si="3">_xlfn.CONCAT(S28:T28)</f>
        <v/>
      </c>
      <c r="U121" t="str">
        <f t="shared" ref="U121:U122" si="4">_xlfn.CONCAT(U28:V28)</f>
        <v/>
      </c>
      <c r="V121" t="str">
        <f t="shared" ref="V121:V153" si="5">_xlfn.CONCAT(V28:W28)</f>
        <v/>
      </c>
    </row>
    <row r="122" spans="3:26">
      <c r="C122" t="str">
        <f t="shared" si="0"/>
        <v/>
      </c>
      <c r="F122" t="str">
        <f t="shared" si="1"/>
        <v/>
      </c>
      <c r="I122" t="str">
        <f t="shared" si="2"/>
        <v/>
      </c>
      <c r="S122" t="str">
        <f t="shared" si="3"/>
        <v/>
      </c>
      <c r="U122" t="str">
        <f t="shared" si="4"/>
        <v/>
      </c>
      <c r="V122" t="str">
        <f t="shared" si="5"/>
        <v/>
      </c>
    </row>
    <row r="123" spans="3:26">
      <c r="C123" t="str">
        <f t="shared" si="0"/>
        <v/>
      </c>
      <c r="F123" t="str">
        <f t="shared" si="1"/>
        <v/>
      </c>
      <c r="I123" t="str">
        <f t="shared" si="2"/>
        <v/>
      </c>
      <c r="S123" t="str">
        <f t="shared" si="3"/>
        <v/>
      </c>
      <c r="U123" t="str">
        <f t="shared" ref="U123:U136" si="6">_xlfn.CONCAT(U30:V30)</f>
        <v/>
      </c>
    </row>
    <row r="124" spans="3:26">
      <c r="C124" t="str">
        <f t="shared" si="0"/>
        <v/>
      </c>
      <c r="F124" t="str">
        <f t="shared" si="1"/>
        <v/>
      </c>
      <c r="I124" t="str">
        <f t="shared" si="2"/>
        <v/>
      </c>
      <c r="S124" t="str">
        <f t="shared" si="3"/>
        <v/>
      </c>
      <c r="U124" t="str">
        <f t="shared" si="6"/>
        <v/>
      </c>
    </row>
    <row r="125" spans="3:26">
      <c r="C125" t="str">
        <f t="shared" si="0"/>
        <v/>
      </c>
      <c r="F125" t="str">
        <f t="shared" si="1"/>
        <v/>
      </c>
      <c r="I125" t="str">
        <f t="shared" si="2"/>
        <v/>
      </c>
      <c r="S125" t="str">
        <f t="shared" si="3"/>
        <v/>
      </c>
      <c r="U125" t="str">
        <f t="shared" si="6"/>
        <v/>
      </c>
    </row>
    <row r="126" spans="3:26">
      <c r="C126" t="str">
        <f t="shared" si="0"/>
        <v/>
      </c>
      <c r="F126" t="str">
        <f t="shared" si="1"/>
        <v/>
      </c>
      <c r="I126" t="str">
        <f t="shared" si="2"/>
        <v/>
      </c>
      <c r="S126" t="str">
        <f t="shared" si="3"/>
        <v/>
      </c>
      <c r="U126" t="str">
        <f t="shared" si="6"/>
        <v/>
      </c>
    </row>
    <row r="127" spans="3:26">
      <c r="C127" t="str">
        <f t="shared" si="0"/>
        <v/>
      </c>
      <c r="F127" t="str">
        <f t="shared" si="1"/>
        <v/>
      </c>
      <c r="I127" t="str">
        <f t="shared" si="2"/>
        <v/>
      </c>
      <c r="S127" t="str">
        <f t="shared" si="3"/>
        <v/>
      </c>
      <c r="U127" t="str">
        <f t="shared" si="6"/>
        <v/>
      </c>
      <c r="V127" t="str">
        <f t="shared" si="5"/>
        <v/>
      </c>
    </row>
    <row r="128" spans="3:26">
      <c r="C128" t="str">
        <f t="shared" si="0"/>
        <v/>
      </c>
      <c r="F128" t="str">
        <f t="shared" si="1"/>
        <v/>
      </c>
      <c r="I128" t="str">
        <f t="shared" si="2"/>
        <v/>
      </c>
      <c r="S128" t="str">
        <f t="shared" si="3"/>
        <v/>
      </c>
      <c r="U128" t="str">
        <f t="shared" si="6"/>
        <v/>
      </c>
      <c r="V128" t="str">
        <f t="shared" si="5"/>
        <v/>
      </c>
    </row>
    <row r="129" spans="3:22">
      <c r="C129" t="str">
        <f t="shared" si="0"/>
        <v/>
      </c>
      <c r="F129" t="str">
        <f t="shared" si="1"/>
        <v/>
      </c>
      <c r="I129" t="str">
        <f t="shared" si="2"/>
        <v/>
      </c>
      <c r="S129" t="str">
        <f t="shared" si="3"/>
        <v/>
      </c>
      <c r="U129" t="str">
        <f t="shared" si="6"/>
        <v/>
      </c>
      <c r="V129" t="str">
        <f t="shared" si="5"/>
        <v/>
      </c>
    </row>
    <row r="130" spans="3:22">
      <c r="C130" t="str">
        <f t="shared" si="0"/>
        <v/>
      </c>
      <c r="F130" t="str">
        <f t="shared" si="1"/>
        <v/>
      </c>
      <c r="I130" t="str">
        <f t="shared" si="2"/>
        <v/>
      </c>
      <c r="S130" t="str">
        <f t="shared" si="3"/>
        <v/>
      </c>
      <c r="U130" t="str">
        <f t="shared" si="6"/>
        <v/>
      </c>
      <c r="V130" t="str">
        <f t="shared" si="5"/>
        <v/>
      </c>
    </row>
    <row r="131" spans="3:22">
      <c r="C131" t="str">
        <f t="shared" si="0"/>
        <v/>
      </c>
      <c r="F131" t="str">
        <f t="shared" si="1"/>
        <v/>
      </c>
      <c r="I131" t="str">
        <f t="shared" si="2"/>
        <v/>
      </c>
      <c r="S131" t="str">
        <f t="shared" si="3"/>
        <v/>
      </c>
      <c r="U131" t="str">
        <f t="shared" si="6"/>
        <v/>
      </c>
      <c r="V131" t="str">
        <f t="shared" si="5"/>
        <v/>
      </c>
    </row>
    <row r="132" spans="3:22">
      <c r="C132" t="str">
        <f t="shared" si="0"/>
        <v/>
      </c>
      <c r="F132" t="str">
        <f t="shared" si="1"/>
        <v/>
      </c>
      <c r="I132" t="str">
        <f t="shared" si="2"/>
        <v/>
      </c>
      <c r="S132" t="str">
        <f t="shared" si="3"/>
        <v/>
      </c>
      <c r="U132" t="str">
        <f t="shared" si="6"/>
        <v/>
      </c>
      <c r="V132" t="str">
        <f t="shared" si="5"/>
        <v/>
      </c>
    </row>
    <row r="133" spans="3:22">
      <c r="C133" t="str">
        <f t="shared" si="0"/>
        <v/>
      </c>
      <c r="F133" t="str">
        <f t="shared" si="1"/>
        <v/>
      </c>
      <c r="I133" t="str">
        <f t="shared" si="2"/>
        <v/>
      </c>
      <c r="S133" t="str">
        <f t="shared" si="3"/>
        <v/>
      </c>
      <c r="U133" t="str">
        <f t="shared" si="6"/>
        <v/>
      </c>
      <c r="V133" t="str">
        <f t="shared" si="5"/>
        <v/>
      </c>
    </row>
    <row r="134" spans="3:22">
      <c r="C134" t="str">
        <f t="shared" si="0"/>
        <v/>
      </c>
      <c r="F134" t="str">
        <f t="shared" si="1"/>
        <v/>
      </c>
      <c r="I134" t="str">
        <f t="shared" si="2"/>
        <v/>
      </c>
      <c r="S134" t="str">
        <f t="shared" si="3"/>
        <v/>
      </c>
      <c r="U134" t="str">
        <f t="shared" si="6"/>
        <v/>
      </c>
      <c r="V134" t="str">
        <f t="shared" si="5"/>
        <v/>
      </c>
    </row>
    <row r="135" spans="3:22">
      <c r="C135" t="str">
        <f t="shared" si="0"/>
        <v/>
      </c>
      <c r="F135" t="str">
        <f t="shared" si="1"/>
        <v/>
      </c>
      <c r="I135" t="str">
        <f t="shared" si="2"/>
        <v/>
      </c>
      <c r="S135" t="str">
        <f t="shared" si="3"/>
        <v/>
      </c>
      <c r="U135" t="str">
        <f t="shared" si="6"/>
        <v/>
      </c>
      <c r="V135" t="str">
        <f t="shared" si="5"/>
        <v/>
      </c>
    </row>
    <row r="136" spans="3:22">
      <c r="C136" t="str">
        <f t="shared" si="0"/>
        <v/>
      </c>
      <c r="F136" t="str">
        <f t="shared" si="1"/>
        <v/>
      </c>
      <c r="I136" t="str">
        <f t="shared" si="2"/>
        <v/>
      </c>
      <c r="S136" t="str">
        <f t="shared" si="3"/>
        <v/>
      </c>
      <c r="U136" t="str">
        <f t="shared" si="6"/>
        <v/>
      </c>
      <c r="V136" t="str">
        <f t="shared" si="5"/>
        <v/>
      </c>
    </row>
    <row r="137" spans="3:22">
      <c r="C137" t="str">
        <f t="shared" si="0"/>
        <v/>
      </c>
      <c r="F137" t="str">
        <f t="shared" si="1"/>
        <v/>
      </c>
      <c r="I137" t="str">
        <f t="shared" si="2"/>
        <v/>
      </c>
      <c r="S137" t="str">
        <f t="shared" si="3"/>
        <v/>
      </c>
      <c r="U137" t="str">
        <f>_xlfn.CONCAT(U44:V44)</f>
        <v/>
      </c>
      <c r="V137" t="str">
        <f t="shared" si="5"/>
        <v/>
      </c>
    </row>
    <row r="138" spans="3:22">
      <c r="C138" t="str">
        <f t="shared" si="0"/>
        <v/>
      </c>
      <c r="F138" t="str">
        <f t="shared" si="1"/>
        <v/>
      </c>
      <c r="I138" t="str">
        <f t="shared" si="2"/>
        <v/>
      </c>
      <c r="S138" t="str">
        <f t="shared" si="3"/>
        <v/>
      </c>
      <c r="U138" t="str">
        <f>_xlfn.CONCAT(U45:V45)</f>
        <v/>
      </c>
      <c r="V138" t="str">
        <f t="shared" si="5"/>
        <v/>
      </c>
    </row>
    <row r="139" spans="3:22">
      <c r="C139" t="str">
        <f t="shared" si="0"/>
        <v/>
      </c>
      <c r="F139" t="str">
        <f t="shared" si="1"/>
        <v/>
      </c>
      <c r="I139" t="str">
        <f t="shared" si="2"/>
        <v/>
      </c>
      <c r="S139" t="str">
        <f t="shared" si="3"/>
        <v/>
      </c>
      <c r="U139" t="str">
        <f t="shared" ref="U139:U163" si="7">_xlfn.CONCAT(U46:V46)</f>
        <v/>
      </c>
      <c r="V139" t="str">
        <f t="shared" si="5"/>
        <v/>
      </c>
    </row>
    <row r="140" spans="3:22">
      <c r="C140" t="str">
        <f t="shared" si="0"/>
        <v/>
      </c>
      <c r="F140" t="str">
        <f t="shared" si="1"/>
        <v/>
      </c>
      <c r="I140" t="str">
        <f t="shared" si="2"/>
        <v/>
      </c>
      <c r="S140" t="str">
        <f t="shared" si="3"/>
        <v/>
      </c>
      <c r="U140" t="str">
        <f t="shared" si="7"/>
        <v/>
      </c>
      <c r="V140" t="str">
        <f t="shared" si="5"/>
        <v/>
      </c>
    </row>
    <row r="141" spans="3:22">
      <c r="C141" t="str">
        <f t="shared" si="0"/>
        <v/>
      </c>
      <c r="F141" t="str">
        <f t="shared" si="1"/>
        <v/>
      </c>
      <c r="I141" t="str">
        <f>_xlfn.CONCAT(I48:Q48)</f>
        <v/>
      </c>
      <c r="S141" t="str">
        <f t="shared" si="3"/>
        <v/>
      </c>
      <c r="U141" t="str">
        <f t="shared" si="7"/>
        <v/>
      </c>
      <c r="V141" t="str">
        <f t="shared" si="5"/>
        <v/>
      </c>
    </row>
    <row r="142" spans="3:22">
      <c r="C142" t="str">
        <f t="shared" si="0"/>
        <v/>
      </c>
      <c r="F142" t="str">
        <f t="shared" si="1"/>
        <v/>
      </c>
      <c r="I142" t="str">
        <f t="shared" si="2"/>
        <v/>
      </c>
      <c r="S142" t="str">
        <f t="shared" si="3"/>
        <v/>
      </c>
      <c r="U142" t="str">
        <f t="shared" si="7"/>
        <v/>
      </c>
      <c r="V142" t="str">
        <f t="shared" si="5"/>
        <v/>
      </c>
    </row>
    <row r="143" spans="3:22">
      <c r="C143" t="str">
        <f t="shared" si="0"/>
        <v/>
      </c>
      <c r="F143" t="str">
        <f t="shared" si="1"/>
        <v/>
      </c>
      <c r="I143" t="str">
        <f t="shared" si="2"/>
        <v/>
      </c>
      <c r="S143" t="str">
        <f t="shared" si="3"/>
        <v/>
      </c>
      <c r="U143" t="str">
        <f t="shared" si="7"/>
        <v/>
      </c>
      <c r="V143" t="str">
        <f t="shared" si="5"/>
        <v/>
      </c>
    </row>
    <row r="144" spans="3:22">
      <c r="C144" t="str">
        <f t="shared" si="0"/>
        <v/>
      </c>
      <c r="F144" t="str">
        <f t="shared" si="1"/>
        <v/>
      </c>
      <c r="I144" t="str">
        <f t="shared" si="2"/>
        <v/>
      </c>
      <c r="S144" t="str">
        <f t="shared" si="3"/>
        <v/>
      </c>
      <c r="U144" t="str">
        <f t="shared" si="7"/>
        <v/>
      </c>
      <c r="V144" t="str">
        <f t="shared" si="5"/>
        <v/>
      </c>
    </row>
    <row r="145" spans="3:22">
      <c r="C145" t="str">
        <f t="shared" si="0"/>
        <v/>
      </c>
      <c r="F145" t="str">
        <f t="shared" si="1"/>
        <v/>
      </c>
      <c r="I145" t="str">
        <f t="shared" si="2"/>
        <v/>
      </c>
      <c r="S145" t="str">
        <f t="shared" si="3"/>
        <v/>
      </c>
      <c r="U145" t="str">
        <f t="shared" si="7"/>
        <v/>
      </c>
      <c r="V145" t="str">
        <f t="shared" si="5"/>
        <v/>
      </c>
    </row>
    <row r="146" spans="3:22">
      <c r="C146" t="str">
        <f t="shared" si="0"/>
        <v/>
      </c>
      <c r="F146" t="str">
        <f t="shared" si="1"/>
        <v/>
      </c>
      <c r="I146" t="str">
        <f t="shared" si="2"/>
        <v/>
      </c>
      <c r="S146" t="str">
        <f t="shared" si="3"/>
        <v/>
      </c>
      <c r="U146" t="str">
        <f t="shared" si="7"/>
        <v/>
      </c>
      <c r="V146" t="str">
        <f t="shared" si="5"/>
        <v/>
      </c>
    </row>
    <row r="147" spans="3:22">
      <c r="C147" t="str">
        <f t="shared" si="0"/>
        <v/>
      </c>
      <c r="F147" t="str">
        <f t="shared" si="1"/>
        <v/>
      </c>
      <c r="I147" t="str">
        <f t="shared" si="2"/>
        <v/>
      </c>
      <c r="S147" t="str">
        <f t="shared" si="3"/>
        <v/>
      </c>
      <c r="U147" t="str">
        <f t="shared" si="7"/>
        <v/>
      </c>
      <c r="V147" t="str">
        <f t="shared" si="5"/>
        <v/>
      </c>
    </row>
    <row r="148" spans="3:22">
      <c r="C148" t="str">
        <f t="shared" si="0"/>
        <v/>
      </c>
      <c r="F148" t="str">
        <f t="shared" si="1"/>
        <v/>
      </c>
      <c r="I148" t="str">
        <f t="shared" si="2"/>
        <v/>
      </c>
      <c r="S148" t="str">
        <f t="shared" si="3"/>
        <v/>
      </c>
      <c r="U148" t="str">
        <f t="shared" si="7"/>
        <v/>
      </c>
      <c r="V148" t="str">
        <f t="shared" si="5"/>
        <v/>
      </c>
    </row>
    <row r="149" spans="3:22">
      <c r="C149" t="str">
        <f t="shared" si="0"/>
        <v/>
      </c>
      <c r="F149" t="str">
        <f t="shared" si="1"/>
        <v/>
      </c>
      <c r="I149" t="str">
        <f t="shared" si="2"/>
        <v/>
      </c>
      <c r="S149" t="str">
        <f t="shared" si="3"/>
        <v/>
      </c>
      <c r="U149" t="str">
        <f t="shared" si="7"/>
        <v/>
      </c>
      <c r="V149" t="str">
        <f t="shared" si="5"/>
        <v/>
      </c>
    </row>
    <row r="150" spans="3:22">
      <c r="C150" t="str">
        <f t="shared" si="0"/>
        <v/>
      </c>
      <c r="F150" t="str">
        <f t="shared" si="1"/>
        <v/>
      </c>
      <c r="I150" t="str">
        <f t="shared" si="2"/>
        <v/>
      </c>
      <c r="S150" t="str">
        <f t="shared" si="3"/>
        <v/>
      </c>
      <c r="U150" t="str">
        <f t="shared" si="7"/>
        <v/>
      </c>
      <c r="V150" t="str">
        <f t="shared" si="5"/>
        <v/>
      </c>
    </row>
    <row r="151" spans="3:22">
      <c r="C151" t="str">
        <f t="shared" si="0"/>
        <v/>
      </c>
      <c r="F151" t="str">
        <f t="shared" si="1"/>
        <v/>
      </c>
      <c r="I151" t="str">
        <f t="shared" si="2"/>
        <v/>
      </c>
      <c r="S151" t="str">
        <f t="shared" si="3"/>
        <v/>
      </c>
      <c r="U151" t="str">
        <f t="shared" si="7"/>
        <v/>
      </c>
      <c r="V151" t="str">
        <f t="shared" si="5"/>
        <v/>
      </c>
    </row>
    <row r="152" spans="3:22">
      <c r="C152" t="str">
        <f t="shared" si="0"/>
        <v/>
      </c>
      <c r="F152" t="str">
        <f t="shared" si="1"/>
        <v/>
      </c>
      <c r="I152" t="str">
        <f t="shared" si="2"/>
        <v/>
      </c>
      <c r="S152" t="str">
        <f t="shared" si="3"/>
        <v/>
      </c>
      <c r="U152" t="str">
        <f t="shared" si="7"/>
        <v/>
      </c>
      <c r="V152" t="str">
        <f t="shared" si="5"/>
        <v/>
      </c>
    </row>
    <row r="153" spans="3:22">
      <c r="C153" t="str">
        <f t="shared" si="0"/>
        <v/>
      </c>
      <c r="F153" t="str">
        <f t="shared" si="1"/>
        <v/>
      </c>
      <c r="I153" t="str">
        <f t="shared" si="2"/>
        <v/>
      </c>
      <c r="S153" t="str">
        <f t="shared" si="3"/>
        <v/>
      </c>
      <c r="U153" t="str">
        <f t="shared" si="7"/>
        <v/>
      </c>
      <c r="V153" t="str">
        <f t="shared" si="5"/>
        <v/>
      </c>
    </row>
    <row r="154" spans="3:22">
      <c r="U154" t="str">
        <f t="shared" si="7"/>
        <v/>
      </c>
    </row>
    <row r="155" spans="3:22">
      <c r="U155" t="str">
        <f t="shared" si="7"/>
        <v/>
      </c>
    </row>
    <row r="156" spans="3:22">
      <c r="U156" t="str">
        <f t="shared" si="7"/>
        <v/>
      </c>
    </row>
    <row r="157" spans="3:22">
      <c r="U157" t="str">
        <f t="shared" si="7"/>
        <v/>
      </c>
    </row>
    <row r="158" spans="3:22">
      <c r="U158" t="str">
        <f t="shared" si="7"/>
        <v/>
      </c>
    </row>
    <row r="159" spans="3:22">
      <c r="U159" t="str">
        <f t="shared" si="7"/>
        <v/>
      </c>
    </row>
    <row r="160" spans="3:22">
      <c r="U160" t="str">
        <f t="shared" si="7"/>
        <v/>
      </c>
    </row>
    <row r="161" spans="21:21">
      <c r="U161" t="str">
        <f t="shared" si="7"/>
        <v/>
      </c>
    </row>
    <row r="162" spans="21:21">
      <c r="U162" t="str">
        <f t="shared" si="7"/>
        <v/>
      </c>
    </row>
    <row r="163" spans="21:21">
      <c r="U163" t="str">
        <f t="shared" si="7"/>
        <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1"/>
  <sheetViews>
    <sheetView tabSelected="1" workbookViewId="0"/>
  </sheetViews>
  <sheetFormatPr defaultRowHeight="14.45"/>
  <cols>
    <col min="1" max="1" width="4.42578125" customWidth="1"/>
    <col min="2" max="2" width="17.140625" customWidth="1"/>
    <col min="3" max="7" width="17.42578125" customWidth="1"/>
    <col min="8" max="8" width="20" customWidth="1"/>
    <col min="9" max="10" width="17.42578125" customWidth="1"/>
    <col min="11" max="11" width="14.85546875" customWidth="1"/>
  </cols>
  <sheetData>
    <row r="1" spans="2:5" ht="23.85" customHeight="1" thickBot="1">
      <c r="B1" t="s">
        <v>929</v>
      </c>
    </row>
    <row r="2" spans="2:5">
      <c r="B2" s="656" t="s">
        <v>930</v>
      </c>
      <c r="C2" s="657"/>
      <c r="D2" s="657"/>
      <c r="E2" s="658"/>
    </row>
    <row r="3" spans="2:5" ht="15" thickBot="1">
      <c r="B3" s="611" t="s">
        <v>713</v>
      </c>
      <c r="C3" s="612"/>
      <c r="D3" s="612"/>
      <c r="E3" s="613"/>
    </row>
    <row r="4" spans="2:5">
      <c r="B4" s="470" t="s">
        <v>931</v>
      </c>
      <c r="C4" s="659" t="str">
        <f>IF(ProblemData!E61="","",ProblemData!E61)</f>
        <v>Accounting Identity LLC</v>
      </c>
      <c r="D4" s="659"/>
      <c r="E4" s="660"/>
    </row>
    <row r="5" spans="2:5">
      <c r="B5" s="594" t="s">
        <v>932</v>
      </c>
      <c r="C5" s="654" t="str">
        <f>IF(ProblemData!E62="","",ProblemData!E62)</f>
        <v>For-profit corporation</v>
      </c>
      <c r="D5" s="654"/>
      <c r="E5" s="655"/>
    </row>
    <row r="6" spans="2:5" ht="15" thickBot="1">
      <c r="B6" s="595" t="s">
        <v>933</v>
      </c>
      <c r="C6" s="653" t="str">
        <f>IF(ProblemData!E63="","",ProblemData!E63)</f>
        <v>Service</v>
      </c>
      <c r="D6" s="653"/>
      <c r="E6" s="661"/>
    </row>
    <row r="7" spans="2:5" ht="15" thickBot="1">
      <c r="B7" s="611" t="s">
        <v>934</v>
      </c>
      <c r="C7" s="612"/>
      <c r="D7" s="612"/>
      <c r="E7" s="613"/>
    </row>
    <row r="8" spans="2:5">
      <c r="B8" s="470" t="s">
        <v>935</v>
      </c>
      <c r="C8" s="659" t="str">
        <f>IF(ProblemData!E64="","",ProblemData!E64)</f>
        <v>12/31/20x0</v>
      </c>
      <c r="D8" s="659"/>
      <c r="E8" s="660"/>
    </row>
    <row r="9" spans="2:5">
      <c r="B9" s="594" t="s">
        <v>936</v>
      </c>
      <c r="C9" s="654" t="str">
        <f>IF(ProblemData!E65="","",ProblemData!E65)</f>
        <v>12/31/20x1</v>
      </c>
      <c r="D9" s="654"/>
      <c r="E9" s="655"/>
    </row>
    <row r="10" spans="2:5" ht="15" thickBot="1">
      <c r="B10" s="595" t="s">
        <v>937</v>
      </c>
      <c r="C10" s="653" t="str">
        <f>IF(ProblemData!E67="","",ProblemData!E67)</f>
        <v>Year</v>
      </c>
      <c r="D10" s="653"/>
      <c r="E10" s="661"/>
    </row>
    <row r="11" spans="2:5" ht="15" thickBot="1">
      <c r="B11" s="611" t="s">
        <v>938</v>
      </c>
      <c r="C11" s="612"/>
      <c r="D11" s="612"/>
      <c r="E11" s="613"/>
    </row>
    <row r="12" spans="2:5">
      <c r="B12" s="470" t="s">
        <v>939</v>
      </c>
      <c r="C12" s="659" t="str">
        <f>IF(ProblemData!E68="","",ProblemData!E68)</f>
        <v>Dollars in Thousands</v>
      </c>
      <c r="D12" s="659"/>
      <c r="E12" s="660"/>
    </row>
    <row r="13" spans="2:5">
      <c r="B13" s="594" t="s">
        <v>940</v>
      </c>
      <c r="C13" s="662">
        <f>IF(ProblemData!E69="","",ProblemData!E69)</f>
        <v>1000</v>
      </c>
      <c r="D13" s="662"/>
      <c r="E13" s="663"/>
    </row>
    <row r="14" spans="2:5" ht="15" thickBot="1">
      <c r="B14" s="595" t="s">
        <v>941</v>
      </c>
      <c r="C14" s="653">
        <f>IF(ProblemData!E70="","",ProblemData!E70)</f>
        <v>0</v>
      </c>
      <c r="D14" s="653"/>
      <c r="E14" s="661"/>
    </row>
    <row r="17" spans="2:8" ht="15" thickBot="1"/>
    <row r="18" spans="2:8" ht="15" thickBot="1">
      <c r="B18" s="664" t="s">
        <v>942</v>
      </c>
      <c r="C18" s="665"/>
      <c r="D18" s="665"/>
      <c r="E18" s="665"/>
      <c r="F18" s="665"/>
      <c r="G18" s="665"/>
      <c r="H18" s="666"/>
    </row>
    <row r="19" spans="2:8">
      <c r="B19" s="458" t="s">
        <v>943</v>
      </c>
      <c r="C19" s="459" t="s">
        <v>944</v>
      </c>
      <c r="D19" s="459" t="s">
        <v>945</v>
      </c>
      <c r="E19" s="459"/>
      <c r="F19" s="459"/>
      <c r="G19" s="459"/>
      <c r="H19" s="460" t="s">
        <v>946</v>
      </c>
    </row>
    <row r="20" spans="2:8">
      <c r="B20" s="504" t="s">
        <v>947</v>
      </c>
      <c r="C20" s="438" t="str" cm="1">
        <f t="array" ref="C20">_xlfn._xlws.FILTER(RequirementsChosen[Action],RequirementsChosen[Action]&lt;&gt;"Omit")</f>
        <v>Enter</v>
      </c>
      <c r="D20" t="str" cm="1">
        <f t="array" ref="D20">_xlfn._xlws.FILTER(RequirementsChosen[Item],RequirementsChosen[Action]&lt;&gt;"Omit")</f>
        <v>Accounting Identity</v>
      </c>
      <c r="F20" s="1"/>
      <c r="H20" s="108" t="str" cm="1">
        <f t="array" ref="H20">_xlfn._xlws.FILTER(RequirementsChosen[Tab],RequirementsChosen[Action]&lt;&gt;"Omit")</f>
        <v>Analysis_Help</v>
      </c>
    </row>
    <row r="21" spans="2:8">
      <c r="B21" s="504" t="s">
        <v>948</v>
      </c>
      <c r="C21" s="341"/>
      <c r="F21" s="1"/>
      <c r="H21" s="108"/>
    </row>
    <row r="22" spans="2:8">
      <c r="B22" s="504" t="s">
        <v>949</v>
      </c>
      <c r="C22" s="341"/>
      <c r="F22" s="1"/>
      <c r="H22" s="108"/>
    </row>
    <row r="23" spans="2:8">
      <c r="B23" s="504" t="s">
        <v>950</v>
      </c>
      <c r="C23" s="341"/>
      <c r="F23" s="1"/>
      <c r="H23" s="108"/>
    </row>
    <row r="24" spans="2:8">
      <c r="B24" s="504" t="s">
        <v>951</v>
      </c>
      <c r="C24" s="341"/>
      <c r="F24" s="1"/>
      <c r="H24" s="108"/>
    </row>
    <row r="25" spans="2:8">
      <c r="B25" s="504" t="s">
        <v>952</v>
      </c>
      <c r="C25" s="341"/>
      <c r="F25" s="1"/>
      <c r="H25" s="108"/>
    </row>
    <row r="26" spans="2:8">
      <c r="B26" s="504" t="s">
        <v>953</v>
      </c>
      <c r="C26" s="341"/>
      <c r="F26" s="1"/>
      <c r="H26" s="108"/>
    </row>
    <row r="27" spans="2:8">
      <c r="B27" s="504" t="s">
        <v>954</v>
      </c>
      <c r="C27" s="341"/>
      <c r="F27" s="1"/>
      <c r="H27" s="108"/>
    </row>
    <row r="28" spans="2:8">
      <c r="B28" s="504" t="s">
        <v>955</v>
      </c>
      <c r="C28" s="341"/>
      <c r="F28" s="1"/>
      <c r="H28" s="108"/>
    </row>
    <row r="29" spans="2:8">
      <c r="B29" s="504" t="s">
        <v>956</v>
      </c>
      <c r="C29" s="341"/>
      <c r="F29" s="1"/>
      <c r="H29" s="108"/>
    </row>
    <row r="30" spans="2:8">
      <c r="B30" s="504" t="s">
        <v>957</v>
      </c>
      <c r="C30" s="341"/>
      <c r="F30" s="1"/>
      <c r="H30" s="108"/>
    </row>
    <row r="31" spans="2:8" ht="15" thickBot="1">
      <c r="B31" s="505" t="s">
        <v>958</v>
      </c>
      <c r="C31" s="477"/>
      <c r="D31" s="315"/>
      <c r="E31" s="315"/>
      <c r="F31" s="457"/>
      <c r="G31" s="315"/>
      <c r="H31" s="110"/>
    </row>
    <row r="32" spans="2:8">
      <c r="C32" s="43"/>
      <c r="F32" s="1"/>
    </row>
    <row r="33" spans="2:10">
      <c r="B33" s="633" t="s">
        <v>703</v>
      </c>
      <c r="C33" s="633"/>
      <c r="D33" s="633"/>
      <c r="E33" s="633"/>
      <c r="F33" s="633"/>
      <c r="G33" s="633"/>
      <c r="H33" s="633"/>
      <c r="I33" s="633"/>
      <c r="J33" s="633"/>
    </row>
    <row r="34" spans="2:10" ht="15" thickBot="1">
      <c r="E34" s="1"/>
    </row>
    <row r="35" spans="2:10">
      <c r="B35" s="669" t="s">
        <v>959</v>
      </c>
      <c r="C35" s="680" t="s">
        <v>65</v>
      </c>
      <c r="D35" s="681"/>
      <c r="E35" s="682" t="s">
        <v>66</v>
      </c>
      <c r="F35" s="683"/>
      <c r="G35" s="678" t="s">
        <v>67</v>
      </c>
      <c r="H35" s="679"/>
    </row>
    <row r="36" spans="2:10">
      <c r="B36" s="670"/>
      <c r="C36" s="107" t="str" cm="1">
        <f t="array" ref="C36:C40">IFERROR(_xlfn._xlws.FILTER(MD_Asset[[#All],[Account Name]],MD_Asset[[#All],[Used]]=1),"")</f>
        <v>Cash</v>
      </c>
      <c r="D36" s="108"/>
      <c r="E36" s="113" t="str" cm="1">
        <f t="array" ref="E36:E39">IFERROR(_xlfn._xlws.FILTER(MD_Liability[[#All],[Account Name]],MD_Liability[[#All],[Used]]=1),"")</f>
        <v>Accounts Payable</v>
      </c>
      <c r="F36" s="114"/>
      <c r="G36" s="113" t="str" cm="1">
        <f t="array" ref="G36:G37">IFERROR(_xlfn._xlws.FILTER(MD_Equity[[#All],[Account Name]],MD_Equity[[#All],[Used]]=1),"")</f>
        <v>Common Stock</v>
      </c>
      <c r="H36" s="114"/>
    </row>
    <row r="37" spans="2:10">
      <c r="B37" s="670"/>
      <c r="C37" s="107" t="str">
        <v>Accounts Receivable</v>
      </c>
      <c r="D37" s="108"/>
      <c r="E37" s="113" t="str">
        <v>Dividends Payable</v>
      </c>
      <c r="F37" s="114"/>
      <c r="G37" s="113" t="str">
        <v>Retained Earnings</v>
      </c>
      <c r="H37" s="114"/>
    </row>
    <row r="38" spans="2:10">
      <c r="B38" s="670"/>
      <c r="C38" s="107" t="str">
        <v>Inventories</v>
      </c>
      <c r="D38" s="108"/>
      <c r="E38" s="113" t="str">
        <v>Unearned Revenue</v>
      </c>
      <c r="F38" s="114"/>
      <c r="G38" s="113"/>
      <c r="H38" s="114"/>
    </row>
    <row r="39" spans="2:10">
      <c r="B39" s="670"/>
      <c r="C39" s="107" t="str">
        <v>Property, Plant &amp; Equipment</v>
      </c>
      <c r="D39" s="108"/>
      <c r="E39" s="113" t="str">
        <v>Loans Payable</v>
      </c>
      <c r="F39" s="114"/>
      <c r="G39" s="113"/>
      <c r="H39" s="114"/>
    </row>
    <row r="40" spans="2:10">
      <c r="B40" s="670"/>
      <c r="C40" s="107" t="str">
        <v>Land</v>
      </c>
      <c r="D40" s="108"/>
      <c r="E40" s="113"/>
      <c r="F40" s="114"/>
      <c r="G40" s="113"/>
      <c r="H40" s="114"/>
    </row>
    <row r="41" spans="2:10">
      <c r="B41" s="670"/>
      <c r="C41" s="107"/>
      <c r="D41" s="108"/>
      <c r="E41" s="113"/>
      <c r="F41" s="114"/>
      <c r="G41" s="113"/>
      <c r="H41" s="114"/>
    </row>
    <row r="42" spans="2:10">
      <c r="B42" s="670"/>
      <c r="C42" s="107"/>
      <c r="D42" s="108"/>
      <c r="E42" s="113"/>
      <c r="F42" s="114"/>
      <c r="G42" s="113"/>
      <c r="H42" s="114"/>
    </row>
    <row r="43" spans="2:10">
      <c r="B43" s="670"/>
      <c r="C43" s="107"/>
      <c r="D43" s="108"/>
      <c r="E43" s="113"/>
      <c r="F43" s="114"/>
      <c r="G43" s="113"/>
      <c r="H43" s="114"/>
    </row>
    <row r="44" spans="2:10">
      <c r="B44" s="670"/>
      <c r="C44" s="107"/>
      <c r="D44" s="108"/>
      <c r="E44" s="113"/>
      <c r="F44" s="114"/>
      <c r="G44" s="113"/>
      <c r="H44" s="114"/>
    </row>
    <row r="45" spans="2:10">
      <c r="B45" s="670"/>
      <c r="C45" s="107"/>
      <c r="D45" s="108"/>
      <c r="E45" s="113"/>
      <c r="F45" s="114"/>
      <c r="G45" s="113"/>
      <c r="H45" s="114"/>
    </row>
    <row r="46" spans="2:10" ht="15" thickBot="1">
      <c r="B46" s="671"/>
      <c r="C46" s="109"/>
      <c r="D46" s="110"/>
      <c r="E46" s="115"/>
      <c r="F46" s="116"/>
      <c r="G46" s="115"/>
      <c r="H46" s="116"/>
    </row>
    <row r="47" spans="2:10">
      <c r="E47" s="1"/>
    </row>
    <row r="48" spans="2:10" ht="15" thickBot="1">
      <c r="E48" s="1"/>
    </row>
    <row r="49" spans="2:10">
      <c r="B49" s="669" t="s">
        <v>960</v>
      </c>
      <c r="C49" s="672" t="s">
        <v>69</v>
      </c>
      <c r="D49" s="673"/>
      <c r="E49" s="674" t="s">
        <v>70</v>
      </c>
      <c r="F49" s="675"/>
      <c r="G49" s="676" t="s">
        <v>308</v>
      </c>
      <c r="H49" s="677"/>
      <c r="I49" s="667" t="s">
        <v>961</v>
      </c>
      <c r="J49" s="668"/>
    </row>
    <row r="50" spans="2:10">
      <c r="B50" s="670"/>
      <c r="C50" s="107" t="str" cm="1">
        <f t="array" ref="C50">IFERROR(_xlfn._xlws.FILTER(MD_Revenue[[#All],[Account Name]],MD_Revenue[[#All],[Used]]=1),"")</f>
        <v>Sales</v>
      </c>
      <c r="D50" s="108"/>
      <c r="E50" s="107" t="str" cm="1">
        <f t="array" ref="E50">IFERROR(_xlfn._xlws.FILTER(MD_Expense[[#All],[Account Name]],MD_Expense[[#All],[Used]]=1),"")</f>
        <v>Cost of Goods Sold</v>
      </c>
      <c r="F50" s="108"/>
      <c r="G50" s="107" t="str" cm="1">
        <f t="array" ref="G50">IFERROR(_xlfn._xlws.FILTER(MD_Gain[[#All],[Account Name]],MD_Gain[[#All],[Used]]=1),"")</f>
        <v/>
      </c>
      <c r="H50" s="108"/>
      <c r="I50" s="107" t="str" cm="1">
        <f t="array" ref="I50">IFERROR(_xlfn._xlws.FILTER(MD_Loss[[#All],[Account Name]],MD_Loss[[#All],[Used]]=1),"")</f>
        <v/>
      </c>
      <c r="J50" s="108"/>
    </row>
    <row r="51" spans="2:10">
      <c r="B51" s="670"/>
      <c r="C51" s="107"/>
      <c r="D51" s="108"/>
      <c r="E51" s="107"/>
      <c r="F51" s="108"/>
      <c r="G51" s="107"/>
      <c r="H51" s="108"/>
      <c r="I51" s="107"/>
      <c r="J51" s="108"/>
    </row>
    <row r="52" spans="2:10">
      <c r="B52" s="670"/>
      <c r="C52" s="107"/>
      <c r="D52" s="108"/>
      <c r="E52" s="107"/>
      <c r="F52" s="108"/>
      <c r="G52" s="107"/>
      <c r="H52" s="108"/>
      <c r="I52" s="107"/>
      <c r="J52" s="108"/>
    </row>
    <row r="53" spans="2:10">
      <c r="B53" s="670"/>
      <c r="C53" s="107"/>
      <c r="D53" s="108"/>
      <c r="E53" s="107"/>
      <c r="F53" s="108"/>
      <c r="G53" s="107"/>
      <c r="H53" s="108"/>
      <c r="I53" s="107"/>
      <c r="J53" s="108"/>
    </row>
    <row r="54" spans="2:10">
      <c r="B54" s="670"/>
      <c r="C54" s="107"/>
      <c r="D54" s="108"/>
      <c r="E54" s="107"/>
      <c r="F54" s="108"/>
      <c r="G54" s="107"/>
      <c r="H54" s="108"/>
      <c r="I54" s="107"/>
      <c r="J54" s="108"/>
    </row>
    <row r="55" spans="2:10">
      <c r="B55" s="670"/>
      <c r="C55" s="107"/>
      <c r="D55" s="108"/>
      <c r="E55" s="107"/>
      <c r="F55" s="108"/>
      <c r="G55" s="107"/>
      <c r="H55" s="108"/>
      <c r="I55" s="107"/>
      <c r="J55" s="108"/>
    </row>
    <row r="56" spans="2:10">
      <c r="B56" s="670"/>
      <c r="C56" s="107"/>
      <c r="D56" s="108"/>
      <c r="E56" s="107"/>
      <c r="F56" s="108"/>
      <c r="G56" s="107"/>
      <c r="H56" s="108"/>
      <c r="I56" s="107"/>
      <c r="J56" s="108"/>
    </row>
    <row r="57" spans="2:10">
      <c r="B57" s="670"/>
      <c r="C57" s="107"/>
      <c r="D57" s="108"/>
      <c r="E57" s="107"/>
      <c r="F57" s="108"/>
      <c r="G57" s="107"/>
      <c r="H57" s="108"/>
      <c r="I57" s="107"/>
      <c r="J57" s="108"/>
    </row>
    <row r="58" spans="2:10">
      <c r="B58" s="670"/>
      <c r="C58" s="107"/>
      <c r="D58" s="108"/>
      <c r="E58" s="107"/>
      <c r="F58" s="108"/>
      <c r="G58" s="107"/>
      <c r="H58" s="108"/>
      <c r="I58" s="107"/>
      <c r="J58" s="108"/>
    </row>
    <row r="59" spans="2:10">
      <c r="B59" s="670"/>
      <c r="C59" s="107"/>
      <c r="D59" s="108"/>
      <c r="E59" s="107"/>
      <c r="F59" s="108"/>
      <c r="G59" s="107"/>
      <c r="H59" s="108"/>
      <c r="I59" s="107"/>
      <c r="J59" s="108"/>
    </row>
    <row r="60" spans="2:10" ht="15" thickBot="1">
      <c r="B60" s="671"/>
      <c r="C60" s="109"/>
      <c r="D60" s="110"/>
      <c r="E60" s="109"/>
      <c r="F60" s="110"/>
      <c r="G60" s="109"/>
      <c r="H60" s="110"/>
      <c r="I60" s="109"/>
      <c r="J60" s="110"/>
    </row>
    <row r="64" spans="2:10">
      <c r="B64" s="633" t="s">
        <v>962</v>
      </c>
      <c r="C64" s="633"/>
      <c r="D64" s="633"/>
      <c r="E64" s="633"/>
      <c r="F64" s="633"/>
      <c r="G64" s="633"/>
      <c r="H64" s="633"/>
    </row>
    <row r="65" spans="2:8">
      <c r="B65" s="1" t="s">
        <v>947</v>
      </c>
      <c r="C65" t="str" cm="1">
        <f t="array" ref="C65:C67">PurposesUsed</f>
        <v>Expand your financial vocabulary.</v>
      </c>
    </row>
    <row r="66" spans="2:8">
      <c r="B66" s="1" t="s">
        <v>948</v>
      </c>
      <c r="C66" t="str">
        <v>Use the Accounting Identity to analyze transactions.</v>
      </c>
      <c r="D66" s="1"/>
      <c r="E66" s="1"/>
      <c r="F66" s="1"/>
      <c r="G66" s="1"/>
      <c r="H66" s="1"/>
    </row>
    <row r="67" spans="2:8">
      <c r="B67" s="1" t="s">
        <v>949</v>
      </c>
      <c r="C67" t="str">
        <v>Learn how to use the Analysis_Help</v>
      </c>
      <c r="D67" s="1"/>
      <c r="E67" s="1"/>
      <c r="F67" s="1"/>
      <c r="G67" s="1"/>
      <c r="H67" s="1"/>
    </row>
    <row r="68" spans="2:8">
      <c r="B68" s="1" t="s">
        <v>950</v>
      </c>
      <c r="D68" s="1"/>
      <c r="E68" s="1"/>
      <c r="F68" s="1"/>
      <c r="G68" s="1"/>
      <c r="H68" s="1"/>
    </row>
    <row r="69" spans="2:8">
      <c r="B69" s="1" t="s">
        <v>951</v>
      </c>
      <c r="D69" s="1"/>
      <c r="E69" s="1"/>
      <c r="F69" s="1"/>
      <c r="G69" s="1"/>
      <c r="H69" s="1"/>
    </row>
    <row r="70" spans="2:8">
      <c r="C70" s="1"/>
      <c r="D70" s="1"/>
      <c r="E70" s="1"/>
      <c r="F70" s="1"/>
      <c r="G70" s="1"/>
      <c r="H70" s="1"/>
    </row>
    <row r="71" spans="2:8">
      <c r="C71" s="1"/>
      <c r="D71" s="1"/>
      <c r="E71" s="1"/>
      <c r="F71" s="1"/>
      <c r="G71" s="1"/>
      <c r="H71" s="1"/>
    </row>
  </sheetData>
  <sheetProtection sheet="1" objects="1" scenarios="1"/>
  <mergeCells count="22">
    <mergeCell ref="I49:J49"/>
    <mergeCell ref="B33:J33"/>
    <mergeCell ref="B64:H64"/>
    <mergeCell ref="B49:B60"/>
    <mergeCell ref="C49:D49"/>
    <mergeCell ref="E49:F49"/>
    <mergeCell ref="G49:H49"/>
    <mergeCell ref="G35:H35"/>
    <mergeCell ref="B35:B46"/>
    <mergeCell ref="C35:D35"/>
    <mergeCell ref="E35:F35"/>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1">
    <cfRule type="expression" dxfId="662" priority="1">
      <formula>ISBLANK($C20)</formula>
    </cfRule>
  </conditionalFormatting>
  <conditionalFormatting sqref="C21:C32">
    <cfRule type="expression" dxfId="661" priority="5">
      <formula>ISBLANK($C20)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9"/>
  <sheetViews>
    <sheetView workbookViewId="0">
      <selection activeCell="B2" sqref="B2"/>
    </sheetView>
  </sheetViews>
  <sheetFormatPr defaultRowHeight="14.45"/>
  <cols>
    <col min="1" max="1" width="2" customWidth="1"/>
    <col min="2" max="2" width="6.85546875" style="87"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42"/>
      <c r="C2" s="105" t="s">
        <v>786</v>
      </c>
      <c r="D2" s="522">
        <v>1</v>
      </c>
    </row>
    <row r="3" spans="2:16" ht="15" thickBot="1">
      <c r="B3" s="42"/>
      <c r="C3" s="634" t="s">
        <v>343</v>
      </c>
      <c r="D3" s="635"/>
      <c r="E3" s="635"/>
      <c r="F3" s="635"/>
      <c r="G3" s="635"/>
      <c r="H3" s="635"/>
      <c r="I3" s="636"/>
      <c r="J3" s="38"/>
      <c r="K3" s="38"/>
      <c r="L3" s="38" t="s">
        <v>814</v>
      </c>
    </row>
    <row r="4" spans="2:16">
      <c r="B4" s="42"/>
      <c r="C4" s="637" t="str" cm="1">
        <f t="array" ref="C4">INDEX(ProblemData!D78:AN79,2,D2+1)</f>
        <v>Receives $50k in cash from its shareholders in exchange for issuing common stock.</v>
      </c>
      <c r="D4" s="638"/>
      <c r="E4" s="638"/>
      <c r="F4" s="638"/>
      <c r="G4" s="638"/>
      <c r="H4" s="638"/>
      <c r="I4" s="639"/>
      <c r="J4" s="38"/>
      <c r="K4" s="38"/>
      <c r="L4" s="38" t="s">
        <v>814</v>
      </c>
    </row>
    <row r="5" spans="2:16">
      <c r="B5" s="42"/>
      <c r="C5" s="640"/>
      <c r="D5" s="641"/>
      <c r="E5" s="641"/>
      <c r="F5" s="641"/>
      <c r="G5" s="641"/>
      <c r="H5" s="641"/>
      <c r="I5" s="642"/>
      <c r="J5" s="38"/>
      <c r="K5" s="38"/>
      <c r="L5" s="38" t="s">
        <v>814</v>
      </c>
    </row>
    <row r="6" spans="2:16">
      <c r="B6" s="42"/>
      <c r="C6" s="640"/>
      <c r="D6" s="641"/>
      <c r="E6" s="641"/>
      <c r="F6" s="641"/>
      <c r="G6" s="641"/>
      <c r="H6" s="641"/>
      <c r="I6" s="642"/>
      <c r="J6" s="38"/>
      <c r="K6" s="38"/>
      <c r="L6" s="38" t="s">
        <v>814</v>
      </c>
    </row>
    <row r="7" spans="2:16" ht="15" thickBot="1">
      <c r="B7" s="42"/>
      <c r="C7" s="643"/>
      <c r="D7" s="644"/>
      <c r="E7" s="644"/>
      <c r="F7" s="644"/>
      <c r="G7" s="644"/>
      <c r="H7" s="644"/>
      <c r="I7" s="645"/>
      <c r="J7" s="38"/>
      <c r="K7" s="38"/>
      <c r="L7" s="38" t="s">
        <v>814</v>
      </c>
    </row>
    <row r="8" spans="2:16" ht="7.35" customHeight="1" thickBot="1">
      <c r="B8" s="42"/>
      <c r="C8"/>
    </row>
    <row r="9" spans="2:16">
      <c r="B9" s="42"/>
      <c r="C9" s="646" t="str">
        <f>"Journal for "&amp;BegDate&amp;" to "&amp;EndDate</f>
        <v>Journal for 12/31/20x0 to 12/31/20x1</v>
      </c>
      <c r="D9" s="647"/>
      <c r="E9" s="647"/>
      <c r="F9" s="647"/>
      <c r="G9" s="647"/>
      <c r="H9" s="648"/>
      <c r="I9" s="407" t="s">
        <v>963</v>
      </c>
    </row>
    <row r="10" spans="2:16" ht="15" thickBot="1">
      <c r="B10" s="42"/>
      <c r="C10" s="649"/>
      <c r="D10" s="650"/>
      <c r="E10" s="650"/>
      <c r="F10" s="650"/>
      <c r="G10" s="650"/>
      <c r="H10" s="651"/>
      <c r="I10" s="408" t="str">
        <f>IF(ROUND(SUM(Journal[Dr Amt])-SUM(Journal[Cr Amt]),2)=0,"YES",ROUND(SUM(Journal[Dr Amt])-SUM(Journal[Cr Amt]),2))</f>
        <v>YES</v>
      </c>
      <c r="J10" s="11"/>
      <c r="K10" s="11"/>
      <c r="L10" s="11"/>
      <c r="M10" s="11"/>
    </row>
    <row r="11" spans="2:16" ht="14.85" customHeight="1">
      <c r="B11" s="42"/>
      <c r="C11" s="86" t="s">
        <v>786</v>
      </c>
      <c r="D11" s="28" t="s">
        <v>819</v>
      </c>
      <c r="E11" s="28" t="s">
        <v>820</v>
      </c>
      <c r="F11" s="28" t="s">
        <v>821</v>
      </c>
      <c r="G11" s="28" t="s">
        <v>822</v>
      </c>
      <c r="H11" s="28" t="s">
        <v>823</v>
      </c>
      <c r="I11" s="28" t="s">
        <v>824</v>
      </c>
      <c r="J11" s="28" t="s">
        <v>769</v>
      </c>
      <c r="K11" s="28" t="s">
        <v>115</v>
      </c>
      <c r="L11" s="28" t="s">
        <v>825</v>
      </c>
      <c r="M11" s="28" t="s">
        <v>826</v>
      </c>
      <c r="N11" s="28" t="s">
        <v>827</v>
      </c>
      <c r="O11" s="1"/>
    </row>
    <row r="12" spans="2:16">
      <c r="C12" s="40"/>
      <c r="D12" s="198"/>
      <c r="E12" s="199"/>
      <c r="F12" s="199"/>
      <c r="G12" s="200"/>
      <c r="H12" s="201"/>
      <c r="I12" s="354"/>
      <c r="J12" s="350" t="str">
        <f>IF(Journal[[#This Row],[Transaction '#]]="","",IF(Journal[[#This Row],[Transaction '#]]=C11,J11+1,1))</f>
        <v/>
      </c>
      <c r="K12" s="351" cm="1">
        <f t="array" ref="K12">IFERROR(_xlfn.IFS(Journal[[#This Row],[Debit Account]]="Cash",Journal[[#This Row],[Dr Amt]],Journal[[#This Row],[Credit Account]]="Cash",-Journal[[#This Row],[Cr Amt]]),0)</f>
        <v>0</v>
      </c>
      <c r="L12" s="326" t="str" cm="1">
        <f t="array" ref="L12">IF(Journal[[#This Row],[Transaction '#]]&lt;&gt;"",IFERROR(INDEX(ProblemData!$E$239:$AM$239,1,Journal[[#This Row],[Transaction '#]]),""),"")</f>
        <v/>
      </c>
      <c r="M12" s="352" t="str">
        <f>IF(Journal[[#This Row],[ref1]]="","",IF(NOT(ISBLANK(Journal[[#This Row],[Transaction '#]])),Journal[[#This Row],[ref1]]&amp;Journal[[#This Row],[Movement '#]],""))</f>
        <v/>
      </c>
      <c r="N12" s="1" t="b">
        <f>OR(Journal[[#This Row],[ref1]]="",ISNUMBER(MATCH(Journal[[#This Row],[ref1]], Operating[Abbr], 0)), "Found", "Not Found"="Found")</f>
        <v>1</v>
      </c>
      <c r="P12" s="1" t="str">
        <f>Journal[[#This Row],[Accnt Type]]&amp;"Used"</f>
        <v>Used</v>
      </c>
    </row>
    <row r="13" spans="2:16">
      <c r="C13" s="40"/>
      <c r="D13" s="198"/>
      <c r="E13" s="199"/>
      <c r="F13" s="199"/>
      <c r="G13" s="200"/>
      <c r="H13" s="201"/>
      <c r="I13" s="354"/>
      <c r="J13" s="350" t="str">
        <f>IF(Journal[[#This Row],[Transaction '#]]="","",IF(Journal[[#This Row],[Transaction '#]]=C12,J12+1,1))</f>
        <v/>
      </c>
      <c r="K13" s="351" cm="1">
        <f t="array" ref="K13">IFERROR(_xlfn.IFS(Journal[[#This Row],[Debit Account]]="Cash",Journal[[#This Row],[Dr Amt]],Journal[[#This Row],[Credit Account]]="Cash",-Journal[[#This Row],[Cr Amt]]),0)</f>
        <v>0</v>
      </c>
      <c r="L13" s="326" t="str" cm="1">
        <f t="array" ref="L13">IF(Journal[[#This Row],[Transaction '#]]&lt;&gt;"",IFERROR(INDEX(ProblemData!$E$239:$AM$239,1,Journal[[#This Row],[Transaction '#]]),""),"")</f>
        <v/>
      </c>
      <c r="M13" s="352" t="str">
        <f>IF(Journal[[#This Row],[ref1]]="","",IF(NOT(ISBLANK(Journal[[#This Row],[Transaction '#]])),Journal[[#This Row],[ref1]]&amp;Journal[[#This Row],[Movement '#]],""))</f>
        <v/>
      </c>
      <c r="N13" s="1" t="b">
        <f>OR(Journal[[#This Row],[ref1]]="",ISNUMBER(MATCH(Journal[[#This Row],[ref1]], Operating[Abbr], 0)), "Found", "Not Found"="Found")</f>
        <v>1</v>
      </c>
      <c r="O13" s="1"/>
      <c r="P13" s="1" t="str">
        <f>Journal[[#This Row],[Accnt Type]]&amp;"Used"</f>
        <v>Used</v>
      </c>
    </row>
    <row r="14" spans="2:16">
      <c r="C14" s="40"/>
      <c r="D14" s="198"/>
      <c r="E14" s="199"/>
      <c r="F14" s="199"/>
      <c r="G14" s="200"/>
      <c r="H14" s="201"/>
      <c r="I14" s="354"/>
      <c r="J14" s="350" t="str">
        <f>IF(Journal[[#This Row],[Transaction '#]]="","",IF(Journal[[#This Row],[Transaction '#]]=C13,J13+1,1))</f>
        <v/>
      </c>
      <c r="K14" s="351" cm="1">
        <f t="array" ref="K14">IFERROR(_xlfn.IFS(Journal[[#This Row],[Debit Account]]="Cash",Journal[[#This Row],[Dr Amt]],Journal[[#This Row],[Credit Account]]="Cash",-Journal[[#This Row],[Cr Amt]]),0)</f>
        <v>0</v>
      </c>
      <c r="L14" s="326" t="str" cm="1">
        <f t="array" ref="L14">IF(Journal[[#This Row],[Transaction '#]]&lt;&gt;"",IFERROR(INDEX(ProblemData!$E$239:$AM$239,1,Journal[[#This Row],[Transaction '#]]),""),"")</f>
        <v/>
      </c>
      <c r="M14" s="352" t="str">
        <f>IF(Journal[[#This Row],[ref1]]="","",IF(NOT(ISBLANK(Journal[[#This Row],[Transaction '#]])),Journal[[#This Row],[ref1]]&amp;Journal[[#This Row],[Movement '#]],""))</f>
        <v/>
      </c>
      <c r="N14" s="1" t="b">
        <f>OR(Journal[[#This Row],[ref1]]="",ISNUMBER(MATCH(Journal[[#This Row],[ref1]], Operating[Abbr], 0)), "Found", "Not Found"="Found")</f>
        <v>1</v>
      </c>
      <c r="O14" s="1"/>
      <c r="P14" s="1" t="str">
        <f>Journal[[#This Row],[Accnt Type]]&amp;"Used"</f>
        <v>Used</v>
      </c>
    </row>
    <row r="15" spans="2:16">
      <c r="C15" s="40"/>
      <c r="D15" s="198"/>
      <c r="E15" s="199"/>
      <c r="F15" s="199"/>
      <c r="G15" s="200"/>
      <c r="H15" s="201"/>
      <c r="I15" s="354"/>
      <c r="J15" s="350" t="str">
        <f>IF(Journal[[#This Row],[Transaction '#]]="","",IF(Journal[[#This Row],[Transaction '#]]=C14,J14+1,1))</f>
        <v/>
      </c>
      <c r="K15" s="351" cm="1">
        <f t="array" ref="K15">IFERROR(_xlfn.IFS(Journal[[#This Row],[Debit Account]]="Cash",Journal[[#This Row],[Dr Amt]],Journal[[#This Row],[Credit Account]]="Cash",-Journal[[#This Row],[Cr Amt]]),0)</f>
        <v>0</v>
      </c>
      <c r="L15" s="326" t="str" cm="1">
        <f t="array" ref="L15">IF(Journal[[#This Row],[Transaction '#]]&lt;&gt;"",IFERROR(INDEX(ProblemData!$E$239:$AM$239,1,Journal[[#This Row],[Transaction '#]]),""),"")</f>
        <v/>
      </c>
      <c r="M15" s="352" t="str">
        <f>IF(Journal[[#This Row],[ref1]]="","",IF(NOT(ISBLANK(Journal[[#This Row],[Transaction '#]])),Journal[[#This Row],[ref1]]&amp;Journal[[#This Row],[Movement '#]],""))</f>
        <v/>
      </c>
      <c r="N15" s="1" t="b">
        <f>OR(Journal[[#This Row],[ref1]]="",ISNUMBER(MATCH(Journal[[#This Row],[ref1]], Operating[Abbr], 0)), "Found", "Not Found"="Found")</f>
        <v>1</v>
      </c>
      <c r="O15" s="1"/>
      <c r="P15" s="1" t="str">
        <f>Journal[[#This Row],[Accnt Type]]&amp;"Used"</f>
        <v>Used</v>
      </c>
    </row>
    <row r="16" spans="2:16">
      <c r="C16" s="40"/>
      <c r="D16" s="198"/>
      <c r="E16" s="199"/>
      <c r="F16" s="199"/>
      <c r="G16" s="200"/>
      <c r="H16" s="201"/>
      <c r="I16" s="354"/>
      <c r="J16" s="350" t="str">
        <f>IF(Journal[[#This Row],[Transaction '#]]="","",IF(Journal[[#This Row],[Transaction '#]]=C15,J15+1,1))</f>
        <v/>
      </c>
      <c r="K16" s="351" cm="1">
        <f t="array" ref="K16">IFERROR(_xlfn.IFS(Journal[[#This Row],[Debit Account]]="Cash",Journal[[#This Row],[Dr Amt]],Journal[[#This Row],[Credit Account]]="Cash",-Journal[[#This Row],[Cr Amt]]),0)</f>
        <v>0</v>
      </c>
      <c r="L16" s="326" t="str" cm="1">
        <f t="array" ref="L16">IF(Journal[[#This Row],[Transaction '#]]&lt;&gt;"",IFERROR(INDEX(ProblemData!$E$239:$AM$239,1,Journal[[#This Row],[Transaction '#]]),""),"")</f>
        <v/>
      </c>
      <c r="M16" s="352" t="str">
        <f>IF(Journal[[#This Row],[ref1]]="","",IF(NOT(ISBLANK(Journal[[#This Row],[Transaction '#]])),Journal[[#This Row],[ref1]]&amp;Journal[[#This Row],[Movement '#]],""))</f>
        <v/>
      </c>
      <c r="N16" s="1" t="b">
        <f>OR(Journal[[#This Row],[ref1]]="",ISNUMBER(MATCH(Journal[[#This Row],[ref1]], Operating[Abbr], 0)), "Found", "Not Found"="Found")</f>
        <v>1</v>
      </c>
      <c r="O16" s="1"/>
      <c r="P16" s="1" t="str">
        <f>Journal[[#This Row],[Accnt Type]]&amp;"Used"</f>
        <v>Used</v>
      </c>
    </row>
    <row r="17" spans="3:16">
      <c r="C17" s="40"/>
      <c r="D17" s="198"/>
      <c r="E17" s="199"/>
      <c r="F17" s="199"/>
      <c r="G17" s="200"/>
      <c r="H17" s="201"/>
      <c r="I17" s="354"/>
      <c r="J17" s="350" t="str">
        <f>IF(Journal[[#This Row],[Transaction '#]]="","",IF(Journal[[#This Row],[Transaction '#]]=C16,J16+1,1))</f>
        <v/>
      </c>
      <c r="K17" s="351" cm="1">
        <f t="array" ref="K17">IFERROR(_xlfn.IFS(Journal[[#This Row],[Debit Account]]="Cash",Journal[[#This Row],[Dr Amt]],Journal[[#This Row],[Credit Account]]="Cash",-Journal[[#This Row],[Cr Amt]]),0)</f>
        <v>0</v>
      </c>
      <c r="L17" s="326" t="str" cm="1">
        <f t="array" ref="L17">IF(Journal[[#This Row],[Transaction '#]]&lt;&gt;"",IFERROR(INDEX(ProblemData!$E$239:$AM$239,1,Journal[[#This Row],[Transaction '#]]),""),"")</f>
        <v/>
      </c>
      <c r="M17" s="352" t="str">
        <f>IF(Journal[[#This Row],[ref1]]="","",IF(NOT(ISBLANK(Journal[[#This Row],[Transaction '#]])),Journal[[#This Row],[ref1]]&amp;Journal[[#This Row],[Movement '#]],""))</f>
        <v/>
      </c>
      <c r="N17" s="1" t="b">
        <f>OR(Journal[[#This Row],[ref1]]="",ISNUMBER(MATCH(Journal[[#This Row],[ref1]], Operating[Abbr], 0)), "Found", "Not Found"="Found")</f>
        <v>1</v>
      </c>
      <c r="O17" s="1"/>
      <c r="P17" s="1" t="str">
        <f>Journal[[#This Row],[Accnt Type]]&amp;"Used"</f>
        <v>Used</v>
      </c>
    </row>
    <row r="18" spans="3:16">
      <c r="C18" s="40"/>
      <c r="D18" s="198"/>
      <c r="E18" s="199"/>
      <c r="F18" s="199"/>
      <c r="G18" s="200"/>
      <c r="H18" s="201"/>
      <c r="I18" s="354"/>
      <c r="J18" s="350" t="str">
        <f>IF(Journal[[#This Row],[Transaction '#]]="","",IF(Journal[[#This Row],[Transaction '#]]=C17,J17+1,1))</f>
        <v/>
      </c>
      <c r="K18" s="351" cm="1">
        <f t="array" ref="K18">IFERROR(_xlfn.IFS(Journal[[#This Row],[Debit Account]]="Cash",Journal[[#This Row],[Dr Amt]],Journal[[#This Row],[Credit Account]]="Cash",-Journal[[#This Row],[Cr Amt]]),0)</f>
        <v>0</v>
      </c>
      <c r="L18" s="326" t="str" cm="1">
        <f t="array" ref="L18">IF(Journal[[#This Row],[Transaction '#]]&lt;&gt;"",IFERROR(INDEX(ProblemData!$E$239:$AM$239,1,Journal[[#This Row],[Transaction '#]]),""),"")</f>
        <v/>
      </c>
      <c r="M18" s="352" t="str">
        <f>IF(Journal[[#This Row],[ref1]]="","",IF(NOT(ISBLANK(Journal[[#This Row],[Transaction '#]])),Journal[[#This Row],[ref1]]&amp;Journal[[#This Row],[Movement '#]],""))</f>
        <v/>
      </c>
      <c r="N18" s="1" t="b">
        <f>OR(Journal[[#This Row],[ref1]]="",ISNUMBER(MATCH(Journal[[#This Row],[ref1]], Operating[Abbr], 0)), "Found", "Not Found"="Found")</f>
        <v>1</v>
      </c>
      <c r="O18" s="1"/>
      <c r="P18" s="1" t="str">
        <f>Journal[[#This Row],[Accnt Type]]&amp;"Used"</f>
        <v>Used</v>
      </c>
    </row>
    <row r="19" spans="3:16">
      <c r="C19" s="40"/>
      <c r="D19" s="198"/>
      <c r="E19" s="199"/>
      <c r="F19" s="199"/>
      <c r="G19" s="200"/>
      <c r="H19" s="201"/>
      <c r="I19" s="354"/>
      <c r="J19" s="350" t="str">
        <f>IF(Journal[[#This Row],[Transaction '#]]="","",IF(Journal[[#This Row],[Transaction '#]]=C18,J18+1,1))</f>
        <v/>
      </c>
      <c r="K19" s="351" cm="1">
        <f t="array" ref="K19">IFERROR(_xlfn.IFS(Journal[[#This Row],[Debit Account]]="Cash",Journal[[#This Row],[Dr Amt]],Journal[[#This Row],[Credit Account]]="Cash",-Journal[[#This Row],[Cr Amt]]),0)</f>
        <v>0</v>
      </c>
      <c r="L19" s="326" t="str" cm="1">
        <f t="array" ref="L19">IF(Journal[[#This Row],[Transaction '#]]&lt;&gt;"",IFERROR(INDEX(ProblemData!$E$239:$AM$239,1,Journal[[#This Row],[Transaction '#]]),""),"")</f>
        <v/>
      </c>
      <c r="M19" s="352" t="str">
        <f>IF(Journal[[#This Row],[ref1]]="","",IF(NOT(ISBLANK(Journal[[#This Row],[Transaction '#]])),Journal[[#This Row],[ref1]]&amp;Journal[[#This Row],[Movement '#]],""))</f>
        <v/>
      </c>
      <c r="N19" s="1" t="b">
        <f>OR(Journal[[#This Row],[ref1]]="",ISNUMBER(MATCH(Journal[[#This Row],[ref1]], Operating[Abbr], 0)), "Found", "Not Found"="Found")</f>
        <v>1</v>
      </c>
      <c r="O19" s="1"/>
      <c r="P19" s="1" t="str">
        <f>Journal[[#This Row],[Accnt Type]]&amp;"Used"</f>
        <v>Used</v>
      </c>
    </row>
    <row r="20" spans="3:16">
      <c r="C20" s="40"/>
      <c r="D20" s="198"/>
      <c r="E20" s="199"/>
      <c r="F20" s="199"/>
      <c r="G20" s="200"/>
      <c r="H20" s="201"/>
      <c r="I20" s="354"/>
      <c r="J20" s="350" t="str">
        <f>IF(Journal[[#This Row],[Transaction '#]]="","",IF(Journal[[#This Row],[Transaction '#]]=C19,J19+1,1))</f>
        <v/>
      </c>
      <c r="K20" s="351" cm="1">
        <f t="array" ref="K20">IFERROR(_xlfn.IFS(Journal[[#This Row],[Debit Account]]="Cash",Journal[[#This Row],[Dr Amt]],Journal[[#This Row],[Credit Account]]="Cash",-Journal[[#This Row],[Cr Amt]]),0)</f>
        <v>0</v>
      </c>
      <c r="L20" s="326" t="str" cm="1">
        <f t="array" ref="L20">IF(Journal[[#This Row],[Transaction '#]]&lt;&gt;"",IFERROR(INDEX(ProblemData!$E$239:$AM$239,1,Journal[[#This Row],[Transaction '#]]),""),"")</f>
        <v/>
      </c>
      <c r="M20" s="352" t="str">
        <f>IF(Journal[[#This Row],[ref1]]="","",IF(NOT(ISBLANK(Journal[[#This Row],[Transaction '#]])),Journal[[#This Row],[ref1]]&amp;Journal[[#This Row],[Movement '#]],""))</f>
        <v/>
      </c>
      <c r="N20" s="1" t="b">
        <f>OR(Journal[[#This Row],[ref1]]="",ISNUMBER(MATCH(Journal[[#This Row],[ref1]], Operating[Abbr], 0)), "Found", "Not Found"="Found")</f>
        <v>1</v>
      </c>
      <c r="O20" s="1"/>
      <c r="P20" s="1" t="str">
        <f>Journal[[#This Row],[Accnt Type]]&amp;"Used"</f>
        <v>Used</v>
      </c>
    </row>
    <row r="21" spans="3:16">
      <c r="C21" s="40"/>
      <c r="D21" s="198"/>
      <c r="E21" s="199"/>
      <c r="F21" s="199"/>
      <c r="G21" s="200"/>
      <c r="H21" s="201"/>
      <c r="I21" s="354"/>
      <c r="J21" s="350" t="str">
        <f>IF(Journal[[#This Row],[Transaction '#]]="","",IF(Journal[[#This Row],[Transaction '#]]=C20,J20+1,1))</f>
        <v/>
      </c>
      <c r="K21" s="351" cm="1">
        <f t="array" ref="K21">IFERROR(_xlfn.IFS(Journal[[#This Row],[Debit Account]]="Cash",Journal[[#This Row],[Dr Amt]],Journal[[#This Row],[Credit Account]]="Cash",-Journal[[#This Row],[Cr Amt]]),0)</f>
        <v>0</v>
      </c>
      <c r="L21" s="326" t="str" cm="1">
        <f t="array" ref="L21">IF(Journal[[#This Row],[Transaction '#]]&lt;&gt;"",IFERROR(INDEX(ProblemData!$E$239:$AM$239,1,Journal[[#This Row],[Transaction '#]]),""),"")</f>
        <v/>
      </c>
      <c r="M21" s="352" t="str">
        <f>IF(Journal[[#This Row],[ref1]]="","",IF(NOT(ISBLANK(Journal[[#This Row],[Transaction '#]])),Journal[[#This Row],[ref1]]&amp;Journal[[#This Row],[Movement '#]],""))</f>
        <v/>
      </c>
      <c r="N21" s="1" t="b">
        <f>OR(Journal[[#This Row],[ref1]]="",ISNUMBER(MATCH(Journal[[#This Row],[ref1]], Operating[Abbr], 0)), "Found", "Not Found"="Found")</f>
        <v>1</v>
      </c>
      <c r="O21" s="1"/>
      <c r="P21" s="1" t="str">
        <f>Journal[[#This Row],[Accnt Type]]&amp;"Used"</f>
        <v>Used</v>
      </c>
    </row>
    <row r="22" spans="3:16">
      <c r="C22" s="40"/>
      <c r="D22" s="198"/>
      <c r="E22" s="199"/>
      <c r="F22" s="199"/>
      <c r="G22" s="200"/>
      <c r="H22" s="201"/>
      <c r="I22" s="354"/>
      <c r="J22" s="350" t="str">
        <f>IF(Journal[[#This Row],[Transaction '#]]="","",IF(Journal[[#This Row],[Transaction '#]]=C21,J21+1,1))</f>
        <v/>
      </c>
      <c r="K22" s="351" cm="1">
        <f t="array" ref="K22">IFERROR(_xlfn.IFS(Journal[[#This Row],[Debit Account]]="Cash",Journal[[#This Row],[Dr Amt]],Journal[[#This Row],[Credit Account]]="Cash",-Journal[[#This Row],[Cr Amt]]),0)</f>
        <v>0</v>
      </c>
      <c r="L22" s="326" t="str" cm="1">
        <f t="array" ref="L22">IF(Journal[[#This Row],[Transaction '#]]&lt;&gt;"",IFERROR(INDEX(ProblemData!$E$239:$AM$239,1,Journal[[#This Row],[Transaction '#]]),""),"")</f>
        <v/>
      </c>
      <c r="M22" s="352" t="str">
        <f>IF(Journal[[#This Row],[ref1]]="","",IF(NOT(ISBLANK(Journal[[#This Row],[Transaction '#]])),Journal[[#This Row],[ref1]]&amp;Journal[[#This Row],[Movement '#]],""))</f>
        <v/>
      </c>
      <c r="N22" s="1" t="b">
        <f>OR(Journal[[#This Row],[ref1]]="",ISNUMBER(MATCH(Journal[[#This Row],[ref1]], Operating[Abbr], 0)), "Found", "Not Found"="Found")</f>
        <v>1</v>
      </c>
      <c r="O22" s="1"/>
      <c r="P22" s="1" t="str">
        <f>Journal[[#This Row],[Accnt Type]]&amp;"Used"</f>
        <v>Used</v>
      </c>
    </row>
    <row r="23" spans="3:16">
      <c r="C23" s="40"/>
      <c r="D23" s="198"/>
      <c r="E23" s="199"/>
      <c r="F23" s="199"/>
      <c r="G23" s="200"/>
      <c r="H23" s="201"/>
      <c r="I23" s="354"/>
      <c r="J23" s="350" t="str">
        <f>IF(Journal[[#This Row],[Transaction '#]]="","",IF(Journal[[#This Row],[Transaction '#]]=C22,J22+1,1))</f>
        <v/>
      </c>
      <c r="K23" s="351" cm="1">
        <f t="array" ref="K23">IFERROR(_xlfn.IFS(Journal[[#This Row],[Debit Account]]="Cash",Journal[[#This Row],[Dr Amt]],Journal[[#This Row],[Credit Account]]="Cash",-Journal[[#This Row],[Cr Amt]]),0)</f>
        <v>0</v>
      </c>
      <c r="L23" s="326" t="str" cm="1">
        <f t="array" ref="L23">IF(Journal[[#This Row],[Transaction '#]]&lt;&gt;"",IFERROR(INDEX(ProblemData!$E$239:$AM$239,1,Journal[[#This Row],[Transaction '#]]),""),"")</f>
        <v/>
      </c>
      <c r="M23" s="352" t="str">
        <f>IF(Journal[[#This Row],[ref1]]="","",IF(NOT(ISBLANK(Journal[[#This Row],[Transaction '#]])),Journal[[#This Row],[ref1]]&amp;Journal[[#This Row],[Movement '#]],""))</f>
        <v/>
      </c>
      <c r="N23" s="1" t="b">
        <f>OR(Journal[[#This Row],[ref1]]="",ISNUMBER(MATCH(Journal[[#This Row],[ref1]], Operating[Abbr], 0)), "Found", "Not Found"="Found")</f>
        <v>1</v>
      </c>
      <c r="O23" s="1"/>
      <c r="P23" s="1" t="str">
        <f>Journal[[#This Row],[Accnt Type]]&amp;"Used"</f>
        <v>Used</v>
      </c>
    </row>
    <row r="24" spans="3:16">
      <c r="C24" s="40"/>
      <c r="D24" s="198"/>
      <c r="E24" s="199"/>
      <c r="F24" s="199"/>
      <c r="G24" s="200"/>
      <c r="H24" s="201"/>
      <c r="I24" s="354"/>
      <c r="J24" s="350" t="str">
        <f>IF(Journal[[#This Row],[Transaction '#]]="","",IF(Journal[[#This Row],[Transaction '#]]=C23,J23+1,1))</f>
        <v/>
      </c>
      <c r="K24" s="351" cm="1">
        <f t="array" ref="K24">IFERROR(_xlfn.IFS(Journal[[#This Row],[Debit Account]]="Cash",Journal[[#This Row],[Dr Amt]],Journal[[#This Row],[Credit Account]]="Cash",-Journal[[#This Row],[Cr Amt]]),0)</f>
        <v>0</v>
      </c>
      <c r="L24" s="326" t="str" cm="1">
        <f t="array" ref="L24">IF(Journal[[#This Row],[Transaction '#]]&lt;&gt;"",IFERROR(INDEX(ProblemData!$E$239:$AM$239,1,Journal[[#This Row],[Transaction '#]]),""),"")</f>
        <v/>
      </c>
      <c r="M24" s="352" t="str">
        <f>IF(Journal[[#This Row],[ref1]]="","",IF(NOT(ISBLANK(Journal[[#This Row],[Transaction '#]])),Journal[[#This Row],[ref1]]&amp;Journal[[#This Row],[Movement '#]],""))</f>
        <v/>
      </c>
      <c r="N24" s="1" t="b">
        <f>OR(Journal[[#This Row],[ref1]]="",ISNUMBER(MATCH(Journal[[#This Row],[ref1]], Operating[Abbr], 0)), "Found", "Not Found"="Found")</f>
        <v>1</v>
      </c>
      <c r="O24" s="1"/>
      <c r="P24" s="1" t="str">
        <f>Journal[[#This Row],[Accnt Type]]&amp;"Used"</f>
        <v>Used</v>
      </c>
    </row>
    <row r="25" spans="3:16">
      <c r="C25" s="40"/>
      <c r="D25" s="198"/>
      <c r="E25" s="199"/>
      <c r="F25" s="199"/>
      <c r="G25" s="200"/>
      <c r="H25" s="201"/>
      <c r="I25" s="354"/>
      <c r="J25" s="350" t="str">
        <f>IF(Journal[[#This Row],[Transaction '#]]="","",IF(Journal[[#This Row],[Transaction '#]]=C24,J24+1,1))</f>
        <v/>
      </c>
      <c r="K25" s="351" cm="1">
        <f t="array" ref="K25">IFERROR(_xlfn.IFS(Journal[[#This Row],[Debit Account]]="Cash",Journal[[#This Row],[Dr Amt]],Journal[[#This Row],[Credit Account]]="Cash",-Journal[[#This Row],[Cr Amt]]),0)</f>
        <v>0</v>
      </c>
      <c r="L25" s="326" t="str" cm="1">
        <f t="array" ref="L25">IF(Journal[[#This Row],[Transaction '#]]&lt;&gt;"",IFERROR(INDEX(ProblemData!$E$239:$AM$239,1,Journal[[#This Row],[Transaction '#]]),""),"")</f>
        <v/>
      </c>
      <c r="M25" s="352" t="str">
        <f>IF(Journal[[#This Row],[ref1]]="","",IF(NOT(ISBLANK(Journal[[#This Row],[Transaction '#]])),Journal[[#This Row],[ref1]]&amp;Journal[[#This Row],[Movement '#]],""))</f>
        <v/>
      </c>
      <c r="N25" s="1" t="b">
        <f>OR(Journal[[#This Row],[ref1]]="",ISNUMBER(MATCH(Journal[[#This Row],[ref1]], Operating[Abbr], 0)), "Found", "Not Found"="Found")</f>
        <v>1</v>
      </c>
      <c r="O25" s="1"/>
      <c r="P25" s="1" t="str">
        <f>Journal[[#This Row],[Accnt Type]]&amp;"Used"</f>
        <v>Used</v>
      </c>
    </row>
    <row r="26" spans="3:16">
      <c r="C26" s="40"/>
      <c r="D26" s="198"/>
      <c r="E26" s="199"/>
      <c r="F26" s="199"/>
      <c r="G26" s="200"/>
      <c r="H26" s="201"/>
      <c r="I26" s="354"/>
      <c r="J26" s="350" t="str">
        <f>IF(Journal[[#This Row],[Transaction '#]]="","",IF(Journal[[#This Row],[Transaction '#]]=C25,J25+1,1))</f>
        <v/>
      </c>
      <c r="K26" s="351" cm="1">
        <f t="array" ref="K26">IFERROR(_xlfn.IFS(Journal[[#This Row],[Debit Account]]="Cash",Journal[[#This Row],[Dr Amt]],Journal[[#This Row],[Credit Account]]="Cash",-Journal[[#This Row],[Cr Amt]]),0)</f>
        <v>0</v>
      </c>
      <c r="L26" s="326" t="str" cm="1">
        <f t="array" ref="L26">IF(Journal[[#This Row],[Transaction '#]]&lt;&gt;"",IFERROR(INDEX(ProblemData!$E$239:$AM$239,1,Journal[[#This Row],[Transaction '#]]),""),"")</f>
        <v/>
      </c>
      <c r="M26" s="352" t="str">
        <f>IF(Journal[[#This Row],[ref1]]="","",IF(NOT(ISBLANK(Journal[[#This Row],[Transaction '#]])),Journal[[#This Row],[ref1]]&amp;Journal[[#This Row],[Movement '#]],""))</f>
        <v/>
      </c>
      <c r="N26" s="1" t="b">
        <f>OR(Journal[[#This Row],[ref1]]="",ISNUMBER(MATCH(Journal[[#This Row],[ref1]], Operating[Abbr], 0)), "Found", "Not Found"="Found")</f>
        <v>1</v>
      </c>
      <c r="O26" s="1"/>
      <c r="P26" s="1" t="str">
        <f>Journal[[#This Row],[Accnt Type]]&amp;"Used"</f>
        <v>Used</v>
      </c>
    </row>
    <row r="27" spans="3:16">
      <c r="C27" s="40"/>
      <c r="D27" s="198"/>
      <c r="E27" s="199"/>
      <c r="F27" s="199"/>
      <c r="G27" s="200"/>
      <c r="H27" s="201"/>
      <c r="I27" s="354"/>
      <c r="J27" s="350" t="str">
        <f>IF(Journal[[#This Row],[Transaction '#]]="","",IF(Journal[[#This Row],[Transaction '#]]=C26,J26+1,1))</f>
        <v/>
      </c>
      <c r="K27" s="351" cm="1">
        <f t="array" ref="K27">IFERROR(_xlfn.IFS(Journal[[#This Row],[Debit Account]]="Cash",Journal[[#This Row],[Dr Amt]],Journal[[#This Row],[Credit Account]]="Cash",-Journal[[#This Row],[Cr Amt]]),0)</f>
        <v>0</v>
      </c>
      <c r="L27" s="326" t="str" cm="1">
        <f t="array" ref="L27">IF(Journal[[#This Row],[Transaction '#]]&lt;&gt;"",IFERROR(INDEX(ProblemData!$E$239:$AM$239,1,Journal[[#This Row],[Transaction '#]]),""),"")</f>
        <v/>
      </c>
      <c r="M27" s="352" t="str">
        <f>IF(Journal[[#This Row],[ref1]]="","",IF(NOT(ISBLANK(Journal[[#This Row],[Transaction '#]])),Journal[[#This Row],[ref1]]&amp;Journal[[#This Row],[Movement '#]],""))</f>
        <v/>
      </c>
      <c r="N27" s="1" t="b">
        <f>OR(Journal[[#This Row],[ref1]]="",ISNUMBER(MATCH(Journal[[#This Row],[ref1]], Operating[Abbr], 0)), "Found", "Not Found"="Found")</f>
        <v>1</v>
      </c>
      <c r="O27" s="1"/>
      <c r="P27" s="1" t="str">
        <f>Journal[[#This Row],[Accnt Type]]&amp;"Used"</f>
        <v>Used</v>
      </c>
    </row>
    <row r="28" spans="3:16">
      <c r="C28" s="40"/>
      <c r="D28" s="198"/>
      <c r="E28" s="199"/>
      <c r="F28" s="199"/>
      <c r="G28" s="200"/>
      <c r="H28" s="201"/>
      <c r="I28" s="354"/>
      <c r="J28" s="350" t="str">
        <f>IF(Journal[[#This Row],[Transaction '#]]="","",IF(Journal[[#This Row],[Transaction '#]]=C27,J27+1,1))</f>
        <v/>
      </c>
      <c r="K28" s="351" cm="1">
        <f t="array" ref="K28">IFERROR(_xlfn.IFS(Journal[[#This Row],[Debit Account]]="Cash",Journal[[#This Row],[Dr Amt]],Journal[[#This Row],[Credit Account]]="Cash",-Journal[[#This Row],[Cr Amt]]),0)</f>
        <v>0</v>
      </c>
      <c r="L28" s="326" t="str" cm="1">
        <f t="array" ref="L28">IF(Journal[[#This Row],[Transaction '#]]&lt;&gt;"",IFERROR(INDEX(ProblemData!$E$239:$AM$239,1,Journal[[#This Row],[Transaction '#]]),""),"")</f>
        <v/>
      </c>
      <c r="M28" s="352" t="str">
        <f>IF(Journal[[#This Row],[ref1]]="","",IF(NOT(ISBLANK(Journal[[#This Row],[Transaction '#]])),Journal[[#This Row],[ref1]]&amp;Journal[[#This Row],[Movement '#]],""))</f>
        <v/>
      </c>
      <c r="N28" s="1" t="b">
        <f>OR(Journal[[#This Row],[ref1]]="",ISNUMBER(MATCH(Journal[[#This Row],[ref1]], Operating[Abbr], 0)), "Found", "Not Found"="Found")</f>
        <v>1</v>
      </c>
      <c r="O28" s="1"/>
      <c r="P28" s="1" t="str">
        <f>Journal[[#This Row],[Accnt Type]]&amp;"Used"</f>
        <v>Used</v>
      </c>
    </row>
    <row r="29" spans="3:16">
      <c r="C29" s="40"/>
      <c r="D29" s="198"/>
      <c r="E29" s="199"/>
      <c r="F29" s="199"/>
      <c r="G29" s="200"/>
      <c r="H29" s="201"/>
      <c r="I29" s="354"/>
      <c r="J29" s="350" t="str">
        <f>IF(Journal[[#This Row],[Transaction '#]]="","",IF(Journal[[#This Row],[Transaction '#]]=C28,J28+1,1))</f>
        <v/>
      </c>
      <c r="K29" s="351" cm="1">
        <f t="array" ref="K29">IFERROR(_xlfn.IFS(Journal[[#This Row],[Debit Account]]="Cash",Journal[[#This Row],[Dr Amt]],Journal[[#This Row],[Credit Account]]="Cash",-Journal[[#This Row],[Cr Amt]]),0)</f>
        <v>0</v>
      </c>
      <c r="L29" s="326" t="str" cm="1">
        <f t="array" ref="L29">IF(Journal[[#This Row],[Transaction '#]]&lt;&gt;"",IFERROR(INDEX(ProblemData!$E$239:$AM$239,1,Journal[[#This Row],[Transaction '#]]),""),"")</f>
        <v/>
      </c>
      <c r="M29" s="352" t="str">
        <f>IF(Journal[[#This Row],[ref1]]="","",IF(NOT(ISBLANK(Journal[[#This Row],[Transaction '#]])),Journal[[#This Row],[ref1]]&amp;Journal[[#This Row],[Movement '#]],""))</f>
        <v/>
      </c>
      <c r="N29" s="1" t="b">
        <f>OR(Journal[[#This Row],[ref1]]="",ISNUMBER(MATCH(Journal[[#This Row],[ref1]], Operating[Abbr], 0)), "Found", "Not Found"="Found")</f>
        <v>1</v>
      </c>
      <c r="O29" s="1"/>
      <c r="P29" s="1" t="str">
        <f>Journal[[#This Row],[Accnt Type]]&amp;"Used"</f>
        <v>Used</v>
      </c>
    </row>
    <row r="30" spans="3:16">
      <c r="C30" s="40"/>
      <c r="D30" s="198"/>
      <c r="E30" s="199"/>
      <c r="F30" s="199"/>
      <c r="G30" s="200"/>
      <c r="H30" s="201"/>
      <c r="I30" s="354"/>
      <c r="J30" s="350" t="str">
        <f>IF(Journal[[#This Row],[Transaction '#]]="","",IF(Journal[[#This Row],[Transaction '#]]=C29,J29+1,1))</f>
        <v/>
      </c>
      <c r="K30" s="351" cm="1">
        <f t="array" ref="K30">IFERROR(_xlfn.IFS(Journal[[#This Row],[Debit Account]]="Cash",Journal[[#This Row],[Dr Amt]],Journal[[#This Row],[Credit Account]]="Cash",-Journal[[#This Row],[Cr Amt]]),0)</f>
        <v>0</v>
      </c>
      <c r="L30" s="326" t="str" cm="1">
        <f t="array" ref="L30">IF(Journal[[#This Row],[Transaction '#]]&lt;&gt;"",IFERROR(INDEX(ProblemData!$E$239:$AM$239,1,Journal[[#This Row],[Transaction '#]]),""),"")</f>
        <v/>
      </c>
      <c r="M30" s="352" t="str">
        <f>IF(Journal[[#This Row],[ref1]]="","",IF(NOT(ISBLANK(Journal[[#This Row],[Transaction '#]])),Journal[[#This Row],[ref1]]&amp;Journal[[#This Row],[Movement '#]],""))</f>
        <v/>
      </c>
      <c r="N30" s="1" t="b">
        <f>OR(Journal[[#This Row],[ref1]]="",ISNUMBER(MATCH(Journal[[#This Row],[ref1]], Operating[Abbr], 0)), "Found", "Not Found"="Found")</f>
        <v>1</v>
      </c>
      <c r="O30" s="1"/>
      <c r="P30" s="1" t="str">
        <f>Journal[[#This Row],[Accnt Type]]&amp;"Used"</f>
        <v>Used</v>
      </c>
    </row>
    <row r="31" spans="3:16">
      <c r="C31" s="40"/>
      <c r="D31" s="198"/>
      <c r="E31" s="199"/>
      <c r="F31" s="199"/>
      <c r="G31" s="200"/>
      <c r="H31" s="201"/>
      <c r="I31" s="354"/>
      <c r="J31" s="350" t="str">
        <f>IF(Journal[[#This Row],[Transaction '#]]="","",IF(Journal[[#This Row],[Transaction '#]]=C30,J30+1,1))</f>
        <v/>
      </c>
      <c r="K31" s="351" cm="1">
        <f t="array" ref="K31">IFERROR(_xlfn.IFS(Journal[[#This Row],[Debit Account]]="Cash",Journal[[#This Row],[Dr Amt]],Journal[[#This Row],[Credit Account]]="Cash",-Journal[[#This Row],[Cr Amt]]),0)</f>
        <v>0</v>
      </c>
      <c r="L31" s="326" t="str" cm="1">
        <f t="array" ref="L31">IF(Journal[[#This Row],[Transaction '#]]&lt;&gt;"",IFERROR(INDEX(ProblemData!$E$239:$AM$239,1,Journal[[#This Row],[Transaction '#]]),""),"")</f>
        <v/>
      </c>
      <c r="M31" s="352" t="str">
        <f>IF(Journal[[#This Row],[ref1]]="","",IF(NOT(ISBLANK(Journal[[#This Row],[Transaction '#]])),Journal[[#This Row],[ref1]]&amp;Journal[[#This Row],[Movement '#]],""))</f>
        <v/>
      </c>
      <c r="N31" s="1" t="b">
        <f>OR(Journal[[#This Row],[ref1]]="",ISNUMBER(MATCH(Journal[[#This Row],[ref1]], Operating[Abbr], 0)), "Found", "Not Found"="Found")</f>
        <v>1</v>
      </c>
      <c r="O31" s="1"/>
      <c r="P31" s="1" t="str">
        <f>Journal[[#This Row],[Accnt Type]]&amp;"Used"</f>
        <v>Used</v>
      </c>
    </row>
    <row r="32" spans="3:16">
      <c r="C32" s="40"/>
      <c r="D32" s="198"/>
      <c r="E32" s="199"/>
      <c r="F32" s="199"/>
      <c r="G32" s="200"/>
      <c r="H32" s="201"/>
      <c r="I32" s="354"/>
      <c r="J32" s="350" t="str">
        <f>IF(Journal[[#This Row],[Transaction '#]]="","",IF(Journal[[#This Row],[Transaction '#]]=C31,J31+1,1))</f>
        <v/>
      </c>
      <c r="K32" s="351" cm="1">
        <f t="array" ref="K32">IFERROR(_xlfn.IFS(Journal[[#This Row],[Debit Account]]="Cash",Journal[[#This Row],[Dr Amt]],Journal[[#This Row],[Credit Account]]="Cash",-Journal[[#This Row],[Cr Amt]]),0)</f>
        <v>0</v>
      </c>
      <c r="L32" s="326" t="str" cm="1">
        <f t="array" ref="L32">IF(Journal[[#This Row],[Transaction '#]]&lt;&gt;"",IFERROR(INDEX(ProblemData!$E$239:$AM$239,1,Journal[[#This Row],[Transaction '#]]),""),"")</f>
        <v/>
      </c>
      <c r="M32" s="352" t="str">
        <f>IF(Journal[[#This Row],[ref1]]="","",IF(NOT(ISBLANK(Journal[[#This Row],[Transaction '#]])),Journal[[#This Row],[ref1]]&amp;Journal[[#This Row],[Movement '#]],""))</f>
        <v/>
      </c>
      <c r="N32" s="1" t="b">
        <f>OR(Journal[[#This Row],[ref1]]="",ISNUMBER(MATCH(Journal[[#This Row],[ref1]], Operating[Abbr], 0)), "Found", "Not Found"="Found")</f>
        <v>1</v>
      </c>
      <c r="O32" s="1"/>
      <c r="P32" s="1" t="str">
        <f>Journal[[#This Row],[Accnt Type]]&amp;"Used"</f>
        <v>Used</v>
      </c>
    </row>
    <row r="33" spans="3:16">
      <c r="C33" s="40"/>
      <c r="D33" s="198"/>
      <c r="E33" s="199"/>
      <c r="F33" s="199"/>
      <c r="G33" s="200"/>
      <c r="H33" s="201"/>
      <c r="I33" s="354"/>
      <c r="J33" s="350" t="str">
        <f>IF(Journal[[#This Row],[Transaction '#]]="","",IF(Journal[[#This Row],[Transaction '#]]=C32,J32+1,1))</f>
        <v/>
      </c>
      <c r="K33" s="351" cm="1">
        <f t="array" ref="K33">IFERROR(_xlfn.IFS(Journal[[#This Row],[Debit Account]]="Cash",Journal[[#This Row],[Dr Amt]],Journal[[#This Row],[Credit Account]]="Cash",-Journal[[#This Row],[Cr Amt]]),0)</f>
        <v>0</v>
      </c>
      <c r="L33" s="326" t="str" cm="1">
        <f t="array" ref="L33">IF(Journal[[#This Row],[Transaction '#]]&lt;&gt;"",IFERROR(INDEX(ProblemData!$E$239:$AM$239,1,Journal[[#This Row],[Transaction '#]]),""),"")</f>
        <v/>
      </c>
      <c r="M33" s="352" t="str">
        <f>IF(Journal[[#This Row],[ref1]]="","",IF(NOT(ISBLANK(Journal[[#This Row],[Transaction '#]])),Journal[[#This Row],[ref1]]&amp;Journal[[#This Row],[Movement '#]],""))</f>
        <v/>
      </c>
      <c r="N33" s="1" t="b">
        <f>OR(Journal[[#This Row],[ref1]]="",ISNUMBER(MATCH(Journal[[#This Row],[ref1]], Operating[Abbr], 0)), "Found", "Not Found"="Found")</f>
        <v>1</v>
      </c>
      <c r="O33" s="1"/>
      <c r="P33" s="1" t="str">
        <f>Journal[[#This Row],[Accnt Type]]&amp;"Used"</f>
        <v>Used</v>
      </c>
    </row>
    <row r="34" spans="3:16">
      <c r="C34" s="40"/>
      <c r="D34" s="198"/>
      <c r="E34" s="199"/>
      <c r="F34" s="199"/>
      <c r="G34" s="200"/>
      <c r="H34" s="201"/>
      <c r="I34" s="354"/>
      <c r="J34" s="350" t="str">
        <f>IF(Journal[[#This Row],[Transaction '#]]="","",IF(Journal[[#This Row],[Transaction '#]]=C33,J33+1,1))</f>
        <v/>
      </c>
      <c r="K34" s="351" cm="1">
        <f t="array" ref="K34">IFERROR(_xlfn.IFS(Journal[[#This Row],[Debit Account]]="Cash",Journal[[#This Row],[Dr Amt]],Journal[[#This Row],[Credit Account]]="Cash",-Journal[[#This Row],[Cr Amt]]),0)</f>
        <v>0</v>
      </c>
      <c r="L34" s="326" t="str" cm="1">
        <f t="array" ref="L34">IF(Journal[[#This Row],[Transaction '#]]&lt;&gt;"",IFERROR(INDEX(ProblemData!$E$239:$AM$239,1,Journal[[#This Row],[Transaction '#]]),""),"")</f>
        <v/>
      </c>
      <c r="M34" s="352" t="str">
        <f>IF(Journal[[#This Row],[ref1]]="","",IF(NOT(ISBLANK(Journal[[#This Row],[Transaction '#]])),Journal[[#This Row],[ref1]]&amp;Journal[[#This Row],[Movement '#]],""))</f>
        <v/>
      </c>
      <c r="N34" s="1" t="b">
        <f>OR(Journal[[#This Row],[ref1]]="",ISNUMBER(MATCH(Journal[[#This Row],[ref1]], Operating[Abbr], 0)), "Found", "Not Found"="Found")</f>
        <v>1</v>
      </c>
      <c r="O34" s="1"/>
      <c r="P34" s="1" t="str">
        <f>Journal[[#This Row],[Accnt Type]]&amp;"Used"</f>
        <v>Used</v>
      </c>
    </row>
    <row r="35" spans="3:16">
      <c r="C35" s="40"/>
      <c r="D35" s="198"/>
      <c r="E35" s="199"/>
      <c r="F35" s="199"/>
      <c r="G35" s="200"/>
      <c r="H35" s="201"/>
      <c r="I35" s="354"/>
      <c r="J35" s="350" t="str">
        <f>IF(Journal[[#This Row],[Transaction '#]]="","",IF(Journal[[#This Row],[Transaction '#]]=C34,J34+1,1))</f>
        <v/>
      </c>
      <c r="K35" s="351" cm="1">
        <f t="array" ref="K35">IFERROR(_xlfn.IFS(Journal[[#This Row],[Debit Account]]="Cash",Journal[[#This Row],[Dr Amt]],Journal[[#This Row],[Credit Account]]="Cash",-Journal[[#This Row],[Cr Amt]]),0)</f>
        <v>0</v>
      </c>
      <c r="L35" s="326" t="str" cm="1">
        <f t="array" ref="L35">IF(Journal[[#This Row],[Transaction '#]]&lt;&gt;"",IFERROR(INDEX(ProblemData!$E$239:$AM$239,1,Journal[[#This Row],[Transaction '#]]),""),"")</f>
        <v/>
      </c>
      <c r="M35" s="352" t="str">
        <f>IF(Journal[[#This Row],[ref1]]="","",IF(NOT(ISBLANK(Journal[[#This Row],[Transaction '#]])),Journal[[#This Row],[ref1]]&amp;Journal[[#This Row],[Movement '#]],""))</f>
        <v/>
      </c>
      <c r="N35" s="1" t="b">
        <f>OR(Journal[[#This Row],[ref1]]="",ISNUMBER(MATCH(Journal[[#This Row],[ref1]], Operating[Abbr], 0)), "Found", "Not Found"="Found")</f>
        <v>1</v>
      </c>
      <c r="O35" s="1"/>
      <c r="P35" s="1" t="str">
        <f>Journal[[#This Row],[Accnt Type]]&amp;"Used"</f>
        <v>Used</v>
      </c>
    </row>
    <row r="36" spans="3:16">
      <c r="C36" s="40"/>
      <c r="D36" s="198"/>
      <c r="E36" s="199"/>
      <c r="F36" s="199"/>
      <c r="G36" s="200"/>
      <c r="H36" s="201"/>
      <c r="I36" s="354"/>
      <c r="J36" s="350" t="str">
        <f>IF(Journal[[#This Row],[Transaction '#]]="","",IF(Journal[[#This Row],[Transaction '#]]=C35,J35+1,1))</f>
        <v/>
      </c>
      <c r="K36" s="351" cm="1">
        <f t="array" ref="K36">IFERROR(_xlfn.IFS(Journal[[#This Row],[Debit Account]]="Cash",Journal[[#This Row],[Dr Amt]],Journal[[#This Row],[Credit Account]]="Cash",-Journal[[#This Row],[Cr Amt]]),0)</f>
        <v>0</v>
      </c>
      <c r="L36" s="326" t="str" cm="1">
        <f t="array" ref="L36">IF(Journal[[#This Row],[Transaction '#]]&lt;&gt;"",IFERROR(INDEX(ProblemData!$E$239:$AM$239,1,Journal[[#This Row],[Transaction '#]]),""),"")</f>
        <v/>
      </c>
      <c r="M36" s="352" t="str">
        <f>IF(Journal[[#This Row],[ref1]]="","",IF(NOT(ISBLANK(Journal[[#This Row],[Transaction '#]])),Journal[[#This Row],[ref1]]&amp;Journal[[#This Row],[Movement '#]],""))</f>
        <v/>
      </c>
      <c r="N36" s="1" t="b">
        <f>OR(Journal[[#This Row],[ref1]]="",ISNUMBER(MATCH(Journal[[#This Row],[ref1]], Operating[Abbr], 0)), "Found", "Not Found"="Found")</f>
        <v>1</v>
      </c>
      <c r="O36" s="1"/>
      <c r="P36" s="1" t="str">
        <f>Journal[[#This Row],[Accnt Type]]&amp;"Used"</f>
        <v>Used</v>
      </c>
    </row>
    <row r="37" spans="3:16">
      <c r="C37" s="40"/>
      <c r="D37" s="198"/>
      <c r="E37" s="199"/>
      <c r="F37" s="199"/>
      <c r="G37" s="200"/>
      <c r="H37" s="201"/>
      <c r="I37" s="354"/>
      <c r="J37" s="350" t="str">
        <f>IF(Journal[[#This Row],[Transaction '#]]="","",IF(Journal[[#This Row],[Transaction '#]]=C36,J36+1,1))</f>
        <v/>
      </c>
      <c r="K37" s="351" cm="1">
        <f t="array" ref="K37">IFERROR(_xlfn.IFS(Journal[[#This Row],[Debit Account]]="Cash",Journal[[#This Row],[Dr Amt]],Journal[[#This Row],[Credit Account]]="Cash",-Journal[[#This Row],[Cr Amt]]),0)</f>
        <v>0</v>
      </c>
      <c r="L37" s="326" t="str" cm="1">
        <f t="array" ref="L37">IF(Journal[[#This Row],[Transaction '#]]&lt;&gt;"",IFERROR(INDEX(ProblemData!$E$239:$AM$239,1,Journal[[#This Row],[Transaction '#]]),""),"")</f>
        <v/>
      </c>
      <c r="M37" s="352" t="str">
        <f>IF(Journal[[#This Row],[ref1]]="","",IF(NOT(ISBLANK(Journal[[#This Row],[Transaction '#]])),Journal[[#This Row],[ref1]]&amp;Journal[[#This Row],[Movement '#]],""))</f>
        <v/>
      </c>
      <c r="N37" s="1" t="b">
        <f>OR(Journal[[#This Row],[ref1]]="",ISNUMBER(MATCH(Journal[[#This Row],[ref1]], Operating[Abbr], 0)), "Found", "Not Found"="Found")</f>
        <v>1</v>
      </c>
      <c r="O37" s="1"/>
      <c r="P37" s="1" t="str">
        <f>Journal[[#This Row],[Accnt Type]]&amp;"Used"</f>
        <v>Used</v>
      </c>
    </row>
    <row r="38" spans="3:16">
      <c r="C38" s="40"/>
      <c r="D38" s="198"/>
      <c r="E38" s="199"/>
      <c r="F38" s="199"/>
      <c r="G38" s="200"/>
      <c r="H38" s="201"/>
      <c r="I38" s="354"/>
      <c r="J38" s="350" t="str">
        <f>IF(Journal[[#This Row],[Transaction '#]]="","",IF(Journal[[#This Row],[Transaction '#]]=C37,J37+1,1))</f>
        <v/>
      </c>
      <c r="K38" s="351" cm="1">
        <f t="array" ref="K38">IFERROR(_xlfn.IFS(Journal[[#This Row],[Debit Account]]="Cash",Journal[[#This Row],[Dr Amt]],Journal[[#This Row],[Credit Account]]="Cash",-Journal[[#This Row],[Cr Amt]]),0)</f>
        <v>0</v>
      </c>
      <c r="L38" s="326" t="str" cm="1">
        <f t="array" ref="L38">IF(Journal[[#This Row],[Transaction '#]]&lt;&gt;"",IFERROR(INDEX(ProblemData!$E$239:$AM$239,1,Journal[[#This Row],[Transaction '#]]),""),"")</f>
        <v/>
      </c>
      <c r="M38" s="352" t="str">
        <f>IF(Journal[[#This Row],[ref1]]="","",IF(NOT(ISBLANK(Journal[[#This Row],[Transaction '#]])),Journal[[#This Row],[ref1]]&amp;Journal[[#This Row],[Movement '#]],""))</f>
        <v/>
      </c>
      <c r="N38" s="1" t="b">
        <f>OR(Journal[[#This Row],[ref1]]="",ISNUMBER(MATCH(Journal[[#This Row],[ref1]], Operating[Abbr], 0)), "Found", "Not Found"="Found")</f>
        <v>1</v>
      </c>
      <c r="O38" s="1"/>
      <c r="P38" s="1" t="str">
        <f>Journal[[#This Row],[Accnt Type]]&amp;"Used"</f>
        <v>Used</v>
      </c>
    </row>
    <row r="39" spans="3:16">
      <c r="C39" s="40"/>
      <c r="D39" s="198"/>
      <c r="E39" s="199"/>
      <c r="F39" s="199"/>
      <c r="G39" s="200"/>
      <c r="H39" s="201"/>
      <c r="I39" s="354"/>
      <c r="J39" s="350" t="str">
        <f>IF(Journal[[#This Row],[Transaction '#]]="","",IF(Journal[[#This Row],[Transaction '#]]=C38,J38+1,1))</f>
        <v/>
      </c>
      <c r="K39" s="351" cm="1">
        <f t="array" ref="K39">IFERROR(_xlfn.IFS(Journal[[#This Row],[Debit Account]]="Cash",Journal[[#This Row],[Dr Amt]],Journal[[#This Row],[Credit Account]]="Cash",-Journal[[#This Row],[Cr Amt]]),0)</f>
        <v>0</v>
      </c>
      <c r="L39" s="326" t="str" cm="1">
        <f t="array" ref="L39">IF(Journal[[#This Row],[Transaction '#]]&lt;&gt;"",IFERROR(INDEX(ProblemData!$E$239:$AM$239,1,Journal[[#This Row],[Transaction '#]]),""),"")</f>
        <v/>
      </c>
      <c r="M39" s="352" t="str">
        <f>IF(Journal[[#This Row],[ref1]]="","",IF(NOT(ISBLANK(Journal[[#This Row],[Transaction '#]])),Journal[[#This Row],[ref1]]&amp;Journal[[#This Row],[Movement '#]],""))</f>
        <v/>
      </c>
      <c r="N39" s="1" t="b">
        <f>OR(Journal[[#This Row],[ref1]]="",ISNUMBER(MATCH(Journal[[#This Row],[ref1]], Operating[Abbr], 0)), "Found", "Not Found"="Found")</f>
        <v>1</v>
      </c>
      <c r="O39" s="1"/>
      <c r="P39" s="1" t="str">
        <f>Journal[[#This Row],[Accnt Type]]&amp;"Used"</f>
        <v>Used</v>
      </c>
    </row>
    <row r="40" spans="3:16">
      <c r="C40" s="40"/>
      <c r="D40" s="198"/>
      <c r="E40" s="199"/>
      <c r="F40" s="199"/>
      <c r="G40" s="200"/>
      <c r="H40" s="201"/>
      <c r="I40" s="354"/>
      <c r="J40" s="350" t="str">
        <f>IF(Journal[[#This Row],[Transaction '#]]="","",IF(Journal[[#This Row],[Transaction '#]]=C39,J39+1,1))</f>
        <v/>
      </c>
      <c r="K40" s="351" cm="1">
        <f t="array" ref="K40">IFERROR(_xlfn.IFS(Journal[[#This Row],[Debit Account]]="Cash",Journal[[#This Row],[Dr Amt]],Journal[[#This Row],[Credit Account]]="Cash",-Journal[[#This Row],[Cr Amt]]),0)</f>
        <v>0</v>
      </c>
      <c r="L40" s="326" t="str" cm="1">
        <f t="array" ref="L40">IF(Journal[[#This Row],[Transaction '#]]&lt;&gt;"",IFERROR(INDEX(ProblemData!$E$239:$AM$239,1,Journal[[#This Row],[Transaction '#]]),""),"")</f>
        <v/>
      </c>
      <c r="M40" s="352" t="str">
        <f>IF(Journal[[#This Row],[ref1]]="","",IF(NOT(ISBLANK(Journal[[#This Row],[Transaction '#]])),Journal[[#This Row],[ref1]]&amp;Journal[[#This Row],[Movement '#]],""))</f>
        <v/>
      </c>
      <c r="N40" s="1" t="b">
        <f>OR(Journal[[#This Row],[ref1]]="",ISNUMBER(MATCH(Journal[[#This Row],[ref1]], Operating[Abbr], 0)), "Found", "Not Found"="Found")</f>
        <v>1</v>
      </c>
      <c r="O40" s="1"/>
      <c r="P40" s="1" t="str">
        <f>Journal[[#This Row],[Accnt Type]]&amp;"Used"</f>
        <v>Used</v>
      </c>
    </row>
    <row r="41" spans="3:16">
      <c r="C41" s="40"/>
      <c r="D41" s="198"/>
      <c r="E41" s="199"/>
      <c r="F41" s="199"/>
      <c r="G41" s="200"/>
      <c r="H41" s="201"/>
      <c r="I41" s="354"/>
      <c r="J41" s="350" t="str">
        <f>IF(Journal[[#This Row],[Transaction '#]]="","",IF(Journal[[#This Row],[Transaction '#]]=C40,J40+1,1))</f>
        <v/>
      </c>
      <c r="K41" s="351" cm="1">
        <f t="array" ref="K41">IFERROR(_xlfn.IFS(Journal[[#This Row],[Debit Account]]="Cash",Journal[[#This Row],[Dr Amt]],Journal[[#This Row],[Credit Account]]="Cash",-Journal[[#This Row],[Cr Amt]]),0)</f>
        <v>0</v>
      </c>
      <c r="L41" s="326" t="str" cm="1">
        <f t="array" ref="L41">IF(Journal[[#This Row],[Transaction '#]]&lt;&gt;"",IFERROR(INDEX(ProblemData!$E$239:$AM$239,1,Journal[[#This Row],[Transaction '#]]),""),"")</f>
        <v/>
      </c>
      <c r="M41" s="352" t="str">
        <f>IF(Journal[[#This Row],[ref1]]="","",IF(NOT(ISBLANK(Journal[[#This Row],[Transaction '#]])),Journal[[#This Row],[ref1]]&amp;Journal[[#This Row],[Movement '#]],""))</f>
        <v/>
      </c>
      <c r="N41" s="1" t="b">
        <f>OR(Journal[[#This Row],[ref1]]="",ISNUMBER(MATCH(Journal[[#This Row],[ref1]], Operating[Abbr], 0)), "Found", "Not Found"="Found")</f>
        <v>1</v>
      </c>
      <c r="O41" s="1"/>
      <c r="P41" s="1" t="str">
        <f>Journal[[#This Row],[Accnt Type]]&amp;"Used"</f>
        <v>Used</v>
      </c>
    </row>
    <row r="42" spans="3:16">
      <c r="C42" s="40"/>
      <c r="D42" s="198"/>
      <c r="E42" s="199"/>
      <c r="F42" s="199"/>
      <c r="G42" s="200"/>
      <c r="H42" s="201"/>
      <c r="I42" s="354"/>
      <c r="J42" s="350" t="str">
        <f>IF(Journal[[#This Row],[Transaction '#]]="","",IF(Journal[[#This Row],[Transaction '#]]=C41,J41+1,1))</f>
        <v/>
      </c>
      <c r="K42" s="351" cm="1">
        <f t="array" ref="K42">IFERROR(_xlfn.IFS(Journal[[#This Row],[Debit Account]]="Cash",Journal[[#This Row],[Dr Amt]],Journal[[#This Row],[Credit Account]]="Cash",-Journal[[#This Row],[Cr Amt]]),0)</f>
        <v>0</v>
      </c>
      <c r="L42" s="326" t="str" cm="1">
        <f t="array" ref="L42">IF(Journal[[#This Row],[Transaction '#]]&lt;&gt;"",IFERROR(INDEX(ProblemData!$E$239:$AM$239,1,Journal[[#This Row],[Transaction '#]]),""),"")</f>
        <v/>
      </c>
      <c r="M42" s="352" t="str">
        <f>IF(Journal[[#This Row],[ref1]]="","",IF(NOT(ISBLANK(Journal[[#This Row],[Transaction '#]])),Journal[[#This Row],[ref1]]&amp;Journal[[#This Row],[Movement '#]],""))</f>
        <v/>
      </c>
      <c r="N42" s="1" t="b">
        <f>OR(Journal[[#This Row],[ref1]]="",ISNUMBER(MATCH(Journal[[#This Row],[ref1]], Operating[Abbr], 0)), "Found", "Not Found"="Found")</f>
        <v>1</v>
      </c>
      <c r="O42" s="1"/>
      <c r="P42" s="1" t="str">
        <f>Journal[[#This Row],[Accnt Type]]&amp;"Used"</f>
        <v>Used</v>
      </c>
    </row>
    <row r="43" spans="3:16">
      <c r="C43" s="40"/>
      <c r="D43" s="198"/>
      <c r="E43" s="199"/>
      <c r="F43" s="199"/>
      <c r="G43" s="200"/>
      <c r="H43" s="201"/>
      <c r="I43" s="354"/>
      <c r="J43" s="350" t="str">
        <f>IF(Journal[[#This Row],[Transaction '#]]="","",IF(Journal[[#This Row],[Transaction '#]]=C42,J42+1,1))</f>
        <v/>
      </c>
      <c r="K43" s="351" cm="1">
        <f t="array" ref="K43">IFERROR(_xlfn.IFS(Journal[[#This Row],[Debit Account]]="Cash",Journal[[#This Row],[Dr Amt]],Journal[[#This Row],[Credit Account]]="Cash",-Journal[[#This Row],[Cr Amt]]),0)</f>
        <v>0</v>
      </c>
      <c r="L43" s="326" t="str" cm="1">
        <f t="array" ref="L43">IF(Journal[[#This Row],[Transaction '#]]&lt;&gt;"",IFERROR(INDEX(ProblemData!$E$239:$AM$239,1,Journal[[#This Row],[Transaction '#]]),""),"")</f>
        <v/>
      </c>
      <c r="M43" s="352" t="str">
        <f>IF(Journal[[#This Row],[ref1]]="","",IF(NOT(ISBLANK(Journal[[#This Row],[Transaction '#]])),Journal[[#This Row],[ref1]]&amp;Journal[[#This Row],[Movement '#]],""))</f>
        <v/>
      </c>
      <c r="N43" s="1" t="b">
        <f>OR(Journal[[#This Row],[ref1]]="",ISNUMBER(MATCH(Journal[[#This Row],[ref1]], Operating[Abbr], 0)), "Found", "Not Found"="Found")</f>
        <v>1</v>
      </c>
      <c r="O43" s="1"/>
      <c r="P43" s="1" t="str">
        <f>Journal[[#This Row],[Accnt Type]]&amp;"Used"</f>
        <v>Used</v>
      </c>
    </row>
    <row r="44" spans="3:16">
      <c r="C44" s="40"/>
      <c r="D44" s="198"/>
      <c r="E44" s="199"/>
      <c r="F44" s="199"/>
      <c r="G44" s="200"/>
      <c r="H44" s="201"/>
      <c r="I44" s="354"/>
      <c r="J44" s="350" t="str">
        <f>IF(Journal[[#This Row],[Transaction '#]]="","",IF(Journal[[#This Row],[Transaction '#]]=C43,J43+1,1))</f>
        <v/>
      </c>
      <c r="K44" s="351" cm="1">
        <f t="array" ref="K44">IFERROR(_xlfn.IFS(Journal[[#This Row],[Debit Account]]="Cash",Journal[[#This Row],[Dr Amt]],Journal[[#This Row],[Credit Account]]="Cash",-Journal[[#This Row],[Cr Amt]]),0)</f>
        <v>0</v>
      </c>
      <c r="L44" s="326" t="str" cm="1">
        <f t="array" ref="L44">IF(Journal[[#This Row],[Transaction '#]]&lt;&gt;"",IFERROR(INDEX(ProblemData!$E$239:$AM$239,1,Journal[[#This Row],[Transaction '#]]),""),"")</f>
        <v/>
      </c>
      <c r="M44" s="352" t="str">
        <f>IF(Journal[[#This Row],[ref1]]="","",IF(NOT(ISBLANK(Journal[[#This Row],[Transaction '#]])),Journal[[#This Row],[ref1]]&amp;Journal[[#This Row],[Movement '#]],""))</f>
        <v/>
      </c>
      <c r="N44" s="1" t="b">
        <f>OR(Journal[[#This Row],[ref1]]="",ISNUMBER(MATCH(Journal[[#This Row],[ref1]], Operating[Abbr], 0)), "Found", "Not Found"="Found")</f>
        <v>1</v>
      </c>
      <c r="O44" s="1"/>
      <c r="P44" s="1" t="str">
        <f>Journal[[#This Row],[Accnt Type]]&amp;"Used"</f>
        <v>Used</v>
      </c>
    </row>
    <row r="45" spans="3:16">
      <c r="C45" s="40"/>
      <c r="D45" s="198"/>
      <c r="E45" s="199"/>
      <c r="F45" s="199"/>
      <c r="G45" s="200"/>
      <c r="H45" s="201"/>
      <c r="I45" s="354"/>
      <c r="J45" s="350" t="str">
        <f>IF(Journal[[#This Row],[Transaction '#]]="","",IF(Journal[[#This Row],[Transaction '#]]=C44,J44+1,1))</f>
        <v/>
      </c>
      <c r="K45" s="351" cm="1">
        <f t="array" ref="K45">IFERROR(_xlfn.IFS(Journal[[#This Row],[Debit Account]]="Cash",Journal[[#This Row],[Dr Amt]],Journal[[#This Row],[Credit Account]]="Cash",-Journal[[#This Row],[Cr Amt]]),0)</f>
        <v>0</v>
      </c>
      <c r="L45" s="326" t="str" cm="1">
        <f t="array" ref="L45">IF(Journal[[#This Row],[Transaction '#]]&lt;&gt;"",IFERROR(INDEX(ProblemData!$E$239:$AM$239,1,Journal[[#This Row],[Transaction '#]]),""),"")</f>
        <v/>
      </c>
      <c r="M45" s="352" t="str">
        <f>IF(Journal[[#This Row],[ref1]]="","",IF(NOT(ISBLANK(Journal[[#This Row],[Transaction '#]])),Journal[[#This Row],[ref1]]&amp;Journal[[#This Row],[Movement '#]],""))</f>
        <v/>
      </c>
      <c r="N45" s="1" t="b">
        <f>OR(Journal[[#This Row],[ref1]]="",ISNUMBER(MATCH(Journal[[#This Row],[ref1]], Operating[Abbr], 0)), "Found", "Not Found"="Found")</f>
        <v>1</v>
      </c>
      <c r="O45" s="1"/>
      <c r="P45" s="1" t="str">
        <f>Journal[[#This Row],[Accnt Type]]&amp;"Used"</f>
        <v>Used</v>
      </c>
    </row>
    <row r="46" spans="3:16">
      <c r="C46" s="40"/>
      <c r="D46" s="198"/>
      <c r="E46" s="199"/>
      <c r="F46" s="199"/>
      <c r="G46" s="200"/>
      <c r="H46" s="201"/>
      <c r="I46" s="354"/>
      <c r="J46" s="350" t="str">
        <f>IF(Journal[[#This Row],[Transaction '#]]="","",IF(Journal[[#This Row],[Transaction '#]]=C45,J45+1,1))</f>
        <v/>
      </c>
      <c r="K46" s="351" cm="1">
        <f t="array" ref="K46">IFERROR(_xlfn.IFS(Journal[[#This Row],[Debit Account]]="Cash",Journal[[#This Row],[Dr Amt]],Journal[[#This Row],[Credit Account]]="Cash",-Journal[[#This Row],[Cr Amt]]),0)</f>
        <v>0</v>
      </c>
      <c r="L46" s="326" t="str" cm="1">
        <f t="array" ref="L46">IF(Journal[[#This Row],[Transaction '#]]&lt;&gt;"",IFERROR(INDEX(ProblemData!$E$239:$AM$239,1,Journal[[#This Row],[Transaction '#]]),""),"")</f>
        <v/>
      </c>
      <c r="M46" s="352" t="str">
        <f>IF(Journal[[#This Row],[ref1]]="","",IF(NOT(ISBLANK(Journal[[#This Row],[Transaction '#]])),Journal[[#This Row],[ref1]]&amp;Journal[[#This Row],[Movement '#]],""))</f>
        <v/>
      </c>
      <c r="N46" s="1" t="b">
        <f>OR(Journal[[#This Row],[ref1]]="",ISNUMBER(MATCH(Journal[[#This Row],[ref1]], Operating[Abbr], 0)), "Found", "Not Found"="Found")</f>
        <v>1</v>
      </c>
      <c r="O46" s="1"/>
      <c r="P46" s="1" t="str">
        <f>Journal[[#This Row],[Accnt Type]]&amp;"Used"</f>
        <v>Used</v>
      </c>
    </row>
    <row r="47" spans="3:16">
      <c r="C47" s="40"/>
      <c r="D47" s="198"/>
      <c r="E47" s="199"/>
      <c r="F47" s="199"/>
      <c r="G47" s="200"/>
      <c r="H47" s="201"/>
      <c r="I47" s="354"/>
      <c r="J47" s="350" t="str">
        <f>IF(Journal[[#This Row],[Transaction '#]]="","",IF(Journal[[#This Row],[Transaction '#]]=C46,J46+1,1))</f>
        <v/>
      </c>
      <c r="K47" s="351" cm="1">
        <f t="array" ref="K47">IFERROR(_xlfn.IFS(Journal[[#This Row],[Debit Account]]="Cash",Journal[[#This Row],[Dr Amt]],Journal[[#This Row],[Credit Account]]="Cash",-Journal[[#This Row],[Cr Amt]]),0)</f>
        <v>0</v>
      </c>
      <c r="L47" s="326" t="str" cm="1">
        <f t="array" ref="L47">IF(Journal[[#This Row],[Transaction '#]]&lt;&gt;"",IFERROR(INDEX(ProblemData!$E$239:$AM$239,1,Journal[[#This Row],[Transaction '#]]),""),"")</f>
        <v/>
      </c>
      <c r="M47" s="352" t="str">
        <f>IF(Journal[[#This Row],[ref1]]="","",IF(NOT(ISBLANK(Journal[[#This Row],[Transaction '#]])),Journal[[#This Row],[ref1]]&amp;Journal[[#This Row],[Movement '#]],""))</f>
        <v/>
      </c>
      <c r="N47" s="1" t="b">
        <f>OR(Journal[[#This Row],[ref1]]="",ISNUMBER(MATCH(Journal[[#This Row],[ref1]], Operating[Abbr], 0)), "Found", "Not Found"="Found")</f>
        <v>1</v>
      </c>
      <c r="O47" s="1"/>
      <c r="P47" s="1" t="str">
        <f>Journal[[#This Row],[Accnt Type]]&amp;"Used"</f>
        <v>Used</v>
      </c>
    </row>
    <row r="48" spans="3:16">
      <c r="C48" s="40"/>
      <c r="D48" s="198"/>
      <c r="E48" s="199"/>
      <c r="F48" s="199"/>
      <c r="G48" s="200"/>
      <c r="H48" s="201"/>
      <c r="I48" s="354"/>
      <c r="J48" s="350" t="str">
        <f>IF(Journal[[#This Row],[Transaction '#]]="","",IF(Journal[[#This Row],[Transaction '#]]=C47,J47+1,1))</f>
        <v/>
      </c>
      <c r="K48" s="351" cm="1">
        <f t="array" ref="K48">IFERROR(_xlfn.IFS(Journal[[#This Row],[Debit Account]]="Cash",Journal[[#This Row],[Dr Amt]],Journal[[#This Row],[Credit Account]]="Cash",-Journal[[#This Row],[Cr Amt]]),0)</f>
        <v>0</v>
      </c>
      <c r="L48" s="326" t="str" cm="1">
        <f t="array" ref="L48">IF(Journal[[#This Row],[Transaction '#]]&lt;&gt;"",IFERROR(INDEX(ProblemData!$E$239:$AM$239,1,Journal[[#This Row],[Transaction '#]]),""),"")</f>
        <v/>
      </c>
      <c r="M48" s="352" t="str">
        <f>IF(Journal[[#This Row],[ref1]]="","",IF(NOT(ISBLANK(Journal[[#This Row],[Transaction '#]])),Journal[[#This Row],[ref1]]&amp;Journal[[#This Row],[Movement '#]],""))</f>
        <v/>
      </c>
      <c r="N48" s="1" t="b">
        <f>OR(Journal[[#This Row],[ref1]]="",ISNUMBER(MATCH(Journal[[#This Row],[ref1]], Operating[Abbr], 0)), "Found", "Not Found"="Found")</f>
        <v>1</v>
      </c>
      <c r="O48" s="1"/>
      <c r="P48" s="1" t="str">
        <f>Journal[[#This Row],[Accnt Type]]&amp;"Used"</f>
        <v>Used</v>
      </c>
    </row>
    <row r="49" spans="3:16">
      <c r="C49" s="40"/>
      <c r="D49" s="198"/>
      <c r="E49" s="199"/>
      <c r="F49" s="199"/>
      <c r="G49" s="200"/>
      <c r="H49" s="201"/>
      <c r="I49" s="354"/>
      <c r="J49" s="350" t="str">
        <f>IF(Journal[[#This Row],[Transaction '#]]="","",IF(Journal[[#This Row],[Transaction '#]]=C48,J48+1,1))</f>
        <v/>
      </c>
      <c r="K49" s="351" cm="1">
        <f t="array" ref="K49">IFERROR(_xlfn.IFS(Journal[[#This Row],[Debit Account]]="Cash",Journal[[#This Row],[Dr Amt]],Journal[[#This Row],[Credit Account]]="Cash",-Journal[[#This Row],[Cr Amt]]),0)</f>
        <v>0</v>
      </c>
      <c r="L49" s="326" t="str" cm="1">
        <f t="array" ref="L49">IF(Journal[[#This Row],[Transaction '#]]&lt;&gt;"",IFERROR(INDEX(ProblemData!$E$239:$AM$239,1,Journal[[#This Row],[Transaction '#]]),""),"")</f>
        <v/>
      </c>
      <c r="M49" s="352" t="str">
        <f>IF(Journal[[#This Row],[ref1]]="","",IF(NOT(ISBLANK(Journal[[#This Row],[Transaction '#]])),Journal[[#This Row],[ref1]]&amp;Journal[[#This Row],[Movement '#]],""))</f>
        <v/>
      </c>
      <c r="N49" s="1" t="b">
        <f>OR(Journal[[#This Row],[ref1]]="",ISNUMBER(MATCH(Journal[[#This Row],[ref1]], Operating[Abbr], 0)), "Found", "Not Found"="Found")</f>
        <v>1</v>
      </c>
      <c r="O49" s="1"/>
      <c r="P49" s="1" t="str">
        <f>Journal[[#This Row],[Accnt Type]]&amp;"Used"</f>
        <v>Used</v>
      </c>
    </row>
    <row r="50" spans="3:16">
      <c r="C50" s="40"/>
      <c r="D50" s="198"/>
      <c r="E50" s="199"/>
      <c r="F50" s="199"/>
      <c r="G50" s="200"/>
      <c r="H50" s="201"/>
      <c r="I50" s="354"/>
      <c r="J50" s="350" t="str">
        <f>IF(Journal[[#This Row],[Transaction '#]]="","",IF(Journal[[#This Row],[Transaction '#]]=C49,J49+1,1))</f>
        <v/>
      </c>
      <c r="K50" s="351" cm="1">
        <f t="array" ref="K50">IFERROR(_xlfn.IFS(Journal[[#This Row],[Debit Account]]="Cash",Journal[[#This Row],[Dr Amt]],Journal[[#This Row],[Credit Account]]="Cash",-Journal[[#This Row],[Cr Amt]]),0)</f>
        <v>0</v>
      </c>
      <c r="L50" s="326" t="str" cm="1">
        <f t="array" ref="L50">IF(Journal[[#This Row],[Transaction '#]]&lt;&gt;"",IFERROR(INDEX(ProblemData!$E$239:$AM$239,1,Journal[[#This Row],[Transaction '#]]),""),"")</f>
        <v/>
      </c>
      <c r="M50" s="352" t="str">
        <f>IF(Journal[[#This Row],[ref1]]="","",IF(NOT(ISBLANK(Journal[[#This Row],[Transaction '#]])),Journal[[#This Row],[ref1]]&amp;Journal[[#This Row],[Movement '#]],""))</f>
        <v/>
      </c>
      <c r="N50" s="1" t="b">
        <f>OR(Journal[[#This Row],[ref1]]="",ISNUMBER(MATCH(Journal[[#This Row],[ref1]], Operating[Abbr], 0)), "Found", "Not Found"="Found")</f>
        <v>1</v>
      </c>
      <c r="O50" s="1"/>
      <c r="P50" s="1" t="str">
        <f>Journal[[#This Row],[Accnt Type]]&amp;"Used"</f>
        <v>Used</v>
      </c>
    </row>
    <row r="51" spans="3:16">
      <c r="C51" s="40"/>
      <c r="D51" s="198"/>
      <c r="E51" s="199"/>
      <c r="F51" s="199"/>
      <c r="G51" s="200"/>
      <c r="H51" s="201"/>
      <c r="I51" s="354"/>
      <c r="J51" s="350" t="str">
        <f>IF(Journal[[#This Row],[Transaction '#]]="","",IF(Journal[[#This Row],[Transaction '#]]=C50,J50+1,1))</f>
        <v/>
      </c>
      <c r="K51" s="351" cm="1">
        <f t="array" ref="K51">IFERROR(_xlfn.IFS(Journal[[#This Row],[Debit Account]]="Cash",Journal[[#This Row],[Dr Amt]],Journal[[#This Row],[Credit Account]]="Cash",-Journal[[#This Row],[Cr Amt]]),0)</f>
        <v>0</v>
      </c>
      <c r="L51" s="326" t="str" cm="1">
        <f t="array" ref="L51">IF(Journal[[#This Row],[Transaction '#]]&lt;&gt;"",IFERROR(INDEX(ProblemData!$E$239:$AM$239,1,Journal[[#This Row],[Transaction '#]]),""),"")</f>
        <v/>
      </c>
      <c r="M51" s="352" t="str">
        <f>IF(Journal[[#This Row],[ref1]]="","",IF(NOT(ISBLANK(Journal[[#This Row],[Transaction '#]])),Journal[[#This Row],[ref1]]&amp;Journal[[#This Row],[Movement '#]],""))</f>
        <v/>
      </c>
      <c r="N51" s="1" t="b">
        <f>OR(Journal[[#This Row],[ref1]]="",ISNUMBER(MATCH(Journal[[#This Row],[ref1]], Operating[Abbr], 0)), "Found", "Not Found"="Found")</f>
        <v>1</v>
      </c>
      <c r="O51" s="1"/>
      <c r="P51" s="1" t="str">
        <f>Journal[[#This Row],[Accnt Type]]&amp;"Used"</f>
        <v>Used</v>
      </c>
    </row>
    <row r="52" spans="3:16">
      <c r="C52" s="40"/>
      <c r="D52" s="198"/>
      <c r="E52" s="199"/>
      <c r="F52" s="199"/>
      <c r="G52" s="200"/>
      <c r="H52" s="201"/>
      <c r="I52" s="354"/>
      <c r="J52" s="350" t="str">
        <f>IF(Journal[[#This Row],[Transaction '#]]="","",IF(Journal[[#This Row],[Transaction '#]]=C51,J51+1,1))</f>
        <v/>
      </c>
      <c r="K52" s="351" cm="1">
        <f t="array" ref="K52">IFERROR(_xlfn.IFS(Journal[[#This Row],[Debit Account]]="Cash",Journal[[#This Row],[Dr Amt]],Journal[[#This Row],[Credit Account]]="Cash",-Journal[[#This Row],[Cr Amt]]),0)</f>
        <v>0</v>
      </c>
      <c r="L52" s="326" t="str" cm="1">
        <f t="array" ref="L52">IF(Journal[[#This Row],[Transaction '#]]&lt;&gt;"",IFERROR(INDEX(ProblemData!$E$239:$AM$239,1,Journal[[#This Row],[Transaction '#]]),""),"")</f>
        <v/>
      </c>
      <c r="M52" s="352" t="str">
        <f>IF(Journal[[#This Row],[ref1]]="","",IF(NOT(ISBLANK(Journal[[#This Row],[Transaction '#]])),Journal[[#This Row],[ref1]]&amp;Journal[[#This Row],[Movement '#]],""))</f>
        <v/>
      </c>
      <c r="N52" s="1" t="b">
        <f>OR(Journal[[#This Row],[ref1]]="",ISNUMBER(MATCH(Journal[[#This Row],[ref1]], Operating[Abbr], 0)), "Found", "Not Found"="Found")</f>
        <v>1</v>
      </c>
      <c r="O52" s="1"/>
      <c r="P52" s="1" t="str">
        <f>Journal[[#This Row],[Accnt Type]]&amp;"Used"</f>
        <v>Used</v>
      </c>
    </row>
    <row r="53" spans="3:16">
      <c r="C53" s="40"/>
      <c r="D53" s="198"/>
      <c r="E53" s="199"/>
      <c r="F53" s="199"/>
      <c r="G53" s="200"/>
      <c r="H53" s="201"/>
      <c r="I53" s="354"/>
      <c r="J53" s="350" t="str">
        <f>IF(Journal[[#This Row],[Transaction '#]]="","",IF(Journal[[#This Row],[Transaction '#]]=C52,J52+1,1))</f>
        <v/>
      </c>
      <c r="K53" s="351" cm="1">
        <f t="array" ref="K53">IFERROR(_xlfn.IFS(Journal[[#This Row],[Debit Account]]="Cash",Journal[[#This Row],[Dr Amt]],Journal[[#This Row],[Credit Account]]="Cash",-Journal[[#This Row],[Cr Amt]]),0)</f>
        <v>0</v>
      </c>
      <c r="L53" s="326" t="str" cm="1">
        <f t="array" ref="L53">IF(Journal[[#This Row],[Transaction '#]]&lt;&gt;"",IFERROR(INDEX(ProblemData!$E$239:$AM$239,1,Journal[[#This Row],[Transaction '#]]),""),"")</f>
        <v/>
      </c>
      <c r="M53" s="352" t="str">
        <f>IF(Journal[[#This Row],[ref1]]="","",IF(NOT(ISBLANK(Journal[[#This Row],[Transaction '#]])),Journal[[#This Row],[ref1]]&amp;Journal[[#This Row],[Movement '#]],""))</f>
        <v/>
      </c>
      <c r="N53" s="1" t="b">
        <f>OR(Journal[[#This Row],[ref1]]="",ISNUMBER(MATCH(Journal[[#This Row],[ref1]], Operating[Abbr], 0)), "Found", "Not Found"="Found")</f>
        <v>1</v>
      </c>
      <c r="O53" s="1"/>
      <c r="P53" s="1" t="str">
        <f>Journal[[#This Row],[Accnt Type]]&amp;"Used"</f>
        <v>Used</v>
      </c>
    </row>
    <row r="54" spans="3:16">
      <c r="C54" s="40"/>
      <c r="D54" s="198"/>
      <c r="E54" s="199"/>
      <c r="F54" s="199"/>
      <c r="G54" s="200"/>
      <c r="H54" s="201"/>
      <c r="I54" s="354"/>
      <c r="J54" s="350" t="str">
        <f>IF(Journal[[#This Row],[Transaction '#]]="","",IF(Journal[[#This Row],[Transaction '#]]=C53,J53+1,1))</f>
        <v/>
      </c>
      <c r="K54" s="351" cm="1">
        <f t="array" ref="K54">IFERROR(_xlfn.IFS(Journal[[#This Row],[Debit Account]]="Cash",Journal[[#This Row],[Dr Amt]],Journal[[#This Row],[Credit Account]]="Cash",-Journal[[#This Row],[Cr Amt]]),0)</f>
        <v>0</v>
      </c>
      <c r="L54" s="326" t="str" cm="1">
        <f t="array" ref="L54">IF(Journal[[#This Row],[Transaction '#]]&lt;&gt;"",IFERROR(INDEX(ProblemData!$E$239:$AM$239,1,Journal[[#This Row],[Transaction '#]]),""),"")</f>
        <v/>
      </c>
      <c r="M54" s="352" t="str">
        <f>IF(Journal[[#This Row],[ref1]]="","",IF(NOT(ISBLANK(Journal[[#This Row],[Transaction '#]])),Journal[[#This Row],[ref1]]&amp;Journal[[#This Row],[Movement '#]],""))</f>
        <v/>
      </c>
      <c r="N54" s="1" t="b">
        <f>OR(Journal[[#This Row],[ref1]]="",ISNUMBER(MATCH(Journal[[#This Row],[ref1]], Operating[Abbr], 0)), "Found", "Not Found"="Found")</f>
        <v>1</v>
      </c>
      <c r="O54" s="1"/>
      <c r="P54" s="1" t="str">
        <f>Journal[[#This Row],[Accnt Type]]&amp;"Used"</f>
        <v>Used</v>
      </c>
    </row>
    <row r="55" spans="3:16">
      <c r="C55" s="40"/>
      <c r="D55" s="198"/>
      <c r="E55" s="199"/>
      <c r="F55" s="199"/>
      <c r="G55" s="200"/>
      <c r="H55" s="201"/>
      <c r="I55" s="354"/>
      <c r="J55" s="350" t="str">
        <f>IF(Journal[[#This Row],[Transaction '#]]="","",IF(Journal[[#This Row],[Transaction '#]]=C54,J54+1,1))</f>
        <v/>
      </c>
      <c r="K55" s="351" cm="1">
        <f t="array" ref="K55">IFERROR(_xlfn.IFS(Journal[[#This Row],[Debit Account]]="Cash",Journal[[#This Row],[Dr Amt]],Journal[[#This Row],[Credit Account]]="Cash",-Journal[[#This Row],[Cr Amt]]),0)</f>
        <v>0</v>
      </c>
      <c r="L55" s="326" t="str" cm="1">
        <f t="array" ref="L55">IF(Journal[[#This Row],[Transaction '#]]&lt;&gt;"",IFERROR(INDEX(ProblemData!$E$239:$AM$239,1,Journal[[#This Row],[Transaction '#]]),""),"")</f>
        <v/>
      </c>
      <c r="M55" s="352" t="str">
        <f>IF(Journal[[#This Row],[ref1]]="","",IF(NOT(ISBLANK(Journal[[#This Row],[Transaction '#]])),Journal[[#This Row],[ref1]]&amp;Journal[[#This Row],[Movement '#]],""))</f>
        <v/>
      </c>
      <c r="N55" s="1" t="b">
        <f>OR(Journal[[#This Row],[ref1]]="",ISNUMBER(MATCH(Journal[[#This Row],[ref1]], Operating[Abbr], 0)), "Found", "Not Found"="Found")</f>
        <v>1</v>
      </c>
      <c r="O55" s="1"/>
      <c r="P55" s="1" t="str">
        <f>Journal[[#This Row],[Accnt Type]]&amp;"Used"</f>
        <v>Used</v>
      </c>
    </row>
    <row r="56" spans="3:16">
      <c r="C56" s="40"/>
      <c r="D56" s="198"/>
      <c r="E56" s="199"/>
      <c r="F56" s="199"/>
      <c r="G56" s="200"/>
      <c r="H56" s="201"/>
      <c r="I56" s="354"/>
      <c r="J56" s="350" t="str">
        <f>IF(Journal[[#This Row],[Transaction '#]]="","",IF(Journal[[#This Row],[Transaction '#]]=C55,J55+1,1))</f>
        <v/>
      </c>
      <c r="K56" s="351" cm="1">
        <f t="array" ref="K56">IFERROR(_xlfn.IFS(Journal[[#This Row],[Debit Account]]="Cash",Journal[[#This Row],[Dr Amt]],Journal[[#This Row],[Credit Account]]="Cash",-Journal[[#This Row],[Cr Amt]]),0)</f>
        <v>0</v>
      </c>
      <c r="L56" s="326" t="str" cm="1">
        <f t="array" ref="L56">IF(Journal[[#This Row],[Transaction '#]]&lt;&gt;"",IFERROR(INDEX(ProblemData!$E$239:$AM$239,1,Journal[[#This Row],[Transaction '#]]),""),"")</f>
        <v/>
      </c>
      <c r="M56" s="352" t="str">
        <f>IF(Journal[[#This Row],[ref1]]="","",IF(NOT(ISBLANK(Journal[[#This Row],[Transaction '#]])),Journal[[#This Row],[ref1]]&amp;Journal[[#This Row],[Movement '#]],""))</f>
        <v/>
      </c>
      <c r="N56" s="1" t="b">
        <f>OR(Journal[[#This Row],[ref1]]="",ISNUMBER(MATCH(Journal[[#This Row],[ref1]], Operating[Abbr], 0)), "Found", "Not Found"="Found")</f>
        <v>1</v>
      </c>
      <c r="O56" s="1"/>
      <c r="P56" s="1" t="str">
        <f>Journal[[#This Row],[Accnt Type]]&amp;"Used"</f>
        <v>Used</v>
      </c>
    </row>
    <row r="57" spans="3:16">
      <c r="C57" s="40"/>
      <c r="D57" s="198"/>
      <c r="E57" s="199"/>
      <c r="F57" s="199"/>
      <c r="G57" s="200"/>
      <c r="H57" s="201"/>
      <c r="I57" s="354"/>
      <c r="J57" s="350" t="str">
        <f>IF(Journal[[#This Row],[Transaction '#]]="","",IF(Journal[[#This Row],[Transaction '#]]=C56,J56+1,1))</f>
        <v/>
      </c>
      <c r="K57" s="351" cm="1">
        <f t="array" ref="K57">IFERROR(_xlfn.IFS(Journal[[#This Row],[Debit Account]]="Cash",Journal[[#This Row],[Dr Amt]],Journal[[#This Row],[Credit Account]]="Cash",-Journal[[#This Row],[Cr Amt]]),0)</f>
        <v>0</v>
      </c>
      <c r="L57" s="326" t="str" cm="1">
        <f t="array" ref="L57">IF(Journal[[#This Row],[Transaction '#]]&lt;&gt;"",IFERROR(INDEX(ProblemData!$E$239:$AM$239,1,Journal[[#This Row],[Transaction '#]]),""),"")</f>
        <v/>
      </c>
      <c r="M57" s="352" t="str">
        <f>IF(Journal[[#This Row],[ref1]]="","",IF(NOT(ISBLANK(Journal[[#This Row],[Transaction '#]])),Journal[[#This Row],[ref1]]&amp;Journal[[#This Row],[Movement '#]],""))</f>
        <v/>
      </c>
      <c r="N57" s="1" t="b">
        <f>OR(Journal[[#This Row],[ref1]]="",ISNUMBER(MATCH(Journal[[#This Row],[ref1]], Operating[Abbr], 0)), "Found", "Not Found"="Found")</f>
        <v>1</v>
      </c>
      <c r="O57" s="1"/>
      <c r="P57" s="1" t="str">
        <f>Journal[[#This Row],[Accnt Type]]&amp;"Used"</f>
        <v>Used</v>
      </c>
    </row>
    <row r="58" spans="3:16">
      <c r="C58" s="40"/>
      <c r="D58" s="198"/>
      <c r="E58" s="199"/>
      <c r="F58" s="199"/>
      <c r="G58" s="200"/>
      <c r="H58" s="201"/>
      <c r="I58" s="354"/>
      <c r="J58" s="350" t="str">
        <f>IF(Journal[[#This Row],[Transaction '#]]="","",IF(Journal[[#This Row],[Transaction '#]]=C57,J57+1,1))</f>
        <v/>
      </c>
      <c r="K58" s="351" cm="1">
        <f t="array" ref="K58">IFERROR(_xlfn.IFS(Journal[[#This Row],[Debit Account]]="Cash",Journal[[#This Row],[Dr Amt]],Journal[[#This Row],[Credit Account]]="Cash",-Journal[[#This Row],[Cr Amt]]),0)</f>
        <v>0</v>
      </c>
      <c r="L58" s="326" t="str" cm="1">
        <f t="array" ref="L58">IF(Journal[[#This Row],[Transaction '#]]&lt;&gt;"",IFERROR(INDEX(ProblemData!$E$239:$AM$239,1,Journal[[#This Row],[Transaction '#]]),""),"")</f>
        <v/>
      </c>
      <c r="M58" s="352" t="str">
        <f>IF(Journal[[#This Row],[ref1]]="","",IF(NOT(ISBLANK(Journal[[#This Row],[Transaction '#]])),Journal[[#This Row],[ref1]]&amp;Journal[[#This Row],[Movement '#]],""))</f>
        <v/>
      </c>
      <c r="N58" s="1" t="b">
        <f>OR(Journal[[#This Row],[ref1]]="",ISNUMBER(MATCH(Journal[[#This Row],[ref1]], Operating[Abbr], 0)), "Found", "Not Found"="Found")</f>
        <v>1</v>
      </c>
      <c r="O58" s="1"/>
      <c r="P58" s="1" t="str">
        <f>Journal[[#This Row],[Accnt Type]]&amp;"Used"</f>
        <v>Used</v>
      </c>
    </row>
    <row r="59" spans="3:16">
      <c r="C59" s="40"/>
      <c r="D59" s="198"/>
      <c r="E59" s="199"/>
      <c r="F59" s="199"/>
      <c r="G59" s="200"/>
      <c r="H59" s="201"/>
      <c r="I59" s="354"/>
      <c r="J59" s="350" t="str">
        <f>IF(Journal[[#This Row],[Transaction '#]]="","",IF(Journal[[#This Row],[Transaction '#]]=C58,J58+1,1))</f>
        <v/>
      </c>
      <c r="K59" s="351" cm="1">
        <f t="array" ref="K59">IFERROR(_xlfn.IFS(Journal[[#This Row],[Debit Account]]="Cash",Journal[[#This Row],[Dr Amt]],Journal[[#This Row],[Credit Account]]="Cash",-Journal[[#This Row],[Cr Amt]]),0)</f>
        <v>0</v>
      </c>
      <c r="L59" s="326" t="str" cm="1">
        <f t="array" ref="L59">IF(Journal[[#This Row],[Transaction '#]]&lt;&gt;"",IFERROR(INDEX(ProblemData!$E$239:$AM$239,1,Journal[[#This Row],[Transaction '#]]),""),"")</f>
        <v/>
      </c>
      <c r="M59" s="352" t="str">
        <f>IF(Journal[[#This Row],[ref1]]="","",IF(NOT(ISBLANK(Journal[[#This Row],[Transaction '#]])),Journal[[#This Row],[ref1]]&amp;Journal[[#This Row],[Movement '#]],""))</f>
        <v/>
      </c>
      <c r="N59" s="1" t="b">
        <f>OR(Journal[[#This Row],[ref1]]="",ISNUMBER(MATCH(Journal[[#This Row],[ref1]], Operating[Abbr], 0)), "Found", "Not Found"="Found")</f>
        <v>1</v>
      </c>
      <c r="O59" s="1"/>
      <c r="P59" s="1" t="str">
        <f>Journal[[#This Row],[Accnt Type]]&amp;"Used"</f>
        <v>Used</v>
      </c>
    </row>
    <row r="60" spans="3:16">
      <c r="C60" s="40"/>
      <c r="D60" s="198"/>
      <c r="E60" s="199"/>
      <c r="F60" s="199"/>
      <c r="G60" s="200"/>
      <c r="H60" s="201"/>
      <c r="I60" s="354"/>
      <c r="J60" s="350" t="str">
        <f>IF(Journal[[#This Row],[Transaction '#]]="","",IF(Journal[[#This Row],[Transaction '#]]=C59,J59+1,1))</f>
        <v/>
      </c>
      <c r="K60" s="351" cm="1">
        <f t="array" ref="K60">IFERROR(_xlfn.IFS(Journal[[#This Row],[Debit Account]]="Cash",Journal[[#This Row],[Dr Amt]],Journal[[#This Row],[Credit Account]]="Cash",-Journal[[#This Row],[Cr Amt]]),0)</f>
        <v>0</v>
      </c>
      <c r="L60" s="326" t="str" cm="1">
        <f t="array" ref="L60">IF(Journal[[#This Row],[Transaction '#]]&lt;&gt;"",IFERROR(INDEX(ProblemData!$E$239:$AM$239,1,Journal[[#This Row],[Transaction '#]]),""),"")</f>
        <v/>
      </c>
      <c r="M60" s="352" t="str">
        <f>IF(Journal[[#This Row],[ref1]]="","",IF(NOT(ISBLANK(Journal[[#This Row],[Transaction '#]])),Journal[[#This Row],[ref1]]&amp;Journal[[#This Row],[Movement '#]],""))</f>
        <v/>
      </c>
      <c r="N60" s="1" t="b">
        <f>OR(Journal[[#This Row],[ref1]]="",ISNUMBER(MATCH(Journal[[#This Row],[ref1]], Operating[Abbr], 0)), "Found", "Not Found"="Found")</f>
        <v>1</v>
      </c>
      <c r="O60" s="1"/>
      <c r="P60" s="1" t="str">
        <f>Journal[[#This Row],[Accnt Type]]&amp;"Used"</f>
        <v>Used</v>
      </c>
    </row>
    <row r="61" spans="3:16">
      <c r="C61" s="40"/>
      <c r="D61" s="198"/>
      <c r="E61" s="199"/>
      <c r="F61" s="199"/>
      <c r="G61" s="200"/>
      <c r="H61" s="201"/>
      <c r="I61" s="354"/>
      <c r="J61" s="350" t="str">
        <f>IF(Journal[[#This Row],[Transaction '#]]="","",IF(Journal[[#This Row],[Transaction '#]]=C60,J60+1,1))</f>
        <v/>
      </c>
      <c r="K61" s="351" cm="1">
        <f t="array" ref="K61">IFERROR(_xlfn.IFS(Journal[[#This Row],[Debit Account]]="Cash",Journal[[#This Row],[Dr Amt]],Journal[[#This Row],[Credit Account]]="Cash",-Journal[[#This Row],[Cr Amt]]),0)</f>
        <v>0</v>
      </c>
      <c r="L61" s="326" t="str" cm="1">
        <f t="array" ref="L61">IF(Journal[[#This Row],[Transaction '#]]&lt;&gt;"",IFERROR(INDEX(ProblemData!$E$239:$AM$239,1,Journal[[#This Row],[Transaction '#]]),""),"")</f>
        <v/>
      </c>
      <c r="M61" s="352" t="str">
        <f>IF(Journal[[#This Row],[ref1]]="","",IF(NOT(ISBLANK(Journal[[#This Row],[Transaction '#]])),Journal[[#This Row],[ref1]]&amp;Journal[[#This Row],[Movement '#]],""))</f>
        <v/>
      </c>
      <c r="N61" s="1" t="b">
        <f>OR(Journal[[#This Row],[ref1]]="",ISNUMBER(MATCH(Journal[[#This Row],[ref1]], Operating[Abbr], 0)), "Found", "Not Found"="Found")</f>
        <v>1</v>
      </c>
      <c r="O61" s="1"/>
      <c r="P61" s="1" t="str">
        <f>Journal[[#This Row],[Accnt Type]]&amp;"Used"</f>
        <v>Used</v>
      </c>
    </row>
    <row r="62" spans="3:16">
      <c r="C62" s="40"/>
      <c r="D62" s="198"/>
      <c r="E62" s="199"/>
      <c r="F62" s="199"/>
      <c r="G62" s="200"/>
      <c r="H62" s="201"/>
      <c r="I62" s="354"/>
      <c r="J62" s="350" t="str">
        <f>IF(Journal[[#This Row],[Transaction '#]]="","",IF(Journal[[#This Row],[Transaction '#]]=C61,J61+1,1))</f>
        <v/>
      </c>
      <c r="K62" s="351" cm="1">
        <f t="array" ref="K62">IFERROR(_xlfn.IFS(Journal[[#This Row],[Debit Account]]="Cash",Journal[[#This Row],[Dr Amt]],Journal[[#This Row],[Credit Account]]="Cash",-Journal[[#This Row],[Cr Amt]]),0)</f>
        <v>0</v>
      </c>
      <c r="L62" s="326" t="str" cm="1">
        <f t="array" ref="L62">IF(Journal[[#This Row],[Transaction '#]]&lt;&gt;"",IFERROR(INDEX(ProblemData!$E$239:$AM$239,1,Journal[[#This Row],[Transaction '#]]),""),"")</f>
        <v/>
      </c>
      <c r="M62" s="352" t="str">
        <f>IF(Journal[[#This Row],[ref1]]="","",IF(NOT(ISBLANK(Journal[[#This Row],[Transaction '#]])),Journal[[#This Row],[ref1]]&amp;Journal[[#This Row],[Movement '#]],""))</f>
        <v/>
      </c>
      <c r="N62" s="1" t="b">
        <f>OR(Journal[[#This Row],[ref1]]="",ISNUMBER(MATCH(Journal[[#This Row],[ref1]], Operating[Abbr], 0)), "Found", "Not Found"="Found")</f>
        <v>1</v>
      </c>
      <c r="O62" s="1"/>
      <c r="P62" s="1" t="str">
        <f>Journal[[#This Row],[Accnt Type]]&amp;"Used"</f>
        <v>Used</v>
      </c>
    </row>
    <row r="63" spans="3:16">
      <c r="C63" s="40"/>
      <c r="D63" s="198"/>
      <c r="E63" s="199"/>
      <c r="F63" s="199"/>
      <c r="G63" s="200"/>
      <c r="H63" s="201"/>
      <c r="I63" s="354"/>
      <c r="J63" s="350" t="str">
        <f>IF(Journal[[#This Row],[Transaction '#]]="","",IF(Journal[[#This Row],[Transaction '#]]=C62,J62+1,1))</f>
        <v/>
      </c>
      <c r="K63" s="351" cm="1">
        <f t="array" ref="K63">IFERROR(_xlfn.IFS(Journal[[#This Row],[Debit Account]]="Cash",Journal[[#This Row],[Dr Amt]],Journal[[#This Row],[Credit Account]]="Cash",-Journal[[#This Row],[Cr Amt]]),0)</f>
        <v>0</v>
      </c>
      <c r="L63" s="326" t="str" cm="1">
        <f t="array" ref="L63">IF(Journal[[#This Row],[Transaction '#]]&lt;&gt;"",IFERROR(INDEX(ProblemData!$E$239:$AM$239,1,Journal[[#This Row],[Transaction '#]]),""),"")</f>
        <v/>
      </c>
      <c r="M63" s="352" t="str">
        <f>IF(Journal[[#This Row],[ref1]]="","",IF(NOT(ISBLANK(Journal[[#This Row],[Transaction '#]])),Journal[[#This Row],[ref1]]&amp;Journal[[#This Row],[Movement '#]],""))</f>
        <v/>
      </c>
      <c r="N63" s="1" t="b">
        <f>OR(Journal[[#This Row],[ref1]]="",ISNUMBER(MATCH(Journal[[#This Row],[ref1]], Operating[Abbr], 0)), "Found", "Not Found"="Found")</f>
        <v>1</v>
      </c>
      <c r="O63" s="1"/>
      <c r="P63" s="1" t="str">
        <f>Journal[[#This Row],[Accnt Type]]&amp;"Used"</f>
        <v>Used</v>
      </c>
    </row>
    <row r="64" spans="3:16">
      <c r="C64" s="40"/>
      <c r="D64" s="198"/>
      <c r="E64" s="199"/>
      <c r="F64" s="199"/>
      <c r="G64" s="200"/>
      <c r="H64" s="201"/>
      <c r="I64" s="354"/>
      <c r="J64" s="350" t="str">
        <f>IF(Journal[[#This Row],[Transaction '#]]="","",IF(Journal[[#This Row],[Transaction '#]]=C63,J63+1,1))</f>
        <v/>
      </c>
      <c r="K64" s="351" cm="1">
        <f t="array" ref="K64">IFERROR(_xlfn.IFS(Journal[[#This Row],[Debit Account]]="Cash",Journal[[#This Row],[Dr Amt]],Journal[[#This Row],[Credit Account]]="Cash",-Journal[[#This Row],[Cr Amt]]),0)</f>
        <v>0</v>
      </c>
      <c r="L64" s="326" t="str" cm="1">
        <f t="array" ref="L64">IF(Journal[[#This Row],[Transaction '#]]&lt;&gt;"",IFERROR(INDEX(ProblemData!$E$239:$AM$239,1,Journal[[#This Row],[Transaction '#]]),""),"")</f>
        <v/>
      </c>
      <c r="M64" s="352" t="str">
        <f>IF(Journal[[#This Row],[ref1]]="","",IF(NOT(ISBLANK(Journal[[#This Row],[Transaction '#]])),Journal[[#This Row],[ref1]]&amp;Journal[[#This Row],[Movement '#]],""))</f>
        <v/>
      </c>
      <c r="N64" s="1" t="b">
        <f>OR(Journal[[#This Row],[ref1]]="",ISNUMBER(MATCH(Journal[[#This Row],[ref1]], Operating[Abbr], 0)), "Found", "Not Found"="Found")</f>
        <v>1</v>
      </c>
      <c r="O64" s="1"/>
      <c r="P64" s="1" t="str">
        <f>Journal[[#This Row],[Accnt Type]]&amp;"Used"</f>
        <v>Used</v>
      </c>
    </row>
    <row r="65" spans="3:16">
      <c r="C65" s="40"/>
      <c r="D65" s="198"/>
      <c r="E65" s="199"/>
      <c r="F65" s="199"/>
      <c r="G65" s="200"/>
      <c r="H65" s="201"/>
      <c r="I65" s="354"/>
      <c r="J65" s="350" t="str">
        <f>IF(Journal[[#This Row],[Transaction '#]]="","",IF(Journal[[#This Row],[Transaction '#]]=C64,J64+1,1))</f>
        <v/>
      </c>
      <c r="K65" s="351" cm="1">
        <f t="array" ref="K65">IFERROR(_xlfn.IFS(Journal[[#This Row],[Debit Account]]="Cash",Journal[[#This Row],[Dr Amt]],Journal[[#This Row],[Credit Account]]="Cash",-Journal[[#This Row],[Cr Amt]]),0)</f>
        <v>0</v>
      </c>
      <c r="L65" s="326" t="str" cm="1">
        <f t="array" ref="L65">IF(Journal[[#This Row],[Transaction '#]]&lt;&gt;"",IFERROR(INDEX(ProblemData!$E$239:$AM$239,1,Journal[[#This Row],[Transaction '#]]),""),"")</f>
        <v/>
      </c>
      <c r="M65" s="352" t="str">
        <f>IF(Journal[[#This Row],[ref1]]="","",IF(NOT(ISBLANK(Journal[[#This Row],[Transaction '#]])),Journal[[#This Row],[ref1]]&amp;Journal[[#This Row],[Movement '#]],""))</f>
        <v/>
      </c>
      <c r="N65" s="1" t="b">
        <f>OR(Journal[[#This Row],[ref1]]="",ISNUMBER(MATCH(Journal[[#This Row],[ref1]], Operating[Abbr], 0)), "Found", "Not Found"="Found")</f>
        <v>1</v>
      </c>
      <c r="O65" s="1"/>
      <c r="P65" s="1" t="str">
        <f>Journal[[#This Row],[Accnt Type]]&amp;"Used"</f>
        <v>Used</v>
      </c>
    </row>
    <row r="66" spans="3:16">
      <c r="C66" s="40"/>
      <c r="D66" s="198"/>
      <c r="E66" s="199"/>
      <c r="F66" s="199"/>
      <c r="G66" s="200"/>
      <c r="H66" s="201"/>
      <c r="I66" s="354"/>
      <c r="J66" s="350" t="str">
        <f>IF(Journal[[#This Row],[Transaction '#]]="","",IF(Journal[[#This Row],[Transaction '#]]=C65,J65+1,1))</f>
        <v/>
      </c>
      <c r="K66" s="351" cm="1">
        <f t="array" ref="K66">IFERROR(_xlfn.IFS(Journal[[#This Row],[Debit Account]]="Cash",Journal[[#This Row],[Dr Amt]],Journal[[#This Row],[Credit Account]]="Cash",-Journal[[#This Row],[Cr Amt]]),0)</f>
        <v>0</v>
      </c>
      <c r="L66" s="326" t="str" cm="1">
        <f t="array" ref="L66">IF(Journal[[#This Row],[Transaction '#]]&lt;&gt;"",IFERROR(INDEX(ProblemData!$E$239:$AM$239,1,Journal[[#This Row],[Transaction '#]]),""),"")</f>
        <v/>
      </c>
      <c r="M66" s="352" t="str">
        <f>IF(Journal[[#This Row],[ref1]]="","",IF(NOT(ISBLANK(Journal[[#This Row],[Transaction '#]])),Journal[[#This Row],[ref1]]&amp;Journal[[#This Row],[Movement '#]],""))</f>
        <v/>
      </c>
      <c r="N66" s="1" t="b">
        <f>OR(Journal[[#This Row],[ref1]]="",ISNUMBER(MATCH(Journal[[#This Row],[ref1]], Operating[Abbr], 0)), "Found", "Not Found"="Found")</f>
        <v>1</v>
      </c>
      <c r="O66" s="1"/>
      <c r="P66" s="1" t="str">
        <f>Journal[[#This Row],[Accnt Type]]&amp;"Used"</f>
        <v>Used</v>
      </c>
    </row>
    <row r="67" spans="3:16">
      <c r="C67" s="40"/>
      <c r="D67" s="198"/>
      <c r="E67" s="199"/>
      <c r="F67" s="199"/>
      <c r="G67" s="200"/>
      <c r="H67" s="201"/>
      <c r="I67" s="354"/>
      <c r="J67" s="350" t="str">
        <f>IF(Journal[[#This Row],[Transaction '#]]="","",IF(Journal[[#This Row],[Transaction '#]]=C66,J66+1,1))</f>
        <v/>
      </c>
      <c r="K67" s="351" cm="1">
        <f t="array" ref="K67">IFERROR(_xlfn.IFS(Journal[[#This Row],[Debit Account]]="Cash",Journal[[#This Row],[Dr Amt]],Journal[[#This Row],[Credit Account]]="Cash",-Journal[[#This Row],[Cr Amt]]),0)</f>
        <v>0</v>
      </c>
      <c r="L67" s="326" t="str" cm="1">
        <f t="array" ref="L67">IF(Journal[[#This Row],[Transaction '#]]&lt;&gt;"",IFERROR(INDEX(ProblemData!$E$239:$AM$239,1,Journal[[#This Row],[Transaction '#]]),""),"")</f>
        <v/>
      </c>
      <c r="M67" s="352" t="str">
        <f>IF(Journal[[#This Row],[ref1]]="","",IF(NOT(ISBLANK(Journal[[#This Row],[Transaction '#]])),Journal[[#This Row],[ref1]]&amp;Journal[[#This Row],[Movement '#]],""))</f>
        <v/>
      </c>
      <c r="N67" s="1" t="b">
        <f>OR(Journal[[#This Row],[ref1]]="",ISNUMBER(MATCH(Journal[[#This Row],[ref1]], Operating[Abbr], 0)), "Found", "Not Found"="Found")</f>
        <v>1</v>
      </c>
      <c r="O67" s="1"/>
      <c r="P67" s="1" t="str">
        <f>Journal[[#This Row],[Accnt Type]]&amp;"Used"</f>
        <v>Used</v>
      </c>
    </row>
    <row r="68" spans="3:16">
      <c r="C68" s="40"/>
      <c r="D68" s="198"/>
      <c r="E68" s="199"/>
      <c r="F68" s="199"/>
      <c r="G68" s="200"/>
      <c r="H68" s="201"/>
      <c r="I68" s="354"/>
      <c r="J68" s="350" t="str">
        <f>IF(Journal[[#This Row],[Transaction '#]]="","",IF(Journal[[#This Row],[Transaction '#]]=C67,J67+1,1))</f>
        <v/>
      </c>
      <c r="K68" s="351" cm="1">
        <f t="array" ref="K68">IFERROR(_xlfn.IFS(Journal[[#This Row],[Debit Account]]="Cash",Journal[[#This Row],[Dr Amt]],Journal[[#This Row],[Credit Account]]="Cash",-Journal[[#This Row],[Cr Amt]]),0)</f>
        <v>0</v>
      </c>
      <c r="L68" s="326" t="str" cm="1">
        <f t="array" ref="L68">IF(Journal[[#This Row],[Transaction '#]]&lt;&gt;"",IFERROR(INDEX(ProblemData!$E$239:$AM$239,1,Journal[[#This Row],[Transaction '#]]),""),"")</f>
        <v/>
      </c>
      <c r="M68" s="352" t="str">
        <f>IF(Journal[[#This Row],[ref1]]="","",IF(NOT(ISBLANK(Journal[[#This Row],[Transaction '#]])),Journal[[#This Row],[ref1]]&amp;Journal[[#This Row],[Movement '#]],""))</f>
        <v/>
      </c>
      <c r="N68" s="1" t="b">
        <f>OR(Journal[[#This Row],[ref1]]="",ISNUMBER(MATCH(Journal[[#This Row],[ref1]], Operating[Abbr], 0)), "Found", "Not Found"="Found")</f>
        <v>1</v>
      </c>
      <c r="O68" s="1"/>
      <c r="P68" s="1" t="str">
        <f>Journal[[#This Row],[Accnt Type]]&amp;"Used"</f>
        <v>Used</v>
      </c>
    </row>
    <row r="69" spans="3:16">
      <c r="C69" s="40"/>
      <c r="D69" s="198"/>
      <c r="E69" s="199"/>
      <c r="F69" s="199"/>
      <c r="G69" s="200"/>
      <c r="H69" s="201"/>
      <c r="I69" s="354"/>
      <c r="J69" s="350" t="str">
        <f>IF(Journal[[#This Row],[Transaction '#]]="","",IF(Journal[[#This Row],[Transaction '#]]=C68,J68+1,1))</f>
        <v/>
      </c>
      <c r="K69" s="351" cm="1">
        <f t="array" ref="K69">IFERROR(_xlfn.IFS(Journal[[#This Row],[Debit Account]]="Cash",Journal[[#This Row],[Dr Amt]],Journal[[#This Row],[Credit Account]]="Cash",-Journal[[#This Row],[Cr Amt]]),0)</f>
        <v>0</v>
      </c>
      <c r="L69" s="326" t="str" cm="1">
        <f t="array" ref="L69">IF(Journal[[#This Row],[Transaction '#]]&lt;&gt;"",IFERROR(INDEX(ProblemData!$E$239:$AM$239,1,Journal[[#This Row],[Transaction '#]]),""),"")</f>
        <v/>
      </c>
      <c r="M69" s="352" t="str">
        <f>IF(Journal[[#This Row],[ref1]]="","",IF(NOT(ISBLANK(Journal[[#This Row],[Transaction '#]])),Journal[[#This Row],[ref1]]&amp;Journal[[#This Row],[Movement '#]],""))</f>
        <v/>
      </c>
      <c r="N69" s="1" t="b">
        <f>OR(Journal[[#This Row],[ref1]]="",ISNUMBER(MATCH(Journal[[#This Row],[ref1]], Operating[Abbr], 0)), "Found", "Not Found"="Found")</f>
        <v>1</v>
      </c>
      <c r="O69" s="1"/>
      <c r="P69" s="1" t="str">
        <f>Journal[[#This Row],[Accnt Type]]&amp;"Used"</f>
        <v>Used</v>
      </c>
    </row>
    <row r="70" spans="3:16">
      <c r="C70" s="40"/>
      <c r="D70" s="198"/>
      <c r="E70" s="199"/>
      <c r="F70" s="199"/>
      <c r="G70" s="200"/>
      <c r="H70" s="201"/>
      <c r="I70" s="354"/>
      <c r="J70" s="350" t="str">
        <f>IF(Journal[[#This Row],[Transaction '#]]="","",IF(Journal[[#This Row],[Transaction '#]]=C69,J69+1,1))</f>
        <v/>
      </c>
      <c r="K70" s="351" cm="1">
        <f t="array" ref="K70">IFERROR(_xlfn.IFS(Journal[[#This Row],[Debit Account]]="Cash",Journal[[#This Row],[Dr Amt]],Journal[[#This Row],[Credit Account]]="Cash",-Journal[[#This Row],[Cr Amt]]),0)</f>
        <v>0</v>
      </c>
      <c r="L70" s="326" t="str" cm="1">
        <f t="array" ref="L70">IF(Journal[[#This Row],[Transaction '#]]&lt;&gt;"",IFERROR(INDEX(ProblemData!$E$239:$AM$239,1,Journal[[#This Row],[Transaction '#]]),""),"")</f>
        <v/>
      </c>
      <c r="M70" s="352" t="str">
        <f>IF(Journal[[#This Row],[ref1]]="","",IF(NOT(ISBLANK(Journal[[#This Row],[Transaction '#]])),Journal[[#This Row],[ref1]]&amp;Journal[[#This Row],[Movement '#]],""))</f>
        <v/>
      </c>
      <c r="N70" s="1" t="b">
        <f>OR(Journal[[#This Row],[ref1]]="",ISNUMBER(MATCH(Journal[[#This Row],[ref1]], Operating[Abbr], 0)), "Found", "Not Found"="Found")</f>
        <v>1</v>
      </c>
      <c r="O70" s="1"/>
      <c r="P70" s="1" t="str">
        <f>Journal[[#This Row],[Accnt Type]]&amp;"Used"</f>
        <v>Used</v>
      </c>
    </row>
    <row r="71" spans="3:16">
      <c r="C71" s="40"/>
      <c r="D71" s="198"/>
      <c r="E71" s="199"/>
      <c r="F71" s="199"/>
      <c r="G71" s="200"/>
      <c r="H71" s="201"/>
      <c r="I71" s="354"/>
      <c r="J71" s="350" t="str">
        <f>IF(Journal[[#This Row],[Transaction '#]]="","",IF(Journal[[#This Row],[Transaction '#]]=C70,J70+1,1))</f>
        <v/>
      </c>
      <c r="K71" s="351" cm="1">
        <f t="array" ref="K71">IFERROR(_xlfn.IFS(Journal[[#This Row],[Debit Account]]="Cash",Journal[[#This Row],[Dr Amt]],Journal[[#This Row],[Credit Account]]="Cash",-Journal[[#This Row],[Cr Amt]]),0)</f>
        <v>0</v>
      </c>
      <c r="L71" s="326" t="str" cm="1">
        <f t="array" ref="L71">IF(Journal[[#This Row],[Transaction '#]]&lt;&gt;"",IFERROR(INDEX(ProblemData!$E$239:$AM$239,1,Journal[[#This Row],[Transaction '#]]),""),"")</f>
        <v/>
      </c>
      <c r="M71" s="352" t="str">
        <f>IF(Journal[[#This Row],[ref1]]="","",IF(NOT(ISBLANK(Journal[[#This Row],[Transaction '#]])),Journal[[#This Row],[ref1]]&amp;Journal[[#This Row],[Movement '#]],""))</f>
        <v/>
      </c>
      <c r="N71" s="1" t="b">
        <f>OR(Journal[[#This Row],[ref1]]="",ISNUMBER(MATCH(Journal[[#This Row],[ref1]], Operating[Abbr], 0)), "Found", "Not Found"="Found")</f>
        <v>1</v>
      </c>
      <c r="O71" s="1"/>
      <c r="P71" s="1" t="str">
        <f>Journal[[#This Row],[Accnt Type]]&amp;"Used"</f>
        <v>Used</v>
      </c>
    </row>
    <row r="72" spans="3:16">
      <c r="C72" s="40"/>
      <c r="D72" s="198"/>
      <c r="E72" s="199"/>
      <c r="F72" s="199"/>
      <c r="G72" s="200"/>
      <c r="H72" s="201"/>
      <c r="I72" s="354"/>
      <c r="J72" s="350" t="str">
        <f>IF(Journal[[#This Row],[Transaction '#]]="","",IF(Journal[[#This Row],[Transaction '#]]=C71,J71+1,1))</f>
        <v/>
      </c>
      <c r="K72" s="351" cm="1">
        <f t="array" ref="K72">IFERROR(_xlfn.IFS(Journal[[#This Row],[Debit Account]]="Cash",Journal[[#This Row],[Dr Amt]],Journal[[#This Row],[Credit Account]]="Cash",-Journal[[#This Row],[Cr Amt]]),0)</f>
        <v>0</v>
      </c>
      <c r="L72" s="326" t="str" cm="1">
        <f t="array" ref="L72">IF(Journal[[#This Row],[Transaction '#]]&lt;&gt;"",IFERROR(INDEX(ProblemData!$E$239:$AM$239,1,Journal[[#This Row],[Transaction '#]]),""),"")</f>
        <v/>
      </c>
      <c r="M72" s="352" t="str">
        <f>IF(Journal[[#This Row],[ref1]]="","",IF(NOT(ISBLANK(Journal[[#This Row],[Transaction '#]])),Journal[[#This Row],[ref1]]&amp;Journal[[#This Row],[Movement '#]],""))</f>
        <v/>
      </c>
      <c r="N72" s="1" t="b">
        <f>OR(Journal[[#This Row],[ref1]]="",ISNUMBER(MATCH(Journal[[#This Row],[ref1]], Operating[Abbr], 0)), "Found", "Not Found"="Found")</f>
        <v>1</v>
      </c>
      <c r="O72" s="1"/>
      <c r="P72" s="1" t="str">
        <f>Journal[[#This Row],[Accnt Type]]&amp;"Used"</f>
        <v>Used</v>
      </c>
    </row>
    <row r="73" spans="3:16">
      <c r="C73" s="40"/>
      <c r="D73" s="198"/>
      <c r="E73" s="199"/>
      <c r="F73" s="199"/>
      <c r="G73" s="200"/>
      <c r="H73" s="201"/>
      <c r="I73" s="354"/>
      <c r="J73" s="350" t="str">
        <f>IF(Journal[[#This Row],[Transaction '#]]="","",IF(Journal[[#This Row],[Transaction '#]]=C72,J72+1,1))</f>
        <v/>
      </c>
      <c r="K73" s="351" cm="1">
        <f t="array" ref="K73">IFERROR(_xlfn.IFS(Journal[[#This Row],[Debit Account]]="Cash",Journal[[#This Row],[Dr Amt]],Journal[[#This Row],[Credit Account]]="Cash",-Journal[[#This Row],[Cr Amt]]),0)</f>
        <v>0</v>
      </c>
      <c r="L73" s="326" t="str" cm="1">
        <f t="array" ref="L73">IF(Journal[[#This Row],[Transaction '#]]&lt;&gt;"",IFERROR(INDEX(ProblemData!$E$239:$AM$239,1,Journal[[#This Row],[Transaction '#]]),""),"")</f>
        <v/>
      </c>
      <c r="M73" s="352" t="str">
        <f>IF(Journal[[#This Row],[ref1]]="","",IF(NOT(ISBLANK(Journal[[#This Row],[Transaction '#]])),Journal[[#This Row],[ref1]]&amp;Journal[[#This Row],[Movement '#]],""))</f>
        <v/>
      </c>
      <c r="N73" s="1" t="b">
        <f>OR(Journal[[#This Row],[ref1]]="",ISNUMBER(MATCH(Journal[[#This Row],[ref1]], Operating[Abbr], 0)), "Found", "Not Found"="Found")</f>
        <v>1</v>
      </c>
      <c r="O73" s="1"/>
      <c r="P73" s="1" t="str">
        <f>Journal[[#This Row],[Accnt Type]]&amp;"Used"</f>
        <v>Used</v>
      </c>
    </row>
    <row r="74" spans="3:16">
      <c r="C74" s="40"/>
      <c r="D74" s="198"/>
      <c r="E74" s="199"/>
      <c r="F74" s="199"/>
      <c r="G74" s="200"/>
      <c r="H74" s="201"/>
      <c r="I74" s="354"/>
      <c r="J74" s="350" t="str">
        <f>IF(Journal[[#This Row],[Transaction '#]]="","",IF(Journal[[#This Row],[Transaction '#]]=C73,J73+1,1))</f>
        <v/>
      </c>
      <c r="K74" s="351" cm="1">
        <f t="array" ref="K74">IFERROR(_xlfn.IFS(Journal[[#This Row],[Debit Account]]="Cash",Journal[[#This Row],[Dr Amt]],Journal[[#This Row],[Credit Account]]="Cash",-Journal[[#This Row],[Cr Amt]]),0)</f>
        <v>0</v>
      </c>
      <c r="L74" s="326" t="str" cm="1">
        <f t="array" ref="L74">IF(Journal[[#This Row],[Transaction '#]]&lt;&gt;"",IFERROR(INDEX(ProblemData!$E$239:$AM$239,1,Journal[[#This Row],[Transaction '#]]),""),"")</f>
        <v/>
      </c>
      <c r="M74" s="352" t="str">
        <f>IF(Journal[[#This Row],[ref1]]="","",IF(NOT(ISBLANK(Journal[[#This Row],[Transaction '#]])),Journal[[#This Row],[ref1]]&amp;Journal[[#This Row],[Movement '#]],""))</f>
        <v/>
      </c>
      <c r="N74" s="1" t="b">
        <f>OR(Journal[[#This Row],[ref1]]="",ISNUMBER(MATCH(Journal[[#This Row],[ref1]], Operating[Abbr], 0)), "Found", "Not Found"="Found")</f>
        <v>1</v>
      </c>
      <c r="O74" s="1"/>
      <c r="P74" s="1" t="str">
        <f>Journal[[#This Row],[Accnt Type]]&amp;"Used"</f>
        <v>Used</v>
      </c>
    </row>
    <row r="75" spans="3:16">
      <c r="C75" s="40"/>
      <c r="D75" s="198"/>
      <c r="E75" s="199"/>
      <c r="F75" s="199"/>
      <c r="G75" s="200"/>
      <c r="H75" s="201"/>
      <c r="I75" s="354"/>
      <c r="J75" s="350" t="str">
        <f>IF(Journal[[#This Row],[Transaction '#]]="","",IF(Journal[[#This Row],[Transaction '#]]=C74,J74+1,1))</f>
        <v/>
      </c>
      <c r="K75" s="351" cm="1">
        <f t="array" ref="K75">IFERROR(_xlfn.IFS(Journal[[#This Row],[Debit Account]]="Cash",Journal[[#This Row],[Dr Amt]],Journal[[#This Row],[Credit Account]]="Cash",-Journal[[#This Row],[Cr Amt]]),0)</f>
        <v>0</v>
      </c>
      <c r="L75" s="326" t="str" cm="1">
        <f t="array" ref="L75">IF(Journal[[#This Row],[Transaction '#]]&lt;&gt;"",IFERROR(INDEX(ProblemData!$E$239:$AM$239,1,Journal[[#This Row],[Transaction '#]]),""),"")</f>
        <v/>
      </c>
      <c r="M75" s="352" t="str">
        <f>IF(Journal[[#This Row],[ref1]]="","",IF(NOT(ISBLANK(Journal[[#This Row],[Transaction '#]])),Journal[[#This Row],[ref1]]&amp;Journal[[#This Row],[Movement '#]],""))</f>
        <v/>
      </c>
      <c r="N75" s="1" t="b">
        <f>OR(Journal[[#This Row],[ref1]]="",ISNUMBER(MATCH(Journal[[#This Row],[ref1]], Operating[Abbr], 0)), "Found", "Not Found"="Found")</f>
        <v>1</v>
      </c>
      <c r="O75" s="1"/>
      <c r="P75" s="1" t="str">
        <f>Journal[[#This Row],[Accnt Type]]&amp;"Used"</f>
        <v>Used</v>
      </c>
    </row>
    <row r="76" spans="3:16">
      <c r="C76" s="40"/>
      <c r="D76" s="198"/>
      <c r="E76" s="199"/>
      <c r="F76" s="199"/>
      <c r="G76" s="200"/>
      <c r="H76" s="201"/>
      <c r="I76" s="354"/>
      <c r="J76" s="350" t="str">
        <f>IF(Journal[[#This Row],[Transaction '#]]="","",IF(Journal[[#This Row],[Transaction '#]]=C75,J75+1,1))</f>
        <v/>
      </c>
      <c r="K76" s="351" cm="1">
        <f t="array" ref="K76">IFERROR(_xlfn.IFS(Journal[[#This Row],[Debit Account]]="Cash",Journal[[#This Row],[Dr Amt]],Journal[[#This Row],[Credit Account]]="Cash",-Journal[[#This Row],[Cr Amt]]),0)</f>
        <v>0</v>
      </c>
      <c r="L76" s="326" t="str" cm="1">
        <f t="array" ref="L76">IF(Journal[[#This Row],[Transaction '#]]&lt;&gt;"",IFERROR(INDEX(ProblemData!$E$239:$AM$239,1,Journal[[#This Row],[Transaction '#]]),""),"")</f>
        <v/>
      </c>
      <c r="M76" s="352" t="str">
        <f>IF(Journal[[#This Row],[ref1]]="","",IF(NOT(ISBLANK(Journal[[#This Row],[Transaction '#]])),Journal[[#This Row],[ref1]]&amp;Journal[[#This Row],[Movement '#]],""))</f>
        <v/>
      </c>
      <c r="N76" s="1" t="b">
        <f>OR(Journal[[#This Row],[ref1]]="",ISNUMBER(MATCH(Journal[[#This Row],[ref1]], Operating[Abbr], 0)), "Found", "Not Found"="Found")</f>
        <v>1</v>
      </c>
      <c r="O76" s="1"/>
      <c r="P76" s="1" t="str">
        <f>Journal[[#This Row],[Accnt Type]]&amp;"Used"</f>
        <v>Used</v>
      </c>
    </row>
    <row r="77" spans="3:16">
      <c r="C77" s="40"/>
      <c r="D77" s="198"/>
      <c r="E77" s="199"/>
      <c r="F77" s="199"/>
      <c r="G77" s="200"/>
      <c r="H77" s="201"/>
      <c r="I77" s="354"/>
      <c r="J77" s="350" t="str">
        <f>IF(Journal[[#This Row],[Transaction '#]]="","",IF(Journal[[#This Row],[Transaction '#]]=C76,J76+1,1))</f>
        <v/>
      </c>
      <c r="K77" s="351" cm="1">
        <f t="array" ref="K77">IFERROR(_xlfn.IFS(Journal[[#This Row],[Debit Account]]="Cash",Journal[[#This Row],[Dr Amt]],Journal[[#This Row],[Credit Account]]="Cash",-Journal[[#This Row],[Cr Amt]]),0)</f>
        <v>0</v>
      </c>
      <c r="L77" s="326" t="str" cm="1">
        <f t="array" ref="L77">IF(Journal[[#This Row],[Transaction '#]]&lt;&gt;"",IFERROR(INDEX(ProblemData!$E$239:$AM$239,1,Journal[[#This Row],[Transaction '#]]),""),"")</f>
        <v/>
      </c>
      <c r="M77" s="352" t="str">
        <f>IF(Journal[[#This Row],[ref1]]="","",IF(NOT(ISBLANK(Journal[[#This Row],[Transaction '#]])),Journal[[#This Row],[ref1]]&amp;Journal[[#This Row],[Movement '#]],""))</f>
        <v/>
      </c>
      <c r="N77" s="1" t="b">
        <f>OR(Journal[[#This Row],[ref1]]="",ISNUMBER(MATCH(Journal[[#This Row],[ref1]], Operating[Abbr], 0)), "Found", "Not Found"="Found")</f>
        <v>1</v>
      </c>
      <c r="O77" s="1"/>
      <c r="P77" s="1" t="str">
        <f>Journal[[#This Row],[Accnt Type]]&amp;"Used"</f>
        <v>Used</v>
      </c>
    </row>
    <row r="78" spans="3:16">
      <c r="C78" s="40"/>
      <c r="D78" s="198"/>
      <c r="E78" s="199"/>
      <c r="F78" s="199"/>
      <c r="G78" s="200"/>
      <c r="H78" s="201"/>
      <c r="I78" s="354"/>
      <c r="J78" s="350" t="str">
        <f>IF(Journal[[#This Row],[Transaction '#]]="","",IF(Journal[[#This Row],[Transaction '#]]=C77,J77+1,1))</f>
        <v/>
      </c>
      <c r="K78" s="351" cm="1">
        <f t="array" ref="K78">IFERROR(_xlfn.IFS(Journal[[#This Row],[Debit Account]]="Cash",Journal[[#This Row],[Dr Amt]],Journal[[#This Row],[Credit Account]]="Cash",-Journal[[#This Row],[Cr Amt]]),0)</f>
        <v>0</v>
      </c>
      <c r="L78" s="326" t="str" cm="1">
        <f t="array" ref="L78">IF(Journal[[#This Row],[Transaction '#]]&lt;&gt;"",IFERROR(INDEX(ProblemData!$E$239:$AM$239,1,Journal[[#This Row],[Transaction '#]]),""),"")</f>
        <v/>
      </c>
      <c r="M78" s="352" t="str">
        <f>IF(Journal[[#This Row],[ref1]]="","",IF(NOT(ISBLANK(Journal[[#This Row],[Transaction '#]])),Journal[[#This Row],[ref1]]&amp;Journal[[#This Row],[Movement '#]],""))</f>
        <v/>
      </c>
      <c r="N78" s="1" t="b">
        <f>OR(Journal[[#This Row],[ref1]]="",ISNUMBER(MATCH(Journal[[#This Row],[ref1]], Operating[Abbr], 0)), "Found", "Not Found"="Found")</f>
        <v>1</v>
      </c>
      <c r="O78" s="1"/>
      <c r="P78" s="1" t="str">
        <f>Journal[[#This Row],[Accnt Type]]&amp;"Used"</f>
        <v>Used</v>
      </c>
    </row>
    <row r="79" spans="3:16">
      <c r="C79" s="40"/>
      <c r="D79" s="198"/>
      <c r="E79" s="199"/>
      <c r="F79" s="199"/>
      <c r="G79" s="200"/>
      <c r="H79" s="201"/>
      <c r="I79" s="354"/>
      <c r="J79" s="350" t="str">
        <f>IF(Journal[[#This Row],[Transaction '#]]="","",IF(Journal[[#This Row],[Transaction '#]]=C78,J78+1,1))</f>
        <v/>
      </c>
      <c r="K79" s="351" cm="1">
        <f t="array" ref="K79">IFERROR(_xlfn.IFS(Journal[[#This Row],[Debit Account]]="Cash",Journal[[#This Row],[Dr Amt]],Journal[[#This Row],[Credit Account]]="Cash",-Journal[[#This Row],[Cr Amt]]),0)</f>
        <v>0</v>
      </c>
      <c r="L79" s="326" t="str" cm="1">
        <f t="array" ref="L79">IF(Journal[[#This Row],[Transaction '#]]&lt;&gt;"",IFERROR(INDEX(ProblemData!$E$239:$AM$239,1,Journal[[#This Row],[Transaction '#]]),""),"")</f>
        <v/>
      </c>
      <c r="M79" s="352" t="str">
        <f>IF(Journal[[#This Row],[ref1]]="","",IF(NOT(ISBLANK(Journal[[#This Row],[Transaction '#]])),Journal[[#This Row],[ref1]]&amp;Journal[[#This Row],[Movement '#]],""))</f>
        <v/>
      </c>
      <c r="N79" s="1" t="b">
        <f>OR(Journal[[#This Row],[ref1]]="",ISNUMBER(MATCH(Journal[[#This Row],[ref1]], Operating[Abbr], 0)), "Found", "Not Found"="Found")</f>
        <v>1</v>
      </c>
      <c r="O79" s="1"/>
      <c r="P79" s="1" t="str">
        <f>Journal[[#This Row],[Accnt Type]]&amp;"Used"</f>
        <v>Used</v>
      </c>
    </row>
    <row r="80" spans="3:16">
      <c r="C80" s="40"/>
      <c r="D80" s="198"/>
      <c r="E80" s="199"/>
      <c r="F80" s="199"/>
      <c r="G80" s="200"/>
      <c r="H80" s="201"/>
      <c r="I80" s="354"/>
      <c r="J80" s="350" t="str">
        <f>IF(Journal[[#This Row],[Transaction '#]]="","",IF(Journal[[#This Row],[Transaction '#]]=C79,J79+1,1))</f>
        <v/>
      </c>
      <c r="K80" s="351" cm="1">
        <f t="array" ref="K80">IFERROR(_xlfn.IFS(Journal[[#This Row],[Debit Account]]="Cash",Journal[[#This Row],[Dr Amt]],Journal[[#This Row],[Credit Account]]="Cash",-Journal[[#This Row],[Cr Amt]]),0)</f>
        <v>0</v>
      </c>
      <c r="L80" s="326" t="str" cm="1">
        <f t="array" ref="L80">IF(Journal[[#This Row],[Transaction '#]]&lt;&gt;"",IFERROR(INDEX(ProblemData!$E$239:$AM$239,1,Journal[[#This Row],[Transaction '#]]),""),"")</f>
        <v/>
      </c>
      <c r="M80" s="352" t="str">
        <f>IF(Journal[[#This Row],[ref1]]="","",IF(NOT(ISBLANK(Journal[[#This Row],[Transaction '#]])),Journal[[#This Row],[ref1]]&amp;Journal[[#This Row],[Movement '#]],""))</f>
        <v/>
      </c>
      <c r="N80" s="1" t="b">
        <f>OR(Journal[[#This Row],[ref1]]="",ISNUMBER(MATCH(Journal[[#This Row],[ref1]], Operating[Abbr], 0)), "Found", "Not Found"="Found")</f>
        <v>1</v>
      </c>
      <c r="O80" s="1"/>
      <c r="P80" s="1" t="str">
        <f>Journal[[#This Row],[Accnt Type]]&amp;"Used"</f>
        <v>Used</v>
      </c>
    </row>
    <row r="81" spans="3:16">
      <c r="C81" s="40"/>
      <c r="D81" s="198"/>
      <c r="E81" s="199"/>
      <c r="F81" s="199"/>
      <c r="G81" s="200"/>
      <c r="H81" s="201"/>
      <c r="I81" s="354"/>
      <c r="J81" s="350" t="str">
        <f>IF(Journal[[#This Row],[Transaction '#]]="","",IF(Journal[[#This Row],[Transaction '#]]=C80,J80+1,1))</f>
        <v/>
      </c>
      <c r="K81" s="351" cm="1">
        <f t="array" ref="K81">IFERROR(_xlfn.IFS(Journal[[#This Row],[Debit Account]]="Cash",Journal[[#This Row],[Dr Amt]],Journal[[#This Row],[Credit Account]]="Cash",-Journal[[#This Row],[Cr Amt]]),0)</f>
        <v>0</v>
      </c>
      <c r="L81" s="326" t="str" cm="1">
        <f t="array" ref="L81">IF(Journal[[#This Row],[Transaction '#]]&lt;&gt;"",IFERROR(INDEX(ProblemData!$E$239:$AM$239,1,Journal[[#This Row],[Transaction '#]]),""),"")</f>
        <v/>
      </c>
      <c r="M81" s="352" t="str">
        <f>IF(Journal[[#This Row],[ref1]]="","",IF(NOT(ISBLANK(Journal[[#This Row],[Transaction '#]])),Journal[[#This Row],[ref1]]&amp;Journal[[#This Row],[Movement '#]],""))</f>
        <v/>
      </c>
      <c r="N81" s="1" t="b">
        <f>OR(Journal[[#This Row],[ref1]]="",ISNUMBER(MATCH(Journal[[#This Row],[ref1]], Operating[Abbr], 0)), "Found", "Not Found"="Found")</f>
        <v>1</v>
      </c>
      <c r="O81" s="1"/>
      <c r="P81" s="1" t="str">
        <f>Journal[[#This Row],[Accnt Type]]&amp;"Used"</f>
        <v>Used</v>
      </c>
    </row>
    <row r="82" spans="3:16">
      <c r="C82" s="40"/>
      <c r="D82" s="198"/>
      <c r="E82" s="199"/>
      <c r="F82" s="199"/>
      <c r="G82" s="200"/>
      <c r="H82" s="201"/>
      <c r="I82" s="354"/>
      <c r="J82" s="350" t="str">
        <f>IF(Journal[[#This Row],[Transaction '#]]="","",IF(Journal[[#This Row],[Transaction '#]]=C81,J81+1,1))</f>
        <v/>
      </c>
      <c r="K82" s="351" cm="1">
        <f t="array" ref="K82">IFERROR(_xlfn.IFS(Journal[[#This Row],[Debit Account]]="Cash",Journal[[#This Row],[Dr Amt]],Journal[[#This Row],[Credit Account]]="Cash",-Journal[[#This Row],[Cr Amt]]),0)</f>
        <v>0</v>
      </c>
      <c r="L82" s="326" t="str" cm="1">
        <f t="array" ref="L82">IF(Journal[[#This Row],[Transaction '#]]&lt;&gt;"",IFERROR(INDEX(ProblemData!$E$239:$AM$239,1,Journal[[#This Row],[Transaction '#]]),""),"")</f>
        <v/>
      </c>
      <c r="M82" s="352" t="str">
        <f>IF(Journal[[#This Row],[ref1]]="","",IF(NOT(ISBLANK(Journal[[#This Row],[Transaction '#]])),Journal[[#This Row],[ref1]]&amp;Journal[[#This Row],[Movement '#]],""))</f>
        <v/>
      </c>
      <c r="N82" s="1" t="b">
        <f>OR(Journal[[#This Row],[ref1]]="",ISNUMBER(MATCH(Journal[[#This Row],[ref1]], Operating[Abbr], 0)), "Found", "Not Found"="Found")</f>
        <v>1</v>
      </c>
      <c r="O82" s="1"/>
      <c r="P82" s="1" t="str">
        <f>Journal[[#This Row],[Accnt Type]]&amp;"Used"</f>
        <v>Used</v>
      </c>
    </row>
    <row r="83" spans="3:16">
      <c r="C83" s="40"/>
      <c r="D83" s="198"/>
      <c r="E83" s="199"/>
      <c r="F83" s="199"/>
      <c r="G83" s="200"/>
      <c r="H83" s="201"/>
      <c r="I83" s="354"/>
      <c r="J83" s="350" t="str">
        <f>IF(Journal[[#This Row],[Transaction '#]]="","",IF(Journal[[#This Row],[Transaction '#]]=C82,J82+1,1))</f>
        <v/>
      </c>
      <c r="K83" s="351" cm="1">
        <f t="array" ref="K83">IFERROR(_xlfn.IFS(Journal[[#This Row],[Debit Account]]="Cash",Journal[[#This Row],[Dr Amt]],Journal[[#This Row],[Credit Account]]="Cash",-Journal[[#This Row],[Cr Amt]]),0)</f>
        <v>0</v>
      </c>
      <c r="L83" s="326" t="str" cm="1">
        <f t="array" ref="L83">IF(Journal[[#This Row],[Transaction '#]]&lt;&gt;"",IFERROR(INDEX(ProblemData!$E$239:$AM$239,1,Journal[[#This Row],[Transaction '#]]),""),"")</f>
        <v/>
      </c>
      <c r="M83" s="352" t="str">
        <f>IF(Journal[[#This Row],[ref1]]="","",IF(NOT(ISBLANK(Journal[[#This Row],[Transaction '#]])),Journal[[#This Row],[ref1]]&amp;Journal[[#This Row],[Movement '#]],""))</f>
        <v/>
      </c>
      <c r="N83" s="1" t="b">
        <f>OR(Journal[[#This Row],[ref1]]="",ISNUMBER(MATCH(Journal[[#This Row],[ref1]], Operating[Abbr], 0)), "Found", "Not Found"="Found")</f>
        <v>1</v>
      </c>
      <c r="O83" s="1"/>
      <c r="P83" s="1" t="str">
        <f>Journal[[#This Row],[Accnt Type]]&amp;"Used"</f>
        <v>Used</v>
      </c>
    </row>
    <row r="84" spans="3:16">
      <c r="C84" s="40"/>
      <c r="D84" s="198"/>
      <c r="E84" s="199"/>
      <c r="F84" s="199"/>
      <c r="G84" s="200"/>
      <c r="H84" s="201"/>
      <c r="I84" s="354"/>
      <c r="J84" s="350" t="str">
        <f>IF(Journal[[#This Row],[Transaction '#]]="","",IF(Journal[[#This Row],[Transaction '#]]=C83,J83+1,1))</f>
        <v/>
      </c>
      <c r="K84" s="351" cm="1">
        <f t="array" ref="K84">IFERROR(_xlfn.IFS(Journal[[#This Row],[Debit Account]]="Cash",Journal[[#This Row],[Dr Amt]],Journal[[#This Row],[Credit Account]]="Cash",-Journal[[#This Row],[Cr Amt]]),0)</f>
        <v>0</v>
      </c>
      <c r="L84" s="326" t="str" cm="1">
        <f t="array" ref="L84">IF(Journal[[#This Row],[Transaction '#]]&lt;&gt;"",IFERROR(INDEX(ProblemData!$E$239:$AM$239,1,Journal[[#This Row],[Transaction '#]]),""),"")</f>
        <v/>
      </c>
      <c r="M84" s="352" t="str">
        <f>IF(Journal[[#This Row],[ref1]]="","",IF(NOT(ISBLANK(Journal[[#This Row],[Transaction '#]])),Journal[[#This Row],[ref1]]&amp;Journal[[#This Row],[Movement '#]],""))</f>
        <v/>
      </c>
      <c r="N84" s="1" t="b">
        <f>OR(Journal[[#This Row],[ref1]]="",ISNUMBER(MATCH(Journal[[#This Row],[ref1]], Operating[Abbr], 0)), "Found", "Not Found"="Found")</f>
        <v>1</v>
      </c>
      <c r="O84" s="1"/>
      <c r="P84" s="1" t="str">
        <f>Journal[[#This Row],[Accnt Type]]&amp;"Used"</f>
        <v>Used</v>
      </c>
    </row>
    <row r="85" spans="3:16">
      <c r="C85" s="40"/>
      <c r="D85" s="198"/>
      <c r="E85" s="199"/>
      <c r="F85" s="199"/>
      <c r="G85" s="200"/>
      <c r="H85" s="201"/>
      <c r="I85" s="354"/>
      <c r="J85" s="350" t="str">
        <f>IF(Journal[[#This Row],[Transaction '#]]="","",IF(Journal[[#This Row],[Transaction '#]]=C84,J84+1,1))</f>
        <v/>
      </c>
      <c r="K85" s="351" cm="1">
        <f t="array" ref="K85">IFERROR(_xlfn.IFS(Journal[[#This Row],[Debit Account]]="Cash",Journal[[#This Row],[Dr Amt]],Journal[[#This Row],[Credit Account]]="Cash",-Journal[[#This Row],[Cr Amt]]),0)</f>
        <v>0</v>
      </c>
      <c r="L85" s="326" t="str" cm="1">
        <f t="array" ref="L85">IF(Journal[[#This Row],[Transaction '#]]&lt;&gt;"",IFERROR(INDEX(ProblemData!$E$239:$AM$239,1,Journal[[#This Row],[Transaction '#]]),""),"")</f>
        <v/>
      </c>
      <c r="M85" s="352" t="str">
        <f>IF(Journal[[#This Row],[ref1]]="","",IF(NOT(ISBLANK(Journal[[#This Row],[Transaction '#]])),Journal[[#This Row],[ref1]]&amp;Journal[[#This Row],[Movement '#]],""))</f>
        <v/>
      </c>
      <c r="N85" s="1" t="b">
        <f>OR(Journal[[#This Row],[ref1]]="",ISNUMBER(MATCH(Journal[[#This Row],[ref1]], Operating[Abbr], 0)), "Found", "Not Found"="Found")</f>
        <v>1</v>
      </c>
      <c r="O85" s="1"/>
      <c r="P85" s="1" t="str">
        <f>Journal[[#This Row],[Accnt Type]]&amp;"Used"</f>
        <v>Used</v>
      </c>
    </row>
    <row r="86" spans="3:16">
      <c r="C86" s="40"/>
      <c r="D86" s="198"/>
      <c r="E86" s="199"/>
      <c r="F86" s="199"/>
      <c r="G86" s="200"/>
      <c r="H86" s="201"/>
      <c r="I86" s="354"/>
      <c r="J86" s="350" t="str">
        <f>IF(Journal[[#This Row],[Transaction '#]]="","",IF(Journal[[#This Row],[Transaction '#]]=C85,J85+1,1))</f>
        <v/>
      </c>
      <c r="K86" s="351" cm="1">
        <f t="array" ref="K86">IFERROR(_xlfn.IFS(Journal[[#This Row],[Debit Account]]="Cash",Journal[[#This Row],[Dr Amt]],Journal[[#This Row],[Credit Account]]="Cash",-Journal[[#This Row],[Cr Amt]]),0)</f>
        <v>0</v>
      </c>
      <c r="L86" s="326" t="str" cm="1">
        <f t="array" ref="L86">IF(Journal[[#This Row],[Transaction '#]]&lt;&gt;"",IFERROR(INDEX(ProblemData!$E$239:$AM$239,1,Journal[[#This Row],[Transaction '#]]),""),"")</f>
        <v/>
      </c>
      <c r="M86" s="352" t="str">
        <f>IF(Journal[[#This Row],[ref1]]="","",IF(NOT(ISBLANK(Journal[[#This Row],[Transaction '#]])),Journal[[#This Row],[ref1]]&amp;Journal[[#This Row],[Movement '#]],""))</f>
        <v/>
      </c>
      <c r="N86" s="1" t="b">
        <f>OR(Journal[[#This Row],[ref1]]="",ISNUMBER(MATCH(Journal[[#This Row],[ref1]], Operating[Abbr], 0)), "Found", "Not Found"="Found")</f>
        <v>1</v>
      </c>
      <c r="O86" s="1"/>
      <c r="P86" s="1" t="str">
        <f>Journal[[#This Row],[Accnt Type]]&amp;"Used"</f>
        <v>Used</v>
      </c>
    </row>
    <row r="87" spans="3:16">
      <c r="C87" s="40"/>
      <c r="D87" s="198"/>
      <c r="E87" s="199"/>
      <c r="F87" s="199"/>
      <c r="G87" s="200"/>
      <c r="H87" s="201"/>
      <c r="I87" s="354"/>
      <c r="J87" s="350" t="str">
        <f>IF(Journal[[#This Row],[Transaction '#]]="","",IF(Journal[[#This Row],[Transaction '#]]=C86,J86+1,1))</f>
        <v/>
      </c>
      <c r="K87" s="351" cm="1">
        <f t="array" ref="K87">IFERROR(_xlfn.IFS(Journal[[#This Row],[Debit Account]]="Cash",Journal[[#This Row],[Dr Amt]],Journal[[#This Row],[Credit Account]]="Cash",-Journal[[#This Row],[Cr Amt]]),0)</f>
        <v>0</v>
      </c>
      <c r="L87" s="326" t="str" cm="1">
        <f t="array" ref="L87">IF(Journal[[#This Row],[Transaction '#]]&lt;&gt;"",IFERROR(INDEX(ProblemData!$E$239:$AM$239,1,Journal[[#This Row],[Transaction '#]]),""),"")</f>
        <v/>
      </c>
      <c r="M87" s="352" t="str">
        <f>IF(Journal[[#This Row],[ref1]]="","",IF(NOT(ISBLANK(Journal[[#This Row],[Transaction '#]])),Journal[[#This Row],[ref1]]&amp;Journal[[#This Row],[Movement '#]],""))</f>
        <v/>
      </c>
      <c r="N87" s="1" t="b">
        <f>OR(Journal[[#This Row],[ref1]]="",ISNUMBER(MATCH(Journal[[#This Row],[ref1]], Operating[Abbr], 0)), "Found", "Not Found"="Found")</f>
        <v>1</v>
      </c>
      <c r="O87" s="1"/>
      <c r="P87" s="1" t="str">
        <f>Journal[[#This Row],[Accnt Type]]&amp;"Used"</f>
        <v>Used</v>
      </c>
    </row>
    <row r="88" spans="3:16">
      <c r="C88" s="40"/>
      <c r="D88" s="198"/>
      <c r="E88" s="199"/>
      <c r="F88" s="199"/>
      <c r="G88" s="200"/>
      <c r="H88" s="201"/>
      <c r="I88" s="354"/>
      <c r="J88" s="350" t="str">
        <f>IF(Journal[[#This Row],[Transaction '#]]="","",IF(Journal[[#This Row],[Transaction '#]]=C87,J87+1,1))</f>
        <v/>
      </c>
      <c r="K88" s="351" cm="1">
        <f t="array" ref="K88">IFERROR(_xlfn.IFS(Journal[[#This Row],[Debit Account]]="Cash",Journal[[#This Row],[Dr Amt]],Journal[[#This Row],[Credit Account]]="Cash",-Journal[[#This Row],[Cr Amt]]),0)</f>
        <v>0</v>
      </c>
      <c r="L88" s="326" t="str" cm="1">
        <f t="array" ref="L88">IF(Journal[[#This Row],[Transaction '#]]&lt;&gt;"",IFERROR(INDEX(ProblemData!$E$239:$AM$239,1,Journal[[#This Row],[Transaction '#]]),""),"")</f>
        <v/>
      </c>
      <c r="M88" s="352" t="str">
        <f>IF(Journal[[#This Row],[ref1]]="","",IF(NOT(ISBLANK(Journal[[#This Row],[Transaction '#]])),Journal[[#This Row],[ref1]]&amp;Journal[[#This Row],[Movement '#]],""))</f>
        <v/>
      </c>
      <c r="N88" s="1" t="b">
        <f>OR(Journal[[#This Row],[ref1]]="",ISNUMBER(MATCH(Journal[[#This Row],[ref1]], Operating[Abbr], 0)), "Found", "Not Found"="Found")</f>
        <v>1</v>
      </c>
      <c r="O88" s="1"/>
      <c r="P88" s="1" t="str">
        <f>Journal[[#This Row],[Accnt Type]]&amp;"Used"</f>
        <v>Used</v>
      </c>
    </row>
    <row r="89" spans="3:16">
      <c r="C89" s="40"/>
      <c r="D89" s="198"/>
      <c r="E89" s="199"/>
      <c r="F89" s="199"/>
      <c r="G89" s="200"/>
      <c r="H89" s="201"/>
      <c r="I89" s="354"/>
      <c r="J89" s="350" t="str">
        <f>IF(Journal[[#This Row],[Transaction '#]]="","",IF(Journal[[#This Row],[Transaction '#]]=C88,J88+1,1))</f>
        <v/>
      </c>
      <c r="K89" s="351" cm="1">
        <f t="array" ref="K89">IFERROR(_xlfn.IFS(Journal[[#This Row],[Debit Account]]="Cash",Journal[[#This Row],[Dr Amt]],Journal[[#This Row],[Credit Account]]="Cash",-Journal[[#This Row],[Cr Amt]]),0)</f>
        <v>0</v>
      </c>
      <c r="L89" s="326" t="str" cm="1">
        <f t="array" ref="L89">IF(Journal[[#This Row],[Transaction '#]]&lt;&gt;"",IFERROR(INDEX(ProblemData!$E$239:$AM$239,1,Journal[[#This Row],[Transaction '#]]),""),"")</f>
        <v/>
      </c>
      <c r="M89" s="352" t="str">
        <f>IF(Journal[[#This Row],[ref1]]="","",IF(NOT(ISBLANK(Journal[[#This Row],[Transaction '#]])),Journal[[#This Row],[ref1]]&amp;Journal[[#This Row],[Movement '#]],""))</f>
        <v/>
      </c>
      <c r="N89" s="1" t="b">
        <f>OR(Journal[[#This Row],[ref1]]="",ISNUMBER(MATCH(Journal[[#This Row],[ref1]], Operating[Abbr], 0)), "Found", "Not Found"="Found")</f>
        <v>1</v>
      </c>
      <c r="O89" s="1"/>
      <c r="P89" s="1" t="str">
        <f>Journal[[#This Row],[Accnt Type]]&amp;"Used"</f>
        <v>Used</v>
      </c>
    </row>
    <row r="90" spans="3:16">
      <c r="C90" s="40"/>
      <c r="D90" s="198"/>
      <c r="E90" s="199"/>
      <c r="F90" s="199"/>
      <c r="G90" s="200"/>
      <c r="H90" s="201"/>
      <c r="I90" s="354"/>
      <c r="J90" s="350" t="str">
        <f>IF(Journal[[#This Row],[Transaction '#]]="","",IF(Journal[[#This Row],[Transaction '#]]=C89,J89+1,1))</f>
        <v/>
      </c>
      <c r="K90" s="351" cm="1">
        <f t="array" ref="K90">IFERROR(_xlfn.IFS(Journal[[#This Row],[Debit Account]]="Cash",Journal[[#This Row],[Dr Amt]],Journal[[#This Row],[Credit Account]]="Cash",-Journal[[#This Row],[Cr Amt]]),0)</f>
        <v>0</v>
      </c>
      <c r="L90" s="326" t="str" cm="1">
        <f t="array" ref="L90">IF(Journal[[#This Row],[Transaction '#]]&lt;&gt;"",IFERROR(INDEX(ProblemData!$E$239:$AM$239,1,Journal[[#This Row],[Transaction '#]]),""),"")</f>
        <v/>
      </c>
      <c r="M90" s="352" t="str">
        <f>IF(Journal[[#This Row],[ref1]]="","",IF(NOT(ISBLANK(Journal[[#This Row],[Transaction '#]])),Journal[[#This Row],[ref1]]&amp;Journal[[#This Row],[Movement '#]],""))</f>
        <v/>
      </c>
      <c r="N90" s="1" t="b">
        <f>OR(Journal[[#This Row],[ref1]]="",ISNUMBER(MATCH(Journal[[#This Row],[ref1]], Operating[Abbr], 0)), "Found", "Not Found"="Found")</f>
        <v>1</v>
      </c>
      <c r="O90" s="1"/>
      <c r="P90" s="1" t="str">
        <f>Journal[[#This Row],[Accnt Type]]&amp;"Used"</f>
        <v>Used</v>
      </c>
    </row>
    <row r="91" spans="3:16">
      <c r="C91" s="40"/>
      <c r="D91" s="198"/>
      <c r="E91" s="199"/>
      <c r="F91" s="199"/>
      <c r="G91" s="200"/>
      <c r="H91" s="201"/>
      <c r="I91" s="354"/>
      <c r="J91" s="350" t="str">
        <f>IF(Journal[[#This Row],[Transaction '#]]="","",IF(Journal[[#This Row],[Transaction '#]]=C90,J90+1,1))</f>
        <v/>
      </c>
      <c r="K91" s="351" cm="1">
        <f t="array" ref="K91">IFERROR(_xlfn.IFS(Journal[[#This Row],[Debit Account]]="Cash",Journal[[#This Row],[Dr Amt]],Journal[[#This Row],[Credit Account]]="Cash",-Journal[[#This Row],[Cr Amt]]),0)</f>
        <v>0</v>
      </c>
      <c r="L91" s="326" t="str" cm="1">
        <f t="array" ref="L91">IF(Journal[[#This Row],[Transaction '#]]&lt;&gt;"",IFERROR(INDEX(ProblemData!$E$239:$AM$239,1,Journal[[#This Row],[Transaction '#]]),""),"")</f>
        <v/>
      </c>
      <c r="M91" s="352" t="str">
        <f>IF(Journal[[#This Row],[ref1]]="","",IF(NOT(ISBLANK(Journal[[#This Row],[Transaction '#]])),Journal[[#This Row],[ref1]]&amp;Journal[[#This Row],[Movement '#]],""))</f>
        <v/>
      </c>
      <c r="N91" s="1" t="b">
        <f>OR(Journal[[#This Row],[ref1]]="",ISNUMBER(MATCH(Journal[[#This Row],[ref1]], Operating[Abbr], 0)), "Found", "Not Found"="Found")</f>
        <v>1</v>
      </c>
      <c r="O91" s="1"/>
      <c r="P91" s="1" t="str">
        <f>Journal[[#This Row],[Accnt Type]]&amp;"Used"</f>
        <v>Used</v>
      </c>
    </row>
    <row r="92" spans="3:16">
      <c r="C92" s="40"/>
      <c r="D92" s="198"/>
      <c r="E92" s="199"/>
      <c r="F92" s="199"/>
      <c r="G92" s="200"/>
      <c r="H92" s="201"/>
      <c r="I92" s="354"/>
      <c r="J92" s="350" t="str">
        <f>IF(Journal[[#This Row],[Transaction '#]]="","",IF(Journal[[#This Row],[Transaction '#]]=C91,J91+1,1))</f>
        <v/>
      </c>
      <c r="K92" s="351" cm="1">
        <f t="array" ref="K92">IFERROR(_xlfn.IFS(Journal[[#This Row],[Debit Account]]="Cash",Journal[[#This Row],[Dr Amt]],Journal[[#This Row],[Credit Account]]="Cash",-Journal[[#This Row],[Cr Amt]]),0)</f>
        <v>0</v>
      </c>
      <c r="L92" s="326" t="str" cm="1">
        <f t="array" ref="L92">IF(Journal[[#This Row],[Transaction '#]]&lt;&gt;"",IFERROR(INDEX(ProblemData!$E$239:$AM$239,1,Journal[[#This Row],[Transaction '#]]),""),"")</f>
        <v/>
      </c>
      <c r="M92" s="352" t="str">
        <f>IF(Journal[[#This Row],[ref1]]="","",IF(NOT(ISBLANK(Journal[[#This Row],[Transaction '#]])),Journal[[#This Row],[ref1]]&amp;Journal[[#This Row],[Movement '#]],""))</f>
        <v/>
      </c>
      <c r="N92" s="1" t="b">
        <f>OR(Journal[[#This Row],[ref1]]="",ISNUMBER(MATCH(Journal[[#This Row],[ref1]], Operating[Abbr], 0)), "Found", "Not Found"="Found")</f>
        <v>1</v>
      </c>
      <c r="O92" s="1"/>
      <c r="P92" s="1" t="str">
        <f>Journal[[#This Row],[Accnt Type]]&amp;"Used"</f>
        <v>Used</v>
      </c>
    </row>
    <row r="93" spans="3:16">
      <c r="C93" s="40"/>
      <c r="D93" s="198"/>
      <c r="E93" s="199"/>
      <c r="F93" s="199"/>
      <c r="G93" s="200"/>
      <c r="H93" s="201"/>
      <c r="I93" s="354"/>
      <c r="J93" s="350" t="str">
        <f>IF(Journal[[#This Row],[Transaction '#]]="","",IF(Journal[[#This Row],[Transaction '#]]=C92,J92+1,1))</f>
        <v/>
      </c>
      <c r="K93" s="351" cm="1">
        <f t="array" ref="K93">IFERROR(_xlfn.IFS(Journal[[#This Row],[Debit Account]]="Cash",Journal[[#This Row],[Dr Amt]],Journal[[#This Row],[Credit Account]]="Cash",-Journal[[#This Row],[Cr Amt]]),0)</f>
        <v>0</v>
      </c>
      <c r="L93" s="326" t="str" cm="1">
        <f t="array" ref="L93">IF(Journal[[#This Row],[Transaction '#]]&lt;&gt;"",IFERROR(INDEX(ProblemData!$E$239:$AM$239,1,Journal[[#This Row],[Transaction '#]]),""),"")</f>
        <v/>
      </c>
      <c r="M93" s="352" t="str">
        <f>IF(Journal[[#This Row],[ref1]]="","",IF(NOT(ISBLANK(Journal[[#This Row],[Transaction '#]])),Journal[[#This Row],[ref1]]&amp;Journal[[#This Row],[Movement '#]],""))</f>
        <v/>
      </c>
      <c r="N93" s="1" t="b">
        <f>OR(Journal[[#This Row],[ref1]]="",ISNUMBER(MATCH(Journal[[#This Row],[ref1]], Operating[Abbr], 0)), "Found", "Not Found"="Found")</f>
        <v>1</v>
      </c>
      <c r="O93" s="1"/>
      <c r="P93" s="1" t="str">
        <f>Journal[[#This Row],[Accnt Type]]&amp;"Used"</f>
        <v>Used</v>
      </c>
    </row>
    <row r="94" spans="3:16">
      <c r="C94" s="40"/>
      <c r="D94" s="198"/>
      <c r="E94" s="199"/>
      <c r="F94" s="199"/>
      <c r="G94" s="200"/>
      <c r="H94" s="201"/>
      <c r="I94" s="354"/>
      <c r="J94" s="350" t="str">
        <f>IF(Journal[[#This Row],[Transaction '#]]="","",IF(Journal[[#This Row],[Transaction '#]]=C93,J93+1,1))</f>
        <v/>
      </c>
      <c r="K94" s="351" cm="1">
        <f t="array" ref="K94">IFERROR(_xlfn.IFS(Journal[[#This Row],[Debit Account]]="Cash",Journal[[#This Row],[Dr Amt]],Journal[[#This Row],[Credit Account]]="Cash",-Journal[[#This Row],[Cr Amt]]),0)</f>
        <v>0</v>
      </c>
      <c r="L94" s="326" t="str" cm="1">
        <f t="array" ref="L94">IF(Journal[[#This Row],[Transaction '#]]&lt;&gt;"",IFERROR(INDEX(ProblemData!$E$239:$AM$239,1,Journal[[#This Row],[Transaction '#]]),""),"")</f>
        <v/>
      </c>
      <c r="M94" s="352" t="str">
        <f>IF(Journal[[#This Row],[ref1]]="","",IF(NOT(ISBLANK(Journal[[#This Row],[Transaction '#]])),Journal[[#This Row],[ref1]]&amp;Journal[[#This Row],[Movement '#]],""))</f>
        <v/>
      </c>
      <c r="N94" s="1" t="b">
        <f>OR(Journal[[#This Row],[ref1]]="",ISNUMBER(MATCH(Journal[[#This Row],[ref1]], Operating[Abbr], 0)), "Found", "Not Found"="Found")</f>
        <v>1</v>
      </c>
      <c r="O94" s="1"/>
      <c r="P94" s="1" t="str">
        <f>Journal[[#This Row],[Accnt Type]]&amp;"Used"</f>
        <v>Used</v>
      </c>
    </row>
    <row r="95" spans="3:16">
      <c r="C95" s="40"/>
      <c r="D95" s="198"/>
      <c r="E95" s="199"/>
      <c r="F95" s="199"/>
      <c r="G95" s="200"/>
      <c r="H95" s="201"/>
      <c r="I95" s="354"/>
      <c r="J95" s="350" t="str">
        <f>IF(Journal[[#This Row],[Transaction '#]]="","",IF(Journal[[#This Row],[Transaction '#]]=C94,J94+1,1))</f>
        <v/>
      </c>
      <c r="K95" s="351" cm="1">
        <f t="array" ref="K95">IFERROR(_xlfn.IFS(Journal[[#This Row],[Debit Account]]="Cash",Journal[[#This Row],[Dr Amt]],Journal[[#This Row],[Credit Account]]="Cash",-Journal[[#This Row],[Cr Amt]]),0)</f>
        <v>0</v>
      </c>
      <c r="L95" s="326" t="str" cm="1">
        <f t="array" ref="L95">IF(Journal[[#This Row],[Transaction '#]]&lt;&gt;"",IFERROR(INDEX(ProblemData!$E$239:$AM$239,1,Journal[[#This Row],[Transaction '#]]),""),"")</f>
        <v/>
      </c>
      <c r="M95" s="352" t="str">
        <f>IF(Journal[[#This Row],[ref1]]="","",IF(NOT(ISBLANK(Journal[[#This Row],[Transaction '#]])),Journal[[#This Row],[ref1]]&amp;Journal[[#This Row],[Movement '#]],""))</f>
        <v/>
      </c>
      <c r="N95" s="1" t="b">
        <f>OR(Journal[[#This Row],[ref1]]="",ISNUMBER(MATCH(Journal[[#This Row],[ref1]], Operating[Abbr], 0)), "Found", "Not Found"="Found")</f>
        <v>1</v>
      </c>
      <c r="O95" s="1"/>
      <c r="P95" s="1" t="str">
        <f>Journal[[#This Row],[Accnt Type]]&amp;"Used"</f>
        <v>Used</v>
      </c>
    </row>
    <row r="96" spans="3:16">
      <c r="C96" s="40"/>
      <c r="D96" s="198"/>
      <c r="E96" s="199"/>
      <c r="F96" s="199"/>
      <c r="G96" s="200"/>
      <c r="H96" s="201"/>
      <c r="I96" s="354"/>
      <c r="J96" s="350" t="str">
        <f>IF(Journal[[#This Row],[Transaction '#]]="","",IF(Journal[[#This Row],[Transaction '#]]=C95,J95+1,1))</f>
        <v/>
      </c>
      <c r="K96" s="351" cm="1">
        <f t="array" ref="K96">IFERROR(_xlfn.IFS(Journal[[#This Row],[Debit Account]]="Cash",Journal[[#This Row],[Dr Amt]],Journal[[#This Row],[Credit Account]]="Cash",-Journal[[#This Row],[Cr Amt]]),0)</f>
        <v>0</v>
      </c>
      <c r="L96" s="326" t="str" cm="1">
        <f t="array" ref="L96">IF(Journal[[#This Row],[Transaction '#]]&lt;&gt;"",IFERROR(INDEX(ProblemData!$E$239:$AM$239,1,Journal[[#This Row],[Transaction '#]]),""),"")</f>
        <v/>
      </c>
      <c r="M96" s="352" t="str">
        <f>IF(Journal[[#This Row],[ref1]]="","",IF(NOT(ISBLANK(Journal[[#This Row],[Transaction '#]])),Journal[[#This Row],[ref1]]&amp;Journal[[#This Row],[Movement '#]],""))</f>
        <v/>
      </c>
      <c r="N96" s="1" t="b">
        <f>OR(Journal[[#This Row],[ref1]]="",ISNUMBER(MATCH(Journal[[#This Row],[ref1]], Operating[Abbr], 0)), "Found", "Not Found"="Found")</f>
        <v>1</v>
      </c>
      <c r="O96" s="1"/>
      <c r="P96" s="1" t="str">
        <f>Journal[[#This Row],[Accnt Type]]&amp;"Used"</f>
        <v>Used</v>
      </c>
    </row>
    <row r="97" spans="3:16">
      <c r="C97" s="40"/>
      <c r="D97" s="198"/>
      <c r="E97" s="199"/>
      <c r="F97" s="199"/>
      <c r="G97" s="200"/>
      <c r="H97" s="201"/>
      <c r="I97" s="354"/>
      <c r="J97" s="350" t="str">
        <f>IF(Journal[[#This Row],[Transaction '#]]="","",IF(Journal[[#This Row],[Transaction '#]]=C96,J96+1,1))</f>
        <v/>
      </c>
      <c r="K97" s="351" cm="1">
        <f t="array" ref="K97">IFERROR(_xlfn.IFS(Journal[[#This Row],[Debit Account]]="Cash",Journal[[#This Row],[Dr Amt]],Journal[[#This Row],[Credit Account]]="Cash",-Journal[[#This Row],[Cr Amt]]),0)</f>
        <v>0</v>
      </c>
      <c r="L97" s="326" t="str" cm="1">
        <f t="array" ref="L97">IF(Journal[[#This Row],[Transaction '#]]&lt;&gt;"",IFERROR(INDEX(ProblemData!$E$239:$AM$239,1,Journal[[#This Row],[Transaction '#]]),""),"")</f>
        <v/>
      </c>
      <c r="M97" s="352" t="str">
        <f>IF(Journal[[#This Row],[ref1]]="","",IF(NOT(ISBLANK(Journal[[#This Row],[Transaction '#]])),Journal[[#This Row],[ref1]]&amp;Journal[[#This Row],[Movement '#]],""))</f>
        <v/>
      </c>
      <c r="N97" s="1" t="b">
        <f>OR(Journal[[#This Row],[ref1]]="",ISNUMBER(MATCH(Journal[[#This Row],[ref1]], Operating[Abbr], 0)), "Found", "Not Found"="Found")</f>
        <v>1</v>
      </c>
      <c r="O97" s="1"/>
      <c r="P97" s="1" t="str">
        <f>Journal[[#This Row],[Accnt Type]]&amp;"Used"</f>
        <v>Used</v>
      </c>
    </row>
    <row r="98" spans="3:16">
      <c r="C98" s="40"/>
      <c r="D98" s="198"/>
      <c r="E98" s="199"/>
      <c r="F98" s="199"/>
      <c r="G98" s="200"/>
      <c r="H98" s="201"/>
      <c r="I98" s="354"/>
      <c r="J98" s="350" t="str">
        <f>IF(Journal[[#This Row],[Transaction '#]]="","",IF(Journal[[#This Row],[Transaction '#]]=C97,J97+1,1))</f>
        <v/>
      </c>
      <c r="K98" s="351" cm="1">
        <f t="array" ref="K98">IFERROR(_xlfn.IFS(Journal[[#This Row],[Debit Account]]="Cash",Journal[[#This Row],[Dr Amt]],Journal[[#This Row],[Credit Account]]="Cash",-Journal[[#This Row],[Cr Amt]]),0)</f>
        <v>0</v>
      </c>
      <c r="L98" s="326" t="str" cm="1">
        <f t="array" ref="L98">IF(Journal[[#This Row],[Transaction '#]]&lt;&gt;"",IFERROR(INDEX(ProblemData!$E$239:$AM$239,1,Journal[[#This Row],[Transaction '#]]),""),"")</f>
        <v/>
      </c>
      <c r="M98" s="352" t="str">
        <f>IF(Journal[[#This Row],[ref1]]="","",IF(NOT(ISBLANK(Journal[[#This Row],[Transaction '#]])),Journal[[#This Row],[ref1]]&amp;Journal[[#This Row],[Movement '#]],""))</f>
        <v/>
      </c>
      <c r="N98" s="1" t="b">
        <f>OR(Journal[[#This Row],[ref1]]="",ISNUMBER(MATCH(Journal[[#This Row],[ref1]], Operating[Abbr], 0)), "Found", "Not Found"="Found")</f>
        <v>1</v>
      </c>
      <c r="O98" s="1"/>
      <c r="P98" s="1" t="str">
        <f>Journal[[#This Row],[Accnt Type]]&amp;"Used"</f>
        <v>Used</v>
      </c>
    </row>
    <row r="99" spans="3:16">
      <c r="C99" s="40"/>
      <c r="D99" s="198"/>
      <c r="E99" s="199"/>
      <c r="F99" s="199"/>
      <c r="G99" s="200"/>
      <c r="H99" s="201"/>
      <c r="I99" s="354"/>
      <c r="J99" s="350" t="str">
        <f>IF(Journal[[#This Row],[Transaction '#]]="","",IF(Journal[[#This Row],[Transaction '#]]=C98,J98+1,1))</f>
        <v/>
      </c>
      <c r="K99" s="351" cm="1">
        <f t="array" ref="K99">IFERROR(_xlfn.IFS(Journal[[#This Row],[Debit Account]]="Cash",Journal[[#This Row],[Dr Amt]],Journal[[#This Row],[Credit Account]]="Cash",-Journal[[#This Row],[Cr Amt]]),0)</f>
        <v>0</v>
      </c>
      <c r="L99" s="326" t="str" cm="1">
        <f t="array" ref="L99">IF(Journal[[#This Row],[Transaction '#]]&lt;&gt;"",IFERROR(INDEX(ProblemData!$E$239:$AM$239,1,Journal[[#This Row],[Transaction '#]]),""),"")</f>
        <v/>
      </c>
      <c r="M99" s="352" t="str">
        <f>IF(Journal[[#This Row],[ref1]]="","",IF(NOT(ISBLANK(Journal[[#This Row],[Transaction '#]])),Journal[[#This Row],[ref1]]&amp;Journal[[#This Row],[Movement '#]],""))</f>
        <v/>
      </c>
      <c r="N99" s="1" t="b">
        <f>OR(Journal[[#This Row],[ref1]]="",ISNUMBER(MATCH(Journal[[#This Row],[ref1]], Operating[Abbr], 0)), "Found", "Not Found"="Found")</f>
        <v>1</v>
      </c>
      <c r="O99" s="1"/>
      <c r="P99" s="1" t="str">
        <f>Journal[[#This Row],[Accnt Type]]&amp;"Used"</f>
        <v>Used</v>
      </c>
    </row>
    <row r="100" spans="3:16">
      <c r="C100" s="40"/>
      <c r="D100" s="198"/>
      <c r="E100" s="199"/>
      <c r="F100" s="199"/>
      <c r="G100" s="200"/>
      <c r="H100" s="201"/>
      <c r="I100" s="354"/>
      <c r="J100" s="350" t="str">
        <f>IF(Journal[[#This Row],[Transaction '#]]="","",IF(Journal[[#This Row],[Transaction '#]]=C99,J99+1,1))</f>
        <v/>
      </c>
      <c r="K100" s="351" cm="1">
        <f t="array" ref="K100">IFERROR(_xlfn.IFS(Journal[[#This Row],[Debit Account]]="Cash",Journal[[#This Row],[Dr Amt]],Journal[[#This Row],[Credit Account]]="Cash",-Journal[[#This Row],[Cr Amt]]),0)</f>
        <v>0</v>
      </c>
      <c r="L100" s="326" t="str" cm="1">
        <f t="array" ref="L100">IF(Journal[[#This Row],[Transaction '#]]&lt;&gt;"",IFERROR(INDEX(ProblemData!$E$239:$AM$239,1,Journal[[#This Row],[Transaction '#]]),""),"")</f>
        <v/>
      </c>
      <c r="M100" s="352" t="str">
        <f>IF(Journal[[#This Row],[ref1]]="","",IF(NOT(ISBLANK(Journal[[#This Row],[Transaction '#]])),Journal[[#This Row],[ref1]]&amp;Journal[[#This Row],[Movement '#]],""))</f>
        <v/>
      </c>
      <c r="N100" s="1" t="b">
        <f>OR(Journal[[#This Row],[ref1]]="",ISNUMBER(MATCH(Journal[[#This Row],[ref1]], Operating[Abbr], 0)), "Found", "Not Found"="Found")</f>
        <v>1</v>
      </c>
      <c r="O100" s="1"/>
      <c r="P100" s="1" t="str">
        <f>Journal[[#This Row],[Accnt Type]]&amp;"Used"</f>
        <v>Used</v>
      </c>
    </row>
    <row r="101" spans="3:16">
      <c r="C101" s="40"/>
      <c r="D101" s="198"/>
      <c r="E101" s="199"/>
      <c r="F101" s="199"/>
      <c r="G101" s="200"/>
      <c r="H101" s="201"/>
      <c r="I101" s="354"/>
      <c r="J101" s="350" t="str">
        <f>IF(Journal[[#This Row],[Transaction '#]]="","",IF(Journal[[#This Row],[Transaction '#]]=C100,J100+1,1))</f>
        <v/>
      </c>
      <c r="K101" s="351" cm="1">
        <f t="array" ref="K101">IFERROR(_xlfn.IFS(Journal[[#This Row],[Debit Account]]="Cash",Journal[[#This Row],[Dr Amt]],Journal[[#This Row],[Credit Account]]="Cash",-Journal[[#This Row],[Cr Amt]]),0)</f>
        <v>0</v>
      </c>
      <c r="L101" s="326" t="str" cm="1">
        <f t="array" ref="L101">IF(Journal[[#This Row],[Transaction '#]]&lt;&gt;"",IFERROR(INDEX(ProblemData!$E$239:$AM$239,1,Journal[[#This Row],[Transaction '#]]),""),"")</f>
        <v/>
      </c>
      <c r="M101" s="352" t="str">
        <f>IF(Journal[[#This Row],[ref1]]="","",IF(NOT(ISBLANK(Journal[[#This Row],[Transaction '#]])),Journal[[#This Row],[ref1]]&amp;Journal[[#This Row],[Movement '#]],""))</f>
        <v/>
      </c>
      <c r="N101" s="1" t="b">
        <f>OR(Journal[[#This Row],[ref1]]="",ISNUMBER(MATCH(Journal[[#This Row],[ref1]], Operating[Abbr], 0)), "Found", "Not Found"="Found")</f>
        <v>1</v>
      </c>
      <c r="O101" s="1"/>
      <c r="P101" s="1" t="str">
        <f>Journal[[#This Row],[Accnt Type]]&amp;"Used"</f>
        <v>Used</v>
      </c>
    </row>
    <row r="102" spans="3:16">
      <c r="C102" s="40"/>
      <c r="D102" s="198"/>
      <c r="E102" s="199"/>
      <c r="F102" s="199"/>
      <c r="G102" s="200"/>
      <c r="H102" s="201"/>
      <c r="I102" s="354"/>
      <c r="J102" s="350" t="str">
        <f>IF(Journal[[#This Row],[Transaction '#]]="","",IF(Journal[[#This Row],[Transaction '#]]=C101,J101+1,1))</f>
        <v/>
      </c>
      <c r="K102" s="351" cm="1">
        <f t="array" ref="K102">IFERROR(_xlfn.IFS(Journal[[#This Row],[Debit Account]]="Cash",Journal[[#This Row],[Dr Amt]],Journal[[#This Row],[Credit Account]]="Cash",-Journal[[#This Row],[Cr Amt]]),0)</f>
        <v>0</v>
      </c>
      <c r="L102" s="326" t="str" cm="1">
        <f t="array" ref="L102">IF(Journal[[#This Row],[Transaction '#]]&lt;&gt;"",IFERROR(INDEX(ProblemData!$E$239:$AM$239,1,Journal[[#This Row],[Transaction '#]]),""),"")</f>
        <v/>
      </c>
      <c r="M102" s="352" t="str">
        <f>IF(Journal[[#This Row],[ref1]]="","",IF(NOT(ISBLANK(Journal[[#This Row],[Transaction '#]])),Journal[[#This Row],[ref1]]&amp;Journal[[#This Row],[Movement '#]],""))</f>
        <v/>
      </c>
      <c r="N102" s="1" t="b">
        <f>OR(Journal[[#This Row],[ref1]]="",ISNUMBER(MATCH(Journal[[#This Row],[ref1]], Operating[Abbr], 0)), "Found", "Not Found"="Found")</f>
        <v>1</v>
      </c>
      <c r="O102" s="1"/>
      <c r="P102" s="1" t="str">
        <f>Journal[[#This Row],[Accnt Type]]&amp;"Used"</f>
        <v>Used</v>
      </c>
    </row>
    <row r="103" spans="3:16">
      <c r="C103" s="40"/>
      <c r="D103" s="198"/>
      <c r="E103" s="199"/>
      <c r="F103" s="199"/>
      <c r="G103" s="200"/>
      <c r="H103" s="201"/>
      <c r="I103" s="354"/>
      <c r="J103" s="350" t="str">
        <f>IF(Journal[[#This Row],[Transaction '#]]="","",IF(Journal[[#This Row],[Transaction '#]]=C102,J102+1,1))</f>
        <v/>
      </c>
      <c r="K103" s="351" cm="1">
        <f t="array" ref="K103">IFERROR(_xlfn.IFS(Journal[[#This Row],[Debit Account]]="Cash",Journal[[#This Row],[Dr Amt]],Journal[[#This Row],[Credit Account]]="Cash",-Journal[[#This Row],[Cr Amt]]),0)</f>
        <v>0</v>
      </c>
      <c r="L103" s="326" t="str" cm="1">
        <f t="array" ref="L103">IF(Journal[[#This Row],[Transaction '#]]&lt;&gt;"",IFERROR(INDEX(ProblemData!$E$239:$AM$239,1,Journal[[#This Row],[Transaction '#]]),""),"")</f>
        <v/>
      </c>
      <c r="M103" s="352" t="str">
        <f>IF(Journal[[#This Row],[ref1]]="","",IF(NOT(ISBLANK(Journal[[#This Row],[Transaction '#]])),Journal[[#This Row],[ref1]]&amp;Journal[[#This Row],[Movement '#]],""))</f>
        <v/>
      </c>
      <c r="N103" s="1" t="b">
        <f>OR(Journal[[#This Row],[ref1]]="",ISNUMBER(MATCH(Journal[[#This Row],[ref1]], Operating[Abbr], 0)), "Found", "Not Found"="Found")</f>
        <v>1</v>
      </c>
      <c r="O103" s="1"/>
      <c r="P103" s="1" t="str">
        <f>Journal[[#This Row],[Accnt Type]]&amp;"Used"</f>
        <v>Used</v>
      </c>
    </row>
    <row r="104" spans="3:16">
      <c r="C104" s="40"/>
      <c r="D104" s="198"/>
      <c r="E104" s="199"/>
      <c r="F104" s="199"/>
      <c r="G104" s="200"/>
      <c r="H104" s="201"/>
      <c r="I104" s="354"/>
      <c r="J104" s="350" t="str">
        <f>IF(Journal[[#This Row],[Transaction '#]]="","",IF(Journal[[#This Row],[Transaction '#]]=C103,J103+1,1))</f>
        <v/>
      </c>
      <c r="K104" s="351" cm="1">
        <f t="array" ref="K104">IFERROR(_xlfn.IFS(Journal[[#This Row],[Debit Account]]="Cash",Journal[[#This Row],[Dr Amt]],Journal[[#This Row],[Credit Account]]="Cash",-Journal[[#This Row],[Cr Amt]]),0)</f>
        <v>0</v>
      </c>
      <c r="L104" s="326" t="str" cm="1">
        <f t="array" ref="L104">IF(Journal[[#This Row],[Transaction '#]]&lt;&gt;"",IFERROR(INDEX(ProblemData!$E$239:$AM$239,1,Journal[[#This Row],[Transaction '#]]),""),"")</f>
        <v/>
      </c>
      <c r="M104" s="352" t="str">
        <f>IF(Journal[[#This Row],[ref1]]="","",IF(NOT(ISBLANK(Journal[[#This Row],[Transaction '#]])),Journal[[#This Row],[ref1]]&amp;Journal[[#This Row],[Movement '#]],""))</f>
        <v/>
      </c>
      <c r="N104" s="1" t="b">
        <f>OR(Journal[[#This Row],[ref1]]="",ISNUMBER(MATCH(Journal[[#This Row],[ref1]], Operating[Abbr], 0)), "Found", "Not Found"="Found")</f>
        <v>1</v>
      </c>
      <c r="O104" s="1"/>
      <c r="P104" s="1" t="str">
        <f>Journal[[#This Row],[Accnt Type]]&amp;"Used"</f>
        <v>Used</v>
      </c>
    </row>
    <row r="105" spans="3:16">
      <c r="C105" s="40"/>
      <c r="D105" s="198"/>
      <c r="E105" s="199"/>
      <c r="F105" s="199"/>
      <c r="G105" s="200"/>
      <c r="H105" s="201"/>
      <c r="I105" s="354"/>
      <c r="J105" s="350" t="str">
        <f>IF(Journal[[#This Row],[Transaction '#]]="","",IF(Journal[[#This Row],[Transaction '#]]=C104,J104+1,1))</f>
        <v/>
      </c>
      <c r="K105" s="351" cm="1">
        <f t="array" ref="K105">IFERROR(_xlfn.IFS(Journal[[#This Row],[Debit Account]]="Cash",Journal[[#This Row],[Dr Amt]],Journal[[#This Row],[Credit Account]]="Cash",-Journal[[#This Row],[Cr Amt]]),0)</f>
        <v>0</v>
      </c>
      <c r="L105" s="326" t="str" cm="1">
        <f t="array" ref="L105">IF(Journal[[#This Row],[Transaction '#]]&lt;&gt;"",IFERROR(INDEX(ProblemData!$E$239:$AM$239,1,Journal[[#This Row],[Transaction '#]]),""),"")</f>
        <v/>
      </c>
      <c r="M105" s="352" t="str">
        <f>IF(Journal[[#This Row],[ref1]]="","",IF(NOT(ISBLANK(Journal[[#This Row],[Transaction '#]])),Journal[[#This Row],[ref1]]&amp;Journal[[#This Row],[Movement '#]],""))</f>
        <v/>
      </c>
      <c r="N105" s="1" t="b">
        <f>OR(Journal[[#This Row],[ref1]]="",ISNUMBER(MATCH(Journal[[#This Row],[ref1]], Operating[Abbr], 0)), "Found", "Not Found"="Found")</f>
        <v>1</v>
      </c>
      <c r="O105" s="1"/>
      <c r="P105" s="1" t="str">
        <f>Journal[[#This Row],[Accnt Type]]&amp;"Used"</f>
        <v>Used</v>
      </c>
    </row>
    <row r="106" spans="3:16">
      <c r="C106" s="40"/>
      <c r="D106" s="198"/>
      <c r="E106" s="199"/>
      <c r="F106" s="199"/>
      <c r="G106" s="200"/>
      <c r="H106" s="201"/>
      <c r="I106" s="354"/>
      <c r="J106" s="350" t="str">
        <f>IF(Journal[[#This Row],[Transaction '#]]="","",IF(Journal[[#This Row],[Transaction '#]]=C105,J105+1,1))</f>
        <v/>
      </c>
      <c r="K106" s="351" cm="1">
        <f t="array" ref="K106">IFERROR(_xlfn.IFS(Journal[[#This Row],[Debit Account]]="Cash",Journal[[#This Row],[Dr Amt]],Journal[[#This Row],[Credit Account]]="Cash",-Journal[[#This Row],[Cr Amt]]),0)</f>
        <v>0</v>
      </c>
      <c r="L106" s="326" t="str" cm="1">
        <f t="array" ref="L106">IF(Journal[[#This Row],[Transaction '#]]&lt;&gt;"",IFERROR(INDEX(ProblemData!$E$239:$AM$239,1,Journal[[#This Row],[Transaction '#]]),""),"")</f>
        <v/>
      </c>
      <c r="M106" s="352" t="str">
        <f>IF(Journal[[#This Row],[ref1]]="","",IF(NOT(ISBLANK(Journal[[#This Row],[Transaction '#]])),Journal[[#This Row],[ref1]]&amp;Journal[[#This Row],[Movement '#]],""))</f>
        <v/>
      </c>
      <c r="N106" s="1" t="b">
        <f>OR(Journal[[#This Row],[ref1]]="",ISNUMBER(MATCH(Journal[[#This Row],[ref1]], Operating[Abbr], 0)), "Found", "Not Found"="Found")</f>
        <v>1</v>
      </c>
      <c r="O106" s="1"/>
      <c r="P106" s="1" t="str">
        <f>Journal[[#This Row],[Accnt Type]]&amp;"Used"</f>
        <v>Used</v>
      </c>
    </row>
    <row r="107" spans="3:16">
      <c r="C107" s="40"/>
      <c r="D107" s="198"/>
      <c r="E107" s="199"/>
      <c r="F107" s="199"/>
      <c r="G107" s="200"/>
      <c r="H107" s="201"/>
      <c r="I107" s="354"/>
      <c r="J107" s="350" t="str">
        <f>IF(Journal[[#This Row],[Transaction '#]]="","",IF(Journal[[#This Row],[Transaction '#]]=C106,J106+1,1))</f>
        <v/>
      </c>
      <c r="K107" s="351" cm="1">
        <f t="array" ref="K107">IFERROR(_xlfn.IFS(Journal[[#This Row],[Debit Account]]="Cash",Journal[[#This Row],[Dr Amt]],Journal[[#This Row],[Credit Account]]="Cash",-Journal[[#This Row],[Cr Amt]]),0)</f>
        <v>0</v>
      </c>
      <c r="L107" s="326" t="str" cm="1">
        <f t="array" ref="L107">IF(Journal[[#This Row],[Transaction '#]]&lt;&gt;"",IFERROR(INDEX(ProblemData!$E$239:$AM$239,1,Journal[[#This Row],[Transaction '#]]),""),"")</f>
        <v/>
      </c>
      <c r="M107" s="352" t="str">
        <f>IF(Journal[[#This Row],[ref1]]="","",IF(NOT(ISBLANK(Journal[[#This Row],[Transaction '#]])),Journal[[#This Row],[ref1]]&amp;Journal[[#This Row],[Movement '#]],""))</f>
        <v/>
      </c>
      <c r="N107" s="1" t="b">
        <f>OR(Journal[[#This Row],[ref1]]="",ISNUMBER(MATCH(Journal[[#This Row],[ref1]], Operating[Abbr], 0)), "Found", "Not Found"="Found")</f>
        <v>1</v>
      </c>
      <c r="O107" s="1"/>
      <c r="P107" s="1" t="str">
        <f>Journal[[#This Row],[Accnt Type]]&amp;"Used"</f>
        <v>Used</v>
      </c>
    </row>
    <row r="108" spans="3:16">
      <c r="C108" s="40"/>
      <c r="D108" s="198"/>
      <c r="E108" s="199"/>
      <c r="F108" s="199"/>
      <c r="G108" s="200"/>
      <c r="H108" s="201"/>
      <c r="I108" s="354"/>
      <c r="J108" s="350" t="str">
        <f>IF(Journal[[#This Row],[Transaction '#]]="","",IF(Journal[[#This Row],[Transaction '#]]=C107,J107+1,1))</f>
        <v/>
      </c>
      <c r="K108" s="351" cm="1">
        <f t="array" ref="K108">IFERROR(_xlfn.IFS(Journal[[#This Row],[Debit Account]]="Cash",Journal[[#This Row],[Dr Amt]],Journal[[#This Row],[Credit Account]]="Cash",-Journal[[#This Row],[Cr Amt]]),0)</f>
        <v>0</v>
      </c>
      <c r="L108" s="326" t="str" cm="1">
        <f t="array" ref="L108">IF(Journal[[#This Row],[Transaction '#]]&lt;&gt;"",IFERROR(INDEX(ProblemData!$E$239:$AM$239,1,Journal[[#This Row],[Transaction '#]]),""),"")</f>
        <v/>
      </c>
      <c r="M108" s="352" t="str">
        <f>IF(Journal[[#This Row],[ref1]]="","",IF(NOT(ISBLANK(Journal[[#This Row],[Transaction '#]])),Journal[[#This Row],[ref1]]&amp;Journal[[#This Row],[Movement '#]],""))</f>
        <v/>
      </c>
      <c r="N108" s="1" t="b">
        <f>OR(Journal[[#This Row],[ref1]]="",ISNUMBER(MATCH(Journal[[#This Row],[ref1]], Operating[Abbr], 0)), "Found", "Not Found"="Found")</f>
        <v>1</v>
      </c>
      <c r="O108" s="1"/>
      <c r="P108" s="1" t="str">
        <f>Journal[[#This Row],[Accnt Type]]&amp;"Used"</f>
        <v>Used</v>
      </c>
    </row>
    <row r="109" spans="3:16">
      <c r="C109" s="40"/>
      <c r="D109" s="198"/>
      <c r="E109" s="199"/>
      <c r="F109" s="199"/>
      <c r="G109" s="200"/>
      <c r="H109" s="201"/>
      <c r="I109" s="354"/>
      <c r="J109" s="350" t="str">
        <f>IF(Journal[[#This Row],[Transaction '#]]="","",IF(Journal[[#This Row],[Transaction '#]]=C108,J108+1,1))</f>
        <v/>
      </c>
      <c r="K109" s="351" cm="1">
        <f t="array" ref="K109">IFERROR(_xlfn.IFS(Journal[[#This Row],[Debit Account]]="Cash",Journal[[#This Row],[Dr Amt]],Journal[[#This Row],[Credit Account]]="Cash",-Journal[[#This Row],[Cr Amt]]),0)</f>
        <v>0</v>
      </c>
      <c r="L109" s="326" t="str" cm="1">
        <f t="array" ref="L109">IF(Journal[[#This Row],[Transaction '#]]&lt;&gt;"",IFERROR(INDEX(ProblemData!$E$239:$AM$239,1,Journal[[#This Row],[Transaction '#]]),""),"")</f>
        <v/>
      </c>
      <c r="M109" s="352" t="str">
        <f>IF(Journal[[#This Row],[ref1]]="","",IF(NOT(ISBLANK(Journal[[#This Row],[Transaction '#]])),Journal[[#This Row],[ref1]]&amp;Journal[[#This Row],[Movement '#]],""))</f>
        <v/>
      </c>
      <c r="N109" s="1" t="b">
        <f>OR(Journal[[#This Row],[ref1]]="",ISNUMBER(MATCH(Journal[[#This Row],[ref1]], Operating[Abbr], 0)), "Found", "Not Found"="Found")</f>
        <v>1</v>
      </c>
      <c r="O109" s="1"/>
      <c r="P109" s="1" t="str">
        <f>Journal[[#This Row],[Accnt Type]]&amp;"Used"</f>
        <v>Used</v>
      </c>
    </row>
    <row r="110" spans="3:16">
      <c r="C110" s="40"/>
      <c r="D110" s="198"/>
      <c r="E110" s="199"/>
      <c r="F110" s="199"/>
      <c r="G110" s="200"/>
      <c r="H110" s="201"/>
      <c r="I110" s="354"/>
      <c r="J110" s="350" t="str">
        <f>IF(Journal[[#This Row],[Transaction '#]]="","",IF(Journal[[#This Row],[Transaction '#]]=C109,J109+1,1))</f>
        <v/>
      </c>
      <c r="K110" s="351" cm="1">
        <f t="array" ref="K110">IFERROR(_xlfn.IFS(Journal[[#This Row],[Debit Account]]="Cash",Journal[[#This Row],[Dr Amt]],Journal[[#This Row],[Credit Account]]="Cash",-Journal[[#This Row],[Cr Amt]]),0)</f>
        <v>0</v>
      </c>
      <c r="L110" s="326" t="str" cm="1">
        <f t="array" ref="L110">IF(Journal[[#This Row],[Transaction '#]]&lt;&gt;"",IFERROR(INDEX(ProblemData!$E$239:$AM$239,1,Journal[[#This Row],[Transaction '#]]),""),"")</f>
        <v/>
      </c>
      <c r="M110" s="352" t="str">
        <f>IF(Journal[[#This Row],[ref1]]="","",IF(NOT(ISBLANK(Journal[[#This Row],[Transaction '#]])),Journal[[#This Row],[ref1]]&amp;Journal[[#This Row],[Movement '#]],""))</f>
        <v/>
      </c>
      <c r="N110" s="1" t="b">
        <f>OR(Journal[[#This Row],[ref1]]="",ISNUMBER(MATCH(Journal[[#This Row],[ref1]], Operating[Abbr], 0)), "Found", "Not Found"="Found")</f>
        <v>1</v>
      </c>
      <c r="O110" s="1"/>
      <c r="P110" s="1" t="str">
        <f>Journal[[#This Row],[Accnt Type]]&amp;"Used"</f>
        <v>Used</v>
      </c>
    </row>
    <row r="111" spans="3:16">
      <c r="C111" s="40"/>
      <c r="D111" s="198"/>
      <c r="E111" s="199"/>
      <c r="F111" s="199"/>
      <c r="G111" s="200"/>
      <c r="H111" s="201"/>
      <c r="I111" s="354"/>
      <c r="J111" s="350" t="str">
        <f>IF(Journal[[#This Row],[Transaction '#]]="","",IF(Journal[[#This Row],[Transaction '#]]=C110,J110+1,1))</f>
        <v/>
      </c>
      <c r="K111" s="351" cm="1">
        <f t="array" ref="K111">IFERROR(_xlfn.IFS(Journal[[#This Row],[Debit Account]]="Cash",Journal[[#This Row],[Dr Amt]],Journal[[#This Row],[Credit Account]]="Cash",-Journal[[#This Row],[Cr Amt]]),0)</f>
        <v>0</v>
      </c>
      <c r="L111" s="326" t="str" cm="1">
        <f t="array" ref="L111">IF(Journal[[#This Row],[Transaction '#]]&lt;&gt;"",IFERROR(INDEX(ProblemData!$E$239:$AM$239,1,Journal[[#This Row],[Transaction '#]]),""),"")</f>
        <v/>
      </c>
      <c r="M111" s="352" t="str">
        <f>IF(Journal[[#This Row],[ref1]]="","",IF(NOT(ISBLANK(Journal[[#This Row],[Transaction '#]])),Journal[[#This Row],[ref1]]&amp;Journal[[#This Row],[Movement '#]],""))</f>
        <v/>
      </c>
      <c r="N111" s="1" t="b">
        <f>OR(Journal[[#This Row],[ref1]]="",ISNUMBER(MATCH(Journal[[#This Row],[ref1]], Operating[Abbr], 0)), "Found", "Not Found"="Found")</f>
        <v>1</v>
      </c>
      <c r="O111" s="1"/>
      <c r="P111" s="1" t="str">
        <f>Journal[[#This Row],[Accnt Type]]&amp;"Used"</f>
        <v>Used</v>
      </c>
    </row>
    <row r="112" spans="3:16">
      <c r="C112" s="40"/>
      <c r="D112" s="198"/>
      <c r="E112" s="199"/>
      <c r="F112" s="199"/>
      <c r="G112" s="200"/>
      <c r="H112" s="201"/>
      <c r="I112" s="354"/>
      <c r="J112" s="350" t="str">
        <f>IF(Journal[[#This Row],[Transaction '#]]="","",IF(Journal[[#This Row],[Transaction '#]]=C111,J111+1,1))</f>
        <v/>
      </c>
      <c r="K112" s="351" cm="1">
        <f t="array" ref="K112">IFERROR(_xlfn.IFS(Journal[[#This Row],[Debit Account]]="Cash",Journal[[#This Row],[Dr Amt]],Journal[[#This Row],[Credit Account]]="Cash",-Journal[[#This Row],[Cr Amt]]),0)</f>
        <v>0</v>
      </c>
      <c r="L112" s="326" t="str" cm="1">
        <f t="array" ref="L112">IF(Journal[[#This Row],[Transaction '#]]&lt;&gt;"",IFERROR(INDEX(ProblemData!$E$239:$AM$239,1,Journal[[#This Row],[Transaction '#]]),""),"")</f>
        <v/>
      </c>
      <c r="M112" s="352" t="str">
        <f>IF(Journal[[#This Row],[ref1]]="","",IF(NOT(ISBLANK(Journal[[#This Row],[Transaction '#]])),Journal[[#This Row],[ref1]]&amp;Journal[[#This Row],[Movement '#]],""))</f>
        <v/>
      </c>
      <c r="N112" s="1" t="b">
        <f>OR(Journal[[#This Row],[ref1]]="",ISNUMBER(MATCH(Journal[[#This Row],[ref1]], Operating[Abbr], 0)), "Found", "Not Found"="Found")</f>
        <v>1</v>
      </c>
      <c r="O112" s="1"/>
      <c r="P112" s="1" t="str">
        <f>Journal[[#This Row],[Accnt Type]]&amp;"Used"</f>
        <v>Used</v>
      </c>
    </row>
    <row r="113" spans="3:16">
      <c r="C113" s="40"/>
      <c r="D113" s="198"/>
      <c r="E113" s="199"/>
      <c r="F113" s="199"/>
      <c r="G113" s="200"/>
      <c r="H113" s="201"/>
      <c r="I113" s="354"/>
      <c r="J113" s="350" t="str">
        <f>IF(Journal[[#This Row],[Transaction '#]]="","",IF(Journal[[#This Row],[Transaction '#]]=C112,J112+1,1))</f>
        <v/>
      </c>
      <c r="K113" s="351" cm="1">
        <f t="array" ref="K113">IFERROR(_xlfn.IFS(Journal[[#This Row],[Debit Account]]="Cash",Journal[[#This Row],[Dr Amt]],Journal[[#This Row],[Credit Account]]="Cash",-Journal[[#This Row],[Cr Amt]]),0)</f>
        <v>0</v>
      </c>
      <c r="L113" s="326" t="str" cm="1">
        <f t="array" ref="L113">IF(Journal[[#This Row],[Transaction '#]]&lt;&gt;"",IFERROR(INDEX(ProblemData!$E$239:$AM$239,1,Journal[[#This Row],[Transaction '#]]),""),"")</f>
        <v/>
      </c>
      <c r="M113" s="352" t="str">
        <f>IF(Journal[[#This Row],[ref1]]="","",IF(NOT(ISBLANK(Journal[[#This Row],[Transaction '#]])),Journal[[#This Row],[ref1]]&amp;Journal[[#This Row],[Movement '#]],""))</f>
        <v/>
      </c>
      <c r="N113" s="1" t="b">
        <f>OR(Journal[[#This Row],[ref1]]="",ISNUMBER(MATCH(Journal[[#This Row],[ref1]], Operating[Abbr], 0)), "Found", "Not Found"="Found")</f>
        <v>1</v>
      </c>
      <c r="O113" s="1"/>
      <c r="P113" s="1" t="str">
        <f>Journal[[#This Row],[Accnt Type]]&amp;"Used"</f>
        <v>Used</v>
      </c>
    </row>
    <row r="114" spans="3:16">
      <c r="C114" s="40"/>
      <c r="D114" s="198"/>
      <c r="E114" s="199"/>
      <c r="F114" s="199"/>
      <c r="G114" s="200"/>
      <c r="H114" s="201"/>
      <c r="I114" s="354"/>
      <c r="J114" s="350" t="str">
        <f>IF(Journal[[#This Row],[Transaction '#]]="","",IF(Journal[[#This Row],[Transaction '#]]=C113,J113+1,1))</f>
        <v/>
      </c>
      <c r="K114" s="351" cm="1">
        <f t="array" ref="K114">IFERROR(_xlfn.IFS(Journal[[#This Row],[Debit Account]]="Cash",Journal[[#This Row],[Dr Amt]],Journal[[#This Row],[Credit Account]]="Cash",-Journal[[#This Row],[Cr Amt]]),0)</f>
        <v>0</v>
      </c>
      <c r="L114" s="326" t="str" cm="1">
        <f t="array" ref="L114">IF(Journal[[#This Row],[Transaction '#]]&lt;&gt;"",IFERROR(INDEX(ProblemData!$E$239:$AM$239,1,Journal[[#This Row],[Transaction '#]]),""),"")</f>
        <v/>
      </c>
      <c r="M114" s="352" t="str">
        <f>IF(Journal[[#This Row],[ref1]]="","",IF(NOT(ISBLANK(Journal[[#This Row],[Transaction '#]])),Journal[[#This Row],[ref1]]&amp;Journal[[#This Row],[Movement '#]],""))</f>
        <v/>
      </c>
      <c r="N114" s="1" t="b">
        <f>OR(Journal[[#This Row],[ref1]]="",ISNUMBER(MATCH(Journal[[#This Row],[ref1]], Operating[Abbr], 0)), "Found", "Not Found"="Found")</f>
        <v>1</v>
      </c>
      <c r="O114" s="1"/>
      <c r="P114" s="1" t="str">
        <f>Journal[[#This Row],[Accnt Type]]&amp;"Used"</f>
        <v>Used</v>
      </c>
    </row>
    <row r="115" spans="3:16">
      <c r="C115" s="40"/>
      <c r="D115" s="198"/>
      <c r="E115" s="199"/>
      <c r="F115" s="199"/>
      <c r="G115" s="200"/>
      <c r="H115" s="201"/>
      <c r="I115" s="354"/>
      <c r="J115" s="350" t="str">
        <f>IF(Journal[[#This Row],[Transaction '#]]="","",IF(Journal[[#This Row],[Transaction '#]]=C114,J114+1,1))</f>
        <v/>
      </c>
      <c r="K115" s="351" cm="1">
        <f t="array" ref="K115">IFERROR(_xlfn.IFS(Journal[[#This Row],[Debit Account]]="Cash",Journal[[#This Row],[Dr Amt]],Journal[[#This Row],[Credit Account]]="Cash",-Journal[[#This Row],[Cr Amt]]),0)</f>
        <v>0</v>
      </c>
      <c r="L115" s="326" t="str" cm="1">
        <f t="array" ref="L115">IF(Journal[[#This Row],[Transaction '#]]&lt;&gt;"",IFERROR(INDEX(ProblemData!$E$239:$AM$239,1,Journal[[#This Row],[Transaction '#]]),""),"")</f>
        <v/>
      </c>
      <c r="M115" s="352" t="str">
        <f>IF(Journal[[#This Row],[ref1]]="","",IF(NOT(ISBLANK(Journal[[#This Row],[Transaction '#]])),Journal[[#This Row],[ref1]]&amp;Journal[[#This Row],[Movement '#]],""))</f>
        <v/>
      </c>
      <c r="N115" s="1" t="b">
        <f>OR(Journal[[#This Row],[ref1]]="",ISNUMBER(MATCH(Journal[[#This Row],[ref1]], Operating[Abbr], 0)), "Found", "Not Found"="Found")</f>
        <v>1</v>
      </c>
      <c r="O115" s="1"/>
      <c r="P115" s="1" t="str">
        <f>Journal[[#This Row],[Accnt Type]]&amp;"Used"</f>
        <v>Used</v>
      </c>
    </row>
    <row r="116" spans="3:16">
      <c r="C116" s="40"/>
      <c r="D116" s="198"/>
      <c r="E116" s="199"/>
      <c r="F116" s="199"/>
      <c r="G116" s="200"/>
      <c r="H116" s="201"/>
      <c r="I116" s="354"/>
      <c r="J116" s="350" t="str">
        <f>IF(Journal[[#This Row],[Transaction '#]]="","",IF(Journal[[#This Row],[Transaction '#]]=C115,J115+1,1))</f>
        <v/>
      </c>
      <c r="K116" s="351" cm="1">
        <f t="array" ref="K116">IFERROR(_xlfn.IFS(Journal[[#This Row],[Debit Account]]="Cash",Journal[[#This Row],[Dr Amt]],Journal[[#This Row],[Credit Account]]="Cash",-Journal[[#This Row],[Cr Amt]]),0)</f>
        <v>0</v>
      </c>
      <c r="L116" s="326" t="str" cm="1">
        <f t="array" ref="L116">IF(Journal[[#This Row],[Transaction '#]]&lt;&gt;"",IFERROR(INDEX(ProblemData!$E$239:$AM$239,1,Journal[[#This Row],[Transaction '#]]),""),"")</f>
        <v/>
      </c>
      <c r="M116" s="352" t="str">
        <f>IF(Journal[[#This Row],[ref1]]="","",IF(NOT(ISBLANK(Journal[[#This Row],[Transaction '#]])),Journal[[#This Row],[ref1]]&amp;Journal[[#This Row],[Movement '#]],""))</f>
        <v/>
      </c>
      <c r="N116" s="1" t="b">
        <f>OR(Journal[[#This Row],[ref1]]="",ISNUMBER(MATCH(Journal[[#This Row],[ref1]], Operating[Abbr], 0)), "Found", "Not Found"="Found")</f>
        <v>1</v>
      </c>
      <c r="O116" s="1"/>
      <c r="P116" s="1" t="str">
        <f>Journal[[#This Row],[Accnt Type]]&amp;"Used"</f>
        <v>Used</v>
      </c>
    </row>
    <row r="117" spans="3:16">
      <c r="C117" s="40"/>
      <c r="D117" s="198"/>
      <c r="E117" s="199"/>
      <c r="F117" s="199"/>
      <c r="G117" s="200"/>
      <c r="H117" s="201"/>
      <c r="I117" s="354"/>
      <c r="J117" s="350" t="str">
        <f>IF(Journal[[#This Row],[Transaction '#]]="","",IF(Journal[[#This Row],[Transaction '#]]=C116,J116+1,1))</f>
        <v/>
      </c>
      <c r="K117" s="351" cm="1">
        <f t="array" ref="K117">IFERROR(_xlfn.IFS(Journal[[#This Row],[Debit Account]]="Cash",Journal[[#This Row],[Dr Amt]],Journal[[#This Row],[Credit Account]]="Cash",-Journal[[#This Row],[Cr Amt]]),0)</f>
        <v>0</v>
      </c>
      <c r="L117" s="326" t="str" cm="1">
        <f t="array" ref="L117">IF(Journal[[#This Row],[Transaction '#]]&lt;&gt;"",IFERROR(INDEX(ProblemData!$E$239:$AM$239,1,Journal[[#This Row],[Transaction '#]]),""),"")</f>
        <v/>
      </c>
      <c r="M117" s="352" t="str">
        <f>IF(Journal[[#This Row],[ref1]]="","",IF(NOT(ISBLANK(Journal[[#This Row],[Transaction '#]])),Journal[[#This Row],[ref1]]&amp;Journal[[#This Row],[Movement '#]],""))</f>
        <v/>
      </c>
      <c r="N117" s="1" t="b">
        <f>OR(Journal[[#This Row],[ref1]]="",ISNUMBER(MATCH(Journal[[#This Row],[ref1]], Operating[Abbr], 0)), "Found", "Not Found"="Found")</f>
        <v>1</v>
      </c>
      <c r="O117" s="1"/>
      <c r="P117" s="1" t="str">
        <f>Journal[[#This Row],[Accnt Type]]&amp;"Used"</f>
        <v>Used</v>
      </c>
    </row>
    <row r="118" spans="3:16">
      <c r="C118" s="40"/>
      <c r="D118" s="198"/>
      <c r="E118" s="199"/>
      <c r="F118" s="199"/>
      <c r="G118" s="200"/>
      <c r="H118" s="201"/>
      <c r="I118" s="354"/>
      <c r="J118" s="350" t="str">
        <f>IF(Journal[[#This Row],[Transaction '#]]="","",IF(Journal[[#This Row],[Transaction '#]]=C117,J117+1,1))</f>
        <v/>
      </c>
      <c r="K118" s="351" cm="1">
        <f t="array" ref="K118">IFERROR(_xlfn.IFS(Journal[[#This Row],[Debit Account]]="Cash",Journal[[#This Row],[Dr Amt]],Journal[[#This Row],[Credit Account]]="Cash",-Journal[[#This Row],[Cr Amt]]),0)</f>
        <v>0</v>
      </c>
      <c r="L118" s="326" t="str" cm="1">
        <f t="array" ref="L118">IF(Journal[[#This Row],[Transaction '#]]&lt;&gt;"",IFERROR(INDEX(ProblemData!$E$239:$AM$239,1,Journal[[#This Row],[Transaction '#]]),""),"")</f>
        <v/>
      </c>
      <c r="M118" s="352" t="str">
        <f>IF(Journal[[#This Row],[ref1]]="","",IF(NOT(ISBLANK(Journal[[#This Row],[Transaction '#]])),Journal[[#This Row],[ref1]]&amp;Journal[[#This Row],[Movement '#]],""))</f>
        <v/>
      </c>
      <c r="N118" s="1" t="b">
        <f>OR(Journal[[#This Row],[ref1]]="",ISNUMBER(MATCH(Journal[[#This Row],[ref1]], Operating[Abbr], 0)), "Found", "Not Found"="Found")</f>
        <v>1</v>
      </c>
      <c r="O118" s="1"/>
      <c r="P118" s="1" t="str">
        <f>Journal[[#This Row],[Accnt Type]]&amp;"Used"</f>
        <v>Used</v>
      </c>
    </row>
    <row r="119" spans="3:16">
      <c r="C119" s="40"/>
      <c r="D119" s="198"/>
      <c r="E119" s="199"/>
      <c r="F119" s="199"/>
      <c r="G119" s="200"/>
      <c r="H119" s="201"/>
      <c r="I119" s="354"/>
      <c r="J119" s="350" t="str">
        <f>IF(Journal[[#This Row],[Transaction '#]]="","",IF(Journal[[#This Row],[Transaction '#]]=C118,J118+1,1))</f>
        <v/>
      </c>
      <c r="K119" s="351" cm="1">
        <f t="array" ref="K119">IFERROR(_xlfn.IFS(Journal[[#This Row],[Debit Account]]="Cash",Journal[[#This Row],[Dr Amt]],Journal[[#This Row],[Credit Account]]="Cash",-Journal[[#This Row],[Cr Amt]]),0)</f>
        <v>0</v>
      </c>
      <c r="L119" s="326" t="str" cm="1">
        <f t="array" ref="L119">IF(Journal[[#This Row],[Transaction '#]]&lt;&gt;"",IFERROR(INDEX(ProblemData!$E$239:$AM$239,1,Journal[[#This Row],[Transaction '#]]),""),"")</f>
        <v/>
      </c>
      <c r="M119" s="352" t="str">
        <f>IF(Journal[[#This Row],[ref1]]="","",IF(NOT(ISBLANK(Journal[[#This Row],[Transaction '#]])),Journal[[#This Row],[ref1]]&amp;Journal[[#This Row],[Movement '#]],""))</f>
        <v/>
      </c>
      <c r="N119" s="1" t="b">
        <f>OR(Journal[[#This Row],[ref1]]="",ISNUMBER(MATCH(Journal[[#This Row],[ref1]], Operating[Abbr], 0)), "Found", "Not Found"="Found")</f>
        <v>1</v>
      </c>
      <c r="O119" s="1"/>
      <c r="P119" s="1" t="str">
        <f>Journal[[#This Row],[Accnt Type]]&amp;"Used"</f>
        <v>Used</v>
      </c>
    </row>
    <row r="120" spans="3:16">
      <c r="C120" s="40"/>
      <c r="D120" s="198"/>
      <c r="E120" s="199"/>
      <c r="F120" s="199"/>
      <c r="G120" s="200"/>
      <c r="H120" s="201"/>
      <c r="I120" s="354"/>
      <c r="J120" s="350" t="str">
        <f>IF(Journal[[#This Row],[Transaction '#]]="","",IF(Journal[[#This Row],[Transaction '#]]=C119,J119+1,1))</f>
        <v/>
      </c>
      <c r="K120" s="351" cm="1">
        <f t="array" ref="K120">IFERROR(_xlfn.IFS(Journal[[#This Row],[Debit Account]]="Cash",Journal[[#This Row],[Dr Amt]],Journal[[#This Row],[Credit Account]]="Cash",-Journal[[#This Row],[Cr Amt]]),0)</f>
        <v>0</v>
      </c>
      <c r="L120" s="326" t="str" cm="1">
        <f t="array" ref="L120">IF(Journal[[#This Row],[Transaction '#]]&lt;&gt;"",IFERROR(INDEX(ProblemData!$E$239:$AM$239,1,Journal[[#This Row],[Transaction '#]]),""),"")</f>
        <v/>
      </c>
      <c r="M120" s="352" t="str">
        <f>IF(Journal[[#This Row],[ref1]]="","",IF(NOT(ISBLANK(Journal[[#This Row],[Transaction '#]])),Journal[[#This Row],[ref1]]&amp;Journal[[#This Row],[Movement '#]],""))</f>
        <v/>
      </c>
      <c r="N120" s="1" t="b">
        <f>OR(Journal[[#This Row],[ref1]]="",ISNUMBER(MATCH(Journal[[#This Row],[ref1]], Operating[Abbr], 0)), "Found", "Not Found"="Found")</f>
        <v>1</v>
      </c>
      <c r="O120" s="1"/>
      <c r="P120" s="1" t="str">
        <f>Journal[[#This Row],[Accnt Type]]&amp;"Used"</f>
        <v>Used</v>
      </c>
    </row>
    <row r="121" spans="3:16">
      <c r="C121" s="40"/>
      <c r="D121" s="198"/>
      <c r="E121" s="199"/>
      <c r="F121" s="199"/>
      <c r="G121" s="200"/>
      <c r="H121" s="201"/>
      <c r="I121" s="354"/>
      <c r="J121" s="350" t="str">
        <f>IF(Journal[[#This Row],[Transaction '#]]="","",IF(Journal[[#This Row],[Transaction '#]]=C120,J120+1,1))</f>
        <v/>
      </c>
      <c r="K121" s="351" cm="1">
        <f t="array" ref="K121">IFERROR(_xlfn.IFS(Journal[[#This Row],[Debit Account]]="Cash",Journal[[#This Row],[Dr Amt]],Journal[[#This Row],[Credit Account]]="Cash",-Journal[[#This Row],[Cr Amt]]),0)</f>
        <v>0</v>
      </c>
      <c r="L121" s="326" t="str" cm="1">
        <f t="array" ref="L121">IF(Journal[[#This Row],[Transaction '#]]&lt;&gt;"",IFERROR(INDEX(ProblemData!$E$239:$AM$239,1,Journal[[#This Row],[Transaction '#]]),""),"")</f>
        <v/>
      </c>
      <c r="M121" s="352" t="str">
        <f>IF(Journal[[#This Row],[ref1]]="","",IF(NOT(ISBLANK(Journal[[#This Row],[Transaction '#]])),Journal[[#This Row],[ref1]]&amp;Journal[[#This Row],[Movement '#]],""))</f>
        <v/>
      </c>
      <c r="N121" s="1" t="b">
        <f>OR(Journal[[#This Row],[ref1]]="",ISNUMBER(MATCH(Journal[[#This Row],[ref1]], Operating[Abbr], 0)), "Found", "Not Found"="Found")</f>
        <v>1</v>
      </c>
      <c r="O121" s="1"/>
      <c r="P121" s="1" t="str">
        <f>Journal[[#This Row],[Accnt Type]]&amp;"Used"</f>
        <v>Used</v>
      </c>
    </row>
    <row r="122" spans="3:16">
      <c r="C122" s="40"/>
      <c r="D122" s="198"/>
      <c r="E122" s="199"/>
      <c r="F122" s="199"/>
      <c r="G122" s="200"/>
      <c r="H122" s="201"/>
      <c r="I122" s="354"/>
      <c r="J122" s="350" t="str">
        <f>IF(Journal[[#This Row],[Transaction '#]]="","",IF(Journal[[#This Row],[Transaction '#]]=C121,J121+1,1))</f>
        <v/>
      </c>
      <c r="K122" s="351" cm="1">
        <f t="array" ref="K122">IFERROR(_xlfn.IFS(Journal[[#This Row],[Debit Account]]="Cash",Journal[[#This Row],[Dr Amt]],Journal[[#This Row],[Credit Account]]="Cash",-Journal[[#This Row],[Cr Amt]]),0)</f>
        <v>0</v>
      </c>
      <c r="L122" s="326" t="str" cm="1">
        <f t="array" ref="L122">IF(Journal[[#This Row],[Transaction '#]]&lt;&gt;"",IFERROR(INDEX(ProblemData!$E$239:$AM$239,1,Journal[[#This Row],[Transaction '#]]),""),"")</f>
        <v/>
      </c>
      <c r="M122" s="352" t="str">
        <f>IF(Journal[[#This Row],[ref1]]="","",IF(NOT(ISBLANK(Journal[[#This Row],[Transaction '#]])),Journal[[#This Row],[ref1]]&amp;Journal[[#This Row],[Movement '#]],""))</f>
        <v/>
      </c>
      <c r="N122" s="1" t="b">
        <f>OR(Journal[[#This Row],[ref1]]="",ISNUMBER(MATCH(Journal[[#This Row],[ref1]], Operating[Abbr], 0)), "Found", "Not Found"="Found")</f>
        <v>1</v>
      </c>
      <c r="O122" s="1"/>
      <c r="P122" s="1" t="str">
        <f>Journal[[#This Row],[Accnt Type]]&amp;"Used"</f>
        <v>Used</v>
      </c>
    </row>
    <row r="123" spans="3:16">
      <c r="C123" s="40"/>
      <c r="D123" s="198"/>
      <c r="E123" s="199"/>
      <c r="F123" s="199"/>
      <c r="G123" s="200"/>
      <c r="H123" s="201"/>
      <c r="I123" s="354"/>
      <c r="J123" s="350" t="str">
        <f>IF(Journal[[#This Row],[Transaction '#]]="","",IF(Journal[[#This Row],[Transaction '#]]=C122,J122+1,1))</f>
        <v/>
      </c>
      <c r="K123" s="351" cm="1">
        <f t="array" ref="K123">IFERROR(_xlfn.IFS(Journal[[#This Row],[Debit Account]]="Cash",Journal[[#This Row],[Dr Amt]],Journal[[#This Row],[Credit Account]]="Cash",-Journal[[#This Row],[Cr Amt]]),0)</f>
        <v>0</v>
      </c>
      <c r="L123" s="326" t="str" cm="1">
        <f t="array" ref="L123">IF(Journal[[#This Row],[Transaction '#]]&lt;&gt;"",IFERROR(INDEX(ProblemData!$E$239:$AM$239,1,Journal[[#This Row],[Transaction '#]]),""),"")</f>
        <v/>
      </c>
      <c r="M123" s="352" t="str">
        <f>IF(Journal[[#This Row],[ref1]]="","",IF(NOT(ISBLANK(Journal[[#This Row],[Transaction '#]])),Journal[[#This Row],[ref1]]&amp;Journal[[#This Row],[Movement '#]],""))</f>
        <v/>
      </c>
      <c r="N123" s="1" t="b">
        <f>OR(Journal[[#This Row],[ref1]]="",ISNUMBER(MATCH(Journal[[#This Row],[ref1]], Operating[Abbr], 0)), "Found", "Not Found"="Found")</f>
        <v>1</v>
      </c>
      <c r="O123" s="1"/>
      <c r="P123" s="1" t="str">
        <f>Journal[[#This Row],[Accnt Type]]&amp;"Used"</f>
        <v>Used</v>
      </c>
    </row>
    <row r="124" spans="3:16">
      <c r="C124" s="40"/>
      <c r="D124" s="198"/>
      <c r="E124" s="199"/>
      <c r="F124" s="199"/>
      <c r="G124" s="200"/>
      <c r="H124" s="201"/>
      <c r="I124" s="354"/>
      <c r="J124" s="350" t="str">
        <f>IF(Journal[[#This Row],[Transaction '#]]="","",IF(Journal[[#This Row],[Transaction '#]]=C123,J123+1,1))</f>
        <v/>
      </c>
      <c r="K124" s="351" cm="1">
        <f t="array" ref="K124">IFERROR(_xlfn.IFS(Journal[[#This Row],[Debit Account]]="Cash",Journal[[#This Row],[Dr Amt]],Journal[[#This Row],[Credit Account]]="Cash",-Journal[[#This Row],[Cr Amt]]),0)</f>
        <v>0</v>
      </c>
      <c r="L124" s="326" t="str" cm="1">
        <f t="array" ref="L124">IF(Journal[[#This Row],[Transaction '#]]&lt;&gt;"",IFERROR(INDEX(ProblemData!$E$239:$AM$239,1,Journal[[#This Row],[Transaction '#]]),""),"")</f>
        <v/>
      </c>
      <c r="M124" s="352" t="str">
        <f>IF(Journal[[#This Row],[ref1]]="","",IF(NOT(ISBLANK(Journal[[#This Row],[Transaction '#]])),Journal[[#This Row],[ref1]]&amp;Journal[[#This Row],[Movement '#]],""))</f>
        <v/>
      </c>
      <c r="N124" s="1" t="b">
        <f>OR(Journal[[#This Row],[ref1]]="",ISNUMBER(MATCH(Journal[[#This Row],[ref1]], Operating[Abbr], 0)), "Found", "Not Found"="Found")</f>
        <v>1</v>
      </c>
      <c r="O124" s="1"/>
      <c r="P124" s="1" t="str">
        <f>Journal[[#This Row],[Accnt Type]]&amp;"Used"</f>
        <v>Used</v>
      </c>
    </row>
    <row r="125" spans="3:16">
      <c r="C125" s="40"/>
      <c r="D125" s="198"/>
      <c r="E125" s="199"/>
      <c r="F125" s="199"/>
      <c r="G125" s="200"/>
      <c r="H125" s="201"/>
      <c r="I125" s="354"/>
      <c r="J125" s="350" t="str">
        <f>IF(Journal[[#This Row],[Transaction '#]]="","",IF(Journal[[#This Row],[Transaction '#]]=C124,J124+1,1))</f>
        <v/>
      </c>
      <c r="K125" s="351" cm="1">
        <f t="array" ref="K125">IFERROR(_xlfn.IFS(Journal[[#This Row],[Debit Account]]="Cash",Journal[[#This Row],[Dr Amt]],Journal[[#This Row],[Credit Account]]="Cash",-Journal[[#This Row],[Cr Amt]]),0)</f>
        <v>0</v>
      </c>
      <c r="L125" s="326" t="str" cm="1">
        <f t="array" ref="L125">IF(Journal[[#This Row],[Transaction '#]]&lt;&gt;"",IFERROR(INDEX(ProblemData!$E$239:$AM$239,1,Journal[[#This Row],[Transaction '#]]),""),"")</f>
        <v/>
      </c>
      <c r="M125" s="352" t="str">
        <f>IF(Journal[[#This Row],[ref1]]="","",IF(NOT(ISBLANK(Journal[[#This Row],[Transaction '#]])),Journal[[#This Row],[ref1]]&amp;Journal[[#This Row],[Movement '#]],""))</f>
        <v/>
      </c>
      <c r="N125" s="1" t="b">
        <f>OR(Journal[[#This Row],[ref1]]="",ISNUMBER(MATCH(Journal[[#This Row],[ref1]], Operating[Abbr], 0)), "Found", "Not Found"="Found")</f>
        <v>1</v>
      </c>
      <c r="O125" s="1"/>
      <c r="P125" s="1" t="str">
        <f>Journal[[#This Row],[Accnt Type]]&amp;"Used"</f>
        <v>Used</v>
      </c>
    </row>
    <row r="126" spans="3:16">
      <c r="C126" s="40"/>
      <c r="D126" s="198"/>
      <c r="E126" s="199"/>
      <c r="F126" s="199"/>
      <c r="G126" s="200"/>
      <c r="H126" s="201"/>
      <c r="I126" s="354"/>
      <c r="J126" s="350" t="str">
        <f>IF(Journal[[#This Row],[Transaction '#]]="","",IF(Journal[[#This Row],[Transaction '#]]=C125,J125+1,1))</f>
        <v/>
      </c>
      <c r="K126" s="351" cm="1">
        <f t="array" ref="K126">IFERROR(_xlfn.IFS(Journal[[#This Row],[Debit Account]]="Cash",Journal[[#This Row],[Dr Amt]],Journal[[#This Row],[Credit Account]]="Cash",-Journal[[#This Row],[Cr Amt]]),0)</f>
        <v>0</v>
      </c>
      <c r="L126" s="326" t="str" cm="1">
        <f t="array" ref="L126">IF(Journal[[#This Row],[Transaction '#]]&lt;&gt;"",IFERROR(INDEX(ProblemData!$E$239:$AM$239,1,Journal[[#This Row],[Transaction '#]]),""),"")</f>
        <v/>
      </c>
      <c r="M126" s="352" t="str">
        <f>IF(Journal[[#This Row],[ref1]]="","",IF(NOT(ISBLANK(Journal[[#This Row],[Transaction '#]])),Journal[[#This Row],[ref1]]&amp;Journal[[#This Row],[Movement '#]],""))</f>
        <v/>
      </c>
      <c r="N126" s="1" t="b">
        <f>OR(Journal[[#This Row],[ref1]]="",ISNUMBER(MATCH(Journal[[#This Row],[ref1]], Operating[Abbr], 0)), "Found", "Not Found"="Found")</f>
        <v>1</v>
      </c>
      <c r="O126" s="1"/>
      <c r="P126" s="1" t="str">
        <f>Journal[[#This Row],[Accnt Type]]&amp;"Used"</f>
        <v>Used</v>
      </c>
    </row>
    <row r="127" spans="3:16">
      <c r="C127" s="40"/>
      <c r="D127" s="198"/>
      <c r="E127" s="199"/>
      <c r="F127" s="199"/>
      <c r="G127" s="200"/>
      <c r="H127" s="201"/>
      <c r="I127" s="354"/>
      <c r="J127" s="350" t="str">
        <f>IF(Journal[[#This Row],[Transaction '#]]="","",IF(Journal[[#This Row],[Transaction '#]]=C126,J126+1,1))</f>
        <v/>
      </c>
      <c r="K127" s="351" cm="1">
        <f t="array" ref="K127">IFERROR(_xlfn.IFS(Journal[[#This Row],[Debit Account]]="Cash",Journal[[#This Row],[Dr Amt]],Journal[[#This Row],[Credit Account]]="Cash",-Journal[[#This Row],[Cr Amt]]),0)</f>
        <v>0</v>
      </c>
      <c r="L127" s="326" t="str" cm="1">
        <f t="array" ref="L127">IF(Journal[[#This Row],[Transaction '#]]&lt;&gt;"",IFERROR(INDEX(ProblemData!$E$239:$AM$239,1,Journal[[#This Row],[Transaction '#]]),""),"")</f>
        <v/>
      </c>
      <c r="M127" s="352" t="str">
        <f>IF(Journal[[#This Row],[ref1]]="","",IF(NOT(ISBLANK(Journal[[#This Row],[Transaction '#]])),Journal[[#This Row],[ref1]]&amp;Journal[[#This Row],[Movement '#]],""))</f>
        <v/>
      </c>
      <c r="N127" s="1" t="b">
        <f>OR(Journal[[#This Row],[ref1]]="",ISNUMBER(MATCH(Journal[[#This Row],[ref1]], Operating[Abbr], 0)), "Found", "Not Found"="Found")</f>
        <v>1</v>
      </c>
      <c r="O127" s="1"/>
      <c r="P127" s="1" t="str">
        <f>Journal[[#This Row],[Accnt Type]]&amp;"Used"</f>
        <v>Used</v>
      </c>
    </row>
    <row r="128" spans="3:16">
      <c r="C128" s="40"/>
      <c r="D128" s="198"/>
      <c r="E128" s="199"/>
      <c r="F128" s="199"/>
      <c r="G128" s="200"/>
      <c r="H128" s="201"/>
      <c r="I128" s="354"/>
      <c r="J128" s="350" t="str">
        <f>IF(Journal[[#This Row],[Transaction '#]]="","",IF(Journal[[#This Row],[Transaction '#]]=C127,J127+1,1))</f>
        <v/>
      </c>
      <c r="K128" s="351" cm="1">
        <f t="array" ref="K128">IFERROR(_xlfn.IFS(Journal[[#This Row],[Debit Account]]="Cash",Journal[[#This Row],[Dr Amt]],Journal[[#This Row],[Credit Account]]="Cash",-Journal[[#This Row],[Cr Amt]]),0)</f>
        <v>0</v>
      </c>
      <c r="L128" s="326" t="str" cm="1">
        <f t="array" ref="L128">IF(Journal[[#This Row],[Transaction '#]]&lt;&gt;"",IFERROR(INDEX(ProblemData!$E$239:$AM$239,1,Journal[[#This Row],[Transaction '#]]),""),"")</f>
        <v/>
      </c>
      <c r="M128" s="352" t="str">
        <f>IF(Journal[[#This Row],[ref1]]="","",IF(NOT(ISBLANK(Journal[[#This Row],[Transaction '#]])),Journal[[#This Row],[ref1]]&amp;Journal[[#This Row],[Movement '#]],""))</f>
        <v/>
      </c>
      <c r="N128" s="1" t="b">
        <f>OR(Journal[[#This Row],[ref1]]="",ISNUMBER(MATCH(Journal[[#This Row],[ref1]], Operating[Abbr], 0)), "Found", "Not Found"="Found")</f>
        <v>1</v>
      </c>
      <c r="O128" s="1"/>
      <c r="P128" s="1" t="str">
        <f>Journal[[#This Row],[Accnt Type]]&amp;"Used"</f>
        <v>Used</v>
      </c>
    </row>
    <row r="129" spans="3:16">
      <c r="C129" s="40"/>
      <c r="D129" s="198"/>
      <c r="E129" s="199"/>
      <c r="F129" s="199"/>
      <c r="G129" s="200"/>
      <c r="H129" s="201"/>
      <c r="I129" s="354"/>
      <c r="J129" s="350" t="str">
        <f>IF(Journal[[#This Row],[Transaction '#]]="","",IF(Journal[[#This Row],[Transaction '#]]=C128,J128+1,1))</f>
        <v/>
      </c>
      <c r="K129" s="351" cm="1">
        <f t="array" ref="K129">IFERROR(_xlfn.IFS(Journal[[#This Row],[Debit Account]]="Cash",Journal[[#This Row],[Dr Amt]],Journal[[#This Row],[Credit Account]]="Cash",-Journal[[#This Row],[Cr Amt]]),0)</f>
        <v>0</v>
      </c>
      <c r="L129" s="326" t="str" cm="1">
        <f t="array" ref="L129">IF(Journal[[#This Row],[Transaction '#]]&lt;&gt;"",IFERROR(INDEX(ProblemData!$E$239:$AM$239,1,Journal[[#This Row],[Transaction '#]]),""),"")</f>
        <v/>
      </c>
      <c r="M129" s="352" t="str">
        <f>IF(Journal[[#This Row],[ref1]]="","",IF(NOT(ISBLANK(Journal[[#This Row],[Transaction '#]])),Journal[[#This Row],[ref1]]&amp;Journal[[#This Row],[Movement '#]],""))</f>
        <v/>
      </c>
      <c r="N129" s="1" t="b">
        <f>OR(Journal[[#This Row],[ref1]]="",ISNUMBER(MATCH(Journal[[#This Row],[ref1]], Operating[Abbr], 0)), "Found", "Not Found"="Found")</f>
        <v>1</v>
      </c>
      <c r="O129" s="1"/>
      <c r="P129" s="1" t="str">
        <f>Journal[[#This Row],[Accnt Type]]&amp;"Used"</f>
        <v>Used</v>
      </c>
    </row>
    <row r="130" spans="3:16">
      <c r="C130" s="40"/>
      <c r="D130" s="198"/>
      <c r="E130" s="199"/>
      <c r="F130" s="199"/>
      <c r="G130" s="200"/>
      <c r="H130" s="201"/>
      <c r="I130" s="354"/>
      <c r="J130" s="350" t="str">
        <f>IF(Journal[[#This Row],[Transaction '#]]="","",IF(Journal[[#This Row],[Transaction '#]]=C129,J129+1,1))</f>
        <v/>
      </c>
      <c r="K130" s="351" cm="1">
        <f t="array" ref="K130">IFERROR(_xlfn.IFS(Journal[[#This Row],[Debit Account]]="Cash",Journal[[#This Row],[Dr Amt]],Journal[[#This Row],[Credit Account]]="Cash",-Journal[[#This Row],[Cr Amt]]),0)</f>
        <v>0</v>
      </c>
      <c r="L130" s="326" t="str" cm="1">
        <f t="array" ref="L130">IF(Journal[[#This Row],[Transaction '#]]&lt;&gt;"",IFERROR(INDEX(ProblemData!$E$239:$AM$239,1,Journal[[#This Row],[Transaction '#]]),""),"")</f>
        <v/>
      </c>
      <c r="M130" s="352" t="str">
        <f>IF(Journal[[#This Row],[ref1]]="","",IF(NOT(ISBLANK(Journal[[#This Row],[Transaction '#]])),Journal[[#This Row],[ref1]]&amp;Journal[[#This Row],[Movement '#]],""))</f>
        <v/>
      </c>
      <c r="N130" s="1" t="b">
        <f>OR(Journal[[#This Row],[ref1]]="",ISNUMBER(MATCH(Journal[[#This Row],[ref1]], Operating[Abbr], 0)), "Found", "Not Found"="Found")</f>
        <v>1</v>
      </c>
      <c r="O130" s="1"/>
      <c r="P130" s="1" t="str">
        <f>Journal[[#This Row],[Accnt Type]]&amp;"Used"</f>
        <v>Used</v>
      </c>
    </row>
    <row r="131" spans="3:16">
      <c r="C131" s="40"/>
      <c r="D131" s="198"/>
      <c r="E131" s="199"/>
      <c r="F131" s="199"/>
      <c r="G131" s="200"/>
      <c r="H131" s="201"/>
      <c r="I131" s="354"/>
      <c r="J131" s="350" t="str">
        <f>IF(Journal[[#This Row],[Transaction '#]]="","",IF(Journal[[#This Row],[Transaction '#]]=C130,J130+1,1))</f>
        <v/>
      </c>
      <c r="K131" s="351" cm="1">
        <f t="array" ref="K131">IFERROR(_xlfn.IFS(Journal[[#This Row],[Debit Account]]="Cash",Journal[[#This Row],[Dr Amt]],Journal[[#This Row],[Credit Account]]="Cash",-Journal[[#This Row],[Cr Amt]]),0)</f>
        <v>0</v>
      </c>
      <c r="L131" s="326" t="str" cm="1">
        <f t="array" ref="L131">IF(Journal[[#This Row],[Transaction '#]]&lt;&gt;"",IFERROR(INDEX(ProblemData!$E$239:$AM$239,1,Journal[[#This Row],[Transaction '#]]),""),"")</f>
        <v/>
      </c>
      <c r="M131" s="352" t="str">
        <f>IF(Journal[[#This Row],[ref1]]="","",IF(NOT(ISBLANK(Journal[[#This Row],[Transaction '#]])),Journal[[#This Row],[ref1]]&amp;Journal[[#This Row],[Movement '#]],""))</f>
        <v/>
      </c>
      <c r="N131" s="1" t="b">
        <f>OR(Journal[[#This Row],[ref1]]="",ISNUMBER(MATCH(Journal[[#This Row],[ref1]], Operating[Abbr], 0)), "Found", "Not Found"="Found")</f>
        <v>1</v>
      </c>
      <c r="O131" s="1"/>
      <c r="P131" s="1" t="str">
        <f>Journal[[#This Row],[Accnt Type]]&amp;"Used"</f>
        <v>Used</v>
      </c>
    </row>
    <row r="132" spans="3:16">
      <c r="C132" s="40"/>
      <c r="D132" s="198"/>
      <c r="E132" s="199"/>
      <c r="F132" s="199"/>
      <c r="G132" s="200"/>
      <c r="H132" s="201"/>
      <c r="I132" s="354"/>
      <c r="J132" s="350" t="str">
        <f>IF(Journal[[#This Row],[Transaction '#]]="","",IF(Journal[[#This Row],[Transaction '#]]=C131,J131+1,1))</f>
        <v/>
      </c>
      <c r="K132" s="351" cm="1">
        <f t="array" ref="K132">IFERROR(_xlfn.IFS(Journal[[#This Row],[Debit Account]]="Cash",Journal[[#This Row],[Dr Amt]],Journal[[#This Row],[Credit Account]]="Cash",-Journal[[#This Row],[Cr Amt]]),0)</f>
        <v>0</v>
      </c>
      <c r="L132" s="326" t="str" cm="1">
        <f t="array" ref="L132">IF(Journal[[#This Row],[Transaction '#]]&lt;&gt;"",IFERROR(INDEX(ProblemData!$E$239:$AM$239,1,Journal[[#This Row],[Transaction '#]]),""),"")</f>
        <v/>
      </c>
      <c r="M132" s="352" t="str">
        <f>IF(Journal[[#This Row],[ref1]]="","",IF(NOT(ISBLANK(Journal[[#This Row],[Transaction '#]])),Journal[[#This Row],[ref1]]&amp;Journal[[#This Row],[Movement '#]],""))</f>
        <v/>
      </c>
      <c r="N132" s="1" t="b">
        <f>OR(Journal[[#This Row],[ref1]]="",ISNUMBER(MATCH(Journal[[#This Row],[ref1]], Operating[Abbr], 0)), "Found", "Not Found"="Found")</f>
        <v>1</v>
      </c>
      <c r="O132" s="1"/>
      <c r="P132" s="1" t="str">
        <f>Journal[[#This Row],[Accnt Type]]&amp;"Used"</f>
        <v>Used</v>
      </c>
    </row>
    <row r="133" spans="3:16">
      <c r="C133" s="40"/>
      <c r="D133" s="198"/>
      <c r="E133" s="199"/>
      <c r="F133" s="199"/>
      <c r="G133" s="200"/>
      <c r="H133" s="201"/>
      <c r="I133" s="354"/>
      <c r="J133" s="350" t="str">
        <f>IF(Journal[[#This Row],[Transaction '#]]="","",IF(Journal[[#This Row],[Transaction '#]]=C132,J132+1,1))</f>
        <v/>
      </c>
      <c r="K133" s="351" cm="1">
        <f t="array" ref="K133">IFERROR(_xlfn.IFS(Journal[[#This Row],[Debit Account]]="Cash",Journal[[#This Row],[Dr Amt]],Journal[[#This Row],[Credit Account]]="Cash",-Journal[[#This Row],[Cr Amt]]),0)</f>
        <v>0</v>
      </c>
      <c r="L133" s="326" t="str" cm="1">
        <f t="array" ref="L133">IF(Journal[[#This Row],[Transaction '#]]&lt;&gt;"",IFERROR(INDEX(ProblemData!$E$239:$AM$239,1,Journal[[#This Row],[Transaction '#]]),""),"")</f>
        <v/>
      </c>
      <c r="M133" s="352" t="str">
        <f>IF(Journal[[#This Row],[ref1]]="","",IF(NOT(ISBLANK(Journal[[#This Row],[Transaction '#]])),Journal[[#This Row],[ref1]]&amp;Journal[[#This Row],[Movement '#]],""))</f>
        <v/>
      </c>
      <c r="N133" s="1" t="b">
        <f>OR(Journal[[#This Row],[ref1]]="",ISNUMBER(MATCH(Journal[[#This Row],[ref1]], Operating[Abbr], 0)), "Found", "Not Found"="Found")</f>
        <v>1</v>
      </c>
      <c r="O133" s="1"/>
      <c r="P133" s="1" t="str">
        <f>Journal[[#This Row],[Accnt Type]]&amp;"Used"</f>
        <v>Used</v>
      </c>
    </row>
    <row r="134" spans="3:16">
      <c r="C134" s="40"/>
      <c r="D134" s="198"/>
      <c r="E134" s="199"/>
      <c r="F134" s="199"/>
      <c r="G134" s="200"/>
      <c r="H134" s="201"/>
      <c r="I134" s="354"/>
      <c r="J134" s="350" t="str">
        <f>IF(Journal[[#This Row],[Transaction '#]]="","",IF(Journal[[#This Row],[Transaction '#]]=C133,J133+1,1))</f>
        <v/>
      </c>
      <c r="K134" s="351" cm="1">
        <f t="array" ref="K134">IFERROR(_xlfn.IFS(Journal[[#This Row],[Debit Account]]="Cash",Journal[[#This Row],[Dr Amt]],Journal[[#This Row],[Credit Account]]="Cash",-Journal[[#This Row],[Cr Amt]]),0)</f>
        <v>0</v>
      </c>
      <c r="L134" s="326" t="str" cm="1">
        <f t="array" ref="L134">IF(Journal[[#This Row],[Transaction '#]]&lt;&gt;"",IFERROR(INDEX(ProblemData!$E$239:$AM$239,1,Journal[[#This Row],[Transaction '#]]),""),"")</f>
        <v/>
      </c>
      <c r="M134" s="352" t="str">
        <f>IF(Journal[[#This Row],[ref1]]="","",IF(NOT(ISBLANK(Journal[[#This Row],[Transaction '#]])),Journal[[#This Row],[ref1]]&amp;Journal[[#This Row],[Movement '#]],""))</f>
        <v/>
      </c>
      <c r="N134" s="1" t="b">
        <f>OR(Journal[[#This Row],[ref1]]="",ISNUMBER(MATCH(Journal[[#This Row],[ref1]], Operating[Abbr], 0)), "Found", "Not Found"="Found")</f>
        <v>1</v>
      </c>
      <c r="O134" s="1"/>
      <c r="P134" s="1" t="str">
        <f>Journal[[#This Row],[Accnt Type]]&amp;"Used"</f>
        <v>Used</v>
      </c>
    </row>
    <row r="135" spans="3:16">
      <c r="C135" s="40"/>
      <c r="D135" s="198"/>
      <c r="E135" s="199"/>
      <c r="F135" s="199"/>
      <c r="G135" s="200"/>
      <c r="H135" s="201"/>
      <c r="I135" s="354"/>
      <c r="J135" s="350" t="str">
        <f>IF(Journal[[#This Row],[Transaction '#]]="","",IF(Journal[[#This Row],[Transaction '#]]=C134,J134+1,1))</f>
        <v/>
      </c>
      <c r="K135" s="351" cm="1">
        <f t="array" ref="K135">IFERROR(_xlfn.IFS(Journal[[#This Row],[Debit Account]]="Cash",Journal[[#This Row],[Dr Amt]],Journal[[#This Row],[Credit Account]]="Cash",-Journal[[#This Row],[Cr Amt]]),0)</f>
        <v>0</v>
      </c>
      <c r="L135" s="326" t="str" cm="1">
        <f t="array" ref="L135">IF(Journal[[#This Row],[Transaction '#]]&lt;&gt;"",IFERROR(INDEX(ProblemData!$E$239:$AM$239,1,Journal[[#This Row],[Transaction '#]]),""),"")</f>
        <v/>
      </c>
      <c r="M135" s="352" t="str">
        <f>IF(Journal[[#This Row],[ref1]]="","",IF(NOT(ISBLANK(Journal[[#This Row],[Transaction '#]])),Journal[[#This Row],[ref1]]&amp;Journal[[#This Row],[Movement '#]],""))</f>
        <v/>
      </c>
      <c r="N135" s="1" t="b">
        <f>OR(Journal[[#This Row],[ref1]]="",ISNUMBER(MATCH(Journal[[#This Row],[ref1]], Operating[Abbr], 0)), "Found", "Not Found"="Found")</f>
        <v>1</v>
      </c>
      <c r="O135" s="1"/>
      <c r="P135" s="1" t="str">
        <f>Journal[[#This Row],[Accnt Type]]&amp;"Used"</f>
        <v>Used</v>
      </c>
    </row>
    <row r="136" spans="3:16">
      <c r="C136" s="40"/>
      <c r="D136" s="198"/>
      <c r="E136" s="199"/>
      <c r="F136" s="199"/>
      <c r="G136" s="200"/>
      <c r="H136" s="201"/>
      <c r="I136" s="354"/>
      <c r="J136" s="350" t="str">
        <f>IF(Journal[[#This Row],[Transaction '#]]="","",IF(Journal[[#This Row],[Transaction '#]]=C135,J135+1,1))</f>
        <v/>
      </c>
      <c r="K136" s="351" cm="1">
        <f t="array" ref="K136">IFERROR(_xlfn.IFS(Journal[[#This Row],[Debit Account]]="Cash",Journal[[#This Row],[Dr Amt]],Journal[[#This Row],[Credit Account]]="Cash",-Journal[[#This Row],[Cr Amt]]),0)</f>
        <v>0</v>
      </c>
      <c r="L136" s="326" t="str" cm="1">
        <f t="array" ref="L136">IF(Journal[[#This Row],[Transaction '#]]&lt;&gt;"",IFERROR(INDEX(ProblemData!$E$239:$AM$239,1,Journal[[#This Row],[Transaction '#]]),""),"")</f>
        <v/>
      </c>
      <c r="M136" s="352" t="str">
        <f>IF(Journal[[#This Row],[ref1]]="","",IF(NOT(ISBLANK(Journal[[#This Row],[Transaction '#]])),Journal[[#This Row],[ref1]]&amp;Journal[[#This Row],[Movement '#]],""))</f>
        <v/>
      </c>
      <c r="N136" s="1" t="b">
        <f>OR(Journal[[#This Row],[ref1]]="",ISNUMBER(MATCH(Journal[[#This Row],[ref1]], Operating[Abbr], 0)), "Found", "Not Found"="Found")</f>
        <v>1</v>
      </c>
      <c r="O136" s="1"/>
      <c r="P136" s="1" t="str">
        <f>Journal[[#This Row],[Accnt Type]]&amp;"Used"</f>
        <v>Used</v>
      </c>
    </row>
    <row r="137" spans="3:16">
      <c r="C137" s="40"/>
      <c r="D137" s="198"/>
      <c r="E137" s="199"/>
      <c r="F137" s="199"/>
      <c r="G137" s="200"/>
      <c r="H137" s="201"/>
      <c r="I137" s="354"/>
      <c r="J137" s="350" t="str">
        <f>IF(Journal[[#This Row],[Transaction '#]]="","",IF(Journal[[#This Row],[Transaction '#]]=C136,J136+1,1))</f>
        <v/>
      </c>
      <c r="K137" s="351" cm="1">
        <f t="array" ref="K137">IFERROR(_xlfn.IFS(Journal[[#This Row],[Debit Account]]="Cash",Journal[[#This Row],[Dr Amt]],Journal[[#This Row],[Credit Account]]="Cash",-Journal[[#This Row],[Cr Amt]]),0)</f>
        <v>0</v>
      </c>
      <c r="L137" s="326" t="str" cm="1">
        <f t="array" ref="L137">IF(Journal[[#This Row],[Transaction '#]]&lt;&gt;"",IFERROR(INDEX(ProblemData!$E$239:$AM$239,1,Journal[[#This Row],[Transaction '#]]),""),"")</f>
        <v/>
      </c>
      <c r="M137" s="352" t="str">
        <f>IF(Journal[[#This Row],[ref1]]="","",IF(NOT(ISBLANK(Journal[[#This Row],[Transaction '#]])),Journal[[#This Row],[ref1]]&amp;Journal[[#This Row],[Movement '#]],""))</f>
        <v/>
      </c>
      <c r="N137" s="1" t="b">
        <f>OR(Journal[[#This Row],[ref1]]="",ISNUMBER(MATCH(Journal[[#This Row],[ref1]], Operating[Abbr], 0)), "Found", "Not Found"="Found")</f>
        <v>1</v>
      </c>
      <c r="O137" s="1"/>
      <c r="P137" s="1" t="str">
        <f>Journal[[#This Row],[Accnt Type]]&amp;"Used"</f>
        <v>Used</v>
      </c>
    </row>
    <row r="138" spans="3:16">
      <c r="C138" s="40"/>
      <c r="D138" s="198"/>
      <c r="E138" s="199"/>
      <c r="F138" s="199"/>
      <c r="G138" s="200"/>
      <c r="H138" s="201"/>
      <c r="I138" s="354"/>
      <c r="J138" s="350" t="str">
        <f>IF(Journal[[#This Row],[Transaction '#]]="","",IF(Journal[[#This Row],[Transaction '#]]=C137,J137+1,1))</f>
        <v/>
      </c>
      <c r="K138" s="351" cm="1">
        <f t="array" ref="K138">IFERROR(_xlfn.IFS(Journal[[#This Row],[Debit Account]]="Cash",Journal[[#This Row],[Dr Amt]],Journal[[#This Row],[Credit Account]]="Cash",-Journal[[#This Row],[Cr Amt]]),0)</f>
        <v>0</v>
      </c>
      <c r="L138" s="326" t="str" cm="1">
        <f t="array" ref="L138">IF(Journal[[#This Row],[Transaction '#]]&lt;&gt;"",IFERROR(INDEX(ProblemData!$E$239:$AM$239,1,Journal[[#This Row],[Transaction '#]]),""),"")</f>
        <v/>
      </c>
      <c r="M138" s="352" t="str">
        <f>IF(Journal[[#This Row],[ref1]]="","",IF(NOT(ISBLANK(Journal[[#This Row],[Transaction '#]])),Journal[[#This Row],[ref1]]&amp;Journal[[#This Row],[Movement '#]],""))</f>
        <v/>
      </c>
      <c r="N138" s="1" t="b">
        <f>OR(Journal[[#This Row],[ref1]]="",ISNUMBER(MATCH(Journal[[#This Row],[ref1]], Operating[Abbr], 0)), "Found", "Not Found"="Found")</f>
        <v>1</v>
      </c>
      <c r="O138" s="1"/>
      <c r="P138" s="1" t="str">
        <f>Journal[[#This Row],[Accnt Type]]&amp;"Used"</f>
        <v>Used</v>
      </c>
    </row>
    <row r="139" spans="3:16">
      <c r="C139" s="40"/>
      <c r="D139" s="198"/>
      <c r="E139" s="199"/>
      <c r="F139" s="199"/>
      <c r="G139" s="200"/>
      <c r="H139" s="201"/>
      <c r="I139" s="354"/>
      <c r="J139" s="350" t="str">
        <f>IF(Journal[[#This Row],[Transaction '#]]="","",IF(Journal[[#This Row],[Transaction '#]]=C138,J138+1,1))</f>
        <v/>
      </c>
      <c r="K139" s="351" cm="1">
        <f t="array" ref="K139">IFERROR(_xlfn.IFS(Journal[[#This Row],[Debit Account]]="Cash",Journal[[#This Row],[Dr Amt]],Journal[[#This Row],[Credit Account]]="Cash",-Journal[[#This Row],[Cr Amt]]),0)</f>
        <v>0</v>
      </c>
      <c r="L139" s="326" t="str" cm="1">
        <f t="array" ref="L139">IF(Journal[[#This Row],[Transaction '#]]&lt;&gt;"",IFERROR(INDEX(ProblemData!$E$239:$AM$239,1,Journal[[#This Row],[Transaction '#]]),""),"")</f>
        <v/>
      </c>
      <c r="M139" s="352" t="str">
        <f>IF(Journal[[#This Row],[ref1]]="","",IF(NOT(ISBLANK(Journal[[#This Row],[Transaction '#]])),Journal[[#This Row],[ref1]]&amp;Journal[[#This Row],[Movement '#]],""))</f>
        <v/>
      </c>
      <c r="N139" s="1" t="b">
        <f>OR(Journal[[#This Row],[ref1]]="",ISNUMBER(MATCH(Journal[[#This Row],[ref1]], Operating[Abbr], 0)), "Found", "Not Found"="Found")</f>
        <v>1</v>
      </c>
      <c r="O139" s="1"/>
      <c r="P139" s="1" t="str">
        <f>Journal[[#This Row],[Accnt Type]]&amp;"Used"</f>
        <v>Used</v>
      </c>
    </row>
    <row r="140" spans="3:16">
      <c r="C140" s="40"/>
      <c r="D140" s="198"/>
      <c r="E140" s="199"/>
      <c r="F140" s="199"/>
      <c r="G140" s="200"/>
      <c r="H140" s="201"/>
      <c r="I140" s="354"/>
      <c r="J140" s="350" t="str">
        <f>IF(Journal[[#This Row],[Transaction '#]]="","",IF(Journal[[#This Row],[Transaction '#]]=C139,J139+1,1))</f>
        <v/>
      </c>
      <c r="K140" s="351" cm="1">
        <f t="array" ref="K140">IFERROR(_xlfn.IFS(Journal[[#This Row],[Debit Account]]="Cash",Journal[[#This Row],[Dr Amt]],Journal[[#This Row],[Credit Account]]="Cash",-Journal[[#This Row],[Cr Amt]]),0)</f>
        <v>0</v>
      </c>
      <c r="L140" s="326" t="str" cm="1">
        <f t="array" ref="L140">IF(Journal[[#This Row],[Transaction '#]]&lt;&gt;"",IFERROR(INDEX(ProblemData!$E$239:$AM$239,1,Journal[[#This Row],[Transaction '#]]),""),"")</f>
        <v/>
      </c>
      <c r="M140" s="352" t="str">
        <f>IF(Journal[[#This Row],[ref1]]="","",IF(NOT(ISBLANK(Journal[[#This Row],[Transaction '#]])),Journal[[#This Row],[ref1]]&amp;Journal[[#This Row],[Movement '#]],""))</f>
        <v/>
      </c>
      <c r="N140" s="1" t="b">
        <f>OR(Journal[[#This Row],[ref1]]="",ISNUMBER(MATCH(Journal[[#This Row],[ref1]], Operating[Abbr], 0)), "Found", "Not Found"="Found")</f>
        <v>1</v>
      </c>
      <c r="O140" s="1"/>
      <c r="P140" s="1" t="str">
        <f>Journal[[#This Row],[Accnt Type]]&amp;"Used"</f>
        <v>Used</v>
      </c>
    </row>
    <row r="141" spans="3:16">
      <c r="C141" s="40"/>
      <c r="D141" s="198"/>
      <c r="E141" s="199"/>
      <c r="F141" s="199"/>
      <c r="G141" s="200"/>
      <c r="H141" s="201"/>
      <c r="I141" s="354"/>
      <c r="J141" s="350" t="str">
        <f>IF(Journal[[#This Row],[Transaction '#]]="","",IF(Journal[[#This Row],[Transaction '#]]=C140,J140+1,1))</f>
        <v/>
      </c>
      <c r="K141" s="351" cm="1">
        <f t="array" ref="K141">IFERROR(_xlfn.IFS(Journal[[#This Row],[Debit Account]]="Cash",Journal[[#This Row],[Dr Amt]],Journal[[#This Row],[Credit Account]]="Cash",-Journal[[#This Row],[Cr Amt]]),0)</f>
        <v>0</v>
      </c>
      <c r="L141" s="326" t="str" cm="1">
        <f t="array" ref="L141">IF(Journal[[#This Row],[Transaction '#]]&lt;&gt;"",IFERROR(INDEX(ProblemData!$E$239:$AM$239,1,Journal[[#This Row],[Transaction '#]]),""),"")</f>
        <v/>
      </c>
      <c r="M141" s="352" t="str">
        <f>IF(Journal[[#This Row],[ref1]]="","",IF(NOT(ISBLANK(Journal[[#This Row],[Transaction '#]])),Journal[[#This Row],[ref1]]&amp;Journal[[#This Row],[Movement '#]],""))</f>
        <v/>
      </c>
      <c r="N141" s="1" t="b">
        <f>OR(Journal[[#This Row],[ref1]]="",ISNUMBER(MATCH(Journal[[#This Row],[ref1]], Operating[Abbr], 0)), "Found", "Not Found"="Found")</f>
        <v>1</v>
      </c>
      <c r="O141" s="1"/>
      <c r="P141" s="1" t="str">
        <f>Journal[[#This Row],[Accnt Type]]&amp;"Used"</f>
        <v>Used</v>
      </c>
    </row>
    <row r="142" spans="3:16">
      <c r="C142" s="40"/>
      <c r="D142" s="198"/>
      <c r="E142" s="199"/>
      <c r="F142" s="199"/>
      <c r="G142" s="200"/>
      <c r="H142" s="201"/>
      <c r="I142" s="354"/>
      <c r="J142" s="350" t="str">
        <f>IF(Journal[[#This Row],[Transaction '#]]="","",IF(Journal[[#This Row],[Transaction '#]]=C141,J141+1,1))</f>
        <v/>
      </c>
      <c r="K142" s="351" cm="1">
        <f t="array" ref="K142">IFERROR(_xlfn.IFS(Journal[[#This Row],[Debit Account]]="Cash",Journal[[#This Row],[Dr Amt]],Journal[[#This Row],[Credit Account]]="Cash",-Journal[[#This Row],[Cr Amt]]),0)</f>
        <v>0</v>
      </c>
      <c r="L142" s="326" t="str" cm="1">
        <f t="array" ref="L142">IF(Journal[[#This Row],[Transaction '#]]&lt;&gt;"",IFERROR(INDEX(ProblemData!$E$239:$AM$239,1,Journal[[#This Row],[Transaction '#]]),""),"")</f>
        <v/>
      </c>
      <c r="M142" s="352" t="str">
        <f>IF(Journal[[#This Row],[ref1]]="","",IF(NOT(ISBLANK(Journal[[#This Row],[Transaction '#]])),Journal[[#This Row],[ref1]]&amp;Journal[[#This Row],[Movement '#]],""))</f>
        <v/>
      </c>
      <c r="N142" s="1" t="b">
        <f>OR(Journal[[#This Row],[ref1]]="",ISNUMBER(MATCH(Journal[[#This Row],[ref1]], Operating[Abbr], 0)), "Found", "Not Found"="Found")</f>
        <v>1</v>
      </c>
      <c r="O142" s="1"/>
      <c r="P142" s="1" t="str">
        <f>Journal[[#This Row],[Accnt Type]]&amp;"Used"</f>
        <v>Used</v>
      </c>
    </row>
    <row r="143" spans="3:16">
      <c r="C143" s="40"/>
      <c r="D143" s="198"/>
      <c r="E143" s="199"/>
      <c r="F143" s="199"/>
      <c r="G143" s="200"/>
      <c r="H143" s="201"/>
      <c r="I143" s="354"/>
      <c r="J143" s="350" t="str">
        <f>IF(Journal[[#This Row],[Transaction '#]]="","",IF(Journal[[#This Row],[Transaction '#]]=C142,J142+1,1))</f>
        <v/>
      </c>
      <c r="K143" s="351" cm="1">
        <f t="array" ref="K143">IFERROR(_xlfn.IFS(Journal[[#This Row],[Debit Account]]="Cash",Journal[[#This Row],[Dr Amt]],Journal[[#This Row],[Credit Account]]="Cash",-Journal[[#This Row],[Cr Amt]]),0)</f>
        <v>0</v>
      </c>
      <c r="L143" s="326" t="str" cm="1">
        <f t="array" ref="L143">IF(Journal[[#This Row],[Transaction '#]]&lt;&gt;"",IFERROR(INDEX(ProblemData!$E$239:$AM$239,1,Journal[[#This Row],[Transaction '#]]),""),"")</f>
        <v/>
      </c>
      <c r="M143" s="352" t="str">
        <f>IF(Journal[[#This Row],[ref1]]="","",IF(NOT(ISBLANK(Journal[[#This Row],[Transaction '#]])),Journal[[#This Row],[ref1]]&amp;Journal[[#This Row],[Movement '#]],""))</f>
        <v/>
      </c>
      <c r="N143" s="1" t="b">
        <f>OR(Journal[[#This Row],[ref1]]="",ISNUMBER(MATCH(Journal[[#This Row],[ref1]], Operating[Abbr], 0)), "Found", "Not Found"="Found")</f>
        <v>1</v>
      </c>
      <c r="O143" s="1"/>
      <c r="P143" s="1" t="str">
        <f>Journal[[#This Row],[Accnt Type]]&amp;"Used"</f>
        <v>Used</v>
      </c>
    </row>
    <row r="144" spans="3:16">
      <c r="C144" s="40"/>
      <c r="D144" s="198"/>
      <c r="E144" s="199"/>
      <c r="F144" s="199"/>
      <c r="G144" s="200"/>
      <c r="H144" s="201"/>
      <c r="I144" s="354"/>
      <c r="J144" s="350" t="str">
        <f>IF(Journal[[#This Row],[Transaction '#]]="","",IF(Journal[[#This Row],[Transaction '#]]=C143,J143+1,1))</f>
        <v/>
      </c>
      <c r="K144" s="351" cm="1">
        <f t="array" ref="K144">IFERROR(_xlfn.IFS(Journal[[#This Row],[Debit Account]]="Cash",Journal[[#This Row],[Dr Amt]],Journal[[#This Row],[Credit Account]]="Cash",-Journal[[#This Row],[Cr Amt]]),0)</f>
        <v>0</v>
      </c>
      <c r="L144" s="326" t="str" cm="1">
        <f t="array" ref="L144">IF(Journal[[#This Row],[Transaction '#]]&lt;&gt;"",IFERROR(INDEX(ProblemData!$E$239:$AM$239,1,Journal[[#This Row],[Transaction '#]]),""),"")</f>
        <v/>
      </c>
      <c r="M144" s="352" t="str">
        <f>IF(Journal[[#This Row],[ref1]]="","",IF(NOT(ISBLANK(Journal[[#This Row],[Transaction '#]])),Journal[[#This Row],[ref1]]&amp;Journal[[#This Row],[Movement '#]],""))</f>
        <v/>
      </c>
      <c r="N144" s="1" t="b">
        <f>OR(Journal[[#This Row],[ref1]]="",ISNUMBER(MATCH(Journal[[#This Row],[ref1]], Operating[Abbr], 0)), "Found", "Not Found"="Found")</f>
        <v>1</v>
      </c>
      <c r="O144" s="1"/>
      <c r="P144" s="1" t="str">
        <f>Journal[[#This Row],[Accnt Type]]&amp;"Used"</f>
        <v>Used</v>
      </c>
    </row>
    <row r="145" spans="3:16">
      <c r="C145" s="40"/>
      <c r="D145" s="198"/>
      <c r="E145" s="199"/>
      <c r="F145" s="199"/>
      <c r="G145" s="200"/>
      <c r="H145" s="201"/>
      <c r="I145" s="354"/>
      <c r="J145" s="350" t="str">
        <f>IF(Journal[[#This Row],[Transaction '#]]="","",IF(Journal[[#This Row],[Transaction '#]]=C144,J144+1,1))</f>
        <v/>
      </c>
      <c r="K145" s="351" cm="1">
        <f t="array" ref="K145">IFERROR(_xlfn.IFS(Journal[[#This Row],[Debit Account]]="Cash",Journal[[#This Row],[Dr Amt]],Journal[[#This Row],[Credit Account]]="Cash",-Journal[[#This Row],[Cr Amt]]),0)</f>
        <v>0</v>
      </c>
      <c r="L145" s="326" t="str" cm="1">
        <f t="array" ref="L145">IF(Journal[[#This Row],[Transaction '#]]&lt;&gt;"",IFERROR(INDEX(ProblemData!$E$239:$AM$239,1,Journal[[#This Row],[Transaction '#]]),""),"")</f>
        <v/>
      </c>
      <c r="M145" s="352" t="str">
        <f>IF(Journal[[#This Row],[ref1]]="","",IF(NOT(ISBLANK(Journal[[#This Row],[Transaction '#]])),Journal[[#This Row],[ref1]]&amp;Journal[[#This Row],[Movement '#]],""))</f>
        <v/>
      </c>
      <c r="N145" s="1" t="b">
        <f>OR(Journal[[#This Row],[ref1]]="",ISNUMBER(MATCH(Journal[[#This Row],[ref1]], Operating[Abbr], 0)), "Found", "Not Found"="Found")</f>
        <v>1</v>
      </c>
      <c r="O145" s="1"/>
      <c r="P145" s="1" t="str">
        <f>Journal[[#This Row],[Accnt Type]]&amp;"Used"</f>
        <v>Used</v>
      </c>
    </row>
    <row r="146" spans="3:16">
      <c r="C146" s="40"/>
      <c r="D146" s="198"/>
      <c r="E146" s="199"/>
      <c r="F146" s="199"/>
      <c r="G146" s="200"/>
      <c r="H146" s="201"/>
      <c r="I146" s="354"/>
      <c r="J146" s="350" t="str">
        <f>IF(Journal[[#This Row],[Transaction '#]]="","",IF(Journal[[#This Row],[Transaction '#]]=C145,J145+1,1))</f>
        <v/>
      </c>
      <c r="K146" s="351" cm="1">
        <f t="array" ref="K146">IFERROR(_xlfn.IFS(Journal[[#This Row],[Debit Account]]="Cash",Journal[[#This Row],[Dr Amt]],Journal[[#This Row],[Credit Account]]="Cash",-Journal[[#This Row],[Cr Amt]]),0)</f>
        <v>0</v>
      </c>
      <c r="L146" s="326" t="str" cm="1">
        <f t="array" ref="L146">IF(Journal[[#This Row],[Transaction '#]]&lt;&gt;"",IFERROR(INDEX(ProblemData!$E$239:$AM$239,1,Journal[[#This Row],[Transaction '#]]),""),"")</f>
        <v/>
      </c>
      <c r="M146" s="352" t="str">
        <f>IF(Journal[[#This Row],[ref1]]="","",IF(NOT(ISBLANK(Journal[[#This Row],[Transaction '#]])),Journal[[#This Row],[ref1]]&amp;Journal[[#This Row],[Movement '#]],""))</f>
        <v/>
      </c>
      <c r="N146" s="1" t="b">
        <f>OR(Journal[[#This Row],[ref1]]="",ISNUMBER(MATCH(Journal[[#This Row],[ref1]], Operating[Abbr], 0)), "Found", "Not Found"="Found")</f>
        <v>1</v>
      </c>
      <c r="O146" s="1"/>
      <c r="P146" s="1" t="str">
        <f>Journal[[#This Row],[Accnt Type]]&amp;"Used"</f>
        <v>Used</v>
      </c>
    </row>
    <row r="147" spans="3:16">
      <c r="C147" s="40"/>
      <c r="D147" s="198"/>
      <c r="E147" s="199"/>
      <c r="F147" s="199"/>
      <c r="G147" s="200"/>
      <c r="H147" s="201"/>
      <c r="I147" s="354"/>
      <c r="J147" s="350" t="str">
        <f>IF(Journal[[#This Row],[Transaction '#]]="","",IF(Journal[[#This Row],[Transaction '#]]=C146,J146+1,1))</f>
        <v/>
      </c>
      <c r="K147" s="351" cm="1">
        <f t="array" ref="K147">IFERROR(_xlfn.IFS(Journal[[#This Row],[Debit Account]]="Cash",Journal[[#This Row],[Dr Amt]],Journal[[#This Row],[Credit Account]]="Cash",-Journal[[#This Row],[Cr Amt]]),0)</f>
        <v>0</v>
      </c>
      <c r="L147" s="326" t="str" cm="1">
        <f t="array" ref="L147">IF(Journal[[#This Row],[Transaction '#]]&lt;&gt;"",IFERROR(INDEX(ProblemData!$E$239:$AM$239,1,Journal[[#This Row],[Transaction '#]]),""),"")</f>
        <v/>
      </c>
      <c r="M147" s="352" t="str">
        <f>IF(Journal[[#This Row],[ref1]]="","",IF(NOT(ISBLANK(Journal[[#This Row],[Transaction '#]])),Journal[[#This Row],[ref1]]&amp;Journal[[#This Row],[Movement '#]],""))</f>
        <v/>
      </c>
      <c r="N147" s="1" t="b">
        <f>OR(Journal[[#This Row],[ref1]]="",ISNUMBER(MATCH(Journal[[#This Row],[ref1]], Operating[Abbr], 0)), "Found", "Not Found"="Found")</f>
        <v>1</v>
      </c>
      <c r="O147" s="1"/>
      <c r="P147" s="1" t="str">
        <f>Journal[[#This Row],[Accnt Type]]&amp;"Used"</f>
        <v>Used</v>
      </c>
    </row>
    <row r="148" spans="3:16">
      <c r="C148" s="40"/>
      <c r="D148" s="198"/>
      <c r="E148" s="199"/>
      <c r="F148" s="199"/>
      <c r="G148" s="200"/>
      <c r="H148" s="201"/>
      <c r="I148" s="354"/>
      <c r="J148" s="350" t="str">
        <f>IF(Journal[[#This Row],[Transaction '#]]="","",IF(Journal[[#This Row],[Transaction '#]]=C147,J147+1,1))</f>
        <v/>
      </c>
      <c r="K148" s="351" cm="1">
        <f t="array" ref="K148">IFERROR(_xlfn.IFS(Journal[[#This Row],[Debit Account]]="Cash",Journal[[#This Row],[Dr Amt]],Journal[[#This Row],[Credit Account]]="Cash",-Journal[[#This Row],[Cr Amt]]),0)</f>
        <v>0</v>
      </c>
      <c r="L148" s="326" t="str" cm="1">
        <f t="array" ref="L148">IF(Journal[[#This Row],[Transaction '#]]&lt;&gt;"",IFERROR(INDEX(ProblemData!$E$239:$AM$239,1,Journal[[#This Row],[Transaction '#]]),""),"")</f>
        <v/>
      </c>
      <c r="M148" s="352" t="str">
        <f>IF(Journal[[#This Row],[ref1]]="","",IF(NOT(ISBLANK(Journal[[#This Row],[Transaction '#]])),Journal[[#This Row],[ref1]]&amp;Journal[[#This Row],[Movement '#]],""))</f>
        <v/>
      </c>
      <c r="N148" s="1" t="b">
        <f>OR(Journal[[#This Row],[ref1]]="",ISNUMBER(MATCH(Journal[[#This Row],[ref1]], Operating[Abbr], 0)), "Found", "Not Found"="Found")</f>
        <v>1</v>
      </c>
      <c r="O148" s="1"/>
      <c r="P148" s="1" t="str">
        <f>Journal[[#This Row],[Accnt Type]]&amp;"Used"</f>
        <v>Used</v>
      </c>
    </row>
    <row r="149" spans="3:16">
      <c r="C149" s="40"/>
      <c r="D149" s="198"/>
      <c r="E149" s="199"/>
      <c r="F149" s="199"/>
      <c r="G149" s="200"/>
      <c r="H149" s="201"/>
      <c r="I149" s="354"/>
      <c r="J149" s="350" t="str">
        <f>IF(Journal[[#This Row],[Transaction '#]]="","",IF(Journal[[#This Row],[Transaction '#]]=C148,J148+1,1))</f>
        <v/>
      </c>
      <c r="K149" s="351" cm="1">
        <f t="array" ref="K149">IFERROR(_xlfn.IFS(Journal[[#This Row],[Debit Account]]="Cash",Journal[[#This Row],[Dr Amt]],Journal[[#This Row],[Credit Account]]="Cash",-Journal[[#This Row],[Cr Amt]]),0)</f>
        <v>0</v>
      </c>
      <c r="L149" s="326" t="str" cm="1">
        <f t="array" ref="L149">IF(Journal[[#This Row],[Transaction '#]]&lt;&gt;"",IFERROR(INDEX(ProblemData!$E$239:$AM$239,1,Journal[[#This Row],[Transaction '#]]),""),"")</f>
        <v/>
      </c>
      <c r="M149" s="352" t="str">
        <f>IF(Journal[[#This Row],[ref1]]="","",IF(NOT(ISBLANK(Journal[[#This Row],[Transaction '#]])),Journal[[#This Row],[ref1]]&amp;Journal[[#This Row],[Movement '#]],""))</f>
        <v/>
      </c>
      <c r="N149" s="1" t="b">
        <f>OR(Journal[[#This Row],[ref1]]="",ISNUMBER(MATCH(Journal[[#This Row],[ref1]], Operating[Abbr], 0)), "Found", "Not Found"="Found")</f>
        <v>1</v>
      </c>
      <c r="O149" s="1"/>
      <c r="P149" s="1" t="str">
        <f>Journal[[#This Row],[Accnt Type]]&amp;"Used"</f>
        <v>Used</v>
      </c>
    </row>
    <row r="150" spans="3:16">
      <c r="C150" s="40"/>
      <c r="D150" s="198"/>
      <c r="E150" s="199"/>
      <c r="F150" s="199"/>
      <c r="G150" s="200"/>
      <c r="H150" s="201"/>
      <c r="I150" s="354"/>
      <c r="J150" s="350" t="str">
        <f>IF(Journal[[#This Row],[Transaction '#]]="","",IF(Journal[[#This Row],[Transaction '#]]=C149,J149+1,1))</f>
        <v/>
      </c>
      <c r="K150" s="351" cm="1">
        <f t="array" ref="K150">IFERROR(_xlfn.IFS(Journal[[#This Row],[Debit Account]]="Cash",Journal[[#This Row],[Dr Amt]],Journal[[#This Row],[Credit Account]]="Cash",-Journal[[#This Row],[Cr Amt]]),0)</f>
        <v>0</v>
      </c>
      <c r="L150" s="326" t="str" cm="1">
        <f t="array" ref="L150">IF(Journal[[#This Row],[Transaction '#]]&lt;&gt;"",IFERROR(INDEX(ProblemData!$E$239:$AM$239,1,Journal[[#This Row],[Transaction '#]]),""),"")</f>
        <v/>
      </c>
      <c r="M150" s="352" t="str">
        <f>IF(Journal[[#This Row],[ref1]]="","",IF(NOT(ISBLANK(Journal[[#This Row],[Transaction '#]])),Journal[[#This Row],[ref1]]&amp;Journal[[#This Row],[Movement '#]],""))</f>
        <v/>
      </c>
      <c r="N150" s="1" t="b">
        <f>OR(Journal[[#This Row],[ref1]]="",ISNUMBER(MATCH(Journal[[#This Row],[ref1]], Operating[Abbr], 0)), "Found", "Not Found"="Found")</f>
        <v>1</v>
      </c>
      <c r="O150" s="1"/>
      <c r="P150" s="1" t="str">
        <f>Journal[[#This Row],[Accnt Type]]&amp;"Used"</f>
        <v>Used</v>
      </c>
    </row>
    <row r="151" spans="3:16">
      <c r="C151" s="40"/>
      <c r="D151" s="198"/>
      <c r="E151" s="199"/>
      <c r="F151" s="199"/>
      <c r="G151" s="200"/>
      <c r="H151" s="201"/>
      <c r="I151" s="354"/>
      <c r="J151" s="350" t="str">
        <f>IF(Journal[[#This Row],[Transaction '#]]="","",IF(Journal[[#This Row],[Transaction '#]]=C150,J150+1,1))</f>
        <v/>
      </c>
      <c r="K151" s="351" cm="1">
        <f t="array" ref="K151">IFERROR(_xlfn.IFS(Journal[[#This Row],[Debit Account]]="Cash",Journal[[#This Row],[Dr Amt]],Journal[[#This Row],[Credit Account]]="Cash",-Journal[[#This Row],[Cr Amt]]),0)</f>
        <v>0</v>
      </c>
      <c r="L151" s="326" t="str" cm="1">
        <f t="array" ref="L151">IF(Journal[[#This Row],[Transaction '#]]&lt;&gt;"",IFERROR(INDEX(ProblemData!$E$239:$AM$239,1,Journal[[#This Row],[Transaction '#]]),""),"")</f>
        <v/>
      </c>
      <c r="M151" s="352" t="str">
        <f>IF(Journal[[#This Row],[ref1]]="","",IF(NOT(ISBLANK(Journal[[#This Row],[Transaction '#]])),Journal[[#This Row],[ref1]]&amp;Journal[[#This Row],[Movement '#]],""))</f>
        <v/>
      </c>
      <c r="N151" s="1" t="b">
        <f>OR(Journal[[#This Row],[ref1]]="",ISNUMBER(MATCH(Journal[[#This Row],[ref1]], Operating[Abbr], 0)), "Found", "Not Found"="Found")</f>
        <v>1</v>
      </c>
      <c r="O151" s="1"/>
      <c r="P151" s="1" t="str">
        <f>Journal[[#This Row],[Accnt Type]]&amp;"Used"</f>
        <v>Used</v>
      </c>
    </row>
    <row r="152" spans="3:16">
      <c r="C152" s="40"/>
      <c r="D152" s="198"/>
      <c r="E152" s="199"/>
      <c r="F152" s="199"/>
      <c r="G152" s="200"/>
      <c r="H152" s="201"/>
      <c r="I152" s="354"/>
      <c r="J152" s="350" t="str">
        <f>IF(Journal[[#This Row],[Transaction '#]]="","",IF(Journal[[#This Row],[Transaction '#]]=C151,J151+1,1))</f>
        <v/>
      </c>
      <c r="K152" s="351" cm="1">
        <f t="array" ref="K152">IFERROR(_xlfn.IFS(Journal[[#This Row],[Debit Account]]="Cash",Journal[[#This Row],[Dr Amt]],Journal[[#This Row],[Credit Account]]="Cash",-Journal[[#This Row],[Cr Amt]]),0)</f>
        <v>0</v>
      </c>
      <c r="L152" s="326" t="str" cm="1">
        <f t="array" ref="L152">IF(Journal[[#This Row],[Transaction '#]]&lt;&gt;"",IFERROR(INDEX(ProblemData!$E$239:$AM$239,1,Journal[[#This Row],[Transaction '#]]),""),"")</f>
        <v/>
      </c>
      <c r="M152" s="352" t="str">
        <f>IF(Journal[[#This Row],[ref1]]="","",IF(NOT(ISBLANK(Journal[[#This Row],[Transaction '#]])),Journal[[#This Row],[ref1]]&amp;Journal[[#This Row],[Movement '#]],""))</f>
        <v/>
      </c>
      <c r="N152" s="1" t="b">
        <f>OR(Journal[[#This Row],[ref1]]="",ISNUMBER(MATCH(Journal[[#This Row],[ref1]], Operating[Abbr], 0)), "Found", "Not Found"="Found")</f>
        <v>1</v>
      </c>
      <c r="O152" s="1"/>
      <c r="P152" s="1" t="str">
        <f>Journal[[#This Row],[Accnt Type]]&amp;"Used"</f>
        <v>Used</v>
      </c>
    </row>
    <row r="153" spans="3:16">
      <c r="C153" s="40"/>
      <c r="D153" s="198"/>
      <c r="E153" s="199"/>
      <c r="F153" s="199"/>
      <c r="G153" s="200"/>
      <c r="H153" s="201"/>
      <c r="I153" s="354"/>
      <c r="J153" s="350" t="str">
        <f>IF(Journal[[#This Row],[Transaction '#]]="","",IF(Journal[[#This Row],[Transaction '#]]=C152,J152+1,1))</f>
        <v/>
      </c>
      <c r="K153" s="351" cm="1">
        <f t="array" ref="K153">IFERROR(_xlfn.IFS(Journal[[#This Row],[Debit Account]]="Cash",Journal[[#This Row],[Dr Amt]],Journal[[#This Row],[Credit Account]]="Cash",-Journal[[#This Row],[Cr Amt]]),0)</f>
        <v>0</v>
      </c>
      <c r="L153" s="326" t="str" cm="1">
        <f t="array" ref="L153">IF(Journal[[#This Row],[Transaction '#]]&lt;&gt;"",IFERROR(INDEX(ProblemData!$E$239:$AM$239,1,Journal[[#This Row],[Transaction '#]]),""),"")</f>
        <v/>
      </c>
      <c r="M153" s="352" t="str">
        <f>IF(Journal[[#This Row],[ref1]]="","",IF(NOT(ISBLANK(Journal[[#This Row],[Transaction '#]])),Journal[[#This Row],[ref1]]&amp;Journal[[#This Row],[Movement '#]],""))</f>
        <v/>
      </c>
      <c r="N153" s="1" t="b">
        <f>OR(Journal[[#This Row],[ref1]]="",ISNUMBER(MATCH(Journal[[#This Row],[ref1]], Operating[Abbr], 0)), "Found", "Not Found"="Found")</f>
        <v>1</v>
      </c>
      <c r="O153" s="1"/>
      <c r="P153" s="1" t="str">
        <f>Journal[[#This Row],[Accnt Type]]&amp;"Used"</f>
        <v>Used</v>
      </c>
    </row>
    <row r="154" spans="3:16">
      <c r="C154" s="40"/>
      <c r="D154" s="198"/>
      <c r="E154" s="199"/>
      <c r="F154" s="199"/>
      <c r="G154" s="200"/>
      <c r="H154" s="201"/>
      <c r="I154" s="354"/>
      <c r="J154" s="350" t="str">
        <f>IF(Journal[[#This Row],[Transaction '#]]="","",IF(Journal[[#This Row],[Transaction '#]]=C153,J153+1,1))</f>
        <v/>
      </c>
      <c r="K154" s="351" cm="1">
        <f t="array" ref="K154">IFERROR(_xlfn.IFS(Journal[[#This Row],[Debit Account]]="Cash",Journal[[#This Row],[Dr Amt]],Journal[[#This Row],[Credit Account]]="Cash",-Journal[[#This Row],[Cr Amt]]),0)</f>
        <v>0</v>
      </c>
      <c r="L154" s="326" t="str" cm="1">
        <f t="array" ref="L154">IF(Journal[[#This Row],[Transaction '#]]&lt;&gt;"",IFERROR(INDEX(ProblemData!$E$239:$AM$239,1,Journal[[#This Row],[Transaction '#]]),""),"")</f>
        <v/>
      </c>
      <c r="M154" s="352" t="str">
        <f>IF(Journal[[#This Row],[ref1]]="","",IF(NOT(ISBLANK(Journal[[#This Row],[Transaction '#]])),Journal[[#This Row],[ref1]]&amp;Journal[[#This Row],[Movement '#]],""))</f>
        <v/>
      </c>
      <c r="N154" s="1" t="b">
        <f>OR(Journal[[#This Row],[ref1]]="",ISNUMBER(MATCH(Journal[[#This Row],[ref1]], Operating[Abbr], 0)), "Found", "Not Found"="Found")</f>
        <v>1</v>
      </c>
      <c r="O154" s="1"/>
      <c r="P154" s="1" t="str">
        <f>Journal[[#This Row],[Accnt Type]]&amp;"Used"</f>
        <v>Used</v>
      </c>
    </row>
    <row r="155" spans="3:16">
      <c r="C155" s="40"/>
      <c r="D155" s="198"/>
      <c r="E155" s="199"/>
      <c r="F155" s="199"/>
      <c r="G155" s="200"/>
      <c r="H155" s="201"/>
      <c r="I155" s="354"/>
      <c r="J155" s="350" t="str">
        <f>IF(Journal[[#This Row],[Transaction '#]]="","",IF(Journal[[#This Row],[Transaction '#]]=C154,J154+1,1))</f>
        <v/>
      </c>
      <c r="K155" s="351" cm="1">
        <f t="array" ref="K155">IFERROR(_xlfn.IFS(Journal[[#This Row],[Debit Account]]="Cash",Journal[[#This Row],[Dr Amt]],Journal[[#This Row],[Credit Account]]="Cash",-Journal[[#This Row],[Cr Amt]]),0)</f>
        <v>0</v>
      </c>
      <c r="L155" s="326" t="str" cm="1">
        <f t="array" ref="L155">IF(Journal[[#This Row],[Transaction '#]]&lt;&gt;"",IFERROR(INDEX(ProblemData!$E$239:$AM$239,1,Journal[[#This Row],[Transaction '#]]),""),"")</f>
        <v/>
      </c>
      <c r="M155" s="352" t="str">
        <f>IF(Journal[[#This Row],[ref1]]="","",IF(NOT(ISBLANK(Journal[[#This Row],[Transaction '#]])),Journal[[#This Row],[ref1]]&amp;Journal[[#This Row],[Movement '#]],""))</f>
        <v/>
      </c>
      <c r="N155" s="1" t="b">
        <f>OR(Journal[[#This Row],[ref1]]="",ISNUMBER(MATCH(Journal[[#This Row],[ref1]], Operating[Abbr], 0)), "Found", "Not Found"="Found")</f>
        <v>1</v>
      </c>
      <c r="O155" s="1"/>
      <c r="P155" s="1" t="str">
        <f>Journal[[#This Row],[Accnt Type]]&amp;"Used"</f>
        <v>Used</v>
      </c>
    </row>
    <row r="156" spans="3:16">
      <c r="C156" s="40"/>
      <c r="D156" s="198"/>
      <c r="E156" s="199"/>
      <c r="F156" s="199"/>
      <c r="G156" s="200"/>
      <c r="H156" s="201"/>
      <c r="I156" s="354"/>
      <c r="J156" s="350" t="str">
        <f>IF(Journal[[#This Row],[Transaction '#]]="","",IF(Journal[[#This Row],[Transaction '#]]=C155,J155+1,1))</f>
        <v/>
      </c>
      <c r="K156" s="351" cm="1">
        <f t="array" ref="K156">IFERROR(_xlfn.IFS(Journal[[#This Row],[Debit Account]]="Cash",Journal[[#This Row],[Dr Amt]],Journal[[#This Row],[Credit Account]]="Cash",-Journal[[#This Row],[Cr Amt]]),0)</f>
        <v>0</v>
      </c>
      <c r="L156" s="326" t="str" cm="1">
        <f t="array" ref="L156">IF(Journal[[#This Row],[Transaction '#]]&lt;&gt;"",IFERROR(INDEX(ProblemData!$E$239:$AM$239,1,Journal[[#This Row],[Transaction '#]]),""),"")</f>
        <v/>
      </c>
      <c r="M156" s="352" t="str">
        <f>IF(Journal[[#This Row],[ref1]]="","",IF(NOT(ISBLANK(Journal[[#This Row],[Transaction '#]])),Journal[[#This Row],[ref1]]&amp;Journal[[#This Row],[Movement '#]],""))</f>
        <v/>
      </c>
      <c r="N156" s="1" t="b">
        <f>OR(Journal[[#This Row],[ref1]]="",ISNUMBER(MATCH(Journal[[#This Row],[ref1]], Operating[Abbr], 0)), "Found", "Not Found"="Found")</f>
        <v>1</v>
      </c>
      <c r="O156" s="1"/>
      <c r="P156" s="1" t="str">
        <f>Journal[[#This Row],[Accnt Type]]&amp;"Used"</f>
        <v>Used</v>
      </c>
    </row>
    <row r="157" spans="3:16">
      <c r="C157" s="40"/>
      <c r="D157" s="198"/>
      <c r="E157" s="199"/>
      <c r="F157" s="199"/>
      <c r="G157" s="200"/>
      <c r="H157" s="201"/>
      <c r="I157" s="354"/>
      <c r="J157" s="350" t="str">
        <f>IF(Journal[[#This Row],[Transaction '#]]="","",IF(Journal[[#This Row],[Transaction '#]]=C156,J156+1,1))</f>
        <v/>
      </c>
      <c r="K157" s="351" cm="1">
        <f t="array" ref="K157">IFERROR(_xlfn.IFS(Journal[[#This Row],[Debit Account]]="Cash",Journal[[#This Row],[Dr Amt]],Journal[[#This Row],[Credit Account]]="Cash",-Journal[[#This Row],[Cr Amt]]),0)</f>
        <v>0</v>
      </c>
      <c r="L157" s="326" t="str" cm="1">
        <f t="array" ref="L157">IF(Journal[[#This Row],[Transaction '#]]&lt;&gt;"",IFERROR(INDEX(ProblemData!$E$239:$AM$239,1,Journal[[#This Row],[Transaction '#]]),""),"")</f>
        <v/>
      </c>
      <c r="M157" s="352" t="str">
        <f>IF(Journal[[#This Row],[ref1]]="","",IF(NOT(ISBLANK(Journal[[#This Row],[Transaction '#]])),Journal[[#This Row],[ref1]]&amp;Journal[[#This Row],[Movement '#]],""))</f>
        <v/>
      </c>
      <c r="N157" s="1" t="b">
        <f>OR(Journal[[#This Row],[ref1]]="",ISNUMBER(MATCH(Journal[[#This Row],[ref1]], Operating[Abbr], 0)), "Found", "Not Found"="Found")</f>
        <v>1</v>
      </c>
      <c r="O157" s="1"/>
      <c r="P157" s="1" t="str">
        <f>Journal[[#This Row],[Accnt Type]]&amp;"Used"</f>
        <v>Used</v>
      </c>
    </row>
    <row r="158" spans="3:16">
      <c r="C158" s="40"/>
      <c r="D158" s="198"/>
      <c r="E158" s="199"/>
      <c r="F158" s="199"/>
      <c r="G158" s="200"/>
      <c r="H158" s="201"/>
      <c r="I158" s="354"/>
      <c r="J158" s="350" t="str">
        <f>IF(Journal[[#This Row],[Transaction '#]]="","",IF(Journal[[#This Row],[Transaction '#]]=C157,J157+1,1))</f>
        <v/>
      </c>
      <c r="K158" s="351" cm="1">
        <f t="array" ref="K158">IFERROR(_xlfn.IFS(Journal[[#This Row],[Debit Account]]="Cash",Journal[[#This Row],[Dr Amt]],Journal[[#This Row],[Credit Account]]="Cash",-Journal[[#This Row],[Cr Amt]]),0)</f>
        <v>0</v>
      </c>
      <c r="L158" s="326" t="str" cm="1">
        <f t="array" ref="L158">IF(Journal[[#This Row],[Transaction '#]]&lt;&gt;"",IFERROR(INDEX(ProblemData!$E$239:$AM$239,1,Journal[[#This Row],[Transaction '#]]),""),"")</f>
        <v/>
      </c>
      <c r="M158" s="352" t="str">
        <f>IF(Journal[[#This Row],[ref1]]="","",IF(NOT(ISBLANK(Journal[[#This Row],[Transaction '#]])),Journal[[#This Row],[ref1]]&amp;Journal[[#This Row],[Movement '#]],""))</f>
        <v/>
      </c>
      <c r="N158" s="1" t="b">
        <f>OR(Journal[[#This Row],[ref1]]="",ISNUMBER(MATCH(Journal[[#This Row],[ref1]], Operating[Abbr], 0)), "Found", "Not Found"="Found")</f>
        <v>1</v>
      </c>
      <c r="O158" s="1"/>
      <c r="P158" s="1" t="str">
        <f>Journal[[#This Row],[Accnt Type]]&amp;"Used"</f>
        <v>Used</v>
      </c>
    </row>
    <row r="159" spans="3:16">
      <c r="C159" s="40"/>
      <c r="D159" s="198"/>
      <c r="E159" s="199"/>
      <c r="F159" s="199"/>
      <c r="G159" s="200"/>
      <c r="H159" s="201"/>
      <c r="I159" s="354"/>
      <c r="J159" s="350" t="str">
        <f>IF(Journal[[#This Row],[Transaction '#]]="","",IF(Journal[[#This Row],[Transaction '#]]=C158,J158+1,1))</f>
        <v/>
      </c>
      <c r="K159" s="351" cm="1">
        <f t="array" ref="K159">IFERROR(_xlfn.IFS(Journal[[#This Row],[Debit Account]]="Cash",Journal[[#This Row],[Dr Amt]],Journal[[#This Row],[Credit Account]]="Cash",-Journal[[#This Row],[Cr Amt]]),0)</f>
        <v>0</v>
      </c>
      <c r="L159" s="326" t="str" cm="1">
        <f t="array" ref="L159">IF(Journal[[#This Row],[Transaction '#]]&lt;&gt;"",IFERROR(INDEX(ProblemData!$E$239:$AM$239,1,Journal[[#This Row],[Transaction '#]]),""),"")</f>
        <v/>
      </c>
      <c r="M159" s="352" t="str">
        <f>IF(Journal[[#This Row],[ref1]]="","",IF(NOT(ISBLANK(Journal[[#This Row],[Transaction '#]])),Journal[[#This Row],[ref1]]&amp;Journal[[#This Row],[Movement '#]],""))</f>
        <v/>
      </c>
      <c r="N159" s="1" t="b">
        <f>OR(Journal[[#This Row],[ref1]]="",ISNUMBER(MATCH(Journal[[#This Row],[ref1]], Operating[Abbr], 0)), "Found", "Not Found"="Found")</f>
        <v>1</v>
      </c>
      <c r="O159" s="1"/>
      <c r="P159" s="1" t="str">
        <f>Journal[[#This Row],[Accnt Type]]&amp;"Used"</f>
        <v>Used</v>
      </c>
    </row>
    <row r="160" spans="3:16">
      <c r="C160" s="40"/>
      <c r="D160" s="198"/>
      <c r="E160" s="199"/>
      <c r="F160" s="199"/>
      <c r="G160" s="200"/>
      <c r="H160" s="201"/>
      <c r="I160" s="354"/>
      <c r="J160" s="350" t="str">
        <f>IF(Journal[[#This Row],[Transaction '#]]="","",IF(Journal[[#This Row],[Transaction '#]]=C159,J159+1,1))</f>
        <v/>
      </c>
      <c r="K160" s="351" cm="1">
        <f t="array" ref="K160">IFERROR(_xlfn.IFS(Journal[[#This Row],[Debit Account]]="Cash",Journal[[#This Row],[Dr Amt]],Journal[[#This Row],[Credit Account]]="Cash",-Journal[[#This Row],[Cr Amt]]),0)</f>
        <v>0</v>
      </c>
      <c r="L160" s="326" t="str" cm="1">
        <f t="array" ref="L160">IF(Journal[[#This Row],[Transaction '#]]&lt;&gt;"",IFERROR(INDEX(ProblemData!$E$239:$AM$239,1,Journal[[#This Row],[Transaction '#]]),""),"")</f>
        <v/>
      </c>
      <c r="M160" s="352" t="str">
        <f>IF(Journal[[#This Row],[ref1]]="","",IF(NOT(ISBLANK(Journal[[#This Row],[Transaction '#]])),Journal[[#This Row],[ref1]]&amp;Journal[[#This Row],[Movement '#]],""))</f>
        <v/>
      </c>
      <c r="N160" s="1" t="b">
        <f>OR(Journal[[#This Row],[ref1]]="",ISNUMBER(MATCH(Journal[[#This Row],[ref1]], Operating[Abbr], 0)), "Found", "Not Found"="Found")</f>
        <v>1</v>
      </c>
      <c r="O160" s="1"/>
      <c r="P160" s="1" t="str">
        <f>Journal[[#This Row],[Accnt Type]]&amp;"Used"</f>
        <v>Used</v>
      </c>
    </row>
    <row r="161" spans="3:16">
      <c r="C161" s="40"/>
      <c r="D161" s="198"/>
      <c r="E161" s="199"/>
      <c r="F161" s="199"/>
      <c r="G161" s="200"/>
      <c r="H161" s="201"/>
      <c r="I161" s="354"/>
      <c r="J161" s="350" t="str">
        <f>IF(Journal[[#This Row],[Transaction '#]]="","",IF(Journal[[#This Row],[Transaction '#]]=C160,J160+1,1))</f>
        <v/>
      </c>
      <c r="K161" s="351" cm="1">
        <f t="array" ref="K161">IFERROR(_xlfn.IFS(Journal[[#This Row],[Debit Account]]="Cash",Journal[[#This Row],[Dr Amt]],Journal[[#This Row],[Credit Account]]="Cash",-Journal[[#This Row],[Cr Amt]]),0)</f>
        <v>0</v>
      </c>
      <c r="L161" s="326" t="str" cm="1">
        <f t="array" ref="L161">IF(Journal[[#This Row],[Transaction '#]]&lt;&gt;"",IFERROR(INDEX(ProblemData!$E$239:$AM$239,1,Journal[[#This Row],[Transaction '#]]),""),"")</f>
        <v/>
      </c>
      <c r="M161" s="352" t="str">
        <f>IF(Journal[[#This Row],[ref1]]="","",IF(NOT(ISBLANK(Journal[[#This Row],[Transaction '#]])),Journal[[#This Row],[ref1]]&amp;Journal[[#This Row],[Movement '#]],""))</f>
        <v/>
      </c>
      <c r="N161" s="1" t="b">
        <f>OR(Journal[[#This Row],[ref1]]="",ISNUMBER(MATCH(Journal[[#This Row],[ref1]], Operating[Abbr], 0)), "Found", "Not Found"="Found")</f>
        <v>1</v>
      </c>
      <c r="O161" s="1"/>
      <c r="P161" s="1" t="str">
        <f>Journal[[#This Row],[Accnt Type]]&amp;"Used"</f>
        <v>Used</v>
      </c>
    </row>
    <row r="162" spans="3:16">
      <c r="C162" s="40"/>
      <c r="D162" s="198"/>
      <c r="E162" s="199"/>
      <c r="F162" s="199"/>
      <c r="G162" s="200"/>
      <c r="H162" s="201"/>
      <c r="I162" s="354"/>
      <c r="J162" s="350" t="str">
        <f>IF(Journal[[#This Row],[Transaction '#]]="","",IF(Journal[[#This Row],[Transaction '#]]=C161,J161+1,1))</f>
        <v/>
      </c>
      <c r="K162" s="351" cm="1">
        <f t="array" ref="K162">IFERROR(_xlfn.IFS(Journal[[#This Row],[Debit Account]]="Cash",Journal[[#This Row],[Dr Amt]],Journal[[#This Row],[Credit Account]]="Cash",-Journal[[#This Row],[Cr Amt]]),0)</f>
        <v>0</v>
      </c>
      <c r="L162" s="326" t="str" cm="1">
        <f t="array" ref="L162">IF(Journal[[#This Row],[Transaction '#]]&lt;&gt;"",IFERROR(INDEX(ProblemData!$E$239:$AM$239,1,Journal[[#This Row],[Transaction '#]]),""),"")</f>
        <v/>
      </c>
      <c r="M162" s="352" t="str">
        <f>IF(Journal[[#This Row],[ref1]]="","",IF(NOT(ISBLANK(Journal[[#This Row],[Transaction '#]])),Journal[[#This Row],[ref1]]&amp;Journal[[#This Row],[Movement '#]],""))</f>
        <v/>
      </c>
      <c r="N162" s="1" t="b">
        <f>OR(Journal[[#This Row],[ref1]]="",ISNUMBER(MATCH(Journal[[#This Row],[ref1]], Operating[Abbr], 0)), "Found", "Not Found"="Found")</f>
        <v>1</v>
      </c>
      <c r="O162" s="1"/>
      <c r="P162" s="1" t="str">
        <f>Journal[[#This Row],[Accnt Type]]&amp;"Used"</f>
        <v>Used</v>
      </c>
    </row>
    <row r="163" spans="3:16">
      <c r="C163" s="40"/>
      <c r="D163" s="198"/>
      <c r="E163" s="199"/>
      <c r="F163" s="199"/>
      <c r="G163" s="200"/>
      <c r="H163" s="201"/>
      <c r="I163" s="354"/>
      <c r="J163" s="350" t="str">
        <f>IF(Journal[[#This Row],[Transaction '#]]="","",IF(Journal[[#This Row],[Transaction '#]]=C162,J162+1,1))</f>
        <v/>
      </c>
      <c r="K163" s="351" cm="1">
        <f t="array" ref="K163">IFERROR(_xlfn.IFS(Journal[[#This Row],[Debit Account]]="Cash",Journal[[#This Row],[Dr Amt]],Journal[[#This Row],[Credit Account]]="Cash",-Journal[[#This Row],[Cr Amt]]),0)</f>
        <v>0</v>
      </c>
      <c r="L163" s="326" t="str" cm="1">
        <f t="array" ref="L163">IF(Journal[[#This Row],[Transaction '#]]&lt;&gt;"",IFERROR(INDEX(ProblemData!$E$239:$AM$239,1,Journal[[#This Row],[Transaction '#]]),""),"")</f>
        <v/>
      </c>
      <c r="M163" s="352" t="str">
        <f>IF(Journal[[#This Row],[ref1]]="","",IF(NOT(ISBLANK(Journal[[#This Row],[Transaction '#]])),Journal[[#This Row],[ref1]]&amp;Journal[[#This Row],[Movement '#]],""))</f>
        <v/>
      </c>
      <c r="N163" s="1" t="b">
        <f>OR(Journal[[#This Row],[ref1]]="",ISNUMBER(MATCH(Journal[[#This Row],[ref1]], Operating[Abbr], 0)), "Found", "Not Found"="Found")</f>
        <v>1</v>
      </c>
      <c r="O163" s="1"/>
      <c r="P163" s="1" t="str">
        <f>Journal[[#This Row],[Accnt Type]]&amp;"Used"</f>
        <v>Used</v>
      </c>
    </row>
    <row r="164" spans="3:16">
      <c r="C164" s="40"/>
      <c r="D164" s="198"/>
      <c r="E164" s="199"/>
      <c r="F164" s="199"/>
      <c r="G164" s="200"/>
      <c r="H164" s="201"/>
      <c r="I164" s="354"/>
      <c r="J164" s="350" t="str">
        <f>IF(Journal[[#This Row],[Transaction '#]]="","",IF(Journal[[#This Row],[Transaction '#]]=C163,J163+1,1))</f>
        <v/>
      </c>
      <c r="K164" s="351" cm="1">
        <f t="array" ref="K164">IFERROR(_xlfn.IFS(Journal[[#This Row],[Debit Account]]="Cash",Journal[[#This Row],[Dr Amt]],Journal[[#This Row],[Credit Account]]="Cash",-Journal[[#This Row],[Cr Amt]]),0)</f>
        <v>0</v>
      </c>
      <c r="L164" s="326" t="str" cm="1">
        <f t="array" ref="L164">IF(Journal[[#This Row],[Transaction '#]]&lt;&gt;"",IFERROR(INDEX(ProblemData!$E$239:$AM$239,1,Journal[[#This Row],[Transaction '#]]),""),"")</f>
        <v/>
      </c>
      <c r="M164" s="352" t="str">
        <f>IF(Journal[[#This Row],[ref1]]="","",IF(NOT(ISBLANK(Journal[[#This Row],[Transaction '#]])),Journal[[#This Row],[ref1]]&amp;Journal[[#This Row],[Movement '#]],""))</f>
        <v/>
      </c>
      <c r="N164" s="1" t="b">
        <f>OR(Journal[[#This Row],[ref1]]="",ISNUMBER(MATCH(Journal[[#This Row],[ref1]], Operating[Abbr], 0)), "Found", "Not Found"="Found")</f>
        <v>1</v>
      </c>
      <c r="O164" s="1"/>
      <c r="P164" s="1" t="str">
        <f>Journal[[#This Row],[Accnt Type]]&amp;"Used"</f>
        <v>Used</v>
      </c>
    </row>
    <row r="165" spans="3:16">
      <c r="C165" s="40"/>
      <c r="D165" s="198"/>
      <c r="E165" s="199"/>
      <c r="F165" s="199"/>
      <c r="G165" s="200"/>
      <c r="H165" s="201"/>
      <c r="I165" s="354"/>
      <c r="J165" s="350" t="str">
        <f>IF(Journal[[#This Row],[Transaction '#]]="","",IF(Journal[[#This Row],[Transaction '#]]=C164,J164+1,1))</f>
        <v/>
      </c>
      <c r="K165" s="351" cm="1">
        <f t="array" ref="K165">IFERROR(_xlfn.IFS(Journal[[#This Row],[Debit Account]]="Cash",Journal[[#This Row],[Dr Amt]],Journal[[#This Row],[Credit Account]]="Cash",-Journal[[#This Row],[Cr Amt]]),0)</f>
        <v>0</v>
      </c>
      <c r="L165" s="326" t="str" cm="1">
        <f t="array" ref="L165">IF(Journal[[#This Row],[Transaction '#]]&lt;&gt;"",IFERROR(INDEX(ProblemData!$E$239:$AM$239,1,Journal[[#This Row],[Transaction '#]]),""),"")</f>
        <v/>
      </c>
      <c r="M165" s="352" t="str">
        <f>IF(Journal[[#This Row],[ref1]]="","",IF(NOT(ISBLANK(Journal[[#This Row],[Transaction '#]])),Journal[[#This Row],[ref1]]&amp;Journal[[#This Row],[Movement '#]],""))</f>
        <v/>
      </c>
      <c r="N165" s="1" t="b">
        <f>OR(Journal[[#This Row],[ref1]]="",ISNUMBER(MATCH(Journal[[#This Row],[ref1]], Operating[Abbr], 0)), "Found", "Not Found"="Found")</f>
        <v>1</v>
      </c>
      <c r="O165" s="1"/>
      <c r="P165" s="1" t="str">
        <f>Journal[[#This Row],[Accnt Type]]&amp;"Used"</f>
        <v>Used</v>
      </c>
    </row>
    <row r="166" spans="3:16">
      <c r="C166" s="40"/>
      <c r="D166" s="198"/>
      <c r="E166" s="199"/>
      <c r="F166" s="199"/>
      <c r="G166" s="200"/>
      <c r="H166" s="201"/>
      <c r="I166" s="354"/>
      <c r="J166" s="350" t="str">
        <f>IF(Journal[[#This Row],[Transaction '#]]="","",IF(Journal[[#This Row],[Transaction '#]]=C165,J165+1,1))</f>
        <v/>
      </c>
      <c r="K166" s="351" cm="1">
        <f t="array" ref="K166">IFERROR(_xlfn.IFS(Journal[[#This Row],[Debit Account]]="Cash",Journal[[#This Row],[Dr Amt]],Journal[[#This Row],[Credit Account]]="Cash",-Journal[[#This Row],[Cr Amt]]),0)</f>
        <v>0</v>
      </c>
      <c r="L166" s="326" t="str" cm="1">
        <f t="array" ref="L166">IF(Journal[[#This Row],[Transaction '#]]&lt;&gt;"",IFERROR(INDEX(ProblemData!$E$239:$AM$239,1,Journal[[#This Row],[Transaction '#]]),""),"")</f>
        <v/>
      </c>
      <c r="M166" s="352" t="str">
        <f>IF(Journal[[#This Row],[ref1]]="","",IF(NOT(ISBLANK(Journal[[#This Row],[Transaction '#]])),Journal[[#This Row],[ref1]]&amp;Journal[[#This Row],[Movement '#]],""))</f>
        <v/>
      </c>
      <c r="N166" s="1" t="b">
        <f>OR(Journal[[#This Row],[ref1]]="",ISNUMBER(MATCH(Journal[[#This Row],[ref1]], Operating[Abbr], 0)), "Found", "Not Found"="Found")</f>
        <v>1</v>
      </c>
      <c r="O166" s="1"/>
      <c r="P166" s="1" t="str">
        <f>Journal[[#This Row],[Accnt Type]]&amp;"Used"</f>
        <v>Used</v>
      </c>
    </row>
    <row r="167" spans="3:16">
      <c r="C167" s="40"/>
      <c r="D167" s="198"/>
      <c r="E167" s="199"/>
      <c r="F167" s="199"/>
      <c r="G167" s="200"/>
      <c r="H167" s="201"/>
      <c r="I167" s="354"/>
      <c r="J167" s="350" t="str">
        <f>IF(Journal[[#This Row],[Transaction '#]]="","",IF(Journal[[#This Row],[Transaction '#]]=C166,J166+1,1))</f>
        <v/>
      </c>
      <c r="K167" s="351" cm="1">
        <f t="array" ref="K167">IFERROR(_xlfn.IFS(Journal[[#This Row],[Debit Account]]="Cash",Journal[[#This Row],[Dr Amt]],Journal[[#This Row],[Credit Account]]="Cash",-Journal[[#This Row],[Cr Amt]]),0)</f>
        <v>0</v>
      </c>
      <c r="L167" s="326" t="str" cm="1">
        <f t="array" ref="L167">IF(Journal[[#This Row],[Transaction '#]]&lt;&gt;"",IFERROR(INDEX(ProblemData!$E$239:$AM$239,1,Journal[[#This Row],[Transaction '#]]),""),"")</f>
        <v/>
      </c>
      <c r="M167" s="352" t="str">
        <f>IF(Journal[[#This Row],[ref1]]="","",IF(NOT(ISBLANK(Journal[[#This Row],[Transaction '#]])),Journal[[#This Row],[ref1]]&amp;Journal[[#This Row],[Movement '#]],""))</f>
        <v/>
      </c>
      <c r="N167" s="1" t="b">
        <f>OR(Journal[[#This Row],[ref1]]="",ISNUMBER(MATCH(Journal[[#This Row],[ref1]], Operating[Abbr], 0)), "Found", "Not Found"="Found")</f>
        <v>1</v>
      </c>
      <c r="O167" s="1"/>
      <c r="P167" s="1" t="str">
        <f>Journal[[#This Row],[Accnt Type]]&amp;"Used"</f>
        <v>Used</v>
      </c>
    </row>
    <row r="168" spans="3:16">
      <c r="C168" s="40"/>
      <c r="D168" s="198"/>
      <c r="E168" s="199"/>
      <c r="F168" s="199"/>
      <c r="G168" s="200"/>
      <c r="H168" s="201"/>
      <c r="I168" s="354"/>
      <c r="J168" s="350" t="str">
        <f>IF(Journal[[#This Row],[Transaction '#]]="","",IF(Journal[[#This Row],[Transaction '#]]=C167,J167+1,1))</f>
        <v/>
      </c>
      <c r="K168" s="351" cm="1">
        <f t="array" ref="K168">IFERROR(_xlfn.IFS(Journal[[#This Row],[Debit Account]]="Cash",Journal[[#This Row],[Dr Amt]],Journal[[#This Row],[Credit Account]]="Cash",-Journal[[#This Row],[Cr Amt]]),0)</f>
        <v>0</v>
      </c>
      <c r="L168" s="326" t="str" cm="1">
        <f t="array" ref="L168">IF(Journal[[#This Row],[Transaction '#]]&lt;&gt;"",IFERROR(INDEX(ProblemData!$E$239:$AM$239,1,Journal[[#This Row],[Transaction '#]]),""),"")</f>
        <v/>
      </c>
      <c r="M168" s="352" t="str">
        <f>IF(Journal[[#This Row],[ref1]]="","",IF(NOT(ISBLANK(Journal[[#This Row],[Transaction '#]])),Journal[[#This Row],[ref1]]&amp;Journal[[#This Row],[Movement '#]],""))</f>
        <v/>
      </c>
      <c r="N168" s="1" t="b">
        <f>OR(Journal[[#This Row],[ref1]]="",ISNUMBER(MATCH(Journal[[#This Row],[ref1]], Operating[Abbr], 0)), "Found", "Not Found"="Found")</f>
        <v>1</v>
      </c>
      <c r="O168" s="1"/>
      <c r="P168" s="1" t="str">
        <f>Journal[[#This Row],[Accnt Type]]&amp;"Used"</f>
        <v>Used</v>
      </c>
    </row>
    <row r="169" spans="3:16">
      <c r="C169" s="40"/>
      <c r="D169" s="198"/>
      <c r="E169" s="199"/>
      <c r="F169" s="199"/>
      <c r="G169" s="200"/>
      <c r="H169" s="201"/>
      <c r="I169" s="354"/>
      <c r="J169" s="350" t="str">
        <f>IF(Journal[[#This Row],[Transaction '#]]="","",IF(Journal[[#This Row],[Transaction '#]]=C168,J168+1,1))</f>
        <v/>
      </c>
      <c r="K169" s="351" cm="1">
        <f t="array" ref="K169">IFERROR(_xlfn.IFS(Journal[[#This Row],[Debit Account]]="Cash",Journal[[#This Row],[Dr Amt]],Journal[[#This Row],[Credit Account]]="Cash",-Journal[[#This Row],[Cr Amt]]),0)</f>
        <v>0</v>
      </c>
      <c r="L169" s="326" t="str" cm="1">
        <f t="array" ref="L169">IF(Journal[[#This Row],[Transaction '#]]&lt;&gt;"",IFERROR(INDEX(ProblemData!$E$239:$AM$239,1,Journal[[#This Row],[Transaction '#]]),""),"")</f>
        <v/>
      </c>
      <c r="M169" s="352" t="str">
        <f>IF(Journal[[#This Row],[ref1]]="","",IF(NOT(ISBLANK(Journal[[#This Row],[Transaction '#]])),Journal[[#This Row],[ref1]]&amp;Journal[[#This Row],[Movement '#]],""))</f>
        <v/>
      </c>
      <c r="N169" s="1" t="b">
        <f>OR(Journal[[#This Row],[ref1]]="",ISNUMBER(MATCH(Journal[[#This Row],[ref1]], Operating[Abbr], 0)), "Found", "Not Found"="Found")</f>
        <v>1</v>
      </c>
      <c r="O169" s="1"/>
      <c r="P169" s="1" t="str">
        <f>Journal[[#This Row],[Accnt Type]]&amp;"Used"</f>
        <v>Used</v>
      </c>
    </row>
    <row r="170" spans="3:16">
      <c r="C170" s="40"/>
      <c r="D170" s="198"/>
      <c r="E170" s="199"/>
      <c r="F170" s="199"/>
      <c r="G170" s="200"/>
      <c r="H170" s="201"/>
      <c r="I170" s="354"/>
      <c r="J170" s="350" t="str">
        <f>IF(Journal[[#This Row],[Transaction '#]]="","",IF(Journal[[#This Row],[Transaction '#]]=C169,J169+1,1))</f>
        <v/>
      </c>
      <c r="K170" s="351" cm="1">
        <f t="array" ref="K170">IFERROR(_xlfn.IFS(Journal[[#This Row],[Debit Account]]="Cash",Journal[[#This Row],[Dr Amt]],Journal[[#This Row],[Credit Account]]="Cash",-Journal[[#This Row],[Cr Amt]]),0)</f>
        <v>0</v>
      </c>
      <c r="L170" s="326" t="str" cm="1">
        <f t="array" ref="L170">IF(Journal[[#This Row],[Transaction '#]]&lt;&gt;"",IFERROR(INDEX(ProblemData!$E$239:$AM$239,1,Journal[[#This Row],[Transaction '#]]),""),"")</f>
        <v/>
      </c>
      <c r="M170" s="352" t="str">
        <f>IF(Journal[[#This Row],[ref1]]="","",IF(NOT(ISBLANK(Journal[[#This Row],[Transaction '#]])),Journal[[#This Row],[ref1]]&amp;Journal[[#This Row],[Movement '#]],""))</f>
        <v/>
      </c>
      <c r="N170" s="1" t="b">
        <f>OR(Journal[[#This Row],[ref1]]="",ISNUMBER(MATCH(Journal[[#This Row],[ref1]], Operating[Abbr], 0)), "Found", "Not Found"="Found")</f>
        <v>1</v>
      </c>
      <c r="O170" s="1"/>
      <c r="P170" s="1" t="str">
        <f>Journal[[#This Row],[Accnt Type]]&amp;"Used"</f>
        <v>Used</v>
      </c>
    </row>
    <row r="171" spans="3:16">
      <c r="C171" s="40"/>
      <c r="D171" s="198"/>
      <c r="E171" s="199"/>
      <c r="F171" s="199"/>
      <c r="G171" s="200"/>
      <c r="H171" s="201"/>
      <c r="I171" s="354"/>
      <c r="J171" s="350" t="str">
        <f>IF(Journal[[#This Row],[Transaction '#]]="","",IF(Journal[[#This Row],[Transaction '#]]=C170,J170+1,1))</f>
        <v/>
      </c>
      <c r="K171" s="351" cm="1">
        <f t="array" ref="K171">IFERROR(_xlfn.IFS(Journal[[#This Row],[Debit Account]]="Cash",Journal[[#This Row],[Dr Amt]],Journal[[#This Row],[Credit Account]]="Cash",-Journal[[#This Row],[Cr Amt]]),0)</f>
        <v>0</v>
      </c>
      <c r="L171" s="326" t="str" cm="1">
        <f t="array" ref="L171">IF(Journal[[#This Row],[Transaction '#]]&lt;&gt;"",IFERROR(INDEX(ProblemData!$E$239:$AM$239,1,Journal[[#This Row],[Transaction '#]]),""),"")</f>
        <v/>
      </c>
      <c r="M171" s="352" t="str">
        <f>IF(Journal[[#This Row],[ref1]]="","",IF(NOT(ISBLANK(Journal[[#This Row],[Transaction '#]])),Journal[[#This Row],[ref1]]&amp;Journal[[#This Row],[Movement '#]],""))</f>
        <v/>
      </c>
      <c r="N171" s="1" t="b">
        <f>OR(Journal[[#This Row],[ref1]]="",ISNUMBER(MATCH(Journal[[#This Row],[ref1]], Operating[Abbr], 0)), "Found", "Not Found"="Found")</f>
        <v>1</v>
      </c>
      <c r="O171" s="1"/>
      <c r="P171" s="1" t="str">
        <f>Journal[[#This Row],[Accnt Type]]&amp;"Used"</f>
        <v>Used</v>
      </c>
    </row>
    <row r="172" spans="3:16">
      <c r="C172" s="40"/>
      <c r="D172" s="198"/>
      <c r="E172" s="199"/>
      <c r="F172" s="199"/>
      <c r="G172" s="200"/>
      <c r="H172" s="201"/>
      <c r="I172" s="354"/>
      <c r="J172" s="350" t="str">
        <f>IF(Journal[[#This Row],[Transaction '#]]="","",IF(Journal[[#This Row],[Transaction '#]]=C171,J171+1,1))</f>
        <v/>
      </c>
      <c r="K172" s="351" cm="1">
        <f t="array" ref="K172">IFERROR(_xlfn.IFS(Journal[[#This Row],[Debit Account]]="Cash",Journal[[#This Row],[Dr Amt]],Journal[[#This Row],[Credit Account]]="Cash",-Journal[[#This Row],[Cr Amt]]),0)</f>
        <v>0</v>
      </c>
      <c r="L172" s="326" t="str" cm="1">
        <f t="array" ref="L172">IF(Journal[[#This Row],[Transaction '#]]&lt;&gt;"",IFERROR(INDEX(ProblemData!$E$239:$AM$239,1,Journal[[#This Row],[Transaction '#]]),""),"")</f>
        <v/>
      </c>
      <c r="M172" s="352" t="str">
        <f>IF(Journal[[#This Row],[ref1]]="","",IF(NOT(ISBLANK(Journal[[#This Row],[Transaction '#]])),Journal[[#This Row],[ref1]]&amp;Journal[[#This Row],[Movement '#]],""))</f>
        <v/>
      </c>
      <c r="N172" s="1" t="b">
        <f>OR(Journal[[#This Row],[ref1]]="",ISNUMBER(MATCH(Journal[[#This Row],[ref1]], Operating[Abbr], 0)), "Found", "Not Found"="Found")</f>
        <v>1</v>
      </c>
      <c r="O172" s="1"/>
      <c r="P172" s="1" t="str">
        <f>Journal[[#This Row],[Accnt Type]]&amp;"Used"</f>
        <v>Used</v>
      </c>
    </row>
    <row r="173" spans="3:16">
      <c r="C173" s="40"/>
      <c r="D173" s="198"/>
      <c r="E173" s="199"/>
      <c r="F173" s="199"/>
      <c r="G173" s="200"/>
      <c r="H173" s="201"/>
      <c r="I173" s="354"/>
      <c r="J173" s="350" t="str">
        <f>IF(Journal[[#This Row],[Transaction '#]]="","",IF(Journal[[#This Row],[Transaction '#]]=C172,J172+1,1))</f>
        <v/>
      </c>
      <c r="K173" s="351" cm="1">
        <f t="array" ref="K173">IFERROR(_xlfn.IFS(Journal[[#This Row],[Debit Account]]="Cash",Journal[[#This Row],[Dr Amt]],Journal[[#This Row],[Credit Account]]="Cash",-Journal[[#This Row],[Cr Amt]]),0)</f>
        <v>0</v>
      </c>
      <c r="L173" s="326" t="str" cm="1">
        <f t="array" ref="L173">IF(Journal[[#This Row],[Transaction '#]]&lt;&gt;"",IFERROR(INDEX(ProblemData!$E$239:$AM$239,1,Journal[[#This Row],[Transaction '#]]),""),"")</f>
        <v/>
      </c>
      <c r="M173" s="352" t="str">
        <f>IF(Journal[[#This Row],[ref1]]="","",IF(NOT(ISBLANK(Journal[[#This Row],[Transaction '#]])),Journal[[#This Row],[ref1]]&amp;Journal[[#This Row],[Movement '#]],""))</f>
        <v/>
      </c>
      <c r="N173" s="1" t="b">
        <f>OR(Journal[[#This Row],[ref1]]="",ISNUMBER(MATCH(Journal[[#This Row],[ref1]], Operating[Abbr], 0)), "Found", "Not Found"="Found")</f>
        <v>1</v>
      </c>
      <c r="O173" s="1"/>
      <c r="P173" s="1" t="str">
        <f>Journal[[#This Row],[Accnt Type]]&amp;"Used"</f>
        <v>Used</v>
      </c>
    </row>
    <row r="174" spans="3:16">
      <c r="C174" s="40"/>
      <c r="D174" s="198"/>
      <c r="E174" s="199"/>
      <c r="F174" s="199"/>
      <c r="G174" s="200"/>
      <c r="H174" s="201"/>
      <c r="I174" s="354"/>
      <c r="J174" s="350" t="str">
        <f>IF(Journal[[#This Row],[Transaction '#]]="","",IF(Journal[[#This Row],[Transaction '#]]=C173,J173+1,1))</f>
        <v/>
      </c>
      <c r="K174" s="351" cm="1">
        <f t="array" ref="K174">IFERROR(_xlfn.IFS(Journal[[#This Row],[Debit Account]]="Cash",Journal[[#This Row],[Dr Amt]],Journal[[#This Row],[Credit Account]]="Cash",-Journal[[#This Row],[Cr Amt]]),0)</f>
        <v>0</v>
      </c>
      <c r="L174" s="326" t="str" cm="1">
        <f t="array" ref="L174">IF(Journal[[#This Row],[Transaction '#]]&lt;&gt;"",IFERROR(INDEX(ProblemData!$E$239:$AM$239,1,Journal[[#This Row],[Transaction '#]]),""),"")</f>
        <v/>
      </c>
      <c r="M174" s="352" t="str">
        <f>IF(Journal[[#This Row],[ref1]]="","",IF(NOT(ISBLANK(Journal[[#This Row],[Transaction '#]])),Journal[[#This Row],[ref1]]&amp;Journal[[#This Row],[Movement '#]],""))</f>
        <v/>
      </c>
      <c r="N174" s="1" t="b">
        <f>OR(Journal[[#This Row],[ref1]]="",ISNUMBER(MATCH(Journal[[#This Row],[ref1]], Operating[Abbr], 0)), "Found", "Not Found"="Found")</f>
        <v>1</v>
      </c>
      <c r="O174" s="1"/>
      <c r="P174" s="1" t="str">
        <f>Journal[[#This Row],[Accnt Type]]&amp;"Used"</f>
        <v>Used</v>
      </c>
    </row>
    <row r="175" spans="3:16">
      <c r="C175" s="40"/>
      <c r="D175" s="198"/>
      <c r="E175" s="199"/>
      <c r="F175" s="199"/>
      <c r="G175" s="200"/>
      <c r="H175" s="201"/>
      <c r="I175" s="354"/>
      <c r="J175" s="350" t="str">
        <f>IF(Journal[[#This Row],[Transaction '#]]="","",IF(Journal[[#This Row],[Transaction '#]]=C174,J174+1,1))</f>
        <v/>
      </c>
      <c r="K175" s="351" cm="1">
        <f t="array" ref="K175">IFERROR(_xlfn.IFS(Journal[[#This Row],[Debit Account]]="Cash",Journal[[#This Row],[Dr Amt]],Journal[[#This Row],[Credit Account]]="Cash",-Journal[[#This Row],[Cr Amt]]),0)</f>
        <v>0</v>
      </c>
      <c r="L175" s="326" t="str" cm="1">
        <f t="array" ref="L175">IF(Journal[[#This Row],[Transaction '#]]&lt;&gt;"",IFERROR(INDEX(ProblemData!$E$239:$AM$239,1,Journal[[#This Row],[Transaction '#]]),""),"")</f>
        <v/>
      </c>
      <c r="M175" s="352" t="str">
        <f>IF(Journal[[#This Row],[ref1]]="","",IF(NOT(ISBLANK(Journal[[#This Row],[Transaction '#]])),Journal[[#This Row],[ref1]]&amp;Journal[[#This Row],[Movement '#]],""))</f>
        <v/>
      </c>
      <c r="N175" s="1" t="b">
        <f>OR(Journal[[#This Row],[ref1]]="",ISNUMBER(MATCH(Journal[[#This Row],[ref1]], Operating[Abbr], 0)), "Found", "Not Found"="Found")</f>
        <v>1</v>
      </c>
      <c r="O175" s="1"/>
      <c r="P175" s="1" t="str">
        <f>Journal[[#This Row],[Accnt Type]]&amp;"Used"</f>
        <v>Used</v>
      </c>
    </row>
    <row r="176" spans="3:16">
      <c r="C176" s="40"/>
      <c r="D176" s="198"/>
      <c r="E176" s="199"/>
      <c r="F176" s="199"/>
      <c r="G176" s="200"/>
      <c r="H176" s="201"/>
      <c r="I176" s="354"/>
      <c r="J176" s="350" t="str">
        <f>IF(Journal[[#This Row],[Transaction '#]]="","",IF(Journal[[#This Row],[Transaction '#]]=C175,J175+1,1))</f>
        <v/>
      </c>
      <c r="K176" s="351" cm="1">
        <f t="array" ref="K176">IFERROR(_xlfn.IFS(Journal[[#This Row],[Debit Account]]="Cash",Journal[[#This Row],[Dr Amt]],Journal[[#This Row],[Credit Account]]="Cash",-Journal[[#This Row],[Cr Amt]]),0)</f>
        <v>0</v>
      </c>
      <c r="L176" s="326" t="str" cm="1">
        <f t="array" ref="L176">IF(Journal[[#This Row],[Transaction '#]]&lt;&gt;"",IFERROR(INDEX(ProblemData!$E$239:$AM$239,1,Journal[[#This Row],[Transaction '#]]),""),"")</f>
        <v/>
      </c>
      <c r="M176" s="352" t="str">
        <f>IF(Journal[[#This Row],[ref1]]="","",IF(NOT(ISBLANK(Journal[[#This Row],[Transaction '#]])),Journal[[#This Row],[ref1]]&amp;Journal[[#This Row],[Movement '#]],""))</f>
        <v/>
      </c>
      <c r="N176" s="1" t="b">
        <f>OR(Journal[[#This Row],[ref1]]="",ISNUMBER(MATCH(Journal[[#This Row],[ref1]], Operating[Abbr], 0)), "Found", "Not Found"="Found")</f>
        <v>1</v>
      </c>
      <c r="O176" s="1"/>
      <c r="P176" s="1" t="str">
        <f>Journal[[#This Row],[Accnt Type]]&amp;"Used"</f>
        <v>Used</v>
      </c>
    </row>
    <row r="177" spans="3:16">
      <c r="C177" s="40"/>
      <c r="D177" s="198"/>
      <c r="E177" s="199"/>
      <c r="F177" s="199"/>
      <c r="G177" s="200"/>
      <c r="H177" s="201"/>
      <c r="I177" s="354"/>
      <c r="J177" s="350" t="str">
        <f>IF(Journal[[#This Row],[Transaction '#]]="","",IF(Journal[[#This Row],[Transaction '#]]=C176,J176+1,1))</f>
        <v/>
      </c>
      <c r="K177" s="351" cm="1">
        <f t="array" ref="K177">IFERROR(_xlfn.IFS(Journal[[#This Row],[Debit Account]]="Cash",Journal[[#This Row],[Dr Amt]],Journal[[#This Row],[Credit Account]]="Cash",-Journal[[#This Row],[Cr Amt]]),0)</f>
        <v>0</v>
      </c>
      <c r="L177" s="326" t="str" cm="1">
        <f t="array" ref="L177">IF(Journal[[#This Row],[Transaction '#]]&lt;&gt;"",IFERROR(INDEX(ProblemData!$E$239:$AM$239,1,Journal[[#This Row],[Transaction '#]]),""),"")</f>
        <v/>
      </c>
      <c r="M177" s="352" t="str">
        <f>IF(Journal[[#This Row],[ref1]]="","",IF(NOT(ISBLANK(Journal[[#This Row],[Transaction '#]])),Journal[[#This Row],[ref1]]&amp;Journal[[#This Row],[Movement '#]],""))</f>
        <v/>
      </c>
      <c r="N177" s="1" t="b">
        <f>OR(Journal[[#This Row],[ref1]]="",ISNUMBER(MATCH(Journal[[#This Row],[ref1]], Operating[Abbr], 0)), "Found", "Not Found"="Found")</f>
        <v>1</v>
      </c>
      <c r="O177" s="1"/>
      <c r="P177" s="1" t="str">
        <f>Journal[[#This Row],[Accnt Type]]&amp;"Used"</f>
        <v>Used</v>
      </c>
    </row>
    <row r="178" spans="3:16">
      <c r="C178" s="40"/>
      <c r="D178" s="198"/>
      <c r="E178" s="199"/>
      <c r="F178" s="199"/>
      <c r="G178" s="200"/>
      <c r="H178" s="201"/>
      <c r="I178" s="354"/>
      <c r="J178" s="350" t="str">
        <f>IF(Journal[[#This Row],[Transaction '#]]="","",IF(Journal[[#This Row],[Transaction '#]]=C177,J177+1,1))</f>
        <v/>
      </c>
      <c r="K178" s="351" cm="1">
        <f t="array" ref="K178">IFERROR(_xlfn.IFS(Journal[[#This Row],[Debit Account]]="Cash",Journal[[#This Row],[Dr Amt]],Journal[[#This Row],[Credit Account]]="Cash",-Journal[[#This Row],[Cr Amt]]),0)</f>
        <v>0</v>
      </c>
      <c r="L178" s="326" t="str" cm="1">
        <f t="array" ref="L178">IF(Journal[[#This Row],[Transaction '#]]&lt;&gt;"",IFERROR(INDEX(ProblemData!$E$239:$AM$239,1,Journal[[#This Row],[Transaction '#]]),""),"")</f>
        <v/>
      </c>
      <c r="M178" s="352" t="str">
        <f>IF(Journal[[#This Row],[ref1]]="","",IF(NOT(ISBLANK(Journal[[#This Row],[Transaction '#]])),Journal[[#This Row],[ref1]]&amp;Journal[[#This Row],[Movement '#]],""))</f>
        <v/>
      </c>
      <c r="N178" s="1" t="b">
        <f>OR(Journal[[#This Row],[ref1]]="",ISNUMBER(MATCH(Journal[[#This Row],[ref1]], Operating[Abbr], 0)), "Found", "Not Found"="Found")</f>
        <v>1</v>
      </c>
      <c r="O178" s="1"/>
      <c r="P178" s="1" t="str">
        <f>Journal[[#This Row],[Accnt Type]]&amp;"Used"</f>
        <v>Used</v>
      </c>
    </row>
    <row r="179" spans="3:16">
      <c r="C179" s="40"/>
      <c r="D179" s="198"/>
      <c r="E179" s="199"/>
      <c r="F179" s="199"/>
      <c r="G179" s="200"/>
      <c r="H179" s="201"/>
      <c r="I179" s="354"/>
      <c r="J179" s="350" t="str">
        <f>IF(Journal[[#This Row],[Transaction '#]]="","",IF(Journal[[#This Row],[Transaction '#]]=C178,J178+1,1))</f>
        <v/>
      </c>
      <c r="K179" s="351" cm="1">
        <f t="array" ref="K179">IFERROR(_xlfn.IFS(Journal[[#This Row],[Debit Account]]="Cash",Journal[[#This Row],[Dr Amt]],Journal[[#This Row],[Credit Account]]="Cash",-Journal[[#This Row],[Cr Amt]]),0)</f>
        <v>0</v>
      </c>
      <c r="L179" s="326" t="str" cm="1">
        <f t="array" ref="L179">IF(Journal[[#This Row],[Transaction '#]]&lt;&gt;"",IFERROR(INDEX(ProblemData!$E$239:$AM$239,1,Journal[[#This Row],[Transaction '#]]),""),"")</f>
        <v/>
      </c>
      <c r="M179" s="352" t="str">
        <f>IF(Journal[[#This Row],[ref1]]="","",IF(NOT(ISBLANK(Journal[[#This Row],[Transaction '#]])),Journal[[#This Row],[ref1]]&amp;Journal[[#This Row],[Movement '#]],""))</f>
        <v/>
      </c>
      <c r="N179" s="1" t="b">
        <f>OR(Journal[[#This Row],[ref1]]="",ISNUMBER(MATCH(Journal[[#This Row],[ref1]], Operating[Abbr], 0)), "Found", "Not Found"="Found")</f>
        <v>1</v>
      </c>
      <c r="O179" s="1"/>
      <c r="P179" s="1" t="str">
        <f>Journal[[#This Row],[Accnt Type]]&amp;"Used"</f>
        <v>Used</v>
      </c>
    </row>
    <row r="180" spans="3:16">
      <c r="C180" s="40"/>
      <c r="D180" s="198"/>
      <c r="E180" s="199"/>
      <c r="F180" s="199"/>
      <c r="G180" s="200"/>
      <c r="H180" s="201"/>
      <c r="I180" s="354"/>
      <c r="J180" s="350" t="str">
        <f>IF(Journal[[#This Row],[Transaction '#]]="","",IF(Journal[[#This Row],[Transaction '#]]=C179,J179+1,1))</f>
        <v/>
      </c>
      <c r="K180" s="351" cm="1">
        <f t="array" ref="K180">IFERROR(_xlfn.IFS(Journal[[#This Row],[Debit Account]]="Cash",Journal[[#This Row],[Dr Amt]],Journal[[#This Row],[Credit Account]]="Cash",-Journal[[#This Row],[Cr Amt]]),0)</f>
        <v>0</v>
      </c>
      <c r="L180" s="326" t="str" cm="1">
        <f t="array" ref="L180">IF(Journal[[#This Row],[Transaction '#]]&lt;&gt;"",IFERROR(INDEX(ProblemData!$E$239:$AM$239,1,Journal[[#This Row],[Transaction '#]]),""),"")</f>
        <v/>
      </c>
      <c r="M180" s="352" t="str">
        <f>IF(Journal[[#This Row],[ref1]]="","",IF(NOT(ISBLANK(Journal[[#This Row],[Transaction '#]])),Journal[[#This Row],[ref1]]&amp;Journal[[#This Row],[Movement '#]],""))</f>
        <v/>
      </c>
      <c r="N180" s="1" t="b">
        <f>OR(Journal[[#This Row],[ref1]]="",ISNUMBER(MATCH(Journal[[#This Row],[ref1]], Operating[Abbr], 0)), "Found", "Not Found"="Found")</f>
        <v>1</v>
      </c>
      <c r="O180" s="1"/>
      <c r="P180" s="1" t="str">
        <f>Journal[[#This Row],[Accnt Type]]&amp;"Used"</f>
        <v>Used</v>
      </c>
    </row>
    <row r="181" spans="3:16">
      <c r="C181" s="40"/>
      <c r="D181" s="198"/>
      <c r="E181" s="199"/>
      <c r="F181" s="199"/>
      <c r="G181" s="200"/>
      <c r="H181" s="201"/>
      <c r="I181" s="354"/>
      <c r="J181" s="350" t="str">
        <f>IF(Journal[[#This Row],[Transaction '#]]="","",IF(Journal[[#This Row],[Transaction '#]]=C180,J180+1,1))</f>
        <v/>
      </c>
      <c r="K181" s="351" cm="1">
        <f t="array" ref="K181">IFERROR(_xlfn.IFS(Journal[[#This Row],[Debit Account]]="Cash",Journal[[#This Row],[Dr Amt]],Journal[[#This Row],[Credit Account]]="Cash",-Journal[[#This Row],[Cr Amt]]),0)</f>
        <v>0</v>
      </c>
      <c r="L181" s="326" t="str" cm="1">
        <f t="array" ref="L181">IF(Journal[[#This Row],[Transaction '#]]&lt;&gt;"",IFERROR(INDEX(ProblemData!$E$239:$AM$239,1,Journal[[#This Row],[Transaction '#]]),""),"")</f>
        <v/>
      </c>
      <c r="M181" s="352" t="str">
        <f>IF(Journal[[#This Row],[ref1]]="","",IF(NOT(ISBLANK(Journal[[#This Row],[Transaction '#]])),Journal[[#This Row],[ref1]]&amp;Journal[[#This Row],[Movement '#]],""))</f>
        <v/>
      </c>
      <c r="N181" s="1" t="b">
        <f>OR(Journal[[#This Row],[ref1]]="",ISNUMBER(MATCH(Journal[[#This Row],[ref1]], Operating[Abbr], 0)), "Found", "Not Found"="Found")</f>
        <v>1</v>
      </c>
      <c r="O181" s="1"/>
      <c r="P181" s="1" t="str">
        <f>Journal[[#This Row],[Accnt Type]]&amp;"Used"</f>
        <v>Used</v>
      </c>
    </row>
    <row r="182" spans="3:16">
      <c r="C182" s="40"/>
      <c r="D182" s="198"/>
      <c r="E182" s="199"/>
      <c r="F182" s="199"/>
      <c r="G182" s="200"/>
      <c r="H182" s="201"/>
      <c r="I182" s="354"/>
      <c r="J182" s="350" t="str">
        <f>IF(Journal[[#This Row],[Transaction '#]]="","",IF(Journal[[#This Row],[Transaction '#]]=C181,J181+1,1))</f>
        <v/>
      </c>
      <c r="K182" s="351" cm="1">
        <f t="array" ref="K182">IFERROR(_xlfn.IFS(Journal[[#This Row],[Debit Account]]="Cash",Journal[[#This Row],[Dr Amt]],Journal[[#This Row],[Credit Account]]="Cash",-Journal[[#This Row],[Cr Amt]]),0)</f>
        <v>0</v>
      </c>
      <c r="L182" s="326" t="str" cm="1">
        <f t="array" ref="L182">IF(Journal[[#This Row],[Transaction '#]]&lt;&gt;"",IFERROR(INDEX(ProblemData!$E$239:$AM$239,1,Journal[[#This Row],[Transaction '#]]),""),"")</f>
        <v/>
      </c>
      <c r="M182" s="352" t="str">
        <f>IF(Journal[[#This Row],[ref1]]="","",IF(NOT(ISBLANK(Journal[[#This Row],[Transaction '#]])),Journal[[#This Row],[ref1]]&amp;Journal[[#This Row],[Movement '#]],""))</f>
        <v/>
      </c>
      <c r="N182" s="1" t="b">
        <f>OR(Journal[[#This Row],[ref1]]="",ISNUMBER(MATCH(Journal[[#This Row],[ref1]], Operating[Abbr], 0)), "Found", "Not Found"="Found")</f>
        <v>1</v>
      </c>
      <c r="O182" s="1"/>
      <c r="P182" s="1" t="str">
        <f>Journal[[#This Row],[Accnt Type]]&amp;"Used"</f>
        <v>Used</v>
      </c>
    </row>
    <row r="183" spans="3:16">
      <c r="C183" s="40"/>
      <c r="D183" s="198"/>
      <c r="E183" s="199"/>
      <c r="F183" s="199"/>
      <c r="G183" s="200"/>
      <c r="H183" s="201"/>
      <c r="I183" s="354"/>
      <c r="J183" s="350" t="str">
        <f>IF(Journal[[#This Row],[Transaction '#]]="","",IF(Journal[[#This Row],[Transaction '#]]=C182,J182+1,1))</f>
        <v/>
      </c>
      <c r="K183" s="351" cm="1">
        <f t="array" ref="K183">IFERROR(_xlfn.IFS(Journal[[#This Row],[Debit Account]]="Cash",Journal[[#This Row],[Dr Amt]],Journal[[#This Row],[Credit Account]]="Cash",-Journal[[#This Row],[Cr Amt]]),0)</f>
        <v>0</v>
      </c>
      <c r="L183" s="326" t="str" cm="1">
        <f t="array" ref="L183">IF(Journal[[#This Row],[Transaction '#]]&lt;&gt;"",IFERROR(INDEX(ProblemData!$E$239:$AM$239,1,Journal[[#This Row],[Transaction '#]]),""),"")</f>
        <v/>
      </c>
      <c r="M183" s="352" t="str">
        <f>IF(Journal[[#This Row],[ref1]]="","",IF(NOT(ISBLANK(Journal[[#This Row],[Transaction '#]])),Journal[[#This Row],[ref1]]&amp;Journal[[#This Row],[Movement '#]],""))</f>
        <v/>
      </c>
      <c r="N183" s="1" t="b">
        <f>OR(Journal[[#This Row],[ref1]]="",ISNUMBER(MATCH(Journal[[#This Row],[ref1]], Operating[Abbr], 0)), "Found", "Not Found"="Found")</f>
        <v>1</v>
      </c>
      <c r="O183" s="1"/>
      <c r="P183" s="1" t="str">
        <f>Journal[[#This Row],[Accnt Type]]&amp;"Used"</f>
        <v>Used</v>
      </c>
    </row>
    <row r="184" spans="3:16">
      <c r="C184" s="40"/>
      <c r="D184" s="198"/>
      <c r="E184" s="199"/>
      <c r="F184" s="199"/>
      <c r="G184" s="200"/>
      <c r="H184" s="201"/>
      <c r="I184" s="354"/>
      <c r="J184" s="350" t="str">
        <f>IF(Journal[[#This Row],[Transaction '#]]="","",IF(Journal[[#This Row],[Transaction '#]]=C183,J183+1,1))</f>
        <v/>
      </c>
      <c r="K184" s="351" cm="1">
        <f t="array" ref="K184">IFERROR(_xlfn.IFS(Journal[[#This Row],[Debit Account]]="Cash",Journal[[#This Row],[Dr Amt]],Journal[[#This Row],[Credit Account]]="Cash",-Journal[[#This Row],[Cr Amt]]),0)</f>
        <v>0</v>
      </c>
      <c r="L184" s="326" t="str" cm="1">
        <f t="array" ref="L184">IF(Journal[[#This Row],[Transaction '#]]&lt;&gt;"",IFERROR(INDEX(ProblemData!$E$239:$AM$239,1,Journal[[#This Row],[Transaction '#]]),""),"")</f>
        <v/>
      </c>
      <c r="M184" s="352" t="str">
        <f>IF(Journal[[#This Row],[ref1]]="","",IF(NOT(ISBLANK(Journal[[#This Row],[Transaction '#]])),Journal[[#This Row],[ref1]]&amp;Journal[[#This Row],[Movement '#]],""))</f>
        <v/>
      </c>
      <c r="N184" s="1" t="b">
        <f>OR(Journal[[#This Row],[ref1]]="",ISNUMBER(MATCH(Journal[[#This Row],[ref1]], Operating[Abbr], 0)), "Found", "Not Found"="Found")</f>
        <v>1</v>
      </c>
      <c r="O184" s="1"/>
      <c r="P184" s="1" t="str">
        <f>Journal[[#This Row],[Accnt Type]]&amp;"Used"</f>
        <v>Used</v>
      </c>
    </row>
    <row r="185" spans="3:16">
      <c r="C185" s="40"/>
      <c r="D185" s="198"/>
      <c r="E185" s="199"/>
      <c r="F185" s="199"/>
      <c r="G185" s="200"/>
      <c r="H185" s="201"/>
      <c r="I185" s="354"/>
      <c r="J185" s="350" t="str">
        <f>IF(Journal[[#This Row],[Transaction '#]]="","",IF(Journal[[#This Row],[Transaction '#]]=C184,J184+1,1))</f>
        <v/>
      </c>
      <c r="K185" s="351" cm="1">
        <f t="array" ref="K185">IFERROR(_xlfn.IFS(Journal[[#This Row],[Debit Account]]="Cash",Journal[[#This Row],[Dr Amt]],Journal[[#This Row],[Credit Account]]="Cash",-Journal[[#This Row],[Cr Amt]]),0)</f>
        <v>0</v>
      </c>
      <c r="L185" s="326" t="str" cm="1">
        <f t="array" ref="L185">IF(Journal[[#This Row],[Transaction '#]]&lt;&gt;"",IFERROR(INDEX(ProblemData!$E$239:$AM$239,1,Journal[[#This Row],[Transaction '#]]),""),"")</f>
        <v/>
      </c>
      <c r="M185" s="352" t="str">
        <f>IF(Journal[[#This Row],[ref1]]="","",IF(NOT(ISBLANK(Journal[[#This Row],[Transaction '#]])),Journal[[#This Row],[ref1]]&amp;Journal[[#This Row],[Movement '#]],""))</f>
        <v/>
      </c>
      <c r="N185" s="1" t="b">
        <f>OR(Journal[[#This Row],[ref1]]="",ISNUMBER(MATCH(Journal[[#This Row],[ref1]], Operating[Abbr], 0)), "Found", "Not Found"="Found")</f>
        <v>1</v>
      </c>
      <c r="O185" s="1"/>
      <c r="P185" s="1" t="str">
        <f>Journal[[#This Row],[Accnt Type]]&amp;"Used"</f>
        <v>Used</v>
      </c>
    </row>
    <row r="186" spans="3:16">
      <c r="C186" s="40"/>
      <c r="D186" s="198"/>
      <c r="E186" s="199"/>
      <c r="F186" s="199"/>
      <c r="G186" s="200"/>
      <c r="H186" s="201"/>
      <c r="I186" s="354"/>
      <c r="J186" s="350" t="str">
        <f>IF(Journal[[#This Row],[Transaction '#]]="","",IF(Journal[[#This Row],[Transaction '#]]=C185,J185+1,1))</f>
        <v/>
      </c>
      <c r="K186" s="351" cm="1">
        <f t="array" ref="K186">IFERROR(_xlfn.IFS(Journal[[#This Row],[Debit Account]]="Cash",Journal[[#This Row],[Dr Amt]],Journal[[#This Row],[Credit Account]]="Cash",-Journal[[#This Row],[Cr Amt]]),0)</f>
        <v>0</v>
      </c>
      <c r="L186" s="326" t="str" cm="1">
        <f t="array" ref="L186">IF(Journal[[#This Row],[Transaction '#]]&lt;&gt;"",IFERROR(INDEX(ProblemData!$E$239:$AM$239,1,Journal[[#This Row],[Transaction '#]]),""),"")</f>
        <v/>
      </c>
      <c r="M186" s="352" t="str">
        <f>IF(Journal[[#This Row],[ref1]]="","",IF(NOT(ISBLANK(Journal[[#This Row],[Transaction '#]])),Journal[[#This Row],[ref1]]&amp;Journal[[#This Row],[Movement '#]],""))</f>
        <v/>
      </c>
      <c r="N186" s="1" t="b">
        <f>OR(Journal[[#This Row],[ref1]]="",ISNUMBER(MATCH(Journal[[#This Row],[ref1]], Operating[Abbr], 0)), "Found", "Not Found"="Found")</f>
        <v>1</v>
      </c>
      <c r="O186" s="1"/>
      <c r="P186" s="1" t="str">
        <f>Journal[[#This Row],[Accnt Type]]&amp;"Used"</f>
        <v>Used</v>
      </c>
    </row>
    <row r="187" spans="3:16">
      <c r="C187" s="40"/>
      <c r="D187" s="198"/>
      <c r="E187" s="199"/>
      <c r="F187" s="199"/>
      <c r="G187" s="200"/>
      <c r="H187" s="201"/>
      <c r="I187" s="354"/>
      <c r="J187" s="350" t="str">
        <f>IF(Journal[[#This Row],[Transaction '#]]="","",IF(Journal[[#This Row],[Transaction '#]]=C186,J186+1,1))</f>
        <v/>
      </c>
      <c r="K187" s="351" cm="1">
        <f t="array" ref="K187">IFERROR(_xlfn.IFS(Journal[[#This Row],[Debit Account]]="Cash",Journal[[#This Row],[Dr Amt]],Journal[[#This Row],[Credit Account]]="Cash",-Journal[[#This Row],[Cr Amt]]),0)</f>
        <v>0</v>
      </c>
      <c r="L187" s="326" t="str" cm="1">
        <f t="array" ref="L187">IF(Journal[[#This Row],[Transaction '#]]&lt;&gt;"",IFERROR(INDEX(ProblemData!$E$239:$AM$239,1,Journal[[#This Row],[Transaction '#]]),""),"")</f>
        <v/>
      </c>
      <c r="M187" s="352" t="str">
        <f>IF(Journal[[#This Row],[ref1]]="","",IF(NOT(ISBLANK(Journal[[#This Row],[Transaction '#]])),Journal[[#This Row],[ref1]]&amp;Journal[[#This Row],[Movement '#]],""))</f>
        <v/>
      </c>
      <c r="N187" s="1" t="b">
        <f>OR(Journal[[#This Row],[ref1]]="",ISNUMBER(MATCH(Journal[[#This Row],[ref1]], Operating[Abbr], 0)), "Found", "Not Found"="Found")</f>
        <v>1</v>
      </c>
      <c r="O187" s="1"/>
      <c r="P187" s="1" t="str">
        <f>Journal[[#This Row],[Accnt Type]]&amp;"Used"</f>
        <v>Used</v>
      </c>
    </row>
    <row r="188" spans="3:16">
      <c r="C188" s="40"/>
      <c r="D188" s="198"/>
      <c r="E188" s="199"/>
      <c r="F188" s="199"/>
      <c r="G188" s="200"/>
      <c r="H188" s="201"/>
      <c r="I188" s="354"/>
      <c r="J188" s="350" t="str">
        <f>IF(Journal[[#This Row],[Transaction '#]]="","",IF(Journal[[#This Row],[Transaction '#]]=C187,J187+1,1))</f>
        <v/>
      </c>
      <c r="K188" s="351" cm="1">
        <f t="array" ref="K188">IFERROR(_xlfn.IFS(Journal[[#This Row],[Debit Account]]="Cash",Journal[[#This Row],[Dr Amt]],Journal[[#This Row],[Credit Account]]="Cash",-Journal[[#This Row],[Cr Amt]]),0)</f>
        <v>0</v>
      </c>
      <c r="L188" s="326" t="str" cm="1">
        <f t="array" ref="L188">IF(Journal[[#This Row],[Transaction '#]]&lt;&gt;"",IFERROR(INDEX(ProblemData!$E$239:$AM$239,1,Journal[[#This Row],[Transaction '#]]),""),"")</f>
        <v/>
      </c>
      <c r="M188" s="352" t="str">
        <f>IF(Journal[[#This Row],[ref1]]="","",IF(NOT(ISBLANK(Journal[[#This Row],[Transaction '#]])),Journal[[#This Row],[ref1]]&amp;Journal[[#This Row],[Movement '#]],""))</f>
        <v/>
      </c>
      <c r="N188" s="1" t="b">
        <f>OR(Journal[[#This Row],[ref1]]="",ISNUMBER(MATCH(Journal[[#This Row],[ref1]], Operating[Abbr], 0)), "Found", "Not Found"="Found")</f>
        <v>1</v>
      </c>
      <c r="O188" s="1"/>
      <c r="P188" s="1" t="str">
        <f>Journal[[#This Row],[Accnt Type]]&amp;"Used"</f>
        <v>Used</v>
      </c>
    </row>
    <row r="189" spans="3:16">
      <c r="C189" s="40"/>
      <c r="D189" s="198"/>
      <c r="E189" s="199"/>
      <c r="F189" s="199"/>
      <c r="G189" s="200"/>
      <c r="H189" s="201"/>
      <c r="I189" s="354"/>
      <c r="J189" s="350" t="str">
        <f>IF(Journal[[#This Row],[Transaction '#]]="","",IF(Journal[[#This Row],[Transaction '#]]=C188,J188+1,1))</f>
        <v/>
      </c>
      <c r="K189" s="351" cm="1">
        <f t="array" ref="K189">IFERROR(_xlfn.IFS(Journal[[#This Row],[Debit Account]]="Cash",Journal[[#This Row],[Dr Amt]],Journal[[#This Row],[Credit Account]]="Cash",-Journal[[#This Row],[Cr Amt]]),0)</f>
        <v>0</v>
      </c>
      <c r="L189" s="326" t="str" cm="1">
        <f t="array" ref="L189">IF(Journal[[#This Row],[Transaction '#]]&lt;&gt;"",IFERROR(INDEX(ProblemData!$E$239:$AM$239,1,Journal[[#This Row],[Transaction '#]]),""),"")</f>
        <v/>
      </c>
      <c r="M189" s="352" t="str">
        <f>IF(Journal[[#This Row],[ref1]]="","",IF(NOT(ISBLANK(Journal[[#This Row],[Transaction '#]])),Journal[[#This Row],[ref1]]&amp;Journal[[#This Row],[Movement '#]],""))</f>
        <v/>
      </c>
      <c r="N189" s="1" t="b">
        <f>OR(Journal[[#This Row],[ref1]]="",ISNUMBER(MATCH(Journal[[#This Row],[ref1]], Operating[Abbr], 0)), "Found", "Not Found"="Found")</f>
        <v>1</v>
      </c>
      <c r="O189" s="1"/>
      <c r="P189" s="1" t="str">
        <f>Journal[[#This Row],[Accnt Type]]&amp;"Used"</f>
        <v>Used</v>
      </c>
    </row>
    <row r="190" spans="3:16">
      <c r="C190" s="40"/>
      <c r="D190" s="198"/>
      <c r="E190" s="199"/>
      <c r="F190" s="199"/>
      <c r="G190" s="200"/>
      <c r="H190" s="201"/>
      <c r="I190" s="354"/>
      <c r="J190" s="350" t="str">
        <f>IF(Journal[[#This Row],[Transaction '#]]="","",IF(Journal[[#This Row],[Transaction '#]]=C189,J189+1,1))</f>
        <v/>
      </c>
      <c r="K190" s="351" cm="1">
        <f t="array" ref="K190">IFERROR(_xlfn.IFS(Journal[[#This Row],[Debit Account]]="Cash",Journal[[#This Row],[Dr Amt]],Journal[[#This Row],[Credit Account]]="Cash",-Journal[[#This Row],[Cr Amt]]),0)</f>
        <v>0</v>
      </c>
      <c r="L190" s="326" t="str" cm="1">
        <f t="array" ref="L190">IF(Journal[[#This Row],[Transaction '#]]&lt;&gt;"",IFERROR(INDEX(ProblemData!$E$239:$AM$239,1,Journal[[#This Row],[Transaction '#]]),""),"")</f>
        <v/>
      </c>
      <c r="M190" s="352" t="str">
        <f>IF(Journal[[#This Row],[ref1]]="","",IF(NOT(ISBLANK(Journal[[#This Row],[Transaction '#]])),Journal[[#This Row],[ref1]]&amp;Journal[[#This Row],[Movement '#]],""))</f>
        <v/>
      </c>
      <c r="N190" s="1" t="b">
        <f>OR(Journal[[#This Row],[ref1]]="",ISNUMBER(MATCH(Journal[[#This Row],[ref1]], Operating[Abbr], 0)), "Found", "Not Found"="Found")</f>
        <v>1</v>
      </c>
      <c r="O190" s="1"/>
      <c r="P190" s="1" t="str">
        <f>Journal[[#This Row],[Accnt Type]]&amp;"Used"</f>
        <v>Used</v>
      </c>
    </row>
    <row r="191" spans="3:16">
      <c r="C191" s="40"/>
      <c r="D191" s="198"/>
      <c r="E191" s="199"/>
      <c r="F191" s="199"/>
      <c r="G191" s="200"/>
      <c r="H191" s="201"/>
      <c r="I191" s="354"/>
      <c r="J191" s="350" t="str">
        <f>IF(Journal[[#This Row],[Transaction '#]]="","",IF(Journal[[#This Row],[Transaction '#]]=C190,J190+1,1))</f>
        <v/>
      </c>
      <c r="K191" s="351" cm="1">
        <f t="array" ref="K191">IFERROR(_xlfn.IFS(Journal[[#This Row],[Debit Account]]="Cash",Journal[[#This Row],[Dr Amt]],Journal[[#This Row],[Credit Account]]="Cash",-Journal[[#This Row],[Cr Amt]]),0)</f>
        <v>0</v>
      </c>
      <c r="L191" s="326" t="str" cm="1">
        <f t="array" ref="L191">IF(Journal[[#This Row],[Transaction '#]]&lt;&gt;"",IFERROR(INDEX(ProblemData!$E$239:$AM$239,1,Journal[[#This Row],[Transaction '#]]),""),"")</f>
        <v/>
      </c>
      <c r="M191" s="352" t="str">
        <f>IF(Journal[[#This Row],[ref1]]="","",IF(NOT(ISBLANK(Journal[[#This Row],[Transaction '#]])),Journal[[#This Row],[ref1]]&amp;Journal[[#This Row],[Movement '#]],""))</f>
        <v/>
      </c>
      <c r="N191" s="1" t="b">
        <f>OR(Journal[[#This Row],[ref1]]="",ISNUMBER(MATCH(Journal[[#This Row],[ref1]], Operating[Abbr], 0)), "Found", "Not Found"="Found")</f>
        <v>1</v>
      </c>
      <c r="O191" s="1"/>
      <c r="P191" s="1" t="str">
        <f>Journal[[#This Row],[Accnt Type]]&amp;"Used"</f>
        <v>Used</v>
      </c>
    </row>
    <row r="192" spans="3:16">
      <c r="C192" s="40"/>
      <c r="D192" s="198"/>
      <c r="E192" s="199"/>
      <c r="F192" s="199"/>
      <c r="G192" s="200"/>
      <c r="H192" s="201"/>
      <c r="I192" s="354"/>
      <c r="J192" s="350" t="str">
        <f>IF(Journal[[#This Row],[Transaction '#]]="","",IF(Journal[[#This Row],[Transaction '#]]=C191,J191+1,1))</f>
        <v/>
      </c>
      <c r="K192" s="351" cm="1">
        <f t="array" ref="K192">IFERROR(_xlfn.IFS(Journal[[#This Row],[Debit Account]]="Cash",Journal[[#This Row],[Dr Amt]],Journal[[#This Row],[Credit Account]]="Cash",-Journal[[#This Row],[Cr Amt]]),0)</f>
        <v>0</v>
      </c>
      <c r="L192" s="326" t="str" cm="1">
        <f t="array" ref="L192">IF(Journal[[#This Row],[Transaction '#]]&lt;&gt;"",IFERROR(INDEX(ProblemData!$E$239:$AM$239,1,Journal[[#This Row],[Transaction '#]]),""),"")</f>
        <v/>
      </c>
      <c r="M192" s="352" t="str">
        <f>IF(Journal[[#This Row],[ref1]]="","",IF(NOT(ISBLANK(Journal[[#This Row],[Transaction '#]])),Journal[[#This Row],[ref1]]&amp;Journal[[#This Row],[Movement '#]],""))</f>
        <v/>
      </c>
      <c r="N192" s="1" t="b">
        <f>OR(Journal[[#This Row],[ref1]]="",ISNUMBER(MATCH(Journal[[#This Row],[ref1]], Operating[Abbr], 0)), "Found", "Not Found"="Found")</f>
        <v>1</v>
      </c>
      <c r="O192" s="1"/>
      <c r="P192" s="1" t="str">
        <f>Journal[[#This Row],[Accnt Type]]&amp;"Used"</f>
        <v>Used</v>
      </c>
    </row>
    <row r="193" spans="3:16">
      <c r="C193" s="40"/>
      <c r="D193" s="198"/>
      <c r="E193" s="199"/>
      <c r="F193" s="199"/>
      <c r="G193" s="200"/>
      <c r="H193" s="201"/>
      <c r="I193" s="354"/>
      <c r="J193" s="350" t="str">
        <f>IF(Journal[[#This Row],[Transaction '#]]="","",IF(Journal[[#This Row],[Transaction '#]]=C192,J192+1,1))</f>
        <v/>
      </c>
      <c r="K193" s="351" cm="1">
        <f t="array" ref="K193">IFERROR(_xlfn.IFS(Journal[[#This Row],[Debit Account]]="Cash",Journal[[#This Row],[Dr Amt]],Journal[[#This Row],[Credit Account]]="Cash",-Journal[[#This Row],[Cr Amt]]),0)</f>
        <v>0</v>
      </c>
      <c r="L193" s="326" t="str" cm="1">
        <f t="array" ref="L193">IF(Journal[[#This Row],[Transaction '#]]&lt;&gt;"",IFERROR(INDEX(ProblemData!$E$239:$AM$239,1,Journal[[#This Row],[Transaction '#]]),""),"")</f>
        <v/>
      </c>
      <c r="M193" s="352" t="str">
        <f>IF(Journal[[#This Row],[ref1]]="","",IF(NOT(ISBLANK(Journal[[#This Row],[Transaction '#]])),Journal[[#This Row],[ref1]]&amp;Journal[[#This Row],[Movement '#]],""))</f>
        <v/>
      </c>
      <c r="N193" s="1" t="b">
        <f>OR(Journal[[#This Row],[ref1]]="",ISNUMBER(MATCH(Journal[[#This Row],[ref1]], Operating[Abbr], 0)), "Found", "Not Found"="Found")</f>
        <v>1</v>
      </c>
      <c r="O193" s="1"/>
      <c r="P193" s="1" t="str">
        <f>Journal[[#This Row],[Accnt Type]]&amp;"Used"</f>
        <v>Used</v>
      </c>
    </row>
    <row r="194" spans="3:16">
      <c r="C194" s="40"/>
      <c r="D194" s="198"/>
      <c r="E194" s="199"/>
      <c r="F194" s="199"/>
      <c r="G194" s="200"/>
      <c r="H194" s="201"/>
      <c r="I194" s="354"/>
      <c r="J194" s="350" t="str">
        <f>IF(Journal[[#This Row],[Transaction '#]]="","",IF(Journal[[#This Row],[Transaction '#]]=C193,J193+1,1))</f>
        <v/>
      </c>
      <c r="K194" s="351" cm="1">
        <f t="array" ref="K194">IFERROR(_xlfn.IFS(Journal[[#This Row],[Debit Account]]="Cash",Journal[[#This Row],[Dr Amt]],Journal[[#This Row],[Credit Account]]="Cash",-Journal[[#This Row],[Cr Amt]]),0)</f>
        <v>0</v>
      </c>
      <c r="L194" s="326" t="str" cm="1">
        <f t="array" ref="L194">IF(Journal[[#This Row],[Transaction '#]]&lt;&gt;"",IFERROR(INDEX(ProblemData!$E$239:$AM$239,1,Journal[[#This Row],[Transaction '#]]),""),"")</f>
        <v/>
      </c>
      <c r="M194" s="352" t="str">
        <f>IF(Journal[[#This Row],[ref1]]="","",IF(NOT(ISBLANK(Journal[[#This Row],[Transaction '#]])),Journal[[#This Row],[ref1]]&amp;Journal[[#This Row],[Movement '#]],""))</f>
        <v/>
      </c>
      <c r="N194" s="1" t="b">
        <f>OR(Journal[[#This Row],[ref1]]="",ISNUMBER(MATCH(Journal[[#This Row],[ref1]], Operating[Abbr], 0)), "Found", "Not Found"="Found")</f>
        <v>1</v>
      </c>
      <c r="O194" s="1"/>
      <c r="P194" s="1" t="str">
        <f>Journal[[#This Row],[Accnt Type]]&amp;"Used"</f>
        <v>Used</v>
      </c>
    </row>
    <row r="195" spans="3:16">
      <c r="C195" s="40"/>
      <c r="D195" s="198"/>
      <c r="E195" s="199"/>
      <c r="F195" s="199"/>
      <c r="G195" s="200"/>
      <c r="H195" s="201"/>
      <c r="I195" s="354"/>
      <c r="J195" s="350" t="str">
        <f>IF(Journal[[#This Row],[Transaction '#]]="","",IF(Journal[[#This Row],[Transaction '#]]=C194,J194+1,1))</f>
        <v/>
      </c>
      <c r="K195" s="351" cm="1">
        <f t="array" ref="K195">IFERROR(_xlfn.IFS(Journal[[#This Row],[Debit Account]]="Cash",Journal[[#This Row],[Dr Amt]],Journal[[#This Row],[Credit Account]]="Cash",-Journal[[#This Row],[Cr Amt]]),0)</f>
        <v>0</v>
      </c>
      <c r="L195" s="326" t="str" cm="1">
        <f t="array" ref="L195">IF(Journal[[#This Row],[Transaction '#]]&lt;&gt;"",IFERROR(INDEX(ProblemData!$E$239:$AM$239,1,Journal[[#This Row],[Transaction '#]]),""),"")</f>
        <v/>
      </c>
      <c r="M195" s="352" t="str">
        <f>IF(Journal[[#This Row],[ref1]]="","",IF(NOT(ISBLANK(Journal[[#This Row],[Transaction '#]])),Journal[[#This Row],[ref1]]&amp;Journal[[#This Row],[Movement '#]],""))</f>
        <v/>
      </c>
      <c r="N195" s="1" t="b">
        <f>OR(Journal[[#This Row],[ref1]]="",ISNUMBER(MATCH(Journal[[#This Row],[ref1]], Operating[Abbr], 0)), "Found", "Not Found"="Found")</f>
        <v>1</v>
      </c>
      <c r="O195" s="1"/>
      <c r="P195" s="1" t="str">
        <f>Journal[[#This Row],[Accnt Type]]&amp;"Used"</f>
        <v>Used</v>
      </c>
    </row>
    <row r="196" spans="3:16">
      <c r="C196" s="40"/>
      <c r="D196" s="198"/>
      <c r="E196" s="199"/>
      <c r="F196" s="199"/>
      <c r="G196" s="200"/>
      <c r="H196" s="201"/>
      <c r="I196" s="354"/>
      <c r="J196" s="350" t="str">
        <f>IF(Journal[[#This Row],[Transaction '#]]="","",IF(Journal[[#This Row],[Transaction '#]]=C195,J195+1,1))</f>
        <v/>
      </c>
      <c r="K196" s="351" cm="1">
        <f t="array" ref="K196">IFERROR(_xlfn.IFS(Journal[[#This Row],[Debit Account]]="Cash",Journal[[#This Row],[Dr Amt]],Journal[[#This Row],[Credit Account]]="Cash",-Journal[[#This Row],[Cr Amt]]),0)</f>
        <v>0</v>
      </c>
      <c r="L196" s="326" t="str" cm="1">
        <f t="array" ref="L196">IF(Journal[[#This Row],[Transaction '#]]&lt;&gt;"",IFERROR(INDEX(ProblemData!$E$239:$AM$239,1,Journal[[#This Row],[Transaction '#]]),""),"")</f>
        <v/>
      </c>
      <c r="M196" s="352" t="str">
        <f>IF(Journal[[#This Row],[ref1]]="","",IF(NOT(ISBLANK(Journal[[#This Row],[Transaction '#]])),Journal[[#This Row],[ref1]]&amp;Journal[[#This Row],[Movement '#]],""))</f>
        <v/>
      </c>
      <c r="N196" s="1" t="b">
        <f>OR(Journal[[#This Row],[ref1]]="",ISNUMBER(MATCH(Journal[[#This Row],[ref1]], Operating[Abbr], 0)), "Found", "Not Found"="Found")</f>
        <v>1</v>
      </c>
      <c r="O196" s="1"/>
      <c r="P196" s="1" t="str">
        <f>Journal[[#This Row],[Accnt Type]]&amp;"Used"</f>
        <v>Used</v>
      </c>
    </row>
    <row r="197" spans="3:16">
      <c r="C197" s="40"/>
      <c r="D197" s="198"/>
      <c r="E197" s="199"/>
      <c r="F197" s="199"/>
      <c r="G197" s="200"/>
      <c r="H197" s="201"/>
      <c r="I197" s="354"/>
      <c r="J197" s="350" t="str">
        <f>IF(Journal[[#This Row],[Transaction '#]]="","",IF(Journal[[#This Row],[Transaction '#]]=C196,J196+1,1))</f>
        <v/>
      </c>
      <c r="K197" s="351" cm="1">
        <f t="array" ref="K197">IFERROR(_xlfn.IFS(Journal[[#This Row],[Debit Account]]="Cash",Journal[[#This Row],[Dr Amt]],Journal[[#This Row],[Credit Account]]="Cash",-Journal[[#This Row],[Cr Amt]]),0)</f>
        <v>0</v>
      </c>
      <c r="L197" s="326" t="str" cm="1">
        <f t="array" ref="L197">IF(Journal[[#This Row],[Transaction '#]]&lt;&gt;"",IFERROR(INDEX(ProblemData!$E$239:$AM$239,1,Journal[[#This Row],[Transaction '#]]),""),"")</f>
        <v/>
      </c>
      <c r="M197" s="352" t="str">
        <f>IF(Journal[[#This Row],[ref1]]="","",IF(NOT(ISBLANK(Journal[[#This Row],[Transaction '#]])),Journal[[#This Row],[ref1]]&amp;Journal[[#This Row],[Movement '#]],""))</f>
        <v/>
      </c>
      <c r="N197" s="1" t="b">
        <f>OR(Journal[[#This Row],[ref1]]="",ISNUMBER(MATCH(Journal[[#This Row],[ref1]], Operating[Abbr], 0)), "Found", "Not Found"="Found")</f>
        <v>1</v>
      </c>
      <c r="O197" s="1"/>
      <c r="P197" s="1" t="str">
        <f>Journal[[#This Row],[Accnt Type]]&amp;"Used"</f>
        <v>Used</v>
      </c>
    </row>
    <row r="199" spans="3:16" collapsed="1"/>
  </sheetData>
  <sheetProtection sheet="1" objects="1" scenarios="1"/>
  <mergeCells count="3">
    <mergeCell ref="C3:I3"/>
    <mergeCell ref="C4:I7"/>
    <mergeCell ref="C9:H10"/>
  </mergeCells>
  <phoneticPr fontId="4" type="noConversion"/>
  <conditionalFormatting sqref="C12:H197">
    <cfRule type="expression" dxfId="660" priority="1">
      <formula>$C12&lt;&gt;0</formula>
    </cfRule>
  </conditionalFormatting>
  <conditionalFormatting sqref="I9:I10">
    <cfRule type="expression" dxfId="659" priority="12">
      <formula>ROUND($I$10,2)&lt;&gt;0</formula>
    </cfRule>
  </conditionalFormatting>
  <conditionalFormatting sqref="I12:I197">
    <cfRule type="expression" dxfId="658" priority="2">
      <formula>OR($E12="Cash",$F12="Cash")</formula>
    </cfRule>
  </conditionalFormatting>
  <conditionalFormatting sqref="J3:L3">
    <cfRule type="expression" dxfId="657" priority="14">
      <formula>LEN(Line1)&gt;125</formula>
    </cfRule>
  </conditionalFormatting>
  <conditionalFormatting sqref="J4:L4">
    <cfRule type="expression" dxfId="656" priority="15">
      <formula>LEN(Line2)&gt;125</formula>
    </cfRule>
  </conditionalFormatting>
  <conditionalFormatting sqref="J5:L5">
    <cfRule type="expression" dxfId="655" priority="16">
      <formula>LEN(Line3)&gt;125</formula>
    </cfRule>
  </conditionalFormatting>
  <conditionalFormatting sqref="J6:L6">
    <cfRule type="expression" dxfId="654" priority="17">
      <formula>LEN(Line4)&gt;125</formula>
    </cfRule>
  </conditionalFormatting>
  <conditionalFormatting sqref="J7:L7">
    <cfRule type="expression" dxfId="653" priority="18">
      <formula>LEN(Line5)&gt;125</formula>
    </cfRule>
  </conditionalFormatting>
  <dataValidations count="1">
    <dataValidation type="list" allowBlank="1" showInputMessage="1" showErrorMessage="1" sqref="E12:F197" xr:uid="{12216410-1670-47E8-B2DA-86F5442595CB}">
      <formula1>INDIRECT($P12)</formula1>
    </dataValidation>
  </dataValidations>
  <pageMargins left="0.7" right="0.7" top="0.75" bottom="0.75" header="0.3" footer="0.3"/>
  <pageSetup orientation="portrait" r:id="rId1"/>
  <ignoredErrors>
    <ignoredError sqref="J21:J197 J16:J20 J14 J12:J13 J15"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D12:D197</xm:sqref>
        </x14:dataValidation>
        <x14:dataValidation type="list" allowBlank="1" showInputMessage="1" showErrorMessage="1" xr:uid="{62AB9D71-513B-4A7B-80C0-F2876ADC3E59}">
          <x14:formula1>
            <xm:f>_xlfn.ANCHORARRAY(ProblemData!$E$853)</xm:f>
          </x14:formula1>
          <xm:sqref>D2 C12:C197</xm:sqref>
        </x14:dataValidation>
        <x14:dataValidation type="list" allowBlank="1" showInputMessage="1" showErrorMessage="1" xr:uid="{294D3D36-FC62-42A7-83AA-C901603A0066}">
          <x14:formula1>
            <xm:f>_xlfn.ANCHORARRAY(MasterData!$K$15)</xm:f>
          </x14:formula1>
          <xm:sqref>I12:I197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O24" workbookViewId="0">
      <selection activeCell="C723" sqref="C723"/>
    </sheetView>
  </sheetViews>
  <sheetFormatPr defaultRowHeight="14.45"/>
  <cols>
    <col min="2" max="2" width="5.7109375" style="224" bestFit="1" customWidth="1"/>
    <col min="3" max="3" width="42.28515625" bestFit="1" customWidth="1"/>
    <col min="4" max="4" width="9.7109375" bestFit="1" customWidth="1"/>
    <col min="5" max="7" width="9.7109375" customWidth="1"/>
    <col min="8" max="8" width="8.85546875" style="224"/>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224"/>
    <col min="20" max="20" width="41.85546875" style="224" bestFit="1" customWidth="1"/>
    <col min="21" max="21" width="10.7109375" style="224" bestFit="1" customWidth="1"/>
    <col min="22" max="22" width="8.85546875" style="224"/>
    <col min="23" max="24" width="10.7109375" style="224" bestFit="1" customWidth="1"/>
    <col min="25" max="25" width="12.28515625" style="224" bestFit="1" customWidth="1"/>
    <col min="26" max="28" width="12.28515625" style="224" customWidth="1"/>
    <col min="29" max="30" width="8.85546875" style="224"/>
    <col min="31" max="31" width="30.85546875" bestFit="1" customWidth="1"/>
    <col min="32" max="32" width="9.7109375" customWidth="1"/>
    <col min="33" max="34" width="9.7109375" bestFit="1" customWidth="1"/>
    <col min="36" max="41" width="8.85546875" customWidth="1"/>
    <col min="42" max="42" width="10.42578125" style="224" customWidth="1"/>
    <col min="43" max="43" width="38.140625" bestFit="1" customWidth="1"/>
    <col min="44" max="44" width="11.7109375" customWidth="1"/>
    <col min="45" max="45" width="8.85546875" style="224"/>
    <col min="46" max="47" width="11.28515625" style="224" bestFit="1" customWidth="1"/>
    <col min="48" max="48" width="13" style="224" bestFit="1" customWidth="1"/>
    <col min="49" max="51" width="13" style="224" customWidth="1"/>
    <col min="52" max="53" width="8.85546875" style="224"/>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224"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
      <c r="A1" s="429" t="str">
        <f>Entity</f>
        <v>Accounting Identity LLC</v>
      </c>
    </row>
    <row r="2" spans="1:73">
      <c r="A2" t="s">
        <v>964</v>
      </c>
      <c r="D2" s="224"/>
      <c r="E2" s="224"/>
      <c r="F2" s="224"/>
      <c r="G2" s="224"/>
      <c r="I2" s="224"/>
      <c r="J2" s="224"/>
      <c r="K2" s="224"/>
      <c r="L2" s="224"/>
      <c r="M2" s="224"/>
      <c r="N2" s="224"/>
      <c r="O2" s="224"/>
      <c r="P2" s="224"/>
      <c r="Q2" s="224"/>
      <c r="AE2" s="438" t="s">
        <v>696</v>
      </c>
      <c r="AF2" s="202"/>
      <c r="AG2" s="202"/>
      <c r="AH2" s="202"/>
      <c r="AI2" s="202"/>
      <c r="AJ2" s="202"/>
      <c r="AK2" s="202"/>
      <c r="AL2" s="202"/>
      <c r="AM2" s="202"/>
      <c r="AN2" s="224"/>
      <c r="AP2" s="438" t="s">
        <v>626</v>
      </c>
      <c r="AR2" s="202"/>
      <c r="BB2" s="202"/>
      <c r="BC2" s="202"/>
      <c r="BM2" s="202"/>
      <c r="BN2" s="202"/>
    </row>
    <row r="3" spans="1:73">
      <c r="B3" s="423" t="str">
        <f>"Balance Sheet"</f>
        <v>Balance Sheet</v>
      </c>
      <c r="D3" s="224"/>
      <c r="E3" s="224"/>
      <c r="F3" s="224"/>
      <c r="G3" s="224"/>
      <c r="H3" s="423" t="s">
        <v>586</v>
      </c>
      <c r="J3" s="224"/>
      <c r="K3" s="224"/>
      <c r="L3" s="224"/>
      <c r="M3" s="224"/>
      <c r="N3" s="224"/>
      <c r="O3" s="224"/>
      <c r="P3" s="224"/>
      <c r="Q3" s="224"/>
      <c r="S3" s="423" t="s">
        <v>695</v>
      </c>
      <c r="AE3" s="6" t="str">
        <f>"for the "&amp;Period&amp;" Ended "</f>
        <v xml:space="preserve">for the Year Ended </v>
      </c>
      <c r="AF3" s="6"/>
      <c r="AG3" s="6"/>
      <c r="AH3" s="6"/>
      <c r="AI3" s="6"/>
      <c r="AJ3" s="6"/>
      <c r="AK3" s="6"/>
      <c r="AL3" s="6"/>
      <c r="AM3" s="202"/>
      <c r="AN3" s="224"/>
      <c r="AP3" s="6" t="str">
        <f>"for the "&amp;Period&amp;" Ended "</f>
        <v xml:space="preserve">for the Year Ended </v>
      </c>
      <c r="AR3" s="202"/>
      <c r="BC3" s="202"/>
      <c r="BL3" s="423" t="str">
        <f>"Balance Sheet"</f>
        <v>Balance Sheet</v>
      </c>
      <c r="BN3" s="224"/>
      <c r="BO3" s="224"/>
      <c r="BP3" s="224"/>
    </row>
    <row r="4" spans="1:73">
      <c r="B4" s="224" t="str">
        <f>"as of "</f>
        <v xml:space="preserve">as of </v>
      </c>
      <c r="D4" s="224"/>
      <c r="E4" s="224"/>
      <c r="F4" s="224"/>
      <c r="G4" s="224"/>
      <c r="H4" s="224" t="str">
        <f>"for the "&amp;Period&amp;" Ended "</f>
        <v xml:space="preserve">for the Year Ended </v>
      </c>
      <c r="J4" s="224"/>
      <c r="K4" s="224"/>
      <c r="L4" s="224"/>
      <c r="M4" s="224"/>
      <c r="N4" s="224"/>
      <c r="O4" s="224"/>
      <c r="P4" s="224"/>
      <c r="Q4" s="224"/>
      <c r="S4" s="224" t="str">
        <f>"for the "&amp;Period&amp;" Ended "</f>
        <v xml:space="preserve">for the Year Ended </v>
      </c>
      <c r="AE4" s="6" t="str">
        <f>EndDate</f>
        <v>12/31/20x1</v>
      </c>
      <c r="AF4" s="6"/>
      <c r="AG4" s="6"/>
      <c r="AH4" s="6"/>
      <c r="AI4" s="6"/>
      <c r="AJ4" s="6"/>
      <c r="AK4" s="6"/>
      <c r="AL4" s="6"/>
      <c r="AM4" s="202"/>
      <c r="AN4" s="224"/>
      <c r="AP4" s="6" t="str">
        <f>EndDate</f>
        <v>12/31/20x1</v>
      </c>
      <c r="AR4" s="202"/>
      <c r="BB4" s="202"/>
      <c r="BC4" s="202"/>
      <c r="BL4" s="224" t="str">
        <f>"as of "</f>
        <v xml:space="preserve">as of </v>
      </c>
      <c r="BN4" s="224"/>
      <c r="BO4" s="224"/>
      <c r="BP4" s="224"/>
    </row>
    <row r="5" spans="1:73">
      <c r="B5" s="224" t="str">
        <f>BegDate</f>
        <v>12/31/20x0</v>
      </c>
      <c r="D5" s="224"/>
      <c r="E5" s="224"/>
      <c r="F5" s="224"/>
      <c r="G5" s="224"/>
      <c r="H5" s="224" t="str">
        <f>EndDate</f>
        <v>12/31/20x1</v>
      </c>
      <c r="J5" s="224"/>
      <c r="K5" s="224"/>
      <c r="L5" s="224"/>
      <c r="M5" s="224"/>
      <c r="N5" s="224"/>
      <c r="O5" s="224"/>
      <c r="P5" s="224"/>
      <c r="Q5" s="224"/>
      <c r="S5" s="224" t="str">
        <f>EndDate</f>
        <v>12/31/20x1</v>
      </c>
      <c r="AE5" s="6" t="str">
        <f>Units</f>
        <v>Dollars in Thousands</v>
      </c>
      <c r="AF5" s="6"/>
      <c r="AG5" s="6"/>
      <c r="AH5" s="6"/>
      <c r="AI5" s="6"/>
      <c r="AJ5" s="6"/>
      <c r="AK5" s="6"/>
      <c r="AL5" s="6"/>
      <c r="AM5" s="202"/>
      <c r="AN5" s="224"/>
      <c r="AP5" s="434" t="str">
        <f>Units</f>
        <v>Dollars in Thousands</v>
      </c>
      <c r="AR5" s="202"/>
      <c r="BC5" s="202"/>
      <c r="BL5" s="224" t="str">
        <f>EndDate</f>
        <v>12/31/20x1</v>
      </c>
      <c r="BN5" s="224"/>
      <c r="BO5" s="224"/>
      <c r="BP5" s="224"/>
    </row>
    <row r="6" spans="1:73">
      <c r="B6" s="224" t="str">
        <f>Units</f>
        <v>Dollars in Thousands</v>
      </c>
      <c r="D6" s="224"/>
      <c r="E6" s="224"/>
      <c r="F6" s="224"/>
      <c r="G6" s="224"/>
      <c r="H6" s="224" t="str">
        <f>Units</f>
        <v>Dollars in Thousands</v>
      </c>
      <c r="J6" s="224"/>
      <c r="K6" s="224"/>
      <c r="L6" s="224"/>
      <c r="M6" s="224"/>
      <c r="N6" s="224"/>
      <c r="O6" s="224"/>
      <c r="P6" s="224"/>
      <c r="Q6" s="224"/>
      <c r="S6" s="224" t="str">
        <f>Units</f>
        <v>Dollars in Thousands</v>
      </c>
      <c r="AF6" s="6"/>
      <c r="AG6" s="6"/>
      <c r="AH6" s="6"/>
      <c r="AI6" s="6"/>
      <c r="AJ6" s="6"/>
      <c r="AK6" s="6"/>
      <c r="AL6" s="6"/>
      <c r="AM6" s="202"/>
      <c r="AN6" s="224"/>
      <c r="AR6" s="202"/>
      <c r="BA6" s="438" t="s">
        <v>591</v>
      </c>
      <c r="BB6" s="438"/>
      <c r="BC6" s="202"/>
      <c r="BL6" s="224" t="str">
        <f>Units</f>
        <v>Dollars in Thousands</v>
      </c>
      <c r="BN6" s="224"/>
      <c r="BO6" s="224"/>
      <c r="BP6" s="224"/>
    </row>
    <row r="7" spans="1:73">
      <c r="I7" s="425"/>
      <c r="J7" s="202"/>
      <c r="K7" s="202"/>
      <c r="AP7" s="423" t="s">
        <v>898</v>
      </c>
      <c r="AQ7" s="425"/>
      <c r="AR7" s="202"/>
      <c r="AT7"/>
      <c r="AU7"/>
      <c r="AV7"/>
      <c r="AW7"/>
      <c r="AX7"/>
      <c r="AY7"/>
      <c r="AZ7"/>
      <c r="BA7" s="224">
        <v>3</v>
      </c>
      <c r="BB7" t="s">
        <v>862</v>
      </c>
      <c r="BE7" s="399">
        <f>L54</f>
        <v>0</v>
      </c>
      <c r="BF7" s="399">
        <f ca="1">M54</f>
        <v>12</v>
      </c>
      <c r="BG7" s="399">
        <f ca="1">N54</f>
        <v>0</v>
      </c>
      <c r="BH7" s="399"/>
      <c r="BI7" s="399"/>
      <c r="BJ7" s="399"/>
      <c r="BK7" s="399"/>
      <c r="BL7" s="5" t="s">
        <v>65</v>
      </c>
    </row>
    <row r="8" spans="1:73">
      <c r="B8" s="5" t="s">
        <v>65</v>
      </c>
      <c r="H8" s="5" t="s">
        <v>69</v>
      </c>
      <c r="L8" s="348"/>
      <c r="M8" s="348"/>
      <c r="N8" s="348"/>
      <c r="O8" s="348"/>
      <c r="P8" s="348"/>
      <c r="Q8" s="348"/>
      <c r="S8" s="423" t="s">
        <v>965</v>
      </c>
      <c r="AE8" s="1" t="s">
        <v>689</v>
      </c>
      <c r="AF8" s="1" t="s">
        <v>966</v>
      </c>
      <c r="AG8" s="1" t="s">
        <v>967</v>
      </c>
      <c r="AP8" s="430" t="s">
        <v>968</v>
      </c>
      <c r="AQ8" s="430" t="s">
        <v>779</v>
      </c>
      <c r="AR8" s="430" t="s">
        <v>75</v>
      </c>
      <c r="AS8" s="528" t="s">
        <v>969</v>
      </c>
      <c r="AT8" s="430" t="s">
        <v>966</v>
      </c>
      <c r="AU8" s="430" t="s">
        <v>967</v>
      </c>
      <c r="AV8" s="430" t="s">
        <v>970</v>
      </c>
      <c r="AW8" s="430" t="s">
        <v>971</v>
      </c>
      <c r="AX8" s="430" t="s">
        <v>972</v>
      </c>
      <c r="AY8" s="430" t="s">
        <v>973</v>
      </c>
      <c r="AZ8"/>
      <c r="BA8" s="441" t="s">
        <v>974</v>
      </c>
      <c r="BL8" s="5" t="s">
        <v>885</v>
      </c>
    </row>
    <row r="9" spans="1:73">
      <c r="B9" s="5" t="s">
        <v>885</v>
      </c>
      <c r="G9" s="1"/>
      <c r="H9" s="430" t="s">
        <v>968</v>
      </c>
      <c r="I9" s="430" t="s">
        <v>779</v>
      </c>
      <c r="J9" s="430" t="s">
        <v>75</v>
      </c>
      <c r="K9" s="528" t="s">
        <v>969</v>
      </c>
      <c r="L9" s="430" t="s">
        <v>966</v>
      </c>
      <c r="M9" s="430" t="s">
        <v>967</v>
      </c>
      <c r="N9" s="430" t="s">
        <v>970</v>
      </c>
      <c r="O9" s="430" t="s">
        <v>971</v>
      </c>
      <c r="P9" s="430" t="s">
        <v>972</v>
      </c>
      <c r="Q9" s="430" t="s">
        <v>973</v>
      </c>
      <c r="S9" s="430" t="s">
        <v>968</v>
      </c>
      <c r="T9" s="430" t="s">
        <v>779</v>
      </c>
      <c r="U9" s="430" t="s">
        <v>75</v>
      </c>
      <c r="V9" s="528" t="s">
        <v>969</v>
      </c>
      <c r="W9" s="430" t="s">
        <v>966</v>
      </c>
      <c r="X9" s="430" t="s">
        <v>967</v>
      </c>
      <c r="Y9" s="430" t="s">
        <v>970</v>
      </c>
      <c r="Z9" s="430" t="s">
        <v>971</v>
      </c>
      <c r="AA9" s="430" t="s">
        <v>972</v>
      </c>
      <c r="AB9" s="430" t="s">
        <v>973</v>
      </c>
      <c r="AE9" t="s">
        <v>371</v>
      </c>
      <c r="AF9" s="37">
        <f>SUMIFS(Journal[Cr Amt],Journal[ref1],"IPS",Journal[Credit Account],"Preferred Stock")</f>
        <v>0</v>
      </c>
      <c r="AG9" s="37">
        <f ca="1">SUMIFS(JournalAnswer[Cr Amt],JournalAnswer[ref1],"IPS",JournalAnswer[Credit Account],"Preferred Stock")</f>
        <v>0</v>
      </c>
      <c r="AP9" s="224" cm="1">
        <f t="array" aca="1" ref="AP9" ca="1">_xlfn.IFS(AND(CFS_CFO[[#This Row],[Used]]=1,CFS_CFO[[#This Row],[Order]]=1),6,AND(CFS_CFO[[#This Row],[Used]]=1,CFS_CFO[[#This Row],[Order]]&gt;1),7,CFS_CFO[[#This Row],[Used]]=0,8)</f>
        <v>6</v>
      </c>
      <c r="AQ9" t="s">
        <v>975</v>
      </c>
      <c r="AR9" s="421">
        <f ca="1">IF(MAX(CFS_CFO[[#This Row],[AmtJournal]],CFS_CFO[[#This Row],[AmtAnswer]],CFS_CFO[[#This Row],[AmtFSBuilder]])&gt;0,1,0)</f>
        <v>1</v>
      </c>
      <c r="AS9" s="421">
        <f ca="1">CFS_CFO[[#This Row],[Used]]</f>
        <v>1</v>
      </c>
      <c r="AT9" s="401">
        <f>SUMIFS(Journal[Dr Amt],Journal[ref1],"ColC",Journal[Debit Account],"Cash")</f>
        <v>0</v>
      </c>
      <c r="AU9" s="401">
        <f ca="1">SUMIFS(JournalAnswer[Dr Amt],JournalAnswer[ref1],"ColC",JournalAnswer[Debit Account],"Cash")</f>
        <v>91</v>
      </c>
      <c r="AV9" s="401" cm="1">
        <f t="array" aca="1" ref="AV9" ca="1">IF(CFS_CFO[[#This Row],[Account]]&lt;&gt;"",_xlfn._xlws.FILTER(FSBuilder[Amount],FSBuilder[Account or Explanation]=CFS_CFO[[#This Row],[Account]],0),"")</f>
        <v>0</v>
      </c>
      <c r="AW9" s="421">
        <f>IF(CFS_CFO[[#This Row],[AmtJournal]]&lt;&gt;0,1,0)</f>
        <v>0</v>
      </c>
      <c r="AX9" s="421">
        <f ca="1">IF(CFS_CFO[[#This Row],[AmtAnswer]]&lt;&gt;0,1,0)</f>
        <v>1</v>
      </c>
      <c r="AY9" s="421">
        <f ca="1">IF(CFS_CFO[[#This Row],[AmtFSBuilder]]&lt;&gt;0,1,0)</f>
        <v>0</v>
      </c>
      <c r="AZ9"/>
      <c r="BA9" s="423" t="s">
        <v>308</v>
      </c>
      <c r="BB9" s="213"/>
      <c r="BL9" s="430" t="s">
        <v>968</v>
      </c>
      <c r="BM9" s="430" t="s">
        <v>779</v>
      </c>
      <c r="BN9" s="430" t="s">
        <v>75</v>
      </c>
      <c r="BO9" s="528" t="s">
        <v>969</v>
      </c>
      <c r="BP9" s="430" t="s">
        <v>966</v>
      </c>
      <c r="BQ9" s="430" t="s">
        <v>967</v>
      </c>
      <c r="BR9" s="430" t="s">
        <v>970</v>
      </c>
      <c r="BS9" s="532" t="s">
        <v>971</v>
      </c>
      <c r="BT9" s="532" t="s">
        <v>972</v>
      </c>
      <c r="BU9" s="532" t="s">
        <v>973</v>
      </c>
    </row>
    <row r="10" spans="1:73">
      <c r="B10" s="1" t="s">
        <v>968</v>
      </c>
      <c r="C10" s="1" t="s">
        <v>779</v>
      </c>
      <c r="D10" s="1" t="s">
        <v>75</v>
      </c>
      <c r="E10" s="1" t="s">
        <v>969</v>
      </c>
      <c r="F10" s="1" t="s">
        <v>976</v>
      </c>
      <c r="G10" s="421"/>
      <c r="H10" s="224" cm="1">
        <f t="array" ref="H10">_xlfn.IFS(AND(IS_Revenues[[#This Row],[Used]]=1,IS_Revenues[[#This Row],[Order]]=1),6,AND(IS_Revenues[[#This Row],[Used]]=1,IS_Revenues[[#This Row],[Order]]&gt;1),7,IS_Revenues[[#This Row],[Used]]=0,8)</f>
        <v>6</v>
      </c>
      <c r="I10" t="s">
        <v>262</v>
      </c>
      <c r="J10" s="421">
        <f>IF(ISNUMBER(_xlfn.XLOOKUP(IS_Revenues[[#This Row],[Account]],MD_Revenue[Account Name],MD_Revenue[Used])),_xlfn.XLOOKUP(IS_Revenues[[#This Row],[Account]],MD_Revenue[Account Name],MD_Revenue[Used]),0)</f>
        <v>1</v>
      </c>
      <c r="K10" s="421">
        <f>IS_Revenues[[#This Row],[Used]]</f>
        <v>1</v>
      </c>
      <c r="L10" s="418">
        <f>SUMIFS(Journal[Cr Amt],Journal[Credit Account],I10,Journal[ref1],"&lt;&gt;CL")</f>
        <v>0</v>
      </c>
      <c r="M10" s="418">
        <f ca="1">SUMIFS(JournalAnswer[Cr Amt],JournalAnswer[Credit Account],I10,JournalAnswer[ref1],"&lt;&gt;CL")</f>
        <v>18</v>
      </c>
      <c r="N10" s="418" cm="1">
        <f t="array" aca="1" ref="N10" ca="1">IF(IS_Revenues[[#This Row],[Account]]&lt;&gt;"",_xlfn._xlws.FILTER(FSBuilder[Amount],FSBuilder[Account or Explanation]=IS_Revenues[[#This Row],[Account]],0),"")</f>
        <v>0</v>
      </c>
      <c r="O10" s="421">
        <f>IS_Revenues[[#This Row],[Used]]*(IS_Revenues[[#This Row],[AmtJournal]]&lt;&gt;0)</f>
        <v>0</v>
      </c>
      <c r="P10" s="421">
        <f ca="1">IS_Revenues[[#This Row],[Used]]*(IS_Revenues[[#This Row],[AmtAnswer]]&lt;&gt;0)</f>
        <v>1</v>
      </c>
      <c r="Q10" s="421">
        <f ca="1">IS_Revenues[[#This Row],[Used]]*(IS_Revenues[[#This Row],[AmtFSBuilder]]&lt;&gt;0)*Financial_Statement_Builder!$K$121</f>
        <v>0</v>
      </c>
      <c r="S10" s="224">
        <v>7</v>
      </c>
      <c r="T10" t="s">
        <v>977</v>
      </c>
      <c r="U10" s="224">
        <f>IF(ABS(OCI[[#This Row],[AmtJournal]])&gt;0,1,0)</f>
        <v>0</v>
      </c>
      <c r="V10" s="224">
        <v>1</v>
      </c>
      <c r="W10" s="419">
        <f>SUMIFS(Journal[Cr Amt],Journal[ref1],"OCI",Journal[Credit Account],"Accumulated Other Comprehensive Income (Loss)")-SUMIFS(Journal[Dr Amt],Journal[ref1],"OCI",Journal[Debit Account],"Accumulated Other Comprehensive Income (Loss)")</f>
        <v>0</v>
      </c>
      <c r="X10" s="389">
        <f ca="1">SUMIFS(JournalAnswer[Cr Amt],JournalAnswer[ref1],"OCI",JournalAnswer[Credit Account],"Accumulated Other Comprehensive Income (Loss)")-SUMIFS(JournalAnswer[Dr Amt],JournalAnswer[ref1],"OCI",JournalAnswer[Debit Account],"Accumulated Other Comprehensive Income (Loss)")</f>
        <v>0</v>
      </c>
      <c r="Y10" s="389" cm="1">
        <f t="array" aca="1" ref="Y10" ca="1">IF(OCI[[#This Row],[Account]]&lt;&gt;"",_xlfn._xlws.FILTER(FSBuilder[Amount],FSBuilder[Account or Explanation]=OCI[[#This Row],[Account]],0),"")</f>
        <v>0</v>
      </c>
      <c r="Z10" s="419">
        <f>OCI[[#This Row],[Used]]*(OCI[[#This Row],[AmtJournal]]&lt;&gt;0)</f>
        <v>0</v>
      </c>
      <c r="AA10" s="419">
        <f ca="1">OCI[[#This Row],[Used]]*(OCI[[#This Row],[AmtAnswer]]&lt;&gt;0)</f>
        <v>0</v>
      </c>
      <c r="AB10" s="419">
        <f ca="1">OCI[[#This Row],[Used]]*(OCI[[#This Row],[AmtFSBuilder]]&lt;&gt;0)</f>
        <v>0</v>
      </c>
      <c r="AE10" t="s">
        <v>369</v>
      </c>
      <c r="AF10" s="37">
        <f>SUMIFS(Journal[Cr Amt],Journal[ref1],"ICS",Journal[Credit Account],"Common Stock")</f>
        <v>0</v>
      </c>
      <c r="AG10" s="37">
        <f ca="1">SUMIFS(JournalAnswer[Cr Amt],JournalAnswer[ref1],"ICS",JournalAnswer[Credit Account],"Common Stock")</f>
        <v>50</v>
      </c>
      <c r="AP10" s="224">
        <v>7</v>
      </c>
      <c r="AQ10" t="s">
        <v>978</v>
      </c>
      <c r="AR10" s="421">
        <f>IF(ABS(CFS_CFO[[#This Row],[AmtJournal]])&gt;0,1,0)</f>
        <v>0</v>
      </c>
      <c r="AS10" s="421">
        <f>IF(CFS_CFO[[#This Row],[Used]]&gt;0,CFS_CFO[[#This Row],[Used]]+AR9,0)</f>
        <v>0</v>
      </c>
      <c r="AT10" s="417">
        <f>-SUMIFS(Journal[Cr Amt],Journal[ref1],"PdS",Journal[Credit Account],"Cash")</f>
        <v>0</v>
      </c>
      <c r="AU10" s="417">
        <f ca="1">-SUMIFS(JournalAnswer[Cr Amt],JournalAnswer[ref1],"PdS",JournalAnswer[Credit Account],"Cash")</f>
        <v>-52</v>
      </c>
      <c r="AV10" s="417" cm="1">
        <f t="array" aca="1" ref="AV10" ca="1">IF(CFS_CFO[[#This Row],[Account]]&lt;&gt;"",_xlfn._xlws.FILTER(FSBuilder[Amount],FSBuilder[Account or Explanation]=CFS_CFO[[#This Row],[Account]],0),"")</f>
        <v>0</v>
      </c>
      <c r="AW10" s="421">
        <f>IF(CFS_CFO[[#This Row],[AmtJournal]]&lt;&gt;0,1,0)</f>
        <v>0</v>
      </c>
      <c r="AX10" s="421">
        <f ca="1">IF(CFS_CFO[[#This Row],[AmtAnswer]]&lt;&gt;0,1,0)</f>
        <v>1</v>
      </c>
      <c r="AY10" s="421">
        <f ca="1">IF(CFS_CFO[[#This Row],[AmtFSBuilder]]&lt;&gt;0,1,0)</f>
        <v>0</v>
      </c>
      <c r="AZ10"/>
      <c r="BA10" s="430" t="s">
        <v>968</v>
      </c>
      <c r="BB10" s="430" t="s">
        <v>779</v>
      </c>
      <c r="BC10" s="430" t="s">
        <v>75</v>
      </c>
      <c r="BD10" s="528" t="s">
        <v>969</v>
      </c>
      <c r="BE10" s="430" t="s">
        <v>966</v>
      </c>
      <c r="BF10" s="430" t="s">
        <v>967</v>
      </c>
      <c r="BG10" s="430" t="s">
        <v>970</v>
      </c>
      <c r="BH10" s="532" t="s">
        <v>971</v>
      </c>
      <c r="BI10" s="532" t="s">
        <v>972</v>
      </c>
      <c r="BJ10" s="532" t="s">
        <v>973</v>
      </c>
      <c r="BK10" s="400"/>
      <c r="BL10" s="224" cm="1">
        <f t="array" ref="BL10">_xlfn.IFS(AND(ECurrAssets[[#This Row],[Used]]=1,ECurrAssets[[#This Row],[Order]]=1),6,AND(ECurrAssets[[#This Row],[Used]]=1,ECurrAssets[[#This Row],[Order]]&gt;1),7,ECurrAssets[[#This Row],[Used]]=0,8)</f>
        <v>6</v>
      </c>
      <c r="BM10" t="s">
        <v>115</v>
      </c>
      <c r="BN10" s="421">
        <f>IF(ISNUMBER(_xlfn.XLOOKUP(ECurrAssets[[#This Row],[Account]],MD_Asset[Account Name],MD_Asset[Used])),_xlfn.XLOOKUP(ECurrAssets[[#This Row],[Account]],MD_Asset[Account Name],MD_Asset[Used]),0)</f>
        <v>1</v>
      </c>
      <c r="BO10" s="421">
        <f>ECurrAssets[[#This Row],[Used]]</f>
        <v>1</v>
      </c>
      <c r="BP10" s="418">
        <f>_xlfn.IFNA((_xlfn.XLOOKUP(ECurrAssets[[#This Row],[Account]],BegBalanceSheet_Assets[Account],BegBalanceSheet_Assets[Amount]))+SUMIF(Journal[Debit Account],ECurrAssets[[#This Row],[Account]],Journal[Dr Amt])-SUMIF(Journal[Credit Account],ECurrAssets[[#This Row],[Account]],Journal[Cr Amt]),0)</f>
        <v>0</v>
      </c>
      <c r="BQ10" s="418">
        <f>_xlfn.IFNA((_xlfn.XLOOKUP(ECurrAssets[[#This Row],[Account]],BegBalanceSheet_Assets[Account],BegBalanceSheet_Assets[Amount]))+SUMIF(JournalAnswer[Debit Account],ECurrAssets[[#This Row],[Account]],JournalAnswer[Dr Amt])-SUMIF(JournalAnswer[Credit Account],ECurrAssets[[#This Row],[Account]],JournalAnswer[Cr Amt]),0)</f>
        <v>137</v>
      </c>
      <c r="BR10" s="418" cm="1">
        <f t="array" aca="1" ref="BR10" ca="1">IF(ECurrAssets[[#This Row],[Account]]&lt;&gt;"",_xlfn._xlws.FILTER(FSBuilder[Amount],(FSBuilder[Account or Explanation]=ECurrAssets[[#This Row],[Account]])*(FSBuilder[Statement]="Ending Balance Sheet"),0),0)</f>
        <v>0</v>
      </c>
      <c r="BS10" s="445">
        <f>ECurrAssets[[#This Row],[Used]]*(ECurrAssets[[#This Row],[AmtJournal]]&lt;&gt;0)</f>
        <v>0</v>
      </c>
      <c r="BT10" s="445">
        <f>ECurrAssets[[#This Row],[Used]]*(ECurrAssets[[#This Row],[AmtAnswer]]&lt;&gt;0)</f>
        <v>1</v>
      </c>
      <c r="BU10" s="445">
        <f ca="1">ECurrAssets[[#This Row],[Used]]*(ECurrAssets[[#This Row],[AmtFSBuilder]]&lt;&gt;0)</f>
        <v>0</v>
      </c>
    </row>
    <row r="11" spans="1:73">
      <c r="B11" s="224" cm="1">
        <f t="array" ref="B11">_xlfn.IFS(AND(BCurrAssets[[#This Row],[Used]]=1,BCurrAssets[[#This Row],[Order]]=1),6,AND(BCurrAssets[[#This Row],[Used]]=1,BCurrAssets[[#This Row],[Order]]&gt;1),7,BCurrAssets[[#This Row],[Used]]=0,8)</f>
        <v>6</v>
      </c>
      <c r="C11" t="s">
        <v>115</v>
      </c>
      <c r="D11" s="421">
        <f>IF(ISNUMBER(_xlfn.XLOOKUP(BCurrAssets[[#This Row],[Account]],MD_Asset[Account Name],MD_Asset[Used])),_xlfn.XLOOKUP(BCurrAssets[[#This Row],[Account]],MD_Asset[Account Name],MD_Asset[Used]),0)</f>
        <v>1</v>
      </c>
      <c r="E11" s="421">
        <f>BCurrAssets[[#This Row],[Used]]</f>
        <v>1</v>
      </c>
      <c r="F11" s="418">
        <f>_xlfn.IFNA(_xlfn.XLOOKUP(C11,BegBalanceSheet_Assets[Account],BegBalanceSheet_Assets[Amount]),0)</f>
        <v>0</v>
      </c>
      <c r="G11" s="421"/>
      <c r="H11" s="224" cm="1">
        <f t="array" ref="H11">_xlfn.IFS(AND(IS_Revenues[[#This Row],[Used]]=1,IS_Revenues[[#This Row],[Order]]=1),6,AND(IS_Revenues[[#This Row],[Used]]=1,IS_Revenues[[#This Row],[Order]]&gt;1),7,IS_Revenues[[#This Row],[Used]]=0,8)</f>
        <v>8</v>
      </c>
      <c r="I11" t="s">
        <v>265</v>
      </c>
      <c r="J11" s="421">
        <f>IF(ISNUMBER(_xlfn.XLOOKUP(IS_Revenues[[#This Row],[Account]],MD_Revenue[Account Name],MD_Revenue[Used])),_xlfn.XLOOKUP(IS_Revenues[[#This Row],[Account]],MD_Revenue[Account Name],MD_Revenue[Used]),0)</f>
        <v>0</v>
      </c>
      <c r="K11" s="421">
        <f>IF(IS_Revenues[[#This Row],[Used]]=1,IS_Revenues[[#This Row],[Used]]+J10,0)</f>
        <v>0</v>
      </c>
      <c r="L11" s="419">
        <f>SUMIFS(Journal[Cr Amt],Journal[Credit Account],I11,Journal[ref1],"&lt;&gt;CL")</f>
        <v>0</v>
      </c>
      <c r="M11" s="419">
        <f>SUMIFS(JournalAnswer[Cr Amt],JournalAnswer[Credit Account],I11,JournalAnswer[ref1],"&lt;&gt;CL")</f>
        <v>0</v>
      </c>
      <c r="N11" s="419" cm="1">
        <f t="array" aca="1" ref="N11" ca="1">IF(IS_Revenues[[#This Row],[Account]]&lt;&gt;"",_xlfn._xlws.FILTER(FSBuilder[Amount],FSBuilder[Account or Explanation]=IS_Revenues[[#This Row],[Account]],0),"")</f>
        <v>0</v>
      </c>
      <c r="O11" s="421">
        <f>IS_Revenues[[#This Row],[Used]]*(IS_Revenues[[#This Row],[AmtJournal]]&lt;&gt;0)</f>
        <v>0</v>
      </c>
      <c r="P11" s="421">
        <f>IS_Revenues[[#This Row],[Used]]*(IS_Revenues[[#This Row],[AmtAnswer]]&lt;&gt;0)</f>
        <v>0</v>
      </c>
      <c r="Q11" s="421">
        <f ca="1">IS_Revenues[[#This Row],[Used]]*(IS_Revenues[[#This Row],[AmtFSBuilder]]&lt;&gt;0)*Financial_Statement_Builder!$K$121</f>
        <v>0</v>
      </c>
      <c r="T11"/>
      <c r="W11" s="419">
        <f>SUMIFS(Journal[Cr Amt],Journal[ref1],"OCI",Journal[Credit Account],"Accumulated Other Comprehensive Income (Loss)")-SUMIFS(Journal[Dr Amt],Journal[ref1],"OCI",Journal[Debit Account],"Accumulated Other Comprehensive Income (Loss)")</f>
        <v>0</v>
      </c>
      <c r="X11" s="389">
        <f ca="1">SUMIFS(JournalAnswer[Cr Amt],JournalAnswer[ref1],"OCI",JournalAnswer[Credit Account],"Accumulated Other Comprehensive Income (Loss)")-SUMIFS(JournalAnswer[Dr Amt],JournalAnswer[ref1],"OCI",JournalAnswer[Debit Account],"Accumulated Other Comprehensive Income (Loss)")</f>
        <v>0</v>
      </c>
      <c r="Y11" s="389" t="str" cm="1">
        <f t="array" ref="Y11">IF(OCI[[#This Row],[Account]]&lt;&gt;"",_xlfn._xlws.FILTER(FSBuilder[Amount],FSBuilder[Account or Explanation]=OCI[[#This Row],[Account]],0),"")</f>
        <v/>
      </c>
      <c r="Z11" s="419">
        <f>OCI[[#This Row],[Used]]*(OCI[[#This Row],[AmtJournal]]&lt;&gt;0)</f>
        <v>0</v>
      </c>
      <c r="AA11" s="419">
        <f ca="1">OCI[[#This Row],[Used]]*(OCI[[#This Row],[AmtAnswer]]&lt;&gt;0)</f>
        <v>0</v>
      </c>
      <c r="AB11" s="419">
        <f>OCI[[#This Row],[Used]]*(OCI[[#This Row],[AmtFSBuilder]]&lt;&gt;0)</f>
        <v>0</v>
      </c>
      <c r="AE11" t="s">
        <v>979</v>
      </c>
      <c r="AF11" s="37">
        <f>SUMIFS(Journal[Cr Amt],Journal[ref1],"ICS",Journal[Credit Account],"Additional Paid-n Capital")</f>
        <v>0</v>
      </c>
      <c r="AG11" s="37">
        <f ca="1">SUMIFS(JournalAnswer[Cr Amt],JournalAnswer[ref1],"ICS",JournalAnswer[Credit Account],"Additional Paid-in Capital")</f>
        <v>0</v>
      </c>
      <c r="AP11" s="224" cm="1">
        <f t="array" ref="AP11">_xlfn.IFS(AND(CFS_CFO[[#This Row],[Used]]=1,CFS_CFO[[#This Row],[Order]]=1),6,AND(CFS_CFO[[#This Row],[Used]]=1,CFS_CFO[[#This Row],[Order]]&gt;1),7,CFS_CFO[[#This Row],[Used]]=0,8)</f>
        <v>8</v>
      </c>
      <c r="AQ11" t="s">
        <v>980</v>
      </c>
      <c r="AR11" s="421">
        <f>IF(ABS(CFS_CFO[[#This Row],[AmtJournal]])&gt;0,1,0)</f>
        <v>0</v>
      </c>
      <c r="AS11" s="421">
        <f>IF(CFS_CFO[[#This Row],[Used]]=1,CFS_CFO[[#This Row],[Used]]+SUM(AR9:AR10),0)</f>
        <v>0</v>
      </c>
      <c r="AT11" s="417">
        <f>-SUMIFS(Journal[Cr Amt],Journal[ref1],"PdSW",Journal[Credit Account],"Cash")</f>
        <v>0</v>
      </c>
      <c r="AU11" s="417">
        <f ca="1">-SUMIFS(JournalAnswer[Cr Amt],JournalAnswer[ref1],"PdSW",JournalAnswer[Credit Account],"Cash")</f>
        <v>0</v>
      </c>
      <c r="AV11" s="417" cm="1">
        <f t="array" aca="1" ref="AV11" ca="1">IF(CFS_CFO[[#This Row],[Account]]&lt;&gt;"",_xlfn._xlws.FILTER(FSBuilder[Amount],FSBuilder[Account or Explanation]=CFS_CFO[[#This Row],[Account]],0),"")</f>
        <v>0</v>
      </c>
      <c r="AW11" s="421">
        <f>IF(CFS_CFO[[#This Row],[AmtJournal]]&lt;&gt;0,1,0)</f>
        <v>0</v>
      </c>
      <c r="AX11" s="421">
        <f ca="1">IF(CFS_CFO[[#This Row],[AmtAnswer]]&lt;&gt;0,1,0)</f>
        <v>0</v>
      </c>
      <c r="AY11" s="421">
        <f ca="1">IF(CFS_CFO[[#This Row],[AmtFSBuilder]]&lt;&gt;0,1,0)</f>
        <v>0</v>
      </c>
      <c r="AZ11"/>
      <c r="BA11" s="224">
        <f>IF(NI_CFO_Recon_Gains[[#This Row],[Used]]=1,7,8)</f>
        <v>8</v>
      </c>
      <c r="BB11" t="s">
        <v>310</v>
      </c>
      <c r="BC11" s="439">
        <f>IF(ABS(NI_CFO_Recon_Gains[[#This Row],[AmtJournal]])&gt;0,1,0)</f>
        <v>0</v>
      </c>
      <c r="BD11" s="400">
        <f>NI_CFO_Recon_Gains[[#This Row],[Used]]</f>
        <v>0</v>
      </c>
      <c r="BE11" s="400">
        <f>-SUMIF(Journal[Credit Account],BB11,Journal[Cr Amt])</f>
        <v>0</v>
      </c>
      <c r="BF11" s="535">
        <f>-SUMIF(JournalAnswer[Credit Account],#REF!,JournalAnswer[Cr Amt])</f>
        <v>0</v>
      </c>
      <c r="BG11" s="535" cm="1">
        <f t="array" aca="1" ref="BG11" ca="1">IF(NI_CFO_Recon_Gains[[#This Row],[Account]]&lt;&gt;"",_xlfn._xlws.FILTER(FSBuilder[Amount],(FSBuilder[Account or Explanation]=NI_CFO_Recon_Gains[[#This Row],[Account]])*(FSBuilder[Statement]="Cash Flow Statement"),0),0)</f>
        <v>0</v>
      </c>
      <c r="BH11" s="554">
        <f>IF(ABS(NI_CFO_Recon_Gains[[#This Row],[AmtJournal]])&gt;0,1,0)</f>
        <v>0</v>
      </c>
      <c r="BI11" s="554">
        <f>IF(ABS(NI_CFO_Recon_Gains[[#This Row],[AmtAnswer]])&gt;0,1,0)</f>
        <v>0</v>
      </c>
      <c r="BJ11" s="554">
        <f ca="1">IF(ABS(NI_CFO_Recon_Gains[[#This Row],[AmtFSBuilder]])&gt;0,1,0)</f>
        <v>0</v>
      </c>
      <c r="BK11" s="400"/>
      <c r="BL11" s="224" cm="1">
        <f t="array" ref="BL11">_xlfn.IFS(AND(ECurrAssets[[#This Row],[Used]]=1,ECurrAssets[[#This Row],[Order]]=1),6,AND(ECurrAssets[[#This Row],[Used]]=1,ECurrAssets[[#This Row],[Order]]&gt;1),7,ECurrAssets[[#This Row],[Used]]=0,8)</f>
        <v>7</v>
      </c>
      <c r="BM11" t="s">
        <v>120</v>
      </c>
      <c r="BN11" s="421">
        <f>IF(ISNUMBER(_xlfn.XLOOKUP(ECurrAssets[[#This Row],[Account]],MD_Asset[Account Name],MD_Asset[Used])),_xlfn.XLOOKUP(ECurrAssets[[#This Row],[Account]],MD_Asset[Account Name],MD_Asset[Used]),0)</f>
        <v>1</v>
      </c>
      <c r="BO11" s="421">
        <f>IF(ECurrAssets[[#This Row],[Used]]=1,ECurrAssets[[#This Row],[Used]]+BN10,0)</f>
        <v>2</v>
      </c>
      <c r="BP11" s="419">
        <f>_xlfn.IFNA((_xlfn.XLOOKUP(ECurrAssets[[#This Row],[Account]],BegBalanceSheet_Assets[Account],BegBalanceSheet_Assets[Amount]))+SUMIF(Journal[Debit Account],ECurrAssets[[#This Row],[Account]],Journal[Dr Amt])-SUMIF(Journal[Credit Account],ECurrAssets[[#This Row],[Account]],Journal[Cr Amt]),0)</f>
        <v>0</v>
      </c>
      <c r="BQ11" s="419">
        <f>_xlfn.IFNA((_xlfn.XLOOKUP(ECurrAssets[[#This Row],[Account]],BegBalanceSheet_Assets[Account],BegBalanceSheet_Assets[Amount]))+SUMIF(JournalAnswer[Debit Account],ECurrAssets[[#This Row],[Account]],JournalAnswer[Dr Amt])-SUMIF(JournalAnswer[Credit Account],ECurrAssets[[#This Row],[Account]],JournalAnswer[Cr Amt]),0)</f>
        <v>0</v>
      </c>
      <c r="BR11" s="419" cm="1">
        <f t="array" aca="1" ref="BR11" ca="1">IF(ECurrAssets[[#This Row],[Account]]&lt;&gt;"",_xlfn._xlws.FILTER(FSBuilder[Amount],(FSBuilder[Account or Explanation]=ECurrAssets[[#This Row],[Account]])*(FSBuilder[Statement]="Ending Balance Sheet"),0),0)</f>
        <v>0</v>
      </c>
      <c r="BS11" s="445">
        <f>ECurrAssets[[#This Row],[Used]]*(ECurrAssets[[#This Row],[AmtJournal]]&lt;&gt;0)</f>
        <v>0</v>
      </c>
      <c r="BT11" s="445">
        <f>ECurrAssets[[#This Row],[Used]]*(ECurrAssets[[#This Row],[AmtAnswer]]&lt;&gt;0)</f>
        <v>0</v>
      </c>
      <c r="BU11" s="445">
        <f ca="1">ECurrAssets[[#This Row],[Used]]*(ECurrAssets[[#This Row],[AmtFSBuilder]]&lt;&gt;0)</f>
        <v>0</v>
      </c>
    </row>
    <row r="12" spans="1:73">
      <c r="B12" s="224" cm="1">
        <f t="array" ref="B12">_xlfn.IFS(AND(BCurrAssets[[#This Row],[Used]]=1,BCurrAssets[[#This Row],[Order]]=1),6,AND(BCurrAssets[[#This Row],[Used]]=1,BCurrAssets[[#This Row],[Order]]&gt;1),7,BCurrAssets[[#This Row],[Used]]=0,8)</f>
        <v>7</v>
      </c>
      <c r="C12" t="s">
        <v>120</v>
      </c>
      <c r="D12" s="421">
        <f>IF(ISNUMBER(_xlfn.XLOOKUP(BCurrAssets[[#This Row],[Account]],MD_Asset[Account Name],MD_Asset[Used])),_xlfn.XLOOKUP(BCurrAssets[[#This Row],[Account]],MD_Asset[Account Name],MD_Asset[Used]),0)</f>
        <v>1</v>
      </c>
      <c r="E12" s="421">
        <f>IF(BCurrAssets[[#This Row],[Used]]=1,BCurrAssets[[#This Row],[Used]]+D11,0)</f>
        <v>2</v>
      </c>
      <c r="F12" s="419">
        <f>_xlfn.IFNA(_xlfn.XLOOKUP(C12,BegBalanceSheet_Assets[Account],BegBalanceSheet_Assets[Amount]),0)</f>
        <v>0</v>
      </c>
      <c r="G12" s="421"/>
      <c r="H12" s="224" cm="1">
        <f t="array" ref="H12">_xlfn.IFS(AND(IS_Revenues[[#This Row],[Used]]=1,IS_Revenues[[#This Row],[Order]]=1),6,AND(IS_Revenues[[#This Row],[Used]]=1,IS_Revenues[[#This Row],[Order]]&gt;1),7,IS_Revenues[[#This Row],[Used]]=0,8)</f>
        <v>8</v>
      </c>
      <c r="I12" t="s">
        <v>268</v>
      </c>
      <c r="J12" s="421">
        <f>IF(ISNUMBER(_xlfn.XLOOKUP(IS_Revenues[[#This Row],[Account]],MD_Revenue[Account Name],MD_Revenue[Used])),_xlfn.XLOOKUP(IS_Revenues[[#This Row],[Account]],MD_Revenue[Account Name],MD_Revenue[Used]),0)</f>
        <v>0</v>
      </c>
      <c r="K12" s="421">
        <f>IF(IS_Revenues[[#This Row],[Used]]=1,IS_Revenues[[#This Row],[Used]]+SUM(J10:J11),0)</f>
        <v>0</v>
      </c>
      <c r="L12" s="419">
        <f>SUMIFS(Journal[Cr Amt],Journal[Credit Account],I12,Journal[ref1],"&lt;&gt;CL")</f>
        <v>0</v>
      </c>
      <c r="M12" s="419">
        <f>SUMIFS(JournalAnswer[Cr Amt],JournalAnswer[Credit Account],I12,JournalAnswer[ref1],"&lt;&gt;CL")</f>
        <v>0</v>
      </c>
      <c r="N12" s="419" cm="1">
        <f t="array" aca="1" ref="N12" ca="1">IF(IS_Revenues[[#This Row],[Account]]&lt;&gt;"",_xlfn._xlws.FILTER(FSBuilder[Amount],FSBuilder[Account or Explanation]=IS_Revenues[[#This Row],[Account]],0),"")</f>
        <v>0</v>
      </c>
      <c r="O12" s="421">
        <f>IS_Revenues[[#This Row],[Used]]*(IS_Revenues[[#This Row],[AmtJournal]]&lt;&gt;0)</f>
        <v>0</v>
      </c>
      <c r="P12" s="421">
        <f>IS_Revenues[[#This Row],[Used]]*(IS_Revenues[[#This Row],[AmtAnswer]]&lt;&gt;0)</f>
        <v>0</v>
      </c>
      <c r="Q12" s="421">
        <f ca="1">IS_Revenues[[#This Row],[Used]]*(IS_Revenues[[#This Row],[AmtFSBuilder]]&lt;&gt;0)*Financial_Statement_Builder!$K$121</f>
        <v>0</v>
      </c>
      <c r="T12"/>
      <c r="W12" s="419">
        <f>SUMIFS(Journal[Cr Amt],Journal[ref1],"OCI",Journal[Credit Account],"Accumulated Other Comprehensive Income (Loss)")-SUMIFS(Journal[Dr Amt],Journal[ref1],"OCI",Journal[Debit Account],"Accumulated Other Comprehensive Income (Loss)")</f>
        <v>0</v>
      </c>
      <c r="X12" s="389">
        <f ca="1">SUMIFS(JournalAnswer[Cr Amt],JournalAnswer[ref1],"OCI",JournalAnswer[Credit Account],"Accumulated Other Comprehensive Income (Loss)")-SUMIFS(JournalAnswer[Dr Amt],JournalAnswer[ref1],"OCI",JournalAnswer[Debit Account],"Accumulated Other Comprehensive Income (Loss)")</f>
        <v>0</v>
      </c>
      <c r="Y12" s="389" t="str" cm="1">
        <f t="array" ref="Y12">IF(OCI[[#This Row],[Account]]&lt;&gt;"",_xlfn._xlws.FILTER(FSBuilder[Amount],FSBuilder[Account or Explanation]=OCI[[#This Row],[Account]],0),"")</f>
        <v/>
      </c>
      <c r="Z12" s="419">
        <f>OCI[[#This Row],[Used]]*(OCI[[#This Row],[AmtJournal]]&lt;&gt;0)</f>
        <v>0</v>
      </c>
      <c r="AA12" s="419">
        <f ca="1">OCI[[#This Row],[Used]]*(OCI[[#This Row],[AmtAnswer]]&lt;&gt;0)</f>
        <v>0</v>
      </c>
      <c r="AB12" s="419">
        <f>OCI[[#This Row],[Used]]*(OCI[[#This Row],[AmtFSBuilder]]&lt;&gt;0)</f>
        <v>0</v>
      </c>
      <c r="AE12" t="s">
        <v>412</v>
      </c>
      <c r="AF12" s="37">
        <f>-SUMIFS(Journal[Dr Amt],Journal[ref1],"DD",Journal[Debit Account],"Retained Earnings")</f>
        <v>0</v>
      </c>
      <c r="AG12" s="37">
        <f ca="1">-SUMIFS(JournalAnswer[Dr Amt],JournalAnswer[ref1],"DD",JournalAnswer[Debit Account],"Retained Earnings")</f>
        <v>0</v>
      </c>
      <c r="AP12" s="224" cm="1">
        <f t="array" ref="AP12">_xlfn.IFS(AND(CFS_CFO[[#This Row],[Used]]=1,CFS_CFO[[#This Row],[Order]]=1),6,AND(CFS_CFO[[#This Row],[Used]]=1,CFS_CFO[[#This Row],[Order]]&gt;1),7,CFS_CFO[[#This Row],[Used]]=0,8)</f>
        <v>8</v>
      </c>
      <c r="AQ12" t="s">
        <v>981</v>
      </c>
      <c r="AR12" s="421">
        <f>IF(ABS(CFS_CFO[[#This Row],[AmtJournal]])&gt;0,1,0)</f>
        <v>0</v>
      </c>
      <c r="AS12" s="421">
        <f>IF(CFS_CFO[[#This Row],[Used]]=1,CFS_CFO[[#This Row],[Used]]+SUM(AR9:AR11),0)</f>
        <v>0</v>
      </c>
      <c r="AT12" s="417">
        <f>-SUMIFS(Journal[Cr Amt],Journal[ref1],"PdTx",Journal[Credit Account],"Cash")</f>
        <v>0</v>
      </c>
      <c r="AU12" s="417">
        <f ca="1">-SUMIFS(JournalAnswer[Cr Amt],JournalAnswer[ref1],"PdTx",JournalAnswer[Credit Account],"Cash")</f>
        <v>0</v>
      </c>
      <c r="AV12" s="417" cm="1">
        <f t="array" aca="1" ref="AV12" ca="1">IF(CFS_CFO[[#This Row],[Account]]&lt;&gt;"",_xlfn._xlws.FILTER(FSBuilder[Amount],FSBuilder[Account or Explanation]=CFS_CFO[[#This Row],[Account]],0),"")</f>
        <v>0</v>
      </c>
      <c r="AW12" s="421">
        <f>IF(CFS_CFO[[#This Row],[AmtJournal]]&lt;&gt;0,1,0)</f>
        <v>0</v>
      </c>
      <c r="AX12" s="421">
        <f ca="1">IF(CFS_CFO[[#This Row],[AmtAnswer]]&lt;&gt;0,1,0)</f>
        <v>0</v>
      </c>
      <c r="AY12" s="421">
        <f ca="1">IF(CFS_CFO[[#This Row],[AmtFSBuilder]]&lt;&gt;0,1,0)</f>
        <v>0</v>
      </c>
      <c r="AZ12"/>
      <c r="BA12" s="224">
        <f>IF(NI_CFO_Recon_Gains[[#This Row],[Used]]=1,7,8)</f>
        <v>8</v>
      </c>
      <c r="BB12" t="s">
        <v>313</v>
      </c>
      <c r="BC12" s="439">
        <f>IF(ABS(NI_CFO_Recon_Gains[[#This Row],[AmtJournal]])&gt;0,1,0)</f>
        <v>0</v>
      </c>
      <c r="BD12" s="400">
        <f>NI_CFO_Recon_Gains[[#This Row],[Used]]+BC11</f>
        <v>0</v>
      </c>
      <c r="BE12" s="400">
        <f>-SUMIF(Journal[Credit Account],BB12,Journal[Cr Amt])</f>
        <v>0</v>
      </c>
      <c r="BF12" s="535">
        <f>-SUMIF(JournalAnswer[Credit Account],#REF!,JournalAnswer[Cr Amt])</f>
        <v>0</v>
      </c>
      <c r="BG12" s="535" cm="1">
        <f t="array" aca="1" ref="BG12" ca="1">IF(NI_CFO_Recon_Gains[[#This Row],[Account]]&lt;&gt;"",_xlfn._xlws.FILTER(FSBuilder[Amount],(FSBuilder[Account or Explanation]=NI_CFO_Recon_Gains[[#This Row],[Account]])*(FSBuilder[Statement]="Cash Flow Statement"),0),0)</f>
        <v>0</v>
      </c>
      <c r="BH12" s="554">
        <f>IF(ABS(NI_CFO_Recon_Gains[[#This Row],[AmtJournal]])&gt;0,1,0)</f>
        <v>0</v>
      </c>
      <c r="BI12" s="554">
        <f>IF(ABS(NI_CFO_Recon_Gains[[#This Row],[AmtAnswer]])&gt;0,1,0)</f>
        <v>0</v>
      </c>
      <c r="BJ12" s="554">
        <f ca="1">IF(ABS(NI_CFO_Recon_Gains[[#This Row],[AmtFSBuilder]])&gt;0,1,0)</f>
        <v>0</v>
      </c>
      <c r="BK12" s="400"/>
      <c r="BL12" s="224" cm="1">
        <f t="array" ref="BL12">_xlfn.IFS(AND(ECurrAssets[[#This Row],[Used]]=1,ECurrAssets[[#This Row],[Order]]=1),6,AND(ECurrAssets[[#This Row],[Used]]=1,ECurrAssets[[#This Row],[Order]]&gt;1),7,ECurrAssets[[#This Row],[Used]]=0,8)</f>
        <v>8</v>
      </c>
      <c r="BM12" t="s">
        <v>123</v>
      </c>
      <c r="BN12" s="421">
        <f>IF(ISNUMBER(_xlfn.XLOOKUP(ECurrAssets[[#This Row],[Account]],MD_Asset[Account Name],MD_Asset[Used])),_xlfn.XLOOKUP(ECurrAssets[[#This Row],[Account]],MD_Asset[Account Name],MD_Asset[Used]),0)</f>
        <v>0</v>
      </c>
      <c r="BO12" s="421">
        <f>IF(ECurrAssets[[#This Row],[Used]]=1,ECurrAssets[[#This Row],[Used]]+SUM(BN10:BN11),0)</f>
        <v>0</v>
      </c>
      <c r="BP12" s="419">
        <f>_xlfn.IFNA(-(_xlfn.XLOOKUP(ECurrAssets[[#This Row],[Account]],BegBalanceSheet_Assets[Account],BegBalanceSheet_Assets[Amount]))-SUMIF(Journal[Debit Account],ECurrAssets[[#This Row],[Account]],Journal[Dr Amt])+SUMIF(Journal[Credit Account],ECurrAssets[[#This Row],[Account]],Journal[Cr Amt]),0)</f>
        <v>0</v>
      </c>
      <c r="BQ12" s="419">
        <f>_xlfn.IFNA(-(_xlfn.XLOOKUP(ECurrAssets[[#This Row],[Account]],BegBalanceSheet_Assets[Account],BegBalanceSheet_Assets[Amount]))-SUMIF(JournalAnswer[Debit Account],ECurrAssets[[#This Row],[Account]],JournalAnswer[Dr Amt])+SUMIF(JournalAnswer[Credit Account],ECurrAssets[[#This Row],[Account]],JournalAnswer[Cr Amt]),0)</f>
        <v>0</v>
      </c>
      <c r="BR12" s="419" cm="1">
        <f t="array" aca="1" ref="BR12" ca="1">IF(ECurrAssets[[#This Row],[Account]]&lt;&gt;"",_xlfn._xlws.FILTER(FSBuilder[Amount],(FSBuilder[Account or Explanation]=ECurrAssets[[#This Row],[Account]])*(FSBuilder[Statement]="Ending Balance Sheet"),0),0)</f>
        <v>0</v>
      </c>
      <c r="BS12" s="445">
        <f>ECurrAssets[[#This Row],[Used]]*(ECurrAssets[[#This Row],[AmtJournal]]&lt;&gt;0)</f>
        <v>0</v>
      </c>
      <c r="BT12" s="445">
        <f>ECurrAssets[[#This Row],[Used]]*(ECurrAssets[[#This Row],[AmtAnswer]]&lt;&gt;0)</f>
        <v>0</v>
      </c>
      <c r="BU12" s="445">
        <f ca="1">ECurrAssets[[#This Row],[Used]]*(ECurrAssets[[#This Row],[AmtFSBuilder]]&lt;&gt;0)</f>
        <v>0</v>
      </c>
    </row>
    <row r="13" spans="1:73">
      <c r="B13" s="224" cm="1">
        <f t="array" ref="B13">_xlfn.IFS(AND(BCurrAssets[[#This Row],[Used]]=1,BCurrAssets[[#This Row],[Order]]=1),6,AND(BCurrAssets[[#This Row],[Used]]=1,BCurrAssets[[#This Row],[Order]]&gt;1),7,BCurrAssets[[#This Row],[Used]]=0,8)</f>
        <v>8</v>
      </c>
      <c r="C13" t="s">
        <v>123</v>
      </c>
      <c r="D13" s="421">
        <f>IF(ISNUMBER(_xlfn.XLOOKUP(BCurrAssets[[#This Row],[Account]],MD_Asset[Account Name],MD_Asset[Used])),_xlfn.XLOOKUP(BCurrAssets[[#This Row],[Account]],MD_Asset[Account Name],MD_Asset[Used]),0)</f>
        <v>0</v>
      </c>
      <c r="E13" s="421">
        <f>IF(BCurrAssets[[#This Row],[Used]]=1,BCurrAssets[[#This Row],[Used]]+SUM(D11:D12),0)</f>
        <v>0</v>
      </c>
      <c r="F13" s="419">
        <f>_xlfn.IFNA(_xlfn.XLOOKUP(C13,BegBalanceSheet_Assets[Account],BegBalanceSheet_Assets[Amount]),0)</f>
        <v>0</v>
      </c>
      <c r="G13" s="421"/>
      <c r="H13" s="224" cm="1">
        <f t="array" ref="H13">_xlfn.IFS(AND(IS_Revenues[[#This Row],[Used]]=1,IS_Revenues[[#This Row],[Order]]=1),6,AND(IS_Revenues[[#This Row],[Used]]=1,IS_Revenues[[#This Row],[Order]]&gt;1),7,IS_Revenues[[#This Row],[Used]]=0,8)</f>
        <v>8</v>
      </c>
      <c r="I13" t="s">
        <v>271</v>
      </c>
      <c r="J13" s="421">
        <f>IF(ISNUMBER(_xlfn.XLOOKUP(IS_Revenues[[#This Row],[Account]],MD_Revenue[Account Name],MD_Revenue[Used])),_xlfn.XLOOKUP(IS_Revenues[[#This Row],[Account]],MD_Revenue[Account Name],MD_Revenue[Used]),0)</f>
        <v>0</v>
      </c>
      <c r="K13" s="421">
        <f>IF(IS_Revenues[[#This Row],[Used]]=1,IS_Revenues[[#This Row],[Used]]+SUM(J10:J12),0)</f>
        <v>0</v>
      </c>
      <c r="L13" s="419">
        <f>SUMIFS(Journal[Cr Amt],Journal[Credit Account],I13,Journal[ref1],"&lt;&gt;CL")</f>
        <v>0</v>
      </c>
      <c r="M13" s="419">
        <f>SUMIFS(JournalAnswer[Cr Amt],JournalAnswer[Credit Account],I13,JournalAnswer[ref1],"&lt;&gt;CL")</f>
        <v>0</v>
      </c>
      <c r="N13" s="419" cm="1">
        <f t="array" aca="1" ref="N13" ca="1">IF(IS_Revenues[[#This Row],[Account]]&lt;&gt;"",_xlfn._xlws.FILTER(FSBuilder[Amount],FSBuilder[Account or Explanation]=IS_Revenues[[#This Row],[Account]],0),"")</f>
        <v>0</v>
      </c>
      <c r="O13" s="421">
        <f>IS_Revenues[[#This Row],[Used]]*(IS_Revenues[[#This Row],[AmtJournal]]&lt;&gt;0)</f>
        <v>0</v>
      </c>
      <c r="P13" s="421">
        <f>IS_Revenues[[#This Row],[Used]]*(IS_Revenues[[#This Row],[AmtAnswer]]&lt;&gt;0)</f>
        <v>0</v>
      </c>
      <c r="Q13" s="421">
        <f ca="1">IS_Revenues[[#This Row],[Used]]*(IS_Revenues[[#This Row],[AmtFSBuilder]]&lt;&gt;0)*Financial_Statement_Builder!$K$121</f>
        <v>0</v>
      </c>
      <c r="T13"/>
      <c r="W13" s="419">
        <f>SUMIFS(Journal[Cr Amt],Journal[ref1],"OCI",Journal[Credit Account],"Accumulated Other Comprehensive Income (Loss)")-SUMIFS(Journal[Dr Amt],Journal[ref1],"OCI",Journal[Debit Account],"Accumulated Other Comprehensive Income (Loss)")</f>
        <v>0</v>
      </c>
      <c r="X13" s="389">
        <f ca="1">SUMIFS(JournalAnswer[Cr Amt],JournalAnswer[ref1],"OCI",JournalAnswer[Credit Account],"Accumulated Other Comprehensive Income (Loss)")-SUMIFS(JournalAnswer[Dr Amt],JournalAnswer[ref1],"OCI",JournalAnswer[Debit Account],"Accumulated Other Comprehensive Income (Loss)")</f>
        <v>0</v>
      </c>
      <c r="Y13" s="389" t="str" cm="1">
        <f t="array" ref="Y13">IF(OCI[[#This Row],[Account]]&lt;&gt;"",_xlfn._xlws.FILTER(FSBuilder[Amount],FSBuilder[Account or Explanation]=OCI[[#This Row],[Account]],0),"")</f>
        <v/>
      </c>
      <c r="Z13" s="419">
        <f>OCI[[#This Row],[Used]]*(OCI[[#This Row],[AmtJournal]]&lt;&gt;0)</f>
        <v>0</v>
      </c>
      <c r="AA13" s="419">
        <f ca="1">OCI[[#This Row],[Used]]*(OCI[[#This Row],[AmtAnswer]]&lt;&gt;0)</f>
        <v>0</v>
      </c>
      <c r="AB13" s="419">
        <f>OCI[[#This Row],[Used]]*(OCI[[#This Row],[AmtFSBuilder]]&lt;&gt;0)</f>
        <v>0</v>
      </c>
      <c r="AE13" t="s">
        <v>72</v>
      </c>
      <c r="AF13" s="37">
        <f>L54</f>
        <v>0</v>
      </c>
      <c r="AG13" s="37">
        <f ca="1">M54</f>
        <v>12</v>
      </c>
      <c r="AP13" s="224" cm="1">
        <f t="array" ref="AP13">_xlfn.IFS(AND(CFS_CFO[[#This Row],[Used]]=1,CFS_CFO[[#This Row],[Order]]=1),6,AND(CFS_CFO[[#This Row],[Used]]=1,CFS_CFO[[#This Row],[Order]]&gt;1),7,CFS_CFO[[#This Row],[Used]]=0,8)</f>
        <v>8</v>
      </c>
      <c r="AQ13" t="s">
        <v>982</v>
      </c>
      <c r="AR13" s="421">
        <f>IF(ABS(CFS_CFO[[#This Row],[AmtJournal]])&gt;0,1,0)</f>
        <v>0</v>
      </c>
      <c r="AS13" s="421">
        <f>IF(CFS_CFO[[#This Row],[Used]]=1,CFS_CFO[[#This Row],[Used]]+SUM(AR9:AR12),0)</f>
        <v>0</v>
      </c>
      <c r="AT13" s="417">
        <f>-SUMIFS(Journal[Cr Amt],Journal[ref1],"PdInt",Journal[Credit Account],"Cash")</f>
        <v>0</v>
      </c>
      <c r="AU13" s="417">
        <f ca="1">-SUMIFS(JournalAnswer[Cr Amt],JournalAnswer[ref1],"PdInt",JournalAnswer[Credit Account],"Cash")</f>
        <v>0</v>
      </c>
      <c r="AV13" s="417" cm="1">
        <f t="array" aca="1" ref="AV13" ca="1">IF(CFS_CFO[[#This Row],[Account]]&lt;&gt;"",_xlfn._xlws.FILTER(FSBuilder[Amount],FSBuilder[Account or Explanation]=CFS_CFO[[#This Row],[Account]],0),"")</f>
        <v>0</v>
      </c>
      <c r="AW13" s="421">
        <f>IF(CFS_CFO[[#This Row],[AmtJournal]]&lt;&gt;0,1,0)</f>
        <v>0</v>
      </c>
      <c r="AX13" s="421">
        <f ca="1">IF(CFS_CFO[[#This Row],[AmtAnswer]]&lt;&gt;0,1,0)</f>
        <v>0</v>
      </c>
      <c r="AY13" s="421">
        <f ca="1">IF(CFS_CFO[[#This Row],[AmtFSBuilder]]&lt;&gt;0,1,0)</f>
        <v>0</v>
      </c>
      <c r="AZ13"/>
      <c r="BA13" s="224">
        <f>IF(NI_CFO_Recon_Gains[[#This Row],[Used]]=1,7,8)</f>
        <v>8</v>
      </c>
      <c r="BB13" t="s">
        <v>316</v>
      </c>
      <c r="BC13" s="439">
        <f>IF(ABS(NI_CFO_Recon_Gains[[#This Row],[AmtJournal]])&gt;0,1,0)</f>
        <v>0</v>
      </c>
      <c r="BD13" s="400">
        <f>NI_CFO_Recon_Gains[[#This Row],[Used]]+SUM(BC11:BC12)</f>
        <v>0</v>
      </c>
      <c r="BE13" s="400">
        <f>-SUMIF(Journal[Credit Account],BB13,Journal[Cr Amt])</f>
        <v>0</v>
      </c>
      <c r="BF13" s="535">
        <f>-SUMIF(JournalAnswer[Credit Account],#REF!,JournalAnswer[Cr Amt])</f>
        <v>0</v>
      </c>
      <c r="BG13" s="535" cm="1">
        <f t="array" aca="1" ref="BG13" ca="1">IF(NI_CFO_Recon_Gains[[#This Row],[Account]]&lt;&gt;"",_xlfn._xlws.FILTER(FSBuilder[Amount],(FSBuilder[Account or Explanation]=NI_CFO_Recon_Gains[[#This Row],[Account]])*(FSBuilder[Statement]="Cash Flow Statement"),0),0)</f>
        <v>0</v>
      </c>
      <c r="BH13" s="554">
        <f>IF(ABS(NI_CFO_Recon_Gains[[#This Row],[AmtJournal]])&gt;0,1,0)</f>
        <v>0</v>
      </c>
      <c r="BI13" s="554">
        <f>IF(ABS(NI_CFO_Recon_Gains[[#This Row],[AmtAnswer]])&gt;0,1,0)</f>
        <v>0</v>
      </c>
      <c r="BJ13" s="554">
        <f ca="1">IF(ABS(NI_CFO_Recon_Gains[[#This Row],[AmtFSBuilder]])&gt;0,1,0)</f>
        <v>0</v>
      </c>
      <c r="BK13" s="400"/>
      <c r="BL13" s="224" cm="1">
        <f t="array" ref="BL13">_xlfn.IFS(AND(ECurrAssets[[#This Row],[Used]]=1,ECurrAssets[[#This Row],[Order]]=1),6,AND(ECurrAssets[[#This Row],[Used]]=1,ECurrAssets[[#This Row],[Order]]&gt;1),7,ECurrAssets[[#This Row],[Used]]=0,8)</f>
        <v>8</v>
      </c>
      <c r="BM13" t="s">
        <v>127</v>
      </c>
      <c r="BN13" s="421">
        <f>IF(ISNUMBER(_xlfn.XLOOKUP(ECurrAssets[[#This Row],[Account]],MD_Asset[Account Name],MD_Asset[Used])),_xlfn.XLOOKUP(ECurrAssets[[#This Row],[Account]],MD_Asset[Account Name],MD_Asset[Used]),0)</f>
        <v>0</v>
      </c>
      <c r="BO13" s="421">
        <f>IF(ECurrAssets[[#This Row],[Used]]=1,ECurrAssets[[#This Row],[Used]]+SUM(BN10:BN12),0)</f>
        <v>0</v>
      </c>
      <c r="BP13" s="419">
        <f>_xlfn.IFNA((_xlfn.XLOOKUP(ECurrAssets[[#This Row],[Account]],BegBalanceSheet_Assets[Account],BegBalanceSheet_Assets[Amount]))+SUMIF(Journal[Debit Account],ECurrAssets[[#This Row],[Account]],Journal[Dr Amt])-SUMIF(Journal[Credit Account],ECurrAssets[[#This Row],[Account]],Journal[Cr Amt]),0)</f>
        <v>0</v>
      </c>
      <c r="BQ13" s="419">
        <f>_xlfn.IFNA((_xlfn.XLOOKUP(ECurrAssets[[#This Row],[Account]],BegBalanceSheet_Assets[Account],BegBalanceSheet_Assets[Amount]))+SUMIF(JournalAnswer[Debit Account],ECurrAssets[[#This Row],[Account]],JournalAnswer[Dr Amt])-SUMIF(JournalAnswer[Credit Account],ECurrAssets[[#This Row],[Account]],JournalAnswer[Cr Amt]),0)</f>
        <v>0</v>
      </c>
      <c r="BR13" s="419" cm="1">
        <f t="array" aca="1" ref="BR13" ca="1">IF(ECurrAssets[[#This Row],[Account]]&lt;&gt;"",_xlfn._xlws.FILTER(FSBuilder[Amount],(FSBuilder[Account or Explanation]=ECurrAssets[[#This Row],[Account]])*(FSBuilder[Statement]="Ending Balance Sheet"),0),0)</f>
        <v>0</v>
      </c>
      <c r="BS13" s="445">
        <f>ECurrAssets[[#This Row],[Used]]*(ECurrAssets[[#This Row],[AmtJournal]]&lt;&gt;0)</f>
        <v>0</v>
      </c>
      <c r="BT13" s="445">
        <f>ECurrAssets[[#This Row],[Used]]*(ECurrAssets[[#This Row],[AmtAnswer]]&lt;&gt;0)</f>
        <v>0</v>
      </c>
      <c r="BU13" s="445">
        <f ca="1">ECurrAssets[[#This Row],[Used]]*(ECurrAssets[[#This Row],[AmtFSBuilder]]&lt;&gt;0)</f>
        <v>0</v>
      </c>
    </row>
    <row r="14" spans="1:73">
      <c r="B14" s="224" cm="1">
        <f t="array" ref="B14">_xlfn.IFS(AND(BCurrAssets[[#This Row],[Used]]=1,BCurrAssets[[#This Row],[Order]]=1),6,AND(BCurrAssets[[#This Row],[Used]]=1,BCurrAssets[[#This Row],[Order]]&gt;1),7,BCurrAssets[[#This Row],[Used]]=0,8)</f>
        <v>8</v>
      </c>
      <c r="C14" t="s">
        <v>127</v>
      </c>
      <c r="D14" s="421">
        <f>IF(ISNUMBER(_xlfn.XLOOKUP(BCurrAssets[[#This Row],[Account]],MD_Asset[Account Name],MD_Asset[Used])),_xlfn.XLOOKUP(BCurrAssets[[#This Row],[Account]],MD_Asset[Account Name],MD_Asset[Used]),0)</f>
        <v>0</v>
      </c>
      <c r="E14" s="421">
        <f>IF(BCurrAssets[[#This Row],[Used]]=1,BCurrAssets[[#This Row],[Used]]+SUM(D11:D13),0)</f>
        <v>0</v>
      </c>
      <c r="F14" s="419">
        <f>_xlfn.IFNA(_xlfn.XLOOKUP(C14,BegBalanceSheet_Assets[Account],BegBalanceSheet_Assets[Amount]),0)</f>
        <v>0</v>
      </c>
      <c r="G14" s="421"/>
      <c r="H14" s="224" cm="1">
        <f t="array" ref="H14">_xlfn.IFS(AND(IS_Revenues[[#This Row],[Used]]=1,IS_Revenues[[#This Row],[Order]]=1),6,AND(IS_Revenues[[#This Row],[Used]]=1,IS_Revenues[[#This Row],[Order]]&gt;1),7,IS_Revenues[[#This Row],[Used]]=0,8)</f>
        <v>8</v>
      </c>
      <c r="J14" s="421">
        <f>IF(ISNUMBER(_xlfn.XLOOKUP(IS_Revenues[[#This Row],[Account]],MD_Revenue[Account Name],MD_Revenue[Used])),_xlfn.XLOOKUP(IS_Revenues[[#This Row],[Account]],MD_Revenue[Account Name],MD_Revenue[Used]),0)</f>
        <v>0</v>
      </c>
      <c r="K14" s="421">
        <f>IF(IS_Revenues[[#This Row],[Used]]=1,IS_Revenues[[#This Row],[Used]]+SUM(J10:J13),0)</f>
        <v>0</v>
      </c>
      <c r="L14" s="419">
        <f>SUMIFS(Journal[Cr Amt],Journal[Credit Account],I14,Journal[ref1],"&lt;&gt;CL")</f>
        <v>0</v>
      </c>
      <c r="M14" s="419">
        <f>SUMIFS(JournalAnswer[Cr Amt],JournalAnswer[Credit Account],I14,JournalAnswer[ref1],"&lt;&gt;CL")</f>
        <v>0</v>
      </c>
      <c r="N14" s="419" t="str" cm="1">
        <f t="array" ref="N14">IF(IS_Revenues[[#This Row],[Account]]&lt;&gt;"",_xlfn._xlws.FILTER(FSBuilder[Amount],FSBuilder[Account or Explanation]=IS_Revenues[[#This Row],[Account]],0),"")</f>
        <v/>
      </c>
      <c r="O14" s="421">
        <f>IS_Revenues[[#This Row],[Used]]*(IS_Revenues[[#This Row],[AmtJournal]]&lt;&gt;0)</f>
        <v>0</v>
      </c>
      <c r="P14" s="421">
        <f>IS_Revenues[[#This Row],[Used]]*(IS_Revenues[[#This Row],[AmtAnswer]]&lt;&gt;0)</f>
        <v>0</v>
      </c>
      <c r="Q14" s="421">
        <f>IS_Revenues[[#This Row],[Used]]*(IS_Revenues[[#This Row],[AmtFSBuilder]]&lt;&gt;0)*Financial_Statement_Builder!$K$121</f>
        <v>0</v>
      </c>
      <c r="T14"/>
      <c r="W14" s="419">
        <f>SUMIFS(Journal[Cr Amt],Journal[ref1],"OCI",Journal[Credit Account],"Accumulated Other Comprehensive Income (Loss)")-SUMIFS(Journal[Dr Amt],Journal[ref1],"OCI",Journal[Debit Account],"Accumulated Other Comprehensive Income (Loss)")</f>
        <v>0</v>
      </c>
      <c r="X14" s="389">
        <f ca="1">SUMIFS(JournalAnswer[Cr Amt],JournalAnswer[ref1],"OCI",JournalAnswer[Credit Account],"Accumulated Other Comprehensive Income (Loss)")-SUMIFS(JournalAnswer[Dr Amt],JournalAnswer[ref1],"OCI",JournalAnswer[Debit Account],"Accumulated Other Comprehensive Income (Loss)")</f>
        <v>0</v>
      </c>
      <c r="Y14" s="389" t="str" cm="1">
        <f t="array" ref="Y14">IF(OCI[[#This Row],[Account]]&lt;&gt;"",_xlfn._xlws.FILTER(FSBuilder[Amount],FSBuilder[Account or Explanation]=OCI[[#This Row],[Account]],0),"")</f>
        <v/>
      </c>
      <c r="Z14" s="419">
        <f>OCI[[#This Row],[Used]]*(OCI[[#This Row],[AmtJournal]]&lt;&gt;0)</f>
        <v>0</v>
      </c>
      <c r="AA14" s="419">
        <f ca="1">OCI[[#This Row],[Used]]*(OCI[[#This Row],[AmtAnswer]]&lt;&gt;0)</f>
        <v>0</v>
      </c>
      <c r="AB14" s="419">
        <f>OCI[[#This Row],[Used]]*(OCI[[#This Row],[AmtFSBuilder]]&lt;&gt;0)</f>
        <v>0</v>
      </c>
      <c r="AE14" t="s">
        <v>838</v>
      </c>
      <c r="AF14" s="37">
        <f>-SUMIFS(Journal[Dr Amt],Journal[ref1],"PTS",Journal[Debit Account],"Treasury Stock")</f>
        <v>0</v>
      </c>
      <c r="AG14" s="37">
        <f ca="1">-SUMIFS(JournalAnswer[Dr Amt],JournalAnswer[ref1],"PTS",JournalAnswer[Debit Account],"Treasury Stock")</f>
        <v>0</v>
      </c>
      <c r="AP14" s="224" cm="1">
        <f t="array" ref="AP14">_xlfn.IFS(AND(CFS_CFO[[#This Row],[Used]]=1,CFS_CFO[[#This Row],[Order]]=1),6,AND(CFS_CFO[[#This Row],[Used]]=1,CFS_CFO[[#This Row],[Order]]&gt;1),7,CFS_CFO[[#This Row],[Used]]=0,8)</f>
        <v>8</v>
      </c>
      <c r="AQ14" t="s">
        <v>983</v>
      </c>
      <c r="AR14" s="421">
        <f>IF(ABS(CFS_CFO[[#This Row],[AmtJournal]])&gt;0,1,0)</f>
        <v>0</v>
      </c>
      <c r="AS14" s="421">
        <f>IF(CFS_CFO[[#This Row],[Used]]=1,CFS_CFO[[#This Row],[Used]]+SUM(AR9:AR13),0)</f>
        <v>0</v>
      </c>
      <c r="AT14" s="417">
        <f>-SUMIFS(Journal[Cr Amt],Journal[ref1],"PdPPd",Journal[Credit Account],"Cash")</f>
        <v>0</v>
      </c>
      <c r="AU14" s="417">
        <f ca="1">-SUMIFS(JournalAnswer[Cr Amt],JournalAnswer[ref1],"PdPPd",JournalAnswer[Credit Account],"Cash")</f>
        <v>0</v>
      </c>
      <c r="AV14" s="417" cm="1">
        <f t="array" aca="1" ref="AV14" ca="1">IF(CFS_CFO[[#This Row],[Account]]&lt;&gt;"",_xlfn._xlws.FILTER(FSBuilder[Amount],FSBuilder[Account or Explanation]=CFS_CFO[[#This Row],[Account]],0),"")</f>
        <v>0</v>
      </c>
      <c r="AW14" s="421">
        <f>IF(CFS_CFO[[#This Row],[AmtJournal]]&lt;&gt;0,1,0)</f>
        <v>0</v>
      </c>
      <c r="AX14" s="421">
        <f ca="1">IF(CFS_CFO[[#This Row],[AmtAnswer]]&lt;&gt;0,1,0)</f>
        <v>0</v>
      </c>
      <c r="AY14" s="421">
        <f ca="1">IF(CFS_CFO[[#This Row],[AmtFSBuilder]]&lt;&gt;0,1,0)</f>
        <v>0</v>
      </c>
      <c r="AZ14"/>
      <c r="BA14" s="224">
        <f>IF(NI_CFO_Recon_Gains[[#This Row],[Used]]=1,7,8)</f>
        <v>8</v>
      </c>
      <c r="BB14" t="s">
        <v>319</v>
      </c>
      <c r="BC14" s="439">
        <f>IF(ABS(NI_CFO_Recon_Gains[[#This Row],[AmtJournal]])&gt;0,1,0)</f>
        <v>0</v>
      </c>
      <c r="BD14" s="400">
        <f>NI_CFO_Recon_Gains[[#This Row],[Used]]+SUM(BC11:BC13)</f>
        <v>0</v>
      </c>
      <c r="BE14" s="400">
        <f>-SUMIF(Journal[Credit Account],BB14,Journal[Cr Amt])</f>
        <v>0</v>
      </c>
      <c r="BF14" s="535">
        <f>-SUMIF(JournalAnswer[Credit Account],#REF!,JournalAnswer[Cr Amt])</f>
        <v>0</v>
      </c>
      <c r="BG14" s="535" cm="1">
        <f t="array" aca="1" ref="BG14" ca="1">IF(NI_CFO_Recon_Gains[[#This Row],[Account]]&lt;&gt;"",_xlfn._xlws.FILTER(FSBuilder[Amount],(FSBuilder[Account or Explanation]=NI_CFO_Recon_Gains[[#This Row],[Account]])*(FSBuilder[Statement]="Cash Flow Statement"),0),0)</f>
        <v>0</v>
      </c>
      <c r="BH14" s="554">
        <f>IF(ABS(NI_CFO_Recon_Gains[[#This Row],[AmtJournal]])&gt;0,1,0)</f>
        <v>0</v>
      </c>
      <c r="BI14" s="554">
        <f>IF(ABS(NI_CFO_Recon_Gains[[#This Row],[AmtAnswer]])&gt;0,1,0)</f>
        <v>0</v>
      </c>
      <c r="BJ14" s="554">
        <f ca="1">IF(ABS(NI_CFO_Recon_Gains[[#This Row],[AmtFSBuilder]])&gt;0,1,0)</f>
        <v>0</v>
      </c>
      <c r="BK14" s="400"/>
      <c r="BL14" s="224" cm="1">
        <f t="array" ref="BL14">_xlfn.IFS(AND(ECurrAssets[[#This Row],[Used]]=1,ECurrAssets[[#This Row],[Order]]=1),6,AND(ECurrAssets[[#This Row],[Used]]=1,ECurrAssets[[#This Row],[Order]]&gt;1),7,ECurrAssets[[#This Row],[Used]]=0,8)</f>
        <v>7</v>
      </c>
      <c r="BM14" t="s">
        <v>130</v>
      </c>
      <c r="BN14" s="421">
        <f>IF(ISNUMBER(_xlfn.XLOOKUP(ECurrAssets[[#This Row],[Account]],MD_Asset[Account Name],MD_Asset[Used])),_xlfn.XLOOKUP(ECurrAssets[[#This Row],[Account]],MD_Asset[Account Name],MD_Asset[Used]),0)</f>
        <v>1</v>
      </c>
      <c r="BO14" s="421">
        <f>IF(ECurrAssets[[#This Row],[Used]]=1,ECurrAssets[[#This Row],[Used]]+SUM(BN10:BN13),0)</f>
        <v>3</v>
      </c>
      <c r="BP14" s="419">
        <f>_xlfn.IFNA((_xlfn.XLOOKUP(ECurrAssets[[#This Row],[Account]],BegBalanceSheet_Assets[Account],BegBalanceSheet_Assets[Amount]))+SUMIF(Journal[Debit Account],ECurrAssets[[#This Row],[Account]],Journal[Dr Amt])-SUMIF(Journal[Credit Account],ECurrAssets[[#This Row],[Account]],Journal[Cr Amt]),0)</f>
        <v>0</v>
      </c>
      <c r="BQ14" s="419">
        <f>_xlfn.IFNA((_xlfn.XLOOKUP(ECurrAssets[[#This Row],[Account]],BegBalanceSheet_Assets[Account],BegBalanceSheet_Assets[Amount]))+SUMIF(JournalAnswer[Debit Account],ECurrAssets[[#This Row],[Account]],JournalAnswer[Dr Amt])-SUMIF(JournalAnswer[Credit Account],ECurrAssets[[#This Row],[Account]],JournalAnswer[Cr Amt]),0)</f>
        <v>42</v>
      </c>
      <c r="BR14" s="419" cm="1">
        <f t="array" aca="1" ref="BR14" ca="1">IF(ECurrAssets[[#This Row],[Account]]&lt;&gt;"",_xlfn._xlws.FILTER(FSBuilder[Amount],(FSBuilder[Account or Explanation]=ECurrAssets[[#This Row],[Account]])*(FSBuilder[Statement]="Ending Balance Sheet"),0),0)</f>
        <v>0</v>
      </c>
      <c r="BS14" s="445">
        <f>ECurrAssets[[#This Row],[Used]]*(ECurrAssets[[#This Row],[AmtJournal]]&lt;&gt;0)</f>
        <v>0</v>
      </c>
      <c r="BT14" s="445">
        <f>ECurrAssets[[#This Row],[Used]]*(ECurrAssets[[#This Row],[AmtAnswer]]&lt;&gt;0)</f>
        <v>1</v>
      </c>
      <c r="BU14" s="445">
        <f ca="1">ECurrAssets[[#This Row],[Used]]*(ECurrAssets[[#This Row],[AmtFSBuilder]]&lt;&gt;0)</f>
        <v>0</v>
      </c>
    </row>
    <row r="15" spans="1:73">
      <c r="B15" s="224" cm="1">
        <f t="array" ref="B15">_xlfn.IFS(AND(BCurrAssets[[#This Row],[Used]]=1,BCurrAssets[[#This Row],[Order]]=1),6,AND(BCurrAssets[[#This Row],[Used]]=1,BCurrAssets[[#This Row],[Order]]&gt;1),7,BCurrAssets[[#This Row],[Used]]=0,8)</f>
        <v>7</v>
      </c>
      <c r="C15" t="s">
        <v>130</v>
      </c>
      <c r="D15" s="421">
        <f>IF(ISNUMBER(_xlfn.XLOOKUP(BCurrAssets[[#This Row],[Account]],MD_Asset[Account Name],MD_Asset[Used])),_xlfn.XLOOKUP(BCurrAssets[[#This Row],[Account]],MD_Asset[Account Name],MD_Asset[Used]),0)</f>
        <v>1</v>
      </c>
      <c r="E15" s="421">
        <f>IF(BCurrAssets[[#This Row],[Used]]=1,BCurrAssets[[#This Row],[Used]]+SUM(D11:D14),0)</f>
        <v>3</v>
      </c>
      <c r="F15" s="419">
        <f>_xlfn.IFNA(_xlfn.XLOOKUP(C15,BegBalanceSheet_Assets[Account],BegBalanceSheet_Assets[Amount]),0)</f>
        <v>0</v>
      </c>
      <c r="G15" s="421"/>
      <c r="H15" s="224">
        <v>5</v>
      </c>
      <c r="I15" s="5" t="s">
        <v>864</v>
      </c>
      <c r="J15" s="444"/>
      <c r="K15" s="421"/>
      <c r="L15" s="418">
        <f>SUBTOTAL(9,L10:L14)</f>
        <v>0</v>
      </c>
      <c r="M15" s="418">
        <f ca="1">SUBTOTAL(9,M10:M14)</f>
        <v>18</v>
      </c>
      <c r="N15" s="418">
        <f t="shared" ref="N15:O15" ca="1" si="0">SUBTOTAL(9,N10:N14)</f>
        <v>0</v>
      </c>
      <c r="O15" s="418">
        <f t="shared" si="0"/>
        <v>0</v>
      </c>
      <c r="P15" s="421"/>
      <c r="Q15" s="421"/>
      <c r="T15"/>
      <c r="W15" s="419">
        <f>SUMIFS(Journal[Cr Amt],Journal[ref1],"OCI",Journal[Credit Account],"Accumulated Other Comprehensive Income (Loss)")-SUMIFS(Journal[Dr Amt],Journal[ref1],"OCI",Journal[Debit Account],"Accumulated Other Comprehensive Income (Loss)")</f>
        <v>0</v>
      </c>
      <c r="X15" s="389">
        <f ca="1">SUMIFS(JournalAnswer[Cr Amt],JournalAnswer[ref1],"OCI",JournalAnswer[Credit Account],"Accumulated Other Comprehensive Income (Loss)")-SUMIFS(JournalAnswer[Dr Amt],JournalAnswer[ref1],"OCI",JournalAnswer[Debit Account],"Accumulated Other Comprehensive Income (Loss)")</f>
        <v>0</v>
      </c>
      <c r="Y15" s="389" t="str" cm="1">
        <f t="array" ref="Y15">IF(OCI[[#This Row],[Account]]&lt;&gt;"",_xlfn._xlws.FILTER(FSBuilder[Amount],FSBuilder[Account or Explanation]=OCI[[#This Row],[Account]],0),"")</f>
        <v/>
      </c>
      <c r="Z15" s="419">
        <f>OCI[[#This Row],[Used]]*(OCI[[#This Row],[AmtJournal]]&lt;&gt;0)</f>
        <v>0</v>
      </c>
      <c r="AA15" s="419">
        <f ca="1">OCI[[#This Row],[Used]]*(OCI[[#This Row],[AmtAnswer]]&lt;&gt;0)</f>
        <v>0</v>
      </c>
      <c r="AB15" s="419">
        <f>OCI[[#This Row],[Used]]*(OCI[[#This Row],[AmtFSBuilder]]&lt;&gt;0)</f>
        <v>0</v>
      </c>
      <c r="AE15" t="s">
        <v>839</v>
      </c>
      <c r="AF15" s="37">
        <f>-SUMIFS(Journal[Cr Amt],Journal[ref1],"STS",Journal[Credit Account],"Treasury Stock")</f>
        <v>0</v>
      </c>
      <c r="AG15" s="37">
        <f ca="1">-SUMIFS(JournalAnswer[Cr Amt],JournalAnswer[ref1],"STS",JournalAnswer[Credit Account],"Treasury Stock")</f>
        <v>0</v>
      </c>
      <c r="AP15" s="224" cm="1">
        <f t="array" ref="AP15">_xlfn.IFS(AND(CFS_CFO[[#This Row],[Used]]=1,CFS_CFO[[#This Row],[Order]]=1),6,AND(CFS_CFO[[#This Row],[Used]]=1,CFS_CFO[[#This Row],[Order]]&gt;1),7,CFS_CFO[[#This Row],[Used]]=0,8)</f>
        <v>8</v>
      </c>
      <c r="AQ15" t="s">
        <v>984</v>
      </c>
      <c r="AR15" s="421">
        <f>IF(ABS(CFS_CFO[[#This Row],[AmtJournal]])&gt;0,1,0)</f>
        <v>0</v>
      </c>
      <c r="AS15" s="421">
        <f>IF(CFS_CFO[[#This Row],[Used]]=1,CFS_CFO[[#This Row],[Used]]+SUM(AR9:AR14),0)</f>
        <v>0</v>
      </c>
      <c r="AT15" s="417">
        <f>-SUMIFS(Journal[Cr Amt],Journal[ref1],"PdACCEx",Journal[Credit Account],"Cash")</f>
        <v>0</v>
      </c>
      <c r="AU15" s="417">
        <f ca="1">-SUMIFS(JournalAnswer[Cr Amt],JournalAnswer[ref1],"PdACCEx",JournalAnswer[Credit Account],"Cash")</f>
        <v>0</v>
      </c>
      <c r="AV15" s="417" cm="1">
        <f t="array" aca="1" ref="AV15" ca="1">IF(CFS_CFO[[#This Row],[Account]]&lt;&gt;"",_xlfn._xlws.FILTER(FSBuilder[Amount],FSBuilder[Account or Explanation]=CFS_CFO[[#This Row],[Account]],0),"")</f>
        <v>0</v>
      </c>
      <c r="AW15" s="421">
        <f>IF(CFS_CFO[[#This Row],[AmtJournal]]&lt;&gt;0,1,0)</f>
        <v>0</v>
      </c>
      <c r="AX15" s="421">
        <f ca="1">IF(CFS_CFO[[#This Row],[AmtAnswer]]&lt;&gt;0,1,0)</f>
        <v>0</v>
      </c>
      <c r="AY15" s="421">
        <f ca="1">IF(CFS_CFO[[#This Row],[AmtFSBuilder]]&lt;&gt;0,1,0)</f>
        <v>0</v>
      </c>
      <c r="AZ15"/>
      <c r="BA15" s="224">
        <f>IF(NI_CFO_Recon_Gains[[#This Row],[Used]]=1,7,8)</f>
        <v>8</v>
      </c>
      <c r="BB15" t="s">
        <v>322</v>
      </c>
      <c r="BC15" s="439">
        <f>IF(ABS(NI_CFO_Recon_Gains[[#This Row],[AmtJournal]])&gt;0,1,0)</f>
        <v>0</v>
      </c>
      <c r="BD15" s="400">
        <f>NI_CFO_Recon_Gains[[#This Row],[Used]]+SUM(BC11:BC14)</f>
        <v>0</v>
      </c>
      <c r="BE15" s="400">
        <f>-SUMIF(Journal[Credit Account],BB15,Journal[Cr Amt])</f>
        <v>0</v>
      </c>
      <c r="BF15" s="535">
        <f>-SUMIF(JournalAnswer[Credit Account],#REF!,JournalAnswer[Cr Amt])</f>
        <v>0</v>
      </c>
      <c r="BG15" s="535" cm="1">
        <f t="array" aca="1" ref="BG15" ca="1">IF(NI_CFO_Recon_Gains[[#This Row],[Account]]&lt;&gt;"",_xlfn._xlws.FILTER(FSBuilder[Amount],(FSBuilder[Account or Explanation]=NI_CFO_Recon_Gains[[#This Row],[Account]])*(FSBuilder[Statement]="Cash Flow Statement"),0),0)</f>
        <v>0</v>
      </c>
      <c r="BH15" s="554">
        <f>IF(ABS(NI_CFO_Recon_Gains[[#This Row],[AmtJournal]])&gt;0,1,0)</f>
        <v>0</v>
      </c>
      <c r="BI15" s="554">
        <f>IF(ABS(NI_CFO_Recon_Gains[[#This Row],[AmtAnswer]])&gt;0,1,0)</f>
        <v>0</v>
      </c>
      <c r="BJ15" s="554">
        <f ca="1">IF(ABS(NI_CFO_Recon_Gains[[#This Row],[AmtFSBuilder]])&gt;0,1,0)</f>
        <v>0</v>
      </c>
      <c r="BK15" s="400"/>
      <c r="BL15" s="224" cm="1">
        <f t="array" ref="BL15">_xlfn.IFS(AND(ECurrAssets[[#This Row],[Used]]=1,ECurrAssets[[#This Row],[Order]]=1),6,AND(ECurrAssets[[#This Row],[Used]]=1,ECurrAssets[[#This Row],[Order]]&gt;1),7,ECurrAssets[[#This Row],[Used]]=0,8)</f>
        <v>8</v>
      </c>
      <c r="BM15" t="s">
        <v>133</v>
      </c>
      <c r="BN15" s="421">
        <f>IF(ISNUMBER(_xlfn.XLOOKUP(ECurrAssets[[#This Row],[Account]],MD_Asset[Account Name],MD_Asset[Used])),_xlfn.XLOOKUP(ECurrAssets[[#This Row],[Account]],MD_Asset[Account Name],MD_Asset[Used]),0)</f>
        <v>0</v>
      </c>
      <c r="BO15" s="421">
        <f>IF(ECurrAssets[[#This Row],[Used]]=1,ECurrAssets[[#This Row],[Used]]+SUM(BN10:BN14),0)</f>
        <v>0</v>
      </c>
      <c r="BP15" s="419">
        <f>_xlfn.IFNA((_xlfn.XLOOKUP(ECurrAssets[[#This Row],[Account]],BegBalanceSheet_Assets[Account],BegBalanceSheet_Assets[Amount]))+SUMIF(Journal[Debit Account],ECurrAssets[[#This Row],[Account]],Journal[Dr Amt])-SUMIF(Journal[Credit Account],ECurrAssets[[#This Row],[Account]],Journal[Cr Amt]),0)</f>
        <v>0</v>
      </c>
      <c r="BQ15" s="419">
        <f>_xlfn.IFNA((_xlfn.XLOOKUP(ECurrAssets[[#This Row],[Account]],BegBalanceSheet_Assets[Account],BegBalanceSheet_Assets[Amount]))+SUMIF(JournalAnswer[Debit Account],ECurrAssets[[#This Row],[Account]],JournalAnswer[Dr Amt])-SUMIF(JournalAnswer[Credit Account],ECurrAssets[[#This Row],[Account]],JournalAnswer[Cr Amt]),0)</f>
        <v>0</v>
      </c>
      <c r="BR15" s="419" cm="1">
        <f t="array" aca="1" ref="BR15" ca="1">IF(ECurrAssets[[#This Row],[Account]]&lt;&gt;"",_xlfn._xlws.FILTER(FSBuilder[Amount],(FSBuilder[Account or Explanation]=ECurrAssets[[#This Row],[Account]])*(FSBuilder[Statement]="Ending Balance Sheet"),0),0)</f>
        <v>0</v>
      </c>
      <c r="BS15" s="445">
        <f>ECurrAssets[[#This Row],[Used]]*(ECurrAssets[[#This Row],[AmtJournal]]&lt;&gt;0)</f>
        <v>0</v>
      </c>
      <c r="BT15" s="445">
        <f>ECurrAssets[[#This Row],[Used]]*(ECurrAssets[[#This Row],[AmtAnswer]]&lt;&gt;0)</f>
        <v>0</v>
      </c>
      <c r="BU15" s="445">
        <f ca="1">ECurrAssets[[#This Row],[Used]]*(ECurrAssets[[#This Row],[AmtFSBuilder]]&lt;&gt;0)</f>
        <v>0</v>
      </c>
    </row>
    <row r="16" spans="1:73">
      <c r="B16" s="224" cm="1">
        <f t="array" ref="B16">_xlfn.IFS(AND(BCurrAssets[[#This Row],[Used]]=1,BCurrAssets[[#This Row],[Order]]=1),6,AND(BCurrAssets[[#This Row],[Used]]=1,BCurrAssets[[#This Row],[Order]]&gt;1),7,BCurrAssets[[#This Row],[Used]]=0,8)</f>
        <v>8</v>
      </c>
      <c r="C16" t="s">
        <v>133</v>
      </c>
      <c r="D16" s="421">
        <f>IF(ISNUMBER(_xlfn.XLOOKUP(BCurrAssets[[#This Row],[Account]],MD_Asset[Account Name],MD_Asset[Used])),_xlfn.XLOOKUP(BCurrAssets[[#This Row],[Account]],MD_Asset[Account Name],MD_Asset[Used]),0)</f>
        <v>0</v>
      </c>
      <c r="E16" s="421">
        <f>IF(BCurrAssets[[#This Row],[Used]]=1,BCurrAssets[[#This Row],[Used]]+SUM(D11:D15),0)</f>
        <v>0</v>
      </c>
      <c r="F16" s="419">
        <f>_xlfn.IFNA(_xlfn.XLOOKUP(C16,BegBalanceSheet_Assets[Account],BegBalanceSheet_Assets[Amount]),0)</f>
        <v>0</v>
      </c>
      <c r="G16" s="421"/>
      <c r="J16" s="348"/>
      <c r="K16" s="348"/>
      <c r="L16" s="348"/>
      <c r="M16" s="348"/>
      <c r="N16" s="348"/>
      <c r="O16" s="348"/>
      <c r="P16" s="348"/>
      <c r="Q16" s="348"/>
      <c r="T16"/>
      <c r="W16" s="419">
        <f>SUMIFS(Journal[Cr Amt],Journal[ref1],"OCI",Journal[Credit Account],"Accumulated Other Comprehensive Income (Loss)")-SUMIFS(Journal[Dr Amt],Journal[ref1],"OCI",Journal[Debit Account],"Accumulated Other Comprehensive Income (Loss)")</f>
        <v>0</v>
      </c>
      <c r="X16" s="389">
        <f ca="1">SUMIFS(JournalAnswer[Cr Amt],JournalAnswer[ref1],"OCI",JournalAnswer[Credit Account],"Accumulated Other Comprehensive Income (Loss)")-SUMIFS(JournalAnswer[Dr Amt],JournalAnswer[ref1],"OCI",JournalAnswer[Debit Account],"Accumulated Other Comprehensive Income (Loss)")</f>
        <v>0</v>
      </c>
      <c r="Y16" s="389" t="str" cm="1">
        <f t="array" ref="Y16">IF(OCI[[#This Row],[Account]]&lt;&gt;"",_xlfn._xlws.FILTER(FSBuilder[Amount],FSBuilder[Account or Explanation]=OCI[[#This Row],[Account]],0),"")</f>
        <v/>
      </c>
      <c r="Z16" s="419">
        <f>OCI[[#This Row],[Used]]*(OCI[[#This Row],[AmtJournal]]&lt;&gt;0)</f>
        <v>0</v>
      </c>
      <c r="AA16" s="419">
        <f ca="1">OCI[[#This Row],[Used]]*(OCI[[#This Row],[AmtAnswer]]&lt;&gt;0)</f>
        <v>0</v>
      </c>
      <c r="AB16" s="419">
        <f>OCI[[#This Row],[Used]]*(OCI[[#This Row],[AmtFSBuilder]]&lt;&gt;0)</f>
        <v>0</v>
      </c>
      <c r="AE16" t="s">
        <v>430</v>
      </c>
      <c r="AF16" s="37">
        <f>W23</f>
        <v>0</v>
      </c>
      <c r="AG16" s="37">
        <f ca="1">X23</f>
        <v>0</v>
      </c>
      <c r="AP16" s="224">
        <v>3</v>
      </c>
      <c r="AQ16" s="213" t="s">
        <v>985</v>
      </c>
      <c r="AR16" s="421"/>
      <c r="AS16" s="421"/>
      <c r="AT16" s="401">
        <f>SUBTOTAL(9,AT9:AT15)</f>
        <v>0</v>
      </c>
      <c r="AU16" s="401">
        <f t="shared" ref="AU16:AV16" ca="1" si="1">SUBTOTAL(9,AU9:AU15)</f>
        <v>39</v>
      </c>
      <c r="AV16" s="401">
        <f t="shared" ca="1" si="1"/>
        <v>0</v>
      </c>
      <c r="AW16" s="421"/>
      <c r="AX16" s="421"/>
      <c r="AY16" s="421"/>
      <c r="AZ16"/>
      <c r="BA16" s="224">
        <f>IF(NI_CFO_Recon_Gains[[#This Row],[Used]]=1,7,8)</f>
        <v>8</v>
      </c>
      <c r="BC16" s="439">
        <f>IF(ABS(NI_CFO_Recon_Gains[[#This Row],[AmtJournal]])&gt;0,1,0)</f>
        <v>0</v>
      </c>
      <c r="BD16" s="400">
        <f>NI_CFO_Recon_Gains[[#This Row],[Used]]+SUM(BC11:BC15)</f>
        <v>0</v>
      </c>
      <c r="BE16" s="400">
        <f>-SUMIFS(Journal[Dr Amt],Journal[Debit Account],BB16,Journal[ref1],"CL")</f>
        <v>0</v>
      </c>
      <c r="BF16" s="535">
        <f>-SUMIF(JournalAnswer[Credit Account],#REF!,JournalAnswer[Cr Amt])</f>
        <v>0</v>
      </c>
      <c r="BG16" s="535" cm="1">
        <f t="array" ref="BG16">IF(NI_CFO_Recon_Gains[[#This Row],[Account]]&lt;&gt;"",_xlfn._xlws.FILTER(FSBuilder[Amount],(FSBuilder[Account or Explanation]=NI_CFO_Recon_Gains[[#This Row],[Account]])*(FSBuilder[Statement]="Cash Flow Statement"),0),0)</f>
        <v>0</v>
      </c>
      <c r="BH16" s="554">
        <f>IF(ABS(NI_CFO_Recon_Gains[[#This Row],[AmtJournal]])&gt;0,1,0)</f>
        <v>0</v>
      </c>
      <c r="BI16" s="554">
        <f>IF(ABS(NI_CFO_Recon_Gains[[#This Row],[AmtAnswer]])&gt;0,1,0)</f>
        <v>0</v>
      </c>
      <c r="BJ16" s="554">
        <f>IF(ABS(NI_CFO_Recon_Gains[[#This Row],[AmtFSBuilder]])&gt;0,1,0)</f>
        <v>0</v>
      </c>
      <c r="BK16" s="400"/>
      <c r="BL16" s="224" cm="1">
        <f t="array" ref="BL16">_xlfn.IFS(AND(ECurrAssets[[#This Row],[Used]]=1,ECurrAssets[[#This Row],[Order]]=1),6,AND(ECurrAssets[[#This Row],[Used]]=1,ECurrAssets[[#This Row],[Order]]&gt;1),7,ECurrAssets[[#This Row],[Used]]=0,8)</f>
        <v>8</v>
      </c>
      <c r="BM16" t="s">
        <v>136</v>
      </c>
      <c r="BN16" s="421">
        <f>IF(ISNUMBER(_xlfn.XLOOKUP(ECurrAssets[[#This Row],[Account]],MD_Asset[Account Name],MD_Asset[Used])),_xlfn.XLOOKUP(ECurrAssets[[#This Row],[Account]],MD_Asset[Account Name],MD_Asset[Used]),0)</f>
        <v>0</v>
      </c>
      <c r="BO16" s="421">
        <f>IF(ECurrAssets[[#This Row],[Used]]=1,ECurrAssets[[#This Row],[Used]]+SUM(BN10:BN15),0)</f>
        <v>0</v>
      </c>
      <c r="BP16" s="419">
        <f>_xlfn.IFNA((_xlfn.XLOOKUP(ECurrAssets[[#This Row],[Account]],BegBalanceSheet_Assets[Account],BegBalanceSheet_Assets[Amount]))+SUMIF(Journal[Debit Account],ECurrAssets[[#This Row],[Account]],Journal[Dr Amt])-SUMIF(Journal[Credit Account],ECurrAssets[[#This Row],[Account]],Journal[Cr Amt]),0)</f>
        <v>0</v>
      </c>
      <c r="BQ16" s="419">
        <f>_xlfn.IFNA((_xlfn.XLOOKUP(ECurrAssets[[#This Row],[Account]],BegBalanceSheet_Assets[Account],BegBalanceSheet_Assets[Amount]))+SUMIF(JournalAnswer[Debit Account],ECurrAssets[[#This Row],[Account]],JournalAnswer[Dr Amt])-SUMIF(JournalAnswer[Credit Account],ECurrAssets[[#This Row],[Account]],JournalAnswer[Cr Amt]),0)</f>
        <v>0</v>
      </c>
      <c r="BR16" s="419" cm="1">
        <f t="array" aca="1" ref="BR16" ca="1">IF(ECurrAssets[[#This Row],[Account]]&lt;&gt;"",_xlfn._xlws.FILTER(FSBuilder[Amount],(FSBuilder[Account or Explanation]=ECurrAssets[[#This Row],[Account]])*(FSBuilder[Statement]="Ending Balance Sheet"),0),0)</f>
        <v>0</v>
      </c>
      <c r="BS16" s="445">
        <f>ECurrAssets[[#This Row],[Used]]*(ECurrAssets[[#This Row],[AmtJournal]]&lt;&gt;0)</f>
        <v>0</v>
      </c>
      <c r="BT16" s="445">
        <f>ECurrAssets[[#This Row],[Used]]*(ECurrAssets[[#This Row],[AmtAnswer]]&lt;&gt;0)</f>
        <v>0</v>
      </c>
      <c r="BU16" s="445">
        <f ca="1">ECurrAssets[[#This Row],[Used]]*(ECurrAssets[[#This Row],[AmtFSBuilder]]&lt;&gt;0)</f>
        <v>0</v>
      </c>
    </row>
    <row r="17" spans="2:73">
      <c r="B17" s="224" cm="1">
        <f t="array" ref="B17">_xlfn.IFS(AND(BCurrAssets[[#This Row],[Used]]=1,BCurrAssets[[#This Row],[Order]]=1),6,AND(BCurrAssets[[#This Row],[Used]]=1,BCurrAssets[[#This Row],[Order]]&gt;1),7,BCurrAssets[[#This Row],[Used]]=0,8)</f>
        <v>8</v>
      </c>
      <c r="C17" t="s">
        <v>136</v>
      </c>
      <c r="D17" s="421">
        <f>IF(ISNUMBER(_xlfn.XLOOKUP(BCurrAssets[[#This Row],[Account]],MD_Asset[Account Name],MD_Asset[Used])),_xlfn.XLOOKUP(BCurrAssets[[#This Row],[Account]],MD_Asset[Account Name],MD_Asset[Used]),0)</f>
        <v>0</v>
      </c>
      <c r="E17" s="421">
        <f>IF(BCurrAssets[[#This Row],[Used]]=1,BCurrAssets[[#This Row],[Used]]+SUM(D11:D16),0)</f>
        <v>0</v>
      </c>
      <c r="F17" s="419">
        <f>_xlfn.IFNA(_xlfn.XLOOKUP(C17,BegBalanceSheet_Assets[Account],BegBalanceSheet_Assets[Amount]),0)</f>
        <v>0</v>
      </c>
      <c r="G17" s="421"/>
      <c r="H17" s="5" t="s">
        <v>70</v>
      </c>
      <c r="J17" s="348"/>
      <c r="K17" s="348"/>
      <c r="L17" s="348"/>
      <c r="M17" s="348"/>
      <c r="N17" s="348"/>
      <c r="O17" s="348"/>
      <c r="P17" s="348"/>
      <c r="Q17" s="348"/>
      <c r="T17"/>
      <c r="W17" s="419">
        <f>SUMIFS(Journal[Cr Amt],Journal[ref1],"OCI",Journal[Credit Account],"Accumulated Other Comprehensive Income (Loss)")-SUMIFS(Journal[Dr Amt],Journal[ref1],"OCI",Journal[Debit Account],"Accumulated Other Comprehensive Income (Loss)")</f>
        <v>0</v>
      </c>
      <c r="X17" s="389">
        <f ca="1">SUMIFS(JournalAnswer[Cr Amt],JournalAnswer[ref1],"OCI",JournalAnswer[Credit Account],"Accumulated Other Comprehensive Income (Loss)")-SUMIFS(JournalAnswer[Dr Amt],JournalAnswer[ref1],"OCI",JournalAnswer[Debit Account],"Accumulated Other Comprehensive Income (Loss)")</f>
        <v>0</v>
      </c>
      <c r="Y17" s="389" t="str" cm="1">
        <f t="array" ref="Y17">IF(OCI[[#This Row],[Account]]&lt;&gt;"",_xlfn._xlws.FILTER(FSBuilder[Amount],FSBuilder[Account or Explanation]=OCI[[#This Row],[Account]],0),"")</f>
        <v/>
      </c>
      <c r="Z17" s="419">
        <f>OCI[[#This Row],[Used]]*(OCI[[#This Row],[AmtJournal]]&lt;&gt;0)</f>
        <v>0</v>
      </c>
      <c r="AA17" s="419">
        <f ca="1">OCI[[#This Row],[Used]]*(OCI[[#This Row],[AmtAnswer]]&lt;&gt;0)</f>
        <v>0</v>
      </c>
      <c r="AB17" s="419">
        <f>OCI[[#This Row],[Used]]*(OCI[[#This Row],[AmtFSBuilder]]&lt;&gt;0)</f>
        <v>0</v>
      </c>
      <c r="AE17" t="s">
        <v>840</v>
      </c>
      <c r="AF17" s="37">
        <f>SUMIFS(Journal[Cr Amt],Journal[ref1],"PPEfCS",Journal[Credit Account],"Common Stock")</f>
        <v>0</v>
      </c>
      <c r="AG17" s="37">
        <f ca="1">SUMIFS(JournalAnswer[Cr Amt],JournalAnswer[ref1],"PPEfCS",JournalAnswer[Credit Account],"Common Stock")</f>
        <v>50</v>
      </c>
      <c r="AQ17" s="213"/>
      <c r="AR17" s="401"/>
      <c r="AS17" s="421"/>
      <c r="AT17" s="421"/>
      <c r="AU17" s="421"/>
      <c r="AV17" s="421"/>
      <c r="AW17" s="421"/>
      <c r="AX17" s="421"/>
      <c r="AY17" s="421"/>
      <c r="AZ17"/>
      <c r="BA17" s="224">
        <f>IF(NI_CFO_Recon_Gains[[#This Row],[Used]]=1,7,8)</f>
        <v>8</v>
      </c>
      <c r="BC17" s="439">
        <f>IF(ABS(NI_CFO_Recon_Gains[[#This Row],[AmtJournal]])&gt;0,1,0)</f>
        <v>0</v>
      </c>
      <c r="BD17" s="400">
        <f>NI_CFO_Recon_Gains[[#This Row],[Used]]+SUM(BC11:BC16)</f>
        <v>0</v>
      </c>
      <c r="BE17" s="400">
        <f>-SUMIFS(Journal[Dr Amt],Journal[Debit Account],BB17,Journal[ref1],"CL")</f>
        <v>0</v>
      </c>
      <c r="BF17" s="535">
        <f>-SUMIF(JournalAnswer[Credit Account],#REF!,JournalAnswer[Cr Amt])</f>
        <v>0</v>
      </c>
      <c r="BG17" s="535" cm="1">
        <f t="array" ref="BG17">IF(NI_CFO_Recon_Gains[[#This Row],[Account]]&lt;&gt;"",_xlfn._xlws.FILTER(FSBuilder[Amount],(FSBuilder[Account or Explanation]=NI_CFO_Recon_Gains[[#This Row],[Account]])*(FSBuilder[Statement]="Cash Flow Statement"),0),0)</f>
        <v>0</v>
      </c>
      <c r="BH17" s="554">
        <f>IF(ABS(NI_CFO_Recon_Gains[[#This Row],[AmtJournal]])&gt;0,1,0)</f>
        <v>0</v>
      </c>
      <c r="BI17" s="554">
        <f>IF(ABS(NI_CFO_Recon_Gains[[#This Row],[AmtAnswer]])&gt;0,1,0)</f>
        <v>0</v>
      </c>
      <c r="BJ17" s="554">
        <f>IF(ABS(NI_CFO_Recon_Gains[[#This Row],[AmtFSBuilder]])&gt;0,1,0)</f>
        <v>0</v>
      </c>
      <c r="BL17" s="224" cm="1">
        <f t="array" ref="BL17">_xlfn.IFS(AND(ECurrAssets[[#This Row],[Used]]=1,ECurrAssets[[#This Row],[Order]]=1),6,AND(ECurrAssets[[#This Row],[Used]]=1,ECurrAssets[[#This Row],[Order]]&gt;1),7,ECurrAssets[[#This Row],[Used]]=0,8)</f>
        <v>8</v>
      </c>
      <c r="BM17" t="s">
        <v>139</v>
      </c>
      <c r="BN17" s="421">
        <f>IF(ISNUMBER(_xlfn.XLOOKUP(ECurrAssets[[#This Row],[Account]],MD_Asset[Account Name],MD_Asset[Used])),_xlfn.XLOOKUP(ECurrAssets[[#This Row],[Account]],MD_Asset[Account Name],MD_Asset[Used]),0)</f>
        <v>0</v>
      </c>
      <c r="BO17" s="421">
        <f>IF(ECurrAssets[[#This Row],[Used]]=1,ECurrAssets[[#This Row],[Used]]+SUM(BN10:BN16),0)</f>
        <v>0</v>
      </c>
      <c r="BP17" s="419">
        <f>_xlfn.IFNA((_xlfn.XLOOKUP(ECurrAssets[[#This Row],[Account]],BegBalanceSheet_Assets[Account],BegBalanceSheet_Assets[Amount]))+SUMIF(Journal[Debit Account],ECurrAssets[[#This Row],[Account]],Journal[Dr Amt])-SUMIF(Journal[Credit Account],ECurrAssets[[#This Row],[Account]],Journal[Cr Amt]),0)</f>
        <v>0</v>
      </c>
      <c r="BQ17" s="419">
        <f>_xlfn.IFNA((_xlfn.XLOOKUP(ECurrAssets[[#This Row],[Account]],BegBalanceSheet_Assets[Account],BegBalanceSheet_Assets[Amount]))+SUMIF(JournalAnswer[Debit Account],ECurrAssets[[#This Row],[Account]],JournalAnswer[Dr Amt])-SUMIF(JournalAnswer[Credit Account],ECurrAssets[[#This Row],[Account]],JournalAnswer[Cr Amt]),0)</f>
        <v>0</v>
      </c>
      <c r="BR17" s="419" cm="1">
        <f t="array" aca="1" ref="BR17" ca="1">IF(ECurrAssets[[#This Row],[Account]]&lt;&gt;"",_xlfn._xlws.FILTER(FSBuilder[Amount],(FSBuilder[Account or Explanation]=ECurrAssets[[#This Row],[Account]])*(FSBuilder[Statement]="Ending Balance Sheet"),0),0)</f>
        <v>0</v>
      </c>
      <c r="BS17" s="445">
        <f>ECurrAssets[[#This Row],[Used]]*(ECurrAssets[[#This Row],[AmtJournal]]&lt;&gt;0)</f>
        <v>0</v>
      </c>
      <c r="BT17" s="445">
        <f>ECurrAssets[[#This Row],[Used]]*(ECurrAssets[[#This Row],[AmtAnswer]]&lt;&gt;0)</f>
        <v>0</v>
      </c>
      <c r="BU17" s="445">
        <f ca="1">ECurrAssets[[#This Row],[Used]]*(ECurrAssets[[#This Row],[AmtFSBuilder]]&lt;&gt;0)</f>
        <v>0</v>
      </c>
    </row>
    <row r="18" spans="2:73">
      <c r="B18" s="224" cm="1">
        <f t="array" ref="B18">_xlfn.IFS(AND(BCurrAssets[[#This Row],[Used]]=1,BCurrAssets[[#This Row],[Order]]=1),6,AND(BCurrAssets[[#This Row],[Used]]=1,BCurrAssets[[#This Row],[Order]]&gt;1),7,BCurrAssets[[#This Row],[Used]]=0,8)</f>
        <v>8</v>
      </c>
      <c r="C18" t="s">
        <v>139</v>
      </c>
      <c r="D18" s="421">
        <f>IF(ISNUMBER(_xlfn.XLOOKUP(BCurrAssets[[#This Row],[Account]],MD_Asset[Account Name],MD_Asset[Used])),_xlfn.XLOOKUP(BCurrAssets[[#This Row],[Account]],MD_Asset[Account Name],MD_Asset[Used]),0)</f>
        <v>0</v>
      </c>
      <c r="E18" s="421">
        <f>IF(BCurrAssets[[#This Row],[Used]]=1,BCurrAssets[[#This Row],[Used]]+SUM(D11:D17),0)</f>
        <v>0</v>
      </c>
      <c r="F18" s="419">
        <f>_xlfn.IFNA(_xlfn.XLOOKUP(C18,BegBalanceSheet_Assets[Account],BegBalanceSheet_Assets[Amount]),0)</f>
        <v>0</v>
      </c>
      <c r="G18" s="421"/>
      <c r="H18" s="430" t="s">
        <v>968</v>
      </c>
      <c r="I18" s="430" t="s">
        <v>779</v>
      </c>
      <c r="J18" s="430" t="s">
        <v>75</v>
      </c>
      <c r="K18" s="528" t="s">
        <v>969</v>
      </c>
      <c r="L18" s="430" t="s">
        <v>966</v>
      </c>
      <c r="M18" s="430" t="s">
        <v>967</v>
      </c>
      <c r="N18" s="430" t="s">
        <v>970</v>
      </c>
      <c r="O18" s="532" t="s">
        <v>971</v>
      </c>
      <c r="P18" s="532" t="s">
        <v>972</v>
      </c>
      <c r="Q18" s="532" t="s">
        <v>973</v>
      </c>
      <c r="T18"/>
      <c r="W18" s="419">
        <f>SUMIFS(Journal[Cr Amt],Journal[ref1],"OCI",Journal[Credit Account],"Accumulated Other Comprehensive Income (Loss)")-SUMIFS(Journal[Dr Amt],Journal[ref1],"OCI",Journal[Debit Account],"Accumulated Other Comprehensive Income (Loss)")</f>
        <v>0</v>
      </c>
      <c r="X18" s="389">
        <f ca="1">SUMIFS(JournalAnswer[Cr Amt],JournalAnswer[ref1],"OCI",JournalAnswer[Credit Account],"Accumulated Other Comprehensive Income (Loss)")-SUMIFS(JournalAnswer[Dr Amt],JournalAnswer[ref1],"OCI",JournalAnswer[Debit Account],"Accumulated Other Comprehensive Income (Loss)")</f>
        <v>0</v>
      </c>
      <c r="Y18" s="389" t="str" cm="1">
        <f t="array" ref="Y18">IF(OCI[[#This Row],[Account]]&lt;&gt;"",_xlfn._xlws.FILTER(FSBuilder[Amount],FSBuilder[Account or Explanation]=OCI[[#This Row],[Account]],0),"")</f>
        <v/>
      </c>
      <c r="Z18" s="419">
        <f>OCI[[#This Row],[Used]]*(OCI[[#This Row],[AmtJournal]]&lt;&gt;0)</f>
        <v>0</v>
      </c>
      <c r="AA18" s="419">
        <f ca="1">OCI[[#This Row],[Used]]*(OCI[[#This Row],[AmtAnswer]]&lt;&gt;0)</f>
        <v>0</v>
      </c>
      <c r="AB18" s="419">
        <f>OCI[[#This Row],[Used]]*(OCI[[#This Row],[AmtFSBuilder]]&lt;&gt;0)</f>
        <v>0</v>
      </c>
      <c r="AE18" t="s">
        <v>986</v>
      </c>
      <c r="AF18" s="37">
        <f>SUMIFS(Journal[Cr Amt],Journal[ref1],"PPEfCS",Journal[Credit Account],"Additional Paid-in Capital")</f>
        <v>0</v>
      </c>
      <c r="AG18" s="37">
        <f ca="1">SUMIFS(JournalAnswer[Cr Amt],JournalAnswer[ref1],"PPEfCS",JournalAnswer[Credit Account],"Additional Paid-in Capital")</f>
        <v>0</v>
      </c>
      <c r="AP18" s="423" t="s">
        <v>987</v>
      </c>
      <c r="AQ18" s="213"/>
      <c r="AR18" s="401"/>
      <c r="AS18" s="421"/>
      <c r="AT18"/>
      <c r="AU18"/>
      <c r="AV18"/>
      <c r="AW18"/>
      <c r="AX18"/>
      <c r="AY18"/>
      <c r="AZ18"/>
      <c r="BA18" s="423" t="s">
        <v>961</v>
      </c>
      <c r="BC18" s="400"/>
      <c r="BL18" s="224" cm="1">
        <f t="array" ref="BL18">_xlfn.IFS(AND(ECurrAssets[[#This Row],[Used]]=1,ECurrAssets[[#This Row],[Order]]=1),6,AND(ECurrAssets[[#This Row],[Used]]=1,ECurrAssets[[#This Row],[Order]]&gt;1),7,ECurrAssets[[#This Row],[Used]]=0,8)</f>
        <v>8</v>
      </c>
      <c r="BN18" s="421">
        <f>IF(ISNUMBER(_xlfn.XLOOKUP(ECurrAssets[[#This Row],[Account]],MD_Asset[Account Name],MD_Asset[Used])),_xlfn.XLOOKUP(ECurrAssets[[#This Row],[Account]],MD_Asset[Account Name],MD_Asset[Used]),0)</f>
        <v>0</v>
      </c>
      <c r="BO18" s="421">
        <f>IF(ECurrAssets[[#This Row],[Used]]=1,ECurrAssets[[#This Row],[Used]]+SUM(BN10:BN17),0)</f>
        <v>0</v>
      </c>
      <c r="BP18" s="419">
        <f>_xlfn.IFNA((_xlfn.XLOOKUP(ECurrAssets[[#This Row],[Account]],BegBalanceSheet_Assets[Account],BegBalanceSheet_Assets[Amount]))+SUMIF(Journal[Debit Account],ECurrAssets[[#This Row],[Account]],Journal[Dr Amt])-SUMIF(Journal[Credit Account],ECurrAssets[[#This Row],[Account]],Journal[Cr Amt]),0)</f>
        <v>0</v>
      </c>
      <c r="BQ18" s="419">
        <f>_xlfn.IFNA((_xlfn.XLOOKUP(ECurrAssets[[#This Row],[Account]],BegBalanceSheet_Assets[Account],BegBalanceSheet_Assets[Amount]))+SUMIF(JournalAnswer[Debit Account],ECurrAssets[[#This Row],[Account]],JournalAnswer[Dr Amt])-SUMIF(JournalAnswer[Credit Account],ECurrAssets[[#This Row],[Account]],JournalAnswer[Cr Amt]),0)</f>
        <v>0</v>
      </c>
      <c r="BR18" s="419" cm="1">
        <f t="array" ref="BR18">IF(ECurrAssets[[#This Row],[Account]]&lt;&gt;"",_xlfn._xlws.FILTER(FSBuilder[Amount],(FSBuilder[Account or Explanation]=ECurrAssets[[#This Row],[Account]])*(FSBuilder[Statement]="Ending Balance Sheet"),0),0)</f>
        <v>0</v>
      </c>
      <c r="BS18" s="445">
        <f>ECurrAssets[[#This Row],[Used]]*(ECurrAssets[[#This Row],[AmtJournal]]&lt;&gt;0)</f>
        <v>0</v>
      </c>
      <c r="BT18" s="445">
        <f>ECurrAssets[[#This Row],[Used]]*(ECurrAssets[[#This Row],[AmtAnswer]]&lt;&gt;0)</f>
        <v>0</v>
      </c>
      <c r="BU18" s="445">
        <f>ECurrAssets[[#This Row],[Used]]*(ECurrAssets[[#This Row],[AmtFSBuilder]]&lt;&gt;0)</f>
        <v>0</v>
      </c>
    </row>
    <row r="19" spans="2:73">
      <c r="B19" s="224" cm="1">
        <f t="array" ref="B19">_xlfn.IFS(AND(BCurrAssets[[#This Row],[Used]]=1,BCurrAssets[[#This Row],[Order]]=1),6,AND(BCurrAssets[[#This Row],[Used]]=1,BCurrAssets[[#This Row],[Order]]&gt;1),7,BCurrAssets[[#This Row],[Used]]=0,8)</f>
        <v>8</v>
      </c>
      <c r="D19" s="421">
        <f>IF(ISNUMBER(_xlfn.XLOOKUP(BCurrAssets[[#This Row],[Account]],MD_Asset[Account Name],MD_Asset[Used])),_xlfn.XLOOKUP(BCurrAssets[[#This Row],[Account]],MD_Asset[Account Name],MD_Asset[Used]),0)</f>
        <v>0</v>
      </c>
      <c r="E19" s="421">
        <f>IF(BCurrAssets[[#This Row],[Used]]=1,BCurrAssets[[#This Row],[Used]]+SUM(D11:D18),0)</f>
        <v>0</v>
      </c>
      <c r="F19" s="419">
        <f>_xlfn.IFNA(_xlfn.XLOOKUP(C19,BegBalanceSheet_Assets[Account],BegBalanceSheet_Assets[Amount]),0)</f>
        <v>0</v>
      </c>
      <c r="G19" s="421"/>
      <c r="H19" s="224" cm="1">
        <f t="array" ref="H19">_xlfn.IFS(AND(IS_Expenses[[#This Row],[Used]]=1,IS_Expenses[[#This Row],[Order]]=1),6,AND(IS_Expenses[[#This Row],[Used]]=1,IS_Expenses[[#This Row],[Order]]&gt;1),7,IS_Expenses[[#This Row],[Used]]=0,8)</f>
        <v>6</v>
      </c>
      <c r="I19" t="s">
        <v>275</v>
      </c>
      <c r="J19" s="421">
        <f>IF(ISNUMBER(_xlfn.XLOOKUP(IS_Expenses[[#This Row],[Account]],MD_Expense[Account Name],MD_Expense[Used])),_xlfn.XLOOKUP(IS_Expenses[[#This Row],[Account]],MD_Expense[Account Name],MD_Expense[Used]),0)</f>
        <v>1</v>
      </c>
      <c r="K19" s="421">
        <f>IS_Expenses[[#This Row],[Used]]</f>
        <v>1</v>
      </c>
      <c r="L19" s="418">
        <f>SUMIFS(Journal[Dr Amt],Journal[Debit Account],I19,Journal[ref1],"&lt;&gt;CL")</f>
        <v>0</v>
      </c>
      <c r="M19" s="418">
        <f ca="1">SUMIFS(JournalAnswer[Dr Amt],JournalAnswer[Debit Account],I19,JournalAnswer[ref1],"&lt;&gt;CL")</f>
        <v>6</v>
      </c>
      <c r="N19" s="418" cm="1">
        <f t="array" aca="1" ref="N19" ca="1">IF(IS_Expenses[[#This Row],[Account]]&lt;&gt;"",_xlfn._xlws.FILTER(FSBuilder[Amount],FSBuilder[Account or Explanation]=IS_Expenses[[#This Row],[Account]],0),"")</f>
        <v>0</v>
      </c>
      <c r="O19" s="421">
        <f>IS_Expenses[[#This Row],[Used]]*(IS_Expenses[[#This Row],[AmtJournal]]&lt;&gt;0)</f>
        <v>0</v>
      </c>
      <c r="P19" s="421">
        <f ca="1">IS_Expenses[[#This Row],[Used]]*(IS_Expenses[[#This Row],[AmtAnswer]]&lt;&gt;0)</f>
        <v>1</v>
      </c>
      <c r="Q19" s="421">
        <f ca="1">IS_Expenses[[#This Row],[Used]]*(IS_Expenses[[#This Row],[AmtFSBuilder]]&lt;&gt;0)*Financial_Statement_Builder!$K$122</f>
        <v>0</v>
      </c>
      <c r="T19"/>
      <c r="W19" s="419">
        <f>SUMIFS(Journal[Cr Amt],Journal[ref1],"OCI",Journal[Credit Account],"Accumulated Other Comprehensive Income (Loss)")-SUMIFS(Journal[Dr Amt],Journal[ref1],"OCI",Journal[Debit Account],"Accumulated Other Comprehensive Income (Loss)")</f>
        <v>0</v>
      </c>
      <c r="X19" s="389">
        <f ca="1">SUMIFS(JournalAnswer[Cr Amt],JournalAnswer[ref1],"OCI",JournalAnswer[Credit Account],"Accumulated Other Comprehensive Income (Loss)")-SUMIFS(JournalAnswer[Dr Amt],JournalAnswer[ref1],"OCI",JournalAnswer[Debit Account],"Accumulated Other Comprehensive Income (Loss)")</f>
        <v>0</v>
      </c>
      <c r="Y19" s="389" t="str" cm="1">
        <f t="array" ref="Y19">IF(OCI[[#This Row],[Account]]&lt;&gt;"",_xlfn._xlws.FILTER(FSBuilder[Amount],FSBuilder[Account or Explanation]=OCI[[#This Row],[Account]],0),"")</f>
        <v/>
      </c>
      <c r="Z19" s="419">
        <f>OCI[[#This Row],[Used]]*(OCI[[#This Row],[AmtJournal]]&lt;&gt;0)</f>
        <v>0</v>
      </c>
      <c r="AA19" s="419">
        <f ca="1">OCI[[#This Row],[Used]]*(OCI[[#This Row],[AmtAnswer]]&lt;&gt;0)</f>
        <v>0</v>
      </c>
      <c r="AB19" s="419">
        <f>OCI[[#This Row],[Used]]*(OCI[[#This Row],[AmtFSBuilder]]&lt;&gt;0)</f>
        <v>0</v>
      </c>
      <c r="AE19" t="s">
        <v>841</v>
      </c>
      <c r="AF19" s="37">
        <f>SUMIFS(Journal[Cr Amt],Journal[ref1],"SBC",Journal[Credit Account],"Common Stock")</f>
        <v>0</v>
      </c>
      <c r="AG19" s="37">
        <f ca="1">SUMIFS(JournalAnswer[Cr Amt],JournalAnswer[ref1],"SBC",JournalAnswer[Credit Account],"Common Stock")</f>
        <v>0</v>
      </c>
      <c r="AP19" s="430" t="s">
        <v>968</v>
      </c>
      <c r="AQ19" s="430" t="s">
        <v>779</v>
      </c>
      <c r="AR19" s="430" t="s">
        <v>75</v>
      </c>
      <c r="AS19" s="528" t="s">
        <v>969</v>
      </c>
      <c r="AT19" s="430" t="s">
        <v>966</v>
      </c>
      <c r="AU19" s="430" t="s">
        <v>967</v>
      </c>
      <c r="AV19" s="430" t="s">
        <v>970</v>
      </c>
      <c r="AW19" s="430" t="s">
        <v>971</v>
      </c>
      <c r="AX19" s="430" t="s">
        <v>972</v>
      </c>
      <c r="AY19" s="430" t="s">
        <v>973</v>
      </c>
      <c r="AZ19"/>
      <c r="BA19" s="430" t="s">
        <v>968</v>
      </c>
      <c r="BB19" s="430" t="s">
        <v>779</v>
      </c>
      <c r="BC19" s="430" t="s">
        <v>75</v>
      </c>
      <c r="BD19" s="528" t="s">
        <v>969</v>
      </c>
      <c r="BE19" s="430" t="s">
        <v>966</v>
      </c>
      <c r="BF19" s="430" t="s">
        <v>967</v>
      </c>
      <c r="BG19" s="430" t="s">
        <v>970</v>
      </c>
      <c r="BH19" s="532" t="s">
        <v>971</v>
      </c>
      <c r="BI19" s="532" t="s">
        <v>972</v>
      </c>
      <c r="BJ19" s="532" t="s">
        <v>973</v>
      </c>
      <c r="BL19" s="224" cm="1">
        <f t="array" ref="BL19">_xlfn.IFS(AND(ECurrAssets[[#This Row],[Used]]=1,ECurrAssets[[#This Row],[Order]]=1),6,AND(ECurrAssets[[#This Row],[Used]]=1,ECurrAssets[[#This Row],[Order]]&gt;1),7,ECurrAssets[[#This Row],[Used]]=0,8)</f>
        <v>8</v>
      </c>
      <c r="BN19" s="421">
        <f>IF(ISNUMBER(_xlfn.XLOOKUP(ECurrAssets[[#This Row],[Account]],MD_Asset[Account Name],MD_Asset[Used])),_xlfn.XLOOKUP(ECurrAssets[[#This Row],[Account]],MD_Asset[Account Name],MD_Asset[Used]),0)</f>
        <v>0</v>
      </c>
      <c r="BO19" s="419">
        <f>IF(ECurrAssets[[#This Row],[Used]]=1,ECurrAssets[[#This Row],[Used]]+SUM(BN10:BN18),0)</f>
        <v>0</v>
      </c>
      <c r="BP19" s="419">
        <f>_xlfn.IFNA((_xlfn.XLOOKUP(ECurrAssets[[#This Row],[Account]],BegBalanceSheet_Assets[Account],BegBalanceSheet_Assets[Amount]))+SUMIF(Journal[Debit Account],ECurrAssets[[#This Row],[Account]],Journal[Dr Amt])-SUMIF(Journal[Credit Account],ECurrAssets[[#This Row],[Account]],Journal[Cr Amt]),0)</f>
        <v>0</v>
      </c>
      <c r="BQ19" s="419">
        <f>_xlfn.IFNA((_xlfn.XLOOKUP(ECurrAssets[[#This Row],[Account]],BegBalanceSheet_Assets[Account],BegBalanceSheet_Assets[Amount]))+SUMIF(JournalAnswer[Debit Account],ECurrAssets[[#This Row],[Account]],JournalAnswer[Dr Amt])-SUMIF(JournalAnswer[Credit Account],ECurrAssets[[#This Row],[Account]],JournalAnswer[Cr Amt]),0)</f>
        <v>0</v>
      </c>
      <c r="BR19" s="419" cm="1">
        <f t="array" ref="BR19">IF(ECurrAssets[[#This Row],[Account]]&lt;&gt;"",_xlfn._xlws.FILTER(FSBuilder[Amount],(FSBuilder[Account or Explanation]=ECurrAssets[[#This Row],[Account]])*(FSBuilder[Statement]="Ending Balance Sheet"),0),0)</f>
        <v>0</v>
      </c>
      <c r="BS19" s="445">
        <f>ECurrAssets[[#This Row],[Used]]*(ECurrAssets[[#This Row],[AmtJournal]]&lt;&gt;0)</f>
        <v>0</v>
      </c>
      <c r="BT19" s="445">
        <f>ECurrAssets[[#This Row],[Used]]*(ECurrAssets[[#This Row],[AmtAnswer]]&lt;&gt;0)</f>
        <v>0</v>
      </c>
      <c r="BU19" s="445">
        <f>ECurrAssets[[#This Row],[Used]]*(ECurrAssets[[#This Row],[AmtFSBuilder]]&lt;&gt;0)</f>
        <v>0</v>
      </c>
    </row>
    <row r="20" spans="2:73">
      <c r="B20" s="224" cm="1">
        <f t="array" ref="B20">_xlfn.IFS(AND(BCurrAssets[[#This Row],[Used]]=1,BCurrAssets[[#This Row],[Order]]=1),6,AND(BCurrAssets[[#This Row],[Used]]=1,BCurrAssets[[#This Row],[Order]]&gt;1),7,BCurrAssets[[#This Row],[Used]]=0,8)</f>
        <v>8</v>
      </c>
      <c r="D20" s="421">
        <f>IF(ISNUMBER(_xlfn.XLOOKUP(BCurrAssets[[#This Row],[Account]],MD_Asset[Account Name],MD_Asset[Used])),_xlfn.XLOOKUP(BCurrAssets[[#This Row],[Account]],MD_Asset[Account Name],MD_Asset[Used]),0)</f>
        <v>0</v>
      </c>
      <c r="E20" s="421">
        <f>IF(BCurrAssets[[#This Row],[Used]]=1,BCurrAssets[[#This Row],[Used]]+SUM(D11:D19),0)</f>
        <v>0</v>
      </c>
      <c r="F20" s="419">
        <f>_xlfn.IFNA(_xlfn.XLOOKUP(C20,BegBalanceSheet_Assets[Account],BegBalanceSheet_Assets[Amount]),0)</f>
        <v>0</v>
      </c>
      <c r="G20" s="421"/>
      <c r="H20" s="224" cm="1">
        <f t="array" ref="H20">_xlfn.IFS(AND(IS_Expenses[[#This Row],[Used]]=1,IS_Expenses[[#This Row],[Order]]=1),6,AND(IS_Expenses[[#This Row],[Used]]=1,IS_Expenses[[#This Row],[Order]]&gt;1),7,IS_Expenses[[#This Row],[Used]]=0,8)</f>
        <v>8</v>
      </c>
      <c r="I20" t="s">
        <v>278</v>
      </c>
      <c r="J20" s="421">
        <f>IF(ISNUMBER(_xlfn.XLOOKUP(IS_Expenses[[#This Row],[Account]],MD_Expense[Account Name],MD_Expense[Used])),_xlfn.XLOOKUP(IS_Expenses[[#This Row],[Account]],MD_Expense[Account Name],MD_Expense[Used]),0)</f>
        <v>0</v>
      </c>
      <c r="K20" s="421">
        <f>IF(IS_Expenses[[#This Row],[Used]]=1,IS_Expenses[[#This Row],[Used]]+J19,0)</f>
        <v>0</v>
      </c>
      <c r="L20" s="419"/>
      <c r="M20" s="419">
        <f>SUMIFS(JournalAnswer[Dr Amt],JournalAnswer[Debit Account],I20,JournalAnswer[ref1],"&lt;&gt;CL")</f>
        <v>0</v>
      </c>
      <c r="N20" s="419" cm="1">
        <f t="array" aca="1" ref="N20" ca="1">IF(IS_Expenses[[#This Row],[Account]]&lt;&gt;"",_xlfn._xlws.FILTER(FSBuilder[Amount],FSBuilder[Account or Explanation]=IS_Expenses[[#This Row],[Account]],0),"")</f>
        <v>0</v>
      </c>
      <c r="O20" s="421">
        <f>IS_Expenses[[#This Row],[Used]]*(IS_Expenses[[#This Row],[AmtJournal]]&lt;&gt;0)</f>
        <v>0</v>
      </c>
      <c r="P20" s="421">
        <f>IS_Expenses[[#This Row],[Used]]*(IS_Expenses[[#This Row],[AmtAnswer]]&lt;&gt;0)</f>
        <v>0</v>
      </c>
      <c r="Q20" s="421">
        <f ca="1">IS_Expenses[[#This Row],[Used]]*(IS_Expenses[[#This Row],[AmtFSBuilder]]&lt;&gt;0)*Financial_Statement_Builder!$K$122</f>
        <v>0</v>
      </c>
      <c r="AE20" t="s">
        <v>988</v>
      </c>
      <c r="AF20" s="37">
        <f>SUMIFS(Journal[Cr Amt],Journal[ref1],"SBC",Journal[Credit Account],"Additional Paid-in Capital")</f>
        <v>0</v>
      </c>
      <c r="AG20" s="37">
        <f ca="1">SUMIFS(JournalAnswer[Cr Amt],JournalAnswer[ref1],"SBC",JournalAnswer[Credit Account],"Additional Paid-in Capital")</f>
        <v>0</v>
      </c>
      <c r="AP20" s="224" cm="1">
        <f t="array" ref="AP20">_xlfn.IFS(AND(CFS_CFI[[#This Row],[Used]]=1,CFS_CFI[[#This Row],[Order]]=1),6,AND(CFS_CFI[[#This Row],[Used]]=1,CFS_CFI[[#This Row],[Order]]&gt;1),7,CFS_CFI[[#This Row],[Used]]=0,8)</f>
        <v>8</v>
      </c>
      <c r="AQ20" t="s">
        <v>989</v>
      </c>
      <c r="AR20" s="421">
        <f>IF(ABS(CFS_CFI[[#This Row],[AmtJournal]])&gt;0,1,0)</f>
        <v>0</v>
      </c>
      <c r="AS20" s="421">
        <f>CFS_CFI[[#This Row],[Used]]</f>
        <v>0</v>
      </c>
      <c r="AT20" s="401">
        <f>SUMIFS(Journal[Dr Amt],Journal[ref1],"SPPE",Journal[Debit Account],"Cash")</f>
        <v>0</v>
      </c>
      <c r="AU20" s="401">
        <f ca="1">SUMIFS(JournalAnswer[Dr Amt],JournalAnswer[ref1],"SPPE",JournalAnswer[Debit Account],"Cash")</f>
        <v>0</v>
      </c>
      <c r="AV20" s="401" cm="1">
        <f t="array" aca="1" ref="AV20" ca="1">IF(CFS_CFI[[#This Row],[Account]]&lt;&gt;"",_xlfn._xlws.FILTER(FSBuilder[Amount],FSBuilder[Account or Explanation]=CFS_CFI[[#This Row],[Account]],0),"")</f>
        <v>0</v>
      </c>
      <c r="AW20" s="421">
        <f>IF(CFS_CFI[[#This Row],[AmtJournal]]&lt;&gt;0,1,0)</f>
        <v>0</v>
      </c>
      <c r="AX20" s="421">
        <f ca="1">IF(CFS_CFI[[#This Row],[AmtAnswer]]&lt;&gt;0,1,0)</f>
        <v>0</v>
      </c>
      <c r="AY20" s="421">
        <f ca="1">IF(CFS_CFI[[#This Row],[AmtFSBuilder]]&lt;&gt;0,1,0)</f>
        <v>0</v>
      </c>
      <c r="AZ20"/>
      <c r="BA20" s="224">
        <f>IF(NI_CFO_Recon_Losses[[#This Row],[Used]]=1,7,8)</f>
        <v>8</v>
      </c>
      <c r="BB20" t="s">
        <v>326</v>
      </c>
      <c r="BC20" s="421">
        <f>IF(ABS(NI_CFO_Recon_Losses[[#This Row],[AmtJournal]])&gt;0,1,0)</f>
        <v>0</v>
      </c>
      <c r="BD20" s="445">
        <f>NI_CFO_Recon_Losses[[#This Row],[Used]]</f>
        <v>0</v>
      </c>
      <c r="BE20" s="400">
        <f>SUMIF(Journal[Debit Account],BB20,Journal[Dr Amt])</f>
        <v>0</v>
      </c>
      <c r="BF20" s="536">
        <f>SUMIF(JournalAnswer[Debit Account],#REF!,JournalAnswer[Dr Amt])</f>
        <v>0</v>
      </c>
      <c r="BG20" s="536" cm="1">
        <f t="array" aca="1" ref="BG20" ca="1">IF(NI_CFO_Recon_Losses[[#This Row],[Account]]&lt;&gt;"",_xlfn._xlws.FILTER(FSBuilder[Amount],(FSBuilder[Account or Explanation]=NI_CFO_Recon_Losses[[#This Row],[Account]])*(FSBuilder[Statement]="Cash Flow Statement"),0),0)</f>
        <v>0</v>
      </c>
      <c r="BH20" s="555">
        <f>IF(ABS(NI_CFO_Recon_Losses[[#This Row],[AmtJournal]])&gt;0,1,0)</f>
        <v>0</v>
      </c>
      <c r="BI20" s="555">
        <f>IF(ABS(NI_CFO_Recon_Losses[[#This Row],[AmtAnswer]])&gt;0,1,0)</f>
        <v>0</v>
      </c>
      <c r="BJ20" s="555">
        <f ca="1">IF(ABS(NI_CFO_Recon_Losses[[#This Row],[AmtFSBuilder]])&gt;0,1,0)</f>
        <v>0</v>
      </c>
      <c r="BL20" s="224">
        <v>5</v>
      </c>
      <c r="BM20" t="s">
        <v>852</v>
      </c>
      <c r="BN20" s="421"/>
      <c r="BO20" s="421"/>
      <c r="BP20" s="418">
        <f>SUBTOTAL(9,BP10:BP19)</f>
        <v>0</v>
      </c>
      <c r="BQ20" s="418">
        <f>SUBTOTAL(9,BQ10:BQ19)</f>
        <v>179</v>
      </c>
      <c r="BR20" s="418">
        <f ca="1">SUBTOTAL(9,BR10:BR19)</f>
        <v>0</v>
      </c>
      <c r="BS20" s="445"/>
      <c r="BT20" s="445"/>
      <c r="BU20" s="445"/>
    </row>
    <row r="21" spans="2:73">
      <c r="B21" s="224">
        <v>5</v>
      </c>
      <c r="C21" t="s">
        <v>852</v>
      </c>
      <c r="D21" s="421"/>
      <c r="E21" s="421"/>
      <c r="F21" s="418">
        <f>SUBTOTAL(9,F11:F20)</f>
        <v>0</v>
      </c>
      <c r="G21" s="418"/>
      <c r="H21" s="224" cm="1">
        <f t="array" ref="H21">_xlfn.IFS(AND(IS_Expenses[[#This Row],[Used]]=1,IS_Expenses[[#This Row],[Order]]=1),6,AND(IS_Expenses[[#This Row],[Used]]=1,IS_Expenses[[#This Row],[Order]]&gt;1),7,IS_Expenses[[#This Row],[Used]]=0,8)</f>
        <v>8</v>
      </c>
      <c r="I21" t="s">
        <v>281</v>
      </c>
      <c r="J21" s="421">
        <f>IF(ISNUMBER(_xlfn.XLOOKUP(IS_Expenses[[#This Row],[Account]],MD_Expense[Account Name],MD_Expense[Used])),_xlfn.XLOOKUP(IS_Expenses[[#This Row],[Account]],MD_Expense[Account Name],MD_Expense[Used]),0)</f>
        <v>0</v>
      </c>
      <c r="K21" s="421">
        <f>IF(IS_Expenses[[#This Row],[Used]]=1,IS_Expenses[[#This Row],[Used]]+SUM(J19:J20),0)</f>
        <v>0</v>
      </c>
      <c r="L21" s="419">
        <f>SUMIFS(Journal[Dr Amt],Journal[Debit Account],I21,Journal[ref1],"&lt;&gt;CL")</f>
        <v>0</v>
      </c>
      <c r="M21" s="419">
        <f>SUMIFS(JournalAnswer[Dr Amt],JournalAnswer[Debit Account],I21,JournalAnswer[ref1],"&lt;&gt;CL")</f>
        <v>0</v>
      </c>
      <c r="N21" s="419" cm="1">
        <f t="array" aca="1" ref="N21" ca="1">IF(IS_Expenses[[#This Row],[Account]]&lt;&gt;"",_xlfn._xlws.FILTER(FSBuilder[Amount],FSBuilder[Account or Explanation]=IS_Expenses[[#This Row],[Account]],0),"")</f>
        <v>0</v>
      </c>
      <c r="O21" s="421">
        <f>IS_Expenses[[#This Row],[Used]]*(IS_Expenses[[#This Row],[AmtJournal]]&lt;&gt;0)</f>
        <v>0</v>
      </c>
      <c r="P21" s="421">
        <f>IS_Expenses[[#This Row],[Used]]*(IS_Expenses[[#This Row],[AmtAnswer]]&lt;&gt;0)</f>
        <v>0</v>
      </c>
      <c r="Q21" s="421">
        <f ca="1">IS_Expenses[[#This Row],[Used]]*(IS_Expenses[[#This Row],[AmtFSBuilder]]&lt;&gt;0)*Financial_Statement_Builder!$K$122</f>
        <v>0</v>
      </c>
      <c r="S21" s="423">
        <v>3</v>
      </c>
      <c r="T21" s="423" t="s">
        <v>863</v>
      </c>
      <c r="W21" s="432">
        <f>L54+SUM(OCI[AmtJournal])</f>
        <v>0</v>
      </c>
      <c r="X21" s="432">
        <f ca="1">M54+SUM(OCI[AmtJournal])</f>
        <v>12</v>
      </c>
      <c r="Y21" s="432">
        <f ca="1">N54+SUM(OCI[AmtJournal])</f>
        <v>0</v>
      </c>
      <c r="Z21" s="432"/>
      <c r="AA21" s="432"/>
      <c r="AB21" s="432"/>
      <c r="AF21" s="37"/>
      <c r="AG21" s="37"/>
      <c r="AP21" s="224" cm="1">
        <f t="array" ref="AP21">_xlfn.IFS(AND(CFS_CFI[[#This Row],[Used]]=1,CFS_CFI[[#This Row],[Order]]=1),6,AND(CFS_CFI[[#This Row],[Used]]=1,CFS_CFI[[#This Row],[Order]]&gt;1),7,CFS_CFI[[#This Row],[Used]]=0,8)</f>
        <v>8</v>
      </c>
      <c r="AQ21" t="s">
        <v>990</v>
      </c>
      <c r="AR21" s="421">
        <f>IF(ABS(CFS_CFI[[#This Row],[AmtJournal]])&gt;0,1,0)</f>
        <v>0</v>
      </c>
      <c r="AS21" s="421">
        <f>IF(CFS_CFI[[#This Row],[Used]]&gt;0,CFS_CFI[[#This Row],[Used]]+AR20,0)</f>
        <v>0</v>
      </c>
      <c r="AT21" s="417">
        <f>SUMIFS(Journal[Dr Amt],Journal[ref1],"SBU",Journal[Debit Account],"Cash")</f>
        <v>0</v>
      </c>
      <c r="AU21" s="417">
        <f ca="1">SUMIFS(JournalAnswer[Dr Amt],JournalAnswer[ref1],"SBU",JournalAnswer[Debit Account],"Cash")</f>
        <v>0</v>
      </c>
      <c r="AV21" s="417" cm="1">
        <f t="array" aca="1" ref="AV21" ca="1">IF(CFS_CFI[[#This Row],[Account]]&lt;&gt;"",_xlfn._xlws.FILTER(FSBuilder[Amount],FSBuilder[Account or Explanation]=CFS_CFI[[#This Row],[Account]],0),"")</f>
        <v>0</v>
      </c>
      <c r="AW21" s="421">
        <f>IF(CFS_CFI[[#This Row],[AmtJournal]]&lt;&gt;0,1,0)</f>
        <v>0</v>
      </c>
      <c r="AX21" s="421">
        <f ca="1">IF(CFS_CFI[[#This Row],[AmtAnswer]]&lt;&gt;0,1,0)</f>
        <v>0</v>
      </c>
      <c r="AY21" s="421">
        <f ca="1">IF(CFS_CFI[[#This Row],[AmtFSBuilder]]&lt;&gt;0,1,0)</f>
        <v>0</v>
      </c>
      <c r="AZ21"/>
      <c r="BA21" s="224">
        <f>IF(NI_CFO_Recon_Losses[[#This Row],[Used]]=1,7,8)</f>
        <v>8</v>
      </c>
      <c r="BB21" t="s">
        <v>329</v>
      </c>
      <c r="BC21" s="421">
        <f>IF(ABS(NI_CFO_Recon_Losses[[#This Row],[AmtJournal]])&gt;0,1,0)</f>
        <v>0</v>
      </c>
      <c r="BD21" s="445">
        <f>NI_CFO_Recon_Losses[[#This Row],[Used]]+BC20</f>
        <v>0</v>
      </c>
      <c r="BE21" s="400">
        <f>SUMIF(Journal[Debit Account],BB21,Journal[Dr Amt])</f>
        <v>0</v>
      </c>
      <c r="BF21" s="536">
        <f>SUMIF(JournalAnswer[Debit Account],#REF!,JournalAnswer[Dr Amt])</f>
        <v>0</v>
      </c>
      <c r="BG21" s="536" cm="1">
        <f t="array" aca="1" ref="BG21" ca="1">IF(NI_CFO_Recon_Losses[[#This Row],[Account]]&lt;&gt;"",_xlfn._xlws.FILTER(FSBuilder[Amount],(FSBuilder[Account or Explanation]=NI_CFO_Recon_Losses[[#This Row],[Account]])*(FSBuilder[Statement]="Cash Flow Statement"),0),0)</f>
        <v>0</v>
      </c>
      <c r="BH21" s="555">
        <f>IF(ABS(NI_CFO_Recon_Losses[[#This Row],[AmtJournal]])&gt;0,1,0)</f>
        <v>0</v>
      </c>
      <c r="BI21" s="555">
        <f>IF(ABS(NI_CFO_Recon_Losses[[#This Row],[AmtAnswer]])&gt;0,1,0)</f>
        <v>0</v>
      </c>
      <c r="BJ21" s="555">
        <f ca="1">IF(ABS(NI_CFO_Recon_Losses[[#This Row],[AmtFSBuilder]])&gt;0,1,0)</f>
        <v>0</v>
      </c>
      <c r="BN21" s="418"/>
      <c r="BO21" s="418"/>
      <c r="BP21" s="418"/>
    </row>
    <row r="22" spans="2:73">
      <c r="D22" s="418"/>
      <c r="E22" s="418"/>
      <c r="F22" s="418"/>
      <c r="G22" s="418"/>
      <c r="H22" s="224" cm="1">
        <f t="array" ref="H22">_xlfn.IFS(AND(IS_Expenses[[#This Row],[Used]]=1,IS_Expenses[[#This Row],[Order]]=1),6,AND(IS_Expenses[[#This Row],[Used]]=1,IS_Expenses[[#This Row],[Order]]&gt;1),7,IS_Expenses[[#This Row],[Used]]=0,8)</f>
        <v>8</v>
      </c>
      <c r="I22" t="s">
        <v>284</v>
      </c>
      <c r="J22" s="421">
        <f>IF(ISNUMBER(_xlfn.XLOOKUP(IS_Expenses[[#This Row],[Account]],MD_Expense[Account Name],MD_Expense[Used])),_xlfn.XLOOKUP(IS_Expenses[[#This Row],[Account]],MD_Expense[Account Name],MD_Expense[Used]),0)</f>
        <v>0</v>
      </c>
      <c r="K22" s="421">
        <f>IF(IS_Expenses[[#This Row],[Used]]=1,IS_Expenses[[#This Row],[Used]]+SUM(J19:J21),0)</f>
        <v>0</v>
      </c>
      <c r="L22" s="419">
        <f>SUMIFS(Journal[Dr Amt],Journal[Debit Account],I22,Journal[ref1],"&lt;&gt;CL")</f>
        <v>0</v>
      </c>
      <c r="M22" s="419">
        <f>SUMIFS(JournalAnswer[Dr Amt],JournalAnswer[Debit Account],I22,JournalAnswer[ref1],"&lt;&gt;CL")</f>
        <v>0</v>
      </c>
      <c r="N22" s="419" cm="1">
        <f t="array" aca="1" ref="N22" ca="1">IF(IS_Expenses[[#This Row],[Account]]&lt;&gt;"",_xlfn._xlws.FILTER(FSBuilder[Amount],FSBuilder[Account or Explanation]=IS_Expenses[[#This Row],[Account]],0),"")</f>
        <v>0</v>
      </c>
      <c r="O22" s="421">
        <f>IS_Expenses[[#This Row],[Used]]*(IS_Expenses[[#This Row],[AmtJournal]]&lt;&gt;0)</f>
        <v>0</v>
      </c>
      <c r="P22" s="421">
        <f>IS_Expenses[[#This Row],[Used]]*(IS_Expenses[[#This Row],[AmtAnswer]]&lt;&gt;0)</f>
        <v>0</v>
      </c>
      <c r="Q22" s="421">
        <f ca="1">IS_Expenses[[#This Row],[Used]]*(IS_Expenses[[#This Row],[AmtFSBuilder]]&lt;&gt;0)*Financial_Statement_Builder!$K$122</f>
        <v>0</v>
      </c>
      <c r="T22" s="224" t="s">
        <v>862</v>
      </c>
      <c r="W22" s="553">
        <f>L54</f>
        <v>0</v>
      </c>
      <c r="X22" s="553">
        <f t="shared" ref="X22:Y22" ca="1" si="2">M54</f>
        <v>12</v>
      </c>
      <c r="Y22" s="553">
        <f t="shared" ca="1" si="2"/>
        <v>0</v>
      </c>
      <c r="AP22" s="224" cm="1">
        <f t="array" ref="AP22">_xlfn.IFS(AND(CFS_CFI[[#This Row],[Used]]=1,CFS_CFI[[#This Row],[Order]]=1),6,AND(CFS_CFI[[#This Row],[Used]]=1,CFS_CFI[[#This Row],[Order]]&gt;1),7,CFS_CFI[[#This Row],[Used]]=0,8)</f>
        <v>8</v>
      </c>
      <c r="AQ22" t="s">
        <v>991</v>
      </c>
      <c r="AR22" s="421">
        <f>IF(ABS(CFS_CFI[[#This Row],[AmtJournal]])&gt;0,1,0)</f>
        <v>0</v>
      </c>
      <c r="AS22" s="421">
        <f>IF(CFS_CFI[[#This Row],[Used]]=1,CFS_CFI[[#This Row],[Used]]+SUM(AR20:AR21),0)</f>
        <v>0</v>
      </c>
      <c r="AT22" s="417">
        <f>SUMIFS(Journal[Dr Amt],Journal[ref1],"SMS",Journal[Debit Account],"Cash")</f>
        <v>0</v>
      </c>
      <c r="AU22" s="417">
        <f ca="1">SUMIFS(JournalAnswer[Dr Amt],JournalAnswer[ref1],"SMS",JournalAnswer[Debit Account],"Cash")</f>
        <v>0</v>
      </c>
      <c r="AV22" s="417" cm="1">
        <f t="array" aca="1" ref="AV22" ca="1">IF(CFS_CFI[[#This Row],[Account]]&lt;&gt;"",_xlfn._xlws.FILTER(FSBuilder[Amount],FSBuilder[Account or Explanation]=CFS_CFI[[#This Row],[Account]],0),"")</f>
        <v>0</v>
      </c>
      <c r="AW22" s="421">
        <f>IF(CFS_CFI[[#This Row],[AmtJournal]]&lt;&gt;0,1,0)</f>
        <v>0</v>
      </c>
      <c r="AX22" s="421">
        <f ca="1">IF(CFS_CFI[[#This Row],[AmtAnswer]]&lt;&gt;0,1,0)</f>
        <v>0</v>
      </c>
      <c r="AY22" s="421">
        <f ca="1">IF(CFS_CFI[[#This Row],[AmtFSBuilder]]&lt;&gt;0,1,0)</f>
        <v>0</v>
      </c>
      <c r="AZ22"/>
      <c r="BA22" s="224">
        <f>IF(NI_CFO_Recon_Losses[[#This Row],[Used]]=1,7,8)</f>
        <v>8</v>
      </c>
      <c r="BB22" t="s">
        <v>332</v>
      </c>
      <c r="BC22" s="421">
        <f>IF(ABS(NI_CFO_Recon_Losses[[#This Row],[AmtJournal]])&gt;0,1,0)</f>
        <v>0</v>
      </c>
      <c r="BD22" s="445">
        <f>NI_CFO_Recon_Losses[[#This Row],[Used]]+SUM(BC20:BC21)</f>
        <v>0</v>
      </c>
      <c r="BE22" s="400">
        <f>SUMIF(Journal[Debit Account],BB22,Journal[Dr Amt])</f>
        <v>0</v>
      </c>
      <c r="BF22" s="536">
        <f>SUMIF(JournalAnswer[Debit Account],#REF!,JournalAnswer[Dr Amt])</f>
        <v>0</v>
      </c>
      <c r="BG22" s="536" cm="1">
        <f t="array" aca="1" ref="BG22" ca="1">IF(NI_CFO_Recon_Losses[[#This Row],[Account]]&lt;&gt;"",_xlfn._xlws.FILTER(FSBuilder[Amount],(FSBuilder[Account or Explanation]=NI_CFO_Recon_Losses[[#This Row],[Account]])*(FSBuilder[Statement]="Cash Flow Statement"),0),0)</f>
        <v>0</v>
      </c>
      <c r="BH22" s="555">
        <f>IF(ABS(NI_CFO_Recon_Losses[[#This Row],[AmtJournal]])&gt;0,1,0)</f>
        <v>0</v>
      </c>
      <c r="BI22" s="555">
        <f>IF(ABS(NI_CFO_Recon_Losses[[#This Row],[AmtAnswer]])&gt;0,1,0)</f>
        <v>0</v>
      </c>
      <c r="BJ22" s="555">
        <f ca="1">IF(ABS(NI_CFO_Recon_Losses[[#This Row],[AmtFSBuilder]])&gt;0,1,0)</f>
        <v>0</v>
      </c>
      <c r="BK22" s="400"/>
      <c r="BL22" s="5" t="s">
        <v>888</v>
      </c>
      <c r="BN22" s="418"/>
      <c r="BO22" s="418"/>
      <c r="BP22" s="418"/>
    </row>
    <row r="23" spans="2:73">
      <c r="B23" s="5" t="s">
        <v>888</v>
      </c>
      <c r="D23" s="418"/>
      <c r="E23" s="418"/>
      <c r="F23" s="418"/>
      <c r="G23" s="420"/>
      <c r="H23" s="224" cm="1">
        <f t="array" ref="H23">_xlfn.IFS(AND(IS_Expenses[[#This Row],[Used]]=1,IS_Expenses[[#This Row],[Order]]=1),6,AND(IS_Expenses[[#This Row],[Used]]=1,IS_Expenses[[#This Row],[Order]]&gt;1),7,IS_Expenses[[#This Row],[Used]]=0,8)</f>
        <v>8</v>
      </c>
      <c r="I23" t="s">
        <v>287</v>
      </c>
      <c r="J23" s="421">
        <f>IF(ISNUMBER(_xlfn.XLOOKUP(IS_Expenses[[#This Row],[Account]],MD_Expense[Account Name],MD_Expense[Used])),_xlfn.XLOOKUP(IS_Expenses[[#This Row],[Account]],MD_Expense[Account Name],MD_Expense[Used]),0)</f>
        <v>0</v>
      </c>
      <c r="K23" s="421">
        <f>IF(IS_Expenses[[#This Row],[Used]]=1,IS_Expenses[[#This Row],[Used]]+SUM(J19:J22),0)</f>
        <v>0</v>
      </c>
      <c r="L23" s="419">
        <f>SUMIFS(Journal[Dr Amt],Journal[Debit Account],I23,Journal[ref1],"&lt;&gt;CL")</f>
        <v>0</v>
      </c>
      <c r="M23" s="419">
        <f>SUMIFS(JournalAnswer[Dr Amt],JournalAnswer[Debit Account],I23,JournalAnswer[ref1],"&lt;&gt;CL")</f>
        <v>0</v>
      </c>
      <c r="N23" s="419" cm="1">
        <f t="array" aca="1" ref="N23" ca="1">IF(IS_Expenses[[#This Row],[Account]]&lt;&gt;"",_xlfn._xlws.FILTER(FSBuilder[Amount],FSBuilder[Account or Explanation]=IS_Expenses[[#This Row],[Account]],0),"")</f>
        <v>0</v>
      </c>
      <c r="O23" s="421">
        <f>IS_Expenses[[#This Row],[Used]]*(IS_Expenses[[#This Row],[AmtJournal]]&lt;&gt;0)</f>
        <v>0</v>
      </c>
      <c r="P23" s="421">
        <f>IS_Expenses[[#This Row],[Used]]*(IS_Expenses[[#This Row],[AmtAnswer]]&lt;&gt;0)</f>
        <v>0</v>
      </c>
      <c r="Q23" s="421">
        <f ca="1">IS_Expenses[[#This Row],[Used]]*(IS_Expenses[[#This Row],[AmtFSBuilder]]&lt;&gt;0)*Financial_Statement_Builder!$K$122</f>
        <v>0</v>
      </c>
      <c r="T23" s="423" t="s">
        <v>430</v>
      </c>
      <c r="U23" s="423"/>
      <c r="V23" s="423"/>
      <c r="W23" s="432">
        <f>W21-W22</f>
        <v>0</v>
      </c>
      <c r="X23" s="432">
        <f t="shared" ref="X23:Y23" ca="1" si="3">X21-X22</f>
        <v>0</v>
      </c>
      <c r="Y23" s="432">
        <f t="shared" ca="1" si="3"/>
        <v>0</v>
      </c>
      <c r="AP23" s="224" cm="1">
        <f t="array" ref="AP23">_xlfn.IFS(AND(CFS_CFI[[#This Row],[Used]]=1,CFS_CFI[[#This Row],[Order]]=1),6,AND(CFS_CFI[[#This Row],[Used]]=1,CFS_CFI[[#This Row],[Order]]&gt;1),7,CFS_CFI[[#This Row],[Used]]=0,8)</f>
        <v>8</v>
      </c>
      <c r="AQ23" t="s">
        <v>992</v>
      </c>
      <c r="AR23" s="421">
        <f>IF(ABS(CFS_CFI[[#This Row],[AmtJournal]])&gt;0,1,0)</f>
        <v>0</v>
      </c>
      <c r="AS23" s="421">
        <f>IF(CFS_CFI[[#This Row],[Used]]=1,CFS_CFI[[#This Row],[Used]]+SUM(AR20:AR22),0)</f>
        <v>0</v>
      </c>
      <c r="AT23" s="417">
        <f>SUMIFS(Journal[Dr Amt],Journal[ref1],"SOA",Journal[Debit Account],"Cash")</f>
        <v>0</v>
      </c>
      <c r="AU23" s="417">
        <f ca="1">SUMIFS(JournalAnswer[Dr Amt],JournalAnswer[ref1],"SOA",JournalAnswer[Debit Account],"Cash")</f>
        <v>0</v>
      </c>
      <c r="AV23" s="417" cm="1">
        <f t="array" aca="1" ref="AV23" ca="1">IF(CFS_CFI[[#This Row],[Account]]&lt;&gt;"",_xlfn._xlws.FILTER(FSBuilder[Amount],FSBuilder[Account or Explanation]=CFS_CFI[[#This Row],[Account]],0),"")</f>
        <v>0</v>
      </c>
      <c r="AW23" s="421">
        <f>IF(CFS_CFI[[#This Row],[AmtJournal]]&lt;&gt;0,1,0)</f>
        <v>0</v>
      </c>
      <c r="AX23" s="421">
        <f ca="1">IF(CFS_CFI[[#This Row],[AmtAnswer]]&lt;&gt;0,1,0)</f>
        <v>0</v>
      </c>
      <c r="AY23" s="421">
        <f ca="1">IF(CFS_CFI[[#This Row],[AmtFSBuilder]]&lt;&gt;0,1,0)</f>
        <v>0</v>
      </c>
      <c r="AZ23"/>
      <c r="BA23" s="224">
        <f>IF(NI_CFO_Recon_Losses[[#This Row],[Used]]=1,7,8)</f>
        <v>8</v>
      </c>
      <c r="BB23" t="s">
        <v>335</v>
      </c>
      <c r="BC23" s="421">
        <f>IF(ABS(NI_CFO_Recon_Losses[[#This Row],[AmtJournal]])&gt;0,1,0)</f>
        <v>0</v>
      </c>
      <c r="BD23" s="445">
        <f>NI_CFO_Recon_Losses[[#This Row],[Used]]+SUM(BC20:BC22)</f>
        <v>0</v>
      </c>
      <c r="BE23" s="400">
        <f>SUMIF(Journal[Debit Account],BB23,Journal[Dr Amt])</f>
        <v>0</v>
      </c>
      <c r="BF23" s="536">
        <f>SUMIF(JournalAnswer[Debit Account],#REF!,JournalAnswer[Dr Amt])</f>
        <v>0</v>
      </c>
      <c r="BG23" s="536" cm="1">
        <f t="array" aca="1" ref="BG23" ca="1">IF(NI_CFO_Recon_Losses[[#This Row],[Account]]&lt;&gt;"",_xlfn._xlws.FILTER(FSBuilder[Amount],(FSBuilder[Account or Explanation]=NI_CFO_Recon_Losses[[#This Row],[Account]])*(FSBuilder[Statement]="Cash Flow Statement"),0),0)</f>
        <v>0</v>
      </c>
      <c r="BH23" s="555">
        <f>IF(ABS(NI_CFO_Recon_Losses[[#This Row],[AmtJournal]])&gt;0,1,0)</f>
        <v>0</v>
      </c>
      <c r="BI23" s="555">
        <f>IF(ABS(NI_CFO_Recon_Losses[[#This Row],[AmtAnswer]])&gt;0,1,0)</f>
        <v>0</v>
      </c>
      <c r="BJ23" s="555">
        <f ca="1">IF(ABS(NI_CFO_Recon_Losses[[#This Row],[AmtFSBuilder]])&gt;0,1,0)</f>
        <v>0</v>
      </c>
      <c r="BK23" s="400"/>
      <c r="BL23" s="430" t="s">
        <v>968</v>
      </c>
      <c r="BM23" s="430" t="s">
        <v>779</v>
      </c>
      <c r="BN23" s="430" t="s">
        <v>75</v>
      </c>
      <c r="BO23" s="528" t="s">
        <v>969</v>
      </c>
      <c r="BP23" s="430" t="s">
        <v>966</v>
      </c>
      <c r="BQ23" s="430" t="s">
        <v>967</v>
      </c>
      <c r="BR23" s="430" t="s">
        <v>970</v>
      </c>
      <c r="BS23" s="532" t="s">
        <v>971</v>
      </c>
      <c r="BT23" s="532" t="s">
        <v>972</v>
      </c>
      <c r="BU23" s="532" t="s">
        <v>973</v>
      </c>
    </row>
    <row r="24" spans="2:73">
      <c r="B24" s="1" t="s">
        <v>968</v>
      </c>
      <c r="C24" s="1" t="s">
        <v>779</v>
      </c>
      <c r="D24" s="420" t="s">
        <v>75</v>
      </c>
      <c r="E24" s="420" t="s">
        <v>969</v>
      </c>
      <c r="F24" s="420" t="s">
        <v>976</v>
      </c>
      <c r="G24" s="421"/>
      <c r="H24" s="224" cm="1">
        <f t="array" ref="H24">_xlfn.IFS(AND(IS_Expenses[[#This Row],[Used]]=1,IS_Expenses[[#This Row],[Order]]=1),6,AND(IS_Expenses[[#This Row],[Used]]=1,IS_Expenses[[#This Row],[Order]]&gt;1),7,IS_Expenses[[#This Row],[Used]]=0,8)</f>
        <v>8</v>
      </c>
      <c r="I24" t="s">
        <v>290</v>
      </c>
      <c r="J24" s="421">
        <f>IF(ISNUMBER(_xlfn.XLOOKUP(IS_Expenses[[#This Row],[Account]],MD_Expense[Account Name],MD_Expense[Used])),_xlfn.XLOOKUP(IS_Expenses[[#This Row],[Account]],MD_Expense[Account Name],MD_Expense[Used]),0)</f>
        <v>0</v>
      </c>
      <c r="K24" s="421">
        <f>IF(IS_Expenses[[#This Row],[Used]]=1,IS_Expenses[[#This Row],[Used]]+SUM(J19:J24),0)</f>
        <v>0</v>
      </c>
      <c r="L24" s="419">
        <f>SUMIFS(Journal[Dr Amt],Journal[Debit Account],I24,Journal[ref1],"&lt;&gt;CL")</f>
        <v>0</v>
      </c>
      <c r="M24" s="419">
        <f>SUMIFS(JournalAnswer[Dr Amt],JournalAnswer[Debit Account],I24,JournalAnswer[ref1],"&lt;&gt;CL")</f>
        <v>0</v>
      </c>
      <c r="N24" s="419" cm="1">
        <f t="array" aca="1" ref="N24" ca="1">IF(IS_Expenses[[#This Row],[Account]]&lt;&gt;"",_xlfn._xlws.FILTER(FSBuilder[Amount],FSBuilder[Account or Explanation]=IS_Expenses[[#This Row],[Account]],0),"")</f>
        <v>0</v>
      </c>
      <c r="O24" s="421">
        <f>IS_Expenses[[#This Row],[Used]]*(IS_Expenses[[#This Row],[AmtJournal]]&lt;&gt;0)</f>
        <v>0</v>
      </c>
      <c r="P24" s="421">
        <f>IS_Expenses[[#This Row],[Used]]*(IS_Expenses[[#This Row],[AmtAnswer]]&lt;&gt;0)</f>
        <v>0</v>
      </c>
      <c r="Q24" s="421">
        <f ca="1">IS_Expenses[[#This Row],[Used]]*(IS_Expenses[[#This Row],[AmtFSBuilder]]&lt;&gt;0)*Financial_Statement_Builder!$K$122</f>
        <v>0</v>
      </c>
      <c r="U24" s="540" cm="1">
        <f t="array" aca="1" ref="U24:U33" ca="1">OCI[AmtAnswer]</f>
        <v>0</v>
      </c>
      <c r="AP24" s="224" cm="1">
        <f t="array" ref="AP24">_xlfn.IFS(AND(CFS_CFI[[#This Row],[Used]]=1,CFS_CFI[[#This Row],[Order]]=1),6,AND(CFS_CFI[[#This Row],[Used]]=1,CFS_CFI[[#This Row],[Order]]&gt;1),7,CFS_CFI[[#This Row],[Used]]=0,8)</f>
        <v>8</v>
      </c>
      <c r="AQ24" t="s">
        <v>993</v>
      </c>
      <c r="AR24" s="421">
        <f>IF(ABS(CFS_CFI[[#This Row],[AmtJournal]])&gt;0,1,0)</f>
        <v>0</v>
      </c>
      <c r="AS24" s="421">
        <f>IF(CFS_CFI[[#This Row],[Used]]=1,CFS_CFI[[#This Row],[Used]]+SUM(AR20:AR23),0)</f>
        <v>0</v>
      </c>
      <c r="AT24" s="417">
        <f>SUMIFS(Journal[Dr Amt],Journal[ref1],"SINT",Journal[Debit Account],"Cash")</f>
        <v>0</v>
      </c>
      <c r="AU24" s="417">
        <f ca="1">SUMIFS(JournalAnswer[Dr Amt],JournalAnswer[ref1],"SINT",JournalAnswer[Debit Account],"Cash")</f>
        <v>0</v>
      </c>
      <c r="AV24" s="417" cm="1">
        <f t="array" aca="1" ref="AV24" ca="1">IF(CFS_CFI[[#This Row],[Account]]&lt;&gt;"",_xlfn._xlws.FILTER(FSBuilder[Amount],FSBuilder[Account or Explanation]=CFS_CFI[[#This Row],[Account]],0),"")</f>
        <v>0</v>
      </c>
      <c r="AW24" s="421">
        <f>IF(CFS_CFI[[#This Row],[AmtJournal]]&lt;&gt;0,1,0)</f>
        <v>0</v>
      </c>
      <c r="AX24" s="421">
        <f ca="1">IF(CFS_CFI[[#This Row],[AmtAnswer]]&lt;&gt;0,1,0)</f>
        <v>0</v>
      </c>
      <c r="AY24" s="421">
        <f ca="1">IF(CFS_CFI[[#This Row],[AmtFSBuilder]]&lt;&gt;0,1,0)</f>
        <v>0</v>
      </c>
      <c r="AZ24"/>
      <c r="BA24" s="224">
        <f>IF(NI_CFO_Recon_Losses[[#This Row],[Used]]=1,7,8)</f>
        <v>8</v>
      </c>
      <c r="BB24" t="s">
        <v>337</v>
      </c>
      <c r="BC24" s="421">
        <f>IF(ABS(NI_CFO_Recon_Losses[[#This Row],[AmtJournal]])&gt;0,1,0)</f>
        <v>0</v>
      </c>
      <c r="BD24" s="445">
        <f>NI_CFO_Recon_Losses[[#This Row],[Used]]+SUM(BC20:BC23)</f>
        <v>0</v>
      </c>
      <c r="BE24" s="400">
        <f>SUMIF(Journal[Debit Account],BB24,Journal[Dr Amt])</f>
        <v>0</v>
      </c>
      <c r="BF24" s="536">
        <f>SUMIF(JournalAnswer[Debit Account],#REF!,JournalAnswer[Dr Amt])</f>
        <v>0</v>
      </c>
      <c r="BG24" s="536" cm="1">
        <f t="array" aca="1" ref="BG24" ca="1">IF(NI_CFO_Recon_Losses[[#This Row],[Account]]&lt;&gt;"",_xlfn._xlws.FILTER(FSBuilder[Amount],(FSBuilder[Account or Explanation]=NI_CFO_Recon_Losses[[#This Row],[Account]])*(FSBuilder[Statement]="Cash Flow Statement"),0),0)</f>
        <v>0</v>
      </c>
      <c r="BH24" s="555">
        <f>IF(ABS(NI_CFO_Recon_Losses[[#This Row],[AmtJournal]])&gt;0,1,0)</f>
        <v>0</v>
      </c>
      <c r="BI24" s="555">
        <f>IF(ABS(NI_CFO_Recon_Losses[[#This Row],[AmtAnswer]])&gt;0,1,0)</f>
        <v>0</v>
      </c>
      <c r="BJ24" s="555">
        <f ca="1">IF(ABS(NI_CFO_Recon_Losses[[#This Row],[AmtFSBuilder]])&gt;0,1,0)</f>
        <v>0</v>
      </c>
      <c r="BK24" s="400"/>
      <c r="BL24" s="224" cm="1">
        <f t="array" ref="BL24">_xlfn.IFS(AND(ENonCurrAssets[[#This Row],[Used]]=1,ENonCurrAssets[[#This Row],[Order]]=1),6,AND(ENonCurrAssets[[#This Row],[Used]]=1,ENonCurrAssets[[#This Row],[Order]]&gt;1),7,ENonCurrAssets[[#This Row],[Used]]=0,8)</f>
        <v>6</v>
      </c>
      <c r="BM24" t="s">
        <v>142</v>
      </c>
      <c r="BN24" s="421">
        <f>IF(ISNUMBER(_xlfn.XLOOKUP(ENonCurrAssets[[#This Row],[Account]],MD_Asset[Account Name],MD_Asset[Used])),_xlfn.XLOOKUP(ENonCurrAssets[[#This Row],[Account]],MD_Asset[Account Name],MD_Asset[Used]),0)</f>
        <v>1</v>
      </c>
      <c r="BO24" s="421">
        <f>ENonCurrAssets[[#This Row],[Used]]</f>
        <v>1</v>
      </c>
      <c r="BP24" s="418">
        <f>_xlfn.IFNA((_xlfn.XLOOKUP(ENonCurrAssets[[#This Row],[Account]],BegBalanceSheet_Assets[Account],BegBalanceSheet_Assets[Amount]))+SUMIF(Journal[Debit Account],ENonCurrAssets[[#This Row],[Account]],Journal[Dr Amt])-SUMIF(Journal[Credit Account],ENonCurrAssets[[#This Row],[Account]],Journal[Cr Amt]),0)</f>
        <v>0</v>
      </c>
      <c r="BQ24" s="418">
        <f>_xlfn.IFNA((_xlfn.XLOOKUP(ENonCurrAssets[[#This Row],[Account]],BegBalanceSheet_Assets[Account],BegBalanceSheet_Assets[Amount]))+SUMIF(JournalAnswer[Debit Account],ENonCurrAssets[[#This Row],[Account]],JournalAnswer[Dr Amt])-SUMIF(JournalAnswer[Credit Account],ENonCurrAssets[[#This Row],[Account]],JournalAnswer[Cr Amt]),0)</f>
        <v>100</v>
      </c>
      <c r="BR24" s="418" cm="1">
        <f t="array" aca="1" ref="BR24" ca="1">IF(ENonCurrAssets[[#This Row],[Account]]&lt;&gt;"",_xlfn._xlws.FILTER(FSBuilder[Amount],(FSBuilder[Account or Explanation]=ENonCurrAssets[[#This Row],[Account]])*(FSBuilder[Statement]="Ending Balance Sheet"),0),0)</f>
        <v>0</v>
      </c>
      <c r="BS24" s="445">
        <f>ENonCurrAssets[[#This Row],[Used]]*(ENonCurrAssets[[#This Row],[AmtJournal]]&lt;&gt;0)</f>
        <v>0</v>
      </c>
      <c r="BT24" s="445">
        <f>ENonCurrAssets[[#This Row],[Used]]*(ENonCurrAssets[[#This Row],[AmtAnswer]]&lt;&gt;0)</f>
        <v>1</v>
      </c>
      <c r="BU24" s="445">
        <f ca="1">ENonCurrAssets[[#This Row],[Used]]*(ENonCurrAssets[[#This Row],[AmtFSBuilder]]&lt;&gt;0)</f>
        <v>0</v>
      </c>
    </row>
    <row r="25" spans="2:73">
      <c r="B25" s="224" cm="1">
        <f t="array" ref="B25">_xlfn.IFS(AND(BNonCurrAssets[[#This Row],[Used]]=1,BNonCurrAssets[[#This Row],[Order]]=1),6,AND(BNonCurrAssets[[#This Row],[Used]]=1,BNonCurrAssets[[#This Row],[Order]]&gt;1),7,BNonCurrAssets[[#This Row],[Used]]=0,8)</f>
        <v>6</v>
      </c>
      <c r="C25" t="s">
        <v>142</v>
      </c>
      <c r="D25" s="421">
        <f>IF(ISNUMBER(_xlfn.XLOOKUP(BNonCurrAssets[[#This Row],[Account]],MD_Asset[Account Name],MD_Asset[Used])),_xlfn.XLOOKUP(BNonCurrAssets[[#This Row],[Account]],MD_Asset[Account Name],MD_Asset[Used]),0)</f>
        <v>1</v>
      </c>
      <c r="E25" s="421">
        <f>BNonCurrAssets[[#This Row],[Used]]</f>
        <v>1</v>
      </c>
      <c r="F25" s="418">
        <f>_xlfn.IFNA(_xlfn.XLOOKUP(C25,BegBalanceSheet_Assets[Account],BegBalanceSheet_Assets[Amount]),0)</f>
        <v>0</v>
      </c>
      <c r="G25" s="421"/>
      <c r="H25" s="224" cm="1">
        <f t="array" ref="H25">_xlfn.IFS(AND(IS_Expenses[[#This Row],[Used]]=1,IS_Expenses[[#This Row],[Order]]=1),6,AND(IS_Expenses[[#This Row],[Used]]=1,IS_Expenses[[#This Row],[Order]]&gt;1),7,IS_Expenses[[#This Row],[Used]]=0,8)</f>
        <v>8</v>
      </c>
      <c r="I25" t="s">
        <v>293</v>
      </c>
      <c r="J25" s="421">
        <f>IF(ISNUMBER(_xlfn.XLOOKUP(IS_Expenses[[#This Row],[Account]],MD_Expense[Account Name],MD_Expense[Used])),_xlfn.XLOOKUP(IS_Expenses[[#This Row],[Account]],MD_Expense[Account Name],MD_Expense[Used]),0)</f>
        <v>0</v>
      </c>
      <c r="K25" s="421">
        <f>IF(IS_Expenses[[#This Row],[Used]]=1,IS_Expenses[[#This Row],[Used]]+SUM(J19:J25),0)</f>
        <v>0</v>
      </c>
      <c r="L25" s="419">
        <f>SUMIFS(Journal[Dr Amt],Journal[Debit Account],I25,Journal[ref1],"&lt;&gt;CL")</f>
        <v>0</v>
      </c>
      <c r="M25" s="419">
        <f>SUMIFS(JournalAnswer[Dr Amt],JournalAnswer[Debit Account],I25,JournalAnswer[ref1],"&lt;&gt;CL")</f>
        <v>0</v>
      </c>
      <c r="N25" s="419" cm="1">
        <f t="array" aca="1" ref="N25" ca="1">IF(IS_Expenses[[#This Row],[Account]]&lt;&gt;"",_xlfn._xlws.FILTER(FSBuilder[Amount],FSBuilder[Account or Explanation]=IS_Expenses[[#This Row],[Account]],0),"")</f>
        <v>0</v>
      </c>
      <c r="O25" s="421">
        <f>IS_Expenses[[#This Row],[Used]]*(IS_Expenses[[#This Row],[AmtJournal]]&lt;&gt;0)</f>
        <v>0</v>
      </c>
      <c r="P25" s="421">
        <f>IS_Expenses[[#This Row],[Used]]*(IS_Expenses[[#This Row],[AmtAnswer]]&lt;&gt;0)</f>
        <v>0</v>
      </c>
      <c r="Q25" s="421">
        <f ca="1">IS_Expenses[[#This Row],[Used]]*(IS_Expenses[[#This Row],[AmtFSBuilder]]&lt;&gt;0)*Financial_Statement_Builder!$K$122</f>
        <v>0</v>
      </c>
      <c r="U25" s="224">
        <f ca="1"/>
        <v>0</v>
      </c>
      <c r="AP25" s="224" cm="1">
        <f t="array" ref="AP25">_xlfn.IFS(AND(CFS_CFI[[#This Row],[Used]]=1,CFS_CFI[[#This Row],[Order]]=1),6,AND(CFS_CFI[[#This Row],[Used]]=1,CFS_CFI[[#This Row],[Order]]&gt;1),7,CFS_CFI[[#This Row],[Used]]=0,8)</f>
        <v>8</v>
      </c>
      <c r="AQ25" t="s">
        <v>348</v>
      </c>
      <c r="AR25" s="421">
        <f>IF(ABS(CFS_CFI[[#This Row],[AmtJournal]])&gt;0,1,0)</f>
        <v>0</v>
      </c>
      <c r="AS25" s="421">
        <f>IF(CFS_CFI[[#This Row],[Used]]=1,CFS_CFI[[#This Row],[Used]]+SUM(AR20:AR24),0)</f>
        <v>0</v>
      </c>
      <c r="AT25" s="417">
        <f>-SUMIFS(Journal[Cr Amt],Journal[ref1],"PMS",Journal[Credit Account],"Cash")</f>
        <v>0</v>
      </c>
      <c r="AU25" s="417">
        <f ca="1">-SUMIFS(JournalAnswer[Cr Amt],JournalAnswer[ref1],"PMS",JournalAnswer[Credit Account],"Cash")</f>
        <v>0</v>
      </c>
      <c r="AV25" s="417" cm="1">
        <f t="array" aca="1" ref="AV25" ca="1">IF(CFS_CFI[[#This Row],[Account]]&lt;&gt;"",_xlfn._xlws.FILTER(FSBuilder[Amount],FSBuilder[Account or Explanation]=CFS_CFI[[#This Row],[Account]],0),"")</f>
        <v>0</v>
      </c>
      <c r="AW25" s="421">
        <f>IF(CFS_CFI[[#This Row],[AmtJournal]]&lt;&gt;0,1,0)</f>
        <v>0</v>
      </c>
      <c r="AX25" s="421">
        <f ca="1">IF(CFS_CFI[[#This Row],[AmtAnswer]]&lt;&gt;0,1,0)</f>
        <v>0</v>
      </c>
      <c r="AY25" s="421">
        <f ca="1">IF(CFS_CFI[[#This Row],[AmtFSBuilder]]&lt;&gt;0,1,0)</f>
        <v>0</v>
      </c>
      <c r="AZ25"/>
      <c r="BA25" s="224">
        <f>IF(NI_CFO_Recon_Losses[[#This Row],[Used]]=1,7,8)</f>
        <v>8</v>
      </c>
      <c r="BC25" s="421">
        <f>IF(ABS(NI_CFO_Recon_Losses[[#This Row],[AmtJournal]])&gt;0,1,0)</f>
        <v>0</v>
      </c>
      <c r="BD25" s="445">
        <f>NI_CFO_Recon_Losses[[#This Row],[Used]]+SUM(BC20:BC24)</f>
        <v>0</v>
      </c>
      <c r="BE25" s="400">
        <f>SUMIF(Journal[Debit Account],BB25,Journal[Dr Amt])</f>
        <v>0</v>
      </c>
      <c r="BF25" s="536">
        <f>SUMIF(JournalAnswer[Debit Account],#REF!,JournalAnswer[Dr Amt])</f>
        <v>0</v>
      </c>
      <c r="BG25" s="536" cm="1">
        <f t="array" ref="BG25">IF(NI_CFO_Recon_Losses[[#This Row],[Account]]&lt;&gt;"",_xlfn._xlws.FILTER(FSBuilder[Amount],(FSBuilder[Account or Explanation]=NI_CFO_Recon_Losses[[#This Row],[Account]])*(FSBuilder[Statement]="Cash Flow Statement"),0),0)</f>
        <v>0</v>
      </c>
      <c r="BH25" s="555">
        <f>IF(ABS(NI_CFO_Recon_Losses[[#This Row],[AmtJournal]])&gt;0,1,0)</f>
        <v>0</v>
      </c>
      <c r="BI25" s="555">
        <f>IF(ABS(NI_CFO_Recon_Losses[[#This Row],[AmtAnswer]])&gt;0,1,0)</f>
        <v>0</v>
      </c>
      <c r="BJ25" s="555">
        <f>IF(ABS(NI_CFO_Recon_Losses[[#This Row],[AmtFSBuilder]])&gt;0,1,0)</f>
        <v>0</v>
      </c>
      <c r="BK25" s="400"/>
      <c r="BL25" s="224" cm="1">
        <f t="array" ref="BL25">_xlfn.IFS(AND(ENonCurrAssets[[#This Row],[Used]]=1,ENonCurrAssets[[#This Row],[Order]]=1),6,AND(ENonCurrAssets[[#This Row],[Used]]=1,ENonCurrAssets[[#This Row],[Order]]&gt;1),7,ENonCurrAssets[[#This Row],[Used]]=0,8)</f>
        <v>8</v>
      </c>
      <c r="BM25" t="s">
        <v>146</v>
      </c>
      <c r="BN25" s="421">
        <f>IF(ISNUMBER(_xlfn.XLOOKUP(ENonCurrAssets[[#This Row],[Account]],MD_Asset[Account Name],MD_Asset[Used])),_xlfn.XLOOKUP(ENonCurrAssets[[#This Row],[Account]],MD_Asset[Account Name],MD_Asset[Used]),0)</f>
        <v>0</v>
      </c>
      <c r="BO25" s="421">
        <f>IF(ENonCurrAssets[[#This Row],[Used]]=1,ENonCurrAssets[[#This Row],[Used]]+BN24,0)</f>
        <v>0</v>
      </c>
      <c r="BP25" s="419">
        <f>_xlfn.IFNA(-(_xlfn.XLOOKUP(ENonCurrAssets[[#This Row],[Account]],BegBalanceSheet_Assets[Account],BegBalanceSheet_Assets[Amount]))-SUMIF(Journal[Debit Account],ENonCurrAssets[[#This Row],[Account]],Journal[Dr Amt])+SUMIF(Journal[Credit Account],ENonCurrAssets[[#This Row],[Account]],Journal[Cr Amt]),0)</f>
        <v>0</v>
      </c>
      <c r="BQ25" s="419">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5" s="419" cm="1">
        <f t="array" aca="1" ref="BR25" ca="1">IF(ENonCurrAssets[[#This Row],[Account]]&lt;&gt;"",_xlfn._xlws.FILTER(FSBuilder[Amount],(FSBuilder[Account or Explanation]=ENonCurrAssets[[#This Row],[Account]])*(FSBuilder[Statement]="Ending Balance Sheet"),0),0)</f>
        <v>0</v>
      </c>
      <c r="BS25" s="445">
        <f>ENonCurrAssets[[#This Row],[Used]]*(ENonCurrAssets[[#This Row],[AmtJournal]]&lt;&gt;0)</f>
        <v>0</v>
      </c>
      <c r="BT25" s="445">
        <f>ENonCurrAssets[[#This Row],[Used]]*(ENonCurrAssets[[#This Row],[AmtAnswer]]&lt;&gt;0)</f>
        <v>0</v>
      </c>
      <c r="BU25" s="445">
        <f ca="1">ENonCurrAssets[[#This Row],[Used]]*(ENonCurrAssets[[#This Row],[AmtFSBuilder]]&lt;&gt;0)</f>
        <v>0</v>
      </c>
    </row>
    <row r="26" spans="2:73">
      <c r="B26" s="224" cm="1">
        <f t="array" ref="B26">_xlfn.IFS(AND(BNonCurrAssets[[#This Row],[Used]]=1,BNonCurrAssets[[#This Row],[Order]]=1),6,AND(BNonCurrAssets[[#This Row],[Used]]=1,BNonCurrAssets[[#This Row],[Order]]&gt;1),7,BNonCurrAssets[[#This Row],[Used]]=0,8)</f>
        <v>8</v>
      </c>
      <c r="C26" t="s">
        <v>146</v>
      </c>
      <c r="D26" s="421">
        <f>IF(ISNUMBER(_xlfn.XLOOKUP(BNonCurrAssets[[#This Row],[Account]],MD_Asset[Account Name],MD_Asset[Used])),_xlfn.XLOOKUP(BNonCurrAssets[[#This Row],[Account]],MD_Asset[Account Name],MD_Asset[Used]),0)</f>
        <v>0</v>
      </c>
      <c r="E26" s="421">
        <f>IF(BNonCurrAssets[[#This Row],[Used]]=1,BNonCurrAssets[[#This Row],[Used]]+D25,0)</f>
        <v>0</v>
      </c>
      <c r="F26" s="419">
        <f>_xlfn.IFNA(_xlfn.XLOOKUP(C26,BegBalanceSheet_Assets[Account],BegBalanceSheet_Assets[Amount]),0)</f>
        <v>0</v>
      </c>
      <c r="G26" s="421"/>
      <c r="H26" s="224" cm="1">
        <f t="array" ref="H26">_xlfn.IFS(AND(IS_Expenses[[#This Row],[Used]]=1,IS_Expenses[[#This Row],[Order]]=1),6,AND(IS_Expenses[[#This Row],[Used]]=1,IS_Expenses[[#This Row],[Order]]&gt;1),7,IS_Expenses[[#This Row],[Used]]=0,8)</f>
        <v>8</v>
      </c>
      <c r="I26" t="s">
        <v>296</v>
      </c>
      <c r="J26" s="421">
        <f>IF(ISNUMBER(_xlfn.XLOOKUP(IS_Expenses[[#This Row],[Account]],MD_Expense[Account Name],MD_Expense[Used])),_xlfn.XLOOKUP(IS_Expenses[[#This Row],[Account]],MD_Expense[Account Name],MD_Expense[Used]),0)</f>
        <v>0</v>
      </c>
      <c r="K26" s="421">
        <f>IF(IS_Expenses[[#This Row],[Used]]=1,IS_Expenses[[#This Row],[Used]]+SUM(J19:J26),0)</f>
        <v>0</v>
      </c>
      <c r="L26" s="419">
        <f>SUMIFS(Journal[Dr Amt],Journal[Debit Account],I26,Journal[ref1],"&lt;&gt;CL")</f>
        <v>0</v>
      </c>
      <c r="M26" s="419">
        <f>SUMIFS(JournalAnswer[Dr Amt],JournalAnswer[Debit Account],I26,JournalAnswer[ref1],"&lt;&gt;CL")</f>
        <v>0</v>
      </c>
      <c r="N26" s="419" cm="1">
        <f t="array" aca="1" ref="N26" ca="1">IF(IS_Expenses[[#This Row],[Account]]&lt;&gt;"",_xlfn._xlws.FILTER(FSBuilder[Amount],FSBuilder[Account or Explanation]=IS_Expenses[[#This Row],[Account]],0),"")</f>
        <v>0</v>
      </c>
      <c r="O26" s="421">
        <f>IS_Expenses[[#This Row],[Used]]*(IS_Expenses[[#This Row],[AmtJournal]]&lt;&gt;0)</f>
        <v>0</v>
      </c>
      <c r="P26" s="421">
        <f>IS_Expenses[[#This Row],[Used]]*(IS_Expenses[[#This Row],[AmtAnswer]]&lt;&gt;0)</f>
        <v>0</v>
      </c>
      <c r="Q26" s="421">
        <f ca="1">IS_Expenses[[#This Row],[Used]]*(IS_Expenses[[#This Row],[AmtFSBuilder]]&lt;&gt;0)*Financial_Statement_Builder!$K$122</f>
        <v>0</v>
      </c>
      <c r="U26" s="224">
        <f ca="1"/>
        <v>0</v>
      </c>
      <c r="AP26" s="224" cm="1">
        <f t="array" ref="AP26">_xlfn.IFS(AND(CFS_CFI[[#This Row],[Used]]=1,CFS_CFI[[#This Row],[Order]]=1),6,AND(CFS_CFI[[#This Row],[Used]]=1,CFS_CFI[[#This Row],[Order]]&gt;1),7,CFS_CFI[[#This Row],[Used]]=0,8)</f>
        <v>8</v>
      </c>
      <c r="AQ26" t="s">
        <v>351</v>
      </c>
      <c r="AR26" s="421">
        <f>IF(ABS(CFS_CFI[[#This Row],[AmtJournal]])&gt;0,1,0)</f>
        <v>0</v>
      </c>
      <c r="AS26" s="421">
        <f>IF(CFS_CFI[[#This Row],[Used]]=1,CFS_CFI[[#This Row],[Used]]+SUM(AR20:AR25),0)</f>
        <v>0</v>
      </c>
      <c r="AT26" s="417">
        <f>-SUMIFS(Journal[Cr Amt],Journal[ref1],"PPPE",Journal[Credit Account],"Cash")</f>
        <v>0</v>
      </c>
      <c r="AU26" s="417">
        <f ca="1">-SUMIFS(JournalAnswer[Cr Amt],JournalAnswer[ref1],"PPPE",JournalAnswer[Credit Account],"Cash")</f>
        <v>0</v>
      </c>
      <c r="AV26" s="417" cm="1">
        <f t="array" aca="1" ref="AV26" ca="1">IF(CFS_CFI[[#This Row],[Account]]&lt;&gt;"",_xlfn._xlws.FILTER(FSBuilder[Amount],FSBuilder[Account or Explanation]=CFS_CFI[[#This Row],[Account]],0),"")</f>
        <v>0</v>
      </c>
      <c r="AW26" s="421">
        <f>IF(CFS_CFI[[#This Row],[AmtJournal]]&lt;&gt;0,1,0)</f>
        <v>0</v>
      </c>
      <c r="AX26" s="421">
        <f ca="1">IF(CFS_CFI[[#This Row],[AmtAnswer]]&lt;&gt;0,1,0)</f>
        <v>0</v>
      </c>
      <c r="AY26" s="421">
        <f ca="1">IF(CFS_CFI[[#This Row],[AmtFSBuilder]]&lt;&gt;0,1,0)</f>
        <v>0</v>
      </c>
      <c r="AZ26"/>
      <c r="BA26" s="224">
        <f>IF(NI_CFO_Recon_Losses[[#This Row],[Used]]=1,7,8)</f>
        <v>8</v>
      </c>
      <c r="BC26" s="421">
        <f>IF(ABS(NI_CFO_Recon_Losses[[#This Row],[AmtJournal]])&gt;0,1,0)</f>
        <v>0</v>
      </c>
      <c r="BD26" s="445">
        <f>NI_CFO_Recon_Losses[[#This Row],[Used]]+SUM(BC20:BC25)</f>
        <v>0</v>
      </c>
      <c r="BE26" s="400">
        <f>SUMIF(Journal[Debit Account],BB26,Journal[Dr Amt])</f>
        <v>0</v>
      </c>
      <c r="BF26" s="536">
        <f>SUMIF(JournalAnswer[Debit Account],#REF!,JournalAnswer[Dr Amt])</f>
        <v>0</v>
      </c>
      <c r="BG26" s="536" cm="1">
        <f t="array" ref="BG26">IF(NI_CFO_Recon_Losses[[#This Row],[Account]]&lt;&gt;"",_xlfn._xlws.FILTER(FSBuilder[Amount],(FSBuilder[Account or Explanation]=NI_CFO_Recon_Losses[[#This Row],[Account]])*(FSBuilder[Statement]="Cash Flow Statement"),0),0)</f>
        <v>0</v>
      </c>
      <c r="BH26" s="555">
        <f>IF(ABS(NI_CFO_Recon_Losses[[#This Row],[AmtJournal]])&gt;0,1,0)</f>
        <v>0</v>
      </c>
      <c r="BI26" s="555">
        <f>IF(ABS(NI_CFO_Recon_Losses[[#This Row],[AmtAnswer]])&gt;0,1,0)</f>
        <v>0</v>
      </c>
      <c r="BJ26" s="555">
        <f>IF(ABS(NI_CFO_Recon_Losses[[#This Row],[AmtFSBuilder]])&gt;0,1,0)</f>
        <v>0</v>
      </c>
      <c r="BK26" s="400"/>
      <c r="BL26" s="224" cm="1">
        <f t="array" ref="BL26">_xlfn.IFS(AND(ENonCurrAssets[[#This Row],[Used]]=1,ENonCurrAssets[[#This Row],[Order]]=1),6,AND(ENonCurrAssets[[#This Row],[Used]]=1,ENonCurrAssets[[#This Row],[Order]]&gt;1),7,ENonCurrAssets[[#This Row],[Used]]=0,8)</f>
        <v>8</v>
      </c>
      <c r="BM26" t="s">
        <v>149</v>
      </c>
      <c r="BN26" s="421">
        <f>IF(ISNUMBER(_xlfn.XLOOKUP(ENonCurrAssets[[#This Row],[Account]],MD_Asset[Account Name],MD_Asset[Used])),_xlfn.XLOOKUP(ENonCurrAssets[[#This Row],[Account]],MD_Asset[Account Name],MD_Asset[Used]),0)</f>
        <v>0</v>
      </c>
      <c r="BO26" s="421">
        <f>IF(ENonCurrAssets[[#This Row],[Used]]=1,ENonCurrAssets[[#This Row],[Used]]+SUM(BN24:BN25),0)</f>
        <v>0</v>
      </c>
      <c r="BP26" s="419">
        <f>_xlfn.IFNA((_xlfn.XLOOKUP(ENonCurrAssets[[#This Row],[Account]],BegBalanceSheet_Assets[Account],BegBalanceSheet_Assets[Amount]))+SUMIF(Journal[Debit Account],ENonCurrAssets[[#This Row],[Account]],Journal[Dr Amt])-SUMIF(Journal[Credit Account],ENonCurrAssets[[#This Row],[Account]],Journal[Cr Amt]),0)</f>
        <v>0</v>
      </c>
      <c r="BQ26" s="419">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419" cm="1">
        <f t="array" aca="1" ref="BR26" ca="1">IF(ENonCurrAssets[[#This Row],[Account]]&lt;&gt;"",_xlfn._xlws.FILTER(FSBuilder[Amount],(FSBuilder[Account or Explanation]=ENonCurrAssets[[#This Row],[Account]])*(FSBuilder[Statement]="Ending Balance Sheet"),0),0)</f>
        <v>0</v>
      </c>
      <c r="BS26" s="445">
        <f>ENonCurrAssets[[#This Row],[Used]]*(ENonCurrAssets[[#This Row],[AmtJournal]]&lt;&gt;0)</f>
        <v>0</v>
      </c>
      <c r="BT26" s="445">
        <f>ENonCurrAssets[[#This Row],[Used]]*(ENonCurrAssets[[#This Row],[AmtAnswer]]&lt;&gt;0)</f>
        <v>0</v>
      </c>
      <c r="BU26" s="445">
        <f ca="1">ENonCurrAssets[[#This Row],[Used]]*(ENonCurrAssets[[#This Row],[AmtFSBuilder]]&lt;&gt;0)</f>
        <v>0</v>
      </c>
    </row>
    <row r="27" spans="2:73">
      <c r="B27" s="224" cm="1">
        <f t="array" ref="B27">_xlfn.IFS(AND(BNonCurrAssets[[#This Row],[Used]]=1,BNonCurrAssets[[#This Row],[Order]]=1),6,AND(BNonCurrAssets[[#This Row],[Used]]=1,BNonCurrAssets[[#This Row],[Order]]&gt;1),7,BNonCurrAssets[[#This Row],[Used]]=0,8)</f>
        <v>8</v>
      </c>
      <c r="C27" t="s">
        <v>149</v>
      </c>
      <c r="D27" s="421">
        <f>IF(ISNUMBER(_xlfn.XLOOKUP(BNonCurrAssets[[#This Row],[Account]],MD_Asset[Account Name],MD_Asset[Used])),_xlfn.XLOOKUP(BNonCurrAssets[[#This Row],[Account]],MD_Asset[Account Name],MD_Asset[Used]),0)</f>
        <v>0</v>
      </c>
      <c r="E27" s="421">
        <f>IF(BNonCurrAssets[[#This Row],[Used]]=1,BNonCurrAssets[[#This Row],[Used]]+SUM(D25:D26),0)</f>
        <v>0</v>
      </c>
      <c r="F27" s="419">
        <f>_xlfn.IFNA(_xlfn.XLOOKUP(C27,BegBalanceSheet_Assets[Account],BegBalanceSheet_Assets[Amount]),0)</f>
        <v>0</v>
      </c>
      <c r="G27" s="421"/>
      <c r="H27" s="224" cm="1">
        <f t="array" ref="H27">_xlfn.IFS(AND(IS_Expenses[[#This Row],[Used]]=1,IS_Expenses[[#This Row],[Order]]=1),6,AND(IS_Expenses[[#This Row],[Used]]=1,IS_Expenses[[#This Row],[Order]]&gt;1),7,IS_Expenses[[#This Row],[Used]]=0,8)</f>
        <v>8</v>
      </c>
      <c r="I27" t="s">
        <v>299</v>
      </c>
      <c r="J27" s="421">
        <f>IF(ISNUMBER(_xlfn.XLOOKUP(IS_Expenses[[#This Row],[Account]],MD_Expense[Account Name],MD_Expense[Used])),_xlfn.XLOOKUP(IS_Expenses[[#This Row],[Account]],MD_Expense[Account Name],MD_Expense[Used]),0)</f>
        <v>0</v>
      </c>
      <c r="K27" s="421">
        <f>IF(IS_Expenses[[#This Row],[Used]]=1,IS_Expenses[[#This Row],[Used]]+SUM(J19:J27),0)</f>
        <v>0</v>
      </c>
      <c r="L27" s="419">
        <f>SUMIFS(Journal[Dr Amt],Journal[Debit Account],I27,Journal[ref1],"&lt;&gt;CL")</f>
        <v>0</v>
      </c>
      <c r="M27" s="419">
        <f>SUMIFS(JournalAnswer[Dr Amt],JournalAnswer[Debit Account],I27,JournalAnswer[ref1],"&lt;&gt;CL")</f>
        <v>0</v>
      </c>
      <c r="N27" s="419" cm="1">
        <f t="array" aca="1" ref="N27" ca="1">IF(IS_Expenses[[#This Row],[Account]]&lt;&gt;"",_xlfn._xlws.FILTER(FSBuilder[Amount],FSBuilder[Account or Explanation]=IS_Expenses[[#This Row],[Account]],0),"")</f>
        <v>0</v>
      </c>
      <c r="O27" s="421">
        <f>IS_Expenses[[#This Row],[Used]]*(IS_Expenses[[#This Row],[AmtJournal]]&lt;&gt;0)</f>
        <v>0</v>
      </c>
      <c r="P27" s="421">
        <f>IS_Expenses[[#This Row],[Used]]*(IS_Expenses[[#This Row],[AmtAnswer]]&lt;&gt;0)</f>
        <v>0</v>
      </c>
      <c r="Q27" s="421">
        <f ca="1">IS_Expenses[[#This Row],[Used]]*(IS_Expenses[[#This Row],[AmtFSBuilder]]&lt;&gt;0)*Financial_Statement_Builder!$K$122</f>
        <v>0</v>
      </c>
      <c r="U27" s="224">
        <f ca="1"/>
        <v>0</v>
      </c>
      <c r="AP27" s="224" cm="1">
        <f t="array" ref="AP27">_xlfn.IFS(AND(CFS_CFI[[#This Row],[Used]]=1,CFS_CFI[[#This Row],[Order]]=1),6,AND(CFS_CFI[[#This Row],[Used]]=1,CFS_CFI[[#This Row],[Order]]&gt;1),7,CFS_CFI[[#This Row],[Used]]=0,8)</f>
        <v>8</v>
      </c>
      <c r="AQ27" t="s">
        <v>355</v>
      </c>
      <c r="AR27" s="421">
        <f>IF(ABS(CFS_CFI[[#This Row],[AmtJournal]])&gt;0,1,0)</f>
        <v>0</v>
      </c>
      <c r="AS27" s="421">
        <f>IF(CFS_CFI[[#This Row],[Used]]=1,CFS_CFI[[#This Row],[Used]]+SUM(AR20:AR26),0)</f>
        <v>0</v>
      </c>
      <c r="AT27" s="417">
        <f>-SUMIFS(Journal[Cr Amt],Journal[ref1],"PBU",Journal[Credit Account],"Cash")</f>
        <v>0</v>
      </c>
      <c r="AU27" s="417">
        <f ca="1">-SUMIFS(JournalAnswer[Cr Amt],JournalAnswer[ref1],"PBU",JournalAnswer[Credit Account],"Cash")</f>
        <v>0</v>
      </c>
      <c r="AV27" s="417" cm="1">
        <f t="array" aca="1" ref="AV27" ca="1">IF(CFS_CFI[[#This Row],[Account]]&lt;&gt;"",_xlfn._xlws.FILTER(FSBuilder[Amount],FSBuilder[Account or Explanation]=CFS_CFI[[#This Row],[Account]],0),"")</f>
        <v>0</v>
      </c>
      <c r="AW27" s="421">
        <f>IF(CFS_CFI[[#This Row],[AmtJournal]]&lt;&gt;0,1,0)</f>
        <v>0</v>
      </c>
      <c r="AX27" s="421">
        <f ca="1">IF(CFS_CFI[[#This Row],[AmtAnswer]]&lt;&gt;0,1,0)</f>
        <v>0</v>
      </c>
      <c r="AY27" s="421">
        <f ca="1">IF(CFS_CFI[[#This Row],[AmtFSBuilder]]&lt;&gt;0,1,0)</f>
        <v>0</v>
      </c>
      <c r="AZ27"/>
      <c r="BC27" s="400"/>
      <c r="BD27" s="400"/>
      <c r="BE27" s="400"/>
      <c r="BF27" s="400"/>
      <c r="BG27" s="400"/>
      <c r="BH27" s="400"/>
      <c r="BI27" s="400"/>
      <c r="BJ27" s="400"/>
      <c r="BK27" s="400"/>
      <c r="BL27" s="224" cm="1">
        <f t="array" ref="BL27">_xlfn.IFS(AND(ENonCurrAssets[[#This Row],[Used]]=1,ENonCurrAssets[[#This Row],[Order]]=1),6,AND(ENonCurrAssets[[#This Row],[Used]]=1,ENonCurrAssets[[#This Row],[Order]]&gt;1),7,ENonCurrAssets[[#This Row],[Used]]=0,8)</f>
        <v>8</v>
      </c>
      <c r="BM27" t="s">
        <v>152</v>
      </c>
      <c r="BN27" s="421">
        <f>IF(ISNUMBER(_xlfn.XLOOKUP(ENonCurrAssets[[#This Row],[Account]],MD_Asset[Account Name],MD_Asset[Used])),_xlfn.XLOOKUP(ENonCurrAssets[[#This Row],[Account]],MD_Asset[Account Name],MD_Asset[Used]),0)</f>
        <v>0</v>
      </c>
      <c r="BO27" s="421">
        <f>IF(ENonCurrAssets[[#This Row],[Used]]=1,ENonCurrAssets[[#This Row],[Used]]+SUM(BN24:BN26),0)</f>
        <v>0</v>
      </c>
      <c r="BP27" s="419">
        <f>_xlfn.IFNA((_xlfn.XLOOKUP(ENonCurrAssets[[#This Row],[Account]],BegBalanceSheet_Assets[Account],BegBalanceSheet_Assets[Amount]))+SUMIF(Journal[Debit Account],ENonCurrAssets[[#This Row],[Account]],Journal[Dr Amt])-SUMIF(Journal[Credit Account],ENonCurrAssets[[#This Row],[Account]],Journal[Cr Amt]),0)</f>
        <v>0</v>
      </c>
      <c r="BQ27" s="419">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419" cm="1">
        <f t="array" aca="1" ref="BR27" ca="1">IF(ENonCurrAssets[[#This Row],[Account]]&lt;&gt;"",_xlfn._xlws.FILTER(FSBuilder[Amount],(FSBuilder[Account or Explanation]=ENonCurrAssets[[#This Row],[Account]])*(FSBuilder[Statement]="Ending Balance Sheet"),0),0)</f>
        <v>0</v>
      </c>
      <c r="BS27" s="445">
        <f>ENonCurrAssets[[#This Row],[Used]]*(ENonCurrAssets[[#This Row],[AmtJournal]]&lt;&gt;0)</f>
        <v>0</v>
      </c>
      <c r="BT27" s="445">
        <f>ENonCurrAssets[[#This Row],[Used]]*(ENonCurrAssets[[#This Row],[AmtAnswer]]&lt;&gt;0)</f>
        <v>0</v>
      </c>
      <c r="BU27" s="445">
        <f ca="1">ENonCurrAssets[[#This Row],[Used]]*(ENonCurrAssets[[#This Row],[AmtFSBuilder]]&lt;&gt;0)</f>
        <v>0</v>
      </c>
    </row>
    <row r="28" spans="2:73">
      <c r="B28" s="224" cm="1">
        <f t="array" ref="B28">_xlfn.IFS(AND(BNonCurrAssets[[#This Row],[Used]]=1,BNonCurrAssets[[#This Row],[Order]]=1),6,AND(BNonCurrAssets[[#This Row],[Used]]=1,BNonCurrAssets[[#This Row],[Order]]&gt;1),7,BNonCurrAssets[[#This Row],[Used]]=0,8)</f>
        <v>8</v>
      </c>
      <c r="C28" t="s">
        <v>152</v>
      </c>
      <c r="D28" s="421">
        <f>IF(ISNUMBER(_xlfn.XLOOKUP(BNonCurrAssets[[#This Row],[Account]],MD_Asset[Account Name],MD_Asset[Used])),_xlfn.XLOOKUP(BNonCurrAssets[[#This Row],[Account]],MD_Asset[Account Name],MD_Asset[Used]),0)</f>
        <v>0</v>
      </c>
      <c r="E28" s="421">
        <f>IF(BNonCurrAssets[[#This Row],[Used]]=1,BNonCurrAssets[[#This Row],[Used]]+SUM(D25:D27),0)</f>
        <v>0</v>
      </c>
      <c r="F28" s="419">
        <f>_xlfn.IFNA(_xlfn.XLOOKUP(C28,BegBalanceSheet_Assets[Account],BegBalanceSheet_Assets[Amount]),0)</f>
        <v>0</v>
      </c>
      <c r="G28" s="421"/>
      <c r="H28" s="224" cm="1">
        <f t="array" ref="H28">_xlfn.IFS(AND(IS_Expenses[[#This Row],[Used]]=1,IS_Expenses[[#This Row],[Order]]=1),6,AND(IS_Expenses[[#This Row],[Used]]=1,IS_Expenses[[#This Row],[Order]]&gt;1),7,IS_Expenses[[#This Row],[Used]]=0,8)</f>
        <v>8</v>
      </c>
      <c r="I28" t="s">
        <v>302</v>
      </c>
      <c r="J28" s="421">
        <f>IF(ISNUMBER(_xlfn.XLOOKUP(IS_Expenses[[#This Row],[Account]],MD_Expense[Account Name],MD_Expense[Used])),_xlfn.XLOOKUP(IS_Expenses[[#This Row],[Account]],MD_Expense[Account Name],MD_Expense[Used]),0)</f>
        <v>0</v>
      </c>
      <c r="K28" s="421">
        <f>IF(IS_Expenses[[#This Row],[Used]]=1,IS_Expenses[[#This Row],[Used]]+SUM(J19:J28),0)</f>
        <v>0</v>
      </c>
      <c r="L28" s="419">
        <f>SUMIFS(Journal[Dr Amt],Journal[Debit Account],I28,Journal[ref1],"&lt;&gt;CL")</f>
        <v>0</v>
      </c>
      <c r="M28" s="419">
        <f>SUMIFS(JournalAnswer[Dr Amt],JournalAnswer[Debit Account],I28,JournalAnswer[ref1],"&lt;&gt;CL")</f>
        <v>0</v>
      </c>
      <c r="N28" s="419" cm="1">
        <f t="array" aca="1" ref="N28" ca="1">IF(IS_Expenses[[#This Row],[Account]]&lt;&gt;"",_xlfn._xlws.FILTER(FSBuilder[Amount],FSBuilder[Account or Explanation]=IS_Expenses[[#This Row],[Account]],0),"")</f>
        <v>0</v>
      </c>
      <c r="O28" s="421">
        <f>IS_Expenses[[#This Row],[Used]]*(IS_Expenses[[#This Row],[AmtJournal]]&lt;&gt;0)</f>
        <v>0</v>
      </c>
      <c r="P28" s="421">
        <f>IS_Expenses[[#This Row],[Used]]*(IS_Expenses[[#This Row],[AmtAnswer]]&lt;&gt;0)</f>
        <v>0</v>
      </c>
      <c r="Q28" s="421">
        <f ca="1">IS_Expenses[[#This Row],[Used]]*(IS_Expenses[[#This Row],[AmtFSBuilder]]&lt;&gt;0)*Financial_Statement_Builder!$K$122</f>
        <v>0</v>
      </c>
      <c r="U28" s="224">
        <f ca="1"/>
        <v>0</v>
      </c>
      <c r="AP28" s="224" cm="1">
        <f t="array" ref="AP28">_xlfn.IFS(AND(CFS_CFI[[#This Row],[Used]]=1,CFS_CFI[[#This Row],[Order]]=1),6,AND(CFS_CFI[[#This Row],[Used]]=1,CFS_CFI[[#This Row],[Order]]&gt;1),7,CFS_CFI[[#This Row],[Used]]=0,8)</f>
        <v>8</v>
      </c>
      <c r="AQ28" t="s">
        <v>994</v>
      </c>
      <c r="AR28" s="421">
        <f>IF(ABS(CFS_CFI[[#This Row],[AmtJournal]])&gt;0,1,0)</f>
        <v>0</v>
      </c>
      <c r="AS28" s="421">
        <f>IF(CFS_CFI[[#This Row],[Used]]=1,CFS_CFI[[#This Row],[Used]]+SUM(AR20:AR27),0)</f>
        <v>0</v>
      </c>
      <c r="AT28" s="417">
        <f>-SUMIFS(Journal[Cr Amt],Journal[ref1],"POA",Journal[Credit Account],"Cash")</f>
        <v>0</v>
      </c>
      <c r="AU28" s="417">
        <f ca="1">-SUMIFS(JournalAnswer[Cr Amt],JournalAnswer[ref1],"POA",JournalAnswer[Credit Account],"Cash")</f>
        <v>0</v>
      </c>
      <c r="AV28" s="417" cm="1">
        <f t="array" aca="1" ref="AV28" ca="1">IF(CFS_CFI[[#This Row],[Account]]&lt;&gt;"",_xlfn._xlws.FILTER(FSBuilder[Amount],FSBuilder[Account or Explanation]=CFS_CFI[[#This Row],[Account]],0),"")</f>
        <v>0</v>
      </c>
      <c r="AW28" s="421">
        <f>IF(CFS_CFI[[#This Row],[AmtJournal]]&lt;&gt;0,1,0)</f>
        <v>0</v>
      </c>
      <c r="AX28" s="421">
        <f ca="1">IF(CFS_CFI[[#This Row],[AmtAnswer]]&lt;&gt;0,1,0)</f>
        <v>0</v>
      </c>
      <c r="AY28" s="421">
        <f ca="1">IF(CFS_CFI[[#This Row],[AmtFSBuilder]]&lt;&gt;0,1,0)</f>
        <v>0</v>
      </c>
      <c r="AZ28"/>
      <c r="BA28" s="423" t="s">
        <v>24</v>
      </c>
      <c r="BC28" s="400"/>
      <c r="BD28" s="400"/>
      <c r="BE28" s="400"/>
      <c r="BF28" s="400"/>
      <c r="BG28" s="400"/>
      <c r="BH28" s="400"/>
      <c r="BI28" s="400"/>
      <c r="BJ28" s="400"/>
      <c r="BK28" s="400"/>
      <c r="BL28" s="224" cm="1">
        <f t="array" ref="BL28">_xlfn.IFS(AND(ENonCurrAssets[[#This Row],[Used]]=1,ENonCurrAssets[[#This Row],[Order]]=1),6,AND(ENonCurrAssets[[#This Row],[Used]]=1,ENonCurrAssets[[#This Row],[Order]]&gt;1),7,ENonCurrAssets[[#This Row],[Used]]=0,8)</f>
        <v>8</v>
      </c>
      <c r="BM28" t="s">
        <v>155</v>
      </c>
      <c r="BN28" s="421">
        <f>IF(ISNUMBER(_xlfn.XLOOKUP(ENonCurrAssets[[#This Row],[Account]],MD_Asset[Account Name],MD_Asset[Used])),_xlfn.XLOOKUP(ENonCurrAssets[[#This Row],[Account]],MD_Asset[Account Name],MD_Asset[Used]),0)</f>
        <v>0</v>
      </c>
      <c r="BO28" s="421">
        <f>IF(ENonCurrAssets[[#This Row],[Used]]=1,ENonCurrAssets[[#This Row],[Used]]+SUM(BN24:BN27),0)</f>
        <v>0</v>
      </c>
      <c r="BP28" s="419">
        <f>_xlfn.IFNA((_xlfn.XLOOKUP(ENonCurrAssets[[#This Row],[Account]],BegBalanceSheet_Assets[Account],BegBalanceSheet_Assets[Amount]))+SUMIF(Journal[Debit Account],ENonCurrAssets[[#This Row],[Account]],Journal[Dr Amt])-SUMIF(Journal[Credit Account],ENonCurrAssets[[#This Row],[Account]],Journal[Cr Amt]),0)</f>
        <v>0</v>
      </c>
      <c r="BQ28" s="419">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419" cm="1">
        <f t="array" aca="1" ref="BR28" ca="1">IF(ENonCurrAssets[[#This Row],[Account]]&lt;&gt;"",_xlfn._xlws.FILTER(FSBuilder[Amount],(FSBuilder[Account or Explanation]=ENonCurrAssets[[#This Row],[Account]])*(FSBuilder[Statement]="Ending Balance Sheet"),0),0)</f>
        <v>0</v>
      </c>
      <c r="BS28" s="445">
        <f>ENonCurrAssets[[#This Row],[Used]]*(ENonCurrAssets[[#This Row],[AmtJournal]]&lt;&gt;0)</f>
        <v>0</v>
      </c>
      <c r="BT28" s="445">
        <f>ENonCurrAssets[[#This Row],[Used]]*(ENonCurrAssets[[#This Row],[AmtAnswer]]&lt;&gt;0)</f>
        <v>0</v>
      </c>
      <c r="BU28" s="445">
        <f ca="1">ENonCurrAssets[[#This Row],[Used]]*(ENonCurrAssets[[#This Row],[AmtFSBuilder]]&lt;&gt;0)</f>
        <v>0</v>
      </c>
    </row>
    <row r="29" spans="2:73">
      <c r="B29" s="224" cm="1">
        <f t="array" ref="B29">_xlfn.IFS(AND(BNonCurrAssets[[#This Row],[Used]]=1,BNonCurrAssets[[#This Row],[Order]]=1),6,AND(BNonCurrAssets[[#This Row],[Used]]=1,BNonCurrAssets[[#This Row],[Order]]&gt;1),7,BNonCurrAssets[[#This Row],[Used]]=0,8)</f>
        <v>8</v>
      </c>
      <c r="C29" t="s">
        <v>155</v>
      </c>
      <c r="D29" s="421">
        <f>IF(ISNUMBER(_xlfn.XLOOKUP(BNonCurrAssets[[#This Row],[Account]],MD_Asset[Account Name],MD_Asset[Used])),_xlfn.XLOOKUP(BNonCurrAssets[[#This Row],[Account]],MD_Asset[Account Name],MD_Asset[Used]),0)</f>
        <v>0</v>
      </c>
      <c r="E29" s="421">
        <f>IF(BNonCurrAssets[[#This Row],[Used]]=1,BNonCurrAssets[[#This Row],[Used]]+SUM(D25:D28),0)</f>
        <v>0</v>
      </c>
      <c r="F29" s="419">
        <f>_xlfn.IFNA(_xlfn.XLOOKUP(C29,BegBalanceSheet_Assets[Account],BegBalanceSheet_Assets[Amount]),0)</f>
        <v>0</v>
      </c>
      <c r="G29" s="421"/>
      <c r="H29" s="224" cm="1">
        <f t="array" ref="H29">_xlfn.IFS(AND(IS_Expenses[[#This Row],[Used]]=1,IS_Expenses[[#This Row],[Order]]=1),6,AND(IS_Expenses[[#This Row],[Used]]=1,IS_Expenses[[#This Row],[Order]]&gt;1),7,IS_Expenses[[#This Row],[Used]]=0,8)</f>
        <v>8</v>
      </c>
      <c r="I29" t="s">
        <v>305</v>
      </c>
      <c r="J29" s="421">
        <f>IF(ISNUMBER(_xlfn.XLOOKUP(IS_Expenses[[#This Row],[Account]],MD_Expense[Account Name],MD_Expense[Used])),_xlfn.XLOOKUP(IS_Expenses[[#This Row],[Account]],MD_Expense[Account Name],MD_Expense[Used]),0)</f>
        <v>0</v>
      </c>
      <c r="K29" s="421">
        <f>IF(IS_Expenses[[#This Row],[Used]]=1,IS_Expenses[[#This Row],[Used]]+SUM(J19:J29),0)</f>
        <v>0</v>
      </c>
      <c r="L29" s="419">
        <f>SUMIFS(Journal[Dr Amt],Journal[Debit Account],I29,Journal[ref1],"&lt;&gt;CL")</f>
        <v>0</v>
      </c>
      <c r="M29" s="419">
        <f>SUMIFS(JournalAnswer[Dr Amt],JournalAnswer[Debit Account],I29,JournalAnswer[ref1],"&lt;&gt;CL")</f>
        <v>0</v>
      </c>
      <c r="N29" s="419" cm="1">
        <f t="array" aca="1" ref="N29" ca="1">IF(IS_Expenses[[#This Row],[Account]]&lt;&gt;"",_xlfn._xlws.FILTER(FSBuilder[Amount],FSBuilder[Account or Explanation]=IS_Expenses[[#This Row],[Account]],0),"")</f>
        <v>0</v>
      </c>
      <c r="O29" s="421">
        <f>IS_Expenses[[#This Row],[Used]]*(IS_Expenses[[#This Row],[AmtJournal]]&lt;&gt;0)</f>
        <v>0</v>
      </c>
      <c r="P29" s="421">
        <f>IS_Expenses[[#This Row],[Used]]*(IS_Expenses[[#This Row],[AmtAnswer]]&lt;&gt;0)</f>
        <v>0</v>
      </c>
      <c r="Q29" s="421">
        <f ca="1">IS_Expenses[[#This Row],[Used]]*(IS_Expenses[[#This Row],[AmtFSBuilder]]&lt;&gt;0)*Financial_Statement_Builder!$K$122</f>
        <v>0</v>
      </c>
      <c r="U29" s="224">
        <f ca="1"/>
        <v>0</v>
      </c>
      <c r="AP29" s="224" cm="1">
        <f t="array" ref="AP29">_xlfn.IFS(AND(CFS_CFI[[#This Row],[Used]]=1,CFS_CFI[[#This Row],[Order]]=1),6,AND(CFS_CFI[[#This Row],[Used]]=1,CFS_CFI[[#This Row],[Order]]&gt;1),7,CFS_CFI[[#This Row],[Used]]=0,8)</f>
        <v>8</v>
      </c>
      <c r="AQ29" t="s">
        <v>357</v>
      </c>
      <c r="AR29" s="421">
        <f>IF(ABS(CFS_CFI[[#This Row],[AmtJournal]])&gt;0,1,0)</f>
        <v>0</v>
      </c>
      <c r="AS29" s="421">
        <f>IF(CFS_CFI[[#This Row],[Used]]=1,CFS_CFI[[#This Row],[Used]]+SUM(AR20:AR28),0)</f>
        <v>0</v>
      </c>
      <c r="AT29" s="417">
        <f>-SUMIFS(Journal[Cr Amt],Journal[ref1],"PINT",Journal[Credit Account],"Cash")</f>
        <v>0</v>
      </c>
      <c r="AU29" s="417">
        <f ca="1">-SUMIFS(JournalAnswer[Cr Amt],JournalAnswer[ref1],"PINT",JournalAnswer[Credit Account],"Cash")</f>
        <v>0</v>
      </c>
      <c r="AV29" s="417" cm="1">
        <f t="array" aca="1" ref="AV29" ca="1">IF(CFS_CFI[[#This Row],[Account]]&lt;&gt;"",_xlfn._xlws.FILTER(FSBuilder[Amount],FSBuilder[Account or Explanation]=CFS_CFI[[#This Row],[Account]],0),"")</f>
        <v>0</v>
      </c>
      <c r="AW29" s="421">
        <f>IF(CFS_CFI[[#This Row],[AmtJournal]]&lt;&gt;0,1,0)</f>
        <v>0</v>
      </c>
      <c r="AX29" s="421">
        <f ca="1">IF(CFS_CFI[[#This Row],[AmtAnswer]]&lt;&gt;0,1,0)</f>
        <v>0</v>
      </c>
      <c r="AY29" s="421">
        <f ca="1">IF(CFS_CFI[[#This Row],[AmtFSBuilder]]&lt;&gt;0,1,0)</f>
        <v>0</v>
      </c>
      <c r="AZ29"/>
      <c r="BA29" s="430" t="s">
        <v>968</v>
      </c>
      <c r="BB29" s="430" t="s">
        <v>779</v>
      </c>
      <c r="BC29" s="430" t="s">
        <v>75</v>
      </c>
      <c r="BD29" s="528" t="s">
        <v>969</v>
      </c>
      <c r="BE29" s="430" t="s">
        <v>966</v>
      </c>
      <c r="BF29" s="430" t="s">
        <v>967</v>
      </c>
      <c r="BG29" s="430" t="s">
        <v>970</v>
      </c>
      <c r="BH29" s="532" t="s">
        <v>971</v>
      </c>
      <c r="BI29" s="532" t="s">
        <v>972</v>
      </c>
      <c r="BJ29" s="532" t="s">
        <v>973</v>
      </c>
      <c r="BK29" s="400"/>
      <c r="BL29" s="224" cm="1">
        <f t="array" ref="BL29">_xlfn.IFS(AND(ENonCurrAssets[[#This Row],[Used]]=1,ENonCurrAssets[[#This Row],[Order]]=1),6,AND(ENonCurrAssets[[#This Row],[Used]]=1,ENonCurrAssets[[#This Row],[Order]]&gt;1),7,ENonCurrAssets[[#This Row],[Used]]=0,8)</f>
        <v>8</v>
      </c>
      <c r="BM29" t="s">
        <v>158</v>
      </c>
      <c r="BN29" s="421">
        <f>IF(ISNUMBER(_xlfn.XLOOKUP(ENonCurrAssets[[#This Row],[Account]],MD_Asset[Account Name],MD_Asset[Used])),_xlfn.XLOOKUP(ENonCurrAssets[[#This Row],[Account]],MD_Asset[Account Name],MD_Asset[Used]),0)</f>
        <v>0</v>
      </c>
      <c r="BO29" s="421">
        <f>IF(ENonCurrAssets[[#This Row],[Used]]=1,ENonCurrAssets[[#This Row],[Used]]+SUM(BN24:BN28),0)</f>
        <v>0</v>
      </c>
      <c r="BP29" s="419">
        <f>_xlfn.IFNA((_xlfn.XLOOKUP(ENonCurrAssets[[#This Row],[Account]],BegBalanceSheet_Assets[Account],BegBalanceSheet_Assets[Amount]))+SUMIF(Journal[Debit Account],ENonCurrAssets[[#This Row],[Account]],Journal[Dr Amt])-SUMIF(Journal[Credit Account],ENonCurrAssets[[#This Row],[Account]],Journal[Cr Amt]),0)</f>
        <v>0</v>
      </c>
      <c r="BQ29" s="419">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419" cm="1">
        <f t="array" aca="1" ref="BR29" ca="1">IF(ENonCurrAssets[[#This Row],[Account]]&lt;&gt;"",_xlfn._xlws.FILTER(FSBuilder[Amount],(FSBuilder[Account or Explanation]=ENonCurrAssets[[#This Row],[Account]])*(FSBuilder[Statement]="Ending Balance Sheet"),0),0)</f>
        <v>0</v>
      </c>
      <c r="BS29" s="445">
        <f>ENonCurrAssets[[#This Row],[Used]]*(ENonCurrAssets[[#This Row],[AmtJournal]]&lt;&gt;0)</f>
        <v>0</v>
      </c>
      <c r="BT29" s="445">
        <f>ENonCurrAssets[[#This Row],[Used]]*(ENonCurrAssets[[#This Row],[AmtAnswer]]&lt;&gt;0)</f>
        <v>0</v>
      </c>
      <c r="BU29" s="445">
        <f ca="1">ENonCurrAssets[[#This Row],[Used]]*(ENonCurrAssets[[#This Row],[AmtFSBuilder]]&lt;&gt;0)</f>
        <v>0</v>
      </c>
    </row>
    <row r="30" spans="2:73">
      <c r="B30" s="224" cm="1">
        <f t="array" ref="B30">_xlfn.IFS(AND(BNonCurrAssets[[#This Row],[Used]]=1,BNonCurrAssets[[#This Row],[Order]]=1),6,AND(BNonCurrAssets[[#This Row],[Used]]=1,BNonCurrAssets[[#This Row],[Order]]&gt;1),7,BNonCurrAssets[[#This Row],[Used]]=0,8)</f>
        <v>8</v>
      </c>
      <c r="C30" t="s">
        <v>158</v>
      </c>
      <c r="D30" s="421">
        <f>IF(ISNUMBER(_xlfn.XLOOKUP(BNonCurrAssets[[#This Row],[Account]],MD_Asset[Account Name],MD_Asset[Used])),_xlfn.XLOOKUP(BNonCurrAssets[[#This Row],[Account]],MD_Asset[Account Name],MD_Asset[Used]),0)</f>
        <v>0</v>
      </c>
      <c r="E30" s="421">
        <f>IF(BNonCurrAssets[[#This Row],[Used]]=1,BNonCurrAssets[[#This Row],[Used]]+SUM(D25:D29),0)</f>
        <v>0</v>
      </c>
      <c r="F30" s="419">
        <f>_xlfn.IFNA(_xlfn.XLOOKUP(C30,BegBalanceSheet_Assets[Account],BegBalanceSheet_Assets[Amount]),0)</f>
        <v>0</v>
      </c>
      <c r="G30" s="421"/>
      <c r="H30" s="224" cm="1">
        <f t="array" ref="H30">_xlfn.IFS(AND(IS_Expenses[[#This Row],[Used]]=1,IS_Expenses[[#This Row],[Order]]=1),6,AND(IS_Expenses[[#This Row],[Used]]=1,IS_Expenses[[#This Row],[Order]]&gt;1),7,IS_Expenses[[#This Row],[Used]]=0,8)</f>
        <v>8</v>
      </c>
      <c r="J30" s="421">
        <f>IF(ISNUMBER(_xlfn.XLOOKUP(IS_Expenses[[#This Row],[Account]],MD_Expense[Account Name],MD_Expense[Used])),_xlfn.XLOOKUP(IS_Expenses[[#This Row],[Account]],MD_Expense[Account Name],MD_Expense[Used]),0)</f>
        <v>0</v>
      </c>
      <c r="K30" s="421">
        <f>IF(IS_Expenses[[#This Row],[Used]]=1,IS_Expenses[[#This Row],[Used]]+SUM(J19:J30),0)</f>
        <v>0</v>
      </c>
      <c r="L30" s="419">
        <f>SUMIFS(Journal[Dr Amt],Journal[Debit Account],I30,Journal[ref1],"&lt;&gt;CL")</f>
        <v>0</v>
      </c>
      <c r="M30" s="419">
        <f>SUMIFS(JournalAnswer[Dr Amt],JournalAnswer[Debit Account],I30,JournalAnswer[ref1],"&lt;&gt;CL")</f>
        <v>0</v>
      </c>
      <c r="N30" s="419" t="str" cm="1">
        <f t="array" ref="N30">IF(IS_Expenses[[#This Row],[Account]]&lt;&gt;"",_xlfn._xlws.FILTER(FSBuilder[Amount],FSBuilder[Account or Explanation]=IS_Expenses[[#This Row],[Account]],0),"")</f>
        <v/>
      </c>
      <c r="O30" s="421">
        <f>IS_Expenses[[#This Row],[Used]]*(IS_Expenses[[#This Row],[AmtJournal]]&lt;&gt;0)</f>
        <v>0</v>
      </c>
      <c r="P30" s="421">
        <f>IS_Expenses[[#This Row],[Used]]*(IS_Expenses[[#This Row],[AmtAnswer]]&lt;&gt;0)</f>
        <v>0</v>
      </c>
      <c r="Q30" s="421">
        <f>IS_Expenses[[#This Row],[Used]]*(IS_Expenses[[#This Row],[AmtFSBuilder]]&lt;&gt;0)*Financial_Statement_Builder!$K$122</f>
        <v>0</v>
      </c>
      <c r="U30" s="224">
        <f ca="1"/>
        <v>0</v>
      </c>
      <c r="AP30" s="224">
        <v>3</v>
      </c>
      <c r="AQ30" s="213" t="s">
        <v>995</v>
      </c>
      <c r="AR30" s="421"/>
      <c r="AS30"/>
      <c r="AT30" s="401">
        <f>SUBTOTAL(9,AT20:AT29)</f>
        <v>0</v>
      </c>
      <c r="AU30" s="401">
        <f t="shared" ref="AU30:AV30" ca="1" si="4">SUBTOTAL(9,AU20:AU29)</f>
        <v>0</v>
      </c>
      <c r="AV30" s="401">
        <f t="shared" ca="1" si="4"/>
        <v>0</v>
      </c>
      <c r="AW30" s="421"/>
      <c r="AX30" s="421"/>
      <c r="AY30" s="421"/>
      <c r="AZ30"/>
      <c r="BA30" s="224">
        <f>IF(NI_CFO_Recon_Other[[#This Row],[Used]]=1,7,8)</f>
        <v>8</v>
      </c>
      <c r="BB30" t="s">
        <v>996</v>
      </c>
      <c r="BC30" s="400">
        <f>IF(ABS(NI_CFO_Recon_Other[[#This Row],[AmtJournal]])&gt;0,1,0)</f>
        <v>0</v>
      </c>
      <c r="BD30" s="400">
        <f>NI_CFO_Recon_Other[[#This Row],[Used]]</f>
        <v>0</v>
      </c>
      <c r="BE30" s="400">
        <f>SUMIFS(Journal[Cr Amt],Journal[Credit Account],"Accumulated Depreciation",Journal[ref1],"RecDeprExp")+SUMIFS(Journal[Cr Amt],Journal[Credit Account],"Accumulated Depreciation",Journal[ref1],"RecDeprAmortExp")</f>
        <v>0</v>
      </c>
      <c r="BF30" s="535">
        <f>SUMIFS(JournalAnswer[Cr Amt],JournalAnswer[Credit Account],"Accumulated Depreciation",JournalAnswer[ref1],"RecDeprExp")+SUMIFS(JournalAnswer[Cr Amt],JournalAnswer[Credit Account],"Accumulated Depreciation",JournalAnswer[ref1],"RecDeprAmortExp")</f>
        <v>0</v>
      </c>
      <c r="BG30" s="535" cm="1">
        <f t="array" aca="1" ref="BG30" ca="1">IF(NI_CFO_Recon_Other[[#This Row],[Account]]&lt;&gt;"",_xlfn._xlws.FILTER(FSBuilder[Amount],(FSBuilder[Account or Explanation]=NI_CFO_Recon_Other[[#This Row],[Account]])*(FSBuilder[Statement]="Cash Flow Statement"),0),0)</f>
        <v>0</v>
      </c>
      <c r="BH30" s="554">
        <f>IF(ABS(NI_CFO_Recon_Other[[#This Row],[AmtJournal]])&gt;0,1,0)</f>
        <v>0</v>
      </c>
      <c r="BI30" s="554">
        <f>IF(ABS(NI_CFO_Recon_Other[[#This Row],[AmtAnswer]])&gt;0,1,0)</f>
        <v>0</v>
      </c>
      <c r="BJ30" s="554">
        <f ca="1">IF(ABS(NI_CFO_Recon_Other[[#This Row],[AmtFSBuilder]])&gt;0,1,0)</f>
        <v>0</v>
      </c>
      <c r="BK30" s="400"/>
      <c r="BL30" s="224" cm="1">
        <f t="array" ref="BL30">_xlfn.IFS(AND(ENonCurrAssets[[#This Row],[Used]]=1,ENonCurrAssets[[#This Row],[Order]]=1),6,AND(ENonCurrAssets[[#This Row],[Used]]=1,ENonCurrAssets[[#This Row],[Order]]&gt;1),7,ENonCurrAssets[[#This Row],[Used]]=0,8)</f>
        <v>8</v>
      </c>
      <c r="BM30" t="s">
        <v>161</v>
      </c>
      <c r="BN30" s="421">
        <f>IF(ISNUMBER(_xlfn.XLOOKUP(ENonCurrAssets[[#This Row],[Account]],MD_Asset[Account Name],MD_Asset[Used])),_xlfn.XLOOKUP(ENonCurrAssets[[#This Row],[Account]],MD_Asset[Account Name],MD_Asset[Used]),0)</f>
        <v>0</v>
      </c>
      <c r="BO30" s="421">
        <f>IF(ENonCurrAssets[[#This Row],[Used]]=1,ENonCurrAssets[[#This Row],[Used]]+SUM(BN24:BN29),0)</f>
        <v>0</v>
      </c>
      <c r="BP30" s="419">
        <f>_xlfn.IFNA(-(_xlfn.XLOOKUP(ENonCurrAssets[[#This Row],[Account]],BegBalanceSheet_Assets[Account],BegBalanceSheet_Assets[Amount]))-SUMIF(Journal[Debit Account],ENonCurrAssets[[#This Row],[Account]],Journal[Dr Amt])+SUMIF(Journal[Credit Account],ENonCurrAssets[[#This Row],[Account]],Journal[Cr Amt]),0)</f>
        <v>0</v>
      </c>
      <c r="BQ30" s="419">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419" cm="1">
        <f t="array" aca="1" ref="BR30" ca="1">IF(ENonCurrAssets[[#This Row],[Account]]&lt;&gt;"",_xlfn._xlws.FILTER(FSBuilder[Amount],(FSBuilder[Account or Explanation]=ENonCurrAssets[[#This Row],[Account]])*(FSBuilder[Statement]="Ending Balance Sheet"),0),0)</f>
        <v>0</v>
      </c>
      <c r="BS30" s="445">
        <f>ENonCurrAssets[[#This Row],[Used]]*(ENonCurrAssets[[#This Row],[AmtJournal]]&lt;&gt;0)</f>
        <v>0</v>
      </c>
      <c r="BT30" s="445">
        <f>ENonCurrAssets[[#This Row],[Used]]*(ENonCurrAssets[[#This Row],[AmtAnswer]]&lt;&gt;0)</f>
        <v>0</v>
      </c>
      <c r="BU30" s="445">
        <f ca="1">ENonCurrAssets[[#This Row],[Used]]*(ENonCurrAssets[[#This Row],[AmtFSBuilder]]&lt;&gt;0)</f>
        <v>0</v>
      </c>
    </row>
    <row r="31" spans="2:73">
      <c r="B31" s="224" cm="1">
        <f t="array" ref="B31">_xlfn.IFS(AND(BNonCurrAssets[[#This Row],[Used]]=1,BNonCurrAssets[[#This Row],[Order]]=1),6,AND(BNonCurrAssets[[#This Row],[Used]]=1,BNonCurrAssets[[#This Row],[Order]]&gt;1),7,BNonCurrAssets[[#This Row],[Used]]=0,8)</f>
        <v>8</v>
      </c>
      <c r="C31" t="s">
        <v>161</v>
      </c>
      <c r="D31" s="421">
        <f>IF(ISNUMBER(_xlfn.XLOOKUP(BNonCurrAssets[[#This Row],[Account]],MD_Asset[Account Name],MD_Asset[Used])),_xlfn.XLOOKUP(BNonCurrAssets[[#This Row],[Account]],MD_Asset[Account Name],MD_Asset[Used]),0)</f>
        <v>0</v>
      </c>
      <c r="E31" s="421">
        <f>IF(BNonCurrAssets[[#This Row],[Used]]=1,BNonCurrAssets[[#This Row],[Used]]+SUM(D25:D30),0)</f>
        <v>0</v>
      </c>
      <c r="F31" s="419">
        <f>_xlfn.IFNA(_xlfn.XLOOKUP(C31,BegBalanceSheet_Assets[Account],BegBalanceSheet_Assets[Amount]),0)</f>
        <v>0</v>
      </c>
      <c r="G31" s="421"/>
      <c r="H31" s="224" cm="1">
        <f t="array" ref="H31">_xlfn.IFS(AND(IS_Expenses[[#This Row],[Used]]=1,IS_Expenses[[#This Row],[Order]]=1),6,AND(IS_Expenses[[#This Row],[Used]]=1,IS_Expenses[[#This Row],[Order]]&gt;1),7,IS_Expenses[[#This Row],[Used]]=0,8)</f>
        <v>8</v>
      </c>
      <c r="J31" s="421">
        <f>IF(ISNUMBER(_xlfn.XLOOKUP(IS_Expenses[[#This Row],[Account]],MD_Expense[Account Name],MD_Expense[Used])),_xlfn.XLOOKUP(IS_Expenses[[#This Row],[Account]],MD_Expense[Account Name],MD_Expense[Used]),0)</f>
        <v>0</v>
      </c>
      <c r="K31" s="421"/>
      <c r="L31" s="419">
        <f>SUMIFS(Journal[Dr Amt],Journal[Debit Account],I31,Journal[ref1],"&lt;&gt;CL")</f>
        <v>0</v>
      </c>
      <c r="M31" s="419">
        <f>SUMIFS(JournalAnswer[Dr Amt],JournalAnswer[Debit Account],I31,JournalAnswer[ref1],"&lt;&gt;CL")</f>
        <v>0</v>
      </c>
      <c r="N31" s="419" t="str" cm="1">
        <f t="array" ref="N31">IF(IS_Expenses[[#This Row],[Account]]&lt;&gt;"",_xlfn._xlws.FILTER(FSBuilder[Amount],FSBuilder[Account or Explanation]=IS_Expenses[[#This Row],[Account]],0),"")</f>
        <v/>
      </c>
      <c r="O31" s="421">
        <f>IS_Expenses[[#This Row],[Used]]*(IS_Expenses[[#This Row],[AmtJournal]]&lt;&gt;0)</f>
        <v>0</v>
      </c>
      <c r="P31" s="421">
        <f>IS_Expenses[[#This Row],[Used]]*(IS_Expenses[[#This Row],[AmtAnswer]]&lt;&gt;0)</f>
        <v>0</v>
      </c>
      <c r="Q31" s="421">
        <f>IS_Expenses[[#This Row],[Used]]*(IS_Expenses[[#This Row],[AmtFSBuilder]]&lt;&gt;0)*Financial_Statement_Builder!$K$122</f>
        <v>0</v>
      </c>
      <c r="U31" s="224">
        <f ca="1"/>
        <v>0</v>
      </c>
      <c r="AQ31" s="213"/>
      <c r="AR31" s="401"/>
      <c r="AS31" s="421"/>
      <c r="AT31"/>
      <c r="AU31"/>
      <c r="AV31"/>
      <c r="AW31"/>
      <c r="AX31"/>
      <c r="AY31"/>
      <c r="AZ31"/>
      <c r="BA31" s="224">
        <f>IF(NI_CFO_Recon_Other[[#This Row],[Used]]=1,7,8)</f>
        <v>8</v>
      </c>
      <c r="BB31" t="s">
        <v>997</v>
      </c>
      <c r="BC31" s="400">
        <f>IF(ABS(NI_CFO_Recon_Other[[#This Row],[AmtJournal]])&gt;0,1,0)</f>
        <v>0</v>
      </c>
      <c r="BD31" s="400">
        <f>NI_CFO_Recon_Other[[#This Row],[Used]]+BC30</f>
        <v>0</v>
      </c>
      <c r="BE31" s="440">
        <f>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f>
        <v>0</v>
      </c>
      <c r="BF31" s="535">
        <f>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f>
        <v>0</v>
      </c>
      <c r="BG31" s="535" cm="1">
        <f t="array" aca="1" ref="BG31" ca="1">IF(NI_CFO_Recon_Other[[#This Row],[Account]]&lt;&gt;"",_xlfn._xlws.FILTER(FSBuilder[Amount],(FSBuilder[Account or Explanation]=NI_CFO_Recon_Other[[#This Row],[Account]])*(FSBuilder[Statement]="Cash Flow Statement"),0),0)</f>
        <v>0</v>
      </c>
      <c r="BH31" s="554">
        <f>IF(ABS(NI_CFO_Recon_Other[[#This Row],[AmtJournal]])&gt;0,1,0)</f>
        <v>0</v>
      </c>
      <c r="BI31" s="554">
        <f>IF(ABS(NI_CFO_Recon_Other[[#This Row],[AmtAnswer]])&gt;0,1,0)</f>
        <v>0</v>
      </c>
      <c r="BJ31" s="554">
        <f ca="1">IF(ABS(NI_CFO_Recon_Other[[#This Row],[AmtFSBuilder]])&gt;0,1,0)</f>
        <v>0</v>
      </c>
      <c r="BK31" s="400"/>
      <c r="BL31" s="224" cm="1">
        <f t="array" ref="BL31">_xlfn.IFS(AND(ENonCurrAssets[[#This Row],[Used]]=1,ENonCurrAssets[[#This Row],[Order]]=1),6,AND(ENonCurrAssets[[#This Row],[Used]]=1,ENonCurrAssets[[#This Row],[Order]]&gt;1),7,ENonCurrAssets[[#This Row],[Used]]=0,8)</f>
        <v>7</v>
      </c>
      <c r="BM31" t="s">
        <v>164</v>
      </c>
      <c r="BN31" s="421">
        <f>IF(ISNUMBER(_xlfn.XLOOKUP(ENonCurrAssets[[#This Row],[Account]],MD_Asset[Account Name],MD_Asset[Used])),_xlfn.XLOOKUP(ENonCurrAssets[[#This Row],[Account]],MD_Asset[Account Name],MD_Asset[Used]),0)</f>
        <v>1</v>
      </c>
      <c r="BO31" s="421">
        <f>IF(ENonCurrAssets[[#This Row],[Used]]=1,ENonCurrAssets[[#This Row],[Used]]+SUM(BN24:BN30),0)</f>
        <v>2</v>
      </c>
      <c r="BP31" s="419">
        <f>_xlfn.IFNA((_xlfn.XLOOKUP(ENonCurrAssets[[#This Row],[Account]],BegBalanceSheet_Assets[Account],BegBalanceSheet_Assets[Amount]))+SUMIF(Journal[Debit Account],ENonCurrAssets[[#This Row],[Account]],Journal[Dr Amt])-SUMIF(Journal[Credit Account],ENonCurrAssets[[#This Row],[Account]],Journal[Cr Amt]),0)</f>
        <v>0</v>
      </c>
      <c r="BQ31" s="419">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419" cm="1">
        <f t="array" aca="1" ref="BR31" ca="1">IF(ENonCurrAssets[[#This Row],[Account]]&lt;&gt;"",_xlfn._xlws.FILTER(FSBuilder[Amount],(FSBuilder[Account or Explanation]=ENonCurrAssets[[#This Row],[Account]])*(FSBuilder[Statement]="Ending Balance Sheet"),0),0)</f>
        <v>0</v>
      </c>
      <c r="BS31" s="445">
        <f>ENonCurrAssets[[#This Row],[Used]]*(ENonCurrAssets[[#This Row],[AmtJournal]]&lt;&gt;0)</f>
        <v>0</v>
      </c>
      <c r="BT31" s="445">
        <f>ENonCurrAssets[[#This Row],[Used]]*(ENonCurrAssets[[#This Row],[AmtAnswer]]&lt;&gt;0)</f>
        <v>0</v>
      </c>
      <c r="BU31" s="445">
        <f ca="1">ENonCurrAssets[[#This Row],[Used]]*(ENonCurrAssets[[#This Row],[AmtFSBuilder]]&lt;&gt;0)</f>
        <v>0</v>
      </c>
    </row>
    <row r="32" spans="2:73">
      <c r="B32" s="224" cm="1">
        <f t="array" ref="B32">_xlfn.IFS(AND(BNonCurrAssets[[#This Row],[Used]]=1,BNonCurrAssets[[#This Row],[Order]]=1),6,AND(BNonCurrAssets[[#This Row],[Used]]=1,BNonCurrAssets[[#This Row],[Order]]&gt;1),7,BNonCurrAssets[[#This Row],[Used]]=0,8)</f>
        <v>7</v>
      </c>
      <c r="C32" t="s">
        <v>164</v>
      </c>
      <c r="D32" s="421">
        <f>IF(ISNUMBER(_xlfn.XLOOKUP(BNonCurrAssets[[#This Row],[Account]],MD_Asset[Account Name],MD_Asset[Used])),_xlfn.XLOOKUP(BNonCurrAssets[[#This Row],[Account]],MD_Asset[Account Name],MD_Asset[Used]),0)</f>
        <v>1</v>
      </c>
      <c r="E32" s="421">
        <f>IF(BNonCurrAssets[[#This Row],[Used]]=1,BNonCurrAssets[[#This Row],[Used]]+SUM(D25:D31),0)</f>
        <v>2</v>
      </c>
      <c r="F32" s="419">
        <f>_xlfn.IFNA(_xlfn.XLOOKUP(C32,BegBalanceSheet_Assets[Account],BegBalanceSheet_Assets[Amount]),0)</f>
        <v>0</v>
      </c>
      <c r="G32" s="421"/>
      <c r="H32" s="224">
        <v>5</v>
      </c>
      <c r="I32" s="5" t="s">
        <v>865</v>
      </c>
      <c r="J32" s="444"/>
      <c r="K32" s="444"/>
      <c r="L32" s="418">
        <f>SUBTOTAL(9,L19:L31)</f>
        <v>0</v>
      </c>
      <c r="M32" s="418">
        <f t="shared" ref="M32:N32" ca="1" si="5">SUBTOTAL(9,M19:M31)</f>
        <v>6</v>
      </c>
      <c r="N32" s="418">
        <f t="shared" ca="1" si="5"/>
        <v>0</v>
      </c>
      <c r="O32" s="421"/>
      <c r="P32" s="421"/>
      <c r="Q32" s="421"/>
      <c r="U32" s="224">
        <f ca="1"/>
        <v>0</v>
      </c>
      <c r="AP32" s="423" t="s">
        <v>998</v>
      </c>
      <c r="AQ32" s="213"/>
      <c r="AR32" s="401"/>
      <c r="AS32"/>
      <c r="AT32"/>
      <c r="AU32"/>
      <c r="AV32"/>
      <c r="AW32"/>
      <c r="AX32"/>
      <c r="AY32"/>
      <c r="AZ32"/>
      <c r="BA32" s="224">
        <f>IF(NI_CFO_Recon_Other[[#This Row],[Used]]=1,7,8)</f>
        <v>8</v>
      </c>
      <c r="BB32" t="s">
        <v>999</v>
      </c>
      <c r="BC32" s="400">
        <f>IF(ABS(NI_CFO_Recon_Other[[#This Row],[AmtJournal]])&gt;0,1,0)</f>
        <v>0</v>
      </c>
      <c r="BD32" s="400">
        <f>NI_CFO_Recon_Other[[#This Row],[Used]]+SUM(BC30:BC31)</f>
        <v>0</v>
      </c>
      <c r="BE32" s="440">
        <f>SUMIFS(Journal[Cr Amt],Journal[Credit Account],"Common Stock",Journal[ref1],"SBC")+SUMIFS(Journal[Cr Amt],Journal[Credit Account],"Additional Paid-in Capital",Journal[ref1],"SBC")</f>
        <v>0</v>
      </c>
      <c r="BF32" s="535">
        <f ca="1">SUMIFS(JournalAnswer[Cr Amt],JournalAnswer[Credit Account],"Common Stock",JournalAnswer[ref1],"SBC")+SUMIFS(JournalAnswer[Cr Amt],JournalAnswer[Credit Account],"Additional Paid-in Capital",JournalAnswer[ref1],"SBC")</f>
        <v>0</v>
      </c>
      <c r="BG32" s="535" cm="1">
        <f t="array" aca="1" ref="BG32" ca="1">IF(NI_CFO_Recon_Other[[#This Row],[Account]]&lt;&gt;"",_xlfn._xlws.FILTER(FSBuilder[Amount],(FSBuilder[Account or Explanation]=NI_CFO_Recon_Other[[#This Row],[Account]])*(FSBuilder[Statement]="Cash Flow Statement"),0),0)</f>
        <v>0</v>
      </c>
      <c r="BH32" s="554">
        <f>IF(ABS(NI_CFO_Recon_Other[[#This Row],[AmtJournal]])&gt;0,1,0)</f>
        <v>0</v>
      </c>
      <c r="BI32" s="554">
        <f ca="1">IF(ABS(NI_CFO_Recon_Other[[#This Row],[AmtAnswer]])&gt;0,1,0)</f>
        <v>0</v>
      </c>
      <c r="BJ32" s="554">
        <f ca="1">IF(ABS(NI_CFO_Recon_Other[[#This Row],[AmtFSBuilder]])&gt;0,1,0)</f>
        <v>0</v>
      </c>
      <c r="BK32" s="400"/>
      <c r="BL32" s="224" cm="1">
        <f t="array" ref="BL32">_xlfn.IFS(AND(ENonCurrAssets[[#This Row],[Used]]=1,ENonCurrAssets[[#This Row],[Order]]=1),6,AND(ENonCurrAssets[[#This Row],[Used]]=1,ENonCurrAssets[[#This Row],[Order]]&gt;1),7,ENonCurrAssets[[#This Row],[Used]]=0,8)</f>
        <v>8</v>
      </c>
      <c r="BN32" s="421">
        <f>IF(ISNUMBER(_xlfn.XLOOKUP(ENonCurrAssets[[#This Row],[Account]],MD_Asset[Account Name],MD_Asset[Used])),_xlfn.XLOOKUP(ENonCurrAssets[[#This Row],[Account]],MD_Asset[Account Name],MD_Asset[Used]),0)</f>
        <v>0</v>
      </c>
      <c r="BO32" s="421">
        <f>IF(ENonCurrAssets[[#This Row],[Used]]=1,ENonCurrAssets[[#This Row],[Used]]+SUM(BN24:BN31),0)</f>
        <v>0</v>
      </c>
      <c r="BP32" s="419">
        <f>_xlfn.IFNA((_xlfn.XLOOKUP(ENonCurrAssets[[#This Row],[Account]],BegBalanceSheet_Assets[Account],BegBalanceSheet_Assets[Amount]))+SUMIF(Journal[Debit Account],ENonCurrAssets[[#This Row],[Account]],Journal[Dr Amt])-SUMIF(Journal[Credit Account],ENonCurrAssets[[#This Row],[Account]],Journal[Cr Amt]),0)</f>
        <v>0</v>
      </c>
      <c r="BQ32" s="419">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419" cm="1">
        <f t="array" ref="BR32">IF(ENonCurrAssets[[#This Row],[Account]]&lt;&gt;"",_xlfn._xlws.FILTER(FSBuilder[Amount],(FSBuilder[Account or Explanation]=ENonCurrAssets[[#This Row],[Account]])*(FSBuilder[Statement]="Ending Balance Sheet"),0),0)</f>
        <v>0</v>
      </c>
      <c r="BS32" s="445">
        <f>ENonCurrAssets[[#This Row],[Used]]*(ENonCurrAssets[[#This Row],[AmtJournal]]&lt;&gt;0)</f>
        <v>0</v>
      </c>
      <c r="BT32" s="445">
        <f>ENonCurrAssets[[#This Row],[Used]]*(ENonCurrAssets[[#This Row],[AmtAnswer]]&lt;&gt;0)</f>
        <v>0</v>
      </c>
      <c r="BU32" s="445">
        <f>ENonCurrAssets[[#This Row],[Used]]*(ENonCurrAssets[[#This Row],[AmtFSBuilder]]&lt;&gt;0)</f>
        <v>0</v>
      </c>
    </row>
    <row r="33" spans="2:73">
      <c r="B33" s="224" cm="1">
        <f t="array" ref="B33">_xlfn.IFS(AND(BNonCurrAssets[[#This Row],[Used]]=1,BNonCurrAssets[[#This Row],[Order]]=1),6,AND(BNonCurrAssets[[#This Row],[Used]]=1,BNonCurrAssets[[#This Row],[Order]]&gt;1),7,BNonCurrAssets[[#This Row],[Used]]=0,8)</f>
        <v>8</v>
      </c>
      <c r="D33" s="421">
        <f>IF(ISNUMBER(_xlfn.XLOOKUP(BNonCurrAssets[[#This Row],[Account]],MD_Asset[Account Name],MD_Asset[Used])),_xlfn.XLOOKUP(BNonCurrAssets[[#This Row],[Account]],MD_Asset[Account Name],MD_Asset[Used]),0)</f>
        <v>0</v>
      </c>
      <c r="E33" s="421">
        <f>IF(BNonCurrAssets[[#This Row],[Used]]=1,BNonCurrAssets[[#This Row],[Used]]+SUM(D25:D32),0)</f>
        <v>0</v>
      </c>
      <c r="F33" s="419" t="str">
        <f>IF(NOT(ISBLANK(C33)),_xlfn.XLOOKUP(C33,BegBalanceSheet_Assets[Account],BegBalanceSheet_Assets[Amount]),"")</f>
        <v/>
      </c>
      <c r="G33" s="421"/>
      <c r="J33" s="348"/>
      <c r="K33" s="348"/>
      <c r="L33" s="348"/>
      <c r="M33" s="348"/>
      <c r="N33" s="348"/>
      <c r="O33" s="348"/>
      <c r="P33" s="348"/>
      <c r="Q33" s="348"/>
      <c r="U33" s="224">
        <f ca="1"/>
        <v>0</v>
      </c>
      <c r="AP33" s="430" t="s">
        <v>968</v>
      </c>
      <c r="AQ33" s="430" t="s">
        <v>779</v>
      </c>
      <c r="AR33" s="430" t="s">
        <v>75</v>
      </c>
      <c r="AS33" s="528" t="s">
        <v>969</v>
      </c>
      <c r="AT33" s="430" t="s">
        <v>966</v>
      </c>
      <c r="AU33" s="430" t="s">
        <v>967</v>
      </c>
      <c r="AV33" s="430" t="s">
        <v>970</v>
      </c>
      <c r="AW33" s="430" t="s">
        <v>971</v>
      </c>
      <c r="AX33" s="430" t="s">
        <v>972</v>
      </c>
      <c r="AY33" s="430" t="s">
        <v>973</v>
      </c>
      <c r="AZ33"/>
      <c r="BA33" s="224">
        <f>IF(NI_CFO_Recon_Other[[#This Row],[Used]]=1,7,8)</f>
        <v>8</v>
      </c>
      <c r="BC33" s="400">
        <f>IF(ABS(NI_CFO_Recon_Other[[#This Row],[AmtJournal]])&gt;0,1,0)</f>
        <v>0</v>
      </c>
      <c r="BD33" s="400">
        <f>NI_CFO_Recon_Other[[#This Row],[Used]]+SUM(BC30:BC32)</f>
        <v>0</v>
      </c>
      <c r="BE33" s="440">
        <f>SUMIFS(Journal[Cr Amt],Journal[Credit Account],"Common Stock",Journal[ref1],"SBC")+SUMIFS(Journal[Cr Amt],Journal[Credit Account],"Additional Paid-in Capital",Journal[ref1],"SBC")</f>
        <v>0</v>
      </c>
      <c r="BF33" s="535">
        <f ca="1">SUMIFS(JournalAnswer[Cr Amt],JournalAnswer[Credit Account],"Common Stock",JournalAnswer[ref1],"SBC")+SUMIFS(JournalAnswer[Cr Amt],JournalAnswer[Credit Account],"Additional Paid-in Capital",JournalAnswer[ref1],"SBC")</f>
        <v>0</v>
      </c>
      <c r="BG33" s="535" cm="1">
        <f t="array" ref="BG33">IF(NI_CFO_Recon_Other[[#This Row],[Account]]&lt;&gt;"",_xlfn._xlws.FILTER(FSBuilder[Amount],(FSBuilder[Account or Explanation]=NI_CFO_Recon_Other[[#This Row],[Account]])*(FSBuilder[Statement]="Cash Flow Statement"),0),0)</f>
        <v>0</v>
      </c>
      <c r="BH33" s="554">
        <f>IF(ABS(NI_CFO_Recon_Other[[#This Row],[AmtJournal]])&gt;0,1,0)</f>
        <v>0</v>
      </c>
      <c r="BI33" s="554">
        <f ca="1">IF(ABS(NI_CFO_Recon_Other[[#This Row],[AmtAnswer]])&gt;0,1,0)</f>
        <v>0</v>
      </c>
      <c r="BJ33" s="554">
        <f>IF(ABS(NI_CFO_Recon_Other[[#This Row],[AmtFSBuilder]])&gt;0,1,0)</f>
        <v>0</v>
      </c>
      <c r="BL33" s="224" cm="1">
        <f t="array" ref="BL33">_xlfn.IFS(AND(ENonCurrAssets[[#This Row],[Used]]=1,ENonCurrAssets[[#This Row],[Order]]=1),6,AND(ENonCurrAssets[[#This Row],[Used]]=1,ENonCurrAssets[[#This Row],[Order]]&gt;1),7,ENonCurrAssets[[#This Row],[Used]]=0,8)</f>
        <v>8</v>
      </c>
      <c r="BN33" s="421">
        <f>IF(ISNUMBER(_xlfn.XLOOKUP(ENonCurrAssets[[#This Row],[Account]],MD_Asset[Account Name],MD_Asset[Used])),_xlfn.XLOOKUP(ENonCurrAssets[[#This Row],[Account]],MD_Asset[Account Name],MD_Asset[Used]),0)</f>
        <v>0</v>
      </c>
      <c r="BO33" s="421">
        <f>IF(ENonCurrAssets[[#This Row],[Used]]=1,ENonCurrAssets[[#This Row],[Used]]+SUM(BN24:BN32),0)</f>
        <v>0</v>
      </c>
      <c r="BP33" s="419">
        <f>_xlfn.IFNA((_xlfn.XLOOKUP(ENonCurrAssets[[#This Row],[Account]],BegBalanceSheet_Assets[Account],BegBalanceSheet_Assets[Amount]))+SUMIF(Journal[Debit Account],ENonCurrAssets[[#This Row],[Account]],Journal[Dr Amt])-SUMIF(Journal[Credit Account],ENonCurrAssets[[#This Row],[Account]],Journal[Cr Amt]),0)</f>
        <v>0</v>
      </c>
      <c r="BQ33" s="419">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419" cm="1">
        <f t="array" ref="BR33">IF(ENonCurrAssets[[#This Row],[Account]]&lt;&gt;"",_xlfn._xlws.FILTER(FSBuilder[Amount],(FSBuilder[Account or Explanation]=ENonCurrAssets[[#This Row],[Account]])*(FSBuilder[Statement]="Ending Balance Sheet"),0),0)</f>
        <v>0</v>
      </c>
      <c r="BS33" s="445">
        <f>ENonCurrAssets[[#This Row],[Used]]*(ENonCurrAssets[[#This Row],[AmtJournal]]&lt;&gt;0)</f>
        <v>0</v>
      </c>
      <c r="BT33" s="445">
        <f>ENonCurrAssets[[#This Row],[Used]]*(ENonCurrAssets[[#This Row],[AmtAnswer]]&lt;&gt;0)</f>
        <v>0</v>
      </c>
      <c r="BU33" s="445">
        <f>ENonCurrAssets[[#This Row],[Used]]*(ENonCurrAssets[[#This Row],[AmtFSBuilder]]&lt;&gt;0)</f>
        <v>0</v>
      </c>
    </row>
    <row r="34" spans="2:73">
      <c r="B34" s="224" cm="1">
        <f t="array" ref="B34">_xlfn.IFS(AND(BNonCurrAssets[[#This Row],[Used]]=1,BNonCurrAssets[[#This Row],[Order]]=1),6,AND(BNonCurrAssets[[#This Row],[Used]]=1,BNonCurrAssets[[#This Row],[Order]]&gt;1),7,BNonCurrAssets[[#This Row],[Used]]=0,8)</f>
        <v>8</v>
      </c>
      <c r="D34" s="421">
        <f>IF(ISNUMBER(_xlfn.XLOOKUP(BNonCurrAssets[[#This Row],[Account]],MD_Asset[Account Name],MD_Asset[Used])),_xlfn.XLOOKUP(BNonCurrAssets[[#This Row],[Account]],MD_Asset[Account Name],MD_Asset[Used]),0)</f>
        <v>0</v>
      </c>
      <c r="E34" s="421">
        <f>IF(BNonCurrAssets[[#This Row],[Used]]=1,BNonCurrAssets[[#This Row],[Used]]+SUM(D25:D33),0)</f>
        <v>0</v>
      </c>
      <c r="F34" s="419" t="str">
        <f>IF(NOT(ISBLANK(C34)),_xlfn.XLOOKUP(C34,BegBalanceSheet_Assets[Account],BegBalanceSheet_Assets[Amount]),"")</f>
        <v/>
      </c>
      <c r="G34" s="421"/>
      <c r="H34" s="5" t="s">
        <v>308</v>
      </c>
      <c r="J34" s="348"/>
      <c r="K34" s="348"/>
      <c r="L34" s="348"/>
      <c r="M34" s="348"/>
      <c r="N34" s="348"/>
      <c r="O34" s="348"/>
      <c r="P34" s="348"/>
      <c r="Q34" s="348"/>
      <c r="AP34" s="224" cm="1">
        <f t="array" ref="AP34">_xlfn.IFS(AND(CFS_CFF[[#This Row],[Used]]=1,CFS_CFF[[#This Row],[Order]]=1),6,AND(CFS_CFF[[#This Row],[Used]]=1,CFS_CFF[[#This Row],[Order]]&gt;1),7,CFS_CFF[[#This Row],[Used]]=0,8)</f>
        <v>8</v>
      </c>
      <c r="AQ34" t="s">
        <v>369</v>
      </c>
      <c r="AR34" s="435">
        <f>IF(ABS(CFS_CFF[[#This Row],[AmtJournal]])&gt;0,1,0)</f>
        <v>0</v>
      </c>
      <c r="AS34" s="435">
        <f>CFS_CFF[[#This Row],[Used]]</f>
        <v>0</v>
      </c>
      <c r="AT34" s="401">
        <f>SUMIFS(Journal[Dr Amt],Journal[ref1],"ICS",Journal[Debit Account],"Cash")</f>
        <v>0</v>
      </c>
      <c r="AU34" s="401">
        <f ca="1">SUMIFS(JournalAnswer[Dr Amt],JournalAnswer[ref1],"ICS",JournalAnswer[Debit Account],"Cash")</f>
        <v>50</v>
      </c>
      <c r="AV34" s="401" cm="1">
        <f t="array" aca="1" ref="AV34" ca="1">IF(CFS_CFF[[#This Row],[Account]]&lt;&gt;"",_xlfn._xlws.FILTER(FSBuilder[Amount],FSBuilder[Account or Explanation]=CFS_CFF[[#This Row],[Account]],0),"")</f>
        <v>0</v>
      </c>
      <c r="AW34" s="435">
        <f>IF(CFS_CFF[[#This Row],[AmtJournal]]&lt;&gt;0,1,0)</f>
        <v>0</v>
      </c>
      <c r="AX34" s="435">
        <f ca="1">IF(CFS_CFF[[#This Row],[AmtAnswer]]&lt;&gt;0,1,0)</f>
        <v>1</v>
      </c>
      <c r="AY34" s="435">
        <f ca="1">IF(CFS_CFF[[#This Row],[AmtFSBuilder]]&lt;&gt;0,1,0)</f>
        <v>0</v>
      </c>
      <c r="AZ34"/>
      <c r="BA34" s="224">
        <f>IF(NI_CFO_Recon_Other[[#This Row],[Used]]=1,7,8)</f>
        <v>8</v>
      </c>
      <c r="BC34" s="400">
        <f>IF(ABS(NI_CFO_Recon_Other[[#This Row],[AmtJournal]])&gt;0,1,0)</f>
        <v>0</v>
      </c>
      <c r="BD34" s="400">
        <f>NI_CFO_Recon_Other[[#This Row],[Used]]+SUM(BC30:BC33)</f>
        <v>0</v>
      </c>
      <c r="BE34" s="440">
        <f>SUMIFS(Journal[Cr Amt],Journal[Credit Account],"Common Stock",Journal[ref1],"SBC")+SUMIFS(Journal[Cr Amt],Journal[Credit Account],"Additional Paid-in Capital",Journal[ref1],"SBC")</f>
        <v>0</v>
      </c>
      <c r="BF34" s="535">
        <f ca="1">SUMIFS(JournalAnswer[Cr Amt],JournalAnswer[Credit Account],"Common Stock",JournalAnswer[ref1],"SBC")+SUMIFS(JournalAnswer[Cr Amt],JournalAnswer[Credit Account],"Additional Paid-in Capital",JournalAnswer[ref1],"SBC")</f>
        <v>0</v>
      </c>
      <c r="BG34" s="535" cm="1">
        <f t="array" ref="BG34">IF(NI_CFO_Recon_Other[[#This Row],[Account]]&lt;&gt;"",_xlfn._xlws.FILTER(FSBuilder[Amount],(FSBuilder[Account or Explanation]=NI_CFO_Recon_Other[[#This Row],[Account]])*(FSBuilder[Statement]="Cash Flow Statement"),0),0)</f>
        <v>0</v>
      </c>
      <c r="BH34" s="554">
        <f>IF(ABS(NI_CFO_Recon_Other[[#This Row],[AmtJournal]])&gt;0,1,0)</f>
        <v>0</v>
      </c>
      <c r="BI34" s="554">
        <f ca="1">IF(ABS(NI_CFO_Recon_Other[[#This Row],[AmtAnswer]])&gt;0,1,0)</f>
        <v>0</v>
      </c>
      <c r="BJ34" s="554">
        <f>IF(ABS(NI_CFO_Recon_Other[[#This Row],[AmtFSBuilder]])&gt;0,1,0)</f>
        <v>0</v>
      </c>
      <c r="BK34" s="400"/>
      <c r="BL34" s="224">
        <v>5</v>
      </c>
      <c r="BM34" t="s">
        <v>853</v>
      </c>
      <c r="BN34" s="421">
        <v>1</v>
      </c>
      <c r="BO34" s="421"/>
      <c r="BP34" s="418">
        <f>SUBTOTAL(9,BP24:BP33)</f>
        <v>0</v>
      </c>
      <c r="BQ34" s="418">
        <f t="shared" ref="BQ34:BR34" si="6">SUBTOTAL(9,BQ24:BQ33)</f>
        <v>100</v>
      </c>
      <c r="BR34" s="418">
        <f t="shared" ca="1" si="6"/>
        <v>0</v>
      </c>
      <c r="BS34" s="445"/>
      <c r="BT34" s="445"/>
      <c r="BU34" s="445"/>
    </row>
    <row r="35" spans="2:73">
      <c r="B35" s="224">
        <v>5</v>
      </c>
      <c r="C35" t="s">
        <v>853</v>
      </c>
      <c r="D35" s="421"/>
      <c r="E35" s="421"/>
      <c r="F35" s="418">
        <f>SUBTOTAL(9,F25:F34)</f>
        <v>0</v>
      </c>
      <c r="G35" s="421"/>
      <c r="H35" s="430" t="s">
        <v>968</v>
      </c>
      <c r="I35" s="430" t="s">
        <v>779</v>
      </c>
      <c r="J35" s="430" t="s">
        <v>75</v>
      </c>
      <c r="K35" s="528" t="s">
        <v>969</v>
      </c>
      <c r="L35" s="430" t="s">
        <v>966</v>
      </c>
      <c r="M35" s="430" t="s">
        <v>967</v>
      </c>
      <c r="N35" s="430" t="s">
        <v>970</v>
      </c>
      <c r="O35" s="532" t="s">
        <v>971</v>
      </c>
      <c r="P35" s="532" t="s">
        <v>972</v>
      </c>
      <c r="Q35" s="532" t="s">
        <v>973</v>
      </c>
      <c r="AP35" s="224" cm="1">
        <f t="array" ref="AP35">_xlfn.IFS(AND(CFS_CFF[[#This Row],[Used]]=1,CFS_CFF[[#This Row],[Order]]=1),6,AND(CFS_CFF[[#This Row],[Used]]=1,CFS_CFF[[#This Row],[Order]]&gt;1),7,CFS_CFF[[#This Row],[Used]]=0,8)</f>
        <v>8</v>
      </c>
      <c r="AQ35" t="s">
        <v>371</v>
      </c>
      <c r="AR35" s="435">
        <f>IF(ABS(CFS_CFF[[#This Row],[AmtJournal]])&gt;0,1,0)</f>
        <v>0</v>
      </c>
      <c r="AS35" s="421">
        <f>IF(CFS_CFF[[#This Row],[Used]]&gt;0,CFS_CFF[[#This Row],[Used]]+AR34,0)</f>
        <v>0</v>
      </c>
      <c r="AT35" s="417">
        <f>SUMIFS(Journal[Dr Amt],Journal[ref1],"IPS",Journal[Debit Account],"Cash")</f>
        <v>0</v>
      </c>
      <c r="AU35" s="421">
        <f ca="1">SUMIFS(JournalAnswer[Dr Amt],JournalAnswer[ref1],"IPS",JournalAnswer[Debit Account],"Cash")</f>
        <v>0</v>
      </c>
      <c r="AV35" s="421" cm="1">
        <f t="array" aca="1" ref="AV35" ca="1">IF(CFS_CFF[[#This Row],[Account]]&lt;&gt;"",_xlfn._xlws.FILTER(FSBuilder[Amount],FSBuilder[Account or Explanation]=CFS_CFF[[#This Row],[Account]],0),"")</f>
        <v>0</v>
      </c>
      <c r="AW35" s="435">
        <f>IF(CFS_CFF[[#This Row],[AmtJournal]]&lt;&gt;0,1,0)</f>
        <v>0</v>
      </c>
      <c r="AX35" s="435">
        <f ca="1">IF(CFS_CFF[[#This Row],[AmtAnswer]]&lt;&gt;0,1,0)</f>
        <v>0</v>
      </c>
      <c r="AY35" s="435">
        <f ca="1">IF(CFS_CFF[[#This Row],[AmtFSBuilder]]&lt;&gt;0,1,0)</f>
        <v>0</v>
      </c>
      <c r="AZ35"/>
      <c r="BC35" s="400"/>
      <c r="BD35" s="400"/>
      <c r="BE35" s="400"/>
      <c r="BF35" s="400"/>
      <c r="BG35" s="400"/>
      <c r="BH35" s="400"/>
      <c r="BI35" s="400"/>
      <c r="BJ35" s="400"/>
      <c r="BK35" s="248"/>
      <c r="BL35" s="224">
        <v>3</v>
      </c>
      <c r="BM35" s="5" t="s">
        <v>854</v>
      </c>
      <c r="BN35" s="444"/>
      <c r="BO35" s="419"/>
      <c r="BP35" s="557">
        <f>BP20+BP34</f>
        <v>0</v>
      </c>
      <c r="BQ35" s="424">
        <f t="shared" ref="BQ35:BR35" si="7">BQ20+BQ34</f>
        <v>279</v>
      </c>
      <c r="BR35" s="424">
        <f t="shared" ca="1" si="7"/>
        <v>0</v>
      </c>
      <c r="BS35" s="424"/>
      <c r="BT35" s="424"/>
      <c r="BU35" s="424"/>
    </row>
    <row r="36" spans="2:73">
      <c r="B36" s="224">
        <v>3</v>
      </c>
      <c r="C36" s="5" t="s">
        <v>854</v>
      </c>
      <c r="D36" s="444"/>
      <c r="E36" s="419"/>
      <c r="F36" s="424">
        <f>F21+F35</f>
        <v>0</v>
      </c>
      <c r="G36" s="348"/>
      <c r="H36" s="224" cm="1">
        <f t="array" ref="H36">_xlfn.IFS(AND(IS_Gains[[#This Row],[Used]]=1,IS_Gains[[#This Row],[Order]]=1),6,AND(IS_Gains[[#This Row],[Used]]=1,IS_Gains[[#This Row],[Order]]&gt;1),7,IS_Gains[[#This Row],[Used]]=0,8)</f>
        <v>8</v>
      </c>
      <c r="I36" t="s">
        <v>310</v>
      </c>
      <c r="J36" s="421">
        <f>IF(ISNUMBER(_xlfn.XLOOKUP(IS_Gains[[#This Row],[Account]],MD_Gain[Account Name],MD_Gain[Used])),_xlfn.XLOOKUP(IS_Gains[[#This Row],[Account]],MD_Gain[Account Name],MD_Gain[Used]),0)</f>
        <v>0</v>
      </c>
      <c r="K36" s="421">
        <f>IS_Gains[[#This Row],[Used]]</f>
        <v>0</v>
      </c>
      <c r="L36" s="418">
        <f>SUMIFS(Journal[Cr Amt],Journal[Credit Account],I36,Journal[ref1],"&lt;&gt;CL")</f>
        <v>0</v>
      </c>
      <c r="M36" s="418">
        <f>SUMIFS(JournalAnswer[Cr Amt],JournalAnswer[Credit Account],I36,JournalAnswer[ref1],"&lt;&gt;CL")</f>
        <v>0</v>
      </c>
      <c r="N36" s="418" cm="1">
        <f t="array" aca="1" ref="N36" ca="1">IF(IS_Gains[[#This Row],[Account]]&lt;&gt;"",_xlfn._xlws.FILTER(FSBuilder[Amount],FSBuilder[Account or Explanation]=IS_Gains[[#This Row],[Account]],0),"")</f>
        <v>0</v>
      </c>
      <c r="O36" s="421">
        <f>IS_Gains[[#This Row],[Used]]*(IS_Gains[[#This Row],[AmtJournal]]&lt;&gt;0)</f>
        <v>0</v>
      </c>
      <c r="P36" s="421">
        <f>IS_Gains[[#This Row],[Used]]*(IS_Gains[[#This Row],[AmtAnswer]]&lt;&gt;0)</f>
        <v>0</v>
      </c>
      <c r="Q36" s="421">
        <f ca="1">IS_Gains[[#This Row],[Used]]*(IS_Gains[[#This Row],[AmtFSBuilder]]&lt;&gt;0)*Financial_Statement_Builder!$K$123</f>
        <v>0</v>
      </c>
      <c r="AP36" s="224" cm="1">
        <f t="array" ref="AP36">_xlfn.IFS(AND(CFS_CFF[[#This Row],[Used]]=1,CFS_CFF[[#This Row],[Order]]=1),6,AND(CFS_CFF[[#This Row],[Used]]=1,CFS_CFF[[#This Row],[Order]]&gt;1),7,CFS_CFF[[#This Row],[Used]]=0,8)</f>
        <v>8</v>
      </c>
      <c r="AQ36" t="s">
        <v>373</v>
      </c>
      <c r="AR36" s="435">
        <f>IF(ABS(CFS_CFF[[#This Row],[AmtJournal]])&gt;0,1,0)</f>
        <v>0</v>
      </c>
      <c r="AS36" s="435">
        <f>IF(CFS_CFF[[#This Row],[Used]]=1,CFS_CFF[[#This Row],[Used]]+SUM(AR34:AR35),0)</f>
        <v>0</v>
      </c>
      <c r="AT36" s="417">
        <f>SUMIFS(Journal[Dr Amt],Journal[ref1],"IB",Journal[Debit Account],"Cash")</f>
        <v>0</v>
      </c>
      <c r="AU36" s="435">
        <f ca="1">SUMIFS(JournalAnswer[Dr Amt],JournalAnswer[ref1],"IB",JournalAnswer[Debit Account],"Cash")</f>
        <v>0</v>
      </c>
      <c r="AV36" s="421" cm="1">
        <f t="array" aca="1" ref="AV36" ca="1">IF(CFS_CFF[[#This Row],[Account]]&lt;&gt;"",_xlfn._xlws.FILTER(FSBuilder[Amount],FSBuilder[Account or Explanation]=CFS_CFF[[#This Row],[Account]],0),"")</f>
        <v>0</v>
      </c>
      <c r="AW36" s="435">
        <f>IF(CFS_CFF[[#This Row],[AmtJournal]]&lt;&gt;0,1,0)</f>
        <v>0</v>
      </c>
      <c r="AX36" s="435">
        <f ca="1">IF(CFS_CFF[[#This Row],[AmtAnswer]]&lt;&gt;0,1,0)</f>
        <v>0</v>
      </c>
      <c r="AY36" s="435">
        <f ca="1">IF(CFS_CFF[[#This Row],[AmtFSBuilder]]&lt;&gt;0,1,0)</f>
        <v>0</v>
      </c>
      <c r="AZ36"/>
      <c r="BA36" s="441" t="s">
        <v>1000</v>
      </c>
      <c r="BK36" s="248"/>
      <c r="BN36" s="348"/>
      <c r="BO36" s="348"/>
      <c r="BP36" s="348"/>
    </row>
    <row r="37" spans="2:73">
      <c r="D37" s="348"/>
      <c r="E37" s="348"/>
      <c r="F37" s="348"/>
      <c r="G37" s="348"/>
      <c r="H37" s="224" cm="1">
        <f t="array" ref="H37">_xlfn.IFS(AND(IS_Gains[[#This Row],[Used]]=1,IS_Gains[[#This Row],[Order]]=1),6,AND(IS_Gains[[#This Row],[Used]]=1,IS_Gains[[#This Row],[Order]]&gt;1),7,IS_Gains[[#This Row],[Used]]=0,8)</f>
        <v>8</v>
      </c>
      <c r="I37" t="s">
        <v>313</v>
      </c>
      <c r="J37" s="421">
        <f>IF(ISNUMBER(_xlfn.XLOOKUP(IS_Gains[[#This Row],[Account]],MD_Gain[Account Name],MD_Gain[Used])),_xlfn.XLOOKUP(IS_Gains[[#This Row],[Account]],MD_Gain[Account Name],MD_Gain[Used]),0)</f>
        <v>0</v>
      </c>
      <c r="K37" s="421">
        <f>IF(IS_Gains[[#This Row],[Used]]=1,IS_Gains[[#This Row],[Used]]+J36,0)</f>
        <v>0</v>
      </c>
      <c r="L37" s="419">
        <f>SUMIFS(Journal[Cr Amt],Journal[Credit Account],I37,Journal[ref1],"&lt;&gt;CL")</f>
        <v>0</v>
      </c>
      <c r="M37" s="419">
        <f>SUMIFS(JournalAnswer[Cr Amt],JournalAnswer[Credit Account],I37,JournalAnswer[ref1],"&lt;&gt;CL")</f>
        <v>0</v>
      </c>
      <c r="N37" s="419" cm="1">
        <f t="array" aca="1" ref="N37" ca="1">IF(IS_Gains[[#This Row],[Account]]&lt;&gt;"",_xlfn._xlws.FILTER(FSBuilder[Amount],FSBuilder[Account or Explanation]=IS_Gains[[#This Row],[Account]],0),"")</f>
        <v>0</v>
      </c>
      <c r="O37" s="421">
        <f>IS_Gains[[#This Row],[Used]]*(IS_Gains[[#This Row],[AmtJournal]]&lt;&gt;0)</f>
        <v>0</v>
      </c>
      <c r="P37" s="421">
        <f>IS_Gains[[#This Row],[Used]]*(IS_Gains[[#This Row],[AmtAnswer]]&lt;&gt;0)</f>
        <v>0</v>
      </c>
      <c r="Q37" s="421">
        <f ca="1">IS_Gains[[#This Row],[Used]]*(IS_Gains[[#This Row],[AmtFSBuilder]]&lt;&gt;0)*Financial_Statement_Builder!$K$123</f>
        <v>0</v>
      </c>
      <c r="AP37" s="224" cm="1">
        <f t="array" ref="AP37">_xlfn.IFS(AND(CFS_CFF[[#This Row],[Used]]=1,CFS_CFF[[#This Row],[Order]]=1),6,AND(CFS_CFF[[#This Row],[Used]]=1,CFS_CFF[[#This Row],[Order]]&gt;1),7,CFS_CFF[[#This Row],[Used]]=0,8)</f>
        <v>8</v>
      </c>
      <c r="AQ37" t="s">
        <v>375</v>
      </c>
      <c r="AR37" s="435">
        <f>IF(ABS(CFS_CFF[[#This Row],[AmtJournal]])&gt;0,1,0)</f>
        <v>0</v>
      </c>
      <c r="AS37" s="435">
        <f>IF(CFS_CFF[[#This Row],[Used]]=1,CFS_CFF[[#This Row],[Used]]+SUM(AR34:AR36),0)</f>
        <v>0</v>
      </c>
      <c r="AT37" s="417">
        <f>SUMIFS(Journal[Dr Amt],Journal[ref1],"IN",Journal[Debit Account],"Cash")</f>
        <v>0</v>
      </c>
      <c r="AU37" s="435">
        <f ca="1">SUMIFS(JournalAnswer[Dr Amt],JournalAnswer[ref1],"IN",JournalAnswer[Debit Account],"Cash")</f>
        <v>0</v>
      </c>
      <c r="AV37" s="421" cm="1">
        <f t="array" aca="1" ref="AV37" ca="1">IF(CFS_CFF[[#This Row],[Account]]&lt;&gt;"",_xlfn._xlws.FILTER(FSBuilder[Amount],FSBuilder[Account or Explanation]=CFS_CFF[[#This Row],[Account]],0),"")</f>
        <v>0</v>
      </c>
      <c r="AW37" s="435">
        <f>IF(CFS_CFF[[#This Row],[AmtJournal]]&lt;&gt;0,1,0)</f>
        <v>0</v>
      </c>
      <c r="AX37" s="435">
        <f ca="1">IF(CFS_CFF[[#This Row],[AmtAnswer]]&lt;&gt;0,1,0)</f>
        <v>0</v>
      </c>
      <c r="AY37" s="435">
        <f ca="1">IF(CFS_CFF[[#This Row],[AmtFSBuilder]]&lt;&gt;0,1,0)</f>
        <v>0</v>
      </c>
      <c r="AZ37"/>
      <c r="BA37" s="5" t="s">
        <v>65</v>
      </c>
      <c r="BC37" s="400"/>
      <c r="BD37" s="400"/>
      <c r="BE37" s="400"/>
      <c r="BF37" s="400"/>
      <c r="BG37" s="400"/>
      <c r="BH37" s="400"/>
      <c r="BI37" s="400"/>
      <c r="BJ37" s="400"/>
      <c r="BK37" s="248"/>
      <c r="BL37" s="423" t="s">
        <v>66</v>
      </c>
      <c r="BN37" s="348"/>
      <c r="BO37" s="348"/>
      <c r="BP37" s="348"/>
    </row>
    <row r="38" spans="2:73">
      <c r="B38" s="423" t="s">
        <v>66</v>
      </c>
      <c r="D38" s="348"/>
      <c r="E38" s="348"/>
      <c r="F38" s="348"/>
      <c r="G38" s="348"/>
      <c r="H38" s="224" cm="1">
        <f t="array" ref="H38">_xlfn.IFS(AND(IS_Gains[[#This Row],[Used]]=1,IS_Gains[[#This Row],[Order]]=1),6,AND(IS_Gains[[#This Row],[Used]]=1,IS_Gains[[#This Row],[Order]]&gt;1),7,IS_Gains[[#This Row],[Used]]=0,8)</f>
        <v>8</v>
      </c>
      <c r="I38" t="s">
        <v>316</v>
      </c>
      <c r="J38" s="421">
        <f>IF(ISNUMBER(_xlfn.XLOOKUP(IS_Gains[[#This Row],[Account]],MD_Gain[Account Name],MD_Gain[Used])),_xlfn.XLOOKUP(IS_Gains[[#This Row],[Account]],MD_Gain[Account Name],MD_Gain[Used]),0)</f>
        <v>0</v>
      </c>
      <c r="K38" s="421">
        <f>IF(IS_Gains[[#This Row],[Used]]=1,IS_Gains[[#This Row],[Used]]+SUM(J36:J37),0)</f>
        <v>0</v>
      </c>
      <c r="L38" s="419">
        <f>SUMIFS(Journal[Cr Amt],Journal[Credit Account],I38,Journal[ref1],"&lt;&gt;CL")</f>
        <v>0</v>
      </c>
      <c r="M38" s="419">
        <f>SUMIFS(JournalAnswer[Cr Amt],JournalAnswer[Credit Account],I38,JournalAnswer[ref1],"&lt;&gt;CL")</f>
        <v>0</v>
      </c>
      <c r="N38" s="419" cm="1">
        <f t="array" aca="1" ref="N38" ca="1">IF(IS_Gains[[#This Row],[Account]]&lt;&gt;"",_xlfn._xlws.FILTER(FSBuilder[Amount],FSBuilder[Account or Explanation]=IS_Gains[[#This Row],[Account]],0),"")</f>
        <v>0</v>
      </c>
      <c r="O38" s="421">
        <f>IS_Gains[[#This Row],[Used]]*(IS_Gains[[#This Row],[AmtJournal]]&lt;&gt;0)</f>
        <v>0</v>
      </c>
      <c r="P38" s="421">
        <f>IS_Gains[[#This Row],[Used]]*(IS_Gains[[#This Row],[AmtAnswer]]&lt;&gt;0)</f>
        <v>0</v>
      </c>
      <c r="Q38" s="421">
        <f ca="1">IS_Gains[[#This Row],[Used]]*(IS_Gains[[#This Row],[AmtFSBuilder]]&lt;&gt;0)*Financial_Statement_Builder!$K$123</f>
        <v>0</v>
      </c>
      <c r="AP38" s="224" cm="1">
        <f t="array" ref="AP38">_xlfn.IFS(AND(CFS_CFF[[#This Row],[Used]]=1,CFS_CFF[[#This Row],[Order]]=1),6,AND(CFS_CFF[[#This Row],[Used]]=1,CFS_CFF[[#This Row],[Order]]&gt;1),7,CFS_CFF[[#This Row],[Used]]=0,8)</f>
        <v>8</v>
      </c>
      <c r="AQ38" t="s">
        <v>1001</v>
      </c>
      <c r="AR38" s="435">
        <f>IF(ABS(CFS_CFF[[#This Row],[AmtJournal]])&gt;0,1,0)</f>
        <v>0</v>
      </c>
      <c r="AS38" s="435">
        <f>IF(CFS_CFF[[#This Row],[Used]]=1,CFS_CFF[[#This Row],[Used]]+SUM(AR34:AR37),0)</f>
        <v>0</v>
      </c>
      <c r="AT38" s="417">
        <f>SUMIFS(Journal[Dr Amt],Journal[ref1],"IONCL",Journal[Debit Account],"Cash")</f>
        <v>0</v>
      </c>
      <c r="AU38" s="435">
        <f ca="1">SUMIFS(JournalAnswer[Dr Amt],JournalAnswer[ref1],"IONCL",JournalAnswer[Debit Account],"Cash")</f>
        <v>0</v>
      </c>
      <c r="AV38" s="421" cm="1">
        <f t="array" aca="1" ref="AV38" ca="1">IF(CFS_CFF[[#This Row],[Account]]&lt;&gt;"",_xlfn._xlws.FILTER(FSBuilder[Amount],FSBuilder[Account or Explanation]=CFS_CFF[[#This Row],[Account]],0),"")</f>
        <v>0</v>
      </c>
      <c r="AW38" s="435">
        <f>IF(CFS_CFF[[#This Row],[AmtJournal]]&lt;&gt;0,1,0)</f>
        <v>0</v>
      </c>
      <c r="AX38" s="435">
        <f ca="1">IF(CFS_CFF[[#This Row],[AmtAnswer]]&lt;&gt;0,1,0)</f>
        <v>0</v>
      </c>
      <c r="AY38" s="435">
        <f ca="1">IF(CFS_CFF[[#This Row],[AmtFSBuilder]]&lt;&gt;0,1,0)</f>
        <v>0</v>
      </c>
      <c r="AZ38"/>
      <c r="BA38" s="430" t="s">
        <v>968</v>
      </c>
      <c r="BB38" s="430" t="s">
        <v>779</v>
      </c>
      <c r="BC38" s="430" t="s">
        <v>75</v>
      </c>
      <c r="BD38" s="528" t="s">
        <v>969</v>
      </c>
      <c r="BE38" s="430" t="s">
        <v>966</v>
      </c>
      <c r="BF38" s="430" t="s">
        <v>967</v>
      </c>
      <c r="BG38" s="430" t="s">
        <v>970</v>
      </c>
      <c r="BH38" s="532" t="s">
        <v>971</v>
      </c>
      <c r="BI38" s="532" t="s">
        <v>972</v>
      </c>
      <c r="BJ38" s="532" t="s">
        <v>973</v>
      </c>
      <c r="BK38" s="248"/>
      <c r="BL38" s="5" t="s">
        <v>890</v>
      </c>
      <c r="BN38" s="348"/>
      <c r="BO38" s="348"/>
      <c r="BP38" s="348"/>
    </row>
    <row r="39" spans="2:73">
      <c r="B39" s="5" t="s">
        <v>890</v>
      </c>
      <c r="D39" s="348"/>
      <c r="E39" s="348"/>
      <c r="F39" s="348"/>
      <c r="G39" s="348"/>
      <c r="H39" s="224" cm="1">
        <f t="array" ref="H39">_xlfn.IFS(AND(IS_Gains[[#This Row],[Used]]=1,IS_Gains[[#This Row],[Order]]=1),6,AND(IS_Gains[[#This Row],[Used]]=1,IS_Gains[[#This Row],[Order]]&gt;1),7,IS_Gains[[#This Row],[Used]]=0,8)</f>
        <v>8</v>
      </c>
      <c r="I39" t="s">
        <v>319</v>
      </c>
      <c r="J39" s="421">
        <f>IF(ISNUMBER(_xlfn.XLOOKUP(IS_Gains[[#This Row],[Account]],MD_Gain[Account Name],MD_Gain[Used])),_xlfn.XLOOKUP(IS_Gains[[#This Row],[Account]],MD_Gain[Account Name],MD_Gain[Used]),0)</f>
        <v>0</v>
      </c>
      <c r="K39" s="421">
        <f>IF(IS_Gains[[#This Row],[Used]]=1,IS_Gains[[#This Row],[Used]]+SUM(J36:J38),0)</f>
        <v>0</v>
      </c>
      <c r="L39" s="419">
        <f>SUMIFS(Journal[Cr Amt],Journal[Credit Account],I39,Journal[ref1],"&lt;&gt;CL")</f>
        <v>0</v>
      </c>
      <c r="M39" s="419">
        <f>SUMIFS(JournalAnswer[Cr Amt],JournalAnswer[Credit Account],I39,JournalAnswer[ref1],"&lt;&gt;CL")</f>
        <v>0</v>
      </c>
      <c r="N39" s="419" cm="1">
        <f t="array" aca="1" ref="N39" ca="1">IF(IS_Gains[[#This Row],[Account]]&lt;&gt;"",_xlfn._xlws.FILTER(FSBuilder[Amount],FSBuilder[Account or Explanation]=IS_Gains[[#This Row],[Account]],0),"")</f>
        <v>0</v>
      </c>
      <c r="O39" s="421">
        <f>IS_Gains[[#This Row],[Used]]*(IS_Gains[[#This Row],[AmtJournal]]&lt;&gt;0)</f>
        <v>0</v>
      </c>
      <c r="P39" s="421">
        <f>IS_Gains[[#This Row],[Used]]*(IS_Gains[[#This Row],[AmtAnswer]]&lt;&gt;0)</f>
        <v>0</v>
      </c>
      <c r="Q39" s="421">
        <f ca="1">IS_Gains[[#This Row],[Used]]*(IS_Gains[[#This Row],[AmtFSBuilder]]&lt;&gt;0)*Financial_Statement_Builder!$K$123</f>
        <v>0</v>
      </c>
      <c r="AP39" s="224" cm="1">
        <f t="array" ref="AP39">_xlfn.IFS(AND(CFS_CFF[[#This Row],[Used]]=1,CFS_CFF[[#This Row],[Order]]=1),6,AND(CFS_CFF[[#This Row],[Used]]=1,CFS_CFF[[#This Row],[Order]]&gt;1),7,CFS_CFF[[#This Row],[Used]]=0,8)</f>
        <v>8</v>
      </c>
      <c r="AQ39" t="s">
        <v>377</v>
      </c>
      <c r="AR39" s="435">
        <f>IF(ABS(CFS_CFF[[#This Row],[AmtJournal]])&gt;0,1,0)</f>
        <v>0</v>
      </c>
      <c r="AS39" s="435">
        <f>IF(CFS_CFF[[#This Row],[Used]]=1,CFS_CFF[[#This Row],[Used]]+SUM(AR34:AR38),0)</f>
        <v>0</v>
      </c>
      <c r="AT39" s="417">
        <f>SUMIFS(Journal[Dr Amt],Journal[ref1],"ISD",Journal[Debit Account],"Cash")</f>
        <v>0</v>
      </c>
      <c r="AU39" s="435">
        <f ca="1">SUMIFS(JournalAnswer[Dr Amt],JournalAnswer[ref1],"ISD",JournalAnswer[Debit Account],"Cash")</f>
        <v>0</v>
      </c>
      <c r="AV39" s="421" cm="1">
        <f t="array" aca="1" ref="AV39" ca="1">IF(CFS_CFF[[#This Row],[Account]]&lt;&gt;"",_xlfn._xlws.FILTER(FSBuilder[Amount],FSBuilder[Account or Explanation]=CFS_CFF[[#This Row],[Account]],0),"")</f>
        <v>0</v>
      </c>
      <c r="AW39" s="435">
        <f>IF(CFS_CFF[[#This Row],[AmtJournal]]&lt;&gt;0,1,0)</f>
        <v>0</v>
      </c>
      <c r="AX39" s="435">
        <f ca="1">IF(CFS_CFF[[#This Row],[AmtAnswer]]&lt;&gt;0,1,0)</f>
        <v>0</v>
      </c>
      <c r="AY39" s="435">
        <f ca="1">IF(CFS_CFF[[#This Row],[AmtFSBuilder]]&lt;&gt;0,1,0)</f>
        <v>0</v>
      </c>
      <c r="AZ39"/>
      <c r="BA39" s="224">
        <f>IF(NI_CFO_Recon_Assets[[#This Row],[Used]]=1,7,8)</f>
        <v>8</v>
      </c>
      <c r="BB39" t="s">
        <v>120</v>
      </c>
      <c r="BC39" s="421">
        <f>IF(ABS(NI_CFO_Recon_Assets[[#This Row],[AmtJournal]])&gt;0,1,0)</f>
        <v>0</v>
      </c>
      <c r="BD39" s="248">
        <f>NI_CFO_Recon_Assets[[#This Row],[Used]]</f>
        <v>0</v>
      </c>
      <c r="BE39" s="248">
        <f>SUMIFS(Journal[Cr Amt],Journal[Credit Account],BB39,Journal[ref3],"TRUE")-SUMIFS(Journal[Dr Amt],Journal[Debit Account],BB39,Journal[ref3],"TRUE")</f>
        <v>0</v>
      </c>
      <c r="BF39" s="248">
        <f>SUMIFS(JournalAnswer[Cr Amt],JournalAnswer[Credit Account],BE39,JournalAnswer[ref3],"TRUE")-SUMIFS(JournalAnswer[Dr Amt],JournalAnswer[Debit Account],BE39,JournalAnswer[ref3],"TRUE")</f>
        <v>0</v>
      </c>
      <c r="BG39" s="248" cm="1">
        <f t="array" aca="1" ref="BG39" ca="1">IF(NI_CFO_Recon_Assets[[#This Row],[Account]]&lt;&gt;"",_xlfn._xlws.FILTER(FSBuilder[Amount],(FSBuilder[Account or Explanation]=NI_CFO_Recon_Assets[[#This Row],[Account]])*(FSBuilder[Statement]="Cash Flow Statement"),0),0)</f>
        <v>0</v>
      </c>
      <c r="BH39" s="445">
        <f>IF(ABS(NI_CFO_Recon_Assets[[#This Row],[AmtJournal]])&gt;0,1,0)</f>
        <v>0</v>
      </c>
      <c r="BI39" s="445">
        <f>IF(ABS(NI_CFO_Recon_Assets[[#This Row],[AmtAnswer]])&gt;0,1,0)</f>
        <v>0</v>
      </c>
      <c r="BJ39" s="445">
        <f ca="1">IF(ABS(NI_CFO_Recon_Assets[[#This Row],[AmtFSBuilder]])&gt;0,1,0)</f>
        <v>0</v>
      </c>
      <c r="BK39" s="248"/>
      <c r="BL39" s="430" t="s">
        <v>968</v>
      </c>
      <c r="BM39" s="430" t="s">
        <v>779</v>
      </c>
      <c r="BN39" s="430" t="s">
        <v>75</v>
      </c>
      <c r="BO39" s="528" t="s">
        <v>969</v>
      </c>
      <c r="BP39" s="430" t="s">
        <v>966</v>
      </c>
      <c r="BQ39" s="430" t="s">
        <v>967</v>
      </c>
      <c r="BR39" s="430" t="s">
        <v>970</v>
      </c>
      <c r="BS39" s="532" t="s">
        <v>971</v>
      </c>
      <c r="BT39" s="532" t="s">
        <v>972</v>
      </c>
      <c r="BU39" s="532" t="s">
        <v>973</v>
      </c>
    </row>
    <row r="40" spans="2:73">
      <c r="B40" s="1" t="s">
        <v>968</v>
      </c>
      <c r="C40" s="1" t="s">
        <v>779</v>
      </c>
      <c r="D40" s="420" t="s">
        <v>75</v>
      </c>
      <c r="E40" s="420" t="s">
        <v>969</v>
      </c>
      <c r="F40" s="420" t="s">
        <v>976</v>
      </c>
      <c r="G40" s="348"/>
      <c r="H40" s="224" cm="1">
        <f t="array" ref="H40">_xlfn.IFS(AND(IS_Gains[[#This Row],[Used]]=1,IS_Gains[[#This Row],[Order]]=1),6,AND(IS_Gains[[#This Row],[Used]]=1,IS_Gains[[#This Row],[Order]]&gt;1),7,IS_Gains[[#This Row],[Used]]=0,8)</f>
        <v>8</v>
      </c>
      <c r="I40" t="s">
        <v>322</v>
      </c>
      <c r="J40" s="421">
        <f>IF(ISNUMBER(_xlfn.XLOOKUP(IS_Gains[[#This Row],[Account]],MD_Gain[Account Name],MD_Gain[Used])),_xlfn.XLOOKUP(IS_Gains[[#This Row],[Account]],MD_Gain[Account Name],MD_Gain[Used]),0)</f>
        <v>0</v>
      </c>
      <c r="K40" s="421">
        <f>IF(IS_Gains[[#This Row],[Used]]=1,IS_Gains[[#This Row],[Used]]+SUM(J36:J39),0)</f>
        <v>0</v>
      </c>
      <c r="L40" s="419">
        <f>SUMIFS(Journal[Cr Amt],Journal[Credit Account],I40,Journal[ref1],"&lt;&gt;CL")</f>
        <v>0</v>
      </c>
      <c r="M40" s="419">
        <f>SUMIFS(JournalAnswer[Cr Amt],JournalAnswer[Credit Account],I40,JournalAnswer[ref1],"&lt;&gt;CL")</f>
        <v>0</v>
      </c>
      <c r="N40" s="419" cm="1">
        <f t="array" aca="1" ref="N40" ca="1">IF(IS_Gains[[#This Row],[Account]]&lt;&gt;"",_xlfn._xlws.FILTER(FSBuilder[Amount],FSBuilder[Account or Explanation]=IS_Gains[[#This Row],[Account]],0),"")</f>
        <v>0</v>
      </c>
      <c r="O40" s="421">
        <f>IS_Gains[[#This Row],[Used]]*(IS_Gains[[#This Row],[AmtJournal]]&lt;&gt;0)</f>
        <v>0</v>
      </c>
      <c r="P40" s="421">
        <f>IS_Gains[[#This Row],[Used]]*(IS_Gains[[#This Row],[AmtAnswer]]&lt;&gt;0)</f>
        <v>0</v>
      </c>
      <c r="Q40" s="421">
        <f ca="1">IS_Gains[[#This Row],[Used]]*(IS_Gains[[#This Row],[AmtFSBuilder]]&lt;&gt;0)*Financial_Statement_Builder!$K$123</f>
        <v>0</v>
      </c>
      <c r="AP40" s="224" cm="1">
        <f t="array" ref="AP40">_xlfn.IFS(AND(CFS_CFF[[#This Row],[Used]]=1,CFS_CFF[[#This Row],[Order]]=1),6,AND(CFS_CFF[[#This Row],[Used]]=1,CFS_CFF[[#This Row],[Order]]&gt;1),7,CFS_CFF[[#This Row],[Used]]=0,8)</f>
        <v>8</v>
      </c>
      <c r="AQ40" t="s">
        <v>379</v>
      </c>
      <c r="AR40" s="435">
        <f>IF(ABS(CFS_CFF[[#This Row],[AmtJournal]])&gt;0,1,0)</f>
        <v>0</v>
      </c>
      <c r="AS40" s="435">
        <f>IF(CFS_CFF[[#This Row],[Used]]=1,CFS_CFF[[#This Row],[Used]]+SUM(AR34:AR39),0)</f>
        <v>0</v>
      </c>
      <c r="AT40" s="417">
        <f>SUMIFS(Journal[Dr Amt],Journal[ref1],"ISubD",Journal[Debit Account],"Cash")</f>
        <v>0</v>
      </c>
      <c r="AU40" s="435">
        <f ca="1">SUMIFS(JournalAnswer[Dr Amt],JournalAnswer[ref1],"ISubD",JournalAnswer[Debit Account],"Cash")</f>
        <v>0</v>
      </c>
      <c r="AV40" s="421" cm="1">
        <f t="array" aca="1" ref="AV40" ca="1">IF(CFS_CFF[[#This Row],[Account]]&lt;&gt;"",_xlfn._xlws.FILTER(FSBuilder[Amount],FSBuilder[Account or Explanation]=CFS_CFF[[#This Row],[Account]],0),"")</f>
        <v>0</v>
      </c>
      <c r="AW40" s="435">
        <f>IF(CFS_CFF[[#This Row],[AmtJournal]]&lt;&gt;0,1,0)</f>
        <v>0</v>
      </c>
      <c r="AX40" s="435">
        <f ca="1">IF(CFS_CFF[[#This Row],[AmtAnswer]]&lt;&gt;0,1,0)</f>
        <v>0</v>
      </c>
      <c r="AY40" s="435">
        <f ca="1">IF(CFS_CFF[[#This Row],[AmtFSBuilder]]&lt;&gt;0,1,0)</f>
        <v>0</v>
      </c>
      <c r="AZ40"/>
      <c r="BA40" s="224">
        <f>IF(NI_CFO_Recon_Assets[[#This Row],[Used]]=1,7,8)</f>
        <v>8</v>
      </c>
      <c r="BB40" t="s">
        <v>123</v>
      </c>
      <c r="BC40" s="421">
        <f>IF(ABS(NI_CFO_Recon_Assets[[#This Row],[AmtJournal]])&gt;0,1,0)</f>
        <v>0</v>
      </c>
      <c r="BD40" s="248">
        <f>NI_CFO_Recon_Assets[[#This Row],[Used]]+BC39</f>
        <v>0</v>
      </c>
      <c r="BE40" s="248">
        <f>SUMIFS(Journal[Cr Amt],Journal[Credit Account],BB40,Journal[ref3],"TRUE")-SUMIFS(Journal[Dr Amt],Journal[Debit Account],BB40,Journal[ref3],"TRUE")</f>
        <v>0</v>
      </c>
      <c r="BF40" s="248">
        <f>SUMIFS(JournalAnswer[Cr Amt],JournalAnswer[Credit Account],BE40,JournalAnswer[ref3],"TRUE")-SUMIFS(JournalAnswer[Dr Amt],JournalAnswer[Debit Account],BE40,JournalAnswer[ref3],"TRUE")</f>
        <v>0</v>
      </c>
      <c r="BG40" s="248" cm="1">
        <f t="array" aca="1" ref="BG40" ca="1">IF(NI_CFO_Recon_Assets[[#This Row],[Account]]&lt;&gt;"",_xlfn._xlws.FILTER(FSBuilder[Amount],(FSBuilder[Account or Explanation]=NI_CFO_Recon_Assets[[#This Row],[Account]])*(FSBuilder[Statement]="Cash Flow Statement"),0),0)</f>
        <v>0</v>
      </c>
      <c r="BH40" s="445">
        <f>IF(ABS(NI_CFO_Recon_Assets[[#This Row],[AmtJournal]])&gt;0,1,0)</f>
        <v>0</v>
      </c>
      <c r="BI40" s="445">
        <f>IF(ABS(NI_CFO_Recon_Assets[[#This Row],[AmtAnswer]])&gt;0,1,0)</f>
        <v>0</v>
      </c>
      <c r="BJ40" s="445">
        <f ca="1">IF(ABS(NI_CFO_Recon_Assets[[#This Row],[AmtFSBuilder]])&gt;0,1,0)</f>
        <v>0</v>
      </c>
      <c r="BK40" s="248"/>
      <c r="BL40" s="224" cm="1">
        <f t="array" ref="BL40">_xlfn.IFS(AND(ECurrLiabs[[#This Row],[Used]]=1,ECurrLiabs[[#This Row],[Order]]=1),6,AND(ECurrLiabs[[#This Row],[Used]]=1,ECurrLiabs[[#This Row],[Order]]&gt;1),7,ECurrLiabs[[#This Row],[Used]]=0,8)</f>
        <v>6</v>
      </c>
      <c r="BM40" t="s">
        <v>168</v>
      </c>
      <c r="BN40" s="421">
        <f>IF(ISNUMBER(_xlfn.XLOOKUP(ECurrLiabs[[#This Row],[Account]],MD_Liability[Account Name],MD_Liability[Used])),_xlfn.XLOOKUP(ECurrLiabs[[#This Row],[Account]],MD_Liability[Account Name],MD_Liability[Used]),0)</f>
        <v>1</v>
      </c>
      <c r="BO40" s="421">
        <f>ECurrLiabs[[#This Row],[Used]]</f>
        <v>1</v>
      </c>
      <c r="BP40" s="418">
        <f>_xlfn.IFNA((_xlfn.XLOOKUP(ECurrLiabs[[#This Row],[Account]],BegBalanceSheet_Liabilities[Account],BegBalanceSheet_Liabilities[Amount]))-SUMIF(Journal[Debit Account],ECurrLiabs[[#This Row],[Account]],Journal[Dr Amt])+SUMIF(Journal[Credit Account],ECurrLiabs[[#This Row],[Account]],Journal[Cr Amt]),0)</f>
        <v>0</v>
      </c>
      <c r="BQ40" s="418">
        <f>_xlfn.IFNA((_xlfn.XLOOKUP(ECurrLiabs[[#This Row],[Account]],BegBalanceSheet_Liabilities[Account],BegBalanceSheet_Liabilities[Amount]))-SUMIF(JournalAnswer[Debit Account],ECurrLiabs[[#This Row],[Account]],JournalAnswer[Dr Amt])+SUMIF(JournalAnswer[Credit Account],ECurrLiabs[[#This Row],[Account]],JournalAnswer[Cr Amt]),0)</f>
        <v>2</v>
      </c>
      <c r="BR40" s="418" cm="1">
        <f t="array" aca="1" ref="BR40" ca="1">IF(ECurrLiabs[[#This Row],[Account]]&lt;&gt;"",_xlfn._xlws.FILTER(FSBuilder[Amount],(FSBuilder[Account or Explanation]=ECurrLiabs[[#This Row],[Account]])*(FSBuilder[Statement]="Ending Balance Sheet"),0),0)</f>
        <v>0</v>
      </c>
      <c r="BS40" s="445">
        <f>ECurrLiabs[[#This Row],[Used]]*(ECurrLiabs[[#This Row],[AmtJournal]]&lt;&gt;0)</f>
        <v>0</v>
      </c>
      <c r="BT40" s="445">
        <f>ECurrLiabs[[#This Row],[Used]]*(ECurrLiabs[[#This Row],[AmtAnswer]]&lt;&gt;0)</f>
        <v>1</v>
      </c>
      <c r="BU40" s="445">
        <f ca="1">ECurrLiabs[[#This Row],[Used]]*(ECurrLiabs[[#This Row],[AmtFSBuilder]]&lt;&gt;0)</f>
        <v>0</v>
      </c>
    </row>
    <row r="41" spans="2:73">
      <c r="B41" s="224" cm="1">
        <f t="array" ref="B41">_xlfn.IFS(AND(BCurrLiabs[[#This Row],[Used]]=1,BCurrLiabs[[#This Row],[Order]]=1),6,AND(BCurrLiabs[[#This Row],[Used]]=1,BCurrLiabs[[#This Row],[Order]]&gt;1),7,BCurrLiabs[[#This Row],[Used]]=0,8)</f>
        <v>6</v>
      </c>
      <c r="C41" t="s">
        <v>168</v>
      </c>
      <c r="D41" s="421">
        <f>IF(ISNUMBER(_xlfn.XLOOKUP(BCurrLiabs[[#This Row],[Account]],MD_Liability[Account Name],MD_Liability[Used])),_xlfn.XLOOKUP(BCurrLiabs[[#This Row],[Account]],MD_Liability[Account Name],MD_Liability[Used]),0)</f>
        <v>1</v>
      </c>
      <c r="E41" s="421">
        <f>BCurrLiabs[[#This Row],[Used]]</f>
        <v>1</v>
      </c>
      <c r="F41" s="418">
        <f>_xlfn.IFNA(_xlfn.XLOOKUP(C41,BegBalanceSheet_Liabilities[Account],BegBalanceSheet_Liabilities[Amount]),0)</f>
        <v>0</v>
      </c>
      <c r="G41" s="348"/>
      <c r="H41" s="224" cm="1">
        <f t="array" ref="H41">_xlfn.IFS(AND(IS_Gains[[#This Row],[Used]]=1,IS_Gains[[#This Row],[Order]]=1),6,AND(IS_Gains[[#This Row],[Used]]=1,IS_Gains[[#This Row],[Order]]&gt;1),7,IS_Gains[[#This Row],[Used]]=0,8)</f>
        <v>8</v>
      </c>
      <c r="J41" s="421">
        <f>IF(ISNUMBER(_xlfn.XLOOKUP(IS_Gains[[#This Row],[Account]],MD_Gain[Account Name],MD_Gain[Used])),_xlfn.XLOOKUP(IS_Gains[[#This Row],[Account]],MD_Gain[Account Name],MD_Gain[Used]),0)</f>
        <v>0</v>
      </c>
      <c r="K41" s="421">
        <f>IF(IS_Gains[[#This Row],[Used]]=1,IS_Gains[[#This Row],[Used]]+SUM(J36:J40),0)</f>
        <v>0</v>
      </c>
      <c r="L41" s="419">
        <f>SUMIFS(Journal[Cr Amt],Journal[Credit Account],I41,Journal[ref1],"&lt;&gt;CL")</f>
        <v>0</v>
      </c>
      <c r="M41" s="419">
        <f>SUMIFS(JournalAnswer[Cr Amt],JournalAnswer[Credit Account],I41,JournalAnswer[ref1],"&lt;&gt;CL")</f>
        <v>0</v>
      </c>
      <c r="N41" s="419" t="str" cm="1">
        <f t="array" ref="N41">IF(IS_Gains[[#This Row],[Account]]&lt;&gt;"",_xlfn._xlws.FILTER(FSBuilder[Amount],FSBuilder[Account or Explanation]=IS_Gains[[#This Row],[Account]],0),"")</f>
        <v/>
      </c>
      <c r="O41" s="421">
        <f>IS_Gains[[#This Row],[Used]]*(IS_Gains[[#This Row],[AmtJournal]]&lt;&gt;0)</f>
        <v>0</v>
      </c>
      <c r="P41" s="421">
        <f>IS_Gains[[#This Row],[Used]]*(IS_Gains[[#This Row],[AmtAnswer]]&lt;&gt;0)</f>
        <v>0</v>
      </c>
      <c r="Q41" s="421">
        <f>IS_Gains[[#This Row],[Used]]*(IS_Gains[[#This Row],[AmtFSBuilder]]&lt;&gt;0)*Financial_Statement_Builder!$K$123</f>
        <v>0</v>
      </c>
      <c r="AP41" s="224" cm="1">
        <f t="array" ref="AP41">_xlfn.IFS(AND(CFS_CFF[[#This Row],[Used]]=1,CFS_CFF[[#This Row],[Order]]=1),6,AND(CFS_CFF[[#This Row],[Used]]=1,CFS_CFF[[#This Row],[Order]]&gt;1),7,CFS_CFF[[#This Row],[Used]]=0,8)</f>
        <v>8</v>
      </c>
      <c r="AQ41" t="s">
        <v>839</v>
      </c>
      <c r="AR41" s="435">
        <f>IF(ABS(CFS_CFF[[#This Row],[AmtJournal]])&gt;0,1,0)</f>
        <v>0</v>
      </c>
      <c r="AS41" s="435">
        <f>IF(CFS_CFF[[#This Row],[Used]]=1,CFS_CFF[[#This Row],[Used]]+SUM(AR34:AR40),0)</f>
        <v>0</v>
      </c>
      <c r="AT41" s="417">
        <f>SUMIFS(Journal[Dr Amt],Journal[ref1],"STS",Journal[Debit Account],"Cash")</f>
        <v>0</v>
      </c>
      <c r="AU41" s="435">
        <f ca="1">SUMIFS(JournalAnswer[Dr Amt],JournalAnswer[ref1],"STS",JournalAnswer[Debit Account],"Cash")</f>
        <v>0</v>
      </c>
      <c r="AV41" s="421" cm="1">
        <f t="array" aca="1" ref="AV41" ca="1">IF(CFS_CFF[[#This Row],[Account]]&lt;&gt;"",_xlfn._xlws.FILTER(FSBuilder[Amount],FSBuilder[Account or Explanation]=CFS_CFF[[#This Row],[Account]],0),"")</f>
        <v>0</v>
      </c>
      <c r="AW41" s="435">
        <f>IF(CFS_CFF[[#This Row],[AmtJournal]]&lt;&gt;0,1,0)</f>
        <v>0</v>
      </c>
      <c r="AX41" s="435">
        <f ca="1">IF(CFS_CFF[[#This Row],[AmtAnswer]]&lt;&gt;0,1,0)</f>
        <v>0</v>
      </c>
      <c r="AY41" s="435">
        <f ca="1">IF(CFS_CFF[[#This Row],[AmtFSBuilder]]&lt;&gt;0,1,0)</f>
        <v>0</v>
      </c>
      <c r="AZ41"/>
      <c r="BA41" s="224">
        <f>IF(NI_CFO_Recon_Assets[[#This Row],[Used]]=1,7,8)</f>
        <v>8</v>
      </c>
      <c r="BB41" t="s">
        <v>130</v>
      </c>
      <c r="BC41" s="421">
        <f>IF(ABS(NI_CFO_Recon_Assets[[#This Row],[AmtJournal]])&gt;0,1,0)</f>
        <v>0</v>
      </c>
      <c r="BD41" s="248">
        <f>NI_CFO_Recon_Assets[[#This Row],[Used]]+SUM(BC39:BC40)</f>
        <v>0</v>
      </c>
      <c r="BE41" s="248">
        <f>SUMIFS(Journal[Cr Amt],Journal[Credit Account],BB41,Journal[ref3],"TRUE")-SUMIFS(Journal[Dr Amt],Journal[Debit Account],BB41,Journal[ref3],"TRUE")</f>
        <v>0</v>
      </c>
      <c r="BF41" s="248">
        <f>SUMIFS(JournalAnswer[Cr Amt],JournalAnswer[Credit Account],BE41,JournalAnswer[ref3],"TRUE")-SUMIFS(JournalAnswer[Dr Amt],JournalAnswer[Debit Account],BE41,JournalAnswer[ref3],"TRUE")</f>
        <v>0</v>
      </c>
      <c r="BG41" s="248" cm="1">
        <f t="array" aca="1" ref="BG41" ca="1">IF(NI_CFO_Recon_Assets[[#This Row],[Account]]&lt;&gt;"",_xlfn._xlws.FILTER(FSBuilder[Amount],(FSBuilder[Account or Explanation]=NI_CFO_Recon_Assets[[#This Row],[Account]])*(FSBuilder[Statement]="Cash Flow Statement"),0),0)</f>
        <v>0</v>
      </c>
      <c r="BH41" s="445">
        <f>IF(ABS(NI_CFO_Recon_Assets[[#This Row],[AmtJournal]])&gt;0,1,0)</f>
        <v>0</v>
      </c>
      <c r="BI41" s="445">
        <f>IF(ABS(NI_CFO_Recon_Assets[[#This Row],[AmtAnswer]])&gt;0,1,0)</f>
        <v>0</v>
      </c>
      <c r="BJ41" s="445">
        <f ca="1">IF(ABS(NI_CFO_Recon_Assets[[#This Row],[AmtFSBuilder]])&gt;0,1,0)</f>
        <v>0</v>
      </c>
      <c r="BK41" s="248"/>
      <c r="BL41" s="224" cm="1">
        <f t="array" ref="BL41">_xlfn.IFS(AND(ECurrLiabs[[#This Row],[Used]]=1,ECurrLiabs[[#This Row],[Order]]=1),6,AND(ECurrLiabs[[#This Row],[Used]]=1,ECurrLiabs[[#This Row],[Order]]&gt;1),7,ECurrLiabs[[#This Row],[Used]]=0,8)</f>
        <v>8</v>
      </c>
      <c r="BM41" t="s">
        <v>171</v>
      </c>
      <c r="BN41" s="421">
        <f>IF(ISNUMBER(_xlfn.XLOOKUP(ECurrLiabs[[#This Row],[Account]],MD_Liability[Account Name],MD_Liability[Used])),_xlfn.XLOOKUP(ECurrLiabs[[#This Row],[Account]],MD_Liability[Account Name],MD_Liability[Used]),0)</f>
        <v>0</v>
      </c>
      <c r="BO41" s="421">
        <f>ECurrLiabs[[#This Row],[Used]]+BN40</f>
        <v>1</v>
      </c>
      <c r="BP41" s="419">
        <f>_xlfn.IFNA((_xlfn.XLOOKUP(ECurrLiabs[[#This Row],[Account]],BegBalanceSheet_Liabilities[Account],BegBalanceSheet_Liabilities[Amount]))-SUMIF(Journal[Debit Account],ECurrLiabs[[#This Row],[Account]],Journal[Dr Amt])+SUMIF(Journal[Credit Account],ECurrLiabs[[#This Row],[Account]],Journal[Cr Amt]),0)</f>
        <v>0</v>
      </c>
      <c r="BQ41"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419" cm="1">
        <f t="array" aca="1" ref="BR41" ca="1">IF(ECurrLiabs[[#This Row],[Account]]&lt;&gt;"",_xlfn._xlws.FILTER(FSBuilder[Amount],(FSBuilder[Account or Explanation]=ECurrLiabs[[#This Row],[Account]])*(FSBuilder[Statement]="Ending Balance Sheet"),0),0)</f>
        <v>0</v>
      </c>
      <c r="BS41" s="445">
        <f>ECurrLiabs[[#This Row],[Used]]*(ECurrLiabs[[#This Row],[AmtJournal]]&lt;&gt;0)</f>
        <v>0</v>
      </c>
      <c r="BT41" s="445">
        <f>ECurrLiabs[[#This Row],[Used]]*(ECurrLiabs[[#This Row],[AmtAnswer]]&lt;&gt;0)</f>
        <v>0</v>
      </c>
      <c r="BU41" s="445">
        <f ca="1">ECurrLiabs[[#This Row],[Used]]*(ECurrLiabs[[#This Row],[AmtFSBuilder]]&lt;&gt;0)</f>
        <v>0</v>
      </c>
    </row>
    <row r="42" spans="2:73">
      <c r="B42" s="224" cm="1">
        <f t="array" ref="B42">_xlfn.IFS(AND(BCurrLiabs[[#This Row],[Used]]=1,BCurrLiabs[[#This Row],[Order]]=1),6,AND(BCurrLiabs[[#This Row],[Used]]=1,BCurrLiabs[[#This Row],[Order]]&gt;1),7,BCurrLiabs[[#This Row],[Used]]=0,8)</f>
        <v>8</v>
      </c>
      <c r="C42" t="s">
        <v>171</v>
      </c>
      <c r="D42" s="421">
        <f>IF(ISNUMBER(_xlfn.XLOOKUP(BCurrLiabs[[#This Row],[Account]],MD_Liability[Account Name],MD_Liability[Used])),_xlfn.XLOOKUP(BCurrLiabs[[#This Row],[Account]],MD_Liability[Account Name],MD_Liability[Used]),0)</f>
        <v>0</v>
      </c>
      <c r="E42" s="421">
        <f>BCurrLiabs[[#This Row],[Used]]+D41</f>
        <v>1</v>
      </c>
      <c r="F42" s="419">
        <f>_xlfn.IFNA(_xlfn.XLOOKUP(C42,BegBalanceSheet_Liabilities[Account],BegBalanceSheet_Liabilities[Amount]),0)</f>
        <v>0</v>
      </c>
      <c r="G42" s="348"/>
      <c r="H42" s="224">
        <v>5</v>
      </c>
      <c r="I42" s="5" t="s">
        <v>867</v>
      </c>
      <c r="J42" s="444">
        <f>MAX(IS_Gains[Used])</f>
        <v>0</v>
      </c>
      <c r="K42" s="444"/>
      <c r="L42" s="421">
        <f>SUBTOTAL(9,L36:L41)</f>
        <v>0</v>
      </c>
      <c r="M42" s="421">
        <f t="shared" ref="M42:N42" si="8">SUBTOTAL(9,M36:M41)</f>
        <v>0</v>
      </c>
      <c r="N42" s="421">
        <f t="shared" ca="1" si="8"/>
        <v>0</v>
      </c>
      <c r="O42" s="421"/>
      <c r="P42" s="421"/>
      <c r="Q42" s="421"/>
      <c r="AP42" s="224" cm="1">
        <f t="array" ref="AP42">_xlfn.IFS(AND(CFS_CFF[[#This Row],[Used]]=1,CFS_CFF[[#This Row],[Order]]=1),6,AND(CFS_CFF[[#This Row],[Used]]=1,CFS_CFF[[#This Row],[Order]]&gt;1),7,CFS_CFF[[#This Row],[Used]]=0,8)</f>
        <v>8</v>
      </c>
      <c r="AQ42" t="s">
        <v>383</v>
      </c>
      <c r="AR42" s="435">
        <f>IF(ABS(CFS_CFF[[#This Row],[AmtJournal]])&gt;0,1,0)</f>
        <v>0</v>
      </c>
      <c r="AS42" s="435">
        <f>IF(CFS_CFF[[#This Row],[Used]]=1,CFS_CFF[[#This Row],[Used]]+SUM(AR34:AR41),0)</f>
        <v>0</v>
      </c>
      <c r="AT42" s="417">
        <f>-SUMIFS(Journal[Cr Amt],Journal[ref1],"PD",Journal[Credit Account],"Cash")</f>
        <v>0</v>
      </c>
      <c r="AU42" s="435">
        <f ca="1">-SUMIFS(JournalAnswer[Cr Amt],JournalAnswer[ref1],"PD",JournalAnswer[Credit Account],"Cash")</f>
        <v>0</v>
      </c>
      <c r="AV42" s="421" cm="1">
        <f t="array" aca="1" ref="AV42" ca="1">IF(CFS_CFF[[#This Row],[Account]]&lt;&gt;"",_xlfn._xlws.FILTER(FSBuilder[Amount],FSBuilder[Account or Explanation]=CFS_CFF[[#This Row],[Account]],0),"")</f>
        <v>0</v>
      </c>
      <c r="AW42" s="435">
        <f>IF(CFS_CFF[[#This Row],[AmtJournal]]&lt;&gt;0,1,0)</f>
        <v>0</v>
      </c>
      <c r="AX42" s="435">
        <f ca="1">IF(CFS_CFF[[#This Row],[AmtAnswer]]&lt;&gt;0,1,0)</f>
        <v>0</v>
      </c>
      <c r="AY42" s="435">
        <f ca="1">IF(CFS_CFF[[#This Row],[AmtFSBuilder]]&lt;&gt;0,1,0)</f>
        <v>0</v>
      </c>
      <c r="AZ42"/>
      <c r="BA42" s="224">
        <f>IF(NI_CFO_Recon_Assets[[#This Row],[Used]]=1,7,8)</f>
        <v>8</v>
      </c>
      <c r="BB42" t="s">
        <v>133</v>
      </c>
      <c r="BC42" s="421">
        <f>IF(ABS(NI_CFO_Recon_Assets[[#This Row],[AmtJournal]])&gt;0,1,0)</f>
        <v>0</v>
      </c>
      <c r="BD42" s="248">
        <f>NI_CFO_Recon_Assets[[#This Row],[Used]]+SUM(BC39:BC41)</f>
        <v>0</v>
      </c>
      <c r="BE42" s="248">
        <f>SUMIFS(Journal[Cr Amt],Journal[Credit Account],BB42,Journal[ref3],"TRUE")-SUMIFS(Journal[Dr Amt],Journal[Debit Account],BB42,Journal[ref3],"TRUE")</f>
        <v>0</v>
      </c>
      <c r="BF42" s="248">
        <f>SUMIFS(JournalAnswer[Cr Amt],JournalAnswer[Credit Account],BE42,JournalAnswer[ref3],"TRUE")-SUMIFS(JournalAnswer[Dr Amt],JournalAnswer[Debit Account],BE42,JournalAnswer[ref3],"TRUE")</f>
        <v>0</v>
      </c>
      <c r="BG42" s="248" cm="1">
        <f t="array" aca="1" ref="BG42" ca="1">IF(NI_CFO_Recon_Assets[[#This Row],[Account]]&lt;&gt;"",_xlfn._xlws.FILTER(FSBuilder[Amount],(FSBuilder[Account or Explanation]=NI_CFO_Recon_Assets[[#This Row],[Account]])*(FSBuilder[Statement]="Cash Flow Statement"),0),0)</f>
        <v>0</v>
      </c>
      <c r="BH42" s="445">
        <f>IF(ABS(NI_CFO_Recon_Assets[[#This Row],[AmtJournal]])&gt;0,1,0)</f>
        <v>0</v>
      </c>
      <c r="BI42" s="445">
        <f>IF(ABS(NI_CFO_Recon_Assets[[#This Row],[AmtAnswer]])&gt;0,1,0)</f>
        <v>0</v>
      </c>
      <c r="BJ42" s="445">
        <f ca="1">IF(ABS(NI_CFO_Recon_Assets[[#This Row],[AmtFSBuilder]])&gt;0,1,0)</f>
        <v>0</v>
      </c>
      <c r="BK42" s="248"/>
      <c r="BL42" s="224" cm="1">
        <f t="array" ref="BL42">_xlfn.IFS(AND(ECurrLiabs[[#This Row],[Used]]=1,ECurrLiabs[[#This Row],[Order]]=1),6,AND(ECurrLiabs[[#This Row],[Used]]=1,ECurrLiabs[[#This Row],[Order]]&gt;1),7,ECurrLiabs[[#This Row],[Used]]=0,8)</f>
        <v>8</v>
      </c>
      <c r="BM42" t="s">
        <v>174</v>
      </c>
      <c r="BN42" s="421">
        <f>IF(ISNUMBER(_xlfn.XLOOKUP(ECurrLiabs[[#This Row],[Account]],MD_Liability[Account Name],MD_Liability[Used])),_xlfn.XLOOKUP(ECurrLiabs[[#This Row],[Account]],MD_Liability[Account Name],MD_Liability[Used]),0)</f>
        <v>0</v>
      </c>
      <c r="BO42" s="421">
        <f>IF(ECurrLiabs[[#This Row],[Used]]=1,ECurrLiabs[[#This Row],[Used]]+SUM(BN40:BN41),0)</f>
        <v>0</v>
      </c>
      <c r="BP42" s="419">
        <f>_xlfn.IFNA((_xlfn.XLOOKUP(ECurrLiabs[[#This Row],[Account]],BegBalanceSheet_Liabilities[Account],BegBalanceSheet_Liabilities[Amount]))-SUMIF(Journal[Debit Account],ECurrLiabs[[#This Row],[Account]],Journal[Dr Amt])+SUMIF(Journal[Credit Account],ECurrLiabs[[#This Row],[Account]],Journal[Cr Amt]),0)</f>
        <v>0</v>
      </c>
      <c r="BQ42"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2" s="419" cm="1">
        <f t="array" aca="1" ref="BR42" ca="1">IF(ECurrLiabs[[#This Row],[Account]]&lt;&gt;"",_xlfn._xlws.FILTER(FSBuilder[Amount],(FSBuilder[Account or Explanation]=ECurrLiabs[[#This Row],[Account]])*(FSBuilder[Statement]="Ending Balance Sheet"),0),0)</f>
        <v>0</v>
      </c>
      <c r="BS42" s="445">
        <f>ECurrLiabs[[#This Row],[Used]]*(ECurrLiabs[[#This Row],[AmtJournal]]&lt;&gt;0)</f>
        <v>0</v>
      </c>
      <c r="BT42" s="445">
        <f>ECurrLiabs[[#This Row],[Used]]*(ECurrLiabs[[#This Row],[AmtAnswer]]&lt;&gt;0)</f>
        <v>0</v>
      </c>
      <c r="BU42" s="445">
        <f ca="1">ECurrLiabs[[#This Row],[Used]]*(ECurrLiabs[[#This Row],[AmtFSBuilder]]&lt;&gt;0)</f>
        <v>0</v>
      </c>
    </row>
    <row r="43" spans="2:73">
      <c r="B43" s="224" cm="1">
        <f t="array" ref="B43">_xlfn.IFS(AND(BCurrLiabs[[#This Row],[Used]]=1,BCurrLiabs[[#This Row],[Order]]=1),6,AND(BCurrLiabs[[#This Row],[Used]]=1,BCurrLiabs[[#This Row],[Order]]&gt;1),7,BCurrLiabs[[#This Row],[Used]]=0,8)</f>
        <v>8</v>
      </c>
      <c r="C43" t="s">
        <v>174</v>
      </c>
      <c r="D43" s="421">
        <f>IF(ISNUMBER(_xlfn.XLOOKUP(BCurrLiabs[[#This Row],[Account]],MD_Liability[Account Name],MD_Liability[Used])),_xlfn.XLOOKUP(BCurrLiabs[[#This Row],[Account]],MD_Liability[Account Name],MD_Liability[Used]),0)</f>
        <v>0</v>
      </c>
      <c r="E43" s="421">
        <f>IF(BCurrLiabs[[#This Row],[Used]]=1,BCurrLiabs[[#This Row],[Used]]+SUM(D41:D42),0)</f>
        <v>0</v>
      </c>
      <c r="F43" s="419">
        <f>_xlfn.IFNA(_xlfn.XLOOKUP(C43,BegBalanceSheet_Liabilities[Account],BegBalanceSheet_Liabilities[Amount]),0)</f>
        <v>0</v>
      </c>
      <c r="G43" s="348"/>
      <c r="J43" s="348"/>
      <c r="K43" s="348"/>
      <c r="L43" s="348"/>
      <c r="M43" s="348"/>
      <c r="N43" s="348"/>
      <c r="O43" s="348"/>
      <c r="P43" s="348"/>
      <c r="Q43" s="348"/>
      <c r="AP43" s="224" cm="1">
        <f t="array" ref="AP43">_xlfn.IFS(AND(CFS_CFF[[#This Row],[Used]]=1,CFS_CFF[[#This Row],[Order]]=1),6,AND(CFS_CFF[[#This Row],[Used]]=1,CFS_CFF[[#This Row],[Order]]&gt;1),7,CFS_CFF[[#This Row],[Used]]=0,8)</f>
        <v>8</v>
      </c>
      <c r="AQ43" t="s">
        <v>385</v>
      </c>
      <c r="AR43" s="435">
        <f>IF(ABS(CFS_CFF[[#This Row],[AmtJournal]])&gt;0,1,0)</f>
        <v>0</v>
      </c>
      <c r="AS43" s="435">
        <f>IF(CFS_CFF[[#This Row],[Used]]=1,CFS_CFF[[#This Row],[Used]]+SUM(AR34:AR42),0)</f>
        <v>0</v>
      </c>
      <c r="AT43" s="417">
        <f>-SUMIFS(Journal[Cr Amt],Journal[ref1],"RB",Journal[Credit Account],"Cash")</f>
        <v>0</v>
      </c>
      <c r="AU43" s="435">
        <f ca="1">-SUMIFS(JournalAnswer[Cr Amt],JournalAnswer[ref1],"RB",JournalAnswer[Credit Account],"Cash")</f>
        <v>0</v>
      </c>
      <c r="AV43" s="421" cm="1">
        <f t="array" aca="1" ref="AV43" ca="1">IF(CFS_CFF[[#This Row],[Account]]&lt;&gt;"",_xlfn._xlws.FILTER(FSBuilder[Amount],FSBuilder[Account or Explanation]=CFS_CFF[[#This Row],[Account]],0),"")</f>
        <v>0</v>
      </c>
      <c r="AW43" s="435">
        <f>IF(CFS_CFF[[#This Row],[AmtJournal]]&lt;&gt;0,1,0)</f>
        <v>0</v>
      </c>
      <c r="AX43" s="435">
        <f ca="1">IF(CFS_CFF[[#This Row],[AmtAnswer]]&lt;&gt;0,1,0)</f>
        <v>0</v>
      </c>
      <c r="AY43" s="435">
        <f ca="1">IF(CFS_CFF[[#This Row],[AmtFSBuilder]]&lt;&gt;0,1,0)</f>
        <v>0</v>
      </c>
      <c r="AZ43"/>
      <c r="BA43" s="224">
        <f>IF(NI_CFO_Recon_Assets[[#This Row],[Used]]=1,7,8)</f>
        <v>8</v>
      </c>
      <c r="BB43" t="s">
        <v>136</v>
      </c>
      <c r="BC43" s="421">
        <f>IF(ABS(NI_CFO_Recon_Assets[[#This Row],[AmtJournal]])&gt;0,1,0)</f>
        <v>0</v>
      </c>
      <c r="BD43" s="248">
        <f>NI_CFO_Recon_Assets[[#This Row],[Used]]+SUM(BC39:BC42)</f>
        <v>0</v>
      </c>
      <c r="BE43" s="248">
        <f>SUMIFS(Journal[Cr Amt],Journal[Credit Account],BB43,Journal[ref3],"TRUE")-SUMIFS(Journal[Dr Amt],Journal[Debit Account],BB43,Journal[ref3],"TRUE")</f>
        <v>0</v>
      </c>
      <c r="BF43" s="248">
        <f>SUMIFS(JournalAnswer[Cr Amt],JournalAnswer[Credit Account],BE43,JournalAnswer[ref3],"TRUE")-SUMIFS(JournalAnswer[Dr Amt],JournalAnswer[Debit Account],BE43,JournalAnswer[ref3],"TRUE")</f>
        <v>0</v>
      </c>
      <c r="BG43" s="248" cm="1">
        <f t="array" aca="1" ref="BG43" ca="1">IF(NI_CFO_Recon_Assets[[#This Row],[Account]]&lt;&gt;"",_xlfn._xlws.FILTER(FSBuilder[Amount],(FSBuilder[Account or Explanation]=NI_CFO_Recon_Assets[[#This Row],[Account]])*(FSBuilder[Statement]="Cash Flow Statement"),0),0)</f>
        <v>0</v>
      </c>
      <c r="BH43" s="445">
        <f>IF(ABS(NI_CFO_Recon_Assets[[#This Row],[AmtJournal]])&gt;0,1,0)</f>
        <v>0</v>
      </c>
      <c r="BI43" s="445">
        <f>IF(ABS(NI_CFO_Recon_Assets[[#This Row],[AmtAnswer]])&gt;0,1,0)</f>
        <v>0</v>
      </c>
      <c r="BJ43" s="445">
        <f ca="1">IF(ABS(NI_CFO_Recon_Assets[[#This Row],[AmtFSBuilder]])&gt;0,1,0)</f>
        <v>0</v>
      </c>
      <c r="BK43" s="248"/>
      <c r="BL43" s="224" cm="1">
        <f t="array" ref="BL43">_xlfn.IFS(AND(ECurrLiabs[[#This Row],[Used]]=1,ECurrLiabs[[#This Row],[Order]]=1),6,AND(ECurrLiabs[[#This Row],[Used]]=1,ECurrLiabs[[#This Row],[Order]]&gt;1),7,ECurrLiabs[[#This Row],[Used]]=0,8)</f>
        <v>7</v>
      </c>
      <c r="BM43" t="s">
        <v>177</v>
      </c>
      <c r="BN43" s="421">
        <f>IF(ISNUMBER(_xlfn.XLOOKUP(ECurrLiabs[[#This Row],[Account]],MD_Liability[Account Name],MD_Liability[Used])),_xlfn.XLOOKUP(ECurrLiabs[[#This Row],[Account]],MD_Liability[Account Name],MD_Liability[Used]),0)</f>
        <v>1</v>
      </c>
      <c r="BO43" s="421">
        <f>IF(ECurrLiabs[[#This Row],[Used]]=1,ECurrLiabs[[#This Row],[Used]]+SUM(BN40:BN42),0)</f>
        <v>2</v>
      </c>
      <c r="BP43" s="419">
        <f>_xlfn.IFNA((_xlfn.XLOOKUP(ECurrLiabs[[#This Row],[Account]],BegBalanceSheet_Liabilities[Account],BegBalanceSheet_Liabilities[Amount]))-SUMIF(Journal[Debit Account],ECurrLiabs[[#This Row],[Account]],Journal[Dr Amt])+SUMIF(Journal[Credit Account],ECurrLiabs[[#This Row],[Account]],Journal[Cr Amt]),0)</f>
        <v>0</v>
      </c>
      <c r="BQ43"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419" cm="1">
        <f t="array" aca="1" ref="BR43" ca="1">IF(ECurrLiabs[[#This Row],[Account]]&lt;&gt;"",_xlfn._xlws.FILTER(FSBuilder[Amount],(FSBuilder[Account or Explanation]=ECurrLiabs[[#This Row],[Account]])*(FSBuilder[Statement]="Ending Balance Sheet"),0),0)</f>
        <v>0</v>
      </c>
      <c r="BS43" s="445">
        <f>ECurrLiabs[[#This Row],[Used]]*(ECurrLiabs[[#This Row],[AmtJournal]]&lt;&gt;0)</f>
        <v>0</v>
      </c>
      <c r="BT43" s="445">
        <f>ECurrLiabs[[#This Row],[Used]]*(ECurrLiabs[[#This Row],[AmtAnswer]]&lt;&gt;0)</f>
        <v>0</v>
      </c>
      <c r="BU43" s="445">
        <f ca="1">ECurrLiabs[[#This Row],[Used]]*(ECurrLiabs[[#This Row],[AmtFSBuilder]]&lt;&gt;0)</f>
        <v>0</v>
      </c>
    </row>
    <row r="44" spans="2:73">
      <c r="B44" s="224" cm="1">
        <f t="array" ref="B44">_xlfn.IFS(AND(BCurrLiabs[[#This Row],[Used]]=1,BCurrLiabs[[#This Row],[Order]]=1),6,AND(BCurrLiabs[[#This Row],[Used]]=1,BCurrLiabs[[#This Row],[Order]]&gt;1),7,BCurrLiabs[[#This Row],[Used]]=0,8)</f>
        <v>7</v>
      </c>
      <c r="C44" t="s">
        <v>177</v>
      </c>
      <c r="D44" s="421">
        <f>IF(ISNUMBER(_xlfn.XLOOKUP(BCurrLiabs[[#This Row],[Account]],MD_Liability[Account Name],MD_Liability[Used])),_xlfn.XLOOKUP(BCurrLiabs[[#This Row],[Account]],MD_Liability[Account Name],MD_Liability[Used]),0)</f>
        <v>1</v>
      </c>
      <c r="E44" s="421">
        <f>IF(BCurrLiabs[[#This Row],[Used]]=1,BCurrLiabs[[#This Row],[Used]]+SUM(D41:D43),0)</f>
        <v>2</v>
      </c>
      <c r="F44" s="419">
        <f>_xlfn.IFNA(_xlfn.XLOOKUP(C44,BegBalanceSheet_Liabilities[Account],BegBalanceSheet_Liabilities[Amount]),0)</f>
        <v>0</v>
      </c>
      <c r="G44" s="348"/>
      <c r="H44" s="5" t="s">
        <v>961</v>
      </c>
      <c r="J44" s="348"/>
      <c r="K44" s="348"/>
      <c r="L44" s="348"/>
      <c r="M44" s="348"/>
      <c r="N44" s="348"/>
      <c r="O44" s="348"/>
      <c r="P44" s="348"/>
      <c r="Q44" s="348"/>
      <c r="S44"/>
      <c r="T44"/>
      <c r="U44"/>
      <c r="V44"/>
      <c r="AP44" s="224" cm="1">
        <f t="array" ref="AP44">_xlfn.IFS(AND(CFS_CFF[[#This Row],[Used]]=1,CFS_CFF[[#This Row],[Order]]=1),6,AND(CFS_CFF[[#This Row],[Used]]=1,CFS_CFF[[#This Row],[Order]]&gt;1),7,CFS_CFF[[#This Row],[Used]]=0,8)</f>
        <v>8</v>
      </c>
      <c r="AQ44" t="s">
        <v>387</v>
      </c>
      <c r="AR44" s="435">
        <f>IF(ABS(CFS_CFF[[#This Row],[AmtJournal]])&gt;0,1,0)</f>
        <v>0</v>
      </c>
      <c r="AS44" s="435">
        <f>IF(CFS_CFF[[#This Row],[Used]]=1,CFS_CFF[[#This Row],[Used]]+SUM(AR34:AR43),0)</f>
        <v>0</v>
      </c>
      <c r="AT44" s="417">
        <f>-SUMIFS(Journal[Cr Amt],Journal[ref1],"RN",Journal[Credit Account],"Cash")</f>
        <v>0</v>
      </c>
      <c r="AU44" s="435">
        <f ca="1">-SUMIFS(JournalAnswer[Cr Amt],JournalAnswer[ref1],"RN",JournalAnswer[Credit Account],"Cash")</f>
        <v>0</v>
      </c>
      <c r="AV44" s="421" cm="1">
        <f t="array" aca="1" ref="AV44" ca="1">IF(CFS_CFF[[#This Row],[Account]]&lt;&gt;"",_xlfn._xlws.FILTER(FSBuilder[Amount],FSBuilder[Account or Explanation]=CFS_CFF[[#This Row],[Account]],0),"")</f>
        <v>0</v>
      </c>
      <c r="AW44" s="435">
        <f>IF(CFS_CFF[[#This Row],[AmtJournal]]&lt;&gt;0,1,0)</f>
        <v>0</v>
      </c>
      <c r="AX44" s="435">
        <f ca="1">IF(CFS_CFF[[#This Row],[AmtAnswer]]&lt;&gt;0,1,0)</f>
        <v>0</v>
      </c>
      <c r="AY44" s="435">
        <f ca="1">IF(CFS_CFF[[#This Row],[AmtFSBuilder]]&lt;&gt;0,1,0)</f>
        <v>0</v>
      </c>
      <c r="AZ44"/>
      <c r="BA44" s="224">
        <f>IF(NI_CFO_Recon_Assets[[#This Row],[Used]]=1,7,8)</f>
        <v>8</v>
      </c>
      <c r="BB44" t="s">
        <v>139</v>
      </c>
      <c r="BC44" s="421">
        <f>IF(ABS(NI_CFO_Recon_Assets[[#This Row],[AmtJournal]])&gt;0,1,0)</f>
        <v>0</v>
      </c>
      <c r="BD44" s="248">
        <f>NI_CFO_Recon_Assets[[#This Row],[Used]]+SUM(BC39:BC43)</f>
        <v>0</v>
      </c>
      <c r="BE44" s="248">
        <f>SUMIFS(Journal[Cr Amt],Journal[Credit Account],BB44,Journal[ref3],"TRUE")-SUMIFS(Journal[Dr Amt],Journal[Debit Account],BB44,Journal[ref3],"TRUE")</f>
        <v>0</v>
      </c>
      <c r="BF44" s="248">
        <f>SUMIFS(JournalAnswer[Cr Amt],JournalAnswer[Credit Account],BE44,JournalAnswer[ref3],"TRUE")-SUMIFS(JournalAnswer[Dr Amt],JournalAnswer[Debit Account],BE44,JournalAnswer[ref3],"TRUE")</f>
        <v>0</v>
      </c>
      <c r="BG44" s="248" cm="1">
        <f t="array" aca="1" ref="BG44" ca="1">IF(NI_CFO_Recon_Assets[[#This Row],[Account]]&lt;&gt;"",_xlfn._xlws.FILTER(FSBuilder[Amount],(FSBuilder[Account or Explanation]=NI_CFO_Recon_Assets[[#This Row],[Account]])*(FSBuilder[Statement]="Cash Flow Statement"),0),0)</f>
        <v>0</v>
      </c>
      <c r="BH44" s="445">
        <f>IF(ABS(NI_CFO_Recon_Assets[[#This Row],[AmtJournal]])&gt;0,1,0)</f>
        <v>0</v>
      </c>
      <c r="BI44" s="445">
        <f>IF(ABS(NI_CFO_Recon_Assets[[#This Row],[AmtAnswer]])&gt;0,1,0)</f>
        <v>0</v>
      </c>
      <c r="BJ44" s="445">
        <f ca="1">IF(ABS(NI_CFO_Recon_Assets[[#This Row],[AmtFSBuilder]])&gt;0,1,0)</f>
        <v>0</v>
      </c>
      <c r="BK44" s="248"/>
      <c r="BL44" s="224" cm="1">
        <f t="array" ref="BL44">_xlfn.IFS(AND(ECurrLiabs[[#This Row],[Used]]=1,ECurrLiabs[[#This Row],[Order]]=1),6,AND(ECurrLiabs[[#This Row],[Used]]=1,ECurrLiabs[[#This Row],[Order]]&gt;1),7,ECurrLiabs[[#This Row],[Used]]=0,8)</f>
        <v>8</v>
      </c>
      <c r="BM44" t="s">
        <v>180</v>
      </c>
      <c r="BN44" s="421">
        <f>IF(ISNUMBER(_xlfn.XLOOKUP(ECurrLiabs[[#This Row],[Account]],MD_Liability[Account Name],MD_Liability[Used])),_xlfn.XLOOKUP(ECurrLiabs[[#This Row],[Account]],MD_Liability[Account Name],MD_Liability[Used]),0)</f>
        <v>0</v>
      </c>
      <c r="BO44" s="421">
        <f>IF(ECurrLiabs[[#This Row],[Used]]=1,ECurrLiabs[[#This Row],[Used]]+SUM(BN40:BN43),0)</f>
        <v>0</v>
      </c>
      <c r="BP44" s="419">
        <f>_xlfn.IFNA((_xlfn.XLOOKUP(ECurrLiabs[[#This Row],[Account]],BegBalanceSheet_Liabilities[Account],BegBalanceSheet_Liabilities[Amount]))-SUMIF(Journal[Debit Account],ECurrLiabs[[#This Row],[Account]],Journal[Dr Amt])+SUMIF(Journal[Credit Account],ECurrLiabs[[#This Row],[Account]],Journal[Cr Amt]),0)</f>
        <v>0</v>
      </c>
      <c r="BQ44"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419" cm="1">
        <f t="array" aca="1" ref="BR44" ca="1">IF(ECurrLiabs[[#This Row],[Account]]&lt;&gt;"",_xlfn._xlws.FILTER(FSBuilder[Amount],(FSBuilder[Account or Explanation]=ECurrLiabs[[#This Row],[Account]])*(FSBuilder[Statement]="Ending Balance Sheet"),0),0)</f>
        <v>0</v>
      </c>
      <c r="BS44" s="445">
        <f>ECurrLiabs[[#This Row],[Used]]*(ECurrLiabs[[#This Row],[AmtJournal]]&lt;&gt;0)</f>
        <v>0</v>
      </c>
      <c r="BT44" s="445">
        <f>ECurrLiabs[[#This Row],[Used]]*(ECurrLiabs[[#This Row],[AmtAnswer]]&lt;&gt;0)</f>
        <v>0</v>
      </c>
      <c r="BU44" s="445">
        <f ca="1">ECurrLiabs[[#This Row],[Used]]*(ECurrLiabs[[#This Row],[AmtFSBuilder]]&lt;&gt;0)</f>
        <v>0</v>
      </c>
    </row>
    <row r="45" spans="2:73">
      <c r="B45" s="224" cm="1">
        <f t="array" ref="B45">_xlfn.IFS(AND(BCurrLiabs[[#This Row],[Used]]=1,BCurrLiabs[[#This Row],[Order]]=1),6,AND(BCurrLiabs[[#This Row],[Used]]=1,BCurrLiabs[[#This Row],[Order]]&gt;1),7,BCurrLiabs[[#This Row],[Used]]=0,8)</f>
        <v>8</v>
      </c>
      <c r="C45" t="s">
        <v>180</v>
      </c>
      <c r="D45" s="421">
        <f>IF(ISNUMBER(_xlfn.XLOOKUP(BCurrLiabs[[#This Row],[Account]],MD_Liability[Account Name],MD_Liability[Used])),_xlfn.XLOOKUP(BCurrLiabs[[#This Row],[Account]],MD_Liability[Account Name],MD_Liability[Used]),0)</f>
        <v>0</v>
      </c>
      <c r="E45" s="421">
        <f>IF(BCurrLiabs[[#This Row],[Used]]=1,BCurrLiabs[[#This Row],[Used]]+SUM(D41:D44),0)</f>
        <v>0</v>
      </c>
      <c r="F45" s="419">
        <f>_xlfn.IFNA(_xlfn.XLOOKUP(C45,BegBalanceSheet_Liabilities[Account],BegBalanceSheet_Liabilities[Amount]),0)</f>
        <v>0</v>
      </c>
      <c r="G45" s="348"/>
      <c r="H45" s="430" t="s">
        <v>968</v>
      </c>
      <c r="I45" s="430" t="s">
        <v>779</v>
      </c>
      <c r="J45" s="430" t="s">
        <v>75</v>
      </c>
      <c r="K45" s="528" t="s">
        <v>969</v>
      </c>
      <c r="L45" s="430" t="s">
        <v>966</v>
      </c>
      <c r="M45" s="430" t="s">
        <v>967</v>
      </c>
      <c r="N45" s="430" t="s">
        <v>970</v>
      </c>
      <c r="O45" s="532" t="s">
        <v>971</v>
      </c>
      <c r="P45" s="532" t="s">
        <v>972</v>
      </c>
      <c r="Q45" s="532" t="s">
        <v>973</v>
      </c>
      <c r="W45"/>
      <c r="X45"/>
      <c r="Y45"/>
      <c r="Z45"/>
      <c r="AA45"/>
      <c r="AB45"/>
      <c r="AP45" s="224" cm="1">
        <f t="array" ref="AP45">_xlfn.IFS(AND(CFS_CFF[[#This Row],[Used]]=1,CFS_CFF[[#This Row],[Order]]=1),6,AND(CFS_CFF[[#This Row],[Used]]=1,CFS_CFF[[#This Row],[Order]]&gt;1),7,CFS_CFF[[#This Row],[Used]]=0,8)</f>
        <v>8</v>
      </c>
      <c r="AQ45" t="s">
        <v>1002</v>
      </c>
      <c r="AR45" s="435">
        <f>IF(ABS(CFS_CFF[[#This Row],[AmtJournal]])&gt;0,1,0)</f>
        <v>0</v>
      </c>
      <c r="AS45" s="435">
        <f>IF(CFS_CFF[[#This Row],[Used]]=1,CFS_CFF[[#This Row],[Used]]+SUM(AR34:AR44),0)</f>
        <v>0</v>
      </c>
      <c r="AT45" s="417">
        <f>-SUMIFS(Journal[Cr Amt],Journal[ref1],"RL",Journal[Credit Account],"Cash")</f>
        <v>0</v>
      </c>
      <c r="AU45" s="435">
        <f ca="1">-SUMIFS(JournalAnswer[Cr Amt],JournalAnswer[ref1],"RL",JournalAnswer[Credit Account],"Cash")</f>
        <v>0</v>
      </c>
      <c r="AV45" s="421" cm="1">
        <f t="array" aca="1" ref="AV45" ca="1">IF(CFS_CFF[[#This Row],[Account]]&lt;&gt;"",_xlfn._xlws.FILTER(FSBuilder[Amount],FSBuilder[Account or Explanation]=CFS_CFF[[#This Row],[Account]],0),"")</f>
        <v>0</v>
      </c>
      <c r="AW45" s="435">
        <f>IF(CFS_CFF[[#This Row],[AmtJournal]]&lt;&gt;0,1,0)</f>
        <v>0</v>
      </c>
      <c r="AX45" s="435">
        <f ca="1">IF(CFS_CFF[[#This Row],[AmtAnswer]]&lt;&gt;0,1,0)</f>
        <v>0</v>
      </c>
      <c r="AY45" s="435">
        <f ca="1">IF(CFS_CFF[[#This Row],[AmtFSBuilder]]&lt;&gt;0,1,0)</f>
        <v>0</v>
      </c>
      <c r="AZ45"/>
      <c r="BA45" s="224">
        <f>IF(NI_CFO_Recon_Assets[[#This Row],[Used]]=1,7,8)</f>
        <v>8</v>
      </c>
      <c r="BB45" t="s">
        <v>155</v>
      </c>
      <c r="BC45" s="421">
        <f>IF(ABS(NI_CFO_Recon_Assets[[#This Row],[AmtJournal]])&gt;0,1,0)</f>
        <v>0</v>
      </c>
      <c r="BD45" s="248">
        <f>NI_CFO_Recon_Assets[[#This Row],[Used]]+SUM(BC39:BC44)</f>
        <v>0</v>
      </c>
      <c r="BE45" s="248">
        <f>SUMIFS(Journal[Cr Amt],Journal[Credit Account],BB45,Journal[ref3],"TRUE")-SUMIFS(Journal[Dr Amt],Journal[Debit Account],BB45,Journal[ref3],"TRUE")</f>
        <v>0</v>
      </c>
      <c r="BF45" s="248">
        <f>SUMIFS(JournalAnswer[Cr Amt],JournalAnswer[Credit Account],BE45,JournalAnswer[ref3],"TRUE")-SUMIFS(JournalAnswer[Dr Amt],JournalAnswer[Debit Account],BE45,JournalAnswer[ref3],"TRUE")</f>
        <v>0</v>
      </c>
      <c r="BG45" s="248" cm="1">
        <f t="array" aca="1" ref="BG45" ca="1">IF(NI_CFO_Recon_Assets[[#This Row],[Account]]&lt;&gt;"",_xlfn._xlws.FILTER(FSBuilder[Amount],(FSBuilder[Account or Explanation]=NI_CFO_Recon_Assets[[#This Row],[Account]])*(FSBuilder[Statement]="Cash Flow Statement"),0),0)</f>
        <v>0</v>
      </c>
      <c r="BH45" s="445">
        <f>IF(ABS(NI_CFO_Recon_Assets[[#This Row],[AmtJournal]])&gt;0,1,0)</f>
        <v>0</v>
      </c>
      <c r="BI45" s="445">
        <f>IF(ABS(NI_CFO_Recon_Assets[[#This Row],[AmtAnswer]])&gt;0,1,0)</f>
        <v>0</v>
      </c>
      <c r="BJ45" s="445">
        <f ca="1">IF(ABS(NI_CFO_Recon_Assets[[#This Row],[AmtFSBuilder]])&gt;0,1,0)</f>
        <v>0</v>
      </c>
      <c r="BK45" s="248"/>
      <c r="BL45" s="224" cm="1">
        <f t="array" ref="BL45">_xlfn.IFS(AND(ECurrLiabs[[#This Row],[Used]]=1,ECurrLiabs[[#This Row],[Order]]=1),6,AND(ECurrLiabs[[#This Row],[Used]]=1,ECurrLiabs[[#This Row],[Order]]&gt;1),7,ECurrLiabs[[#This Row],[Used]]=0,8)</f>
        <v>8</v>
      </c>
      <c r="BM45" t="s">
        <v>183</v>
      </c>
      <c r="BN45" s="421">
        <f>IF(ISNUMBER(_xlfn.XLOOKUP(ECurrLiabs[[#This Row],[Account]],MD_Liability[Account Name],MD_Liability[Used])),_xlfn.XLOOKUP(ECurrLiabs[[#This Row],[Account]],MD_Liability[Account Name],MD_Liability[Used]),0)</f>
        <v>0</v>
      </c>
      <c r="BO45" s="421">
        <f>IF(ECurrLiabs[[#This Row],[Used]]=1,ECurrLiabs[[#This Row],[Used]]+SUM(BN40:BN44),0)</f>
        <v>0</v>
      </c>
      <c r="BP45" s="419">
        <f>_xlfn.IFNA((_xlfn.XLOOKUP(ECurrLiabs[[#This Row],[Account]],BegBalanceSheet_Liabilities[Account],BegBalanceSheet_Liabilities[Amount]))-SUMIF(Journal[Debit Account],ECurrLiabs[[#This Row],[Account]],Journal[Dr Amt])+SUMIF(Journal[Credit Account],ECurrLiabs[[#This Row],[Account]],Journal[Cr Amt]),0)</f>
        <v>0</v>
      </c>
      <c r="BQ45"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419" cm="1">
        <f t="array" aca="1" ref="BR45" ca="1">IF(ECurrLiabs[[#This Row],[Account]]&lt;&gt;"",_xlfn._xlws.FILTER(FSBuilder[Amount],(FSBuilder[Account or Explanation]=ECurrLiabs[[#This Row],[Account]])*(FSBuilder[Statement]="Ending Balance Sheet"),0),0)</f>
        <v>0</v>
      </c>
      <c r="BS45" s="445">
        <f>ECurrLiabs[[#This Row],[Used]]*(ECurrLiabs[[#This Row],[AmtJournal]]&lt;&gt;0)</f>
        <v>0</v>
      </c>
      <c r="BT45" s="445">
        <f>ECurrLiabs[[#This Row],[Used]]*(ECurrLiabs[[#This Row],[AmtAnswer]]&lt;&gt;0)</f>
        <v>0</v>
      </c>
      <c r="BU45" s="445">
        <f ca="1">ECurrLiabs[[#This Row],[Used]]*(ECurrLiabs[[#This Row],[AmtFSBuilder]]&lt;&gt;0)</f>
        <v>0</v>
      </c>
    </row>
    <row r="46" spans="2:73">
      <c r="B46" s="224" cm="1">
        <f t="array" ref="B46">_xlfn.IFS(AND(BCurrLiabs[[#This Row],[Used]]=1,BCurrLiabs[[#This Row],[Order]]=1),6,AND(BCurrLiabs[[#This Row],[Used]]=1,BCurrLiabs[[#This Row],[Order]]&gt;1),7,BCurrLiabs[[#This Row],[Used]]=0,8)</f>
        <v>8</v>
      </c>
      <c r="C46" t="s">
        <v>183</v>
      </c>
      <c r="D46" s="421">
        <f>IF(ISNUMBER(_xlfn.XLOOKUP(BCurrLiabs[[#This Row],[Account]],MD_Liability[Account Name],MD_Liability[Used])),_xlfn.XLOOKUP(BCurrLiabs[[#This Row],[Account]],MD_Liability[Account Name],MD_Liability[Used]),0)</f>
        <v>0</v>
      </c>
      <c r="E46" s="421">
        <f>IF(BCurrLiabs[[#This Row],[Used]]=1,BCurrLiabs[[#This Row],[Used]]+SUM(D41:D45),0)</f>
        <v>0</v>
      </c>
      <c r="F46" s="419">
        <f>_xlfn.IFNA(_xlfn.XLOOKUP(C46,BegBalanceSheet_Liabilities[Account],BegBalanceSheet_Liabilities[Amount]),0)</f>
        <v>0</v>
      </c>
      <c r="G46" s="348"/>
      <c r="H46" s="224" cm="1">
        <f t="array" ref="H46">_xlfn.IFS(AND(IS_Losses[[#This Row],[Used]]=1,IS_Losses[[#This Row],[Order]]=1),6,AND(IS_Losses[[#This Row],[Used]]=1,IS_Losses[[#This Row],[Order]]&gt;1),7,IS_Losses[[#This Row],[Used]]=0,8)</f>
        <v>8</v>
      </c>
      <c r="I46" t="s">
        <v>326</v>
      </c>
      <c r="J46" s="421">
        <f>IF(ISNUMBER(_xlfn.XLOOKUP(IS_Losses[[#This Row],[Account]],MD_Loss[Account Name],MD_Loss[Used])),_xlfn.XLOOKUP(IS_Losses[[#This Row],[Account]],MD_Loss[Account Name],MD_Loss[Used]),0)</f>
        <v>0</v>
      </c>
      <c r="K46" s="421">
        <f>IS_Losses[[#This Row],[Used]]</f>
        <v>0</v>
      </c>
      <c r="L46" s="418">
        <f>SUMIFS(Journal[Dr Amt],Journal[Debit Account],I46,Journal[ref1],"&lt;&gt;CL")</f>
        <v>0</v>
      </c>
      <c r="M46" s="418">
        <f>SUMIFS(JournalAnswer[Dr Amt],JournalAnswer[Debit Account],I46,JournalAnswer[ref1],"&lt;&gt;CL")</f>
        <v>0</v>
      </c>
      <c r="N46" s="418" cm="1">
        <f t="array" aca="1" ref="N46" ca="1">IF(IS_Losses[[#This Row],[Account]]&lt;&gt;"",_xlfn._xlws.FILTER(FSBuilder[Amount],FSBuilder[Account or Explanation]=IS_Losses[[#This Row],[Account]],0),"")</f>
        <v>0</v>
      </c>
      <c r="O46" s="421">
        <f>IS_Losses[[#This Row],[Used]]*(IS_Losses[[#This Row],[AmtJournal]]&lt;&gt;0)</f>
        <v>0</v>
      </c>
      <c r="P46" s="421">
        <f>IS_Losses[[#This Row],[Used]]*(IS_Losses[[#This Row],[AmtAnswer]]&lt;&gt;0)</f>
        <v>0</v>
      </c>
      <c r="Q46" s="421">
        <f ca="1">IS_Losses[[#This Row],[Used]]*(IS_Losses[[#This Row],[AmtFSBuilder]]&lt;&gt;0)*Financial_Statement_Builder!$K$124</f>
        <v>0</v>
      </c>
      <c r="R46"/>
      <c r="AC46"/>
      <c r="AP46" s="224" cm="1">
        <f t="array" ref="AP46">_xlfn.IFS(AND(CFS_CFF[[#This Row],[Used]]=1,CFS_CFF[[#This Row],[Order]]=1),6,AND(CFS_CFF[[#This Row],[Used]]=1,CFS_CFF[[#This Row],[Order]]&gt;1),7,CFS_CFF[[#This Row],[Used]]=0,8)</f>
        <v>8</v>
      </c>
      <c r="AQ46" t="s">
        <v>838</v>
      </c>
      <c r="AR46" s="435">
        <f>IF(ABS(CFS_CFF[[#This Row],[AmtJournal]])&gt;0,1,0)</f>
        <v>0</v>
      </c>
      <c r="AS46" s="435">
        <f>IF(CFS_CFF[[#This Row],[Used]]=1,CFS_CFF[[#This Row],[Used]]+SUM(AR34:AR45),0)</f>
        <v>0</v>
      </c>
      <c r="AT46" s="417">
        <f>-SUMIFS(Journal[Cr Amt],Journal[ref1],"PTS",Journal[Credit Account],"Cash")</f>
        <v>0</v>
      </c>
      <c r="AU46" s="435">
        <f ca="1">-SUMIFS(JournalAnswer[Cr Amt],JournalAnswer[ref1],"PTS",JournalAnswer[Credit Account],"Cash")</f>
        <v>0</v>
      </c>
      <c r="AV46" s="421" cm="1">
        <f t="array" aca="1" ref="AV46" ca="1">IF(CFS_CFF[[#This Row],[Account]]&lt;&gt;"",_xlfn._xlws.FILTER(FSBuilder[Amount],FSBuilder[Account or Explanation]=CFS_CFF[[#This Row],[Account]],0),"")</f>
        <v>0</v>
      </c>
      <c r="AW46" s="435">
        <f>IF(CFS_CFF[[#This Row],[AmtJournal]]&lt;&gt;0,1,0)</f>
        <v>0</v>
      </c>
      <c r="AX46" s="435">
        <f ca="1">IF(CFS_CFF[[#This Row],[AmtAnswer]]&lt;&gt;0,1,0)</f>
        <v>0</v>
      </c>
      <c r="AY46" s="435">
        <f ca="1">IF(CFS_CFF[[#This Row],[AmtFSBuilder]]&lt;&gt;0,1,0)</f>
        <v>0</v>
      </c>
      <c r="AZ46"/>
      <c r="BA46" s="224">
        <f>IF(NI_CFO_Recon_Assets[[#This Row],[Used]]=1,7,8)</f>
        <v>8</v>
      </c>
      <c r="BC46" s="421">
        <f>IF(ABS(NI_CFO_Recon_Assets[[#This Row],[AmtJournal]])&gt;0,1,0)</f>
        <v>0</v>
      </c>
      <c r="BD46" s="248">
        <f>NI_CFO_Recon_Assets[[#This Row],[Used]]+SUM(BC39:BC45)</f>
        <v>0</v>
      </c>
      <c r="BE46" s="248">
        <f>SUMIFS(Journal[Cr Amt],Journal[Credit Account],BB46,Journal[ref3],"TRUE")-SUMIFS(Journal[Dr Amt],Journal[Debit Account],BB46,Journal[ref3],"TRUE")</f>
        <v>0</v>
      </c>
      <c r="BF46" s="248">
        <f>SUMIFS(JournalAnswer[Cr Amt],JournalAnswer[Credit Account],BE46,JournalAnswer[ref3],"TRUE")-SUMIFS(JournalAnswer[Dr Amt],JournalAnswer[Debit Account],BE46,JournalAnswer[ref3],"TRUE")</f>
        <v>0</v>
      </c>
      <c r="BG46" s="248" cm="1">
        <f t="array" ref="BG46">IF(NI_CFO_Recon_Assets[[#This Row],[Account]]&lt;&gt;"",_xlfn._xlws.FILTER(FSBuilder[Amount],(FSBuilder[Account or Explanation]=NI_CFO_Recon_Assets[[#This Row],[Account]])*(FSBuilder[Statement]="Cash Flow Statement"),0),0)</f>
        <v>0</v>
      </c>
      <c r="BH46" s="445">
        <f>IF(ABS(NI_CFO_Recon_Assets[[#This Row],[AmtJournal]])&gt;0,1,0)</f>
        <v>0</v>
      </c>
      <c r="BI46" s="445">
        <f>IF(ABS(NI_CFO_Recon_Assets[[#This Row],[AmtAnswer]])&gt;0,1,0)</f>
        <v>0</v>
      </c>
      <c r="BJ46" s="445">
        <f>IF(ABS(NI_CFO_Recon_Assets[[#This Row],[AmtFSBuilder]])&gt;0,1,0)</f>
        <v>0</v>
      </c>
      <c r="BK46" s="248"/>
      <c r="BL46" s="224" cm="1">
        <f t="array" ref="BL46">_xlfn.IFS(AND(ECurrLiabs[[#This Row],[Used]]=1,ECurrLiabs[[#This Row],[Order]]=1),6,AND(ECurrLiabs[[#This Row],[Used]]=1,ECurrLiabs[[#This Row],[Order]]&gt;1),7,ECurrLiabs[[#This Row],[Used]]=0,8)</f>
        <v>7</v>
      </c>
      <c r="BM46" t="s">
        <v>185</v>
      </c>
      <c r="BN46" s="421">
        <f>IF(ISNUMBER(_xlfn.XLOOKUP(ECurrLiabs[[#This Row],[Account]],MD_Liability[Account Name],MD_Liability[Used])),_xlfn.XLOOKUP(ECurrLiabs[[#This Row],[Account]],MD_Liability[Account Name],MD_Liability[Used]),0)</f>
        <v>1</v>
      </c>
      <c r="BO46" s="421">
        <f>IF(ECurrLiabs[[#This Row],[Used]]=1,ECurrLiabs[[#This Row],[Used]]+SUM(BN40:BN45),0)</f>
        <v>3</v>
      </c>
      <c r="BP46" s="419">
        <f>_xlfn.IFNA((_xlfn.XLOOKUP(ECurrLiabs[[#This Row],[Account]],BegBalanceSheet_Liabilities[Account],BegBalanceSheet_Liabilities[Amount]))-SUMIF(Journal[Debit Account],ECurrLiabs[[#This Row],[Account]],Journal[Dr Amt])+SUMIF(Journal[Credit Account],ECurrLiabs[[#This Row],[Account]],Journal[Cr Amt]),0)</f>
        <v>0</v>
      </c>
      <c r="BQ46" s="419">
        <f>_xlfn.IFNA((_xlfn.XLOOKUP(ECurrLiabs[[#This Row],[Account]],BegBalanceSheet_Liabilities[Account],BegBalanceSheet_Liabilities[Amount]))-SUMIF(JournalAnswer[Debit Account],ECurrLiabs[[#This Row],[Account]],JournalAnswer[Dr Amt])+SUMIF(JournalAnswer[Credit Account],ECurrLiabs[[#This Row],[Account]],JournalAnswer[Cr Amt]),0)</f>
        <v>8</v>
      </c>
      <c r="BR46" s="419" cm="1">
        <f t="array" aca="1" ref="BR46" ca="1">IF(ECurrLiabs[[#This Row],[Account]]&lt;&gt;"",_xlfn._xlws.FILTER(FSBuilder[Amount],(FSBuilder[Account or Explanation]=ECurrLiabs[[#This Row],[Account]])*(FSBuilder[Statement]="Ending Balance Sheet"),0),0)</f>
        <v>0</v>
      </c>
      <c r="BS46" s="445">
        <f>ECurrLiabs[[#This Row],[Used]]*(ECurrLiabs[[#This Row],[AmtJournal]]&lt;&gt;0)</f>
        <v>0</v>
      </c>
      <c r="BT46" s="445">
        <f>ECurrLiabs[[#This Row],[Used]]*(ECurrLiabs[[#This Row],[AmtAnswer]]&lt;&gt;0)</f>
        <v>1</v>
      </c>
      <c r="BU46" s="445">
        <f ca="1">ECurrLiabs[[#This Row],[Used]]*(ECurrLiabs[[#This Row],[AmtFSBuilder]]&lt;&gt;0)</f>
        <v>0</v>
      </c>
    </row>
    <row r="47" spans="2:73">
      <c r="B47" s="224" cm="1">
        <f t="array" ref="B47">_xlfn.IFS(AND(BCurrLiabs[[#This Row],[Used]]=1,BCurrLiabs[[#This Row],[Order]]=1),6,AND(BCurrLiabs[[#This Row],[Used]]=1,BCurrLiabs[[#This Row],[Order]]&gt;1),7,BCurrLiabs[[#This Row],[Used]]=0,8)</f>
        <v>7</v>
      </c>
      <c r="C47" t="s">
        <v>185</v>
      </c>
      <c r="D47" s="421">
        <f>IF(ISNUMBER(_xlfn.XLOOKUP(BCurrLiabs[[#This Row],[Account]],MD_Liability[Account Name],MD_Liability[Used])),_xlfn.XLOOKUP(BCurrLiabs[[#This Row],[Account]],MD_Liability[Account Name],MD_Liability[Used]),0)</f>
        <v>1</v>
      </c>
      <c r="E47" s="421">
        <f>IF(BCurrLiabs[[#This Row],[Used]]=1,BCurrLiabs[[#This Row],[Used]]+SUM(D41:D46),0)</f>
        <v>3</v>
      </c>
      <c r="F47" s="419">
        <f>_xlfn.IFNA(_xlfn.XLOOKUP(C47,BegBalanceSheet_Liabilities[Account],BegBalanceSheet_Liabilities[Amount]),0)</f>
        <v>0</v>
      </c>
      <c r="G47" s="348"/>
      <c r="H47" s="224" cm="1">
        <f t="array" ref="H47">_xlfn.IFS(AND(IS_Losses[[#This Row],[Used]]=1,IS_Losses[[#This Row],[Order]]=1),6,AND(IS_Losses[[#This Row],[Used]]=1,IS_Losses[[#This Row],[Order]]&gt;1),7,IS_Losses[[#This Row],[Used]]=0,8)</f>
        <v>8</v>
      </c>
      <c r="I47" t="s">
        <v>329</v>
      </c>
      <c r="J47" s="421">
        <f>IF(ISNUMBER(_xlfn.XLOOKUP(IS_Losses[[#This Row],[Account]],MD_Loss[Account Name],MD_Loss[Used])),_xlfn.XLOOKUP(IS_Losses[[#This Row],[Account]],MD_Loss[Account Name],MD_Loss[Used]),0)</f>
        <v>0</v>
      </c>
      <c r="K47" s="421">
        <f>IF(IS_Losses[[#This Row],[Used]]=1,IS_Losses[[#This Row],[Used]]+J46,0)</f>
        <v>0</v>
      </c>
      <c r="L47" s="419">
        <f>SUMIFS(Journal[Dr Amt],Journal[Debit Account],I47,Journal[ref1],"&lt;&gt;CL")</f>
        <v>0</v>
      </c>
      <c r="M47" s="419">
        <f>SUMIFS(JournalAnswer[Dr Amt],JournalAnswer[Debit Account],I47,JournalAnswer[ref1],"&lt;&gt;CL")</f>
        <v>0</v>
      </c>
      <c r="N47" s="419" cm="1">
        <f t="array" aca="1" ref="N47" ca="1">IF(IS_Losses[[#This Row],[Account]]&lt;&gt;"",_xlfn._xlws.FILTER(FSBuilder[Amount],FSBuilder[Account or Explanation]=IS_Losses[[#This Row],[Account]],0),"")</f>
        <v>0</v>
      </c>
      <c r="O47" s="421">
        <f>IS_Losses[[#This Row],[Used]]*(IS_Losses[[#This Row],[AmtJournal]]&lt;&gt;0)</f>
        <v>0</v>
      </c>
      <c r="P47" s="421">
        <f>IS_Losses[[#This Row],[Used]]*(IS_Losses[[#This Row],[AmtAnswer]]&lt;&gt;0)</f>
        <v>0</v>
      </c>
      <c r="Q47" s="421">
        <f ca="1">IS_Losses[[#This Row],[Used]]*(IS_Losses[[#This Row],[AmtFSBuilder]]&lt;&gt;0)*Financial_Statement_Builder!$K$124</f>
        <v>0</v>
      </c>
      <c r="AP47" s="224" cm="1">
        <f t="array" ref="AP47">_xlfn.IFS(AND(CFS_CFF[[#This Row],[Used]]=1,CFS_CFF[[#This Row],[Order]]=1),6,AND(CFS_CFF[[#This Row],[Used]]=1,CFS_CFF[[#This Row],[Order]]&gt;1),7,CFS_CFF[[#This Row],[Used]]=0,8)</f>
        <v>8</v>
      </c>
      <c r="AQ47" t="s">
        <v>395</v>
      </c>
      <c r="AR47" s="608">
        <f>IF(ABS(CFS_CFF[[#This Row],[AmtJournal]])&gt;0,1,0)</f>
        <v>0</v>
      </c>
      <c r="AS47" s="435">
        <f>IF(CFS_CFF[[#This Row],[Used]]=1,CFS_CFF[[#This Row],[Used]]+SUM(AR35:AR46),0)</f>
        <v>0</v>
      </c>
      <c r="AT47" s="609">
        <f>-SUMIFS(Journal[Cr Amt],Journal[ref1],"GL",Journal[Credit Account],"Cash")</f>
        <v>0</v>
      </c>
      <c r="AU47" s="608">
        <f ca="1">SUMIFS(JournalAnswer[Dr Amt],JournalAnswer[ref1],"GL",JournalAnswer[Debit Account],"Cash")</f>
        <v>50</v>
      </c>
      <c r="AV47" s="421" cm="1">
        <f t="array" aca="1" ref="AV47" ca="1">IF(CFS_CFF[[#This Row],[Account]]&lt;&gt;"",_xlfn._xlws.FILTER(FSBuilder[Amount],FSBuilder[Account or Explanation]=CFS_CFF[[#This Row],[Account]],0),"")</f>
        <v>0</v>
      </c>
      <c r="AW47" s="608">
        <f>IF(CFS_CFF[[#This Row],[AmtJournal]]&lt;&gt;0,1,0)</f>
        <v>0</v>
      </c>
      <c r="AX47" s="608">
        <f ca="1">IF(CFS_CFF[[#This Row],[AmtAnswer]]&lt;&gt;0,1,0)</f>
        <v>1</v>
      </c>
      <c r="AY47" s="608">
        <f ca="1">IF(CFS_CFF[[#This Row],[AmtFSBuilder]]&lt;&gt;0,1,0)</f>
        <v>0</v>
      </c>
      <c r="AZ47"/>
      <c r="BA47" s="224">
        <f>IF(NI_CFO_Recon_Assets[[#This Row],[Used]]=1,7,8)</f>
        <v>8</v>
      </c>
      <c r="BC47" s="421">
        <f>IF(ABS(NI_CFO_Recon_Assets[[#This Row],[AmtJournal]])&gt;0,1,0)</f>
        <v>0</v>
      </c>
      <c r="BD47" s="248">
        <f>NI_CFO_Recon_Assets[[#This Row],[Used]]+SUM(BC39:BC46)</f>
        <v>0</v>
      </c>
      <c r="BE47" s="248">
        <f>SUMIFS(Journal[Cr Amt],Journal[Credit Account],BB47,Journal[ref3],"TRUE")-SUMIFS(Journal[Dr Amt],Journal[Debit Account],BB47,Journal[ref3],"TRUE")</f>
        <v>0</v>
      </c>
      <c r="BF47" s="248">
        <f>SUMIFS(JournalAnswer[Cr Amt],JournalAnswer[Credit Account],BE47,JournalAnswer[ref3],"TRUE")-SUMIFS(JournalAnswer[Dr Amt],JournalAnswer[Debit Account],BE47,JournalAnswer[ref3],"TRUE")</f>
        <v>0</v>
      </c>
      <c r="BG47" s="248" cm="1">
        <f t="array" ref="BG47">IF(NI_CFO_Recon_Assets[[#This Row],[Account]]&lt;&gt;"",_xlfn._xlws.FILTER(FSBuilder[Amount],(FSBuilder[Account or Explanation]=NI_CFO_Recon_Assets[[#This Row],[Account]])*(FSBuilder[Statement]="Cash Flow Statement"),0),0)</f>
        <v>0</v>
      </c>
      <c r="BH47" s="445">
        <f>IF(ABS(NI_CFO_Recon_Assets[[#This Row],[AmtJournal]])&gt;0,1,0)</f>
        <v>0</v>
      </c>
      <c r="BI47" s="445">
        <f>IF(ABS(NI_CFO_Recon_Assets[[#This Row],[AmtAnswer]])&gt;0,1,0)</f>
        <v>0</v>
      </c>
      <c r="BJ47" s="445">
        <f>IF(ABS(NI_CFO_Recon_Assets[[#This Row],[AmtFSBuilder]])&gt;0,1,0)</f>
        <v>0</v>
      </c>
      <c r="BK47" s="248"/>
      <c r="BL47" s="224" cm="1">
        <f t="array" ref="BL47">_xlfn.IFS(AND(ECurrLiabs[[#This Row],[Used]]=1,ECurrLiabs[[#This Row],[Order]]=1),6,AND(ECurrLiabs[[#This Row],[Used]]=1,ECurrLiabs[[#This Row],[Order]]&gt;1),7,ECurrLiabs[[#This Row],[Used]]=0,8)</f>
        <v>8</v>
      </c>
      <c r="BM47" t="s">
        <v>188</v>
      </c>
      <c r="BN47" s="421">
        <f>IF(ISNUMBER(_xlfn.XLOOKUP(ECurrLiabs[[#This Row],[Account]],MD_Liability[Account Name],MD_Liability[Used])),_xlfn.XLOOKUP(ECurrLiabs[[#This Row],[Account]],MD_Liability[Account Name],MD_Liability[Used]),0)</f>
        <v>0</v>
      </c>
      <c r="BO47" s="421">
        <f>IF(ECurrLiabs[[#This Row],[Used]]=1,ECurrLiabs[[#This Row],[Used]]+SUM(BN40:BN46),0)</f>
        <v>0</v>
      </c>
      <c r="BP47" s="419">
        <f>_xlfn.IFNA((_xlfn.XLOOKUP(ECurrLiabs[[#This Row],[Account]],BegBalanceSheet_Liabilities[Account],BegBalanceSheet_Liabilities[Amount]))-SUMIF(Journal[Debit Account],ECurrLiabs[[#This Row],[Account]],Journal[Dr Amt])+SUMIF(Journal[Credit Account],ECurrLiabs[[#This Row],[Account]],Journal[Cr Amt]),0)</f>
        <v>0</v>
      </c>
      <c r="BQ47"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419" cm="1">
        <f t="array" aca="1" ref="BR47" ca="1">IF(ECurrLiabs[[#This Row],[Account]]&lt;&gt;"",_xlfn._xlws.FILTER(FSBuilder[Amount],(FSBuilder[Account or Explanation]=ECurrLiabs[[#This Row],[Account]])*(FSBuilder[Statement]="Ending Balance Sheet"),0),0)</f>
        <v>0</v>
      </c>
      <c r="BS47" s="445">
        <f>ECurrLiabs[[#This Row],[Used]]*(ECurrLiabs[[#This Row],[AmtJournal]]&lt;&gt;0)</f>
        <v>0</v>
      </c>
      <c r="BT47" s="445">
        <f>ECurrLiabs[[#This Row],[Used]]*(ECurrLiabs[[#This Row],[AmtAnswer]]&lt;&gt;0)</f>
        <v>0</v>
      </c>
      <c r="BU47" s="445">
        <f ca="1">ECurrLiabs[[#This Row],[Used]]*(ECurrLiabs[[#This Row],[AmtFSBuilder]]&lt;&gt;0)</f>
        <v>0</v>
      </c>
    </row>
    <row r="48" spans="2:73">
      <c r="B48" s="224" cm="1">
        <f t="array" ref="B48">_xlfn.IFS(AND(BCurrLiabs[[#This Row],[Used]]=1,BCurrLiabs[[#This Row],[Order]]=1),6,AND(BCurrLiabs[[#This Row],[Used]]=1,BCurrLiabs[[#This Row],[Order]]&gt;1),7,BCurrLiabs[[#This Row],[Used]]=0,8)</f>
        <v>8</v>
      </c>
      <c r="C48" t="s">
        <v>188</v>
      </c>
      <c r="D48" s="421">
        <f>IF(ISNUMBER(_xlfn.XLOOKUP(BCurrLiabs[[#This Row],[Account]],MD_Liability[Account Name],MD_Liability[Used])),_xlfn.XLOOKUP(BCurrLiabs[[#This Row],[Account]],MD_Liability[Account Name],MD_Liability[Used]),0)</f>
        <v>0</v>
      </c>
      <c r="E48" s="421">
        <f>IF(BCurrLiabs[[#This Row],[Used]]=1,BCurrLiabs[[#This Row],[Used]]+SUM(D41:D47),0)</f>
        <v>0</v>
      </c>
      <c r="F48" s="419">
        <f>_xlfn.IFNA(_xlfn.XLOOKUP(C48,BegBalanceSheet_Liabilities[Account],BegBalanceSheet_Liabilities[Amount]),0)</f>
        <v>0</v>
      </c>
      <c r="G48" s="348"/>
      <c r="H48" s="224" cm="1">
        <f t="array" ref="H48">_xlfn.IFS(AND(IS_Losses[[#This Row],[Used]]=1,IS_Losses[[#This Row],[Order]]=1),6,AND(IS_Losses[[#This Row],[Used]]=1,IS_Losses[[#This Row],[Order]]&gt;1),7,IS_Losses[[#This Row],[Used]]=0,8)</f>
        <v>8</v>
      </c>
      <c r="I48" t="s">
        <v>332</v>
      </c>
      <c r="J48" s="421">
        <f>IF(ISNUMBER(_xlfn.XLOOKUP(IS_Losses[[#This Row],[Account]],MD_Loss[Account Name],MD_Loss[Used])),_xlfn.XLOOKUP(IS_Losses[[#This Row],[Account]],MD_Loss[Account Name],MD_Loss[Used]),0)</f>
        <v>0</v>
      </c>
      <c r="K48" s="421">
        <f>IF(IS_Losses[[#This Row],[Used]]=1,IS_Losses[[#This Row],[Used]]+SUM(J46:J47),0)</f>
        <v>0</v>
      </c>
      <c r="L48" s="419">
        <f>SUMIFS(Journal[Dr Amt],Journal[Debit Account],I48,Journal[ref1],"&lt;&gt;CL")</f>
        <v>0</v>
      </c>
      <c r="M48" s="419">
        <f>SUMIFS(JournalAnswer[Dr Amt],JournalAnswer[Debit Account],I48,JournalAnswer[ref1],"&lt;&gt;CL")</f>
        <v>0</v>
      </c>
      <c r="N48" s="419" cm="1">
        <f t="array" aca="1" ref="N48" ca="1">IF(IS_Losses[[#This Row],[Account]]&lt;&gt;"",_xlfn._xlws.FILTER(FSBuilder[Amount],FSBuilder[Account or Explanation]=IS_Losses[[#This Row],[Account]],0),"")</f>
        <v>0</v>
      </c>
      <c r="O48" s="421">
        <f>IS_Losses[[#This Row],[Used]]*(IS_Losses[[#This Row],[AmtJournal]]&lt;&gt;0)</f>
        <v>0</v>
      </c>
      <c r="P48" s="421">
        <f>IS_Losses[[#This Row],[Used]]*(IS_Losses[[#This Row],[AmtAnswer]]&lt;&gt;0)</f>
        <v>0</v>
      </c>
      <c r="Q48" s="421">
        <f ca="1">IS_Losses[[#This Row],[Used]]*(IS_Losses[[#This Row],[AmtFSBuilder]]&lt;&gt;0)*Financial_Statement_Builder!$K$124</f>
        <v>0</v>
      </c>
      <c r="AP48" s="224">
        <f>IF(AT48=0,8,3)</f>
        <v>8</v>
      </c>
      <c r="AQ48" s="213" t="s">
        <v>1003</v>
      </c>
      <c r="AR48" s="435"/>
      <c r="AT48" s="610">
        <f>SUBTOTAL(9,AT34:AT47)</f>
        <v>0</v>
      </c>
      <c r="AU48" s="610">
        <f ca="1">SUBTOTAL(9,AU34:AU47)</f>
        <v>100</v>
      </c>
      <c r="AV48" s="610">
        <f ca="1">SUBTOTAL(9,AV34:AV47)</f>
        <v>0</v>
      </c>
      <c r="AW48" s="435"/>
      <c r="AX48" s="435"/>
      <c r="AY48" s="435"/>
      <c r="AZ48"/>
      <c r="BA48" s="224">
        <f>IF(NI_CFO_Recon_Assets[[#This Row],[Used]]=1,7,8)</f>
        <v>8</v>
      </c>
      <c r="BC48" s="421">
        <f>IF(ABS(NI_CFO_Recon_Assets[[#This Row],[AmtJournal]])&gt;0,1,0)</f>
        <v>0</v>
      </c>
      <c r="BD48" s="248">
        <f>NI_CFO_Recon_Assets[[#This Row],[Used]]+SUM(BC39:BC47)</f>
        <v>0</v>
      </c>
      <c r="BE48" s="248">
        <f>SUMIFS(Journal[Cr Amt],Journal[Credit Account],BB48,Journal[ref3],"TRUE")-SUMIFS(Journal[Dr Amt],Journal[Debit Account],BB48,Journal[ref3],"TRUE")</f>
        <v>0</v>
      </c>
      <c r="BF48" s="248">
        <f>SUMIFS(JournalAnswer[Cr Amt],JournalAnswer[Credit Account],BE48,JournalAnswer[ref3],"TRUE")-SUMIFS(JournalAnswer[Dr Amt],JournalAnswer[Debit Account],BE48,JournalAnswer[ref3],"TRUE")</f>
        <v>0</v>
      </c>
      <c r="BG48" s="248" cm="1">
        <f t="array" ref="BG48">IF(NI_CFO_Recon_Assets[[#This Row],[Account]]&lt;&gt;"",_xlfn._xlws.FILTER(FSBuilder[Amount],(FSBuilder[Account or Explanation]=NI_CFO_Recon_Assets[[#This Row],[Account]])*(FSBuilder[Statement]="Cash Flow Statement"),0),0)</f>
        <v>0</v>
      </c>
      <c r="BH48" s="445">
        <f>IF(ABS(NI_CFO_Recon_Assets[[#This Row],[AmtJournal]])&gt;0,1,0)</f>
        <v>0</v>
      </c>
      <c r="BI48" s="445">
        <f>IF(ABS(NI_CFO_Recon_Assets[[#This Row],[AmtAnswer]])&gt;0,1,0)</f>
        <v>0</v>
      </c>
      <c r="BJ48" s="445">
        <f>IF(ABS(NI_CFO_Recon_Assets[[#This Row],[AmtFSBuilder]])&gt;0,1,0)</f>
        <v>0</v>
      </c>
      <c r="BK48" s="248"/>
      <c r="BL48" s="224" cm="1">
        <f t="array" ref="BL48">_xlfn.IFS(AND(ECurrLiabs[[#This Row],[Used]]=1,ECurrLiabs[[#This Row],[Order]]=1),6,AND(ECurrLiabs[[#This Row],[Used]]=1,ECurrLiabs[[#This Row],[Order]]&gt;1),7,ECurrLiabs[[#This Row],[Used]]=0,8)</f>
        <v>8</v>
      </c>
      <c r="BM48" t="s">
        <v>191</v>
      </c>
      <c r="BN48" s="421">
        <f>IF(ISNUMBER(_xlfn.XLOOKUP(ECurrLiabs[[#This Row],[Account]],MD_Liability[Account Name],MD_Liability[Used])),_xlfn.XLOOKUP(ECurrLiabs[[#This Row],[Account]],MD_Liability[Account Name],MD_Liability[Used]),0)</f>
        <v>0</v>
      </c>
      <c r="BO48" s="421">
        <f>IF(ECurrLiabs[[#This Row],[Used]]=1,ECurrLiabs[[#This Row],[Used]]+SUM(BN40:BN47),0)</f>
        <v>0</v>
      </c>
      <c r="BP48" s="419">
        <f>_xlfn.IFNA((_xlfn.XLOOKUP(ECurrLiabs[[#This Row],[Account]],BegBalanceSheet_Liabilities[Account],BegBalanceSheet_Liabilities[Amount]))-SUMIF(Journal[Debit Account],ECurrLiabs[[#This Row],[Account]],Journal[Dr Amt])+SUMIF(Journal[Credit Account],ECurrLiabs[[#This Row],[Account]],Journal[Cr Amt]),0)</f>
        <v>0</v>
      </c>
      <c r="BQ48"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419" cm="1">
        <f t="array" aca="1" ref="BR48" ca="1">IF(ECurrLiabs[[#This Row],[Account]]&lt;&gt;"",_xlfn._xlws.FILTER(FSBuilder[Amount],(FSBuilder[Account or Explanation]=ECurrLiabs[[#This Row],[Account]])*(FSBuilder[Statement]="Ending Balance Sheet"),0),0)</f>
        <v>0</v>
      </c>
      <c r="BS48" s="445">
        <f>ECurrLiabs[[#This Row],[Used]]*(ECurrLiabs[[#This Row],[AmtJournal]]&lt;&gt;0)</f>
        <v>0</v>
      </c>
      <c r="BT48" s="445">
        <f>ECurrLiabs[[#This Row],[Used]]*(ECurrLiabs[[#This Row],[AmtAnswer]]&lt;&gt;0)</f>
        <v>0</v>
      </c>
      <c r="BU48" s="445">
        <f ca="1">ECurrLiabs[[#This Row],[Used]]*(ECurrLiabs[[#This Row],[AmtFSBuilder]]&lt;&gt;0)</f>
        <v>0</v>
      </c>
    </row>
    <row r="49" spans="2:73">
      <c r="B49" s="224" cm="1">
        <f t="array" ref="B49">_xlfn.IFS(AND(BCurrLiabs[[#This Row],[Used]]=1,BCurrLiabs[[#This Row],[Order]]=1),6,AND(BCurrLiabs[[#This Row],[Used]]=1,BCurrLiabs[[#This Row],[Order]]&gt;1),7,BCurrLiabs[[#This Row],[Used]]=0,8)</f>
        <v>8</v>
      </c>
      <c r="C49" t="s">
        <v>191</v>
      </c>
      <c r="D49" s="421">
        <f>IF(ISNUMBER(_xlfn.XLOOKUP(BCurrLiabs[[#This Row],[Account]],MD_Liability[Account Name],MD_Liability[Used])),_xlfn.XLOOKUP(BCurrLiabs[[#This Row],[Account]],MD_Liability[Account Name],MD_Liability[Used]),0)</f>
        <v>0</v>
      </c>
      <c r="E49" s="421">
        <f>IF(BCurrLiabs[[#This Row],[Used]]=1,BCurrLiabs[[#This Row],[Used]]+SUM(D41:D48),0)</f>
        <v>0</v>
      </c>
      <c r="F49" s="419">
        <f>_xlfn.IFNA(_xlfn.XLOOKUP(C49,BegBalanceSheet_Liabilities[Account],BegBalanceSheet_Liabilities[Amount]),0)</f>
        <v>0</v>
      </c>
      <c r="G49" s="348"/>
      <c r="H49" s="224" cm="1">
        <f t="array" ref="H49">_xlfn.IFS(AND(IS_Losses[[#This Row],[Used]]=1,IS_Losses[[#This Row],[Order]]=1),6,AND(IS_Losses[[#This Row],[Used]]=1,IS_Losses[[#This Row],[Order]]&gt;1),7,IS_Losses[[#This Row],[Used]]=0,8)</f>
        <v>8</v>
      </c>
      <c r="I49" t="s">
        <v>335</v>
      </c>
      <c r="J49" s="421">
        <f>IF(ISNUMBER(_xlfn.XLOOKUP(IS_Losses[[#This Row],[Account]],MD_Loss[Account Name],MD_Loss[Used])),_xlfn.XLOOKUP(IS_Losses[[#This Row],[Account]],MD_Loss[Account Name],MD_Loss[Used]),0)</f>
        <v>0</v>
      </c>
      <c r="K49" s="421">
        <f>IF(IS_Losses[[#This Row],[Used]]=1,IS_Losses[[#This Row],[Used]]+SUM(J46:J48),0)</f>
        <v>0</v>
      </c>
      <c r="L49" s="419">
        <f>SUMIFS(Journal[Dr Amt],Journal[Debit Account],I49,Journal[ref1],"&lt;&gt;CL")</f>
        <v>0</v>
      </c>
      <c r="M49" s="419">
        <f>SUMIFS(JournalAnswer[Dr Amt],JournalAnswer[Debit Account],I49,JournalAnswer[ref1],"&lt;&gt;CL")</f>
        <v>0</v>
      </c>
      <c r="N49" s="419" cm="1">
        <f t="array" aca="1" ref="N49" ca="1">IF(IS_Losses[[#This Row],[Account]]&lt;&gt;"",_xlfn._xlws.FILTER(FSBuilder[Amount],FSBuilder[Account or Explanation]=IS_Losses[[#This Row],[Account]],0),"")</f>
        <v>0</v>
      </c>
      <c r="O49" s="421">
        <f>IS_Losses[[#This Row],[Used]]*(IS_Losses[[#This Row],[AmtJournal]]&lt;&gt;0)</f>
        <v>0</v>
      </c>
      <c r="P49" s="421">
        <f>IS_Losses[[#This Row],[Used]]*(IS_Losses[[#This Row],[AmtAnswer]]&lt;&gt;0)</f>
        <v>0</v>
      </c>
      <c r="Q49" s="421">
        <f ca="1">IS_Losses[[#This Row],[Used]]*(IS_Losses[[#This Row],[AmtFSBuilder]]&lt;&gt;0)*Financial_Statement_Builder!$K$124</f>
        <v>0</v>
      </c>
      <c r="AQ49" s="213"/>
      <c r="AR49" s="401"/>
      <c r="AS49" s="435"/>
      <c r="AZ49"/>
      <c r="BA49" s="224">
        <f>IF(NI_CFO_Recon_Assets[[#This Row],[Used]]=1,7,8)</f>
        <v>8</v>
      </c>
      <c r="BC49" s="421">
        <f>IF(ABS(NI_CFO_Recon_Assets[[#This Row],[AmtJournal]])&gt;0,1,0)</f>
        <v>0</v>
      </c>
      <c r="BD49" s="248">
        <f>NI_CFO_Recon_Assets[[#This Row],[Used]]+SUM(BC39:BC48)</f>
        <v>0</v>
      </c>
      <c r="BE49" s="248">
        <f>SUMIFS(Journal[Cr Amt],Journal[Credit Account],BB49,Journal[ref3],"TRUE")-SUMIFS(Journal[Dr Amt],Journal[Debit Account],BB49,Journal[ref3],"TRUE")</f>
        <v>0</v>
      </c>
      <c r="BF49" s="248">
        <f>SUMIFS(JournalAnswer[Cr Amt],JournalAnswer[Credit Account],BE49,JournalAnswer[ref3],"TRUE")-SUMIFS(JournalAnswer[Dr Amt],JournalAnswer[Debit Account],BE49,JournalAnswer[ref3],"TRUE")</f>
        <v>0</v>
      </c>
      <c r="BG49" s="248" cm="1">
        <f t="array" ref="BG49">IF(NI_CFO_Recon_Assets[[#This Row],[Account]]&lt;&gt;"",_xlfn._xlws.FILTER(FSBuilder[Amount],(FSBuilder[Account or Explanation]=NI_CFO_Recon_Assets[[#This Row],[Account]])*(FSBuilder[Statement]="Cash Flow Statement"),0),0)</f>
        <v>0</v>
      </c>
      <c r="BH49" s="445">
        <f>IF(ABS(NI_CFO_Recon_Assets[[#This Row],[AmtJournal]])&gt;0,1,0)</f>
        <v>0</v>
      </c>
      <c r="BI49" s="445">
        <f>IF(ABS(NI_CFO_Recon_Assets[[#This Row],[AmtAnswer]])&gt;0,1,0)</f>
        <v>0</v>
      </c>
      <c r="BJ49" s="445">
        <f>IF(ABS(NI_CFO_Recon_Assets[[#This Row],[AmtFSBuilder]])&gt;0,1,0)</f>
        <v>0</v>
      </c>
      <c r="BK49" s="248"/>
      <c r="BL49" s="224" cm="1">
        <f t="array" ref="BL49">_xlfn.IFS(AND(ECurrLiabs[[#This Row],[Used]]=1,ECurrLiabs[[#This Row],[Order]]=1),6,AND(ECurrLiabs[[#This Row],[Used]]=1,ECurrLiabs[[#This Row],[Order]]&gt;1),7,ECurrLiabs[[#This Row],[Used]]=0,8)</f>
        <v>8</v>
      </c>
      <c r="BM49" t="s">
        <v>194</v>
      </c>
      <c r="BN49" s="421">
        <f>IF(ISNUMBER(_xlfn.XLOOKUP(ECurrLiabs[[#This Row],[Account]],MD_Liability[Account Name],MD_Liability[Used])),_xlfn.XLOOKUP(ECurrLiabs[[#This Row],[Account]],MD_Liability[Account Name],MD_Liability[Used]),0)</f>
        <v>0</v>
      </c>
      <c r="BO49" s="421">
        <f>IF(ECurrLiabs[[#This Row],[Used]]=1,ECurrLiabs[[#This Row],[Used]]+SUM(BN40:BN48),0)</f>
        <v>0</v>
      </c>
      <c r="BP49" s="419">
        <f>_xlfn.IFNA((_xlfn.XLOOKUP(ECurrLiabs[[#This Row],[Account]],BegBalanceSheet_Liabilities[Account],BegBalanceSheet_Liabilities[Amount]))-SUMIF(Journal[Debit Account],ECurrLiabs[[#This Row],[Account]],Journal[Dr Amt])+SUMIF(Journal[Credit Account],ECurrLiabs[[#This Row],[Account]],Journal[Cr Amt]),0)</f>
        <v>0</v>
      </c>
      <c r="BQ49"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419" cm="1">
        <f t="array" aca="1" ref="BR49" ca="1">IF(ECurrLiabs[[#This Row],[Account]]&lt;&gt;"",_xlfn._xlws.FILTER(FSBuilder[Amount],(FSBuilder[Account or Explanation]=ECurrLiabs[[#This Row],[Account]])*(FSBuilder[Statement]="Ending Balance Sheet"),0),0)</f>
        <v>0</v>
      </c>
      <c r="BS49" s="445">
        <f>ECurrLiabs[[#This Row],[Used]]*(ECurrLiabs[[#This Row],[AmtJournal]]&lt;&gt;0)</f>
        <v>0</v>
      </c>
      <c r="BT49" s="445">
        <f>ECurrLiabs[[#This Row],[Used]]*(ECurrLiabs[[#This Row],[AmtAnswer]]&lt;&gt;0)</f>
        <v>0</v>
      </c>
      <c r="BU49" s="445">
        <f ca="1">ECurrLiabs[[#This Row],[Used]]*(ECurrLiabs[[#This Row],[AmtFSBuilder]]&lt;&gt;0)</f>
        <v>0</v>
      </c>
    </row>
    <row r="50" spans="2:73">
      <c r="B50" s="224" cm="1">
        <f t="array" ref="B50">_xlfn.IFS(AND(BCurrLiabs[[#This Row],[Used]]=1,BCurrLiabs[[#This Row],[Order]]=1),6,AND(BCurrLiabs[[#This Row],[Used]]=1,BCurrLiabs[[#This Row],[Order]]&gt;1),7,BCurrLiabs[[#This Row],[Used]]=0,8)</f>
        <v>8</v>
      </c>
      <c r="C50" t="s">
        <v>194</v>
      </c>
      <c r="D50" s="421">
        <f>IF(ISNUMBER(_xlfn.XLOOKUP(BCurrLiabs[[#This Row],[Account]],MD_Liability[Account Name],MD_Liability[Used])),_xlfn.XLOOKUP(BCurrLiabs[[#This Row],[Account]],MD_Liability[Account Name],MD_Liability[Used]),0)</f>
        <v>0</v>
      </c>
      <c r="E50" s="421">
        <f>IF(BCurrLiabs[[#This Row],[Used]]=1,BCurrLiabs[[#This Row],[Used]]+SUM(D41:D49),0)</f>
        <v>0</v>
      </c>
      <c r="F50" s="419">
        <f>_xlfn.IFNA(_xlfn.XLOOKUP(C50,BegBalanceSheet_Liabilities[Account],BegBalanceSheet_Liabilities[Amount]),0)</f>
        <v>0</v>
      </c>
      <c r="G50" s="348"/>
      <c r="H50" s="224" cm="1">
        <f t="array" ref="H50">_xlfn.IFS(AND(IS_Losses[[#This Row],[Used]]=1,IS_Losses[[#This Row],[Order]]=1),6,AND(IS_Losses[[#This Row],[Used]]=1,IS_Losses[[#This Row],[Order]]&gt;1),7,IS_Losses[[#This Row],[Used]]=0,8)</f>
        <v>8</v>
      </c>
      <c r="I50" t="s">
        <v>337</v>
      </c>
      <c r="J50" s="421">
        <f>IF(ISNUMBER(_xlfn.XLOOKUP(IS_Losses[[#This Row],[Account]],MD_Loss[Account Name],MD_Loss[Used])),_xlfn.XLOOKUP(IS_Losses[[#This Row],[Account]],MD_Loss[Account Name],MD_Loss[Used]),0)</f>
        <v>0</v>
      </c>
      <c r="K50" s="421">
        <f>IF(IS_Losses[[#This Row],[Used]]=1,IS_Losses[[#This Row],[Used]]+SUM(J46:J49),0)</f>
        <v>0</v>
      </c>
      <c r="L50" s="419">
        <f>SUMIFS(Journal[Dr Amt],Journal[Debit Account],I50,Journal[ref1],"&lt;&gt;CL")</f>
        <v>0</v>
      </c>
      <c r="M50" s="419">
        <f>SUMIFS(JournalAnswer[Dr Amt],JournalAnswer[Debit Account],I50,JournalAnswer[ref1],"&lt;&gt;CL")</f>
        <v>0</v>
      </c>
      <c r="N50" s="419" cm="1">
        <f t="array" aca="1" ref="N50" ca="1">IF(IS_Losses[[#This Row],[Account]]&lt;&gt;"",_xlfn._xlws.FILTER(FSBuilder[Amount],FSBuilder[Account or Explanation]=IS_Losses[[#This Row],[Account]],0),"")</f>
        <v>0</v>
      </c>
      <c r="O50" s="421">
        <f>IS_Losses[[#This Row],[Used]]*(IS_Losses[[#This Row],[AmtJournal]]&lt;&gt;0)</f>
        <v>0</v>
      </c>
      <c r="P50" s="421">
        <f>IS_Losses[[#This Row],[Used]]*(IS_Losses[[#This Row],[AmtAnswer]]&lt;&gt;0)</f>
        <v>0</v>
      </c>
      <c r="Q50" s="421">
        <f ca="1">IS_Losses[[#This Row],[Used]]*(IS_Losses[[#This Row],[AmtFSBuilder]]&lt;&gt;0)*Financial_Statement_Builder!$K$124</f>
        <v>0</v>
      </c>
      <c r="AP50" s="423" t="s">
        <v>1004</v>
      </c>
      <c r="AS50"/>
      <c r="AT50"/>
      <c r="AU50"/>
      <c r="AV50"/>
      <c r="AW50"/>
      <c r="AX50"/>
      <c r="AY50"/>
      <c r="AZ50"/>
      <c r="BA50" s="224">
        <f>IF(NI_CFO_Recon_Assets[[#This Row],[Used]]=1,7,8)</f>
        <v>8</v>
      </c>
      <c r="BC50" s="421">
        <f>IF(ABS(NI_CFO_Recon_Assets[[#This Row],[AmtJournal]])&gt;0,1,0)</f>
        <v>0</v>
      </c>
      <c r="BD50" s="248">
        <f>NI_CFO_Recon_Assets[[#This Row],[Used]]+SUM(BC39:BC49)</f>
        <v>0</v>
      </c>
      <c r="BE50" s="248">
        <f>SUMIFS(Journal[Cr Amt],Journal[Credit Account],BB50,Journal[ref3],"TRUE")-SUMIFS(Journal[Dr Amt],Journal[Debit Account],BB50,Journal[ref3],"TRUE")</f>
        <v>0</v>
      </c>
      <c r="BF50" s="248">
        <f>SUMIFS(JournalAnswer[Cr Amt],JournalAnswer[Credit Account],BE50,JournalAnswer[ref3],"TRUE")-SUMIFS(JournalAnswer[Dr Amt],JournalAnswer[Debit Account],BE50,JournalAnswer[ref3],"TRUE")</f>
        <v>0</v>
      </c>
      <c r="BG50" s="248" cm="1">
        <f t="array" ref="BG50">IF(NI_CFO_Recon_Assets[[#This Row],[Account]]&lt;&gt;"",_xlfn._xlws.FILTER(FSBuilder[Amount],(FSBuilder[Account or Explanation]=NI_CFO_Recon_Assets[[#This Row],[Account]])*(FSBuilder[Statement]="Cash Flow Statement"),0),0)</f>
        <v>0</v>
      </c>
      <c r="BH50" s="445">
        <f>IF(ABS(NI_CFO_Recon_Assets[[#This Row],[AmtJournal]])&gt;0,1,0)</f>
        <v>0</v>
      </c>
      <c r="BI50" s="445">
        <f>IF(ABS(NI_CFO_Recon_Assets[[#This Row],[AmtAnswer]])&gt;0,1,0)</f>
        <v>0</v>
      </c>
      <c r="BJ50" s="445">
        <f>IF(ABS(NI_CFO_Recon_Assets[[#This Row],[AmtFSBuilder]])&gt;0,1,0)</f>
        <v>0</v>
      </c>
      <c r="BK50" s="248"/>
      <c r="BL50" s="224" cm="1">
        <f t="array" ref="BL50">_xlfn.IFS(AND(ECurrLiabs[[#This Row],[Used]]=1,ECurrLiabs[[#This Row],[Order]]=1),6,AND(ECurrLiabs[[#This Row],[Used]]=1,ECurrLiabs[[#This Row],[Order]]&gt;1),7,ECurrLiabs[[#This Row],[Used]]=0,8)</f>
        <v>8</v>
      </c>
      <c r="BM50" t="s">
        <v>197</v>
      </c>
      <c r="BN50" s="421">
        <f>IF(ISNUMBER(_xlfn.XLOOKUP(ECurrLiabs[[#This Row],[Account]],MD_Liability[Account Name],MD_Liability[Used])),_xlfn.XLOOKUP(ECurrLiabs[[#This Row],[Account]],MD_Liability[Account Name],MD_Liability[Used]),0)</f>
        <v>0</v>
      </c>
      <c r="BO50" s="421">
        <f>IF(ECurrLiabs[[#This Row],[Used]]=1,ECurrLiabs[[#This Row],[Used]]+SUM(BN40:BN49),0)</f>
        <v>0</v>
      </c>
      <c r="BP50" s="419">
        <f>_xlfn.IFNA((_xlfn.XLOOKUP(ECurrLiabs[[#This Row],[Account]],BegBalanceSheet_Liabilities[Account],BegBalanceSheet_Liabilities[Amount]))-SUMIF(Journal[Debit Account],ECurrLiabs[[#This Row],[Account]],Journal[Dr Amt])+SUMIF(Journal[Credit Account],ECurrLiabs[[#This Row],[Account]],Journal[Cr Amt]),0)</f>
        <v>0</v>
      </c>
      <c r="BQ50"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419" cm="1">
        <f t="array" aca="1" ref="BR50" ca="1">IF(ECurrLiabs[[#This Row],[Account]]&lt;&gt;"",_xlfn._xlws.FILTER(FSBuilder[Amount],(FSBuilder[Account or Explanation]=ECurrLiabs[[#This Row],[Account]])*(FSBuilder[Statement]="Ending Balance Sheet"),0),0)</f>
        <v>0</v>
      </c>
      <c r="BS50" s="445">
        <f>ECurrLiabs[[#This Row],[Used]]*(ECurrLiabs[[#This Row],[AmtJournal]]&lt;&gt;0)</f>
        <v>0</v>
      </c>
      <c r="BT50" s="445">
        <f>ECurrLiabs[[#This Row],[Used]]*(ECurrLiabs[[#This Row],[AmtAnswer]]&lt;&gt;0)</f>
        <v>0</v>
      </c>
      <c r="BU50" s="445">
        <f ca="1">ECurrLiabs[[#This Row],[Used]]*(ECurrLiabs[[#This Row],[AmtFSBuilder]]&lt;&gt;0)</f>
        <v>0</v>
      </c>
    </row>
    <row r="51" spans="2:73">
      <c r="B51" s="224" cm="1">
        <f t="array" ref="B51">_xlfn.IFS(AND(BCurrLiabs[[#This Row],[Used]]=1,BCurrLiabs[[#This Row],[Order]]=1),6,AND(BCurrLiabs[[#This Row],[Used]]=1,BCurrLiabs[[#This Row],[Order]]&gt;1),7,BCurrLiabs[[#This Row],[Used]]=0,8)</f>
        <v>8</v>
      </c>
      <c r="C51" t="s">
        <v>197</v>
      </c>
      <c r="D51" s="421">
        <f>IF(ISNUMBER(_xlfn.XLOOKUP(BCurrLiabs[[#This Row],[Account]],MD_Liability[Account Name],MD_Liability[Used])),_xlfn.XLOOKUP(BCurrLiabs[[#This Row],[Account]],MD_Liability[Account Name],MD_Liability[Used]),0)</f>
        <v>0</v>
      </c>
      <c r="E51" s="421">
        <f>IF(BCurrLiabs[[#This Row],[Used]]=1,BCurrLiabs[[#This Row],[Used]]+SUM(D41:D50),0)</f>
        <v>0</v>
      </c>
      <c r="F51" s="419">
        <f>_xlfn.IFNA(_xlfn.XLOOKUP(C51,BegBalanceSheet_Liabilities[Account],BegBalanceSheet_Liabilities[Amount]),0)</f>
        <v>0</v>
      </c>
      <c r="G51" s="348"/>
      <c r="H51" s="224" cm="1">
        <f t="array" ref="H51">_xlfn.IFS(AND(IS_Losses[[#This Row],[Used]]=1,IS_Losses[[#This Row],[Order]]=1),6,AND(IS_Losses[[#This Row],[Used]]=1,IS_Losses[[#This Row],[Order]]&gt;1),7,IS_Losses[[#This Row],[Used]]=0,8)</f>
        <v>8</v>
      </c>
      <c r="J51" s="421">
        <f>IF(ISNUMBER(_xlfn.XLOOKUP(IS_Losses[[#This Row],[Account]],MD_Loss[Account Name],MD_Loss[Used])),_xlfn.XLOOKUP(IS_Losses[[#This Row],[Account]],MD_Loss[Account Name],MD_Loss[Used]),0)</f>
        <v>0</v>
      </c>
      <c r="K51" s="421">
        <f>IF(IS_Losses[[#This Row],[Used]]=1,IS_Losses[[#This Row],[Used]]+SUM(J46:J50),0)</f>
        <v>0</v>
      </c>
      <c r="L51" s="419">
        <f>SUMIFS(Journal[Dr Amt],Journal[Debit Account],I51,Journal[ref1],"&lt;&gt;CL")</f>
        <v>0</v>
      </c>
      <c r="M51" s="419">
        <f>SUMIFS(JournalAnswer[Dr Amt],JournalAnswer[Debit Account],I51,JournalAnswer[ref1],"&lt;&gt;CL")</f>
        <v>0</v>
      </c>
      <c r="N51" s="419" t="str" cm="1">
        <f t="array" ref="N51">IF(IS_Losses[[#This Row],[Account]]&lt;&gt;"",_xlfn._xlws.FILTER(FSBuilder[Amount],FSBuilder[Account or Explanation]=IS_Losses[[#This Row],[Account]],0),"")</f>
        <v/>
      </c>
      <c r="O51" s="421">
        <f>IS_Losses[[#This Row],[Used]]*(IS_Losses[[#This Row],[AmtJournal]]&lt;&gt;0)</f>
        <v>0</v>
      </c>
      <c r="P51" s="421">
        <f>IS_Losses[[#This Row],[Used]]*(IS_Losses[[#This Row],[AmtAnswer]]&lt;&gt;0)</f>
        <v>0</v>
      </c>
      <c r="Q51" s="421">
        <f>IS_Losses[[#This Row],[Used]]*(IS_Losses[[#This Row],[AmtFSBuilder]]&lt;&gt;0)*Financial_Statement_Builder!$K$124</f>
        <v>0</v>
      </c>
      <c r="AP51" s="430" t="s">
        <v>968</v>
      </c>
      <c r="AQ51" s="430" t="s">
        <v>779</v>
      </c>
      <c r="AR51" s="430" t="s">
        <v>75</v>
      </c>
      <c r="AS51" s="528" t="s">
        <v>969</v>
      </c>
      <c r="AT51" s="430" t="s">
        <v>966</v>
      </c>
      <c r="AU51" s="430" t="s">
        <v>967</v>
      </c>
      <c r="AV51" s="430" t="s">
        <v>970</v>
      </c>
      <c r="AW51" s="430" t="s">
        <v>971</v>
      </c>
      <c r="AX51" s="430" t="s">
        <v>972</v>
      </c>
      <c r="AY51" s="430" t="s">
        <v>973</v>
      </c>
      <c r="AZ51"/>
      <c r="BC51" s="248"/>
      <c r="BD51" s="248"/>
      <c r="BE51" s="248"/>
      <c r="BF51" s="248"/>
      <c r="BG51" s="248"/>
      <c r="BH51" s="248"/>
      <c r="BI51" s="248"/>
      <c r="BJ51" s="248"/>
      <c r="BK51" s="248"/>
      <c r="BL51" s="224" cm="1">
        <f t="array" ref="BL51">_xlfn.IFS(AND(ECurrLiabs[[#This Row],[Used]]=1,ECurrLiabs[[#This Row],[Order]]=1),6,AND(ECurrLiabs[[#This Row],[Used]]=1,ECurrLiabs[[#This Row],[Order]]&gt;1),7,ECurrLiabs[[#This Row],[Used]]=0,8)</f>
        <v>8</v>
      </c>
      <c r="BM51" t="s">
        <v>200</v>
      </c>
      <c r="BN51" s="421">
        <f>IF(ISNUMBER(_xlfn.XLOOKUP(ECurrLiabs[[#This Row],[Account]],MD_Liability[Account Name],MD_Liability[Used])),_xlfn.XLOOKUP(ECurrLiabs[[#This Row],[Account]],MD_Liability[Account Name],MD_Liability[Used]),0)</f>
        <v>0</v>
      </c>
      <c r="BO51" s="421">
        <f>IF(ECurrLiabs[[#This Row],[Used]]=1,ECurrLiabs[[#This Row],[Used]]+SUM(BN40:BN50),0)</f>
        <v>0</v>
      </c>
      <c r="BP51" s="419">
        <f>_xlfn.IFNA((_xlfn.XLOOKUP(ECurrLiabs[[#This Row],[Account]],BegBalanceSheet_Liabilities[Account],BegBalanceSheet_Liabilities[Amount]))-SUMIF(Journal[Debit Account],ECurrLiabs[[#This Row],[Account]],Journal[Dr Amt])+SUMIF(Journal[Credit Account],ECurrLiabs[[#This Row],[Account]],Journal[Cr Amt]),0)</f>
        <v>0</v>
      </c>
      <c r="BQ51"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419" cm="1">
        <f t="array" aca="1" ref="BR51" ca="1">IF(ECurrLiabs[[#This Row],[Account]]&lt;&gt;"",_xlfn._xlws.FILTER(FSBuilder[Amount],(FSBuilder[Account or Explanation]=ECurrLiabs[[#This Row],[Account]])*(FSBuilder[Statement]="Ending Balance Sheet"),0),0)</f>
        <v>0</v>
      </c>
      <c r="BS51" s="445">
        <f>ECurrLiabs[[#This Row],[Used]]*(ECurrLiabs[[#This Row],[AmtJournal]]&lt;&gt;0)</f>
        <v>0</v>
      </c>
      <c r="BT51" s="445">
        <f>ECurrLiabs[[#This Row],[Used]]*(ECurrLiabs[[#This Row],[AmtAnswer]]&lt;&gt;0)</f>
        <v>0</v>
      </c>
      <c r="BU51" s="445">
        <f ca="1">ECurrLiabs[[#This Row],[Used]]*(ECurrLiabs[[#This Row],[AmtFSBuilder]]&lt;&gt;0)</f>
        <v>0</v>
      </c>
    </row>
    <row r="52" spans="2:73">
      <c r="B52" s="224" cm="1">
        <f t="array" ref="B52">_xlfn.IFS(AND(BCurrLiabs[[#This Row],[Used]]=1,BCurrLiabs[[#This Row],[Order]]=1),6,AND(BCurrLiabs[[#This Row],[Used]]=1,BCurrLiabs[[#This Row],[Order]]&gt;1),7,BCurrLiabs[[#This Row],[Used]]=0,8)</f>
        <v>8</v>
      </c>
      <c r="C52" t="s">
        <v>200</v>
      </c>
      <c r="D52" s="421">
        <f>IF(ISNUMBER(_xlfn.XLOOKUP(BCurrLiabs[[#This Row],[Account]],MD_Liability[Account Name],MD_Liability[Used])),_xlfn.XLOOKUP(BCurrLiabs[[#This Row],[Account]],MD_Liability[Account Name],MD_Liability[Used]),0)</f>
        <v>0</v>
      </c>
      <c r="E52" s="421">
        <f>IF(BCurrLiabs[[#This Row],[Used]]=1,BCurrLiabs[[#This Row],[Used]]+SUM(D41:D51),0)</f>
        <v>0</v>
      </c>
      <c r="F52" s="419">
        <f>_xlfn.IFNA(_xlfn.XLOOKUP(C52,BegBalanceSheet_Liabilities[Account],BegBalanceSheet_Liabilities[Amount]),0)</f>
        <v>0</v>
      </c>
      <c r="G52" s="348"/>
      <c r="H52" s="224">
        <v>5</v>
      </c>
      <c r="I52" s="5" t="s">
        <v>868</v>
      </c>
      <c r="J52" s="444">
        <f>MAX(IS_Losses[Used])</f>
        <v>0</v>
      </c>
      <c r="K52" s="444"/>
      <c r="L52" s="418">
        <f>SUBTOTAL(9,L46:L51)</f>
        <v>0</v>
      </c>
      <c r="M52" s="418">
        <f t="shared" ref="M52:N52" si="9">SUBTOTAL(9,M46:M51)</f>
        <v>0</v>
      </c>
      <c r="N52" s="418">
        <f t="shared" ca="1" si="9"/>
        <v>0</v>
      </c>
      <c r="O52" s="538"/>
      <c r="P52" s="538"/>
      <c r="Q52" s="538"/>
      <c r="AP52" s="224">
        <v>3</v>
      </c>
      <c r="AQ52" t="s">
        <v>1005</v>
      </c>
      <c r="AR52" s="283">
        <f>IF(ABS(CFSummary[[#This Row],[AmtJournal]])&gt;0,1,0)</f>
        <v>0</v>
      </c>
      <c r="AS52" s="283"/>
      <c r="AT52" s="401">
        <f>AT48+AT30+AT16</f>
        <v>0</v>
      </c>
      <c r="AU52" s="401">
        <f ca="1">AU48+AU30+AU16</f>
        <v>139</v>
      </c>
      <c r="AV52" s="401">
        <f ca="1">AV48+AV30+AV16</f>
        <v>0</v>
      </c>
      <c r="AW52" s="435">
        <f>IF(CFSummary[[#This Row],[AmtJournal]]&lt;&gt;0,1,0)</f>
        <v>0</v>
      </c>
      <c r="AX52" s="435">
        <f ca="1">IF(CFSummary[[#This Row],[AmtAnswer]]&lt;&gt;0,1,0)</f>
        <v>1</v>
      </c>
      <c r="AY52" s="435">
        <v>1</v>
      </c>
      <c r="AZ52"/>
      <c r="BC52" s="248"/>
      <c r="BD52" s="248"/>
      <c r="BE52" s="248"/>
      <c r="BF52" s="248"/>
      <c r="BG52" s="248"/>
      <c r="BH52" s="248"/>
      <c r="BI52" s="248"/>
      <c r="BJ52" s="248"/>
      <c r="BK52" s="248"/>
      <c r="BL52" s="224" cm="1">
        <f t="array" ref="BL52">_xlfn.IFS(AND(ECurrLiabs[[#This Row],[Used]]=1,ECurrLiabs[[#This Row],[Order]]=1),6,AND(ECurrLiabs[[#This Row],[Used]]=1,ECurrLiabs[[#This Row],[Order]]&gt;1),7,ECurrLiabs[[#This Row],[Used]]=0,8)</f>
        <v>8</v>
      </c>
      <c r="BM52" t="s">
        <v>203</v>
      </c>
      <c r="BN52" s="421">
        <f>IF(ISNUMBER(_xlfn.XLOOKUP(ECurrLiabs[[#This Row],[Account]],MD_Liability[Account Name],MD_Liability[Used])),_xlfn.XLOOKUP(ECurrLiabs[[#This Row],[Account]],MD_Liability[Account Name],MD_Liability[Used]),0)</f>
        <v>0</v>
      </c>
      <c r="BO52" s="421">
        <f>IF(ECurrLiabs[[#This Row],[Used]]=1,ECurrLiabs[[#This Row],[Used]]+SUM(BN40:BN51),0)</f>
        <v>0</v>
      </c>
      <c r="BP52" s="419">
        <f>_xlfn.IFNA((_xlfn.XLOOKUP(ECurrLiabs[[#This Row],[Account]],BegBalanceSheet_Liabilities[Account],BegBalanceSheet_Liabilities[Amount]))-SUMIF(Journal[Debit Account],ECurrLiabs[[#This Row],[Account]],Journal[Dr Amt])+SUMIF(Journal[Credit Account],ECurrLiabs[[#This Row],[Account]],Journal[Cr Amt]),0)</f>
        <v>0</v>
      </c>
      <c r="BQ52"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419" cm="1">
        <f t="array" aca="1" ref="BR52" ca="1">IF(ECurrLiabs[[#This Row],[Account]]&lt;&gt;"",_xlfn._xlws.FILTER(FSBuilder[Amount],(FSBuilder[Account or Explanation]=ECurrLiabs[[#This Row],[Account]])*(FSBuilder[Statement]="Ending Balance Sheet"),0),0)</f>
        <v>0</v>
      </c>
      <c r="BS52" s="445">
        <f>ECurrLiabs[[#This Row],[Used]]*(ECurrLiabs[[#This Row],[AmtJournal]]&lt;&gt;0)</f>
        <v>0</v>
      </c>
      <c r="BT52" s="445">
        <f>ECurrLiabs[[#This Row],[Used]]*(ECurrLiabs[[#This Row],[AmtAnswer]]&lt;&gt;0)</f>
        <v>0</v>
      </c>
      <c r="BU52" s="445">
        <f ca="1">ECurrLiabs[[#This Row],[Used]]*(ECurrLiabs[[#This Row],[AmtFSBuilder]]&lt;&gt;0)</f>
        <v>0</v>
      </c>
    </row>
    <row r="53" spans="2:73">
      <c r="B53" s="224" cm="1">
        <f t="array" ref="B53">_xlfn.IFS(AND(BCurrLiabs[[#This Row],[Used]]=1,BCurrLiabs[[#This Row],[Order]]=1),6,AND(BCurrLiabs[[#This Row],[Used]]=1,BCurrLiabs[[#This Row],[Order]]&gt;1),7,BCurrLiabs[[#This Row],[Used]]=0,8)</f>
        <v>8</v>
      </c>
      <c r="C53" t="s">
        <v>203</v>
      </c>
      <c r="D53" s="421">
        <f>IF(ISNUMBER(_xlfn.XLOOKUP(BCurrLiabs[[#This Row],[Account]],MD_Liability[Account Name],MD_Liability[Used])),_xlfn.XLOOKUP(BCurrLiabs[[#This Row],[Account]],MD_Liability[Account Name],MD_Liability[Used]),0)</f>
        <v>0</v>
      </c>
      <c r="E53" s="421">
        <f>IF(BCurrLiabs[[#This Row],[Used]]=1,BCurrLiabs[[#This Row],[Used]]+SUM(D41:D52),0)</f>
        <v>0</v>
      </c>
      <c r="F53" s="419">
        <f>_xlfn.IFNA(_xlfn.XLOOKUP(C53,BegBalanceSheet_Liabilities[Account],BegBalanceSheet_Liabilities[Amount]),0)</f>
        <v>0</v>
      </c>
      <c r="G53" s="348"/>
      <c r="J53" s="348"/>
      <c r="K53" s="348"/>
      <c r="L53" s="348"/>
      <c r="M53" s="348"/>
      <c r="N53" s="348"/>
      <c r="O53" s="348"/>
      <c r="P53" s="348"/>
      <c r="Q53" s="348"/>
      <c r="AP53" s="224">
        <v>5</v>
      </c>
      <c r="AQ53" t="str">
        <f>"Cash @ "&amp;BegDate</f>
        <v>Cash @ 12/31/20x0</v>
      </c>
      <c r="AR53" s="283">
        <f>IF(ABS(CFSummary[[#This Row],[AmtJournal]])&gt;0,1,0)</f>
        <v>0</v>
      </c>
      <c r="AT53" s="417">
        <f>_xlfn.XLOOKUP("Cash",C11:C20,F11:F20,0)</f>
        <v>0</v>
      </c>
      <c r="AU53" s="417">
        <f>_xlfn.XLOOKUP("Cash",C11:C20,F11:F20,0)</f>
        <v>0</v>
      </c>
      <c r="AV53" s="417">
        <f>_xlfn.XLOOKUP("Cash",C11:C20,F11:F20,0)</f>
        <v>0</v>
      </c>
      <c r="AW53" s="435">
        <f>IF(CFSummary[[#This Row],[AmtJournal]]&lt;&gt;0,1,0)</f>
        <v>0</v>
      </c>
      <c r="AX53" s="435">
        <f>IF(CFSummary[[#This Row],[AmtAnswer]]&lt;&gt;0,1,0)</f>
        <v>0</v>
      </c>
      <c r="AY53" s="435">
        <v>1</v>
      </c>
      <c r="AZ53"/>
      <c r="BC53" s="248"/>
      <c r="BD53" s="248"/>
      <c r="BE53" s="248"/>
      <c r="BF53" s="248"/>
      <c r="BG53" s="248"/>
      <c r="BH53" s="248"/>
      <c r="BI53" s="248"/>
      <c r="BJ53" s="248"/>
      <c r="BK53" s="248"/>
      <c r="BL53" s="224" cm="1">
        <f t="array" ref="BL53">_xlfn.IFS(AND(ECurrLiabs[[#This Row],[Used]]=1,ECurrLiabs[[#This Row],[Order]]=1),6,AND(ECurrLiabs[[#This Row],[Used]]=1,ECurrLiabs[[#This Row],[Order]]&gt;1),7,ECurrLiabs[[#This Row],[Used]]=0,8)</f>
        <v>8</v>
      </c>
      <c r="BM53" t="s">
        <v>206</v>
      </c>
      <c r="BN53" s="421">
        <f>IF(ISNUMBER(_xlfn.XLOOKUP(ECurrLiabs[[#This Row],[Account]],MD_Liability[Account Name],MD_Liability[Used])),_xlfn.XLOOKUP(ECurrLiabs[[#This Row],[Account]],MD_Liability[Account Name],MD_Liability[Used]),0)</f>
        <v>0</v>
      </c>
      <c r="BO53" s="421">
        <f>IF(ECurrLiabs[[#This Row],[Used]]=1,ECurrLiabs[[#This Row],[Used]]+SUM(BN40:BN52),0)</f>
        <v>0</v>
      </c>
      <c r="BP53" s="419">
        <f>_xlfn.IFNA((_xlfn.XLOOKUP(ECurrLiabs[[#This Row],[Account]],BegBalanceSheet_Liabilities[Account],BegBalanceSheet_Liabilities[Amount]))-SUMIF(Journal[Debit Account],ECurrLiabs[[#This Row],[Account]],Journal[Dr Amt])+SUMIF(Journal[Credit Account],ECurrLiabs[[#This Row],[Account]],Journal[Cr Amt]),0)</f>
        <v>0</v>
      </c>
      <c r="BQ53"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419" cm="1">
        <f t="array" aca="1" ref="BR53" ca="1">IF(ECurrLiabs[[#This Row],[Account]]&lt;&gt;"",_xlfn._xlws.FILTER(FSBuilder[Amount],(FSBuilder[Account or Explanation]=ECurrLiabs[[#This Row],[Account]])*(FSBuilder[Statement]="Ending Balance Sheet"),0),0)</f>
        <v>0</v>
      </c>
      <c r="BS53" s="445">
        <f>ECurrLiabs[[#This Row],[Used]]*(ECurrLiabs[[#This Row],[AmtJournal]]&lt;&gt;0)</f>
        <v>0</v>
      </c>
      <c r="BT53" s="445">
        <f>ECurrLiabs[[#This Row],[Used]]*(ECurrLiabs[[#This Row],[AmtAnswer]]&lt;&gt;0)</f>
        <v>0</v>
      </c>
      <c r="BU53" s="445">
        <f ca="1">ECurrLiabs[[#This Row],[Used]]*(ECurrLiabs[[#This Row],[AmtFSBuilder]]&lt;&gt;0)</f>
        <v>0</v>
      </c>
    </row>
    <row r="54" spans="2:73">
      <c r="B54" s="224" cm="1">
        <f t="array" ref="B54">_xlfn.IFS(AND(BCurrLiabs[[#This Row],[Used]]=1,BCurrLiabs[[#This Row],[Order]]=1),6,AND(BCurrLiabs[[#This Row],[Used]]=1,BCurrLiabs[[#This Row],[Order]]&gt;1),7,BCurrLiabs[[#This Row],[Used]]=0,8)</f>
        <v>8</v>
      </c>
      <c r="C54" t="s">
        <v>206</v>
      </c>
      <c r="D54" s="421">
        <f>IF(ISNUMBER(_xlfn.XLOOKUP(BCurrLiabs[[#This Row],[Account]],MD_Liability[Account Name],MD_Liability[Used])),_xlfn.XLOOKUP(BCurrLiabs[[#This Row],[Account]],MD_Liability[Account Name],MD_Liability[Used]),0)</f>
        <v>0</v>
      </c>
      <c r="E54" s="421">
        <f>IF(BCurrLiabs[[#This Row],[Used]]=1,BCurrLiabs[[#This Row],[Used]]+SUM(D41:D53),0)</f>
        <v>0</v>
      </c>
      <c r="F54" s="419">
        <f>_xlfn.IFNA(_xlfn.XLOOKUP(C54,BegBalanceSheet_Liabilities[Account],BegBalanceSheet_Liabilities[Amount]),0)</f>
        <v>0</v>
      </c>
      <c r="G54" s="348"/>
      <c r="H54" s="423">
        <v>3</v>
      </c>
      <c r="I54" s="5" t="s">
        <v>72</v>
      </c>
      <c r="K54" s="348"/>
      <c r="L54" s="424">
        <f>L15-L32+L42-L52</f>
        <v>0</v>
      </c>
      <c r="M54" s="424">
        <f t="shared" ref="M54:N54" ca="1" si="10">M15-M32+M42-M52</f>
        <v>12</v>
      </c>
      <c r="N54" s="424">
        <f t="shared" ca="1" si="10"/>
        <v>0</v>
      </c>
      <c r="O54" s="424"/>
      <c r="P54" s="424"/>
      <c r="Q54" s="424"/>
      <c r="AP54" s="224">
        <v>5</v>
      </c>
      <c r="AQ54" t="str">
        <f>"Cash @ "&amp;EndDate</f>
        <v>Cash @ 12/31/20x1</v>
      </c>
      <c r="AR54" s="283">
        <f>IF(ABS(CFSummary[[#This Row],[AmtJournal]])&gt;0,1,0)</f>
        <v>0</v>
      </c>
      <c r="AT54" s="401">
        <f>SUM(AT52:AT53)</f>
        <v>0</v>
      </c>
      <c r="AU54" s="401">
        <f t="shared" ref="AU54:AV54" ca="1" si="11">SUM(AU52:AU53)</f>
        <v>139</v>
      </c>
      <c r="AV54" s="401">
        <f t="shared" ca="1" si="11"/>
        <v>0</v>
      </c>
      <c r="AW54" s="435">
        <f>IF(CFSummary[[#This Row],[AmtJournal]]&lt;&gt;0,1,0)</f>
        <v>0</v>
      </c>
      <c r="AX54" s="435">
        <f ca="1">IF(CFSummary[[#This Row],[AmtAnswer]]&lt;&gt;0,1,0)</f>
        <v>1</v>
      </c>
      <c r="AY54" s="435">
        <v>1</v>
      </c>
      <c r="AZ54"/>
      <c r="BA54" s="5" t="s">
        <v>66</v>
      </c>
      <c r="BC54" s="248"/>
      <c r="BD54" s="248"/>
      <c r="BE54" s="248"/>
      <c r="BF54" s="248"/>
      <c r="BG54" s="248"/>
      <c r="BH54" s="248"/>
      <c r="BI54" s="248"/>
      <c r="BJ54" s="248"/>
      <c r="BK54" s="248"/>
      <c r="BL54" s="224" cm="1">
        <f t="array" ref="BL54">_xlfn.IFS(AND(ECurrLiabs[[#This Row],[Used]]=1,ECurrLiabs[[#This Row],[Order]]=1),6,AND(ECurrLiabs[[#This Row],[Used]]=1,ECurrLiabs[[#This Row],[Order]]&gt;1),7,ECurrLiabs[[#This Row],[Used]]=0,8)</f>
        <v>8</v>
      </c>
      <c r="BM54" t="s">
        <v>208</v>
      </c>
      <c r="BN54" s="421">
        <f>IF(ISNUMBER(_xlfn.XLOOKUP(ECurrLiabs[[#This Row],[Account]],MD_Liability[Account Name],MD_Liability[Used])),_xlfn.XLOOKUP(ECurrLiabs[[#This Row],[Account]],MD_Liability[Account Name],MD_Liability[Used]),0)</f>
        <v>0</v>
      </c>
      <c r="BO54" s="421">
        <f>IF(ECurrLiabs[[#This Row],[Used]]=1,ECurrLiabs[[#This Row],[Used]]+SUM(BN40:BN53),0)</f>
        <v>0</v>
      </c>
      <c r="BP54" s="419">
        <f>_xlfn.IFNA((_xlfn.XLOOKUP(ECurrLiabs[[#This Row],[Account]],BegBalanceSheet_Liabilities[Account],BegBalanceSheet_Liabilities[Amount]))-SUMIF(Journal[Debit Account],ECurrLiabs[[#This Row],[Account]],Journal[Dr Amt])+SUMIF(Journal[Credit Account],ECurrLiabs[[#This Row],[Account]],Journal[Cr Amt]),0)</f>
        <v>0</v>
      </c>
      <c r="BQ54"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419" cm="1">
        <f t="array" aca="1" ref="BR54" ca="1">IF(ECurrLiabs[[#This Row],[Account]]&lt;&gt;"",_xlfn._xlws.FILTER(FSBuilder[Amount],(FSBuilder[Account or Explanation]=ECurrLiabs[[#This Row],[Account]])*(FSBuilder[Statement]="Ending Balance Sheet"),0),0)</f>
        <v>0</v>
      </c>
      <c r="BS54" s="445">
        <f>ECurrLiabs[[#This Row],[Used]]*(ECurrLiabs[[#This Row],[AmtJournal]]&lt;&gt;0)</f>
        <v>0</v>
      </c>
      <c r="BT54" s="445">
        <f>ECurrLiabs[[#This Row],[Used]]*(ECurrLiabs[[#This Row],[AmtAnswer]]&lt;&gt;0)</f>
        <v>0</v>
      </c>
      <c r="BU54" s="445">
        <f ca="1">ECurrLiabs[[#This Row],[Used]]*(ECurrLiabs[[#This Row],[AmtFSBuilder]]&lt;&gt;0)</f>
        <v>0</v>
      </c>
    </row>
    <row r="55" spans="2:73">
      <c r="B55" s="224" cm="1">
        <f t="array" ref="B55">_xlfn.IFS(AND(BCurrLiabs[[#This Row],[Used]]=1,BCurrLiabs[[#This Row],[Order]]=1),6,AND(BCurrLiabs[[#This Row],[Used]]=1,BCurrLiabs[[#This Row],[Order]]&gt;1),7,BCurrLiabs[[#This Row],[Used]]=0,8)</f>
        <v>8</v>
      </c>
      <c r="C55" t="s">
        <v>208</v>
      </c>
      <c r="D55" s="421">
        <f>IF(ISNUMBER(_xlfn.XLOOKUP(BCurrLiabs[[#This Row],[Account]],MD_Liability[Account Name],MD_Liability[Used])),_xlfn.XLOOKUP(BCurrLiabs[[#This Row],[Account]],MD_Liability[Account Name],MD_Liability[Used]),0)</f>
        <v>0</v>
      </c>
      <c r="E55" s="421">
        <f>IF(BCurrLiabs[[#This Row],[Used]]=1,BCurrLiabs[[#This Row],[Used]]+SUM(D41:D54),0)</f>
        <v>0</v>
      </c>
      <c r="F55" s="419">
        <f>_xlfn.IFNA(_xlfn.XLOOKUP(C55,BegBalanceSheet_Liabilities[Account],BegBalanceSheet_Liabilities[Amount]),0)</f>
        <v>0</v>
      </c>
      <c r="G55" s="348"/>
      <c r="L55" s="348"/>
      <c r="M55" s="348"/>
      <c r="N55" s="348"/>
      <c r="O55" s="348"/>
      <c r="P55" s="348"/>
      <c r="Q55" s="348"/>
      <c r="AS55"/>
      <c r="AT55"/>
      <c r="AU55"/>
      <c r="AV55"/>
      <c r="AW55"/>
      <c r="AX55"/>
      <c r="AY55"/>
      <c r="AZ55"/>
      <c r="BK55" s="248"/>
      <c r="BL55" s="224" cm="1">
        <f t="array" ref="BL55">_xlfn.IFS(AND(ECurrLiabs[[#This Row],[Used]]=1,ECurrLiabs[[#This Row],[Order]]=1),6,AND(ECurrLiabs[[#This Row],[Used]]=1,ECurrLiabs[[#This Row],[Order]]&gt;1),7,ECurrLiabs[[#This Row],[Used]]=0,8)</f>
        <v>8</v>
      </c>
      <c r="BM55" t="s">
        <v>892</v>
      </c>
      <c r="BN55" s="421">
        <f>IF(ISNUMBER(_xlfn.XLOOKUP(ECurrLiabs[[#This Row],[Account]],MD_Liability[Account Name],MD_Liability[Used])),_xlfn.XLOOKUP(ECurrLiabs[[#This Row],[Account]],MD_Liability[Account Name],MD_Liability[Used]),0)</f>
        <v>0</v>
      </c>
      <c r="BO55" s="421">
        <f>IF(ECurrLiabs[[#This Row],[Used]]=1,ECurrLiabs[[#This Row],[Used]]+SUM(BN40:BN54),0)</f>
        <v>0</v>
      </c>
      <c r="BP55" s="419">
        <f>_xlfn.IFNA((_xlfn.XLOOKUP(ECurrLiabs[[#This Row],[Account]],BegBalanceSheet_Liabilities[Account],BegBalanceSheet_Liabilities[Amount]))-SUMIF(Journal[Debit Account],ECurrLiabs[[#This Row],[Account]],Journal[Dr Amt])+SUMIF(Journal[Credit Account],ECurrLiabs[[#This Row],[Account]],Journal[Cr Amt]),0)</f>
        <v>0</v>
      </c>
      <c r="BQ55"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419" cm="1">
        <f t="array" aca="1" ref="BR55" ca="1">IF(ECurrLiabs[[#This Row],[Account]]&lt;&gt;"",_xlfn._xlws.FILTER(FSBuilder[Amount],(FSBuilder[Account or Explanation]=ECurrLiabs[[#This Row],[Account]])*(FSBuilder[Statement]="Ending Balance Sheet"),0),0)</f>
        <v>0</v>
      </c>
      <c r="BS55" s="445">
        <f>ECurrLiabs[[#This Row],[Used]]*(ECurrLiabs[[#This Row],[AmtJournal]]&lt;&gt;0)</f>
        <v>0</v>
      </c>
      <c r="BT55" s="445">
        <f>ECurrLiabs[[#This Row],[Used]]*(ECurrLiabs[[#This Row],[AmtAnswer]]&lt;&gt;0)</f>
        <v>0</v>
      </c>
      <c r="BU55" s="445">
        <f ca="1">ECurrLiabs[[#This Row],[Used]]*(ECurrLiabs[[#This Row],[AmtFSBuilder]]&lt;&gt;0)</f>
        <v>0</v>
      </c>
    </row>
    <row r="56" spans="2:73">
      <c r="B56" s="224" cm="1">
        <f t="array" ref="B56">_xlfn.IFS(AND(BCurrLiabs[[#This Row],[Used]]=1,BCurrLiabs[[#This Row],[Order]]=1),6,AND(BCurrLiabs[[#This Row],[Used]]=1,BCurrLiabs[[#This Row],[Order]]&gt;1),7,BCurrLiabs[[#This Row],[Used]]=0,8)</f>
        <v>8</v>
      </c>
      <c r="C56" t="s">
        <v>234</v>
      </c>
      <c r="D56" s="421">
        <f>IF(ISNUMBER(_xlfn.XLOOKUP(BCurrLiabs[[#This Row],[Account]],MD_Liability[Account Name],MD_Liability[Used])),_xlfn.XLOOKUP(BCurrLiabs[[#This Row],[Account]],MD_Liability[Account Name],MD_Liability[Used]),0)</f>
        <v>0</v>
      </c>
      <c r="E56" s="421">
        <f>IF(BCurrLiabs[[#This Row],[Used]]=1,BCurrLiabs[[#This Row],[Used]]+SUM(D41:D55),0)</f>
        <v>0</v>
      </c>
      <c r="F56" s="419">
        <f>_xlfn.IFNA(_xlfn.XLOOKUP(C56,BegBalanceSheet_Liabilities[Account],BegBalanceSheet_Liabilities[Amount]),0)</f>
        <v>0</v>
      </c>
      <c r="G56" s="348"/>
      <c r="L56" s="348"/>
      <c r="M56" s="348"/>
      <c r="N56" s="348"/>
      <c r="O56" s="348"/>
      <c r="P56" s="348"/>
      <c r="Q56" s="348"/>
      <c r="AP56" s="423" t="s">
        <v>698</v>
      </c>
      <c r="AS56"/>
      <c r="AT56"/>
      <c r="AU56"/>
      <c r="AV56"/>
      <c r="AW56"/>
      <c r="AX56"/>
      <c r="AY56"/>
      <c r="AZ56"/>
      <c r="BA56" s="430" t="s">
        <v>968</v>
      </c>
      <c r="BB56" s="430" t="s">
        <v>779</v>
      </c>
      <c r="BC56" s="430" t="s">
        <v>75</v>
      </c>
      <c r="BD56" s="528" t="s">
        <v>969</v>
      </c>
      <c r="BE56" s="430" t="s">
        <v>966</v>
      </c>
      <c r="BF56" s="430" t="s">
        <v>967</v>
      </c>
      <c r="BG56" s="430" t="s">
        <v>970</v>
      </c>
      <c r="BH56" s="532" t="s">
        <v>971</v>
      </c>
      <c r="BI56" s="532" t="s">
        <v>972</v>
      </c>
      <c r="BJ56" s="532" t="s">
        <v>973</v>
      </c>
      <c r="BK56" s="400"/>
      <c r="BL56" s="224" cm="1">
        <f t="array" ref="BL56">_xlfn.IFS(AND(ECurrLiabs[[#This Row],[Used]]=1,ECurrLiabs[[#This Row],[Order]]=1),6,AND(ECurrLiabs[[#This Row],[Used]]=1,ECurrLiabs[[#This Row],[Order]]&gt;1),7,ECurrLiabs[[#This Row],[Used]]=0,8)</f>
        <v>8</v>
      </c>
      <c r="BN56" s="421">
        <f>IF(ISNUMBER(_xlfn.XLOOKUP(ECurrLiabs[[#This Row],[Account]],MD_Liability[Account Name],MD_Liability[Used])),_xlfn.XLOOKUP(ECurrLiabs[[#This Row],[Account]],MD_Liability[Account Name],MD_Liability[Used]),0)</f>
        <v>0</v>
      </c>
      <c r="BO56" s="421">
        <f>IF(ECurrLiabs[[#This Row],[Used]]=1,ECurrLiabs[[#This Row],[Used]]+SUM(BN40:BN55),0)</f>
        <v>0</v>
      </c>
      <c r="BP56" s="419">
        <f>_xlfn.IFNA((_xlfn.XLOOKUP(ECurrLiabs[[#This Row],[Account]],BegBalanceSheet_Liabilities[Account],BegBalanceSheet_Liabilities[Amount]))-SUMIF(Journal[Debit Account],ECurrLiabs[[#This Row],[Account]],Journal[Dr Amt])+SUMIF(Journal[Credit Account],ECurrLiabs[[#This Row],[Account]],Journal[Cr Amt]),0)</f>
        <v>0</v>
      </c>
      <c r="BQ56" s="419">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419" cm="1">
        <f t="array" ref="BR56">IF(ECurrLiabs[[#This Row],[Account]]&lt;&gt;"",_xlfn._xlws.FILTER(FSBuilder[Amount],(FSBuilder[Account or Explanation]=ECurrLiabs[[#This Row],[Account]])*(FSBuilder[Statement]="Ending Balance Sheet"),0),0)</f>
        <v>0</v>
      </c>
      <c r="BS56" s="445">
        <f>ECurrLiabs[[#This Row],[Used]]*(ECurrLiabs[[#This Row],[AmtJournal]]&lt;&gt;0)</f>
        <v>0</v>
      </c>
      <c r="BT56" s="445">
        <f>ECurrLiabs[[#This Row],[Used]]*(ECurrLiabs[[#This Row],[AmtAnswer]]&lt;&gt;0)</f>
        <v>0</v>
      </c>
      <c r="BU56" s="445">
        <f>ECurrLiabs[[#This Row],[Used]]*(ECurrLiabs[[#This Row],[AmtFSBuilder]]&lt;&gt;0)</f>
        <v>0</v>
      </c>
    </row>
    <row r="57" spans="2:73">
      <c r="B57" s="224" cm="1">
        <f t="array" ref="B57">_xlfn.IFS(AND(BCurrLiabs[[#This Row],[Used]]=1,BCurrLiabs[[#This Row],[Order]]=1),6,AND(BCurrLiabs[[#This Row],[Used]]=1,BCurrLiabs[[#This Row],[Order]]&gt;1),7,BCurrLiabs[[#This Row],[Used]]=0,8)</f>
        <v>8</v>
      </c>
      <c r="D57" s="421">
        <f>IF(ISNUMBER(_xlfn.XLOOKUP(BCurrLiabs[[#This Row],[Account]],MD_Liability[Account Name],MD_Liability[Used])),_xlfn.XLOOKUP(BCurrLiabs[[#This Row],[Account]],MD_Liability[Account Name],MD_Liability[Used]),0)</f>
        <v>0</v>
      </c>
      <c r="E57" s="421">
        <f>IF(BCurrLiabs[[#This Row],[Used]]=1,BCurrLiabs[[#This Row],[Used]]+SUM(D41:D56),0)</f>
        <v>0</v>
      </c>
      <c r="F57" s="419">
        <f>_xlfn.IFNA(_xlfn.XLOOKUP(C57,BegBalanceSheet_Liabilities[Account],BegBalanceSheet_Liabilities[Amount]),0)</f>
        <v>0</v>
      </c>
      <c r="G57" s="348"/>
      <c r="L57" s="348"/>
      <c r="M57" s="348"/>
      <c r="N57" s="348"/>
      <c r="O57" s="348"/>
      <c r="P57" s="348"/>
      <c r="Q57" s="348"/>
      <c r="AP57" s="430" t="s">
        <v>968</v>
      </c>
      <c r="AQ57" s="430" t="s">
        <v>779</v>
      </c>
      <c r="AR57" s="430" t="s">
        <v>75</v>
      </c>
      <c r="AS57" s="528" t="s">
        <v>969</v>
      </c>
      <c r="AT57" s="430" t="s">
        <v>966</v>
      </c>
      <c r="AU57" s="430" t="s">
        <v>967</v>
      </c>
      <c r="AV57" s="430" t="s">
        <v>970</v>
      </c>
      <c r="AW57" s="430" t="s">
        <v>971</v>
      </c>
      <c r="AX57" s="430" t="s">
        <v>972</v>
      </c>
      <c r="AY57" s="430" t="s">
        <v>973</v>
      </c>
      <c r="AZ57"/>
      <c r="BA57" s="224">
        <f>IF(NI_CFO_Recon_Liabilities[[#This Row],[Used]]=1,7,8)</f>
        <v>8</v>
      </c>
      <c r="BB57" t="s">
        <v>168</v>
      </c>
      <c r="BC57" s="421">
        <f>IF(ABS(NI_CFO_Recon_Liabilities[[#This Row],[AmtJournal]])&gt;0,1,0)</f>
        <v>0</v>
      </c>
      <c r="BD57" s="248">
        <f>NI_CFO_Recon_Liabilities[[#This Row],[Used]]</f>
        <v>0</v>
      </c>
      <c r="BE57" s="248">
        <f>-SUMIFS(Journal[Dr Amt],Journal[Debit Account],BB57,Journal[ref3],"TRUE")+SUMIFS(Journal[Cr Amt],Journal[Credit Account],BB57,Journal[ref3],"TRUE")</f>
        <v>0</v>
      </c>
      <c r="BF57" s="248">
        <f>-SUMIFS(JournalAnswer[Dr Amt],JournalAnswer[Debit Account],BE57,JournalAnswer[ref3],"TRUE")+SUMIFS(JournalAnswer[Cr Amt],JournalAnswer[Credit Account],BE57,JournalAnswer[ref3],"TRUE")</f>
        <v>0</v>
      </c>
      <c r="BG57" s="248" cm="1">
        <f t="array" aca="1" ref="BG57" ca="1">IF(NI_CFO_Recon_Liabilities[[#This Row],[Account]]&lt;&gt;"",_xlfn._xlws.FILTER(FSBuilder[Amount],(FSBuilder[Account or Explanation]=NI_CFO_Recon_Liabilities[[#This Row],[Account]])*(FSBuilder[Statement]="Cash Flow Statement"),0),0)</f>
        <v>0</v>
      </c>
      <c r="BH57" s="445">
        <f>IF(ABS(NI_CFO_Recon_Liabilities[[#This Row],[AmtJournal]])&gt;0,1,0)</f>
        <v>0</v>
      </c>
      <c r="BI57" s="445">
        <f>IF(ABS(NI_CFO_Recon_Liabilities[[#This Row],[AmtAnswer]])&gt;0,1,0)</f>
        <v>0</v>
      </c>
      <c r="BJ57" s="445">
        <f ca="1">IF(ABS(NI_CFO_Recon_Liabilities[[#This Row],[AmtFSBuilder]])&gt;0,1,0)</f>
        <v>0</v>
      </c>
      <c r="BK57" s="248"/>
      <c r="BL57" s="224">
        <v>5</v>
      </c>
      <c r="BM57" t="s">
        <v>855</v>
      </c>
      <c r="BN57" s="421"/>
      <c r="BO57" s="421"/>
      <c r="BP57" s="418">
        <f>SUM(BP40:BP56)</f>
        <v>0</v>
      </c>
      <c r="BQ57" s="418">
        <f t="shared" ref="BQ57:BR57" si="12">SUM(BQ40:BQ56)</f>
        <v>10</v>
      </c>
      <c r="BR57" s="418">
        <f t="shared" ca="1" si="12"/>
        <v>0</v>
      </c>
      <c r="BS57" s="445"/>
      <c r="BT57" s="445"/>
      <c r="BU57" s="445"/>
    </row>
    <row r="58" spans="2:73">
      <c r="B58" s="224">
        <v>5</v>
      </c>
      <c r="C58" t="s">
        <v>855</v>
      </c>
      <c r="D58" s="421"/>
      <c r="E58" s="421"/>
      <c r="F58" s="418">
        <f>SUBTOTAL(9,F41:F57)</f>
        <v>0</v>
      </c>
      <c r="G58" s="348"/>
      <c r="L58" s="348"/>
      <c r="M58" s="348"/>
      <c r="N58" s="348"/>
      <c r="O58" s="348"/>
      <c r="P58" s="348"/>
      <c r="Q58" s="348"/>
      <c r="AP58" s="224" cm="1">
        <f t="array" aca="1" ref="AP58" ca="1">_xlfn.IFS(Noncash_IF[[#This Row],[UsedAnswer]]=1,6,Noncash_IF[[#This Row],[UsedAnswer]]=0,8)</f>
        <v>6</v>
      </c>
      <c r="AQ58" t="s">
        <v>1006</v>
      </c>
      <c r="AR58" s="437">
        <f>IF(ABS(Noncash_IF[[#This Row],[AmtJournal]])&gt;0,1,0)</f>
        <v>0</v>
      </c>
      <c r="AS58" s="437">
        <f>Noncash_IF[[#This Row],[Used]]</f>
        <v>0</v>
      </c>
      <c r="AT58" s="436">
        <f>SUMIFS(Journal[Dr Amt],Journal[ref1],"PPEfCS",Journal[Debit Account],"Property, Plant &amp; Equipment")</f>
        <v>0</v>
      </c>
      <c r="AU58" s="436">
        <f ca="1">SUMIFS(JournalAnswer[Dr Amt],JournalAnswer[ref1],"PPEfCS",JournalAnswer[Debit Account],"Property, Plant &amp; Equipment")</f>
        <v>50</v>
      </c>
      <c r="AV58" s="436" cm="1">
        <f t="array" aca="1" ref="AV58" ca="1">IF(Noncash_IF[[#This Row],[Account]]&lt;&gt;"",_xlfn._xlws.FILTER(FSBuilder[Amount],FSBuilder[Account or Explanation]=Noncash_IF[[#This Row],[Account]],0),"")</f>
        <v>0</v>
      </c>
      <c r="AW58" s="437">
        <f>IF(Noncash_IF[[#This Row],[AmtJournal]]&lt;&gt;0,1,0)</f>
        <v>0</v>
      </c>
      <c r="AX58" s="437">
        <f ca="1">IF(Noncash_IF[[#This Row],[AmtAnswer]]&lt;&gt;0,1,0)</f>
        <v>1</v>
      </c>
      <c r="AY58" s="437">
        <f ca="1">IF(Noncash_IF[[#This Row],[AmtFSBuilder]]&lt;&gt;0,1,0)</f>
        <v>0</v>
      </c>
      <c r="AZ58"/>
      <c r="BA58" s="224">
        <f>IF(NI_CFO_Recon_Liabilities[[#This Row],[Used]]=1,7,8)</f>
        <v>8</v>
      </c>
      <c r="BB58" t="s">
        <v>171</v>
      </c>
      <c r="BC58" s="421">
        <f>IF(ABS(NI_CFO_Recon_Liabilities[[#This Row],[AmtJournal]])&gt;0,1,0)</f>
        <v>0</v>
      </c>
      <c r="BD58" s="248">
        <f>NI_CFO_Recon_Liabilities[[#This Row],[Used]]+BC57</f>
        <v>0</v>
      </c>
      <c r="BE58" s="248">
        <f>-SUMIFS(Journal[Dr Amt],Journal[Debit Account],BB58,Journal[ref3],"TRUE")+SUMIFS(Journal[Cr Amt],Journal[Credit Account],BB58,Journal[ref3],"TRUE")</f>
        <v>0</v>
      </c>
      <c r="BF58" s="248">
        <f>-SUMIFS(JournalAnswer[Dr Amt],JournalAnswer[Debit Account],BE58,JournalAnswer[ref3],"TRUE")+SUMIFS(JournalAnswer[Cr Amt],JournalAnswer[Credit Account],BE58,JournalAnswer[ref3],"TRUE")</f>
        <v>0</v>
      </c>
      <c r="BG58" s="248" cm="1">
        <f t="array" aca="1" ref="BG58" ca="1">IF(NI_CFO_Recon_Liabilities[[#This Row],[Account]]&lt;&gt;"",_xlfn._xlws.FILTER(FSBuilder[Amount],(FSBuilder[Account or Explanation]=NI_CFO_Recon_Liabilities[[#This Row],[Account]])*(FSBuilder[Statement]="Cash Flow Statement"),0),0)</f>
        <v>0</v>
      </c>
      <c r="BH58" s="445">
        <f>IF(ABS(NI_CFO_Recon_Liabilities[[#This Row],[AmtJournal]])&gt;0,1,0)</f>
        <v>0</v>
      </c>
      <c r="BI58" s="445">
        <f>IF(ABS(NI_CFO_Recon_Liabilities[[#This Row],[AmtAnswer]])&gt;0,1,0)</f>
        <v>0</v>
      </c>
      <c r="BJ58" s="445">
        <f ca="1">IF(ABS(NI_CFO_Recon_Liabilities[[#This Row],[AmtFSBuilder]])&gt;0,1,0)</f>
        <v>0</v>
      </c>
      <c r="BK58" s="248"/>
      <c r="BN58" s="348"/>
      <c r="BO58" s="348"/>
      <c r="BP58" s="348"/>
    </row>
    <row r="59" spans="2:73">
      <c r="D59" s="348"/>
      <c r="E59" s="348"/>
      <c r="F59" s="348"/>
      <c r="G59" s="348"/>
      <c r="L59" s="348"/>
      <c r="M59" s="348"/>
      <c r="N59" s="348"/>
      <c r="O59" s="348"/>
      <c r="P59" s="348"/>
      <c r="Q59" s="348"/>
      <c r="AP59" s="224" cm="1">
        <f t="array" aca="1" ref="AP59" ca="1">_xlfn.IFS(Noncash_IF[[#This Row],[UsedAnswer]]=1,6,Noncash_IF[[#This Row],[UsedAnswer]]=0,8)</f>
        <v>8</v>
      </c>
      <c r="AQ59" t="s">
        <v>1007</v>
      </c>
      <c r="AR59" s="437">
        <f>IF(ABS(Noncash_IF[[#This Row],[AmtJournal]])&gt;0,1,0)</f>
        <v>0</v>
      </c>
      <c r="AS59" s="435">
        <f>IF(Noncash_IF[[#This Row],[Used]]&gt;0,Noncash_IF[[#This Row],[Used]]+AR58,0)</f>
        <v>0</v>
      </c>
      <c r="AT59" s="436">
        <f>SUMIFS(Journal[Dr Amt],Journal[ref1],"PPEfTS",Journal[Debit Account],"Property, Plant &amp; Equipment")</f>
        <v>0</v>
      </c>
      <c r="AU59" s="436">
        <f ca="1">SUMIFS(JournalAnswer[Dr Amt],JournalAnswer[ref1],"PPEfTS",JournalAnswer[Debit Account],"Property, Plant &amp; Equipment")</f>
        <v>0</v>
      </c>
      <c r="AV59" s="436" cm="1">
        <f t="array" aca="1" ref="AV59" ca="1">IF(Noncash_IF[[#This Row],[Account]]&lt;&gt;"",_xlfn._xlws.FILTER(FSBuilder[Amount],FSBuilder[Account or Explanation]=Noncash_IF[[#This Row],[Account]],0),"")</f>
        <v>0</v>
      </c>
      <c r="AW59" s="437">
        <f>IF(Noncash_IF[[#This Row],[AmtJournal]]&lt;&gt;0,1,0)</f>
        <v>0</v>
      </c>
      <c r="AX59" s="437">
        <f ca="1">IF(Noncash_IF[[#This Row],[AmtAnswer]]&lt;&gt;0,1,0)</f>
        <v>0</v>
      </c>
      <c r="AY59" s="437">
        <f ca="1">IF(Noncash_IF[[#This Row],[AmtFSBuilder]]&lt;&gt;0,1,0)</f>
        <v>0</v>
      </c>
      <c r="AZ59"/>
      <c r="BA59" s="224">
        <f>IF(NI_CFO_Recon_Liabilities[[#This Row],[Used]]=1,7,8)</f>
        <v>8</v>
      </c>
      <c r="BB59" t="s">
        <v>174</v>
      </c>
      <c r="BC59" s="421">
        <f>IF(ABS(NI_CFO_Recon_Liabilities[[#This Row],[AmtJournal]])&gt;0,1,0)</f>
        <v>0</v>
      </c>
      <c r="BD59" s="248">
        <f>NI_CFO_Recon_Liabilities[[#This Row],[Used]]+SUM(BC57:BC58)</f>
        <v>0</v>
      </c>
      <c r="BE59" s="248">
        <f>-SUMIFS(Journal[Dr Amt],Journal[Debit Account],BB59,Journal[ref3],"TRUE")+SUMIFS(Journal[Cr Amt],Journal[Credit Account],BB59,Journal[ref3],"TRUE")</f>
        <v>0</v>
      </c>
      <c r="BF59" s="248">
        <f>-SUMIFS(JournalAnswer[Dr Amt],JournalAnswer[Debit Account],BE59,JournalAnswer[ref3],"TRUE")+SUMIFS(JournalAnswer[Cr Amt],JournalAnswer[Credit Account],BE59,JournalAnswer[ref3],"TRUE")</f>
        <v>0</v>
      </c>
      <c r="BG59" s="248" cm="1">
        <f t="array" aca="1" ref="BG59" ca="1">IF(NI_CFO_Recon_Liabilities[[#This Row],[Account]]&lt;&gt;"",_xlfn._xlws.FILTER(FSBuilder[Amount],(FSBuilder[Account or Explanation]=NI_CFO_Recon_Liabilities[[#This Row],[Account]])*(FSBuilder[Statement]="Cash Flow Statement"),0),0)</f>
        <v>0</v>
      </c>
      <c r="BH59" s="445">
        <f>IF(ABS(NI_CFO_Recon_Liabilities[[#This Row],[AmtJournal]])&gt;0,1,0)</f>
        <v>0</v>
      </c>
      <c r="BI59" s="445">
        <f>IF(ABS(NI_CFO_Recon_Liabilities[[#This Row],[AmtAnswer]])&gt;0,1,0)</f>
        <v>0</v>
      </c>
      <c r="BJ59" s="445">
        <f ca="1">IF(ABS(NI_CFO_Recon_Liabilities[[#This Row],[AmtFSBuilder]])&gt;0,1,0)</f>
        <v>0</v>
      </c>
      <c r="BK59" s="248"/>
      <c r="BL59" s="5" t="s">
        <v>1008</v>
      </c>
      <c r="BN59" s="348"/>
      <c r="BO59" s="348"/>
      <c r="BP59" s="348"/>
    </row>
    <row r="60" spans="2:73">
      <c r="B60" s="5" t="s">
        <v>1008</v>
      </c>
      <c r="D60" s="348"/>
      <c r="E60" s="348"/>
      <c r="F60" s="348"/>
      <c r="G60" s="348"/>
      <c r="L60" s="348"/>
      <c r="M60" s="348"/>
      <c r="N60" s="348"/>
      <c r="O60" s="348"/>
      <c r="P60" s="348"/>
      <c r="Q60" s="348"/>
      <c r="AP60" s="224" cm="1">
        <f t="array" ref="AP60">_xlfn.IFS(Noncash_IF[[#This Row],[UsedAnswer]]=1,6,Noncash_IF[[#This Row],[UsedAnswer]]=0,8)</f>
        <v>8</v>
      </c>
      <c r="AR60" s="437">
        <f>IF(ABS(Noncash_IF[[#This Row],[AmtJournal]])&gt;0,1,0)</f>
        <v>0</v>
      </c>
      <c r="AS60" s="435">
        <f>IF(Noncash_IF[[#This Row],[Used]]&gt;0,Noncash_IF[[#This Row],[Used]]+SUM(AR58:AR59),0)</f>
        <v>0</v>
      </c>
      <c r="AT60" s="436"/>
      <c r="AU60" s="436"/>
      <c r="AV60" s="436"/>
      <c r="AW60" s="437">
        <f>IF(Noncash_IF[[#This Row],[AmtJournal]]&lt;&gt;0,1,0)</f>
        <v>0</v>
      </c>
      <c r="AX60" s="437">
        <f>IF(Noncash_IF[[#This Row],[AmtAnswer]]&lt;&gt;0,1,0)</f>
        <v>0</v>
      </c>
      <c r="AY60" s="437">
        <f>IF(Noncash_IF[[#This Row],[AmtFSBuilder]]&lt;&gt;0,1,0)</f>
        <v>0</v>
      </c>
      <c r="AZ60"/>
      <c r="BA60" s="224">
        <f>IF(NI_CFO_Recon_Liabilities[[#This Row],[Used]]=1,7,8)</f>
        <v>8</v>
      </c>
      <c r="BB60" t="s">
        <v>180</v>
      </c>
      <c r="BC60" s="421">
        <f>IF(ABS(NI_CFO_Recon_Liabilities[[#This Row],[AmtJournal]])&gt;0,1,0)</f>
        <v>0</v>
      </c>
      <c r="BD60" s="248">
        <f>NI_CFO_Recon_Liabilities[[#This Row],[Used]]+SUM(BC57:BC59)</f>
        <v>0</v>
      </c>
      <c r="BE60" s="248">
        <f>-SUMIFS(Journal[Dr Amt],Journal[Debit Account],BB60,Journal[ref3],"TRUE")+SUMIFS(Journal[Cr Amt],Journal[Credit Account],BB60,Journal[ref3],"TRUE")</f>
        <v>0</v>
      </c>
      <c r="BF60" s="248">
        <f>-SUMIFS(JournalAnswer[Dr Amt],JournalAnswer[Debit Account],BE60,JournalAnswer[ref3],"TRUE")+SUMIFS(JournalAnswer[Cr Amt],JournalAnswer[Credit Account],BE60,JournalAnswer[ref3],"TRUE")</f>
        <v>0</v>
      </c>
      <c r="BG60" s="248" cm="1">
        <f t="array" aca="1" ref="BG60" ca="1">IF(NI_CFO_Recon_Liabilities[[#This Row],[Account]]&lt;&gt;"",_xlfn._xlws.FILTER(FSBuilder[Amount],(FSBuilder[Account or Explanation]=NI_CFO_Recon_Liabilities[[#This Row],[Account]])*(FSBuilder[Statement]="Cash Flow Statement"),0),0)</f>
        <v>0</v>
      </c>
      <c r="BH60" s="445">
        <f>IF(ABS(NI_CFO_Recon_Liabilities[[#This Row],[AmtJournal]])&gt;0,1,0)</f>
        <v>0</v>
      </c>
      <c r="BI60" s="445">
        <f>IF(ABS(NI_CFO_Recon_Liabilities[[#This Row],[AmtAnswer]])&gt;0,1,0)</f>
        <v>0</v>
      </c>
      <c r="BJ60" s="445">
        <f ca="1">IF(ABS(NI_CFO_Recon_Liabilities[[#This Row],[AmtFSBuilder]])&gt;0,1,0)</f>
        <v>0</v>
      </c>
      <c r="BK60" s="248"/>
      <c r="BL60" s="430" t="s">
        <v>968</v>
      </c>
      <c r="BM60" s="430" t="s">
        <v>779</v>
      </c>
      <c r="BN60" s="430" t="s">
        <v>75</v>
      </c>
      <c r="BO60" s="528" t="s">
        <v>969</v>
      </c>
      <c r="BP60" s="430" t="s">
        <v>966</v>
      </c>
      <c r="BQ60" s="430" t="s">
        <v>967</v>
      </c>
      <c r="BR60" s="430" t="s">
        <v>970</v>
      </c>
      <c r="BS60" s="532" t="s">
        <v>971</v>
      </c>
      <c r="BT60" s="532" t="s">
        <v>972</v>
      </c>
      <c r="BU60" s="532" t="s">
        <v>973</v>
      </c>
    </row>
    <row r="61" spans="2:73">
      <c r="B61" s="426" t="s">
        <v>968</v>
      </c>
      <c r="C61" s="345" t="s">
        <v>779</v>
      </c>
      <c r="D61" s="427" t="s">
        <v>75</v>
      </c>
      <c r="E61" s="428" t="s">
        <v>969</v>
      </c>
      <c r="F61" s="427" t="s">
        <v>976</v>
      </c>
      <c r="G61" s="348"/>
      <c r="L61" s="348"/>
      <c r="M61" s="348"/>
      <c r="N61" s="348"/>
      <c r="O61" s="348"/>
      <c r="P61" s="348"/>
      <c r="Q61" s="348"/>
      <c r="AP61" s="224" cm="1">
        <f t="array" ref="AP61">_xlfn.IFS(Noncash_IF[[#This Row],[UsedAnswer]]=1,6,Noncash_IF[[#This Row],[UsedAnswer]]=0,8)</f>
        <v>8</v>
      </c>
      <c r="AR61" s="437">
        <f>IF(ABS(Noncash_IF[[#This Row],[AmtJournal]])&gt;0,1,0)</f>
        <v>0</v>
      </c>
      <c r="AS61" s="435">
        <f>IF(Noncash_IF[[#This Row],[Used]]&gt;0,Noncash_IF[[#This Row],[Used]]+SUM(AR58:AR60),0)</f>
        <v>0</v>
      </c>
      <c r="AT61" s="436"/>
      <c r="AU61" s="436"/>
      <c r="AV61" s="436"/>
      <c r="AW61" s="437">
        <f>IF(Noncash_IF[[#This Row],[AmtJournal]]&lt;&gt;0,1,0)</f>
        <v>0</v>
      </c>
      <c r="AX61" s="437">
        <f>IF(Noncash_IF[[#This Row],[AmtAnswer]]&lt;&gt;0,1,0)</f>
        <v>0</v>
      </c>
      <c r="AY61" s="437">
        <f>IF(Noncash_IF[[#This Row],[AmtFSBuilder]]&lt;&gt;0,1,0)</f>
        <v>0</v>
      </c>
      <c r="AZ61"/>
      <c r="BA61" s="224">
        <f>IF(NI_CFO_Recon_Liabilities[[#This Row],[Used]]=1,7,8)</f>
        <v>8</v>
      </c>
      <c r="BB61" t="s">
        <v>183</v>
      </c>
      <c r="BC61" s="421">
        <f>IF(ABS(NI_CFO_Recon_Liabilities[[#This Row],[AmtJournal]])&gt;0,1,0)</f>
        <v>0</v>
      </c>
      <c r="BD61" s="248">
        <f>NI_CFO_Recon_Liabilities[[#This Row],[Used]]+SUM(BC57:BC60)</f>
        <v>0</v>
      </c>
      <c r="BE61" s="248">
        <f>-SUMIFS(Journal[Dr Amt],Journal[Debit Account],BB61,Journal[ref3],"TRUE")+SUMIFS(Journal[Cr Amt],Journal[Credit Account],BB61,Journal[ref3],"TRUE")</f>
        <v>0</v>
      </c>
      <c r="BF61" s="248">
        <f>-SUMIFS(JournalAnswer[Dr Amt],JournalAnswer[Debit Account],BE61,JournalAnswer[ref3],"TRUE")+SUMIFS(JournalAnswer[Cr Amt],JournalAnswer[Credit Account],BE61,JournalAnswer[ref3],"TRUE")</f>
        <v>0</v>
      </c>
      <c r="BG61" s="248" cm="1">
        <f t="array" aca="1" ref="BG61" ca="1">IF(NI_CFO_Recon_Liabilities[[#This Row],[Account]]&lt;&gt;"",_xlfn._xlws.FILTER(FSBuilder[Amount],(FSBuilder[Account or Explanation]=NI_CFO_Recon_Liabilities[[#This Row],[Account]])*(FSBuilder[Statement]="Cash Flow Statement"),0),0)</f>
        <v>0</v>
      </c>
      <c r="BH61" s="445">
        <f>IF(ABS(NI_CFO_Recon_Liabilities[[#This Row],[AmtJournal]])&gt;0,1,0)</f>
        <v>0</v>
      </c>
      <c r="BI61" s="445">
        <f>IF(ABS(NI_CFO_Recon_Liabilities[[#This Row],[AmtAnswer]])&gt;0,1,0)</f>
        <v>0</v>
      </c>
      <c r="BJ61" s="445">
        <f ca="1">IF(ABS(NI_CFO_Recon_Liabilities[[#This Row],[AmtFSBuilder]])&gt;0,1,0)</f>
        <v>0</v>
      </c>
      <c r="BK61" s="248"/>
      <c r="BL61" s="224" cm="1">
        <f t="array" ref="BL61">_xlfn.IFS(AND(ENonCurrLiabs[[#This Row],[Used]]=1,ENonCurrLiabs[[#This Row],[Order]]=1),6,AND(ENonCurrLiabs[[#This Row],[Used]]=1,ENonCurrLiabs[[#This Row],[Order]]&gt;1),7,ENonCurrLiabs[[#This Row],[Used]]=0,8)</f>
        <v>8</v>
      </c>
      <c r="BM61" t="s">
        <v>211</v>
      </c>
      <c r="BN61" s="421">
        <f>IF(ISNUMBER(_xlfn.XLOOKUP(ENonCurrLiabs[[#This Row],[Account]],MD_Liability[Account Name],MD_Liability[Used])),_xlfn.XLOOKUP(ENonCurrLiabs[[#This Row],[Account]],MD_Liability[Account Name],MD_Liability[Used]),0)</f>
        <v>0</v>
      </c>
      <c r="BO61" s="421">
        <f>ENonCurrLiabs[[#This Row],[Used]]</f>
        <v>0</v>
      </c>
      <c r="BP61" s="418">
        <f>_xlfn.IFNA((_xlfn.XLOOKUP(ENonCurrLiabs[[#This Row],[Account]],BegBalanceSheet_Liabilities[Account],BegBalanceSheet_Liabilities[Amount]))-SUMIF(Journal[Debit Account],ENonCurrLiabs[[#This Row],[Account]],Journal[Dr Amt])+SUMIF(Journal[Credit Account],ENonCurrLiabs[[#This Row],[Account]],Journal[Cr Amt]),0)</f>
        <v>0</v>
      </c>
      <c r="BQ61" s="41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418" cm="1">
        <f t="array" aca="1" ref="BR61" ca="1">IF(ENonCurrLiabs[[#This Row],[Account]]&lt;&gt;"",_xlfn._xlws.FILTER(FSBuilder[Amount],(FSBuilder[Account or Explanation]=ENonCurrLiabs[[#This Row],[Account]])*(FSBuilder[Statement]="Ending Balance Sheet"),0),0)</f>
        <v>0</v>
      </c>
      <c r="BS61" s="445">
        <f>ENonCurrLiabs[[#This Row],[Used]]*(ENonCurrLiabs[[#This Row],[AmtJournal]]&lt;&gt;0)</f>
        <v>0</v>
      </c>
      <c r="BT61" s="445">
        <f>ENonCurrLiabs[[#This Row],[Used]]*(ENonCurrLiabs[[#This Row],[AmtAnswer]]&lt;&gt;0)</f>
        <v>0</v>
      </c>
      <c r="BU61" s="445">
        <f ca="1">ENonCurrLiabs[[#This Row],[Used]]*(ENonCurrLiabs[[#This Row],[AmtFSBuilder]]&lt;&gt;0)</f>
        <v>0</v>
      </c>
    </row>
    <row r="62" spans="2:73">
      <c r="B62" s="224" cm="1">
        <f t="array" ref="B62">_xlfn.IFS(AND(BNonCurrLiabs[[#This Row],[Used]]=1,BNonCurrLiabs[[#This Row],[Order]]=1),6,AND(BNonCurrLiabs[[#This Row],[Used]]=1,BNonCurrLiabs[[#This Row],[Order]]&gt;1),7,BNonCurrLiabs[[#This Row],[Used]]=0,8)</f>
        <v>8</v>
      </c>
      <c r="C62" t="s">
        <v>211</v>
      </c>
      <c r="D62" s="421">
        <f>IF(ISNUMBER(_xlfn.XLOOKUP(BNonCurrLiabs[[#This Row],[Account]],MD_Liability[Account Name],MD_Liability[Used])),_xlfn.XLOOKUP(BNonCurrLiabs[[#This Row],[Account]],MD_Liability[Account Name],MD_Liability[Used]),0)</f>
        <v>0</v>
      </c>
      <c r="E62" s="421">
        <f>BNonCurrLiabs[[#This Row],[Used]]</f>
        <v>0</v>
      </c>
      <c r="F62" s="418">
        <f>_xlfn.IFNA(_xlfn.XLOOKUP(C62,BegBalanceSheet_Liabilities[Account],BegBalanceSheet_Liabilities[Amount]),0)</f>
        <v>0</v>
      </c>
      <c r="G62" s="348"/>
      <c r="L62" s="348"/>
      <c r="M62" s="348"/>
      <c r="N62" s="348"/>
      <c r="O62" s="348"/>
      <c r="P62" s="348"/>
      <c r="Q62" s="348"/>
      <c r="AP62" s="224" cm="1">
        <f t="array" ref="AP62">_xlfn.IFS(Noncash_IF[[#This Row],[UsedAnswer]]=1,6,Noncash_IF[[#This Row],[UsedAnswer]]=0,8)</f>
        <v>8</v>
      </c>
      <c r="AR62" s="437">
        <f>IF(ABS(Noncash_IF[[#This Row],[AmtJournal]])&gt;0,1,0)</f>
        <v>0</v>
      </c>
      <c r="AS62" s="435">
        <f>IF(Noncash_IF[[#This Row],[Used]]&gt;0,Noncash_IF[[#This Row],[Used]]+SUM(AR58:AR61),0)</f>
        <v>0</v>
      </c>
      <c r="AT62" s="436"/>
      <c r="AU62" s="436"/>
      <c r="AV62" s="436"/>
      <c r="AW62" s="437">
        <f>IF(Noncash_IF[[#This Row],[AmtJournal]]&lt;&gt;0,1,0)</f>
        <v>0</v>
      </c>
      <c r="AX62" s="437">
        <f>IF(Noncash_IF[[#This Row],[AmtAnswer]]&lt;&gt;0,1,0)</f>
        <v>0</v>
      </c>
      <c r="AY62" s="437">
        <f>IF(Noncash_IF[[#This Row],[AmtFSBuilder]]&lt;&gt;0,1,0)</f>
        <v>0</v>
      </c>
      <c r="AZ62"/>
      <c r="BA62" s="224">
        <f>IF(NI_CFO_Recon_Liabilities[[#This Row],[Used]]=1,7,8)</f>
        <v>8</v>
      </c>
      <c r="BB62" t="s">
        <v>185</v>
      </c>
      <c r="BC62" s="421">
        <f>IF(ABS(NI_CFO_Recon_Liabilities[[#This Row],[AmtJournal]])&gt;0,1,0)</f>
        <v>0</v>
      </c>
      <c r="BD62" s="248">
        <f>NI_CFO_Recon_Liabilities[[#This Row],[Used]]+SUM(BC57:BC61)</f>
        <v>0</v>
      </c>
      <c r="BE62" s="248">
        <f>-SUMIFS(Journal[Dr Amt],Journal[Debit Account],BB62,Journal[ref3],"TRUE")+SUMIFS(Journal[Cr Amt],Journal[Credit Account],BB62,Journal[ref3],"TRUE")</f>
        <v>0</v>
      </c>
      <c r="BF62" s="248">
        <f>-SUMIFS(JournalAnswer[Dr Amt],JournalAnswer[Debit Account],BE62,JournalAnswer[ref3],"TRUE")+SUMIFS(JournalAnswer[Cr Amt],JournalAnswer[Credit Account],BE62,JournalAnswer[ref3],"TRUE")</f>
        <v>0</v>
      </c>
      <c r="BG62" s="248" cm="1">
        <f t="array" aca="1" ref="BG62" ca="1">IF(NI_CFO_Recon_Liabilities[[#This Row],[Account]]&lt;&gt;"",_xlfn._xlws.FILTER(FSBuilder[Amount],(FSBuilder[Account or Explanation]=NI_CFO_Recon_Liabilities[[#This Row],[Account]])*(FSBuilder[Statement]="Cash Flow Statement"),0),0)</f>
        <v>0</v>
      </c>
      <c r="BH62" s="445">
        <f>IF(ABS(NI_CFO_Recon_Liabilities[[#This Row],[AmtJournal]])&gt;0,1,0)</f>
        <v>0</v>
      </c>
      <c r="BI62" s="445">
        <f>IF(ABS(NI_CFO_Recon_Liabilities[[#This Row],[AmtAnswer]])&gt;0,1,0)</f>
        <v>0</v>
      </c>
      <c r="BJ62" s="445">
        <f ca="1">IF(ABS(NI_CFO_Recon_Liabilities[[#This Row],[AmtFSBuilder]])&gt;0,1,0)</f>
        <v>0</v>
      </c>
      <c r="BK62" s="248"/>
      <c r="BL62" s="224" cm="1">
        <f t="array" ref="BL62">_xlfn.IFS(AND(ENonCurrLiabs[[#This Row],[Used]]=1,ENonCurrLiabs[[#This Row],[Order]]=1),6,AND(ENonCurrLiabs[[#This Row],[Used]]=1,ENonCurrLiabs[[#This Row],[Order]]&gt;1),7,ENonCurrLiabs[[#This Row],[Used]]=0,8)</f>
        <v>8</v>
      </c>
      <c r="BM62" t="s">
        <v>214</v>
      </c>
      <c r="BN62" s="421">
        <f>IF(ISNUMBER(_xlfn.XLOOKUP(ENonCurrLiabs[[#This Row],[Account]],MD_Liability[Account Name],MD_Liability[Used])),_xlfn.XLOOKUP(ENonCurrLiabs[[#This Row],[Account]],MD_Liability[Account Name],MD_Liability[Used]),0)</f>
        <v>0</v>
      </c>
      <c r="BO62" s="421">
        <f>IF(ENonCurrLiabs[[#This Row],[Used]]=1,ENonCurrLiabs[[#This Row],[Used]]+BN61,0)</f>
        <v>0</v>
      </c>
      <c r="BP62" s="419">
        <f>_xlfn.IFNA((_xlfn.XLOOKUP(ENonCurrLiabs[[#This Row],[Account]],BegBalanceSheet_Liabilities[Account],BegBalanceSheet_Liabilities[Amount]))-SUMIF(Journal[Debit Account],ENonCurrLiabs[[#This Row],[Account]],Journal[Dr Amt])+SUMIF(Journal[Credit Account],ENonCurrLiabs[[#This Row],[Account]],Journal[Cr Amt]),0)</f>
        <v>0</v>
      </c>
      <c r="BQ62" s="419">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419" cm="1">
        <f t="array" aca="1" ref="BR62" ca="1">IF(ENonCurrLiabs[[#This Row],[Account]]&lt;&gt;"",_xlfn._xlws.FILTER(FSBuilder[Amount],(FSBuilder[Account or Explanation]=ENonCurrLiabs[[#This Row],[Account]])*(FSBuilder[Statement]="Ending Balance Sheet"),0),0)</f>
        <v>0</v>
      </c>
      <c r="BS62" s="445">
        <f>ENonCurrLiabs[[#This Row],[Used]]*(ENonCurrLiabs[[#This Row],[AmtJournal]]&lt;&gt;0)</f>
        <v>0</v>
      </c>
      <c r="BT62" s="445">
        <f>ENonCurrLiabs[[#This Row],[Used]]*(ENonCurrLiabs[[#This Row],[AmtAnswer]]&lt;&gt;0)</f>
        <v>0</v>
      </c>
      <c r="BU62" s="445">
        <f ca="1">ENonCurrLiabs[[#This Row],[Used]]*(ENonCurrLiabs[[#This Row],[AmtFSBuilder]]&lt;&gt;0)</f>
        <v>0</v>
      </c>
    </row>
    <row r="63" spans="2:73">
      <c r="B63" s="224" cm="1">
        <f t="array" ref="B63">_xlfn.IFS(AND(BNonCurrLiabs[[#This Row],[Used]]=1,BNonCurrLiabs[[#This Row],[Order]]=1),6,AND(BNonCurrLiabs[[#This Row],[Used]]=1,BNonCurrLiabs[[#This Row],[Order]]&gt;1),7,BNonCurrLiabs[[#This Row],[Used]]=0,8)</f>
        <v>8</v>
      </c>
      <c r="C63" t="s">
        <v>214</v>
      </c>
      <c r="D63" s="421">
        <f>IF(ISNUMBER(_xlfn.XLOOKUP(BNonCurrLiabs[[#This Row],[Account]],MD_Liability[Account Name],MD_Liability[Used])),_xlfn.XLOOKUP(BNonCurrLiabs[[#This Row],[Account]],MD_Liability[Account Name],MD_Liability[Used]),0)</f>
        <v>0</v>
      </c>
      <c r="E63" s="421">
        <f>IF(BNonCurrLiabs[[#This Row],[Used]]=1,BNonCurrLiabs[[#This Row],[Used]]+D62,0)</f>
        <v>0</v>
      </c>
      <c r="F63" s="419">
        <f>_xlfn.IFNA(_xlfn.XLOOKUP(C63,BegBalanceSheet_Liabilities[Account],BegBalanceSheet_Liabilities[Amount]),0)</f>
        <v>0</v>
      </c>
      <c r="G63" s="348"/>
      <c r="L63" s="348"/>
      <c r="M63" s="348"/>
      <c r="N63" s="348"/>
      <c r="O63" s="348"/>
      <c r="P63" s="348"/>
      <c r="Q63" s="348"/>
      <c r="AQ63" t="s">
        <v>1009</v>
      </c>
      <c r="AR63" s="444">
        <f ca="1">COUNTIF(Noncash_IF[AmtJournal],"&gt;0")+COUNTIF(Noncash_IF[AmtAnswer],"&gt;0")</f>
        <v>1</v>
      </c>
      <c r="AS63"/>
      <c r="AT63"/>
      <c r="AU63"/>
      <c r="AV63"/>
      <c r="AW63"/>
      <c r="AX63"/>
      <c r="AY63"/>
      <c r="AZ63"/>
      <c r="BA63" s="224">
        <f>IF(NI_CFO_Recon_Liabilities[[#This Row],[Used]]=1,7,8)</f>
        <v>8</v>
      </c>
      <c r="BB63" t="s">
        <v>188</v>
      </c>
      <c r="BC63" s="421">
        <f>IF(ABS(NI_CFO_Recon_Liabilities[[#This Row],[AmtJournal]])&gt;0,1,0)</f>
        <v>0</v>
      </c>
      <c r="BD63" s="248">
        <f>NI_CFO_Recon_Liabilities[[#This Row],[Used]]+SUM(BC57:BC62)</f>
        <v>0</v>
      </c>
      <c r="BE63" s="248">
        <f>-SUMIFS(Journal[Dr Amt],Journal[Debit Account],BB63,Journal[ref3],"TRUE")+SUMIFS(Journal[Cr Amt],Journal[Credit Account],BB63,Journal[ref3],"TRUE")</f>
        <v>0</v>
      </c>
      <c r="BF63" s="248">
        <f>-SUMIFS(JournalAnswer[Dr Amt],JournalAnswer[Debit Account],BE63,JournalAnswer[ref3],"TRUE")+SUMIFS(JournalAnswer[Cr Amt],JournalAnswer[Credit Account],BE63,JournalAnswer[ref3],"TRUE")</f>
        <v>0</v>
      </c>
      <c r="BG63" s="248" cm="1">
        <f t="array" aca="1" ref="BG63" ca="1">IF(NI_CFO_Recon_Liabilities[[#This Row],[Account]]&lt;&gt;"",_xlfn._xlws.FILTER(FSBuilder[Amount],(FSBuilder[Account or Explanation]=NI_CFO_Recon_Liabilities[[#This Row],[Account]])*(FSBuilder[Statement]="Cash Flow Statement"),0),0)</f>
        <v>0</v>
      </c>
      <c r="BH63" s="445">
        <f>IF(ABS(NI_CFO_Recon_Liabilities[[#This Row],[AmtJournal]])&gt;0,1,0)</f>
        <v>0</v>
      </c>
      <c r="BI63" s="445">
        <f>IF(ABS(NI_CFO_Recon_Liabilities[[#This Row],[AmtAnswer]])&gt;0,1,0)</f>
        <v>0</v>
      </c>
      <c r="BJ63" s="445">
        <f ca="1">IF(ABS(NI_CFO_Recon_Liabilities[[#This Row],[AmtFSBuilder]])&gt;0,1,0)</f>
        <v>0</v>
      </c>
      <c r="BK63" s="248"/>
      <c r="BL63" s="224" cm="1">
        <f t="array" ref="BL63">_xlfn.IFS(AND(ENonCurrLiabs[[#This Row],[Used]]=1,ENonCurrLiabs[[#This Row],[Order]]=1),6,AND(ENonCurrLiabs[[#This Row],[Used]]=1,ENonCurrLiabs[[#This Row],[Order]]&gt;1),7,ENonCurrLiabs[[#This Row],[Used]]=0,8)</f>
        <v>8</v>
      </c>
      <c r="BM63" t="s">
        <v>217</v>
      </c>
      <c r="BN63" s="421">
        <f>IF(ISNUMBER(_xlfn.XLOOKUP(ENonCurrLiabs[[#This Row],[Account]],MD_Liability[Account Name],MD_Liability[Used])),_xlfn.XLOOKUP(ENonCurrLiabs[[#This Row],[Account]],MD_Liability[Account Name],MD_Liability[Used]),0)</f>
        <v>0</v>
      </c>
      <c r="BO63" s="421">
        <f>IF(ENonCurrLiabs[[#This Row],[Used]]=1,ENonCurrLiabs[[#This Row],[Used]]+SUM(BN61:BN62),0)</f>
        <v>0</v>
      </c>
      <c r="BP63" s="419">
        <f>_xlfn.IFNA((_xlfn.XLOOKUP(ENonCurrLiabs[[#This Row],[Account]],BegBalanceSheet_Liabilities[Account],BegBalanceSheet_Liabilities[Amount]))-SUMIF(Journal[Debit Account],ENonCurrLiabs[[#This Row],[Account]],Journal[Dr Amt])+SUMIF(Journal[Credit Account],ENonCurrLiabs[[#This Row],[Account]],Journal[Cr Amt]),0)</f>
        <v>0</v>
      </c>
      <c r="BQ63" s="419">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419" cm="1">
        <f t="array" aca="1" ref="BR63" ca="1">IF(ENonCurrLiabs[[#This Row],[Account]]&lt;&gt;"",_xlfn._xlws.FILTER(FSBuilder[Amount],(FSBuilder[Account or Explanation]=ENonCurrLiabs[[#This Row],[Account]])*(FSBuilder[Statement]="Ending Balance Sheet"),0),0)</f>
        <v>0</v>
      </c>
      <c r="BS63" s="445">
        <f>ENonCurrLiabs[[#This Row],[Used]]*(ENonCurrLiabs[[#This Row],[AmtJournal]]&lt;&gt;0)</f>
        <v>0</v>
      </c>
      <c r="BT63" s="445">
        <f>ENonCurrLiabs[[#This Row],[Used]]*(ENonCurrLiabs[[#This Row],[AmtAnswer]]&lt;&gt;0)</f>
        <v>0</v>
      </c>
      <c r="BU63" s="445">
        <f ca="1">ENonCurrLiabs[[#This Row],[Used]]*(ENonCurrLiabs[[#This Row],[AmtFSBuilder]]&lt;&gt;0)</f>
        <v>0</v>
      </c>
    </row>
    <row r="64" spans="2:73">
      <c r="B64" s="224" cm="1">
        <f t="array" ref="B64">_xlfn.IFS(AND(BNonCurrLiabs[[#This Row],[Used]]=1,BNonCurrLiabs[[#This Row],[Order]]=1),6,AND(BNonCurrLiabs[[#This Row],[Used]]=1,BNonCurrLiabs[[#This Row],[Order]]&gt;1),7,BNonCurrLiabs[[#This Row],[Used]]=0,8)</f>
        <v>8</v>
      </c>
      <c r="C64" t="s">
        <v>217</v>
      </c>
      <c r="D64" s="421">
        <f>IF(ISNUMBER(_xlfn.XLOOKUP(BNonCurrLiabs[[#This Row],[Account]],MD_Liability[Account Name],MD_Liability[Used])),_xlfn.XLOOKUP(BNonCurrLiabs[[#This Row],[Account]],MD_Liability[Account Name],MD_Liability[Used]),0)</f>
        <v>0</v>
      </c>
      <c r="E64" s="421">
        <f>IF(BNonCurrLiabs[[#This Row],[Used]]=1,BNonCurrLiabs[[#This Row],[Used]]+SUM(D62:D63),0)</f>
        <v>0</v>
      </c>
      <c r="F64" s="419">
        <f>_xlfn.IFNA(_xlfn.XLOOKUP(C64,BegBalanceSheet_Liabilities[Account],BegBalanceSheet_Liabilities[Amount]),0)</f>
        <v>0</v>
      </c>
      <c r="G64" s="348"/>
      <c r="L64" s="348"/>
      <c r="M64" s="348"/>
      <c r="N64" s="348"/>
      <c r="O64" s="348"/>
      <c r="P64" s="348"/>
      <c r="Q64" s="348"/>
      <c r="AS64"/>
      <c r="AT64"/>
      <c r="AU64"/>
      <c r="AV64"/>
      <c r="AW64"/>
      <c r="AX64"/>
      <c r="AY64"/>
      <c r="AZ64"/>
      <c r="BA64" s="224">
        <f>IF(NI_CFO_Recon_Liabilities[[#This Row],[Used]]=1,7,8)</f>
        <v>8</v>
      </c>
      <c r="BB64" t="s">
        <v>191</v>
      </c>
      <c r="BC64" s="421">
        <f>IF(ABS(NI_CFO_Recon_Liabilities[[#This Row],[AmtJournal]])&gt;0,1,0)</f>
        <v>0</v>
      </c>
      <c r="BD64" s="248">
        <f>NI_CFO_Recon_Liabilities[[#This Row],[Used]]+SUM(BC57:BC63)</f>
        <v>0</v>
      </c>
      <c r="BE64" s="248">
        <f>-SUMIFS(Journal[Dr Amt],Journal[Debit Account],BB64,Journal[ref3],"TRUE")+SUMIFS(Journal[Cr Amt],Journal[Credit Account],BB64,Journal[ref3],"TRUE")</f>
        <v>0</v>
      </c>
      <c r="BF64" s="248">
        <f>-SUMIFS(JournalAnswer[Dr Amt],JournalAnswer[Debit Account],BE64,JournalAnswer[ref3],"TRUE")+SUMIFS(JournalAnswer[Cr Amt],JournalAnswer[Credit Account],BE64,JournalAnswer[ref3],"TRUE")</f>
        <v>0</v>
      </c>
      <c r="BG64" s="248" cm="1">
        <f t="array" aca="1" ref="BG64" ca="1">IF(NI_CFO_Recon_Liabilities[[#This Row],[Account]]&lt;&gt;"",_xlfn._xlws.FILTER(FSBuilder[Amount],(FSBuilder[Account or Explanation]=NI_CFO_Recon_Liabilities[[#This Row],[Account]])*(FSBuilder[Statement]="Cash Flow Statement"),0),0)</f>
        <v>0</v>
      </c>
      <c r="BH64" s="445">
        <f>IF(ABS(NI_CFO_Recon_Liabilities[[#This Row],[AmtJournal]])&gt;0,1,0)</f>
        <v>0</v>
      </c>
      <c r="BI64" s="445">
        <f>IF(ABS(NI_CFO_Recon_Liabilities[[#This Row],[AmtAnswer]])&gt;0,1,0)</f>
        <v>0</v>
      </c>
      <c r="BJ64" s="445">
        <f ca="1">IF(ABS(NI_CFO_Recon_Liabilities[[#This Row],[AmtFSBuilder]])&gt;0,1,0)</f>
        <v>0</v>
      </c>
      <c r="BK64" s="248"/>
      <c r="BL64" s="224" cm="1">
        <f t="array" ref="BL64">_xlfn.IFS(AND(ENonCurrLiabs[[#This Row],[Used]]=1,ENonCurrLiabs[[#This Row],[Order]]=1),6,AND(ENonCurrLiabs[[#This Row],[Used]]=1,ENonCurrLiabs[[#This Row],[Order]]&gt;1),7,ENonCurrLiabs[[#This Row],[Used]]=0,8)</f>
        <v>8</v>
      </c>
      <c r="BM64" t="s">
        <v>220</v>
      </c>
      <c r="BN64" s="421">
        <f>IF(ISNUMBER(_xlfn.XLOOKUP(ENonCurrLiabs[[#This Row],[Account]],MD_Liability[Account Name],MD_Liability[Used])),_xlfn.XLOOKUP(ENonCurrLiabs[[#This Row],[Account]],MD_Liability[Account Name],MD_Liability[Used]),0)</f>
        <v>0</v>
      </c>
      <c r="BO64" s="421">
        <f>IF(ENonCurrLiabs[[#This Row],[Used]]=1,ENonCurrLiabs[[#This Row],[Used]]+SUM(BN61:BN63),0)</f>
        <v>0</v>
      </c>
      <c r="BP64" s="419">
        <f>_xlfn.IFNA((_xlfn.XLOOKUP(ENonCurrLiabs[[#This Row],[Account]],BegBalanceSheet_Liabilities[Account],BegBalanceSheet_Liabilities[Amount]))-SUMIF(Journal[Debit Account],ENonCurrLiabs[[#This Row],[Account]],Journal[Dr Amt])+SUMIF(Journal[Credit Account],ENonCurrLiabs[[#This Row],[Account]],Journal[Cr Amt]),0)</f>
        <v>0</v>
      </c>
      <c r="BQ64" s="419">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419" cm="1">
        <f t="array" aca="1" ref="BR64" ca="1">IF(ENonCurrLiabs[[#This Row],[Account]]&lt;&gt;"",_xlfn._xlws.FILTER(FSBuilder[Amount],(FSBuilder[Account or Explanation]=ENonCurrLiabs[[#This Row],[Account]])*(FSBuilder[Statement]="Ending Balance Sheet"),0),0)</f>
        <v>0</v>
      </c>
      <c r="BS64" s="445">
        <f>ENonCurrLiabs[[#This Row],[Used]]*(ENonCurrLiabs[[#This Row],[AmtJournal]]&lt;&gt;0)</f>
        <v>0</v>
      </c>
      <c r="BT64" s="445">
        <f>ENonCurrLiabs[[#This Row],[Used]]*(ENonCurrLiabs[[#This Row],[AmtAnswer]]&lt;&gt;0)</f>
        <v>0</v>
      </c>
      <c r="BU64" s="445">
        <f ca="1">ENonCurrLiabs[[#This Row],[Used]]*(ENonCurrLiabs[[#This Row],[AmtFSBuilder]]&lt;&gt;0)</f>
        <v>0</v>
      </c>
    </row>
    <row r="65" spans="2:73">
      <c r="B65" s="224" cm="1">
        <f t="array" ref="B65">_xlfn.IFS(AND(BNonCurrLiabs[[#This Row],[Used]]=1,BNonCurrLiabs[[#This Row],[Order]]=1),6,AND(BNonCurrLiabs[[#This Row],[Used]]=1,BNonCurrLiabs[[#This Row],[Order]]&gt;1),7,BNonCurrLiabs[[#This Row],[Used]]=0,8)</f>
        <v>8</v>
      </c>
      <c r="C65" t="s">
        <v>220</v>
      </c>
      <c r="D65" s="421">
        <f>IF(ISNUMBER(_xlfn.XLOOKUP(BNonCurrLiabs[[#This Row],[Account]],MD_Liability[Account Name],MD_Liability[Used])),_xlfn.XLOOKUP(BNonCurrLiabs[[#This Row],[Account]],MD_Liability[Account Name],MD_Liability[Used]),0)</f>
        <v>0</v>
      </c>
      <c r="E65" s="421">
        <f>IF(BNonCurrLiabs[[#This Row],[Used]]=1,BNonCurrLiabs[[#This Row],[Used]]+SUM(D62:D64),0)</f>
        <v>0</v>
      </c>
      <c r="F65" s="419">
        <f>_xlfn.IFNA(_xlfn.XLOOKUP(C65,BegBalanceSheet_Liabilities[Account],BegBalanceSheet_Liabilities[Amount]),0)</f>
        <v>0</v>
      </c>
      <c r="G65" s="348"/>
      <c r="L65" s="348"/>
      <c r="M65" s="348"/>
      <c r="N65" s="348"/>
      <c r="O65" s="348"/>
      <c r="P65" s="348"/>
      <c r="Q65" s="348"/>
      <c r="AS65"/>
      <c r="AT65"/>
      <c r="AU65"/>
      <c r="AV65"/>
      <c r="AW65"/>
      <c r="AX65"/>
      <c r="AY65"/>
      <c r="AZ65"/>
      <c r="BA65" s="224">
        <f>IF(NI_CFO_Recon_Liabilities[[#This Row],[Used]]=1,7,8)</f>
        <v>8</v>
      </c>
      <c r="BB65" t="s">
        <v>197</v>
      </c>
      <c r="BC65" s="421">
        <f>IF(ABS(NI_CFO_Recon_Liabilities[[#This Row],[AmtJournal]])&gt;0,1,0)</f>
        <v>0</v>
      </c>
      <c r="BD65" s="248">
        <f>NI_CFO_Recon_Liabilities[[#This Row],[Used]]+SUM(BC57:BC64)</f>
        <v>0</v>
      </c>
      <c r="BE65" s="248">
        <f>-SUMIFS(Journal[Dr Amt],Journal[Debit Account],BB65,Journal[ref3],"TRUE")+SUMIFS(Journal[Cr Amt],Journal[Credit Account],BB65,Journal[ref3],"TRUE")</f>
        <v>0</v>
      </c>
      <c r="BF65" s="248">
        <f>-SUMIFS(JournalAnswer[Dr Amt],JournalAnswer[Debit Account],BE65,JournalAnswer[ref3],"TRUE")+SUMIFS(JournalAnswer[Cr Amt],JournalAnswer[Credit Account],BE65,JournalAnswer[ref3],"TRUE")</f>
        <v>0</v>
      </c>
      <c r="BG65" s="248" cm="1">
        <f t="array" aca="1" ref="BG65" ca="1">IF(NI_CFO_Recon_Liabilities[[#This Row],[Account]]&lt;&gt;"",_xlfn._xlws.FILTER(FSBuilder[Amount],(FSBuilder[Account or Explanation]=NI_CFO_Recon_Liabilities[[#This Row],[Account]])*(FSBuilder[Statement]="Cash Flow Statement"),0),0)</f>
        <v>0</v>
      </c>
      <c r="BH65" s="445">
        <f>IF(ABS(NI_CFO_Recon_Liabilities[[#This Row],[AmtJournal]])&gt;0,1,0)</f>
        <v>0</v>
      </c>
      <c r="BI65" s="445">
        <f>IF(ABS(NI_CFO_Recon_Liabilities[[#This Row],[AmtAnswer]])&gt;0,1,0)</f>
        <v>0</v>
      </c>
      <c r="BJ65" s="445">
        <f ca="1">IF(ABS(NI_CFO_Recon_Liabilities[[#This Row],[AmtFSBuilder]])&gt;0,1,0)</f>
        <v>0</v>
      </c>
      <c r="BK65" s="248"/>
      <c r="BL65" s="224" cm="1">
        <f t="array" ref="BL65">_xlfn.IFS(AND(ENonCurrLiabs[[#This Row],[Used]]=1,ENonCurrLiabs[[#This Row],[Order]]=1),6,AND(ENonCurrLiabs[[#This Row],[Used]]=1,ENonCurrLiabs[[#This Row],[Order]]&gt;1),7,ENonCurrLiabs[[#This Row],[Used]]=0,8)</f>
        <v>8</v>
      </c>
      <c r="BM65" t="s">
        <v>223</v>
      </c>
      <c r="BN65" s="421">
        <f>IF(ISNUMBER(_xlfn.XLOOKUP(ENonCurrLiabs[[#This Row],[Account]],MD_Liability[Account Name],MD_Liability[Used])),_xlfn.XLOOKUP(ENonCurrLiabs[[#This Row],[Account]],MD_Liability[Account Name],MD_Liability[Used]),0)</f>
        <v>0</v>
      </c>
      <c r="BO65" s="421">
        <f>IF(ENonCurrLiabs[[#This Row],[Used]]=1,ENonCurrLiabs[[#This Row],[Used]]+SUM(BN61:BN64),0)</f>
        <v>0</v>
      </c>
      <c r="BP65" s="419">
        <f>_xlfn.IFNA((_xlfn.XLOOKUP(ENonCurrLiabs[[#This Row],[Account]],BegBalanceSheet_Liabilities[Account],BegBalanceSheet_Liabilities[Amount]))-SUMIF(Journal[Debit Account],ENonCurrLiabs[[#This Row],[Account]],Journal[Dr Amt])+SUMIF(Journal[Credit Account],ENonCurrLiabs[[#This Row],[Account]],Journal[Cr Amt]),0)</f>
        <v>0</v>
      </c>
      <c r="BQ65" s="419">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419" cm="1">
        <f t="array" aca="1" ref="BR65" ca="1">IF(ENonCurrLiabs[[#This Row],[Account]]&lt;&gt;"",_xlfn._xlws.FILTER(FSBuilder[Amount],(FSBuilder[Account or Explanation]=ENonCurrLiabs[[#This Row],[Account]])*(FSBuilder[Statement]="Ending Balance Sheet"),0),0)</f>
        <v>0</v>
      </c>
      <c r="BS65" s="445">
        <f>ENonCurrLiabs[[#This Row],[Used]]*(ENonCurrLiabs[[#This Row],[AmtJournal]]&lt;&gt;0)</f>
        <v>0</v>
      </c>
      <c r="BT65" s="445">
        <f>ENonCurrLiabs[[#This Row],[Used]]*(ENonCurrLiabs[[#This Row],[AmtAnswer]]&lt;&gt;0)</f>
        <v>0</v>
      </c>
      <c r="BU65" s="445">
        <f ca="1">ENonCurrLiabs[[#This Row],[Used]]*(ENonCurrLiabs[[#This Row],[AmtFSBuilder]]&lt;&gt;0)</f>
        <v>0</v>
      </c>
    </row>
    <row r="66" spans="2:73">
      <c r="B66" s="224" cm="1">
        <f t="array" ref="B66">_xlfn.IFS(AND(BNonCurrLiabs[[#This Row],[Used]]=1,BNonCurrLiabs[[#This Row],[Order]]=1),6,AND(BNonCurrLiabs[[#This Row],[Used]]=1,BNonCurrLiabs[[#This Row],[Order]]&gt;1),7,BNonCurrLiabs[[#This Row],[Used]]=0,8)</f>
        <v>8</v>
      </c>
      <c r="C66" t="s">
        <v>223</v>
      </c>
      <c r="D66" s="421">
        <f>IF(ISNUMBER(_xlfn.XLOOKUP(BNonCurrLiabs[[#This Row],[Account]],MD_Liability[Account Name],MD_Liability[Used])),_xlfn.XLOOKUP(BNonCurrLiabs[[#This Row],[Account]],MD_Liability[Account Name],MD_Liability[Used]),0)</f>
        <v>0</v>
      </c>
      <c r="E66" s="421">
        <f>IF(BNonCurrLiabs[[#This Row],[Used]]=1,BNonCurrLiabs[[#This Row],[Used]]+SUM(D62:D65),0)</f>
        <v>0</v>
      </c>
      <c r="F66" s="419">
        <f>_xlfn.IFNA(_xlfn.XLOOKUP(C66,BegBalanceSheet_Liabilities[Account],BegBalanceSheet_Liabilities[Amount]),0)</f>
        <v>0</v>
      </c>
      <c r="G66" s="348"/>
      <c r="L66" s="348"/>
      <c r="M66" s="348"/>
      <c r="N66" s="348"/>
      <c r="O66" s="348"/>
      <c r="P66" s="348"/>
      <c r="Q66" s="348"/>
      <c r="AS66"/>
      <c r="AT66"/>
      <c r="AU66"/>
      <c r="AV66"/>
      <c r="AW66"/>
      <c r="AX66"/>
      <c r="AY66"/>
      <c r="AZ66"/>
      <c r="BA66" s="224">
        <f>IF(NI_CFO_Recon_Liabilities[[#This Row],[Used]]=1,7,8)</f>
        <v>8</v>
      </c>
      <c r="BB66" t="s">
        <v>200</v>
      </c>
      <c r="BC66" s="421">
        <f>IF(ABS(NI_CFO_Recon_Liabilities[[#This Row],[AmtJournal]])&gt;0,1,0)</f>
        <v>0</v>
      </c>
      <c r="BD66" s="248">
        <f>NI_CFO_Recon_Liabilities[[#This Row],[Used]]+SUM(BC57:BC65)</f>
        <v>0</v>
      </c>
      <c r="BE66" s="248">
        <f>-SUMIFS(Journal[Dr Amt],Journal[Debit Account],BB66,Journal[ref3],"TRUE")+SUMIFS(Journal[Cr Amt],Journal[Credit Account],BB66,Journal[ref3],"TRUE")</f>
        <v>0</v>
      </c>
      <c r="BF66" s="248">
        <f>-SUMIFS(JournalAnswer[Dr Amt],JournalAnswer[Debit Account],BE66,JournalAnswer[ref3],"TRUE")+SUMIFS(JournalAnswer[Cr Amt],JournalAnswer[Credit Account],BE66,JournalAnswer[ref3],"TRUE")</f>
        <v>0</v>
      </c>
      <c r="BG66" s="248" cm="1">
        <f t="array" aca="1" ref="BG66" ca="1">IF(NI_CFO_Recon_Liabilities[[#This Row],[Account]]&lt;&gt;"",_xlfn._xlws.FILTER(FSBuilder[Amount],(FSBuilder[Account or Explanation]=NI_CFO_Recon_Liabilities[[#This Row],[Account]])*(FSBuilder[Statement]="Cash Flow Statement"),0),0)</f>
        <v>0</v>
      </c>
      <c r="BH66" s="445">
        <f>IF(ABS(NI_CFO_Recon_Liabilities[[#This Row],[AmtJournal]])&gt;0,1,0)</f>
        <v>0</v>
      </c>
      <c r="BI66" s="445">
        <f>IF(ABS(NI_CFO_Recon_Liabilities[[#This Row],[AmtAnswer]])&gt;0,1,0)</f>
        <v>0</v>
      </c>
      <c r="BJ66" s="445">
        <f ca="1">IF(ABS(NI_CFO_Recon_Liabilities[[#This Row],[AmtFSBuilder]])&gt;0,1,0)</f>
        <v>0</v>
      </c>
      <c r="BK66" s="248"/>
      <c r="BL66" s="224" cm="1">
        <f t="array" ref="BL66">_xlfn.IFS(AND(ENonCurrLiabs[[#This Row],[Used]]=1,ENonCurrLiabs[[#This Row],[Order]]=1),6,AND(ENonCurrLiabs[[#This Row],[Used]]=1,ENonCurrLiabs[[#This Row],[Order]]&gt;1),7,ENonCurrLiabs[[#This Row],[Used]]=0,8)</f>
        <v>6</v>
      </c>
      <c r="BM66" t="s">
        <v>226</v>
      </c>
      <c r="BN66" s="421">
        <f>IF(ISNUMBER(_xlfn.XLOOKUP(ENonCurrLiabs[[#This Row],[Account]],MD_Liability[Account Name],MD_Liability[Used])),_xlfn.XLOOKUP(ENonCurrLiabs[[#This Row],[Account]],MD_Liability[Account Name],MD_Liability[Used]),0)</f>
        <v>1</v>
      </c>
      <c r="BO66" s="421">
        <f>IF(ENonCurrLiabs[[#This Row],[Used]]=1,ENonCurrLiabs[[#This Row],[Used]]+SUM(BN61:BN65),0)</f>
        <v>1</v>
      </c>
      <c r="BP66" s="419">
        <f>_xlfn.IFNA((_xlfn.XLOOKUP(ENonCurrLiabs[[#This Row],[Account]],BegBalanceSheet_Liabilities[Account],BegBalanceSheet_Liabilities[Amount]))-SUMIF(Journal[Debit Account],ENonCurrLiabs[[#This Row],[Account]],Journal[Dr Amt])+SUMIF(Journal[Credit Account],ENonCurrLiabs[[#This Row],[Account]],Journal[Cr Amt]),0)</f>
        <v>0</v>
      </c>
      <c r="BQ66" s="419">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100</v>
      </c>
      <c r="BR66" s="419" cm="1">
        <f t="array" aca="1" ref="BR66" ca="1">IF(ENonCurrLiabs[[#This Row],[Account]]&lt;&gt;"",_xlfn._xlws.FILTER(FSBuilder[Amount],(FSBuilder[Account or Explanation]=ENonCurrLiabs[[#This Row],[Account]])*(FSBuilder[Statement]="Ending Balance Sheet"),0),0)</f>
        <v>0</v>
      </c>
      <c r="BS66" s="445">
        <f>ENonCurrLiabs[[#This Row],[Used]]*(ENonCurrLiabs[[#This Row],[AmtJournal]]&lt;&gt;0)</f>
        <v>0</v>
      </c>
      <c r="BT66" s="445">
        <f>ENonCurrLiabs[[#This Row],[Used]]*(ENonCurrLiabs[[#This Row],[AmtAnswer]]&lt;&gt;0)</f>
        <v>1</v>
      </c>
      <c r="BU66" s="445">
        <f ca="1">ENonCurrLiabs[[#This Row],[Used]]*(ENonCurrLiabs[[#This Row],[AmtFSBuilder]]&lt;&gt;0)</f>
        <v>0</v>
      </c>
    </row>
    <row r="67" spans="2:73">
      <c r="B67" s="224" cm="1">
        <f t="array" ref="B67">_xlfn.IFS(AND(BNonCurrLiabs[[#This Row],[Used]]=1,BNonCurrLiabs[[#This Row],[Order]]=1),6,AND(BNonCurrLiabs[[#This Row],[Used]]=1,BNonCurrLiabs[[#This Row],[Order]]&gt;1),7,BNonCurrLiabs[[#This Row],[Used]]=0,8)</f>
        <v>6</v>
      </c>
      <c r="C67" t="s">
        <v>226</v>
      </c>
      <c r="D67" s="421">
        <f>IF(ISNUMBER(_xlfn.XLOOKUP(BNonCurrLiabs[[#This Row],[Account]],MD_Liability[Account Name],MD_Liability[Used])),_xlfn.XLOOKUP(BNonCurrLiabs[[#This Row],[Account]],MD_Liability[Account Name],MD_Liability[Used]),0)</f>
        <v>1</v>
      </c>
      <c r="E67" s="421">
        <f>IF(BNonCurrLiabs[[#This Row],[Used]]=1,BNonCurrLiabs[[#This Row],[Used]]+SUM(D62:D66),0)</f>
        <v>1</v>
      </c>
      <c r="F67" s="419">
        <f>_xlfn.IFNA(_xlfn.XLOOKUP(C67,BegBalanceSheet_Liabilities[Account],BegBalanceSheet_Liabilities[Amount]),0)</f>
        <v>0</v>
      </c>
      <c r="G67" s="348"/>
      <c r="L67" s="348"/>
      <c r="M67" s="348"/>
      <c r="N67" s="348"/>
      <c r="O67" s="348"/>
      <c r="P67" s="348"/>
      <c r="Q67" s="348"/>
      <c r="AS67"/>
      <c r="AT67"/>
      <c r="AU67"/>
      <c r="AV67"/>
      <c r="AW67"/>
      <c r="AX67"/>
      <c r="AY67"/>
      <c r="AZ67"/>
      <c r="BA67" s="224">
        <f>IF(NI_CFO_Recon_Liabilities[[#This Row],[Used]]=1,7,8)</f>
        <v>8</v>
      </c>
      <c r="BB67" t="s">
        <v>203</v>
      </c>
      <c r="BC67" s="421">
        <f>IF(ABS(NI_CFO_Recon_Liabilities[[#This Row],[AmtJournal]])&gt;0,1,0)</f>
        <v>0</v>
      </c>
      <c r="BD67" s="248">
        <f>NI_CFO_Recon_Liabilities[[#This Row],[Used]]+SUM(BC57:BC66)</f>
        <v>0</v>
      </c>
      <c r="BE67" s="248">
        <f>-SUMIFS(Journal[Dr Amt],Journal[Debit Account],BB67,Journal[ref3],"TRUE")+SUMIFS(Journal[Cr Amt],Journal[Credit Account],BB67,Journal[ref3],"TRUE")</f>
        <v>0</v>
      </c>
      <c r="BF67" s="248">
        <f>-SUMIFS(JournalAnswer[Dr Amt],JournalAnswer[Debit Account],BE67,JournalAnswer[ref3],"TRUE")+SUMIFS(JournalAnswer[Cr Amt],JournalAnswer[Credit Account],BE67,JournalAnswer[ref3],"TRUE")</f>
        <v>0</v>
      </c>
      <c r="BG67" s="248" cm="1">
        <f t="array" aca="1" ref="BG67" ca="1">IF(NI_CFO_Recon_Liabilities[[#This Row],[Account]]&lt;&gt;"",_xlfn._xlws.FILTER(FSBuilder[Amount],(FSBuilder[Account or Explanation]=NI_CFO_Recon_Liabilities[[#This Row],[Account]])*(FSBuilder[Statement]="Cash Flow Statement"),0),0)</f>
        <v>0</v>
      </c>
      <c r="BH67" s="445">
        <f>IF(ABS(NI_CFO_Recon_Liabilities[[#This Row],[AmtJournal]])&gt;0,1,0)</f>
        <v>0</v>
      </c>
      <c r="BI67" s="445">
        <f>IF(ABS(NI_CFO_Recon_Liabilities[[#This Row],[AmtAnswer]])&gt;0,1,0)</f>
        <v>0</v>
      </c>
      <c r="BJ67" s="445">
        <f ca="1">IF(ABS(NI_CFO_Recon_Liabilities[[#This Row],[AmtFSBuilder]])&gt;0,1,0)</f>
        <v>0</v>
      </c>
      <c r="BK67" s="248"/>
      <c r="BL67" s="224" cm="1">
        <f t="array" ref="BL67">_xlfn.IFS(AND(ENonCurrLiabs[[#This Row],[Used]]=1,ENonCurrLiabs[[#This Row],[Order]]=1),6,AND(ENonCurrLiabs[[#This Row],[Used]]=1,ENonCurrLiabs[[#This Row],[Order]]&gt;1),7,ENonCurrLiabs[[#This Row],[Used]]=0,8)</f>
        <v>8</v>
      </c>
      <c r="BM67" t="s">
        <v>229</v>
      </c>
      <c r="BN67" s="421">
        <f>IF(ISNUMBER(_xlfn.XLOOKUP(ENonCurrLiabs[[#This Row],[Account]],MD_Liability[Account Name],MD_Liability[Used])),_xlfn.XLOOKUP(ENonCurrLiabs[[#This Row],[Account]],MD_Liability[Account Name],MD_Liability[Used]),0)</f>
        <v>0</v>
      </c>
      <c r="BO67" s="421">
        <f>IF(ENonCurrLiabs[[#This Row],[Used]]=1,ENonCurrLiabs[[#This Row],[Used]]+SUM(BN61:BN66),0)</f>
        <v>0</v>
      </c>
      <c r="BP67" s="419">
        <f>_xlfn.IFNA((_xlfn.XLOOKUP(ENonCurrLiabs[[#This Row],[Account]],BegBalanceSheet_Liabilities[Account],BegBalanceSheet_Liabilities[Amount]))-SUMIF(Journal[Debit Account],ENonCurrLiabs[[#This Row],[Account]],Journal[Dr Amt])+SUMIF(Journal[Credit Account],ENonCurrLiabs[[#This Row],[Account]],Journal[Cr Amt]),0)</f>
        <v>0</v>
      </c>
      <c r="BQ67" s="419">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419" cm="1">
        <f t="array" aca="1" ref="BR67" ca="1">IF(ENonCurrLiabs[[#This Row],[Account]]&lt;&gt;"",_xlfn._xlws.FILTER(FSBuilder[Amount],(FSBuilder[Account or Explanation]=ENonCurrLiabs[[#This Row],[Account]])*(FSBuilder[Statement]="Ending Balance Sheet"),0),0)</f>
        <v>0</v>
      </c>
      <c r="BS67" s="445">
        <f>ENonCurrLiabs[[#This Row],[Used]]*(ENonCurrLiabs[[#This Row],[AmtJournal]]&lt;&gt;0)</f>
        <v>0</v>
      </c>
      <c r="BT67" s="445">
        <f>ENonCurrLiabs[[#This Row],[Used]]*(ENonCurrLiabs[[#This Row],[AmtAnswer]]&lt;&gt;0)</f>
        <v>0</v>
      </c>
      <c r="BU67" s="445">
        <f ca="1">ENonCurrLiabs[[#This Row],[Used]]*(ENonCurrLiabs[[#This Row],[AmtFSBuilder]]&lt;&gt;0)</f>
        <v>0</v>
      </c>
    </row>
    <row r="68" spans="2:73">
      <c r="B68" s="224" cm="1">
        <f t="array" ref="B68">_xlfn.IFS(AND(BNonCurrLiabs[[#This Row],[Used]]=1,BNonCurrLiabs[[#This Row],[Order]]=1),6,AND(BNonCurrLiabs[[#This Row],[Used]]=1,BNonCurrLiabs[[#This Row],[Order]]&gt;1),7,BNonCurrLiabs[[#This Row],[Used]]=0,8)</f>
        <v>8</v>
      </c>
      <c r="C68" t="s">
        <v>229</v>
      </c>
      <c r="D68" s="421">
        <f>IF(ISNUMBER(_xlfn.XLOOKUP(BNonCurrLiabs[[#This Row],[Account]],MD_Liability[Account Name],MD_Liability[Used])),_xlfn.XLOOKUP(BNonCurrLiabs[[#This Row],[Account]],MD_Liability[Account Name],MD_Liability[Used]),0)</f>
        <v>0</v>
      </c>
      <c r="E68" s="421">
        <f>IF(BNonCurrLiabs[[#This Row],[Used]]=1,BNonCurrLiabs[[#This Row],[Used]]+SUM(D62:D67),0)</f>
        <v>0</v>
      </c>
      <c r="F68" s="419">
        <f>_xlfn.IFNA(_xlfn.XLOOKUP(C68,BegBalanceSheet_Liabilities[Account],BegBalanceSheet_Liabilities[Amount]),0)</f>
        <v>0</v>
      </c>
      <c r="G68" s="348"/>
      <c r="L68" s="348"/>
      <c r="M68" s="348"/>
      <c r="N68" s="348"/>
      <c r="O68" s="348"/>
      <c r="P68" s="348"/>
      <c r="Q68" s="348"/>
      <c r="AS68"/>
      <c r="AT68"/>
      <c r="AU68"/>
      <c r="AV68"/>
      <c r="AW68"/>
      <c r="AX68"/>
      <c r="AY68"/>
      <c r="AZ68"/>
      <c r="BA68" s="224">
        <f>IF(NI_CFO_Recon_Liabilities[[#This Row],[Used]]=1,7,8)</f>
        <v>8</v>
      </c>
      <c r="BB68" t="s">
        <v>206</v>
      </c>
      <c r="BC68" s="421">
        <f>IF(ABS(NI_CFO_Recon_Liabilities[[#This Row],[AmtJournal]])&gt;0,1,0)</f>
        <v>0</v>
      </c>
      <c r="BD68" s="248">
        <f>NI_CFO_Recon_Liabilities[[#This Row],[Used]]+SUM(BC57:BC67)</f>
        <v>0</v>
      </c>
      <c r="BE68" s="248">
        <f>-SUMIFS(Journal[Dr Amt],Journal[Debit Account],BB68,Journal[ref3],"TRUE")+SUMIFS(Journal[Cr Amt],Journal[Credit Account],BB68,Journal[ref3],"TRUE")</f>
        <v>0</v>
      </c>
      <c r="BF68" s="248">
        <f>-SUMIFS(JournalAnswer[Dr Amt],JournalAnswer[Debit Account],BE68,JournalAnswer[ref3],"TRUE")+SUMIFS(JournalAnswer[Cr Amt],JournalAnswer[Credit Account],BE68,JournalAnswer[ref3],"TRUE")</f>
        <v>0</v>
      </c>
      <c r="BG68" s="248" cm="1">
        <f t="array" aca="1" ref="BG68" ca="1">IF(NI_CFO_Recon_Liabilities[[#This Row],[Account]]&lt;&gt;"",_xlfn._xlws.FILTER(FSBuilder[Amount],(FSBuilder[Account or Explanation]=NI_CFO_Recon_Liabilities[[#This Row],[Account]])*(FSBuilder[Statement]="Cash Flow Statement"),0),0)</f>
        <v>0</v>
      </c>
      <c r="BH68" s="445">
        <f>IF(ABS(NI_CFO_Recon_Liabilities[[#This Row],[AmtJournal]])&gt;0,1,0)</f>
        <v>0</v>
      </c>
      <c r="BI68" s="445">
        <f>IF(ABS(NI_CFO_Recon_Liabilities[[#This Row],[AmtAnswer]])&gt;0,1,0)</f>
        <v>0</v>
      </c>
      <c r="BJ68" s="445">
        <f ca="1">IF(ABS(NI_CFO_Recon_Liabilities[[#This Row],[AmtFSBuilder]])&gt;0,1,0)</f>
        <v>0</v>
      </c>
      <c r="BK68" s="248"/>
      <c r="BL68" s="224" cm="1">
        <f t="array" ref="BL68">_xlfn.IFS(AND(ENonCurrLiabs[[#This Row],[Used]]=1,ENonCurrLiabs[[#This Row],[Order]]=1),6,AND(ENonCurrLiabs[[#This Row],[Used]]=1,ENonCurrLiabs[[#This Row],[Order]]&gt;1),7,ENonCurrLiabs[[#This Row],[Used]]=0,8)</f>
        <v>8</v>
      </c>
      <c r="BM68" t="s">
        <v>231</v>
      </c>
      <c r="BN68" s="421">
        <f>IF(ISNUMBER(_xlfn.XLOOKUP(ENonCurrLiabs[[#This Row],[Account]],MD_Liability[Account Name],MD_Liability[Used])),_xlfn.XLOOKUP(ENonCurrLiabs[[#This Row],[Account]],MD_Liability[Account Name],MD_Liability[Used]),0)</f>
        <v>0</v>
      </c>
      <c r="BO68" s="421">
        <f>IF(ENonCurrLiabs[[#This Row],[Used]]=1,ENonCurrLiabs[[#This Row],[Used]]+SUM(BN61:BN67),0)</f>
        <v>0</v>
      </c>
      <c r="BP68" s="419">
        <f>_xlfn.IFNA((_xlfn.XLOOKUP(ENonCurrLiabs[[#This Row],[Account]],BegBalanceSheet_Liabilities[Account],BegBalanceSheet_Liabilities[Amount]))-SUMIF(Journal[Debit Account],ENonCurrLiabs[[#This Row],[Account]],Journal[Dr Amt])+SUMIF(Journal[Credit Account],ENonCurrLiabs[[#This Row],[Account]],Journal[Cr Amt]),0)</f>
        <v>0</v>
      </c>
      <c r="BQ68" s="419">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419" cm="1">
        <f t="array" aca="1" ref="BR68" ca="1">IF(ENonCurrLiabs[[#This Row],[Account]]&lt;&gt;"",_xlfn._xlws.FILTER(FSBuilder[Amount],(FSBuilder[Account or Explanation]=ENonCurrLiabs[[#This Row],[Account]])*(FSBuilder[Statement]="Ending Balance Sheet"),0),0)</f>
        <v>0</v>
      </c>
      <c r="BS68" s="445">
        <f>ENonCurrLiabs[[#This Row],[Used]]*(ENonCurrLiabs[[#This Row],[AmtJournal]]&lt;&gt;0)</f>
        <v>0</v>
      </c>
      <c r="BT68" s="445">
        <f>ENonCurrLiabs[[#This Row],[Used]]*(ENonCurrLiabs[[#This Row],[AmtAnswer]]&lt;&gt;0)</f>
        <v>0</v>
      </c>
      <c r="BU68" s="445">
        <f ca="1">ENonCurrLiabs[[#This Row],[Used]]*(ENonCurrLiabs[[#This Row],[AmtFSBuilder]]&lt;&gt;0)</f>
        <v>0</v>
      </c>
    </row>
    <row r="69" spans="2:73">
      <c r="B69" s="224" cm="1">
        <f t="array" ref="B69">_xlfn.IFS(AND(BNonCurrLiabs[[#This Row],[Used]]=1,BNonCurrLiabs[[#This Row],[Order]]=1),6,AND(BNonCurrLiabs[[#This Row],[Used]]=1,BNonCurrLiabs[[#This Row],[Order]]&gt;1),7,BNonCurrLiabs[[#This Row],[Used]]=0,8)</f>
        <v>8</v>
      </c>
      <c r="C69" t="s">
        <v>231</v>
      </c>
      <c r="D69" s="421">
        <f>IF(ISNUMBER(_xlfn.XLOOKUP(BNonCurrLiabs[[#This Row],[Account]],MD_Liability[Account Name],MD_Liability[Used])),_xlfn.XLOOKUP(BNonCurrLiabs[[#This Row],[Account]],MD_Liability[Account Name],MD_Liability[Used]),0)</f>
        <v>0</v>
      </c>
      <c r="E69" s="421">
        <f>IF(BNonCurrLiabs[[#This Row],[Used]]=1,BNonCurrLiabs[[#This Row],[Used]]+SUM(D62:D68),0)</f>
        <v>0</v>
      </c>
      <c r="F69" s="419">
        <f>_xlfn.IFNA(_xlfn.XLOOKUP(C69,BegBalanceSheet_Liabilities[Account],BegBalanceSheet_Liabilities[Amount]),0)</f>
        <v>0</v>
      </c>
      <c r="G69" s="348"/>
      <c r="L69" s="348"/>
      <c r="M69" s="348"/>
      <c r="N69" s="348"/>
      <c r="O69" s="348"/>
      <c r="P69" s="348"/>
      <c r="Q69" s="348"/>
      <c r="AS69"/>
      <c r="AT69"/>
      <c r="AU69"/>
      <c r="AV69"/>
      <c r="AW69"/>
      <c r="AX69"/>
      <c r="AY69"/>
      <c r="AZ69"/>
      <c r="BA69" s="224">
        <f>IF(NI_CFO_Recon_Liabilities[[#This Row],[Used]]=1,7,8)</f>
        <v>8</v>
      </c>
      <c r="BB69" t="s">
        <v>223</v>
      </c>
      <c r="BC69" s="421">
        <f>IF(ABS(NI_CFO_Recon_Liabilities[[#This Row],[AmtJournal]])&gt;0,1,0)</f>
        <v>0</v>
      </c>
      <c r="BD69" s="248">
        <f>NI_CFO_Recon_Liabilities[[#This Row],[Used]]+SUM(BC57:BC68)</f>
        <v>0</v>
      </c>
      <c r="BE69" s="248">
        <f>-SUMIFS(Journal[Dr Amt],Journal[Debit Account],BB69,Journal[ref3],"TRUE")+SUMIFS(Journal[Cr Amt],Journal[Credit Account],BB69,Journal[ref3],"TRUE")</f>
        <v>0</v>
      </c>
      <c r="BF69" s="248">
        <f>-SUMIFS(JournalAnswer[Dr Amt],JournalAnswer[Debit Account],BE69,JournalAnswer[ref3],"TRUE")+SUMIFS(JournalAnswer[Cr Amt],JournalAnswer[Credit Account],BE69,JournalAnswer[ref3],"TRUE")</f>
        <v>0</v>
      </c>
      <c r="BG69" s="248" cm="1">
        <f t="array" aca="1" ref="BG69" ca="1">IF(NI_CFO_Recon_Liabilities[[#This Row],[Account]]&lt;&gt;"",_xlfn._xlws.FILTER(FSBuilder[Amount],(FSBuilder[Account or Explanation]=NI_CFO_Recon_Liabilities[[#This Row],[Account]])*(FSBuilder[Statement]="Cash Flow Statement"),0),0)</f>
        <v>0</v>
      </c>
      <c r="BH69" s="445">
        <f>IF(ABS(NI_CFO_Recon_Liabilities[[#This Row],[AmtJournal]])&gt;0,1,0)</f>
        <v>0</v>
      </c>
      <c r="BI69" s="445">
        <f>IF(ABS(NI_CFO_Recon_Liabilities[[#This Row],[AmtAnswer]])&gt;0,1,0)</f>
        <v>0</v>
      </c>
      <c r="BJ69" s="445">
        <f ca="1">IF(ABS(NI_CFO_Recon_Liabilities[[#This Row],[AmtFSBuilder]])&gt;0,1,0)</f>
        <v>0</v>
      </c>
      <c r="BK69" s="248"/>
      <c r="BL69" s="224" cm="1">
        <f t="array" ref="BL69">_xlfn.IFS(AND(ENonCurrLiabs[[#This Row],[Used]]=1,ENonCurrLiabs[[#This Row],[Order]]=1),6,AND(ENonCurrLiabs[[#This Row],[Used]]=1,ENonCurrLiabs[[#This Row],[Order]]&gt;1),7,ENonCurrLiabs[[#This Row],[Used]]=0,8)</f>
        <v>8</v>
      </c>
      <c r="BM69" t="s">
        <v>895</v>
      </c>
      <c r="BN69" s="421">
        <f>IF(ISNUMBER(_xlfn.XLOOKUP(ENonCurrLiabs[[#This Row],[Account]],MD_Liability[Account Name],MD_Liability[Used])),_xlfn.XLOOKUP(ENonCurrLiabs[[#This Row],[Account]],MD_Liability[Account Name],MD_Liability[Used]),0)</f>
        <v>0</v>
      </c>
      <c r="BO69" s="421">
        <f>IF(ENonCurrLiabs[[#This Row],[Used]]=1,ENonCurrLiabs[[#This Row],[Used]]+SUM(BN61:BN68),0)</f>
        <v>0</v>
      </c>
      <c r="BP69" s="419">
        <f>_xlfn.IFNA((_xlfn.XLOOKUP(ENonCurrLiabs[[#This Row],[Account]],BegBalanceSheet_Liabilities[Account],BegBalanceSheet_Liabilities[Amount]))-SUMIF(Journal[Debit Account],ENonCurrLiabs[[#This Row],[Account]],Journal[Dr Amt])+SUMIF(Journal[Credit Account],ENonCurrLiabs[[#This Row],[Account]],Journal[Cr Amt]),0)</f>
        <v>0</v>
      </c>
      <c r="BQ69" s="419">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419" cm="1">
        <f t="array" aca="1" ref="BR69" ca="1">IF(ENonCurrLiabs[[#This Row],[Account]]&lt;&gt;"",_xlfn._xlws.FILTER(FSBuilder[Amount],(FSBuilder[Account or Explanation]=ENonCurrLiabs[[#This Row],[Account]])*(FSBuilder[Statement]="Ending Balance Sheet"),0),0)</f>
        <v>0</v>
      </c>
      <c r="BS69" s="445">
        <f>ENonCurrLiabs[[#This Row],[Used]]*(ENonCurrLiabs[[#This Row],[AmtJournal]]&lt;&gt;0)</f>
        <v>0</v>
      </c>
      <c r="BT69" s="445">
        <f>ENonCurrLiabs[[#This Row],[Used]]*(ENonCurrLiabs[[#This Row],[AmtAnswer]]&lt;&gt;0)</f>
        <v>0</v>
      </c>
      <c r="BU69" s="445">
        <f ca="1">ENonCurrLiabs[[#This Row],[Used]]*(ENonCurrLiabs[[#This Row],[AmtFSBuilder]]&lt;&gt;0)</f>
        <v>0</v>
      </c>
    </row>
    <row r="70" spans="2:73">
      <c r="B70" s="224" cm="1">
        <f t="array" ref="B70">_xlfn.IFS(AND(BNonCurrLiabs[[#This Row],[Used]]=1,BNonCurrLiabs[[#This Row],[Order]]=1),6,AND(BNonCurrLiabs[[#This Row],[Used]]=1,BNonCurrLiabs[[#This Row],[Order]]&gt;1),7,BNonCurrLiabs[[#This Row],[Used]]=0,8)</f>
        <v>8</v>
      </c>
      <c r="C70" t="s">
        <v>236</v>
      </c>
      <c r="D70" s="421">
        <f>IF(ISNUMBER(_xlfn.XLOOKUP(BNonCurrLiabs[[#This Row],[Account]],MD_Liability[Account Name],MD_Liability[Used])),_xlfn.XLOOKUP(BNonCurrLiabs[[#This Row],[Account]],MD_Liability[Account Name],MD_Liability[Used]),0)</f>
        <v>0</v>
      </c>
      <c r="E70" s="421">
        <f>IF(BNonCurrLiabs[[#This Row],[Used]]=1,BNonCurrLiabs[[#This Row],[Used]]+SUM(D62:D69),0)</f>
        <v>0</v>
      </c>
      <c r="F70" s="419">
        <f>_xlfn.IFNA(_xlfn.XLOOKUP(C70,BegBalanceSheet_Liabilities[Account],BegBalanceSheet_Liabilities[Amount]),0)</f>
        <v>0</v>
      </c>
      <c r="G70" s="348"/>
      <c r="L70" s="348"/>
      <c r="M70" s="348"/>
      <c r="N70" s="348"/>
      <c r="O70" s="348"/>
      <c r="P70" s="348"/>
      <c r="Q70" s="348"/>
      <c r="AS70"/>
      <c r="AT70"/>
      <c r="AU70"/>
      <c r="AV70"/>
      <c r="AW70"/>
      <c r="AX70"/>
      <c r="AY70"/>
      <c r="AZ70"/>
      <c r="BA70" s="224">
        <f>IF(NI_CFO_Recon_Liabilities[[#This Row],[Used]]=1,7,8)</f>
        <v>8</v>
      </c>
      <c r="BC70" s="421">
        <f>IF(ABS(NI_CFO_Recon_Liabilities[[#This Row],[AmtJournal]])&gt;0,1,0)</f>
        <v>0</v>
      </c>
      <c r="BD70" s="248">
        <f>NI_CFO_Recon_Liabilities[[#This Row],[Used]]+SUM(BC57:BC69)</f>
        <v>0</v>
      </c>
      <c r="BE70" s="248">
        <f>-SUMIFS(Journal[Dr Amt],Journal[Debit Account],BB70,Journal[ref3],"TRUE")+SUMIFS(Journal[Cr Amt],Journal[Credit Account],BB70,Journal[ref3],"TRUE")</f>
        <v>0</v>
      </c>
      <c r="BF70" s="248">
        <f>-SUMIFS(JournalAnswer[Dr Amt],JournalAnswer[Debit Account],BE70,JournalAnswer[ref3],"TRUE")+SUMIFS(JournalAnswer[Cr Amt],JournalAnswer[Credit Account],BE70,JournalAnswer[ref3],"TRUE")</f>
        <v>0</v>
      </c>
      <c r="BG70" s="248" cm="1">
        <f t="array" ref="BG70">IF(NI_CFO_Recon_Liabilities[[#This Row],[Account]]&lt;&gt;"",_xlfn._xlws.FILTER(FSBuilder[Amount],(FSBuilder[Account or Explanation]=NI_CFO_Recon_Liabilities[[#This Row],[Account]])*(FSBuilder[Statement]="Cash Flow Statement"),0),0)</f>
        <v>0</v>
      </c>
      <c r="BH70" s="445">
        <f>IF(ABS(NI_CFO_Recon_Liabilities[[#This Row],[AmtJournal]])&gt;0,1,0)</f>
        <v>0</v>
      </c>
      <c r="BI70" s="445">
        <f>IF(ABS(NI_CFO_Recon_Liabilities[[#This Row],[AmtAnswer]])&gt;0,1,0)</f>
        <v>0</v>
      </c>
      <c r="BJ70" s="445">
        <f>IF(ABS(NI_CFO_Recon_Liabilities[[#This Row],[AmtFSBuilder]])&gt;0,1,0)</f>
        <v>0</v>
      </c>
      <c r="BK70" s="248"/>
      <c r="BL70" s="224" cm="1">
        <f t="array" ref="BL70">_xlfn.IFS(AND(ENonCurrLiabs[[#This Row],[Used]]=1,ENonCurrLiabs[[#This Row],[Order]]=1),6,AND(ENonCurrLiabs[[#This Row],[Used]]=1,ENonCurrLiabs[[#This Row],[Order]]&gt;1),7,ENonCurrLiabs[[#This Row],[Used]]=0,8)</f>
        <v>8</v>
      </c>
      <c r="BN70" s="421">
        <f>IF(ISNUMBER(_xlfn.XLOOKUP(ENonCurrLiabs[[#This Row],[Account]],MD_Liability[Account Name],MD_Liability[Used])),_xlfn.XLOOKUP(ENonCurrLiabs[[#This Row],[Account]],MD_Liability[Account Name],MD_Liability[Used]),0)</f>
        <v>0</v>
      </c>
      <c r="BO70" s="421">
        <f>IF(ENonCurrLiabs[[#This Row],[Used]]=1,ENonCurrLiabs[[#This Row],[Used]]+SUM(BN61:BN69),0)</f>
        <v>0</v>
      </c>
      <c r="BP70" s="419">
        <f>_xlfn.IFNA((_xlfn.XLOOKUP(ENonCurrLiabs[[#This Row],[Account]],BegBalanceSheet_Liabilities[Account],BegBalanceSheet_Liabilities[Amount]))-SUMIF(Journal[Debit Account],ENonCurrLiabs[[#This Row],[Account]],Journal[Dr Amt])+SUMIF(Journal[Credit Account],ENonCurrLiabs[[#This Row],[Account]],Journal[Cr Amt]),0)</f>
        <v>0</v>
      </c>
      <c r="BQ70" s="419">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419" cm="1">
        <f t="array" ref="BR70">IF(ENonCurrLiabs[[#This Row],[Account]]&lt;&gt;"",_xlfn._xlws.FILTER(FSBuilder[Amount],(FSBuilder[Account or Explanation]=ENonCurrLiabs[[#This Row],[Account]])*(FSBuilder[Statement]="Ending Balance Sheet"),0),0)</f>
        <v>0</v>
      </c>
      <c r="BS70" s="445">
        <f>ENonCurrLiabs[[#This Row],[Used]]*(ENonCurrLiabs[[#This Row],[AmtJournal]]&lt;&gt;0)</f>
        <v>0</v>
      </c>
      <c r="BT70" s="445">
        <f>ENonCurrLiabs[[#This Row],[Used]]*(ENonCurrLiabs[[#This Row],[AmtAnswer]]&lt;&gt;0)</f>
        <v>0</v>
      </c>
      <c r="BU70" s="445">
        <f>ENonCurrLiabs[[#This Row],[Used]]*(ENonCurrLiabs[[#This Row],[AmtFSBuilder]]&lt;&gt;0)</f>
        <v>0</v>
      </c>
    </row>
    <row r="71" spans="2:73">
      <c r="B71" s="224" cm="1">
        <f t="array" ref="B71">_xlfn.IFS(AND(BNonCurrLiabs[[#This Row],[Used]]=1,BNonCurrLiabs[[#This Row],[Order]]=1),6,AND(BNonCurrLiabs[[#This Row],[Used]]=1,BNonCurrLiabs[[#This Row],[Order]]&gt;1),7,BNonCurrLiabs[[#This Row],[Used]]=0,8)</f>
        <v>8</v>
      </c>
      <c r="D71" s="421">
        <f>IF(ISNUMBER(_xlfn.XLOOKUP(BNonCurrLiabs[[#This Row],[Account]],MD_Liability[Account Name],MD_Liability[Used])),_xlfn.XLOOKUP(BNonCurrLiabs[[#This Row],[Account]],MD_Liability[Account Name],MD_Liability[Used]),0)</f>
        <v>0</v>
      </c>
      <c r="E71" s="421">
        <f>IF(BNonCurrLiabs[[#This Row],[Used]]=1,BNonCurrLiabs[[#This Row],[Used]]+SUM(D62:D70),0)</f>
        <v>0</v>
      </c>
      <c r="F71" s="419">
        <f>_xlfn.IFNA(_xlfn.XLOOKUP(C71,BegBalanceSheet_Liabilities[Account],BegBalanceSheet_Liabilities[Amount]),0)</f>
        <v>0</v>
      </c>
      <c r="G71" s="348"/>
      <c r="L71" s="348"/>
      <c r="M71" s="348"/>
      <c r="N71" s="348"/>
      <c r="O71" s="348"/>
      <c r="P71" s="348"/>
      <c r="Q71" s="348"/>
      <c r="AS71"/>
      <c r="AT71"/>
      <c r="AU71"/>
      <c r="AV71"/>
      <c r="AW71"/>
      <c r="AX71"/>
      <c r="AY71"/>
      <c r="AZ71"/>
      <c r="BA71" s="224">
        <f>IF(NI_CFO_Recon_Liabilities[[#This Row],[Used]]=1,7,8)</f>
        <v>8</v>
      </c>
      <c r="BC71" s="421">
        <f>IF(ABS(NI_CFO_Recon_Liabilities[[#This Row],[AmtJournal]])&gt;0,1,0)</f>
        <v>0</v>
      </c>
      <c r="BD71" s="248">
        <f>NI_CFO_Recon_Liabilities[[#This Row],[Used]]+SUM(BC57:BC70)</f>
        <v>0</v>
      </c>
      <c r="BE71" s="248">
        <f>-SUMIFS(Journal[Dr Amt],Journal[Debit Account],BB71,Journal[ref3],"TRUE")+SUMIFS(Journal[Cr Amt],Journal[Credit Account],BB71,Journal[ref3],"TRUE")</f>
        <v>0</v>
      </c>
      <c r="BF71" s="248">
        <f>-SUMIFS(JournalAnswer[Dr Amt],JournalAnswer[Debit Account],BE71,JournalAnswer[ref3],"TRUE")+SUMIFS(JournalAnswer[Cr Amt],JournalAnswer[Credit Account],BE71,JournalAnswer[ref3],"TRUE")</f>
        <v>0</v>
      </c>
      <c r="BG71" s="248" cm="1">
        <f t="array" ref="BG71">IF(NI_CFO_Recon_Liabilities[[#This Row],[Account]]&lt;&gt;"",_xlfn._xlws.FILTER(FSBuilder[Amount],(FSBuilder[Account or Explanation]=NI_CFO_Recon_Liabilities[[#This Row],[Account]])*(FSBuilder[Statement]="Cash Flow Statement"),0),0)</f>
        <v>0</v>
      </c>
      <c r="BH71" s="445">
        <f>IF(ABS(NI_CFO_Recon_Liabilities[[#This Row],[AmtJournal]])&gt;0,1,0)</f>
        <v>0</v>
      </c>
      <c r="BI71" s="445">
        <f>IF(ABS(NI_CFO_Recon_Liabilities[[#This Row],[AmtAnswer]])&gt;0,1,0)</f>
        <v>0</v>
      </c>
      <c r="BJ71" s="445">
        <f>IF(ABS(NI_CFO_Recon_Liabilities[[#This Row],[AmtFSBuilder]])&gt;0,1,0)</f>
        <v>0</v>
      </c>
      <c r="BK71" s="248"/>
      <c r="BL71" s="224">
        <v>5</v>
      </c>
      <c r="BM71" t="s">
        <v>856</v>
      </c>
      <c r="BN71" s="421"/>
      <c r="BO71" s="421"/>
      <c r="BP71" s="418">
        <f>SUM(BP61:BP70)</f>
        <v>0</v>
      </c>
      <c r="BQ71" s="418">
        <f t="shared" ref="BQ71:BR71" si="13">SUM(BQ61:BQ70)</f>
        <v>100</v>
      </c>
      <c r="BR71" s="418">
        <f t="shared" ca="1" si="13"/>
        <v>0</v>
      </c>
      <c r="BS71" s="445"/>
      <c r="BT71" s="445"/>
      <c r="BU71" s="445"/>
    </row>
    <row r="72" spans="2:73">
      <c r="B72" s="224">
        <v>5</v>
      </c>
      <c r="C72" t="s">
        <v>856</v>
      </c>
      <c r="D72" s="421"/>
      <c r="E72" s="421"/>
      <c r="F72" s="418">
        <f>SUBTOTAL(9,F62:F71)</f>
        <v>0</v>
      </c>
      <c r="G72" s="348"/>
      <c r="AS72"/>
      <c r="AT72"/>
      <c r="AU72"/>
      <c r="AV72"/>
      <c r="AW72"/>
      <c r="AX72"/>
      <c r="AY72"/>
      <c r="AZ72"/>
      <c r="BA72" s="224">
        <f>IF(NI_CFO_Recon_Liabilities[[#This Row],[Used]]=1,7,8)</f>
        <v>8</v>
      </c>
      <c r="BC72" s="421">
        <f>IF(ABS(NI_CFO_Recon_Liabilities[[#This Row],[AmtJournal]])&gt;0,1,0)</f>
        <v>0</v>
      </c>
      <c r="BD72" s="248">
        <f>NI_CFO_Recon_Liabilities[[#This Row],[Used]]+SUM(BC57:BC71)</f>
        <v>0</v>
      </c>
      <c r="BE72" s="248">
        <f>-SUMIFS(Journal[Dr Amt],Journal[Debit Account],BB72,Journal[ref3],"TRUE")+SUMIFS(Journal[Cr Amt],Journal[Credit Account],BB72,Journal[ref3],"TRUE")</f>
        <v>0</v>
      </c>
      <c r="BF72" s="248">
        <f>-SUMIFS(JournalAnswer[Dr Amt],JournalAnswer[Debit Account],BE72,JournalAnswer[ref3],"TRUE")+SUMIFS(JournalAnswer[Cr Amt],JournalAnswer[Credit Account],BE72,JournalAnswer[ref3],"TRUE")</f>
        <v>0</v>
      </c>
      <c r="BG72" s="248" cm="1">
        <f t="array" ref="BG72">IF(NI_CFO_Recon_Liabilities[[#This Row],[Account]]&lt;&gt;"",_xlfn._xlws.FILTER(FSBuilder[Amount],(FSBuilder[Account or Explanation]=NI_CFO_Recon_Liabilities[[#This Row],[Account]])*(FSBuilder[Statement]="Cash Flow Statement"),0),0)</f>
        <v>0</v>
      </c>
      <c r="BH72" s="445">
        <f>IF(ABS(NI_CFO_Recon_Liabilities[[#This Row],[AmtJournal]])&gt;0,1,0)</f>
        <v>0</v>
      </c>
      <c r="BI72" s="445">
        <f>IF(ABS(NI_CFO_Recon_Liabilities[[#This Row],[AmtAnswer]])&gt;0,1,0)</f>
        <v>0</v>
      </c>
      <c r="BJ72" s="445">
        <f>IF(ABS(NI_CFO_Recon_Liabilities[[#This Row],[AmtFSBuilder]])&gt;0,1,0)</f>
        <v>0</v>
      </c>
      <c r="BK72" s="248"/>
      <c r="BL72" s="224">
        <v>3</v>
      </c>
      <c r="BM72" s="5" t="s">
        <v>858</v>
      </c>
      <c r="BN72" s="444"/>
      <c r="BO72" s="444"/>
      <c r="BP72" s="556">
        <f>BP57+BP71</f>
        <v>0</v>
      </c>
      <c r="BQ72" s="418">
        <f t="shared" ref="BQ72:BR72" si="14">BQ57+BQ71</f>
        <v>110</v>
      </c>
      <c r="BR72" s="418">
        <f t="shared" ca="1" si="14"/>
        <v>0</v>
      </c>
      <c r="BS72" s="557"/>
      <c r="BT72" s="557"/>
      <c r="BU72" s="557"/>
    </row>
    <row r="73" spans="2:73">
      <c r="B73" s="224">
        <v>3</v>
      </c>
      <c r="C73" s="5" t="s">
        <v>858</v>
      </c>
      <c r="D73" s="444"/>
      <c r="E73" s="444"/>
      <c r="F73" s="424">
        <f>F58+F72</f>
        <v>0</v>
      </c>
      <c r="G73" s="348"/>
      <c r="AS73"/>
      <c r="AT73"/>
      <c r="AU73"/>
      <c r="AV73"/>
      <c r="AW73"/>
      <c r="AX73"/>
      <c r="AY73"/>
      <c r="AZ73"/>
      <c r="BB73" s="213" t="s">
        <v>1010</v>
      </c>
      <c r="BC73" s="421"/>
      <c r="BD73" s="248"/>
      <c r="BE73" s="442">
        <f>SUBTOTAL(9,BE7:BE55)</f>
        <v>0</v>
      </c>
      <c r="BF73" s="442">
        <f t="shared" ref="BF73" ca="1" si="15">SUBTOTAL(9,BF7:BF55)</f>
        <v>12</v>
      </c>
      <c r="BG73" s="248"/>
      <c r="BH73" s="445"/>
      <c r="BI73" s="445"/>
      <c r="BJ73" s="445"/>
      <c r="BK73" s="248"/>
      <c r="BN73" s="348"/>
      <c r="BO73" s="348"/>
      <c r="BP73" s="348"/>
    </row>
    <row r="74" spans="2:73">
      <c r="D74" s="348"/>
      <c r="E74" s="348"/>
      <c r="F74" s="348"/>
      <c r="G74" s="348"/>
      <c r="AS74"/>
      <c r="AT74"/>
      <c r="AU74"/>
      <c r="AV74"/>
      <c r="AW74"/>
      <c r="AX74"/>
      <c r="AY74"/>
      <c r="AZ74"/>
      <c r="BD74" s="248"/>
      <c r="BE74" s="248"/>
      <c r="BF74" s="248"/>
      <c r="BG74" s="248"/>
      <c r="BH74" s="248"/>
      <c r="BI74" s="248"/>
      <c r="BJ74" s="248"/>
      <c r="BK74" s="248"/>
      <c r="BL74" s="5" t="s">
        <v>67</v>
      </c>
      <c r="BN74" s="348"/>
      <c r="BO74" s="348"/>
      <c r="BP74" s="348"/>
    </row>
    <row r="75" spans="2:73">
      <c r="B75" s="5" t="s">
        <v>67</v>
      </c>
      <c r="D75" s="348"/>
      <c r="E75" s="348"/>
      <c r="F75" s="348"/>
      <c r="G75" s="348"/>
      <c r="AS75"/>
      <c r="AT75"/>
      <c r="AU75"/>
      <c r="AV75"/>
      <c r="AW75"/>
      <c r="AX75"/>
      <c r="AY75"/>
      <c r="AZ75"/>
      <c r="BA75" s="5" t="s">
        <v>1011</v>
      </c>
      <c r="BD75" s="248"/>
      <c r="BE75" s="248"/>
      <c r="BF75" s="248"/>
      <c r="BG75" s="248"/>
      <c r="BH75" s="248"/>
      <c r="BI75" s="248"/>
      <c r="BJ75" s="248"/>
      <c r="BK75" s="248"/>
      <c r="BL75" s="430" t="s">
        <v>968</v>
      </c>
      <c r="BM75" s="430" t="s">
        <v>779</v>
      </c>
      <c r="BN75" s="430" t="s">
        <v>75</v>
      </c>
      <c r="BO75" s="528" t="s">
        <v>969</v>
      </c>
      <c r="BP75" s="430" t="s">
        <v>966</v>
      </c>
      <c r="BQ75" s="430" t="s">
        <v>967</v>
      </c>
      <c r="BR75" s="430" t="s">
        <v>970</v>
      </c>
      <c r="BS75" s="532" t="s">
        <v>971</v>
      </c>
      <c r="BT75" s="532" t="s">
        <v>972</v>
      </c>
      <c r="BU75" s="532" t="s">
        <v>973</v>
      </c>
    </row>
    <row r="76" spans="2:73">
      <c r="B76" s="426" t="s">
        <v>968</v>
      </c>
      <c r="C76" s="345" t="s">
        <v>779</v>
      </c>
      <c r="D76" s="427" t="s">
        <v>75</v>
      </c>
      <c r="E76" s="428" t="s">
        <v>969</v>
      </c>
      <c r="F76" s="427" t="s">
        <v>976</v>
      </c>
      <c r="G76" s="348"/>
      <c r="AS76"/>
      <c r="AT76"/>
      <c r="AU76"/>
      <c r="AV76"/>
      <c r="AW76"/>
      <c r="AX76"/>
      <c r="AY76"/>
      <c r="AZ76"/>
      <c r="BA76" s="430" t="s">
        <v>968</v>
      </c>
      <c r="BB76" s="430" t="s">
        <v>779</v>
      </c>
      <c r="BC76" s="430" t="s">
        <v>75</v>
      </c>
      <c r="BD76" s="528" t="s">
        <v>969</v>
      </c>
      <c r="BE76" s="430" t="s">
        <v>966</v>
      </c>
      <c r="BF76" s="430" t="s">
        <v>967</v>
      </c>
      <c r="BG76" s="430" t="s">
        <v>970</v>
      </c>
      <c r="BH76" s="532" t="s">
        <v>971</v>
      </c>
      <c r="BI76" s="532" t="s">
        <v>972</v>
      </c>
      <c r="BJ76" s="532" t="s">
        <v>973</v>
      </c>
      <c r="BK76" s="248"/>
      <c r="BL76" s="224" cm="1">
        <f t="array" ref="BL76">_xlfn.IFS(AND(EEquities[[#This Row],[Used]]=1,EEquities[[#This Row],[Order]]=1),6,AND(EEquities[[#This Row],[Used]]=1,EEquities[[#This Row],[Order]]&gt;1),7,EEquities[[#This Row],[Used]]=0,8)</f>
        <v>8</v>
      </c>
      <c r="BM76" t="s">
        <v>240</v>
      </c>
      <c r="BN76" s="421">
        <f>IF(ISNUMBER(_xlfn.XLOOKUP(EEquities[[#This Row],[Account]],MD_Equity[Account Name],MD_Equity[Used])),_xlfn.XLOOKUP(EEquities[[#This Row],[Account]],MD_Equity[Account Name],MD_Equity[Used]),0)</f>
        <v>0</v>
      </c>
      <c r="BO76" s="421">
        <f>EEquities[[#This Row],[Used]]</f>
        <v>0</v>
      </c>
      <c r="BP76" s="321">
        <f>_xlfn.IFNA((_xlfn.XLOOKUP(EEquities[[#This Row],[Account]],BegBalanceSheet_Equities[Account],BegBalanceSheet_Equities[Amount]))-SUMIF(Journal[Debit Account],EEquities[[#This Row],[Account]],Journal[Dr Amt])+SUMIF(Journal[Credit Account],EEquities[[#This Row],[Account]],Journal[Cr Amt]),0)</f>
        <v>0</v>
      </c>
      <c r="BQ76" s="321">
        <f>_xlfn.IFNA((_xlfn.XLOOKUP(EEquities[[#This Row],[Account]],BegBalanceSheet_Equities[Account],BegBalanceSheet_Equities[Amount]))-SUMIF(JournalAnswer[Debit Account],EEquities[[#This Row],[Account]],JournalAnswer[Dr Amt])+SUMIF(JournalAnswer[Credit Account],EEquities[[#This Row],[Account]],JournalAnswer[Cr Amt]),0)</f>
        <v>0</v>
      </c>
      <c r="BR76" s="321" cm="1">
        <f t="array" aca="1" ref="BR76" ca="1">IF(EEquities[[#This Row],[Account]]&lt;&gt;"",_xlfn._xlws.FILTER(FSBuilder[Amount],(FSBuilder[Account or Explanation]=EEquities[[#This Row],[Account]])*(FSBuilder[Statement]="Ending Balance Sheet"),0),0)</f>
        <v>0</v>
      </c>
      <c r="BS76" s="445">
        <f>EEquities[[#This Row],[Used]]*(EEquities[[#This Row],[AmtJournal]]&lt;&gt;0)</f>
        <v>0</v>
      </c>
      <c r="BT76" s="445">
        <f>EEquities[[#This Row],[Used]]*(EEquities[[#This Row],[AmtAnswer]]&lt;&gt;0)</f>
        <v>0</v>
      </c>
      <c r="BU76" s="445">
        <f ca="1">EEquities[[#This Row],[Used]]*(EEquities[[#This Row],[AmtFSBuilder]]&lt;&gt;0)</f>
        <v>0</v>
      </c>
    </row>
    <row r="77" spans="2:73">
      <c r="B77" s="224" cm="1">
        <f t="array" ref="B77">_xlfn.IFS(AND(BEquities[[#This Row],[Used]]=1,BEquities[[#This Row],[Order]]=1),6,AND(BEquities[[#This Row],[Used]]=1,BEquities[[#This Row],[Order]]&gt;1),7,BEquities[[#This Row],[Used]]=0,8)</f>
        <v>8</v>
      </c>
      <c r="C77" t="s">
        <v>240</v>
      </c>
      <c r="D77" s="421">
        <f>IF(ISNUMBER(_xlfn.XLOOKUP(BEquities[[#This Row],[Account]],MD_Equity[Account Name],MD_Equity[Used])),_xlfn.XLOOKUP(BEquities[[#This Row],[Account]],MD_Equity[Account Name],MD_Equity[Used]),0)</f>
        <v>0</v>
      </c>
      <c r="E77" s="421">
        <f>BEquities[[#This Row],[Used]]</f>
        <v>0</v>
      </c>
      <c r="F77" s="321">
        <f>_xlfn.IFNA(_xlfn.XLOOKUP(C77,BegBalanceSheet_Equities[Account],BegBalanceSheet_Equities[Amount]),0)</f>
        <v>0</v>
      </c>
      <c r="G77" s="348"/>
      <c r="AS77"/>
      <c r="AT77"/>
      <c r="AU77"/>
      <c r="AV77"/>
      <c r="AW77"/>
      <c r="AX77"/>
      <c r="AY77"/>
      <c r="AZ77"/>
      <c r="BA77" s="224">
        <f>IF(ReqdDisclosures124[[#This Row],[Used]]=1,7,8)</f>
        <v>8</v>
      </c>
      <c r="BB77" t="s">
        <v>1012</v>
      </c>
      <c r="BC77" s="445">
        <f>IF(ABS(ReqdDisclosures124[[#This Row],[AmtJournal]])&gt;0,1,0)</f>
        <v>0</v>
      </c>
      <c r="BD77" s="248">
        <f>ReqdDisclosures124[[#This Row],[Used]]</f>
        <v>0</v>
      </c>
      <c r="BE77" s="401">
        <f>SUMIFS(Journal[Cr Amt],Journal[ref1],"PdTx",Journal[Credit Account],"Cash")</f>
        <v>0</v>
      </c>
      <c r="BF77" s="248">
        <f ca="1">SUMIFS(JournalAnswer[Cr Amt],JournalAnswer[ref1],"PdTx",JournalAnswer[Credit Account],"Cash")</f>
        <v>0</v>
      </c>
      <c r="BG77" s="248" cm="1">
        <f t="array" aca="1" ref="BG77" ca="1">IF(ReqdDisclosures124[[#This Row],[Account]]&lt;&gt;"",_xlfn._xlws.FILTER(FSBuilder[Amount],FSBuilder[Account or Explanation]=ReqdDisclosures124[[#This Row],[Account]],0),0)</f>
        <v>0</v>
      </c>
      <c r="BH77" s="445">
        <f>IF(ABS(ReqdDisclosures124[[#This Row],[AmtJournal]])&gt;0,1,0)</f>
        <v>0</v>
      </c>
      <c r="BI77" s="445">
        <f ca="1">IF(ABS(ReqdDisclosures124[[#This Row],[AmtAnswer]])&gt;0,1,0)</f>
        <v>0</v>
      </c>
      <c r="BJ77" s="445">
        <f ca="1">IF(ABS(ReqdDisclosures124[[#This Row],[AmtFSBuilder]])&gt;0,1,0)</f>
        <v>0</v>
      </c>
      <c r="BK77" s="248"/>
      <c r="BL77" s="224" cm="1">
        <f t="array" ref="BL77">_xlfn.IFS(AND(EEquities[[#This Row],[Used]]=1,EEquities[[#This Row],[Order]]=1),6,AND(EEquities[[#This Row],[Used]]=1,EEquities[[#This Row],[Order]]&gt;1),7,EEquities[[#This Row],[Used]]=0,8)</f>
        <v>6</v>
      </c>
      <c r="BM77" t="s">
        <v>243</v>
      </c>
      <c r="BN77" s="421">
        <f>IF(ISNUMBER(_xlfn.XLOOKUP(EEquities[[#This Row],[Account]],MD_Equity[Account Name],MD_Equity[Used])),_xlfn.XLOOKUP(EEquities[[#This Row],[Account]],MD_Equity[Account Name],MD_Equity[Used]),0)</f>
        <v>1</v>
      </c>
      <c r="BO77" s="421">
        <f>EEquities[[#This Row],[Used]]+BN76</f>
        <v>1</v>
      </c>
      <c r="BP77" s="37">
        <f>_xlfn.IFNA((_xlfn.XLOOKUP(EEquities[[#This Row],[Account]],BegBalanceSheet_Equities[Account],BegBalanceSheet_Equities[Amount]))-SUMIF(Journal[Debit Account],EEquities[[#This Row],[Account]],Journal[Dr Amt])+SUMIF(Journal[Credit Account],EEquities[[#This Row],[Account]],Journal[Cr Amt]),0)</f>
        <v>0</v>
      </c>
      <c r="BQ77" s="37">
        <f>_xlfn.IFNA((_xlfn.XLOOKUP(EEquities[[#This Row],[Account]],BegBalanceSheet_Equities[Account],BegBalanceSheet_Equities[Amount]))-SUMIF(JournalAnswer[Debit Account],EEquities[[#This Row],[Account]],JournalAnswer[Dr Amt])+SUMIF(JournalAnswer[Credit Account],EEquities[[#This Row],[Account]],JournalAnswer[Cr Amt]),0)</f>
        <v>100</v>
      </c>
      <c r="BR77" s="37" cm="1">
        <f t="array" aca="1" ref="BR77" ca="1">IF(EEquities[[#This Row],[Account]]&lt;&gt;"",_xlfn._xlws.FILTER(FSBuilder[Amount],(FSBuilder[Account or Explanation]=EEquities[[#This Row],[Account]])*(FSBuilder[Statement]="Ending Balance Sheet"),0),0)</f>
        <v>0</v>
      </c>
      <c r="BS77" s="445">
        <f>EEquities[[#This Row],[Used]]*(EEquities[[#This Row],[AmtJournal]]&lt;&gt;0)</f>
        <v>0</v>
      </c>
      <c r="BT77" s="445">
        <f>EEquities[[#This Row],[Used]]*(EEquities[[#This Row],[AmtAnswer]]&lt;&gt;0)</f>
        <v>1</v>
      </c>
      <c r="BU77" s="445">
        <f ca="1">EEquities[[#This Row],[Used]]*(EEquities[[#This Row],[AmtFSBuilder]]&lt;&gt;0)</f>
        <v>0</v>
      </c>
    </row>
    <row r="78" spans="2:73">
      <c r="B78" s="224" cm="1">
        <f t="array" ref="B78">_xlfn.IFS(AND(BEquities[[#This Row],[Used]]=1,BEquities[[#This Row],[Order]]=1),6,AND(BEquities[[#This Row],[Used]]=1,BEquities[[#This Row],[Order]]&gt;1),7,BEquities[[#This Row],[Used]]=0,8)</f>
        <v>6</v>
      </c>
      <c r="C78" t="s">
        <v>243</v>
      </c>
      <c r="D78" s="421">
        <f>IF(ISNUMBER(_xlfn.XLOOKUP(BEquities[[#This Row],[Account]],MD_Equity[Account Name],MD_Equity[Used])),_xlfn.XLOOKUP(BEquities[[#This Row],[Account]],MD_Equity[Account Name],MD_Equity[Used]),0)</f>
        <v>1</v>
      </c>
      <c r="E78" s="421">
        <f>BEquities[[#This Row],[Used]]+D77</f>
        <v>1</v>
      </c>
      <c r="F78" s="37">
        <f>_xlfn.IFNA(_xlfn.XLOOKUP(C78,BegBalanceSheet_Equities[Account],BegBalanceSheet_Equities[Amount]),0)</f>
        <v>0</v>
      </c>
      <c r="G78" s="348"/>
      <c r="AS78"/>
      <c r="AT78"/>
      <c r="AU78"/>
      <c r="AV78"/>
      <c r="AW78"/>
      <c r="AX78"/>
      <c r="AY78"/>
      <c r="AZ78"/>
      <c r="BA78" s="224">
        <f>IF(ReqdDisclosures124[[#This Row],[Used]]=1,7,8)</f>
        <v>8</v>
      </c>
      <c r="BB78" t="s">
        <v>1013</v>
      </c>
      <c r="BC78" s="445">
        <f>IF(ABS(ReqdDisclosures124[[#This Row],[AmtJournal]])&gt;0,1,0)</f>
        <v>0</v>
      </c>
      <c r="BD78" s="248">
        <f>ReqdDisclosures124[[#This Row],[Used]]+BC77</f>
        <v>0</v>
      </c>
      <c r="BE78" s="401">
        <f>SUMIFS(Journal[Cr Amt],Journal[ref1],"PdInt",Journal[Credit Account],"Cash")</f>
        <v>0</v>
      </c>
      <c r="BF78" s="248">
        <f ca="1">SUMIFS(JournalAnswer[Cr Amt],JournalAnswer[ref1],"PdInt",JournalAnswer[Credit Account],"Cash")</f>
        <v>0</v>
      </c>
      <c r="BG78" s="248" cm="1">
        <f t="array" aca="1" ref="BG78" ca="1">IF(ReqdDisclosures124[[#This Row],[Account]]&lt;&gt;"",_xlfn._xlws.FILTER(FSBuilder[Amount],FSBuilder[Account or Explanation]=ReqdDisclosures124[[#This Row],[Account]],0),0)</f>
        <v>0</v>
      </c>
      <c r="BH78" s="445">
        <f>IF(ABS(ReqdDisclosures124[[#This Row],[AmtJournal]])&gt;0,1,0)</f>
        <v>0</v>
      </c>
      <c r="BI78" s="445">
        <f ca="1">IF(ABS(ReqdDisclosures124[[#This Row],[AmtAnswer]])&gt;0,1,0)</f>
        <v>0</v>
      </c>
      <c r="BJ78" s="445">
        <f ca="1">IF(ABS(ReqdDisclosures124[[#This Row],[AmtFSBuilder]])&gt;0,1,0)</f>
        <v>0</v>
      </c>
      <c r="BK78" s="248"/>
      <c r="BL78" s="224" cm="1">
        <f t="array" ref="BL78">_xlfn.IFS(AND(EEquities[[#This Row],[Used]]=1,EEquities[[#This Row],[Order]]=1),6,AND(EEquities[[#This Row],[Used]]=1,EEquities[[#This Row],[Order]]&gt;1),7,EEquities[[#This Row],[Used]]=0,8)</f>
        <v>8</v>
      </c>
      <c r="BM78" t="s">
        <v>246</v>
      </c>
      <c r="BN78" s="421">
        <f>IF(ISNUMBER(_xlfn.XLOOKUP(EEquities[[#This Row],[Account]],MD_Equity[Account Name],MD_Equity[Used])),_xlfn.XLOOKUP(EEquities[[#This Row],[Account]],MD_Equity[Account Name],MD_Equity[Used]),0)</f>
        <v>0</v>
      </c>
      <c r="BO78" s="421">
        <f>IF(EEquities[[#This Row],[Used]]=1,EEquities[[#This Row],[Used]]+SUM(BN76:BN77),0)</f>
        <v>0</v>
      </c>
      <c r="BP78" s="37">
        <f>_xlfn.IFNA((_xlfn.XLOOKUP(EEquities[[#This Row],[Account]],BegBalanceSheet_Equities[Account],BegBalanceSheet_Equities[Amount]))-SUMIF(Journal[Debit Account],EEquities[[#This Row],[Account]],Journal[Dr Amt])+SUMIF(Journal[Credit Account],EEquities[[#This Row],[Account]],Journal[Cr Amt]),0)</f>
        <v>0</v>
      </c>
      <c r="BQ78" s="37">
        <f>_xlfn.IFNA((_xlfn.XLOOKUP(EEquities[[#This Row],[Account]],BegBalanceSheet_Equities[Account],BegBalanceSheet_Equities[Amount]))-SUMIF(JournalAnswer[Debit Account],EEquities[[#This Row],[Account]],JournalAnswer[Dr Amt])+SUMIF(JournalAnswer[Credit Account],EEquities[[#This Row],[Account]],JournalAnswer[Cr Amt]),0)</f>
        <v>0</v>
      </c>
      <c r="BR78" s="37" cm="1">
        <f t="array" aca="1" ref="BR78" ca="1">IF(EEquities[[#This Row],[Account]]&lt;&gt;"",_xlfn._xlws.FILTER(FSBuilder[Amount],(FSBuilder[Account or Explanation]=EEquities[[#This Row],[Account]])*(FSBuilder[Statement]="Ending Balance Sheet"),0),0)</f>
        <v>0</v>
      </c>
      <c r="BS78" s="445">
        <f>EEquities[[#This Row],[Used]]*(EEquities[[#This Row],[AmtJournal]]&lt;&gt;0)</f>
        <v>0</v>
      </c>
      <c r="BT78" s="445">
        <f>EEquities[[#This Row],[Used]]*(EEquities[[#This Row],[AmtAnswer]]&lt;&gt;0)</f>
        <v>0</v>
      </c>
      <c r="BU78" s="445">
        <f ca="1">EEquities[[#This Row],[Used]]*(EEquities[[#This Row],[AmtFSBuilder]]&lt;&gt;0)</f>
        <v>0</v>
      </c>
    </row>
    <row r="79" spans="2:73">
      <c r="B79" s="224" cm="1">
        <f t="array" ref="B79">_xlfn.IFS(AND(BEquities[[#This Row],[Used]]=1,BEquities[[#This Row],[Order]]=1),6,AND(BEquities[[#This Row],[Used]]=1,BEquities[[#This Row],[Order]]&gt;1),7,BEquities[[#This Row],[Used]]=0,8)</f>
        <v>8</v>
      </c>
      <c r="C79" t="s">
        <v>246</v>
      </c>
      <c r="D79" s="421">
        <f>IF(ISNUMBER(_xlfn.XLOOKUP(BEquities[[#This Row],[Account]],MD_Equity[Account Name],MD_Equity[Used])),_xlfn.XLOOKUP(BEquities[[#This Row],[Account]],MD_Equity[Account Name],MD_Equity[Used]),0)</f>
        <v>0</v>
      </c>
      <c r="E79" s="421">
        <f>IF(BEquities[[#This Row],[Used]]=1,BEquities[[#This Row],[Used]]+SUM(D77:D78),0)</f>
        <v>0</v>
      </c>
      <c r="F79" s="37">
        <f>_xlfn.IFNA(_xlfn.XLOOKUP(C79,BegBalanceSheet_Equities[Account],BegBalanceSheet_Equities[Amount]),0)</f>
        <v>0</v>
      </c>
      <c r="G79" s="348"/>
      <c r="AD79" s="520"/>
      <c r="AE79" s="521"/>
      <c r="AF79" s="521"/>
      <c r="AG79" s="521"/>
      <c r="AH79" s="521"/>
      <c r="AI79" s="521"/>
      <c r="AJ79" s="521"/>
      <c r="AK79" s="521"/>
      <c r="AL79" s="521"/>
      <c r="AM79" s="521"/>
      <c r="AN79" s="521"/>
      <c r="AS79"/>
      <c r="AT79"/>
      <c r="AU79"/>
      <c r="AV79"/>
      <c r="AW79"/>
      <c r="AX79"/>
      <c r="AY79"/>
      <c r="AZ79"/>
      <c r="BC79" s="248"/>
      <c r="BD79" s="248"/>
      <c r="BE79" s="248"/>
      <c r="BF79" s="248"/>
      <c r="BG79" s="248"/>
      <c r="BH79" s="248"/>
      <c r="BI79" s="248"/>
      <c r="BJ79" s="248"/>
      <c r="BK79" s="248"/>
      <c r="BL79" s="224" cm="1">
        <f t="array" ref="BL79">_xlfn.IFS(AND(EEquities[[#This Row],[Used]]=1,EEquities[[#This Row],[Order]]=1),6,AND(EEquities[[#This Row],[Used]]=1,EEquities[[#This Row],[Order]]&gt;1),7,EEquities[[#This Row],[Used]]=0,8)</f>
        <v>8</v>
      </c>
      <c r="BM79" t="s">
        <v>249</v>
      </c>
      <c r="BN79" s="421">
        <f>IF(ISNUMBER(_xlfn.XLOOKUP(EEquities[[#This Row],[Account]],MD_Equity[Account Name],MD_Equity[Used])),_xlfn.XLOOKUP(EEquities[[#This Row],[Account]],MD_Equity[Account Name],MD_Equity[Used]),0)</f>
        <v>0</v>
      </c>
      <c r="BO79" s="421">
        <f>IF(EEquities[[#This Row],[Used]]=1,EEquities[[#This Row],[Used]]+SUM(BN76:BN78),0)</f>
        <v>0</v>
      </c>
      <c r="BP79" s="37">
        <f>_xlfn.IFNA((_xlfn.XLOOKUP(EEquities[[#This Row],[Account]],BegBalanceSheet_Equities[Account],BegBalanceSheet_Equities[Amount]))-SUMIF(Journal[Debit Account],EEquities[[#This Row],[Account]],Journal[Dr Amt])+SUMIF(Journal[Credit Account],EEquities[[#This Row],[Account]],Journal[Cr Amt]),0)</f>
        <v>0</v>
      </c>
      <c r="BQ79" s="37">
        <f>_xlfn.IFNA((_xlfn.XLOOKUP(EEquities[[#This Row],[Account]],BegBalanceSheet_Equities[Account],BegBalanceSheet_Equities[Amount]))-SUMIF(JournalAnswer[Debit Account],EEquities[[#This Row],[Account]],JournalAnswer[Dr Amt])+SUMIF(JournalAnswer[Credit Account],EEquities[[#This Row],[Account]],JournalAnswer[Cr Amt]),0)</f>
        <v>0</v>
      </c>
      <c r="BR79" s="37" cm="1">
        <f t="array" aca="1" ref="BR79" ca="1">IF(EEquities[[#This Row],[Account]]&lt;&gt;"",_xlfn._xlws.FILTER(FSBuilder[Amount],(FSBuilder[Account or Explanation]=EEquities[[#This Row],[Account]])*(FSBuilder[Statement]="Ending Balance Sheet"),0),0)</f>
        <v>0</v>
      </c>
      <c r="BS79" s="445">
        <f>EEquities[[#This Row],[Used]]*(EEquities[[#This Row],[AmtJournal]]&lt;&gt;0)</f>
        <v>0</v>
      </c>
      <c r="BT79" s="445">
        <f>EEquities[[#This Row],[Used]]*(EEquities[[#This Row],[AmtAnswer]]&lt;&gt;0)</f>
        <v>0</v>
      </c>
      <c r="BU79" s="445">
        <f ca="1">EEquities[[#This Row],[Used]]*(EEquities[[#This Row],[AmtFSBuilder]]&lt;&gt;0)</f>
        <v>0</v>
      </c>
    </row>
    <row r="80" spans="2:73">
      <c r="B80" s="224" cm="1">
        <f t="array" ref="B80">_xlfn.IFS(AND(BEquities[[#This Row],[Used]]=1,BEquities[[#This Row],[Order]]=1),6,AND(BEquities[[#This Row],[Used]]=1,BEquities[[#This Row],[Order]]&gt;1),7,BEquities[[#This Row],[Used]]=0,8)</f>
        <v>8</v>
      </c>
      <c r="C80" t="s">
        <v>249</v>
      </c>
      <c r="D80" s="421">
        <f>IF(ISNUMBER(_xlfn.XLOOKUP(BEquities[[#This Row],[Account]],MD_Equity[Account Name],MD_Equity[Used])),_xlfn.XLOOKUP(BEquities[[#This Row],[Account]],MD_Equity[Account Name],MD_Equity[Used]),0)</f>
        <v>0</v>
      </c>
      <c r="E80" s="421">
        <f>IF(BEquities[[#This Row],[Used]]=1,BEquities[[#This Row],[Used]]+SUM(D77:D79),0)</f>
        <v>0</v>
      </c>
      <c r="F80" s="37">
        <f>_xlfn.IFNA(_xlfn.XLOOKUP(C80,BegBalanceSheet_Equities[Account],BegBalanceSheet_Equities[Amount]),0)</f>
        <v>0</v>
      </c>
      <c r="G80" s="348"/>
      <c r="AS80"/>
      <c r="AT80"/>
      <c r="AU80"/>
      <c r="AV80"/>
      <c r="AW80"/>
      <c r="AX80"/>
      <c r="AY80"/>
      <c r="AZ80"/>
      <c r="BA80" s="423" t="s">
        <v>896</v>
      </c>
      <c r="BC80" s="248"/>
      <c r="BD80" s="248"/>
      <c r="BE80" s="248"/>
      <c r="BF80" s="248"/>
      <c r="BG80" s="248"/>
      <c r="BH80" s="248"/>
      <c r="BI80" s="248"/>
      <c r="BJ80" s="248"/>
      <c r="BK80" s="248"/>
      <c r="BL80" s="224" cm="1">
        <f t="array" ref="BL80">_xlfn.IFS(AND(EEquities[[#This Row],[Used]]=1,EEquities[[#This Row],[Order]]=1),6,AND(EEquities[[#This Row],[Used]]=1,EEquities[[#This Row],[Order]]&gt;1),7,EEquities[[#This Row],[Used]]=0,8)</f>
        <v>7</v>
      </c>
      <c r="BM80" t="s">
        <v>252</v>
      </c>
      <c r="BN80" s="421">
        <f>IF(ISNUMBER(_xlfn.XLOOKUP(EEquities[[#This Row],[Account]],MD_Equity[Account Name],MD_Equity[Used])),_xlfn.XLOOKUP(EEquities[[#This Row],[Account]],MD_Equity[Account Name],MD_Equity[Used]),0)</f>
        <v>1</v>
      </c>
      <c r="BO80" s="421">
        <f>IF(EEquities[[#This Row],[Used]]=1,EEquities[[#This Row],[Used]]+SUM(BN76:BN79),0)</f>
        <v>2</v>
      </c>
      <c r="BP80" s="37">
        <f>_xlfn.IFNA((_xlfn.XLOOKUP(EEquities[[#This Row],[Account]],BegBalanceSheet_Equities[Account],BegBalanceSheet_Equities[Amount]))-SUMIF(Journal[Debit Account],EEquities[[#This Row],[Account]],Journal[Dr Amt])+SUMIF(Journal[Credit Account],EEquities[[#This Row],[Account]],Journal[Cr Amt]),0)</f>
        <v>0</v>
      </c>
      <c r="BQ80" s="37">
        <f>_xlfn.IFNA((_xlfn.XLOOKUP(EEquities[[#This Row],[Account]],BegBalanceSheet_Equities[Account],BegBalanceSheet_Equities[Amount]))-SUMIF(JournalAnswer[Debit Account],EEquities[[#This Row],[Account]],JournalAnswer[Dr Amt])+SUMIF(JournalAnswer[Credit Account],EEquities[[#This Row],[Account]],JournalAnswer[Cr Amt]),0)</f>
        <v>-2</v>
      </c>
      <c r="BR80" s="37" cm="1">
        <f t="array" aca="1" ref="BR80" ca="1">IF(EEquities[[#This Row],[Account]]&lt;&gt;"",_xlfn._xlws.FILTER(FSBuilder[Amount],(FSBuilder[Account or Explanation]=EEquities[[#This Row],[Account]])*(FSBuilder[Statement]="Ending Balance Sheet"),0),0)</f>
        <v>0</v>
      </c>
      <c r="BS80" s="445">
        <f>EEquities[[#This Row],[Used]]*(EEquities[[#This Row],[AmtJournal]]&lt;&gt;0)</f>
        <v>0</v>
      </c>
      <c r="BT80" s="445">
        <f>EEquities[[#This Row],[Used]]*(EEquities[[#This Row],[AmtAnswer]]&lt;&gt;0)</f>
        <v>1</v>
      </c>
      <c r="BU80" s="445">
        <f ca="1">EEquities[[#This Row],[Used]]*(EEquities[[#This Row],[AmtFSBuilder]]&lt;&gt;0)</f>
        <v>0</v>
      </c>
    </row>
    <row r="81" spans="2:73">
      <c r="B81" s="224" cm="1">
        <f t="array" ref="B81">_xlfn.IFS(AND(BEquities[[#This Row],[Used]]=1,BEquities[[#This Row],[Order]]=1),6,AND(BEquities[[#This Row],[Used]]=1,BEquities[[#This Row],[Order]]&gt;1),7,BEquities[[#This Row],[Used]]=0,8)</f>
        <v>7</v>
      </c>
      <c r="C81" t="s">
        <v>252</v>
      </c>
      <c r="D81" s="421">
        <f>IF(ISNUMBER(_xlfn.XLOOKUP(BEquities[[#This Row],[Account]],MD_Equity[Account Name],MD_Equity[Used])),_xlfn.XLOOKUP(BEquities[[#This Row],[Account]],MD_Equity[Account Name],MD_Equity[Used]),0)</f>
        <v>1</v>
      </c>
      <c r="E81" s="421">
        <f>IF(BEquities[[#This Row],[Used]]=1,BEquities[[#This Row],[Used]]+SUM(D77:D80),0)</f>
        <v>2</v>
      </c>
      <c r="F81" s="37">
        <f>_xlfn.IFNA(_xlfn.XLOOKUP(C81,BegBalanceSheet_Equities[Account],BegBalanceSheet_Equities[Amount]),0)</f>
        <v>0</v>
      </c>
      <c r="G81" s="348"/>
      <c r="AS81"/>
      <c r="AT81"/>
      <c r="AU81"/>
      <c r="AV81"/>
      <c r="AW81"/>
      <c r="AX81"/>
      <c r="AY81"/>
      <c r="AZ81"/>
      <c r="BA81" s="430" t="s">
        <v>968</v>
      </c>
      <c r="BB81" s="430" t="s">
        <v>779</v>
      </c>
      <c r="BC81" s="430" t="s">
        <v>75</v>
      </c>
      <c r="BD81" s="528" t="s">
        <v>969</v>
      </c>
      <c r="BE81" s="430" t="s">
        <v>966</v>
      </c>
      <c r="BF81" s="430" t="s">
        <v>967</v>
      </c>
      <c r="BG81" s="430" t="s">
        <v>970</v>
      </c>
      <c r="BH81" s="532" t="s">
        <v>971</v>
      </c>
      <c r="BI81" s="532" t="s">
        <v>972</v>
      </c>
      <c r="BJ81" s="532" t="s">
        <v>973</v>
      </c>
      <c r="BK81" s="248"/>
      <c r="BL81" s="224" cm="1">
        <f t="array" ref="BL81">_xlfn.IFS(AND(EEquities[[#This Row],[Used]]=1,EEquities[[#This Row],[Order]]=1),6,AND(EEquities[[#This Row],[Used]]=1,EEquities[[#This Row],[Order]]&gt;1),7,EEquities[[#This Row],[Used]]=0,8)</f>
        <v>8</v>
      </c>
      <c r="BM81" t="s">
        <v>255</v>
      </c>
      <c r="BN81" s="421">
        <f>IF(ISNUMBER(_xlfn.XLOOKUP(EEquities[[#This Row],[Account]],MD_Equity[Account Name],MD_Equity[Used])),_xlfn.XLOOKUP(EEquities[[#This Row],[Account]],MD_Equity[Account Name],MD_Equity[Used]),0)</f>
        <v>0</v>
      </c>
      <c r="BO81" s="421">
        <f>IF(EEquities[[#This Row],[Used]]=1,EEquities[[#This Row],[Used]]+SUM(BN76:BN80),0)</f>
        <v>0</v>
      </c>
      <c r="BP81" s="37">
        <f>_xlfn.IFNA(-(_xlfn.XLOOKUP(EEquities[[#This Row],[Account]],BegBalanceSheet_Assets[Account],BegBalanceSheet_Assets[Amount]))+SUMIF(JournalAnswer[Debit Account],EEquities[[#This Row],[Account]],JournalAnswer[Dr Amt])-SUMIF(JournalAnswer[Credit Account],EEquities[[#This Row],[Account]],JournalAnswer[Cr Amt]),0)</f>
        <v>0</v>
      </c>
      <c r="BQ81" s="37">
        <f>_xlfn.IFNA(-(_xlfn.XLOOKUP(EEquities[[#This Row],[Account]],BegBalanceSheet_Equities[Account],BegBalanceSheet_Equities[Amount]))+SUMIF(JournalAnswer[Debit Account],EEquities[[#This Row],[Account]],JournalAnswer[Dr Amt])-SUMIF(JournalAnswer[Credit Account],EEquities[[#This Row],[Account]],JournalAnswer[Cr Amt]),0)</f>
        <v>0</v>
      </c>
      <c r="BR81" s="37" cm="1">
        <f t="array" aca="1" ref="BR81" ca="1">IF(EEquities[[#This Row],[Account]]&lt;&gt;"",_xlfn._xlws.FILTER(FSBuilder[Amount],(FSBuilder[Account or Explanation]=EEquities[[#This Row],[Account]])*(FSBuilder[Statement]="Ending Balance Sheet"),0),0)</f>
        <v>0</v>
      </c>
      <c r="BS81" s="445">
        <f>EEquities[[#This Row],[Used]]*(EEquities[[#This Row],[AmtJournal]]&lt;&gt;0)</f>
        <v>0</v>
      </c>
      <c r="BT81" s="445">
        <f>EEquities[[#This Row],[Used]]*(EEquities[[#This Row],[AmtAnswer]]&lt;&gt;0)</f>
        <v>0</v>
      </c>
      <c r="BU81" s="445">
        <f ca="1">EEquities[[#This Row],[Used]]*(EEquities[[#This Row],[AmtFSBuilder]]&lt;&gt;0)</f>
        <v>0</v>
      </c>
    </row>
    <row r="82" spans="2:73">
      <c r="B82" s="224" cm="1">
        <f t="array" ref="B82">_xlfn.IFS(AND(BEquities[[#This Row],[Used]]=1,BEquities[[#This Row],[Order]]=1),6,AND(BEquities[[#This Row],[Used]]=1,BEquities[[#This Row],[Order]]&gt;1),7,BEquities[[#This Row],[Used]]=0,8)</f>
        <v>8</v>
      </c>
      <c r="C82" t="s">
        <v>255</v>
      </c>
      <c r="D82" s="421">
        <f>IF(ISNUMBER(_xlfn.XLOOKUP(BEquities[[#This Row],[Account]],MD_Equity[Account Name],MD_Equity[Used])),_xlfn.XLOOKUP(BEquities[[#This Row],[Account]],MD_Equity[Account Name],MD_Equity[Used]),0)</f>
        <v>0</v>
      </c>
      <c r="E82" s="421">
        <f>IF(BEquities[[#This Row],[Used]]=1,BEquities[[#This Row],[Used]]+SUM(D77:D81),0)</f>
        <v>0</v>
      </c>
      <c r="F82" s="37">
        <f>_xlfn.IFNA(_xlfn.XLOOKUP(C82,BegBalanceSheet_Equities[Account],BegBalanceSheet_Equities[Amount]),0)</f>
        <v>0</v>
      </c>
      <c r="G82" s="348"/>
      <c r="AS82"/>
      <c r="AT82"/>
      <c r="AU82"/>
      <c r="AV82"/>
      <c r="AW82"/>
      <c r="AX82"/>
      <c r="AY82"/>
      <c r="AZ82"/>
      <c r="BA82" s="224">
        <f>IF(NI_CFO_Recon_Adjs[[#This Row],[Used]]=1,7,8)</f>
        <v>8</v>
      </c>
      <c r="BB82" s="3" t="s">
        <v>996</v>
      </c>
      <c r="BC82" s="444">
        <f>IF(ABS(NI_CFO_Recon_Adjs[[#This Row],[AmtJournal]])&gt;0,1,0)</f>
        <v>0</v>
      </c>
      <c r="BD82" s="248">
        <f>NI_CFO_Recon_Adjs[[#This Row],[Used]]</f>
        <v>0</v>
      </c>
      <c r="BE82" s="37">
        <f>SUMIFS(Journal[Cr Amt],Journal[Credit Account],"Accumulated Depreciation",Journal[ref1],"RecDeprExp")+SUMIFS(Journal[Cr Amt],Journal[Credit Account],"Accumulated Depreciation",Journal[ref1],"RecDeprAmortExp")</f>
        <v>0</v>
      </c>
      <c r="BF82" s="37">
        <f>SUMIFS(JournalAnswer[Cr Amt],JournalAnswer[Credit Account],"Accumulated Depreciation",JournalAnswer[ref1],"RecDeprExp")+SUMIFS(JournalAnswer[Cr Amt],JournalAnswer[Credit Account],"Accumulated Depreciation",JournalAnswer[ref1],"RecDeprAmortExp")</f>
        <v>0</v>
      </c>
      <c r="BG82" s="248" cm="1">
        <f t="array" aca="1" ref="BG82" ca="1">IF(NI_CFO_Recon_Adjs[[#This Row],[Account]]&lt;&gt;"",_xlfn._xlws.FILTER(FSBuilder[Amount],(FSBuilder[Account or Explanation]=NI_CFO_Recon_Adjs[[#This Row],[Account]])*(FSBuilder[Statement]="Cash Flow Statement"),0),0)</f>
        <v>0</v>
      </c>
      <c r="BH82" s="445">
        <f>IF(ABS(NI_CFO_Recon_Adjs[[#This Row],[AmtJournal]])&gt;0,1,0)</f>
        <v>0</v>
      </c>
      <c r="BI82" s="445">
        <f>IF(ABS(NI_CFO_Recon_Adjs[[#This Row],[AmtAnswer]])&gt;0,1,0)</f>
        <v>0</v>
      </c>
      <c r="BJ82" s="445">
        <f ca="1">IF(ABS(NI_CFO_Recon_Adjs[[#This Row],[AmtFSBuilder]])&gt;0,1,0)</f>
        <v>0</v>
      </c>
      <c r="BK82" s="248"/>
      <c r="BL82" s="224" cm="1">
        <f t="array" ref="BL82">_xlfn.IFS(AND(EEquities[[#This Row],[Used]]=1,EEquities[[#This Row],[Order]]=1),6,AND(EEquities[[#This Row],[Used]]=1,EEquities[[#This Row],[Order]]&gt;1),7,EEquities[[#This Row],[Used]]=0,8)</f>
        <v>8</v>
      </c>
      <c r="BM82" t="s">
        <v>258</v>
      </c>
      <c r="BN82" s="421">
        <f>IF(ISNUMBER(_xlfn.XLOOKUP(EEquities[[#This Row],[Account]],MD_Equity[Account Name],MD_Equity[Used])),_xlfn.XLOOKUP(EEquities[[#This Row],[Account]],MD_Equity[Account Name],MD_Equity[Used]),0)</f>
        <v>0</v>
      </c>
      <c r="BO82" s="421">
        <f>IF(EEquities[[#This Row],[Used]]=1,EEquities[[#This Row],[Used]]+SUM(BN76:BN81),0)</f>
        <v>0</v>
      </c>
      <c r="BP82" s="37">
        <f>_xlfn.IFNA((_xlfn.XLOOKUP(EEquities[[#This Row],[Account]],BegBalanceSheet_Equities[Account],BegBalanceSheet_Equities[Amount]))-SUMIF(Journal[Debit Account],EEquities[[#This Row],[Account]],Journal[Dr Amt])+SUMIF(Journal[Credit Account],EEquities[[#This Row],[Account]],Journal[Cr Amt]),0)</f>
        <v>0</v>
      </c>
      <c r="BQ82" s="37">
        <f>_xlfn.IFNA((_xlfn.XLOOKUP(EEquities[[#This Row],[Account]],BegBalanceSheet_Equities[Account],BegBalanceSheet_Equities[Amount]))-SUMIF(JournalAnswer[Debit Account],EEquities[[#This Row],[Account]],JournalAnswer[Dr Amt])+SUMIF(JournalAnswer[Credit Account],EEquities[[#This Row],[Account]],JournalAnswer[Cr Amt]),0)</f>
        <v>0</v>
      </c>
      <c r="BR82" s="37" cm="1">
        <f t="array" aca="1" ref="BR82" ca="1">IF(EEquities[[#This Row],[Account]]&lt;&gt;"",_xlfn._xlws.FILTER(FSBuilder[Amount],(FSBuilder[Account or Explanation]=EEquities[[#This Row],[Account]])*(FSBuilder[Statement]="Ending Balance Sheet"),0),0)</f>
        <v>0</v>
      </c>
      <c r="BS82" s="445">
        <f>EEquities[[#This Row],[Used]]*(EEquities[[#This Row],[AmtJournal]]&lt;&gt;0)</f>
        <v>0</v>
      </c>
      <c r="BT82" s="445">
        <f>EEquities[[#This Row],[Used]]*(EEquities[[#This Row],[AmtAnswer]]&lt;&gt;0)</f>
        <v>0</v>
      </c>
      <c r="BU82" s="445">
        <f ca="1">EEquities[[#This Row],[Used]]*(EEquities[[#This Row],[AmtFSBuilder]]&lt;&gt;0)</f>
        <v>0</v>
      </c>
    </row>
    <row r="83" spans="2:73">
      <c r="B83" s="224" cm="1">
        <f t="array" ref="B83">_xlfn.IFS(AND(BEquities[[#This Row],[Used]]=1,BEquities[[#This Row],[Order]]=1),6,AND(BEquities[[#This Row],[Used]]=1,BEquities[[#This Row],[Order]]&gt;1),7,BEquities[[#This Row],[Used]]=0,8)</f>
        <v>8</v>
      </c>
      <c r="C83" t="s">
        <v>258</v>
      </c>
      <c r="D83" s="421">
        <f>IF(ISNUMBER(_xlfn.XLOOKUP(BEquities[[#This Row],[Account]],MD_Equity[Account Name],MD_Equity[Used])),_xlfn.XLOOKUP(BEquities[[#This Row],[Account]],MD_Equity[Account Name],MD_Equity[Used]),0)</f>
        <v>0</v>
      </c>
      <c r="E83" s="421">
        <f>IF(BEquities[[#This Row],[Used]]=1,BEquities[[#This Row],[Used]]+SUM(D77:D82),0)</f>
        <v>0</v>
      </c>
      <c r="F83" s="37">
        <f>_xlfn.IFNA(_xlfn.XLOOKUP(C83,BegBalanceSheet_Equities[Account],BegBalanceSheet_Equities[Amount]),0)</f>
        <v>0</v>
      </c>
      <c r="AS83"/>
      <c r="AT83"/>
      <c r="AU83"/>
      <c r="AV83"/>
      <c r="AW83"/>
      <c r="AX83"/>
      <c r="AY83"/>
      <c r="AZ83"/>
      <c r="BA83" s="224">
        <f>IF(NI_CFO_Recon_Adjs[[#This Row],[Used]]=1,7,8)</f>
        <v>8</v>
      </c>
      <c r="BB83" s="3" t="s">
        <v>997</v>
      </c>
      <c r="BC83" s="444">
        <f>IF(ABS(NI_CFO_Recon_Adjs[[#This Row],[AmtJournal]])&gt;0,1,0)</f>
        <v>0</v>
      </c>
      <c r="BD83" s="444">
        <f>NI_CFO_Recon_Adjs[[#This Row],[Used]]+BC82</f>
        <v>0</v>
      </c>
      <c r="BE83" s="37">
        <f>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f>
        <v>0</v>
      </c>
      <c r="BF83" s="37">
        <f>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f>
        <v>0</v>
      </c>
      <c r="BG83" s="248" cm="1">
        <f t="array" aca="1" ref="BG83" ca="1">IF(NI_CFO_Recon_Adjs[[#This Row],[Account]]&lt;&gt;"",_xlfn._xlws.FILTER(FSBuilder[Amount],(FSBuilder[Account or Explanation]=NI_CFO_Recon_Adjs[[#This Row],[Account]])*(FSBuilder[Statement]="Cash Flow Statement"),0),0)</f>
        <v>0</v>
      </c>
      <c r="BH83" s="445">
        <f>IF(ABS(NI_CFO_Recon_Adjs[[#This Row],[AmtJournal]])&gt;0,1,0)</f>
        <v>0</v>
      </c>
      <c r="BI83" s="445">
        <f>IF(ABS(NI_CFO_Recon_Adjs[[#This Row],[AmtAnswer]])&gt;0,1,0)</f>
        <v>0</v>
      </c>
      <c r="BJ83" s="445">
        <f ca="1">IF(ABS(NI_CFO_Recon_Adjs[[#This Row],[AmtFSBuilder]])&gt;0,1,0)</f>
        <v>0</v>
      </c>
      <c r="BK83" s="248"/>
      <c r="BL83" s="224">
        <v>3</v>
      </c>
      <c r="BM83" s="5" t="s">
        <v>859</v>
      </c>
      <c r="BN83" s="444">
        <v>1</v>
      </c>
      <c r="BO83" s="421"/>
      <c r="BP83" s="537">
        <f>SUM(BP76:BP82)</f>
        <v>0</v>
      </c>
      <c r="BQ83" s="537">
        <f>SUM(BQ76:BQ82)</f>
        <v>98</v>
      </c>
      <c r="BR83" s="537">
        <f ca="1">SUM(BR76:BR82)</f>
        <v>0</v>
      </c>
      <c r="BS83" s="537"/>
      <c r="BT83" s="537"/>
      <c r="BU83" s="537"/>
    </row>
    <row r="84" spans="2:73">
      <c r="B84" s="224">
        <v>3</v>
      </c>
      <c r="C84" s="5" t="s">
        <v>859</v>
      </c>
      <c r="D84" s="444"/>
      <c r="E84" s="421"/>
      <c r="F84" s="537">
        <f>SUBTOTAL(9,F77:F83)</f>
        <v>0</v>
      </c>
      <c r="AS84"/>
      <c r="AT84"/>
      <c r="AU84"/>
      <c r="AV84"/>
      <c r="AW84"/>
      <c r="AX84"/>
      <c r="AY84"/>
      <c r="AZ84"/>
      <c r="BA84" s="224">
        <f>IF(NI_CFO_Recon_Adjs[[#This Row],[Used]]=1,7,8)</f>
        <v>8</v>
      </c>
      <c r="BB84" s="3" t="s">
        <v>999</v>
      </c>
      <c r="BC84" s="444">
        <f>IF(ABS(NI_CFO_Recon_Adjs[[#This Row],[AmtJournal]])&gt;0,1,0)</f>
        <v>0</v>
      </c>
      <c r="BD84" s="445">
        <f>NI_CFO_Recon_Adjs[[#This Row],[Used]]+SUM(BC82:BC83)</f>
        <v>0</v>
      </c>
      <c r="BE84" s="37">
        <f>SUMIFS(Journal[Cr Amt],Journal[Credit Account],"Common Stock",Journal[ref1],"SBC")+SUMIFS(Journal[Cr Amt],Journal[Credit Account],"Additional Paid-in Capital",Journal[ref1],"SBC")</f>
        <v>0</v>
      </c>
      <c r="BF84" s="37">
        <f ca="1">SUMIFS(JournalAnswer[Cr Amt],JournalAnswer[Credit Account],"Common Stock",JournalAnswer[ref1],"SBC")+SUMIFS(JournalAnswer[Cr Amt],JournalAnswer[Credit Account],"Additional Paid-in Capital",JournalAnswer[ref1],"SBC")</f>
        <v>0</v>
      </c>
      <c r="BG84" s="248" cm="1">
        <f t="array" aca="1" ref="BG84" ca="1">IF(NI_CFO_Recon_Adjs[[#This Row],[Account]]&lt;&gt;"",_xlfn._xlws.FILTER(FSBuilder[Amount],(FSBuilder[Account or Explanation]=NI_CFO_Recon_Adjs[[#This Row],[Account]])*(FSBuilder[Statement]="Cash Flow Statement"),0),0)</f>
        <v>0</v>
      </c>
      <c r="BH84" s="445">
        <f>IF(ABS(NI_CFO_Recon_Adjs[[#This Row],[AmtJournal]])&gt;0,1,0)</f>
        <v>0</v>
      </c>
      <c r="BI84" s="445">
        <f ca="1">IF(ABS(NI_CFO_Recon_Adjs[[#This Row],[AmtAnswer]])&gt;0,1,0)</f>
        <v>0</v>
      </c>
      <c r="BJ84" s="445">
        <f ca="1">IF(ABS(NI_CFO_Recon_Adjs[[#This Row],[AmtFSBuilder]])&gt;0,1,0)</f>
        <v>0</v>
      </c>
      <c r="BK84" s="401"/>
      <c r="BN84" s="444"/>
      <c r="BO84" s="444"/>
      <c r="BP84" s="558"/>
    </row>
    <row r="85" spans="2:73">
      <c r="B85" s="224">
        <v>3</v>
      </c>
      <c r="C85" s="5" t="s">
        <v>899</v>
      </c>
      <c r="D85" s="444"/>
      <c r="E85" s="444"/>
      <c r="F85" s="537">
        <f>F73+F84</f>
        <v>0</v>
      </c>
      <c r="AS85"/>
      <c r="AT85"/>
      <c r="AU85"/>
      <c r="AV85"/>
      <c r="AW85"/>
      <c r="AX85"/>
      <c r="AY85"/>
      <c r="AZ85"/>
      <c r="BA85" s="224">
        <f>IF(NI_CFO_Recon_Adjs[[#This Row],[Used]]=1,7,8)</f>
        <v>8</v>
      </c>
      <c r="BB85" s="3" t="s">
        <v>310</v>
      </c>
      <c r="BC85" s="444">
        <f>IF(ABS(NI_CFO_Recon_Adjs[[#This Row],[AmtJournal]])&gt;0,1,0)</f>
        <v>0</v>
      </c>
      <c r="BD85" s="445">
        <f>NI_CFO_Recon_Adjs[[#This Row],[Used]]+SUM(BC82:BC84)</f>
        <v>0</v>
      </c>
      <c r="BE85" s="37">
        <f>-SUMIF(Journal[Credit Account],BB11,Journal[Cr Amt])</f>
        <v>0</v>
      </c>
      <c r="BF85" s="37">
        <f>-SUMIF(JournalAnswer[Credit Account],BE11,JournalAnswer[Cr Amt])</f>
        <v>0</v>
      </c>
      <c r="BG85" s="248" cm="1">
        <f t="array" aca="1" ref="BG85" ca="1">IF(NI_CFO_Recon_Adjs[[#This Row],[Account]]&lt;&gt;"",_xlfn._xlws.FILTER(FSBuilder[Amount],(FSBuilder[Account or Explanation]=NI_CFO_Recon_Adjs[[#This Row],[Account]])*(FSBuilder[Statement]="Cash Flow Statement"),0),0)</f>
        <v>0</v>
      </c>
      <c r="BH85" s="445">
        <f>IF(ABS(NI_CFO_Recon_Adjs[[#This Row],[AmtJournal]])&gt;0,1,0)</f>
        <v>0</v>
      </c>
      <c r="BI85" s="445">
        <f>IF(ABS(NI_CFO_Recon_Adjs[[#This Row],[AmtAnswer]])&gt;0,1,0)</f>
        <v>0</v>
      </c>
      <c r="BJ85" s="445">
        <f ca="1">IF(ABS(NI_CFO_Recon_Adjs[[#This Row],[AmtFSBuilder]])&gt;0,1,0)</f>
        <v>0</v>
      </c>
      <c r="BL85" s="224">
        <v>3</v>
      </c>
      <c r="BM85" s="5" t="s">
        <v>899</v>
      </c>
      <c r="BN85" s="444">
        <v>1</v>
      </c>
      <c r="BO85" s="444"/>
      <c r="BP85" s="537">
        <f>BP72+BP83</f>
        <v>0</v>
      </c>
      <c r="BQ85" s="537">
        <f t="shared" ref="BQ85:BR85" si="16">BQ72+BQ83</f>
        <v>208</v>
      </c>
      <c r="BR85" s="537">
        <f t="shared" ca="1" si="16"/>
        <v>0</v>
      </c>
      <c r="BS85" s="537"/>
      <c r="BT85" s="537"/>
      <c r="BU85" s="537"/>
    </row>
    <row r="86" spans="2:73">
      <c r="AS86"/>
      <c r="AT86"/>
      <c r="AU86"/>
      <c r="AV86"/>
      <c r="AW86"/>
      <c r="AX86"/>
      <c r="AY86"/>
      <c r="AZ86"/>
      <c r="BA86" s="224">
        <f>IF(NI_CFO_Recon_Adjs[[#This Row],[Used]]=1,7,8)</f>
        <v>8</v>
      </c>
      <c r="BB86" s="3" t="s">
        <v>313</v>
      </c>
      <c r="BC86" s="444">
        <f>IF(ABS(NI_CFO_Recon_Adjs[[#This Row],[AmtJournal]])&gt;0,1,0)</f>
        <v>0</v>
      </c>
      <c r="BD86" s="445">
        <f>NI_CFO_Recon_Adjs[[#This Row],[Used]]+SUM(BC82:BC85)</f>
        <v>0</v>
      </c>
      <c r="BE86" s="37">
        <f>-SUMIF(Journal[Credit Account],BB12,Journal[Cr Amt])</f>
        <v>0</v>
      </c>
      <c r="BF86" s="37">
        <f>-SUMIF(JournalAnswer[Credit Account],BE12,JournalAnswer[Cr Amt])</f>
        <v>0</v>
      </c>
      <c r="BG86" s="248" cm="1">
        <f t="array" aca="1" ref="BG86" ca="1">IF(NI_CFO_Recon_Adjs[[#This Row],[Account]]&lt;&gt;"",_xlfn._xlws.FILTER(FSBuilder[Amount],(FSBuilder[Account or Explanation]=NI_CFO_Recon_Adjs[[#This Row],[Account]])*(FSBuilder[Statement]="Cash Flow Statement"),0),0)</f>
        <v>0</v>
      </c>
      <c r="BH86" s="445">
        <f>IF(ABS(NI_CFO_Recon_Adjs[[#This Row],[AmtJournal]])&gt;0,1,0)</f>
        <v>0</v>
      </c>
      <c r="BI86" s="445">
        <f>IF(ABS(NI_CFO_Recon_Adjs[[#This Row],[AmtAnswer]])&gt;0,1,0)</f>
        <v>0</v>
      </c>
      <c r="BJ86" s="445">
        <f ca="1">IF(ABS(NI_CFO_Recon_Adjs[[#This Row],[AmtFSBuilder]])&gt;0,1,0)</f>
        <v>0</v>
      </c>
      <c r="BN86" s="419"/>
    </row>
    <row r="87" spans="2:73">
      <c r="C87" s="5" t="s">
        <v>1014</v>
      </c>
      <c r="I87" s="5" t="s">
        <v>1015</v>
      </c>
      <c r="AS87"/>
      <c r="AT87"/>
      <c r="AU87"/>
      <c r="AV87"/>
      <c r="AW87"/>
      <c r="AX87"/>
      <c r="AY87"/>
      <c r="AZ87"/>
      <c r="BA87" s="224">
        <f>IF(NI_CFO_Recon_Adjs[[#This Row],[Used]]=1,7,8)</f>
        <v>8</v>
      </c>
      <c r="BB87" s="3" t="s">
        <v>316</v>
      </c>
      <c r="BC87" s="444">
        <f>IF(ABS(NI_CFO_Recon_Adjs[[#This Row],[AmtJournal]])&gt;0,1,0)</f>
        <v>0</v>
      </c>
      <c r="BD87" s="445">
        <f>NI_CFO_Recon_Adjs[[#This Row],[Used]]+SUM(BC82:BC86)</f>
        <v>0</v>
      </c>
      <c r="BE87" s="37">
        <f>-SUMIF(Journal[Credit Account],BB13,Journal[Cr Amt])</f>
        <v>0</v>
      </c>
      <c r="BF87" s="37">
        <f>-SUMIF(JournalAnswer[Credit Account],BE13,JournalAnswer[Cr Amt])</f>
        <v>0</v>
      </c>
      <c r="BG87" s="248" cm="1">
        <f t="array" aca="1" ref="BG87" ca="1">IF(NI_CFO_Recon_Adjs[[#This Row],[Account]]&lt;&gt;"",_xlfn._xlws.FILTER(FSBuilder[Amount],(FSBuilder[Account or Explanation]=NI_CFO_Recon_Adjs[[#This Row],[Account]])*(FSBuilder[Statement]="Cash Flow Statement"),0),0)</f>
        <v>0</v>
      </c>
      <c r="BH87" s="445">
        <f>IF(ABS(NI_CFO_Recon_Adjs[[#This Row],[AmtJournal]])&gt;0,1,0)</f>
        <v>0</v>
      </c>
      <c r="BI87" s="445">
        <f>IF(ABS(NI_CFO_Recon_Adjs[[#This Row],[AmtAnswer]])&gt;0,1,0)</f>
        <v>0</v>
      </c>
      <c r="BJ87" s="445">
        <f ca="1">IF(ABS(NI_CFO_Recon_Adjs[[#This Row],[AmtFSBuilder]])&gt;0,1,0)</f>
        <v>0</v>
      </c>
      <c r="BK87" s="401"/>
      <c r="BN87" s="419"/>
    </row>
    <row r="88" spans="2:73">
      <c r="C88" t="str" cm="1">
        <f t="array" ref="C88:C98">_xlfn.VSTACK(_xlfn._xlws.FILTER(C62:C71,D62:D71),_xlfn._xlws.FILTER(C11:C20,D11:D20),_xlfn._xlws.FILTER(C77:C83,D77:D83),_xlfn._xlws.FILTER(C41:C57,D41:D57),_xlfn._xlws.FILTER(C25:C34,D25:D34))</f>
        <v>Loans Payable</v>
      </c>
      <c r="I88" t="str" cm="1">
        <f t="array" ref="I88:I91">_xlfn.VSTACK(_xlfn._xlws.FILTER(I19:I31,J19:J31),_xlfn._xlws.FILTER(I10:I14,J10:J14),IFERROR(_xlfn._xlws.FILTER(I46:I51,J46:J51),""),IFERROR(_xlfn._xlws.FILTER(I36:I41,J36:J41),""))</f>
        <v>Cost of Goods Sold</v>
      </c>
      <c r="AS88"/>
      <c r="AT88"/>
      <c r="AU88"/>
      <c r="AV88"/>
      <c r="AW88"/>
      <c r="AX88"/>
      <c r="AY88"/>
      <c r="AZ88"/>
      <c r="BA88" s="224">
        <f>IF(NI_CFO_Recon_Adjs[[#This Row],[Used]]=1,7,8)</f>
        <v>8</v>
      </c>
      <c r="BB88" s="3" t="s">
        <v>319</v>
      </c>
      <c r="BC88" s="444">
        <f>IF(ABS(NI_CFO_Recon_Adjs[[#This Row],[AmtJournal]])&gt;0,1,0)</f>
        <v>0</v>
      </c>
      <c r="BD88" s="445">
        <f>NI_CFO_Recon_Adjs[[#This Row],[Used]]+SUM(BC86:BC87)</f>
        <v>0</v>
      </c>
      <c r="BE88" s="37">
        <f>-SUMIF(Journal[Credit Account],BB14,Journal[Cr Amt])</f>
        <v>0</v>
      </c>
      <c r="BF88" s="37">
        <f>-SUMIF(JournalAnswer[Credit Account],BE14,JournalAnswer[Cr Amt])</f>
        <v>0</v>
      </c>
      <c r="BG88" s="248" cm="1">
        <f t="array" aca="1" ref="BG88" ca="1">IF(NI_CFO_Recon_Adjs[[#This Row],[Account]]&lt;&gt;"",_xlfn._xlws.FILTER(FSBuilder[Amount],(FSBuilder[Account or Explanation]=NI_CFO_Recon_Adjs[[#This Row],[Account]])*(FSBuilder[Statement]="Cash Flow Statement"),0),0)</f>
        <v>0</v>
      </c>
      <c r="BH88" s="445">
        <f>IF(ABS(NI_CFO_Recon_Adjs[[#This Row],[AmtJournal]])&gt;0,1,0)</f>
        <v>0</v>
      </c>
      <c r="BI88" s="445">
        <f>IF(ABS(NI_CFO_Recon_Adjs[[#This Row],[AmtAnswer]])&gt;0,1,0)</f>
        <v>0</v>
      </c>
      <c r="BJ88" s="445">
        <f ca="1">IF(ABS(NI_CFO_Recon_Adjs[[#This Row],[AmtFSBuilder]])&gt;0,1,0)</f>
        <v>0</v>
      </c>
      <c r="BK88" s="401"/>
      <c r="BN88" s="419"/>
    </row>
    <row r="89" spans="2:73">
      <c r="C89" t="str">
        <v>Cash</v>
      </c>
      <c r="I89" t="str">
        <v>Sales</v>
      </c>
      <c r="AS89"/>
      <c r="AT89"/>
      <c r="AU89"/>
      <c r="AV89"/>
      <c r="AW89"/>
      <c r="AX89"/>
      <c r="AY89"/>
      <c r="AZ89"/>
      <c r="BA89" s="224">
        <f>IF(NI_CFO_Recon_Adjs[[#This Row],[Used]]=1,7,8)</f>
        <v>8</v>
      </c>
      <c r="BB89" s="3" t="s">
        <v>322</v>
      </c>
      <c r="BC89" s="444">
        <f>IF(ABS(NI_CFO_Recon_Adjs[[#This Row],[AmtJournal]])&gt;0,1,0)</f>
        <v>0</v>
      </c>
      <c r="BD89" s="445">
        <f>NI_CFO_Recon_Adjs[[#This Row],[Used]]+SUM(BC82:BC88)</f>
        <v>0</v>
      </c>
      <c r="BE89" s="37">
        <f>-SUMIF(Journal[Credit Account],BB15,Journal[Cr Amt])</f>
        <v>0</v>
      </c>
      <c r="BF89" s="37">
        <f>-SUMIF(JournalAnswer[Credit Account],BE15,JournalAnswer[Cr Amt])</f>
        <v>0</v>
      </c>
      <c r="BG89" s="248" cm="1">
        <f t="array" aca="1" ref="BG89" ca="1">IF(NI_CFO_Recon_Adjs[[#This Row],[Account]]&lt;&gt;"",_xlfn._xlws.FILTER(FSBuilder[Amount],(FSBuilder[Account or Explanation]=NI_CFO_Recon_Adjs[[#This Row],[Account]])*(FSBuilder[Statement]="Cash Flow Statement"),0),0)</f>
        <v>0</v>
      </c>
      <c r="BH89" s="445">
        <f>IF(ABS(NI_CFO_Recon_Adjs[[#This Row],[AmtJournal]])&gt;0,1,0)</f>
        <v>0</v>
      </c>
      <c r="BI89" s="445">
        <f>IF(ABS(NI_CFO_Recon_Adjs[[#This Row],[AmtAnswer]])&gt;0,1,0)</f>
        <v>0</v>
      </c>
      <c r="BJ89" s="445">
        <f ca="1">IF(ABS(NI_CFO_Recon_Adjs[[#This Row],[AmtFSBuilder]])&gt;0,1,0)</f>
        <v>0</v>
      </c>
      <c r="BN89" s="419"/>
    </row>
    <row r="90" spans="2:73">
      <c r="C90" t="str">
        <v>Accounts Receivable</v>
      </c>
      <c r="I90" t="str">
        <v/>
      </c>
      <c r="AS90"/>
      <c r="AT90"/>
      <c r="AU90"/>
      <c r="AV90"/>
      <c r="AW90"/>
      <c r="AX90"/>
      <c r="AY90"/>
      <c r="AZ90"/>
      <c r="BA90" s="224">
        <f>IF(NI_CFO_Recon_Adjs[[#This Row],[Used]]=1,7,8)</f>
        <v>8</v>
      </c>
      <c r="BB90" s="3" t="s">
        <v>326</v>
      </c>
      <c r="BC90" s="444">
        <f>IF(ABS(NI_CFO_Recon_Adjs[[#This Row],[AmtJournal]])&gt;0,1,0)</f>
        <v>0</v>
      </c>
      <c r="BD90" s="445">
        <f>NI_CFO_Recon_Adjs[[#This Row],[Used]]+SUM(BC82:BC89)</f>
        <v>0</v>
      </c>
      <c r="BE90" s="37">
        <f>SUMIF(Journal[Debit Account],BB20,Journal[Dr Amt])</f>
        <v>0</v>
      </c>
      <c r="BF90" s="37">
        <f>SUMIF(JournalAnswer[Debit Account],BE20,JournalAnswer[Dr Amt])</f>
        <v>0</v>
      </c>
      <c r="BG90" s="248" cm="1">
        <f t="array" aca="1" ref="BG90" ca="1">IF(NI_CFO_Recon_Adjs[[#This Row],[Account]]&lt;&gt;"",_xlfn._xlws.FILTER(FSBuilder[Amount],(FSBuilder[Account or Explanation]=NI_CFO_Recon_Adjs[[#This Row],[Account]])*(FSBuilder[Statement]="Cash Flow Statement"),0),0)</f>
        <v>0</v>
      </c>
      <c r="BH90" s="445">
        <f>IF(ABS(NI_CFO_Recon_Adjs[[#This Row],[AmtJournal]])&gt;0,1,0)</f>
        <v>0</v>
      </c>
      <c r="BI90" s="445">
        <f>IF(ABS(NI_CFO_Recon_Adjs[[#This Row],[AmtAnswer]])&gt;0,1,0)</f>
        <v>0</v>
      </c>
      <c r="BJ90" s="445">
        <f ca="1">IF(ABS(NI_CFO_Recon_Adjs[[#This Row],[AmtFSBuilder]])&gt;0,1,0)</f>
        <v>0</v>
      </c>
      <c r="BN90" s="419"/>
    </row>
    <row r="91" spans="2:73">
      <c r="C91" t="str">
        <v>Inventories</v>
      </c>
      <c r="I91" t="str">
        <v/>
      </c>
      <c r="AS91"/>
      <c r="AT91"/>
      <c r="AU91"/>
      <c r="AV91"/>
      <c r="AW91"/>
      <c r="AX91"/>
      <c r="AY91"/>
      <c r="AZ91"/>
      <c r="BA91" s="224">
        <f>IF(NI_CFO_Recon_Adjs[[#This Row],[Used]]=1,7,8)</f>
        <v>8</v>
      </c>
      <c r="BB91" s="3" t="s">
        <v>329</v>
      </c>
      <c r="BC91" s="444">
        <f>IF(ABS(NI_CFO_Recon_Adjs[[#This Row],[AmtJournal]])&gt;0,1,0)</f>
        <v>0</v>
      </c>
      <c r="BD91" s="445">
        <f>NI_CFO_Recon_Adjs[[#This Row],[Used]]+SUM(BC82:BC90)</f>
        <v>0</v>
      </c>
      <c r="BE91" s="37">
        <f>SUMIF(Journal[Debit Account],BB21,Journal[Dr Amt])</f>
        <v>0</v>
      </c>
      <c r="BF91" s="37">
        <f>SUMIF(JournalAnswer[Debit Account],BE21,JournalAnswer[Dr Amt])</f>
        <v>0</v>
      </c>
      <c r="BG91" s="248" cm="1">
        <f t="array" aca="1" ref="BG91" ca="1">IF(NI_CFO_Recon_Adjs[[#This Row],[Account]]&lt;&gt;"",_xlfn._xlws.FILTER(FSBuilder[Amount],(FSBuilder[Account or Explanation]=NI_CFO_Recon_Adjs[[#This Row],[Account]])*(FSBuilder[Statement]="Cash Flow Statement"),0),0)</f>
        <v>0</v>
      </c>
      <c r="BH91" s="445">
        <f>IF(ABS(NI_CFO_Recon_Adjs[[#This Row],[AmtJournal]])&gt;0,1,0)</f>
        <v>0</v>
      </c>
      <c r="BI91" s="445">
        <f>IF(ABS(NI_CFO_Recon_Adjs[[#This Row],[AmtAnswer]])&gt;0,1,0)</f>
        <v>0</v>
      </c>
      <c r="BJ91" s="445">
        <f ca="1">IF(ABS(NI_CFO_Recon_Adjs[[#This Row],[AmtFSBuilder]])&gt;0,1,0)</f>
        <v>0</v>
      </c>
      <c r="BN91" s="419"/>
    </row>
    <row r="92" spans="2:73">
      <c r="C92" t="str">
        <v>Common Stock</v>
      </c>
      <c r="AS92"/>
      <c r="AT92"/>
      <c r="AU92"/>
      <c r="AV92"/>
      <c r="AW92"/>
      <c r="AX92"/>
      <c r="AY92"/>
      <c r="AZ92"/>
      <c r="BA92" s="224">
        <f>IF(NI_CFO_Recon_Adjs[[#This Row],[Used]]=1,7,8)</f>
        <v>8</v>
      </c>
      <c r="BB92" s="3" t="s">
        <v>332</v>
      </c>
      <c r="BC92" s="444">
        <f>IF(ABS(NI_CFO_Recon_Adjs[[#This Row],[AmtJournal]])&gt;0,1,0)</f>
        <v>0</v>
      </c>
      <c r="BD92" s="445">
        <f>NI_CFO_Recon_Adjs[[#This Row],[Used]]+SUM(BC82:BC91)</f>
        <v>0</v>
      </c>
      <c r="BE92" s="37">
        <f>SUMIF(Journal[Debit Account],BB22,Journal[Dr Amt])</f>
        <v>0</v>
      </c>
      <c r="BF92" s="37">
        <f>SUMIF(JournalAnswer[Debit Account],BE22,JournalAnswer[Dr Amt])</f>
        <v>0</v>
      </c>
      <c r="BG92" s="248" cm="1">
        <f t="array" aca="1" ref="BG92" ca="1">IF(NI_CFO_Recon_Adjs[[#This Row],[Account]]&lt;&gt;"",_xlfn._xlws.FILTER(FSBuilder[Amount],(FSBuilder[Account or Explanation]=NI_CFO_Recon_Adjs[[#This Row],[Account]])*(FSBuilder[Statement]="Cash Flow Statement"),0),0)</f>
        <v>0</v>
      </c>
      <c r="BH92" s="445">
        <f>IF(ABS(NI_CFO_Recon_Adjs[[#This Row],[AmtJournal]])&gt;0,1,0)</f>
        <v>0</v>
      </c>
      <c r="BI92" s="445">
        <f>IF(ABS(NI_CFO_Recon_Adjs[[#This Row],[AmtAnswer]])&gt;0,1,0)</f>
        <v>0</v>
      </c>
      <c r="BJ92" s="445">
        <f ca="1">IF(ABS(NI_CFO_Recon_Adjs[[#This Row],[AmtFSBuilder]])&gt;0,1,0)</f>
        <v>0</v>
      </c>
      <c r="BN92" s="419"/>
    </row>
    <row r="93" spans="2:73">
      <c r="C93" t="str">
        <v>Retained Earnings</v>
      </c>
      <c r="AS93"/>
      <c r="AT93"/>
      <c r="AU93"/>
      <c r="AV93"/>
      <c r="AW93"/>
      <c r="AX93"/>
      <c r="AY93"/>
      <c r="AZ93"/>
      <c r="BA93" s="224">
        <f>IF(NI_CFO_Recon_Adjs[[#This Row],[Used]]=1,7,8)</f>
        <v>8</v>
      </c>
      <c r="BB93" s="3" t="s">
        <v>335</v>
      </c>
      <c r="BC93" s="444">
        <f>IF(ABS(NI_CFO_Recon_Adjs[[#This Row],[AmtJournal]])&gt;0,1,0)</f>
        <v>0</v>
      </c>
      <c r="BD93" s="445">
        <f>NI_CFO_Recon_Adjs[[#This Row],[Used]]+SUM(BC82:BC92)</f>
        <v>0</v>
      </c>
      <c r="BE93" s="37">
        <f>SUMIF(Journal[Debit Account],BB23,Journal[Dr Amt])</f>
        <v>0</v>
      </c>
      <c r="BF93" s="37">
        <f>SUMIF(JournalAnswer[Debit Account],BE23,JournalAnswer[Dr Amt])</f>
        <v>0</v>
      </c>
      <c r="BG93" s="248" cm="1">
        <f t="array" aca="1" ref="BG93" ca="1">IF(NI_CFO_Recon_Adjs[[#This Row],[Account]]&lt;&gt;"",_xlfn._xlws.FILTER(FSBuilder[Amount],(FSBuilder[Account or Explanation]=NI_CFO_Recon_Adjs[[#This Row],[Account]])*(FSBuilder[Statement]="Cash Flow Statement"),0),0)</f>
        <v>0</v>
      </c>
      <c r="BH93" s="445">
        <f>IF(ABS(NI_CFO_Recon_Adjs[[#This Row],[AmtJournal]])&gt;0,1,0)</f>
        <v>0</v>
      </c>
      <c r="BI93" s="445">
        <f>IF(ABS(NI_CFO_Recon_Adjs[[#This Row],[AmtAnswer]])&gt;0,1,0)</f>
        <v>0</v>
      </c>
      <c r="BJ93" s="445">
        <f ca="1">IF(ABS(NI_CFO_Recon_Adjs[[#This Row],[AmtFSBuilder]])&gt;0,1,0)</f>
        <v>0</v>
      </c>
      <c r="BN93" s="419"/>
    </row>
    <row r="94" spans="2:73">
      <c r="C94" t="str">
        <v>Accounts Payable</v>
      </c>
      <c r="AS94"/>
      <c r="AT94"/>
      <c r="AU94"/>
      <c r="AV94"/>
      <c r="AW94"/>
      <c r="AX94"/>
      <c r="AY94"/>
      <c r="AZ94"/>
      <c r="BA94" s="224">
        <f>IF(NI_CFO_Recon_Adjs[[#This Row],[Used]]=1,7,8)</f>
        <v>8</v>
      </c>
      <c r="BB94" s="3" t="s">
        <v>337</v>
      </c>
      <c r="BC94" s="444">
        <f>IF(ABS(NI_CFO_Recon_Adjs[[#This Row],[AmtJournal]])&gt;0,1,0)</f>
        <v>0</v>
      </c>
      <c r="BD94" s="445">
        <f>NI_CFO_Recon_Adjs[[#This Row],[Used]]+SUM(BC82:BC93)</f>
        <v>0</v>
      </c>
      <c r="BE94" s="37">
        <f>SUMIF(Journal[Debit Account],BB24,Journal[Dr Amt])</f>
        <v>0</v>
      </c>
      <c r="BF94" s="37">
        <f>SUMIF(JournalAnswer[Debit Account],BE24,JournalAnswer[Dr Amt])</f>
        <v>0</v>
      </c>
      <c r="BG94" s="248" cm="1">
        <f t="array" aca="1" ref="BG94" ca="1">IF(NI_CFO_Recon_Adjs[[#This Row],[Account]]&lt;&gt;"",_xlfn._xlws.FILTER(FSBuilder[Amount],(FSBuilder[Account or Explanation]=NI_CFO_Recon_Adjs[[#This Row],[Account]])*(FSBuilder[Statement]="Cash Flow Statement"),0),0)</f>
        <v>0</v>
      </c>
      <c r="BH94" s="445">
        <f>IF(ABS(NI_CFO_Recon_Adjs[[#This Row],[AmtJournal]])&gt;0,1,0)</f>
        <v>0</v>
      </c>
      <c r="BI94" s="445">
        <f>IF(ABS(NI_CFO_Recon_Adjs[[#This Row],[AmtAnswer]])&gt;0,1,0)</f>
        <v>0</v>
      </c>
      <c r="BJ94" s="445">
        <f ca="1">IF(ABS(NI_CFO_Recon_Adjs[[#This Row],[AmtFSBuilder]])&gt;0,1,0)</f>
        <v>0</v>
      </c>
      <c r="BN94" s="419"/>
    </row>
    <row r="95" spans="2:73">
      <c r="C95" t="str">
        <v>Dividends Payable</v>
      </c>
      <c r="AS95"/>
      <c r="AT95"/>
      <c r="AU95"/>
      <c r="AV95"/>
      <c r="AW95"/>
      <c r="AX95"/>
      <c r="AY95"/>
      <c r="AZ95"/>
      <c r="BN95" s="419"/>
    </row>
    <row r="96" spans="2:73">
      <c r="C96" t="str">
        <v>Unearned Revenue</v>
      </c>
      <c r="AS96"/>
      <c r="AT96"/>
      <c r="AU96"/>
      <c r="AV96"/>
      <c r="AW96"/>
      <c r="AX96"/>
      <c r="AY96"/>
      <c r="AZ96"/>
      <c r="BA96" s="423" t="s">
        <v>1016</v>
      </c>
      <c r="BN96" s="419"/>
    </row>
    <row r="97" spans="3:66">
      <c r="C97" t="str">
        <v>Property, Plant &amp; Equipment</v>
      </c>
      <c r="AS97"/>
      <c r="AT97"/>
      <c r="AU97"/>
      <c r="AV97"/>
      <c r="AW97"/>
      <c r="AX97"/>
      <c r="AY97"/>
      <c r="AZ97"/>
      <c r="BA97" s="430" t="s">
        <v>968</v>
      </c>
      <c r="BB97" s="430" t="s">
        <v>779</v>
      </c>
      <c r="BC97" s="430" t="s">
        <v>75</v>
      </c>
      <c r="BD97" s="528" t="s">
        <v>969</v>
      </c>
      <c r="BE97" s="430" t="s">
        <v>966</v>
      </c>
      <c r="BF97" s="430" t="s">
        <v>967</v>
      </c>
      <c r="BG97" s="430" t="s">
        <v>970</v>
      </c>
      <c r="BH97" s="532" t="s">
        <v>971</v>
      </c>
      <c r="BI97" s="532" t="s">
        <v>972</v>
      </c>
      <c r="BJ97" s="532" t="s">
        <v>973</v>
      </c>
      <c r="BN97" s="419"/>
    </row>
    <row r="98" spans="3:66">
      <c r="C98" t="str">
        <v>Land</v>
      </c>
      <c r="AS98"/>
      <c r="AT98"/>
      <c r="AU98"/>
      <c r="AV98"/>
      <c r="AW98"/>
      <c r="AX98"/>
      <c r="AY98"/>
      <c r="AZ98"/>
      <c r="BA98" s="224">
        <f>IF(NI_CFO_Recon_Chs_Ops[[#This Row],[Order]]=1,7,8)</f>
        <v>8</v>
      </c>
      <c r="BB98" s="3" t="s">
        <v>120</v>
      </c>
      <c r="BC98" s="444">
        <f>IF(ABS(NI_CFO_Recon_Chs_Ops[[#This Row],[AmtJournal]])&gt;0,1,0)</f>
        <v>0</v>
      </c>
      <c r="BD98" s="444">
        <f>NI_CFO_Recon_Chs_Ops[[#This Row],[Used]]</f>
        <v>0</v>
      </c>
      <c r="BE98" s="37">
        <f>SUMIFS(Journal[Cr Amt],Journal[Credit Account],BD39,Journal[ref3],"TRUE")-SUMIFS(Journal[Dr Amt],Journal[Debit Account],BD39,Journal[ref3],"TRUE")</f>
        <v>0</v>
      </c>
      <c r="BF98" s="37">
        <f>SUMIFS(JournalAnswer[Cr Amt],JournalAnswer[Credit Account],BE39,JournalAnswer[ref3],"TRUE")-SUMIFS(JournalAnswer[Dr Amt],JournalAnswer[Debit Account],BE39,JournalAnswer[ref3],"TRUE")</f>
        <v>0</v>
      </c>
      <c r="BG98" s="37" cm="1">
        <f t="array" aca="1" ref="BG98" ca="1">IF(NI_CFO_Recon_Chs_Ops[[#This Row],[Account]]&lt;&gt;"",_xlfn._xlws.FILTER(FSBuilder[Amount],(FSBuilder[Account or Explanation]=NI_CFO_Recon_Chs_Ops[[#This Row],[Account]])*(FSBuilder[Statement]="Cash Flow Statement"),0),0)</f>
        <v>0</v>
      </c>
      <c r="BH98" s="445">
        <f>IF(ABS(NI_CFO_Recon_Chs_Ops[[#This Row],[AmtJournal]])&gt;0,1,0)</f>
        <v>0</v>
      </c>
      <c r="BI98" s="445">
        <f>IF(ABS(NI_CFO_Recon_Chs_Ops[[#This Row],[AmtAnswer]])&gt;0,1,0)</f>
        <v>0</v>
      </c>
      <c r="BJ98" s="445">
        <f ca="1">IF(ABS(NI_CFO_Recon_Chs_Ops[[#This Row],[AmtFSBuilder]])&gt;0,1,0)</f>
        <v>0</v>
      </c>
      <c r="BN98" s="419"/>
    </row>
    <row r="99" spans="3:66">
      <c r="AS99"/>
      <c r="AT99"/>
      <c r="AU99"/>
      <c r="AV99"/>
      <c r="AW99"/>
      <c r="AX99"/>
      <c r="AY99"/>
      <c r="AZ99"/>
      <c r="BA99" s="224">
        <f>IF(NI_CFO_Recon_Chs_Ops[[#This Row],[Order]]=1,7,8)</f>
        <v>8</v>
      </c>
      <c r="BB99" s="3" t="s">
        <v>123</v>
      </c>
      <c r="BC99" s="444">
        <f>IF(ABS(NI_CFO_Recon_Chs_Ops[[#This Row],[AmtJournal]])&gt;0,1,0)</f>
        <v>0</v>
      </c>
      <c r="BD99" s="444">
        <f>NI_CFO_Recon_Chs_Ops[[#This Row],[Used]]+BC98</f>
        <v>0</v>
      </c>
      <c r="BE99" s="37">
        <f>SUMIFS(Journal[Cr Amt],Journal[Credit Account],BD40,Journal[ref3],"TRUE")-SUMIFS(Journal[Dr Amt],Journal[Debit Account],BD40,Journal[ref3],"TRUE")</f>
        <v>0</v>
      </c>
      <c r="BF99" s="37">
        <f>SUMIFS(JournalAnswer[Cr Amt],JournalAnswer[Credit Account],BE40,JournalAnswer[ref3],"TRUE")-SUMIFS(JournalAnswer[Dr Amt],JournalAnswer[Debit Account],BE40,JournalAnswer[ref3],"TRUE")</f>
        <v>0</v>
      </c>
      <c r="BG99" s="37" cm="1">
        <f t="array" aca="1" ref="BG99" ca="1">IF(NI_CFO_Recon_Chs_Ops[[#This Row],[Account]]&lt;&gt;"",_xlfn._xlws.FILTER(FSBuilder[Amount],(FSBuilder[Account or Explanation]=NI_CFO_Recon_Chs_Ops[[#This Row],[Account]])*(FSBuilder[Statement]="Cash Flow Statement"),0),0)</f>
        <v>0</v>
      </c>
      <c r="BH99" s="445">
        <f>IF(ABS(NI_CFO_Recon_Chs_Ops[[#This Row],[AmtJournal]])&gt;0,1,0)</f>
        <v>0</v>
      </c>
      <c r="BI99" s="445">
        <f>IF(ABS(NI_CFO_Recon_Chs_Ops[[#This Row],[AmtAnswer]])&gt;0,1,0)</f>
        <v>0</v>
      </c>
      <c r="BJ99" s="445">
        <f ca="1">IF(ABS(NI_CFO_Recon_Chs_Ops[[#This Row],[AmtFSBuilder]])&gt;0,1,0)</f>
        <v>0</v>
      </c>
      <c r="BN99" s="419"/>
    </row>
    <row r="100" spans="3:66">
      <c r="AS100"/>
      <c r="AT100"/>
      <c r="AU100"/>
      <c r="AV100"/>
      <c r="AW100"/>
      <c r="AX100"/>
      <c r="AY100"/>
      <c r="AZ100"/>
      <c r="BA100" s="224">
        <f>IF(NI_CFO_Recon_Chs_Ops[[#This Row],[Order]]=1,7,8)</f>
        <v>8</v>
      </c>
      <c r="BB100" s="3" t="s">
        <v>130</v>
      </c>
      <c r="BC100" s="444">
        <f>IF(ABS(NI_CFO_Recon_Chs_Ops[[#This Row],[AmtJournal]])&gt;0,1,0)</f>
        <v>0</v>
      </c>
      <c r="BD100" s="444">
        <f>NI_CFO_Recon_Chs_Ops[[#This Row],[Used]]+SUM(BC98:BC99)</f>
        <v>0</v>
      </c>
      <c r="BE100" s="37">
        <f>SUMIFS(Journal[Cr Amt],Journal[Credit Account],BD41,Journal[ref3],"TRUE")-SUMIFS(Journal[Dr Amt],Journal[Debit Account],BD41,Journal[ref3],"TRUE")</f>
        <v>0</v>
      </c>
      <c r="BF100" s="37">
        <f>SUMIFS(JournalAnswer[Cr Amt],JournalAnswer[Credit Account],BE41,JournalAnswer[ref3],"TRUE")-SUMIFS(JournalAnswer[Dr Amt],JournalAnswer[Debit Account],BE41,JournalAnswer[ref3],"TRUE")</f>
        <v>0</v>
      </c>
      <c r="BG100" s="37" cm="1">
        <f t="array" aca="1" ref="BG100" ca="1">IF(NI_CFO_Recon_Chs_Ops[[#This Row],[Account]]&lt;&gt;"",_xlfn._xlws.FILTER(FSBuilder[Amount],(FSBuilder[Account or Explanation]=NI_CFO_Recon_Chs_Ops[[#This Row],[Account]])*(FSBuilder[Statement]="Cash Flow Statement"),0),0)</f>
        <v>0</v>
      </c>
      <c r="BH100" s="445">
        <f>IF(ABS(NI_CFO_Recon_Chs_Ops[[#This Row],[AmtJournal]])&gt;0,1,0)</f>
        <v>0</v>
      </c>
      <c r="BI100" s="445">
        <f>IF(ABS(NI_CFO_Recon_Chs_Ops[[#This Row],[AmtAnswer]])&gt;0,1,0)</f>
        <v>0</v>
      </c>
      <c r="BJ100" s="445">
        <f ca="1">IF(ABS(NI_CFO_Recon_Chs_Ops[[#This Row],[AmtFSBuilder]])&gt;0,1,0)</f>
        <v>0</v>
      </c>
      <c r="BN100" s="419"/>
    </row>
    <row r="101" spans="3:66">
      <c r="AS101"/>
      <c r="AT101"/>
      <c r="AU101"/>
      <c r="AV101"/>
      <c r="AW101"/>
      <c r="AX101"/>
      <c r="AY101"/>
      <c r="AZ101"/>
      <c r="BA101" s="224">
        <f>IF(NI_CFO_Recon_Chs_Ops[[#This Row],[Order]]=1,7,8)</f>
        <v>8</v>
      </c>
      <c r="BB101" s="3" t="s">
        <v>133</v>
      </c>
      <c r="BC101" s="444">
        <f>IF(ABS(NI_CFO_Recon_Chs_Ops[[#This Row],[AmtJournal]])&gt;0,1,0)</f>
        <v>0</v>
      </c>
      <c r="BD101" s="444">
        <f>NI_CFO_Recon_Chs_Ops[[#This Row],[Used]]+SUM(BC98:BC100)</f>
        <v>0</v>
      </c>
      <c r="BE101" s="37">
        <f>SUMIFS(Journal[Cr Amt],Journal[Credit Account],BD42,Journal[ref3],"TRUE")-SUMIFS(Journal[Dr Amt],Journal[Debit Account],BD42,Journal[ref3],"TRUE")</f>
        <v>0</v>
      </c>
      <c r="BF101" s="37">
        <f>SUMIFS(JournalAnswer[Cr Amt],JournalAnswer[Credit Account],BE42,JournalAnswer[ref3],"TRUE")-SUMIFS(JournalAnswer[Dr Amt],JournalAnswer[Debit Account],BE42,JournalAnswer[ref3],"TRUE")</f>
        <v>0</v>
      </c>
      <c r="BG101" s="37" cm="1">
        <f t="array" aca="1" ref="BG101" ca="1">IF(NI_CFO_Recon_Chs_Ops[[#This Row],[Account]]&lt;&gt;"",_xlfn._xlws.FILTER(FSBuilder[Amount],(FSBuilder[Account or Explanation]=NI_CFO_Recon_Chs_Ops[[#This Row],[Account]])*(FSBuilder[Statement]="Cash Flow Statement"),0),0)</f>
        <v>0</v>
      </c>
      <c r="BH101" s="445">
        <f>IF(ABS(NI_CFO_Recon_Chs_Ops[[#This Row],[AmtJournal]])&gt;0,1,0)</f>
        <v>0</v>
      </c>
      <c r="BI101" s="445">
        <f>IF(ABS(NI_CFO_Recon_Chs_Ops[[#This Row],[AmtAnswer]])&gt;0,1,0)</f>
        <v>0</v>
      </c>
      <c r="BJ101" s="445">
        <f ca="1">IF(ABS(NI_CFO_Recon_Chs_Ops[[#This Row],[AmtFSBuilder]])&gt;0,1,0)</f>
        <v>0</v>
      </c>
    </row>
    <row r="102" spans="3:66">
      <c r="AS102"/>
      <c r="AT102"/>
      <c r="AU102"/>
      <c r="AV102"/>
      <c r="AW102"/>
      <c r="AX102"/>
      <c r="AY102"/>
      <c r="AZ102"/>
      <c r="BA102" s="224">
        <f>IF(NI_CFO_Recon_Chs_Ops[[#This Row],[Order]]=1,7,8)</f>
        <v>8</v>
      </c>
      <c r="BB102" s="3" t="s">
        <v>136</v>
      </c>
      <c r="BC102" s="444">
        <f>IF(ABS(NI_CFO_Recon_Chs_Ops[[#This Row],[AmtJournal]])&gt;0,1,0)</f>
        <v>0</v>
      </c>
      <c r="BD102" s="444">
        <f>NI_CFO_Recon_Chs_Ops[[#This Row],[Used]]+SUM(BC98:BC101)</f>
        <v>0</v>
      </c>
      <c r="BE102" s="37">
        <f>SUMIFS(Journal[Cr Amt],Journal[Credit Account],BD43,Journal[ref3],"TRUE")-SUMIFS(Journal[Dr Amt],Journal[Debit Account],BD43,Journal[ref3],"TRUE")</f>
        <v>0</v>
      </c>
      <c r="BF102" s="37">
        <f>SUMIFS(JournalAnswer[Cr Amt],JournalAnswer[Credit Account],BE43,JournalAnswer[ref3],"TRUE")-SUMIFS(JournalAnswer[Dr Amt],JournalAnswer[Debit Account],BE43,JournalAnswer[ref3],"TRUE")</f>
        <v>0</v>
      </c>
      <c r="BG102" s="37" cm="1">
        <f t="array" aca="1" ref="BG102" ca="1">IF(NI_CFO_Recon_Chs_Ops[[#This Row],[Account]]&lt;&gt;"",_xlfn._xlws.FILTER(FSBuilder[Amount],(FSBuilder[Account or Explanation]=NI_CFO_Recon_Chs_Ops[[#This Row],[Account]])*(FSBuilder[Statement]="Cash Flow Statement"),0),0)</f>
        <v>0</v>
      </c>
      <c r="BH102" s="445">
        <f>IF(ABS(NI_CFO_Recon_Chs_Ops[[#This Row],[AmtJournal]])&gt;0,1,0)</f>
        <v>0</v>
      </c>
      <c r="BI102" s="445">
        <f>IF(ABS(NI_CFO_Recon_Chs_Ops[[#This Row],[AmtAnswer]])&gt;0,1,0)</f>
        <v>0</v>
      </c>
      <c r="BJ102" s="445">
        <f ca="1">IF(ABS(NI_CFO_Recon_Chs_Ops[[#This Row],[AmtFSBuilder]])&gt;0,1,0)</f>
        <v>0</v>
      </c>
    </row>
    <row r="103" spans="3:66">
      <c r="AS103"/>
      <c r="AT103"/>
      <c r="AU103"/>
      <c r="AV103"/>
      <c r="AW103"/>
      <c r="AX103"/>
      <c r="AY103"/>
      <c r="AZ103"/>
      <c r="BA103" s="224">
        <f>IF(NI_CFO_Recon_Chs_Ops[[#This Row],[Order]]=1,7,8)</f>
        <v>8</v>
      </c>
      <c r="BB103" s="3" t="s">
        <v>139</v>
      </c>
      <c r="BC103" s="444">
        <f>IF(ABS(NI_CFO_Recon_Chs_Ops[[#This Row],[AmtJournal]])&gt;0,1,0)</f>
        <v>0</v>
      </c>
      <c r="BD103" s="444">
        <f>NI_CFO_Recon_Chs_Ops[[#This Row],[Used]]+SUM(BC98:BC102)</f>
        <v>0</v>
      </c>
      <c r="BE103" s="37">
        <f>SUMIFS(Journal[Cr Amt],Journal[Credit Account],BD44,Journal[ref3],"TRUE")-SUMIFS(Journal[Dr Amt],Journal[Debit Account],BD44,Journal[ref3],"TRUE")</f>
        <v>0</v>
      </c>
      <c r="BF103" s="37">
        <f>SUMIFS(JournalAnswer[Cr Amt],JournalAnswer[Credit Account],BE44,JournalAnswer[ref3],"TRUE")-SUMIFS(JournalAnswer[Dr Amt],JournalAnswer[Debit Account],BE44,JournalAnswer[ref3],"TRUE")</f>
        <v>0</v>
      </c>
      <c r="BG103" s="37" cm="1">
        <f t="array" aca="1" ref="BG103" ca="1">IF(NI_CFO_Recon_Chs_Ops[[#This Row],[Account]]&lt;&gt;"",_xlfn._xlws.FILTER(FSBuilder[Amount],(FSBuilder[Account or Explanation]=NI_CFO_Recon_Chs_Ops[[#This Row],[Account]])*(FSBuilder[Statement]="Cash Flow Statement"),0),0)</f>
        <v>0</v>
      </c>
      <c r="BH103" s="445">
        <f>IF(ABS(NI_CFO_Recon_Chs_Ops[[#This Row],[AmtJournal]])&gt;0,1,0)</f>
        <v>0</v>
      </c>
      <c r="BI103" s="445">
        <f>IF(ABS(NI_CFO_Recon_Chs_Ops[[#This Row],[AmtAnswer]])&gt;0,1,0)</f>
        <v>0</v>
      </c>
      <c r="BJ103" s="445">
        <f ca="1">IF(ABS(NI_CFO_Recon_Chs_Ops[[#This Row],[AmtFSBuilder]])&gt;0,1,0)</f>
        <v>0</v>
      </c>
    </row>
    <row r="104" spans="3:66">
      <c r="AS104"/>
      <c r="BA104" s="224">
        <f>IF(NI_CFO_Recon_Chs_Ops[[#This Row],[Order]]=1,7,8)</f>
        <v>8</v>
      </c>
      <c r="BB104" s="3" t="s">
        <v>155</v>
      </c>
      <c r="BC104" s="444">
        <f>IF(ABS(NI_CFO_Recon_Chs_Ops[[#This Row],[AmtJournal]])&gt;0,1,0)</f>
        <v>0</v>
      </c>
      <c r="BD104" s="444">
        <f>NI_CFO_Recon_Chs_Ops[[#This Row],[Used]]+SUM(BC98:BC103)</f>
        <v>0</v>
      </c>
      <c r="BE104" s="37">
        <f>SUMIFS(Journal[Cr Amt],Journal[Credit Account],BD45,Journal[ref3],"TRUE")-SUMIFS(Journal[Dr Amt],Journal[Debit Account],BD45,Journal[ref3],"TRUE")</f>
        <v>0</v>
      </c>
      <c r="BF104" s="37">
        <f>SUMIFS(JournalAnswer[Cr Amt],JournalAnswer[Credit Account],BE45,JournalAnswer[ref3],"TRUE")-SUMIFS(JournalAnswer[Dr Amt],JournalAnswer[Debit Account],BE45,JournalAnswer[ref3],"TRUE")</f>
        <v>0</v>
      </c>
      <c r="BG104" s="37" cm="1">
        <f t="array" aca="1" ref="BG104" ca="1">IF(NI_CFO_Recon_Chs_Ops[[#This Row],[Account]]&lt;&gt;"",_xlfn._xlws.FILTER(FSBuilder[Amount],(FSBuilder[Account or Explanation]=NI_CFO_Recon_Chs_Ops[[#This Row],[Account]])*(FSBuilder[Statement]="Cash Flow Statement"),0),0)</f>
        <v>0</v>
      </c>
      <c r="BH104" s="445">
        <f>IF(ABS(NI_CFO_Recon_Chs_Ops[[#This Row],[AmtJournal]])&gt;0,1,0)</f>
        <v>0</v>
      </c>
      <c r="BI104" s="445">
        <f>IF(ABS(NI_CFO_Recon_Chs_Ops[[#This Row],[AmtAnswer]])&gt;0,1,0)</f>
        <v>0</v>
      </c>
      <c r="BJ104" s="445">
        <f ca="1">IF(ABS(NI_CFO_Recon_Chs_Ops[[#This Row],[AmtFSBuilder]])&gt;0,1,0)</f>
        <v>0</v>
      </c>
    </row>
    <row r="105" spans="3:66">
      <c r="BA105" s="224">
        <f>IF(NI_CFO_Recon_Chs_Ops[[#This Row],[Order]]=1,7,8)</f>
        <v>8</v>
      </c>
      <c r="BB105" s="3" t="s">
        <v>168</v>
      </c>
      <c r="BC105" s="444">
        <f>IF(ABS(NI_CFO_Recon_Chs_Ops[[#This Row],[AmtJournal]])&gt;0,1,0)</f>
        <v>0</v>
      </c>
      <c r="BD105" s="444">
        <f>NI_CFO_Recon_Chs_Ops[[#This Row],[Used]]+SUM(BC98:BC104)</f>
        <v>0</v>
      </c>
      <c r="BE105" s="37">
        <f>-SUMIFS(Journal[Dr Amt],Journal[Debit Account],BD57,Journal[ref3],"TRUE")+SUMIFS(Journal[Cr Amt],Journal[Credit Account],BD57,Journal[ref3],"TRUE")</f>
        <v>0</v>
      </c>
      <c r="BF105" s="37">
        <f>-SUMIFS(JournalAnswer[Dr Amt],JournalAnswer[Debit Account],BE56,JournalAnswer[ref3],"TRUE")+SUMIFS(JournalAnswer[Cr Amt],JournalAnswer[Credit Account],BE56,JournalAnswer[ref3],"TRUE")</f>
        <v>0</v>
      </c>
      <c r="BG105" s="37" cm="1">
        <f t="array" aca="1" ref="BG105" ca="1">IF(NI_CFO_Recon_Chs_Ops[[#This Row],[Account]]&lt;&gt;"",_xlfn._xlws.FILTER(FSBuilder[Amount],(FSBuilder[Account or Explanation]=NI_CFO_Recon_Chs_Ops[[#This Row],[Account]])*(FSBuilder[Statement]="Cash Flow Statement"),0),0)</f>
        <v>0</v>
      </c>
      <c r="BH105" s="445">
        <f>IF(ABS(NI_CFO_Recon_Chs_Ops[[#This Row],[AmtJournal]])&gt;0,1,0)</f>
        <v>0</v>
      </c>
      <c r="BI105" s="445">
        <f>IF(ABS(NI_CFO_Recon_Chs_Ops[[#This Row],[AmtAnswer]])&gt;0,1,0)</f>
        <v>0</v>
      </c>
      <c r="BJ105" s="445">
        <f ca="1">IF(ABS(NI_CFO_Recon_Chs_Ops[[#This Row],[AmtFSBuilder]])&gt;0,1,0)</f>
        <v>0</v>
      </c>
    </row>
    <row r="106" spans="3:66">
      <c r="BA106" s="224">
        <f>IF(NI_CFO_Recon_Chs_Ops[[#This Row],[Order]]=1,7,8)</f>
        <v>8</v>
      </c>
      <c r="BB106" s="3" t="s">
        <v>171</v>
      </c>
      <c r="BC106" s="444">
        <f>IF(ABS(NI_CFO_Recon_Chs_Ops[[#This Row],[AmtJournal]])&gt;0,1,0)</f>
        <v>0</v>
      </c>
      <c r="BD106" s="444">
        <f>NI_CFO_Recon_Chs_Ops[[#This Row],[Used]]+SUM(BC98:BC105)</f>
        <v>0</v>
      </c>
      <c r="BE106" s="37">
        <f>-SUMIFS(Journal[Dr Amt],Journal[Debit Account],BD58,Journal[ref3],"TRUE")+SUMIFS(Journal[Cr Amt],Journal[Credit Account],BD58,Journal[ref3],"TRUE")</f>
        <v>0</v>
      </c>
      <c r="BF106" s="37">
        <f>-SUMIFS(JournalAnswer[Dr Amt],JournalAnswer[Debit Account],BE57,JournalAnswer[ref3],"TRUE")+SUMIFS(JournalAnswer[Cr Amt],JournalAnswer[Credit Account],BE57,JournalAnswer[ref3],"TRUE")</f>
        <v>0</v>
      </c>
      <c r="BG106" s="37" cm="1">
        <f t="array" aca="1" ref="BG106" ca="1">IF(NI_CFO_Recon_Chs_Ops[[#This Row],[Account]]&lt;&gt;"",_xlfn._xlws.FILTER(FSBuilder[Amount],(FSBuilder[Account or Explanation]=NI_CFO_Recon_Chs_Ops[[#This Row],[Account]])*(FSBuilder[Statement]="Cash Flow Statement"),0),0)</f>
        <v>0</v>
      </c>
      <c r="BH106" s="445">
        <f>IF(ABS(NI_CFO_Recon_Chs_Ops[[#This Row],[AmtJournal]])&gt;0,1,0)</f>
        <v>0</v>
      </c>
      <c r="BI106" s="445">
        <f>IF(ABS(NI_CFO_Recon_Chs_Ops[[#This Row],[AmtAnswer]])&gt;0,1,0)</f>
        <v>0</v>
      </c>
      <c r="BJ106" s="445">
        <f ca="1">IF(ABS(NI_CFO_Recon_Chs_Ops[[#This Row],[AmtFSBuilder]])&gt;0,1,0)</f>
        <v>0</v>
      </c>
    </row>
    <row r="107" spans="3:66">
      <c r="BA107" s="224">
        <f>IF(NI_CFO_Recon_Chs_Ops[[#This Row],[Order]]=1,7,8)</f>
        <v>8</v>
      </c>
      <c r="BB107" s="3" t="s">
        <v>174</v>
      </c>
      <c r="BC107" s="444">
        <f>IF(ABS(NI_CFO_Recon_Chs_Ops[[#This Row],[AmtJournal]])&gt;0,1,0)</f>
        <v>0</v>
      </c>
      <c r="BD107" s="444">
        <f>NI_CFO_Recon_Chs_Ops[[#This Row],[Used]]+SUM(BC98:BC106)</f>
        <v>0</v>
      </c>
      <c r="BE107" s="37">
        <f>-SUMIFS(Journal[Dr Amt],Journal[Debit Account],BD59,Journal[ref3],"TRUE")+SUMIFS(Journal[Cr Amt],Journal[Credit Account],BD59,Journal[ref3],"TRUE")</f>
        <v>0</v>
      </c>
      <c r="BF107" s="37">
        <f>-SUMIFS(JournalAnswer[Dr Amt],JournalAnswer[Debit Account],BE58,JournalAnswer[ref3],"TRUE")+SUMIFS(JournalAnswer[Cr Amt],JournalAnswer[Credit Account],BE58,JournalAnswer[ref3],"TRUE")</f>
        <v>0</v>
      </c>
      <c r="BG107" s="37" cm="1">
        <f t="array" aca="1" ref="BG107" ca="1">IF(NI_CFO_Recon_Chs_Ops[[#This Row],[Account]]&lt;&gt;"",_xlfn._xlws.FILTER(FSBuilder[Amount],(FSBuilder[Account or Explanation]=NI_CFO_Recon_Chs_Ops[[#This Row],[Account]])*(FSBuilder[Statement]="Cash Flow Statement"),0),0)</f>
        <v>0</v>
      </c>
      <c r="BH107" s="445">
        <f>IF(ABS(NI_CFO_Recon_Chs_Ops[[#This Row],[AmtJournal]])&gt;0,1,0)</f>
        <v>0</v>
      </c>
      <c r="BI107" s="445">
        <f>IF(ABS(NI_CFO_Recon_Chs_Ops[[#This Row],[AmtAnswer]])&gt;0,1,0)</f>
        <v>0</v>
      </c>
      <c r="BJ107" s="445">
        <f ca="1">IF(ABS(NI_CFO_Recon_Chs_Ops[[#This Row],[AmtFSBuilder]])&gt;0,1,0)</f>
        <v>0</v>
      </c>
    </row>
    <row r="108" spans="3:66">
      <c r="BA108" s="224">
        <f>IF(NI_CFO_Recon_Chs_Ops[[#This Row],[Order]]=1,7,8)</f>
        <v>8</v>
      </c>
      <c r="BB108" s="3" t="s">
        <v>180</v>
      </c>
      <c r="BC108" s="444">
        <f>IF(ABS(NI_CFO_Recon_Chs_Ops[[#This Row],[AmtJournal]])&gt;0,1,0)</f>
        <v>0</v>
      </c>
      <c r="BD108" s="444">
        <f>NI_CFO_Recon_Chs_Ops[[#This Row],[Used]]+SUM(BC98:BC107)</f>
        <v>0</v>
      </c>
      <c r="BE108" s="37">
        <f>-SUMIFS(Journal[Dr Amt],Journal[Debit Account],BD60,Journal[ref3],"TRUE")+SUMIFS(Journal[Cr Amt],Journal[Credit Account],BD60,Journal[ref3],"TRUE")</f>
        <v>0</v>
      </c>
      <c r="BF108" s="37">
        <f>-SUMIFS(JournalAnswer[Dr Amt],JournalAnswer[Debit Account],BE59,JournalAnswer[ref3],"TRUE")+SUMIFS(JournalAnswer[Cr Amt],JournalAnswer[Credit Account],BE59,JournalAnswer[ref3],"TRUE")</f>
        <v>0</v>
      </c>
      <c r="BG108" s="37" cm="1">
        <f t="array" aca="1" ref="BG108" ca="1">IF(NI_CFO_Recon_Chs_Ops[[#This Row],[Account]]&lt;&gt;"",_xlfn._xlws.FILTER(FSBuilder[Amount],(FSBuilder[Account or Explanation]=NI_CFO_Recon_Chs_Ops[[#This Row],[Account]])*(FSBuilder[Statement]="Cash Flow Statement"),0),0)</f>
        <v>0</v>
      </c>
      <c r="BH108" s="445">
        <f>IF(ABS(NI_CFO_Recon_Chs_Ops[[#This Row],[AmtJournal]])&gt;0,1,0)</f>
        <v>0</v>
      </c>
      <c r="BI108" s="445">
        <f>IF(ABS(NI_CFO_Recon_Chs_Ops[[#This Row],[AmtAnswer]])&gt;0,1,0)</f>
        <v>0</v>
      </c>
      <c r="BJ108" s="445">
        <f ca="1">IF(ABS(NI_CFO_Recon_Chs_Ops[[#This Row],[AmtFSBuilder]])&gt;0,1,0)</f>
        <v>0</v>
      </c>
    </row>
    <row r="109" spans="3:66">
      <c r="BA109" s="224">
        <f>IF(NI_CFO_Recon_Chs_Ops[[#This Row],[Order]]=1,7,8)</f>
        <v>8</v>
      </c>
      <c r="BB109" s="3" t="s">
        <v>183</v>
      </c>
      <c r="BC109" s="444">
        <f>IF(ABS(NI_CFO_Recon_Chs_Ops[[#This Row],[AmtJournal]])&gt;0,1,0)</f>
        <v>0</v>
      </c>
      <c r="BD109" s="444">
        <f>NI_CFO_Recon_Chs_Ops[[#This Row],[Used]]+SUM(BC98:BC108)</f>
        <v>0</v>
      </c>
      <c r="BE109" s="37">
        <f>-SUMIFS(Journal[Dr Amt],Journal[Debit Account],BD61,Journal[ref3],"TRUE")+SUMIFS(Journal[Cr Amt],Journal[Credit Account],BD61,Journal[ref3],"TRUE")</f>
        <v>0</v>
      </c>
      <c r="BF109" s="37">
        <f>-SUMIFS(JournalAnswer[Dr Amt],JournalAnswer[Debit Account],BE60,JournalAnswer[ref3],"TRUE")+SUMIFS(JournalAnswer[Cr Amt],JournalAnswer[Credit Account],BE60,JournalAnswer[ref3],"TRUE")</f>
        <v>0</v>
      </c>
      <c r="BG109" s="37" cm="1">
        <f t="array" aca="1" ref="BG109" ca="1">IF(NI_CFO_Recon_Chs_Ops[[#This Row],[Account]]&lt;&gt;"",_xlfn._xlws.FILTER(FSBuilder[Amount],(FSBuilder[Account or Explanation]=NI_CFO_Recon_Chs_Ops[[#This Row],[Account]])*(FSBuilder[Statement]="Cash Flow Statement"),0),0)</f>
        <v>0</v>
      </c>
      <c r="BH109" s="445">
        <f>IF(ABS(NI_CFO_Recon_Chs_Ops[[#This Row],[AmtJournal]])&gt;0,1,0)</f>
        <v>0</v>
      </c>
      <c r="BI109" s="445">
        <f>IF(ABS(NI_CFO_Recon_Chs_Ops[[#This Row],[AmtAnswer]])&gt;0,1,0)</f>
        <v>0</v>
      </c>
      <c r="BJ109" s="445">
        <f ca="1">IF(ABS(NI_CFO_Recon_Chs_Ops[[#This Row],[AmtFSBuilder]])&gt;0,1,0)</f>
        <v>0</v>
      </c>
    </row>
    <row r="110" spans="3:66">
      <c r="BA110" s="224">
        <f>IF(NI_CFO_Recon_Chs_Ops[[#This Row],[Order]]=1,7,8)</f>
        <v>8</v>
      </c>
      <c r="BB110" s="3" t="s">
        <v>185</v>
      </c>
      <c r="BC110" s="444">
        <f>IF(ABS(NI_CFO_Recon_Chs_Ops[[#This Row],[AmtJournal]])&gt;0,1,0)</f>
        <v>0</v>
      </c>
      <c r="BD110" s="444">
        <f>NI_CFO_Recon_Chs_Ops[[#This Row],[Used]]+SUM(BC98:BC109)</f>
        <v>0</v>
      </c>
      <c r="BE110" s="37">
        <f>-SUMIFS(Journal[Dr Amt],Journal[Debit Account],BD62,Journal[ref3],"TRUE")+SUMIFS(Journal[Cr Amt],Journal[Credit Account],BD62,Journal[ref3],"TRUE")</f>
        <v>0</v>
      </c>
      <c r="BF110" s="37">
        <f>-SUMIFS(JournalAnswer[Dr Amt],JournalAnswer[Debit Account],BE61,JournalAnswer[ref3],"TRUE")+SUMIFS(JournalAnswer[Cr Amt],JournalAnswer[Credit Account],BE61,JournalAnswer[ref3],"TRUE")</f>
        <v>0</v>
      </c>
      <c r="BG110" s="37" cm="1">
        <f t="array" aca="1" ref="BG110" ca="1">IF(NI_CFO_Recon_Chs_Ops[[#This Row],[Account]]&lt;&gt;"",_xlfn._xlws.FILTER(FSBuilder[Amount],(FSBuilder[Account or Explanation]=NI_CFO_Recon_Chs_Ops[[#This Row],[Account]])*(FSBuilder[Statement]="Cash Flow Statement"),0),0)</f>
        <v>0</v>
      </c>
      <c r="BH110" s="445">
        <f>IF(ABS(NI_CFO_Recon_Chs_Ops[[#This Row],[AmtJournal]])&gt;0,1,0)</f>
        <v>0</v>
      </c>
      <c r="BI110" s="445">
        <f>IF(ABS(NI_CFO_Recon_Chs_Ops[[#This Row],[AmtAnswer]])&gt;0,1,0)</f>
        <v>0</v>
      </c>
      <c r="BJ110" s="445">
        <f ca="1">IF(ABS(NI_CFO_Recon_Chs_Ops[[#This Row],[AmtFSBuilder]])&gt;0,1,0)</f>
        <v>0</v>
      </c>
    </row>
    <row r="111" spans="3:66">
      <c r="BA111" s="224">
        <f>IF(NI_CFO_Recon_Chs_Ops[[#This Row],[Order]]=1,7,8)</f>
        <v>8</v>
      </c>
      <c r="BB111" s="3" t="s">
        <v>188</v>
      </c>
      <c r="BC111" s="444">
        <f>IF(ABS(NI_CFO_Recon_Chs_Ops[[#This Row],[AmtJournal]])&gt;0,1,0)</f>
        <v>0</v>
      </c>
      <c r="BD111" s="444">
        <f>NI_CFO_Recon_Chs_Ops[[#This Row],[Used]]+SUM(BC98:BC110)</f>
        <v>0</v>
      </c>
      <c r="BE111" s="37">
        <f>-SUMIFS(Journal[Dr Amt],Journal[Debit Account],BD63,Journal[ref3],"TRUE")+SUMIFS(Journal[Cr Amt],Journal[Credit Account],BD63,Journal[ref3],"TRUE")</f>
        <v>0</v>
      </c>
      <c r="BF111" s="37">
        <f>-SUMIFS(JournalAnswer[Dr Amt],JournalAnswer[Debit Account],BE62,JournalAnswer[ref3],"TRUE")+SUMIFS(JournalAnswer[Cr Amt],JournalAnswer[Credit Account],BE62,JournalAnswer[ref3],"TRUE")</f>
        <v>0</v>
      </c>
      <c r="BG111" s="37" cm="1">
        <f t="array" aca="1" ref="BG111" ca="1">IF(NI_CFO_Recon_Chs_Ops[[#This Row],[Account]]&lt;&gt;"",_xlfn._xlws.FILTER(FSBuilder[Amount],(FSBuilder[Account or Explanation]=NI_CFO_Recon_Chs_Ops[[#This Row],[Account]])*(FSBuilder[Statement]="Cash Flow Statement"),0),0)</f>
        <v>0</v>
      </c>
      <c r="BH111" s="445">
        <f>IF(ABS(NI_CFO_Recon_Chs_Ops[[#This Row],[AmtJournal]])&gt;0,1,0)</f>
        <v>0</v>
      </c>
      <c r="BI111" s="445">
        <f>IF(ABS(NI_CFO_Recon_Chs_Ops[[#This Row],[AmtAnswer]])&gt;0,1,0)</f>
        <v>0</v>
      </c>
      <c r="BJ111" s="445">
        <f ca="1">IF(ABS(NI_CFO_Recon_Chs_Ops[[#This Row],[AmtFSBuilder]])&gt;0,1,0)</f>
        <v>0</v>
      </c>
    </row>
    <row r="112" spans="3:66">
      <c r="BA112" s="224">
        <f>IF(NI_CFO_Recon_Chs_Ops[[#This Row],[Order]]=1,7,8)</f>
        <v>8</v>
      </c>
      <c r="BB112" s="3" t="s">
        <v>191</v>
      </c>
      <c r="BC112" s="444">
        <f>IF(ABS(NI_CFO_Recon_Chs_Ops[[#This Row],[AmtJournal]])&gt;0,1,0)</f>
        <v>0</v>
      </c>
      <c r="BD112" s="444">
        <f>NI_CFO_Recon_Chs_Ops[[#This Row],[Used]]+SUM(BC98:BC111)</f>
        <v>0</v>
      </c>
      <c r="BE112" s="37">
        <f>-SUMIFS(Journal[Dr Amt],Journal[Debit Account],BD64,Journal[ref3],"TRUE")+SUMIFS(Journal[Cr Amt],Journal[Credit Account],BD64,Journal[ref3],"TRUE")</f>
        <v>0</v>
      </c>
      <c r="BF112" s="37">
        <f>-SUMIFS(JournalAnswer[Dr Amt],JournalAnswer[Debit Account],BE63,JournalAnswer[ref3],"TRUE")+SUMIFS(JournalAnswer[Cr Amt],JournalAnswer[Credit Account],BE63,JournalAnswer[ref3],"TRUE")</f>
        <v>0</v>
      </c>
      <c r="BG112" s="37" cm="1">
        <f t="array" aca="1" ref="BG112" ca="1">IF(NI_CFO_Recon_Chs_Ops[[#This Row],[Account]]&lt;&gt;"",_xlfn._xlws.FILTER(FSBuilder[Amount],(FSBuilder[Account or Explanation]=NI_CFO_Recon_Chs_Ops[[#This Row],[Account]])*(FSBuilder[Statement]="Cash Flow Statement"),0),0)</f>
        <v>0</v>
      </c>
      <c r="BH112" s="445">
        <f>IF(ABS(NI_CFO_Recon_Chs_Ops[[#This Row],[AmtJournal]])&gt;0,1,0)</f>
        <v>0</v>
      </c>
      <c r="BI112" s="445">
        <f>IF(ABS(NI_CFO_Recon_Chs_Ops[[#This Row],[AmtAnswer]])&gt;0,1,0)</f>
        <v>0</v>
      </c>
      <c r="BJ112" s="445">
        <f ca="1">IF(ABS(NI_CFO_Recon_Chs_Ops[[#This Row],[AmtFSBuilder]])&gt;0,1,0)</f>
        <v>0</v>
      </c>
    </row>
    <row r="113" spans="2:62">
      <c r="BA113" s="224">
        <f>IF(NI_CFO_Recon_Chs_Ops[[#This Row],[Order]]=1,7,8)</f>
        <v>8</v>
      </c>
      <c r="BB113" s="3" t="s">
        <v>197</v>
      </c>
      <c r="BC113" s="444">
        <f>IF(ABS(NI_CFO_Recon_Chs_Ops[[#This Row],[AmtJournal]])&gt;0,1,0)</f>
        <v>0</v>
      </c>
      <c r="BD113" s="444">
        <f>NI_CFO_Recon_Chs_Ops[[#This Row],[Used]]+SUM(BC98:BC112)</f>
        <v>0</v>
      </c>
      <c r="BE113" s="37">
        <f>-SUMIFS(Journal[Dr Amt],Journal[Debit Account],BD65,Journal[ref3],"TRUE")+SUMIFS(Journal[Cr Amt],Journal[Credit Account],BD65,Journal[ref3],"TRUE")</f>
        <v>0</v>
      </c>
      <c r="BF113" s="37">
        <f>-SUMIFS(JournalAnswer[Dr Amt],JournalAnswer[Debit Account],BE64,JournalAnswer[ref3],"TRUE")+SUMIFS(JournalAnswer[Cr Amt],JournalAnswer[Credit Account],BE64,JournalAnswer[ref3],"TRUE")</f>
        <v>0</v>
      </c>
      <c r="BG113" s="37" cm="1">
        <f t="array" aca="1" ref="BG113" ca="1">IF(NI_CFO_Recon_Chs_Ops[[#This Row],[Account]]&lt;&gt;"",_xlfn._xlws.FILTER(FSBuilder[Amount],(FSBuilder[Account or Explanation]=NI_CFO_Recon_Chs_Ops[[#This Row],[Account]])*(FSBuilder[Statement]="Cash Flow Statement"),0),0)</f>
        <v>0</v>
      </c>
      <c r="BH113" s="445">
        <f>IF(ABS(NI_CFO_Recon_Chs_Ops[[#This Row],[AmtJournal]])&gt;0,1,0)</f>
        <v>0</v>
      </c>
      <c r="BI113" s="445">
        <f>IF(ABS(NI_CFO_Recon_Chs_Ops[[#This Row],[AmtAnswer]])&gt;0,1,0)</f>
        <v>0</v>
      </c>
      <c r="BJ113" s="445">
        <f ca="1">IF(ABS(NI_CFO_Recon_Chs_Ops[[#This Row],[AmtFSBuilder]])&gt;0,1,0)</f>
        <v>0</v>
      </c>
    </row>
    <row r="114" spans="2:62">
      <c r="BA114" s="224">
        <f>IF(NI_CFO_Recon_Chs_Ops[[#This Row],[Order]]=1,7,8)</f>
        <v>8</v>
      </c>
      <c r="BB114" s="3" t="s">
        <v>200</v>
      </c>
      <c r="BC114" s="444">
        <f>IF(ABS(NI_CFO_Recon_Chs_Ops[[#This Row],[AmtJournal]])&gt;0,1,0)</f>
        <v>0</v>
      </c>
      <c r="BD114" s="444">
        <f>NI_CFO_Recon_Chs_Ops[[#This Row],[Used]]+SUM(BC98:BC113)</f>
        <v>0</v>
      </c>
      <c r="BE114" s="37">
        <f>-SUMIFS(Journal[Dr Amt],Journal[Debit Account],BD66,Journal[ref3],"TRUE")+SUMIFS(Journal[Cr Amt],Journal[Credit Account],BD66,Journal[ref3],"TRUE")</f>
        <v>0</v>
      </c>
      <c r="BF114" s="37">
        <f>-SUMIFS(JournalAnswer[Dr Amt],JournalAnswer[Debit Account],BE65,JournalAnswer[ref3],"TRUE")+SUMIFS(JournalAnswer[Cr Amt],JournalAnswer[Credit Account],BE65,JournalAnswer[ref3],"TRUE")</f>
        <v>0</v>
      </c>
      <c r="BG114" s="37" cm="1">
        <f t="array" aca="1" ref="BG114" ca="1">IF(NI_CFO_Recon_Chs_Ops[[#This Row],[Account]]&lt;&gt;"",_xlfn._xlws.FILTER(FSBuilder[Amount],(FSBuilder[Account or Explanation]=NI_CFO_Recon_Chs_Ops[[#This Row],[Account]])*(FSBuilder[Statement]="Cash Flow Statement"),0),0)</f>
        <v>0</v>
      </c>
      <c r="BH114" s="445">
        <f>IF(ABS(NI_CFO_Recon_Chs_Ops[[#This Row],[AmtJournal]])&gt;0,1,0)</f>
        <v>0</v>
      </c>
      <c r="BI114" s="445">
        <f>IF(ABS(NI_CFO_Recon_Chs_Ops[[#This Row],[AmtAnswer]])&gt;0,1,0)</f>
        <v>0</v>
      </c>
      <c r="BJ114" s="445">
        <f ca="1">IF(ABS(NI_CFO_Recon_Chs_Ops[[#This Row],[AmtFSBuilder]])&gt;0,1,0)</f>
        <v>0</v>
      </c>
    </row>
    <row r="115" spans="2:62">
      <c r="B115" s="423" t="s">
        <v>1017</v>
      </c>
      <c r="BA115" s="224">
        <f>IF(NI_CFO_Recon_Chs_Ops[[#This Row],[Order]]=1,7,8)</f>
        <v>8</v>
      </c>
      <c r="BB115" s="3" t="s">
        <v>203</v>
      </c>
      <c r="BC115" s="444">
        <f>IF(ABS(NI_CFO_Recon_Chs_Ops[[#This Row],[AmtJournal]])&gt;0,1,0)</f>
        <v>0</v>
      </c>
      <c r="BD115" s="444">
        <f>NI_CFO_Recon_Chs_Ops[[#This Row],[Used]]+SUM(BC98:BC114)</f>
        <v>0</v>
      </c>
      <c r="BE115" s="37">
        <f>-SUMIFS(Journal[Dr Amt],Journal[Debit Account],BD67,Journal[ref3],"TRUE")+SUMIFS(Journal[Cr Amt],Journal[Credit Account],BD67,Journal[ref3],"TRUE")</f>
        <v>0</v>
      </c>
      <c r="BF115" s="37">
        <f>-SUMIFS(JournalAnswer[Dr Amt],JournalAnswer[Debit Account],BE66,JournalAnswer[ref3],"TRUE")+SUMIFS(JournalAnswer[Cr Amt],JournalAnswer[Credit Account],BE66,JournalAnswer[ref3],"TRUE")</f>
        <v>0</v>
      </c>
      <c r="BG115" s="37" cm="1">
        <f t="array" aca="1" ref="BG115" ca="1">IF(NI_CFO_Recon_Chs_Ops[[#This Row],[Account]]&lt;&gt;"",_xlfn._xlws.FILTER(FSBuilder[Amount],(FSBuilder[Account or Explanation]=NI_CFO_Recon_Chs_Ops[[#This Row],[Account]])*(FSBuilder[Statement]="Cash Flow Statement"),0),0)</f>
        <v>0</v>
      </c>
      <c r="BH115" s="445">
        <f>IF(ABS(NI_CFO_Recon_Chs_Ops[[#This Row],[AmtJournal]])&gt;0,1,0)</f>
        <v>0</v>
      </c>
      <c r="BI115" s="445">
        <f>IF(ABS(NI_CFO_Recon_Chs_Ops[[#This Row],[AmtAnswer]])&gt;0,1,0)</f>
        <v>0</v>
      </c>
      <c r="BJ115" s="445">
        <f ca="1">IF(ABS(NI_CFO_Recon_Chs_Ops[[#This Row],[AmtFSBuilder]])&gt;0,1,0)</f>
        <v>0</v>
      </c>
    </row>
    <row r="116" spans="2:62">
      <c r="B116" s="426" t="s">
        <v>968</v>
      </c>
      <c r="C116" s="345" t="s">
        <v>1018</v>
      </c>
      <c r="BA116" s="224">
        <f>IF(NI_CFO_Recon_Chs_Ops[[#This Row],[Order]]=1,7,8)</f>
        <v>8</v>
      </c>
      <c r="BB116" s="3" t="s">
        <v>206</v>
      </c>
      <c r="BC116" s="444">
        <f>IF(ABS(NI_CFO_Recon_Chs_Ops[[#This Row],[AmtJournal]])&gt;0,1,0)</f>
        <v>0</v>
      </c>
      <c r="BD116" s="444">
        <f>NI_CFO_Recon_Chs_Ops[[#This Row],[Used]]+SUM(BC98:BC115)</f>
        <v>0</v>
      </c>
      <c r="BE116" s="37">
        <f>-SUMIFS(Journal[Dr Amt],Journal[Debit Account],BD68,Journal[ref3],"TRUE")+SUMIFS(Journal[Cr Amt],Journal[Credit Account],BD68,Journal[ref3],"TRUE")</f>
        <v>0</v>
      </c>
      <c r="BF116" s="37">
        <f>-SUMIFS(JournalAnswer[Dr Amt],JournalAnswer[Debit Account],BE67,JournalAnswer[ref3],"TRUE")+SUMIFS(JournalAnswer[Cr Amt],JournalAnswer[Credit Account],BE67,JournalAnswer[ref3],"TRUE")</f>
        <v>0</v>
      </c>
      <c r="BG116" s="37" cm="1">
        <f t="array" aca="1" ref="BG116" ca="1">IF(NI_CFO_Recon_Chs_Ops[[#This Row],[Account]]&lt;&gt;"",_xlfn._xlws.FILTER(FSBuilder[Amount],(FSBuilder[Account or Explanation]=NI_CFO_Recon_Chs_Ops[[#This Row],[Account]])*(FSBuilder[Statement]="Cash Flow Statement"),0),0)</f>
        <v>0</v>
      </c>
      <c r="BH116" s="445">
        <f>IF(ABS(NI_CFO_Recon_Chs_Ops[[#This Row],[AmtJournal]])&gt;0,1,0)</f>
        <v>0</v>
      </c>
      <c r="BI116" s="445">
        <f>IF(ABS(NI_CFO_Recon_Chs_Ops[[#This Row],[AmtAnswer]])&gt;0,1,0)</f>
        <v>0</v>
      </c>
      <c r="BJ116" s="445">
        <f ca="1">IF(ABS(NI_CFO_Recon_Chs_Ops[[#This Row],[AmtFSBuilder]])&gt;0,1,0)</f>
        <v>0</v>
      </c>
    </row>
    <row r="117" spans="2:62">
      <c r="B117" s="224">
        <v>10</v>
      </c>
      <c r="C117" s="506" t="s">
        <v>1019</v>
      </c>
      <c r="BA117" s="224">
        <f>IF(NI_CFO_Recon_Chs_Ops[[#This Row],[Order]]=1,7,8)</f>
        <v>8</v>
      </c>
      <c r="BB117" s="3" t="s">
        <v>223</v>
      </c>
      <c r="BC117" s="444">
        <f>IF(ABS(NI_CFO_Recon_Chs_Ops[[#This Row],[AmtJournal]])&gt;0,1,0)</f>
        <v>0</v>
      </c>
      <c r="BD117" s="444">
        <f>NI_CFO_Recon_Chs_Ops[[#This Row],[Used]]+SUM(BC98:BC116)</f>
        <v>0</v>
      </c>
      <c r="BE117" s="37">
        <f>-SUMIFS(Journal[Dr Amt],Journal[Debit Account],BD69,Journal[ref3],"TRUE")+SUMIFS(Journal[Cr Amt],Journal[Credit Account],BD69,Journal[ref3],"TRUE")</f>
        <v>0</v>
      </c>
      <c r="BF117" s="37">
        <f>-SUMIFS(JournalAnswer[Dr Amt],JournalAnswer[Debit Account],BE68,JournalAnswer[ref3],"TRUE")+SUMIFS(JournalAnswer[Cr Amt],JournalAnswer[Credit Account],BE68,JournalAnswer[ref3],"TRUE")</f>
        <v>0</v>
      </c>
      <c r="BG117" s="37" cm="1">
        <f t="array" aca="1" ref="BG117" ca="1">IF(NI_CFO_Recon_Chs_Ops[[#This Row],[Account]]&lt;&gt;"",_xlfn._xlws.FILTER(FSBuilder[Amount],(FSBuilder[Account or Explanation]=NI_CFO_Recon_Chs_Ops[[#This Row],[Account]])*(FSBuilder[Statement]="Cash Flow Statement"),0),0)</f>
        <v>0</v>
      </c>
      <c r="BH117" s="445">
        <f>IF(ABS(NI_CFO_Recon_Chs_Ops[[#This Row],[AmtJournal]])&gt;0,1,0)</f>
        <v>0</v>
      </c>
      <c r="BI117" s="445">
        <f>IF(ABS(NI_CFO_Recon_Chs_Ops[[#This Row],[AmtAnswer]])&gt;0,1,0)</f>
        <v>0</v>
      </c>
      <c r="BJ117" s="445">
        <f ca="1">IF(ABS(NI_CFO_Recon_Chs_Ops[[#This Row],[AmtFSBuilder]])&gt;0,1,0)</f>
        <v>0</v>
      </c>
    </row>
    <row r="118" spans="2:62">
      <c r="B118" s="224">
        <v>11</v>
      </c>
      <c r="C118" t="str">
        <f>Entity&amp;" (the 'Company', 'we', 'us', 'our') is a "&amp;EntityType&amp;" whose activity is "&amp;EntityActivity&amp;"."</f>
        <v>Accounting Identity LLC (the 'Company', 'we', 'us', 'our') is a For-profit corporation whose activity is Service.</v>
      </c>
      <c r="BA118" s="224">
        <v>3</v>
      </c>
      <c r="BB118" s="446" t="s">
        <v>1010</v>
      </c>
      <c r="BC118" s="444"/>
      <c r="BD118" s="444"/>
      <c r="BE118" s="37">
        <f>BE7+SUM(NI_CFO_Recon_Adjs[AmtJournal])+SUM(BE98:BE117)</f>
        <v>0</v>
      </c>
      <c r="BF118" s="37">
        <f ca="1">BF7+SUM(NI_CFO_Recon_Adjs[AmtAnswer])+SUM(BF98:BF117)</f>
        <v>12</v>
      </c>
      <c r="BG118" s="37">
        <f ca="1">BG7+SUM(NI_CFO_Recon_Adjs[AmtFSBuilder])+SUM(BG98:BG117)</f>
        <v>0</v>
      </c>
      <c r="BH118" s="445"/>
      <c r="BI118" s="445"/>
      <c r="BJ118" s="445"/>
    </row>
    <row r="119" spans="2:62" ht="43.15">
      <c r="B119" s="224">
        <v>10</v>
      </c>
      <c r="C119" s="506" t="s">
        <v>1020</v>
      </c>
    </row>
    <row r="120" spans="2:62" ht="28.9">
      <c r="B120" s="224">
        <v>10</v>
      </c>
      <c r="C120" s="500" t="s">
        <v>1021</v>
      </c>
    </row>
    <row r="121" spans="2:62" ht="144">
      <c r="B121" s="224">
        <v>11</v>
      </c>
      <c r="C121" s="480" t="s">
        <v>1022</v>
      </c>
    </row>
    <row r="122" spans="2:62" ht="28.9">
      <c r="B122" s="224">
        <v>10</v>
      </c>
      <c r="C122" s="500" t="s">
        <v>1023</v>
      </c>
    </row>
    <row r="123" spans="2:62" ht="28.9">
      <c r="B123" s="224">
        <v>11</v>
      </c>
      <c r="C123" s="501" t="s">
        <v>1024</v>
      </c>
    </row>
    <row r="124" spans="2:62" ht="28.9">
      <c r="B124" s="224">
        <v>10</v>
      </c>
      <c r="C124" s="500" t="s">
        <v>1025</v>
      </c>
    </row>
    <row r="125" spans="2:62" ht="43.15">
      <c r="B125" s="224">
        <v>11</v>
      </c>
      <c r="C125" s="501" t="str">
        <f>"Our inventories are exclusively goods held for resale and stated on a "&amp;InventoryMethod&amp;" basis."</f>
        <v>Our inventories are exclusively goods held for resale and stated on a First-in, first-out (FIFO) basis.</v>
      </c>
    </row>
    <row r="126" spans="2:62" ht="28.9">
      <c r="B126" s="224">
        <v>10</v>
      </c>
      <c r="C126" s="500" t="s">
        <v>1026</v>
      </c>
    </row>
    <row r="127" spans="2:62" ht="28.9">
      <c r="B127" s="224">
        <v>11</v>
      </c>
      <c r="C127" s="501" t="s">
        <v>1027</v>
      </c>
    </row>
    <row r="128" spans="2:62" ht="28.9">
      <c r="B128" s="224">
        <v>10</v>
      </c>
      <c r="C128" s="500" t="s">
        <v>1028</v>
      </c>
    </row>
    <row r="129" spans="2:64" ht="115.15">
      <c r="B129" s="224">
        <v>11</v>
      </c>
      <c r="C129" s="501"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28.9">
      <c r="B130" s="224">
        <v>10</v>
      </c>
      <c r="C130" s="500" t="s">
        <v>1029</v>
      </c>
    </row>
    <row r="131" spans="2:64" ht="43.15">
      <c r="B131" s="224">
        <v>11</v>
      </c>
      <c r="C131" s="480" t="s">
        <v>1030</v>
      </c>
    </row>
    <row r="132" spans="2:64" ht="28.9">
      <c r="B132" s="224">
        <v>10</v>
      </c>
      <c r="C132" s="500" t="s">
        <v>1031</v>
      </c>
    </row>
    <row r="133" spans="2:64" s="521" customFormat="1" ht="72">
      <c r="B133" s="520">
        <v>11</v>
      </c>
      <c r="C133" s="226" t="s">
        <v>1032</v>
      </c>
      <c r="H133" s="520"/>
      <c r="R133" s="520"/>
      <c r="S133" s="520"/>
      <c r="T133" s="520"/>
      <c r="U133" s="520"/>
      <c r="V133" s="520"/>
      <c r="W133" s="520"/>
      <c r="X133" s="520"/>
      <c r="Y133" s="520"/>
      <c r="Z133" s="520"/>
      <c r="AA133" s="520"/>
      <c r="AB133" s="520"/>
      <c r="AC133" s="520"/>
      <c r="AD133" s="224"/>
      <c r="AE133"/>
      <c r="AF133"/>
      <c r="AG133"/>
      <c r="AH133"/>
      <c r="AI133"/>
      <c r="AJ133"/>
      <c r="AK133"/>
      <c r="AL133"/>
      <c r="AM133"/>
      <c r="AN133"/>
      <c r="AP133" s="224"/>
      <c r="AQ133"/>
      <c r="AR133"/>
      <c r="AS133" s="224"/>
      <c r="AT133" s="224"/>
      <c r="AU133" s="224"/>
      <c r="AV133" s="224"/>
      <c r="AW133" s="224"/>
      <c r="AX133" s="224"/>
      <c r="AY133" s="224"/>
      <c r="AZ133" s="520"/>
      <c r="BA133" s="520"/>
      <c r="BL133" s="520"/>
    </row>
    <row r="134" spans="2:64" ht="28.9">
      <c r="B134" s="224">
        <v>10</v>
      </c>
      <c r="C134" s="500" t="s">
        <v>1033</v>
      </c>
      <c r="AP134" s="520"/>
      <c r="AQ134" s="521"/>
      <c r="AR134" s="521"/>
      <c r="AS134" s="520"/>
      <c r="AT134" s="520"/>
      <c r="AU134" s="520"/>
      <c r="AV134" s="520"/>
      <c r="AW134" s="520"/>
      <c r="AX134" s="520"/>
      <c r="AY134" s="520"/>
    </row>
    <row r="135" spans="2:64" ht="57.6">
      <c r="B135" s="224">
        <v>11</v>
      </c>
      <c r="C135" s="501" t="str">
        <f>"We have evaluated subsequent events through "&amp;Issue_Date&amp;", the date we have issued these financial statements. As of that date, there were no material, reportable subsequent events."</f>
        <v>We have evaluated subsequent events through 0, the date we have issued these financial statements. As of that date, there were no material, reportable subsequent events.</v>
      </c>
    </row>
    <row r="136" spans="2:64">
      <c r="B136" s="224">
        <v>8</v>
      </c>
    </row>
    <row r="137" spans="2:64">
      <c r="B137" s="224">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AE853"/>
  <sheetViews>
    <sheetView zoomScale="130" zoomScaleNormal="130" workbookViewId="0">
      <selection activeCell="F14" sqref="F14"/>
    </sheetView>
  </sheetViews>
  <sheetFormatPr defaultRowHeight="14.45"/>
  <cols>
    <col min="1" max="1" width="4.28515625" customWidth="1"/>
    <col min="2" max="2" width="4.140625" customWidth="1"/>
    <col min="3" max="3" width="51.85546875" bestFit="1" customWidth="1"/>
    <col min="4" max="4" width="26.28515625" customWidth="1"/>
    <col min="5" max="5" width="25.7109375" customWidth="1"/>
    <col min="6" max="6" width="15.85546875" customWidth="1"/>
    <col min="7" max="7" width="13.85546875" customWidth="1"/>
    <col min="8" max="8" width="3.42578125" customWidth="1"/>
    <col min="9" max="9" width="3.28515625" customWidth="1"/>
    <col min="10" max="10" width="43.28515625" customWidth="1"/>
    <col min="11" max="11" width="10.42578125" customWidth="1"/>
    <col min="12" max="12" width="2.42578125" style="224" customWidth="1"/>
    <col min="13" max="13" width="44.5703125" customWidth="1"/>
    <col min="14" max="14" width="10.85546875" customWidth="1"/>
    <col min="15" max="15" width="1.5703125" customWidth="1"/>
    <col min="16" max="16" width="1.28515625" customWidth="1"/>
    <col min="17" max="17" width="40.28515625" customWidth="1"/>
    <col min="18" max="18" width="14.28515625" customWidth="1"/>
    <col min="19" max="19" width="1.7109375" customWidth="1"/>
    <col min="20" max="20" width="44.140625" customWidth="1"/>
    <col min="21" max="21" width="9.140625" customWidth="1"/>
    <col min="22" max="22" width="1.5703125" customWidth="1"/>
    <col min="23" max="23" width="1.7109375" customWidth="1"/>
    <col min="24" max="24" width="45.42578125" customWidth="1"/>
    <col min="25" max="25" width="10.28515625" customWidth="1"/>
    <col min="27" max="27" width="3.28515625" customWidth="1"/>
    <col min="28" max="28" width="45.42578125" customWidth="1"/>
    <col min="29" max="29" width="10.28515625" customWidth="1"/>
  </cols>
  <sheetData>
    <row r="1" spans="3:25" ht="23.45">
      <c r="C1" s="5" t="s">
        <v>1034</v>
      </c>
      <c r="J1" s="414" t="str">
        <f>IF(D4&lt;&gt;"",D4,"")</f>
        <v>RetailBiz, Inc.</v>
      </c>
      <c r="K1" s="506"/>
      <c r="L1" s="509"/>
      <c r="M1" s="509"/>
      <c r="N1" s="509"/>
      <c r="O1" s="508">
        <f>IF(M1&lt;&gt;"",COUNTIFS($AJ$183:$AJ$200,M1),0)</f>
        <v>0</v>
      </c>
      <c r="P1" s="508"/>
      <c r="Q1" s="506"/>
      <c r="R1" s="506"/>
      <c r="S1" s="508"/>
      <c r="T1" s="506"/>
      <c r="U1" s="506"/>
      <c r="V1" s="509"/>
      <c r="W1" s="508"/>
      <c r="X1" s="506"/>
      <c r="Y1" s="506"/>
    </row>
    <row r="2" spans="3:25" ht="15" thickBot="1">
      <c r="C2" s="5"/>
      <c r="J2" s="413" t="str">
        <f>IF(D5&lt;&gt;"",D5,"")</f>
        <v>Dollars in Thousands</v>
      </c>
      <c r="K2" s="506"/>
      <c r="L2" s="509"/>
      <c r="M2" s="509"/>
      <c r="N2" s="509"/>
      <c r="O2" s="508">
        <f>IF(M2&lt;&gt;"",COUNTIFS($AJ$183:$AJ$200,M2),0)</f>
        <v>0</v>
      </c>
      <c r="P2" s="508"/>
      <c r="Q2" s="506"/>
      <c r="R2" s="506"/>
      <c r="S2" s="508"/>
      <c r="T2" s="506"/>
      <c r="U2" s="506"/>
      <c r="V2" s="509"/>
      <c r="W2" s="508"/>
      <c r="X2" s="506"/>
      <c r="Y2" s="506"/>
    </row>
    <row r="3" spans="3:25" ht="15" thickBot="1">
      <c r="C3" s="567" t="s">
        <v>689</v>
      </c>
      <c r="D3" s="568" t="s">
        <v>1035</v>
      </c>
      <c r="J3" s="42"/>
      <c r="K3" s="509"/>
      <c r="L3" s="509"/>
      <c r="M3" s="508"/>
      <c r="N3" s="508"/>
      <c r="O3" s="508"/>
      <c r="P3" s="508"/>
      <c r="Q3" s="508"/>
      <c r="R3" s="508"/>
      <c r="S3" s="508"/>
      <c r="T3" s="508"/>
      <c r="U3" s="508"/>
      <c r="V3" s="508"/>
      <c r="W3" s="508"/>
      <c r="X3" s="42"/>
      <c r="Y3" s="508"/>
    </row>
    <row r="4" spans="3:25" ht="18.600000000000001" thickBot="1">
      <c r="C4" s="207" t="s">
        <v>713</v>
      </c>
      <c r="D4" s="533" t="s">
        <v>642</v>
      </c>
      <c r="J4" s="415" t="str">
        <f>IF(D6&lt;&gt;"",D6,"")</f>
        <v>12/31/20x4</v>
      </c>
      <c r="K4" s="412"/>
      <c r="M4" s="684" t="str">
        <f>IF(D8&lt;&gt;"","Explanations of Changes over the "&amp;D8,"")</f>
        <v>Explanations of Changes over the Year</v>
      </c>
      <c r="N4" s="685"/>
      <c r="O4" s="685"/>
      <c r="P4" s="685"/>
      <c r="Q4" s="685"/>
      <c r="R4" s="685"/>
      <c r="S4" s="685"/>
      <c r="T4" s="685"/>
      <c r="U4" s="685"/>
      <c r="V4" s="224"/>
      <c r="X4" s="415" t="str">
        <f>IF(D7&lt;&gt;"",D7,"")</f>
        <v>12/31/20x5</v>
      </c>
      <c r="Y4" s="412"/>
    </row>
    <row r="5" spans="3:25" ht="15" thickBot="1">
      <c r="C5" s="107" t="s">
        <v>36</v>
      </c>
      <c r="D5" s="534" t="s">
        <v>452</v>
      </c>
      <c r="J5" s="581"/>
      <c r="K5" s="293"/>
      <c r="M5" s="581"/>
      <c r="N5" s="293"/>
      <c r="O5" s="42"/>
      <c r="P5" s="42"/>
      <c r="Q5" s="293"/>
      <c r="R5" s="293"/>
      <c r="S5" s="42"/>
      <c r="T5" s="293"/>
      <c r="U5" s="293"/>
      <c r="V5" s="224"/>
      <c r="W5" s="42"/>
      <c r="X5" s="293"/>
      <c r="Y5" s="293"/>
    </row>
    <row r="6" spans="3:25" ht="18.600000000000001" thickBot="1">
      <c r="C6" s="107" t="s">
        <v>693</v>
      </c>
      <c r="D6" s="534" t="s">
        <v>644</v>
      </c>
      <c r="H6" s="42"/>
      <c r="J6" s="589" t="str">
        <f>IF(OR(D101,E101),"Balance Sheet","")</f>
        <v>Balance Sheet</v>
      </c>
      <c r="K6" s="590"/>
      <c r="L6" s="569">
        <v>1</v>
      </c>
      <c r="M6" s="589" t="str">
        <f>IF(R111,"Income Statement","")</f>
        <v>Income Statement</v>
      </c>
      <c r="N6" s="590"/>
      <c r="O6" s="569"/>
      <c r="P6" s="569">
        <v>1</v>
      </c>
      <c r="Q6" s="589" t="str">
        <f ca="1">IF($R$118,"Statement of Changes in Shareholders' Equity","")</f>
        <v>Statement of Changes in Shareholders' Equity</v>
      </c>
      <c r="R6" s="590"/>
      <c r="S6" s="569">
        <v>1</v>
      </c>
      <c r="T6" s="589" t="str">
        <f ca="1">IF($R$126,"Cash Flow Statement","")</f>
        <v>Cash Flow Statement</v>
      </c>
      <c r="U6" s="590"/>
      <c r="V6" s="570"/>
      <c r="W6" s="569">
        <v>1</v>
      </c>
      <c r="X6" s="589" t="str">
        <f>IF(OR(D106,E106),"Balance Sheet","")</f>
        <v>Balance Sheet</v>
      </c>
      <c r="Y6" s="590"/>
    </row>
    <row r="7" spans="3:25">
      <c r="C7" s="107" t="s">
        <v>694</v>
      </c>
      <c r="D7" s="534" t="s">
        <v>645</v>
      </c>
      <c r="H7" s="42"/>
      <c r="I7" s="42" cm="1">
        <f t="array" aca="1" ref="I7:K32" ca="1">_xlfn.VSTACK(_xlfn.ANCHORARRAY(B609),{"","",""},_xlfn.ANCHORARRAY(B689),{"","",""},_xlfn.ANCHORARRAY(B744))</f>
        <v>2</v>
      </c>
      <c r="J7" t="str">
        <f ca="1"/>
        <v>Assets</v>
      </c>
      <c r="K7" t="str">
        <f ca="1"/>
        <v/>
      </c>
      <c r="L7" s="42" cm="1">
        <f t="array" ref="L7:N17">_xlfn.IFS(L564,_xlfn.ANCHORARRAY(I719),L565,_xlfn.ANCHORARRAY(I764),L566,_xlfn.ANCHORARRAY(I799),L567,_xlfn.ANCHORARRAY(I839),L568,{"","",""})</f>
        <v>2</v>
      </c>
      <c r="M7" t="str">
        <v>Revenues</v>
      </c>
      <c r="N7" t="str">
        <v/>
      </c>
      <c r="P7" s="42" cm="1">
        <f t="array" aca="1" ref="P7:R13" ca="1">_xlfn.IFS(R566=1,_xlfn.ANCHORARRAY(P653),R566=2,_xlfn.ANCHORARRAY(P688),R566=3,O714)</f>
        <v>2</v>
      </c>
      <c r="Q7" t="str">
        <f ca="1"/>
        <v>Total Shareholders' Equity @ 12/31/20x0</v>
      </c>
      <c r="R7">
        <f ca="1"/>
        <v>0</v>
      </c>
      <c r="S7" s="42" cm="1">
        <f t="array" aca="1" ref="S7:U20" ca="1">_xlfn.VSTACK(_xlfn.ANCHORARRAY(S567),{"","",""},_xlfn.ANCHORARRAY(S569),_xlfn.ANCHORARRAY(S571),_xlfn.ANCHORARRAY(S594),_xlfn.ANCHORARRAY(S596),_xlfn.ANCHORARRAY(S614),_xlfn.ANCHORARRAY(S616),_xlfn.ANCHORARRAY(S627),{"","",""},_xlfn.ANCHORARRAY(S629))</f>
        <v>2</v>
      </c>
      <c r="T7" t="str">
        <f ca="1"/>
        <v>Cash @ 12/31/20x0</v>
      </c>
      <c r="U7">
        <f ca="1"/>
        <v>0</v>
      </c>
      <c r="W7" s="42" cm="1">
        <f t="array" aca="1" ref="W7:Y31" ca="1">_xlfn.VSTACK(_xlfn.ANCHORARRAY(AA609),{"","",""},_xlfn.ANCHORARRAY(AA689),{"","",""},_xlfn.ANCHORARRAY(AA744))</f>
        <v>2</v>
      </c>
      <c r="X7" t="str">
        <f ca="1"/>
        <v>Assets</v>
      </c>
      <c r="Y7" t="str">
        <f ca="1"/>
        <v/>
      </c>
    </row>
    <row r="8" spans="3:25">
      <c r="C8" s="107" t="s">
        <v>636</v>
      </c>
      <c r="D8" s="534" t="s">
        <v>646</v>
      </c>
      <c r="H8" s="42"/>
      <c r="I8" s="42" t="str">
        <f ca="1"/>
        <v/>
      </c>
      <c r="J8" t="str">
        <f ca="1"/>
        <v/>
      </c>
      <c r="K8" t="str">
        <f ca="1"/>
        <v/>
      </c>
      <c r="L8" s="42" t="str">
        <v/>
      </c>
      <c r="M8" t="str">
        <v/>
      </c>
      <c r="N8" t="str">
        <v/>
      </c>
      <c r="P8" s="42" t="str">
        <f ca="1"/>
        <v/>
      </c>
      <c r="Q8" t="str">
        <f ca="1"/>
        <v/>
      </c>
      <c r="R8" t="str">
        <f ca="1"/>
        <v/>
      </c>
      <c r="S8" s="42" t="str">
        <f ca="1"/>
        <v/>
      </c>
      <c r="T8" t="str">
        <f ca="1"/>
        <v/>
      </c>
      <c r="U8" t="str">
        <f ca="1"/>
        <v/>
      </c>
      <c r="W8" s="42" t="str">
        <f ca="1"/>
        <v/>
      </c>
      <c r="X8" t="str">
        <f ca="1"/>
        <v/>
      </c>
      <c r="Y8" t="str">
        <f ca="1"/>
        <v/>
      </c>
    </row>
    <row r="9" spans="3:25">
      <c r="C9" s="107" t="s">
        <v>586</v>
      </c>
      <c r="D9" s="108" t="str">
        <f>"for the "&amp;D8&amp;" ended "&amp;D7</f>
        <v>for the Year ended 12/31/20x5</v>
      </c>
      <c r="H9" s="42"/>
      <c r="I9" s="42">
        <f ca="1"/>
        <v>4</v>
      </c>
      <c r="J9" t="str">
        <f ca="1"/>
        <v xml:space="preserve"> Current Assets:</v>
      </c>
      <c r="K9" t="str">
        <f ca="1"/>
        <v/>
      </c>
      <c r="L9" s="42" t="str">
        <v/>
      </c>
      <c r="M9" t="str">
        <v/>
      </c>
      <c r="N9" t="str">
        <v/>
      </c>
      <c r="P9" s="42">
        <f ca="1"/>
        <v>3</v>
      </c>
      <c r="Q9" t="str">
        <f ca="1"/>
        <v>Common Stock</v>
      </c>
      <c r="R9" t="str">
        <f ca="1"/>
        <v/>
      </c>
      <c r="S9" s="42">
        <f ca="1"/>
        <v>3</v>
      </c>
      <c r="T9" t="str">
        <f ca="1"/>
        <v>Operating Activities</v>
      </c>
      <c r="U9" t="str">
        <f ca="1"/>
        <v/>
      </c>
      <c r="W9" s="42">
        <f ca="1"/>
        <v>4</v>
      </c>
      <c r="X9" t="str">
        <f ca="1"/>
        <v xml:space="preserve"> Current Assets:</v>
      </c>
      <c r="Y9" t="str">
        <f ca="1"/>
        <v/>
      </c>
    </row>
    <row r="10" spans="3:25">
      <c r="C10" s="107" t="s">
        <v>696</v>
      </c>
      <c r="D10" s="108" t="str">
        <f>"for the "&amp;D8&amp;" ended "&amp;D7</f>
        <v>for the Year ended 12/31/20x5</v>
      </c>
      <c r="H10" s="42"/>
      <c r="I10" s="42">
        <f ca="1"/>
        <v>6</v>
      </c>
      <c r="J10" t="str">
        <f ca="1"/>
        <v>Cash</v>
      </c>
      <c r="K10">
        <f ca="1"/>
        <v>0</v>
      </c>
      <c r="L10" s="42">
        <v>5</v>
      </c>
      <c r="M10" t="str">
        <v xml:space="preserve">  Total Revenues</v>
      </c>
      <c r="N10">
        <v>0</v>
      </c>
      <c r="P10" s="42">
        <f ca="1"/>
        <v>3</v>
      </c>
      <c r="Q10" t="str">
        <f ca="1"/>
        <v>Additional Paid-in Capital</v>
      </c>
      <c r="R10" t="str">
        <f ca="1"/>
        <v/>
      </c>
      <c r="S10" s="42" t="str">
        <f ca="1"/>
        <v/>
      </c>
      <c r="T10" t="str">
        <f ca="1"/>
        <v/>
      </c>
      <c r="U10" t="str">
        <f ca="1"/>
        <v/>
      </c>
      <c r="W10" s="42">
        <f ca="1"/>
        <v>6</v>
      </c>
      <c r="X10" t="str">
        <f ca="1"/>
        <v>Cash</v>
      </c>
      <c r="Y10">
        <f ca="1"/>
        <v>0</v>
      </c>
    </row>
    <row r="11" spans="3:25" ht="15" thickBot="1">
      <c r="C11" s="109" t="s">
        <v>626</v>
      </c>
      <c r="D11" s="110" t="str">
        <f>"for the "&amp;D8&amp;" ended "&amp;D7</f>
        <v>for the Year ended 12/31/20x5</v>
      </c>
      <c r="H11" s="42"/>
      <c r="I11" s="42">
        <f ca="1"/>
        <v>7</v>
      </c>
      <c r="J11" t="str">
        <f ca="1"/>
        <v>Accounts Receivable</v>
      </c>
      <c r="K11">
        <f ca="1"/>
        <v>0</v>
      </c>
      <c r="L11" s="42" t="str">
        <v/>
      </c>
      <c r="M11" t="str">
        <v/>
      </c>
      <c r="N11" t="str">
        <v/>
      </c>
      <c r="P11" s="42">
        <f ca="1"/>
        <v>3</v>
      </c>
      <c r="Q11" t="str">
        <f ca="1"/>
        <v>Retained Earnings</v>
      </c>
      <c r="R11" t="str">
        <f ca="1"/>
        <v/>
      </c>
      <c r="S11" s="42" t="str">
        <f ca="1"/>
        <v/>
      </c>
      <c r="T11" t="str">
        <f ca="1"/>
        <v/>
      </c>
      <c r="U11" t="str">
        <f ca="1"/>
        <v/>
      </c>
      <c r="W11" s="42">
        <f ca="1"/>
        <v>7</v>
      </c>
      <c r="X11" t="str">
        <f ca="1"/>
        <v>Accounts Receivable</v>
      </c>
      <c r="Y11">
        <f ca="1"/>
        <v>0</v>
      </c>
    </row>
    <row r="12" spans="3:25" ht="15" thickBot="1">
      <c r="H12" s="42"/>
      <c r="I12" s="42">
        <f ca="1"/>
        <v>7</v>
      </c>
      <c r="J12" t="str">
        <f ca="1"/>
        <v>Inventories</v>
      </c>
      <c r="K12">
        <f ca="1"/>
        <v>0</v>
      </c>
      <c r="L12" s="42">
        <v>2</v>
      </c>
      <c r="M12" t="str">
        <v>Expenses</v>
      </c>
      <c r="N12" t="str">
        <v/>
      </c>
      <c r="P12" s="42">
        <f ca="1"/>
        <v>2</v>
      </c>
      <c r="Q12" t="str">
        <f ca="1"/>
        <v>Total Shareholders' Equity @ 12/31/20x1</v>
      </c>
      <c r="R12">
        <f ca="1"/>
        <v>0</v>
      </c>
      <c r="S12" s="42">
        <f ca="1"/>
        <v>3</v>
      </c>
      <c r="T12" t="str">
        <f ca="1"/>
        <v>Investing Activities</v>
      </c>
      <c r="U12" t="str">
        <f ca="1"/>
        <v/>
      </c>
      <c r="W12" s="42">
        <f ca="1"/>
        <v>7</v>
      </c>
      <c r="X12" t="str">
        <f ca="1"/>
        <v>Inventories</v>
      </c>
      <c r="Y12">
        <f ca="1"/>
        <v>0</v>
      </c>
    </row>
    <row r="13" spans="3:25" ht="15" thickBot="1">
      <c r="C13" s="567" t="s">
        <v>1036</v>
      </c>
      <c r="D13" s="568" t="s">
        <v>1037</v>
      </c>
      <c r="H13" s="42"/>
      <c r="I13" s="42" t="str">
        <f ca="1"/>
        <v/>
      </c>
      <c r="J13" t="str">
        <f ca="1"/>
        <v/>
      </c>
      <c r="K13" t="str">
        <f ca="1"/>
        <v/>
      </c>
      <c r="L13" s="42" t="str">
        <v/>
      </c>
      <c r="M13" t="str">
        <v/>
      </c>
      <c r="N13" t="str">
        <v/>
      </c>
      <c r="P13" s="42" t="str">
        <f ca="1"/>
        <v/>
      </c>
      <c r="Q13" t="str">
        <f ca="1"/>
        <v/>
      </c>
      <c r="R13" t="str">
        <f ca="1"/>
        <v/>
      </c>
      <c r="S13" s="42" t="str">
        <f ca="1"/>
        <v/>
      </c>
      <c r="T13" t="str">
        <f ca="1"/>
        <v/>
      </c>
      <c r="U13" t="str">
        <f ca="1"/>
        <v/>
      </c>
      <c r="W13" s="42" t="str">
        <f ca="1"/>
        <v/>
      </c>
      <c r="X13" t="str">
        <f ca="1"/>
        <v/>
      </c>
      <c r="Y13" t="str">
        <f ca="1"/>
        <v/>
      </c>
    </row>
    <row r="14" spans="3:25">
      <c r="C14" s="107" t="str" cm="1">
        <f t="array" ref="C14:C21">IFERROR(_xlfn._xlws.FILTER(ProblemData!D10:D17,ProblemData!E10:E17),"")</f>
        <v>Beginning Balance Sheet</v>
      </c>
      <c r="D14" s="579" t="b">
        <v>1</v>
      </c>
      <c r="H14" s="42"/>
      <c r="I14" s="42" t="str">
        <f ca="1"/>
        <v/>
      </c>
      <c r="J14" t="str">
        <f ca="1"/>
        <v/>
      </c>
      <c r="K14" t="str">
        <f ca="1"/>
        <v/>
      </c>
      <c r="L14" s="42" t="str">
        <v/>
      </c>
      <c r="M14" t="str">
        <v/>
      </c>
      <c r="N14" t="str">
        <v/>
      </c>
      <c r="P14" s="42"/>
      <c r="S14" s="42" t="str">
        <f ca="1"/>
        <v/>
      </c>
      <c r="T14" t="str">
        <f ca="1"/>
        <v/>
      </c>
      <c r="U14" t="str">
        <f ca="1"/>
        <v/>
      </c>
      <c r="W14" s="42" t="str">
        <f ca="1"/>
        <v/>
      </c>
      <c r="X14" t="str">
        <f ca="1"/>
        <v/>
      </c>
      <c r="Y14" t="str">
        <f ca="1"/>
        <v/>
      </c>
    </row>
    <row r="15" spans="3:25">
      <c r="C15" s="577" t="str">
        <v>Income Statement</v>
      </c>
      <c r="D15" s="579" t="b">
        <v>1</v>
      </c>
      <c r="H15" s="42"/>
      <c r="I15" s="42">
        <f ca="1"/>
        <v>4</v>
      </c>
      <c r="J15" t="str">
        <f ca="1"/>
        <v xml:space="preserve"> Noncurrent Assets:</v>
      </c>
      <c r="K15" t="str">
        <f ca="1"/>
        <v/>
      </c>
      <c r="L15" s="42">
        <v>5</v>
      </c>
      <c r="M15" t="str">
        <v xml:space="preserve">  Total Expenses</v>
      </c>
      <c r="N15">
        <v>0</v>
      </c>
      <c r="P15" s="42"/>
      <c r="S15" s="42">
        <f ca="1"/>
        <v>3</v>
      </c>
      <c r="T15" t="str">
        <f ca="1"/>
        <v>Financing Activities</v>
      </c>
      <c r="U15" t="str">
        <f ca="1"/>
        <v/>
      </c>
      <c r="W15" s="42">
        <f ca="1"/>
        <v>4</v>
      </c>
      <c r="X15" t="str">
        <f ca="1"/>
        <v xml:space="preserve"> Noncurrent Assets:</v>
      </c>
      <c r="Y15" t="str">
        <f ca="1"/>
        <v/>
      </c>
    </row>
    <row r="16" spans="3:25">
      <c r="C16" s="107" t="str">
        <v>Statement of Comprehensive Income</v>
      </c>
      <c r="D16" s="579" t="b">
        <v>0</v>
      </c>
      <c r="H16" s="42"/>
      <c r="I16" s="42">
        <f ca="1"/>
        <v>6</v>
      </c>
      <c r="J16" t="str">
        <f ca="1"/>
        <v>Property, Plant &amp; Equipment</v>
      </c>
      <c r="K16">
        <f ca="1"/>
        <v>0</v>
      </c>
      <c r="L16" s="42" t="str">
        <v/>
      </c>
      <c r="M16" t="str">
        <v/>
      </c>
      <c r="N16" t="str">
        <v/>
      </c>
      <c r="P16" s="42"/>
      <c r="S16" s="42" t="str">
        <f ca="1"/>
        <v/>
      </c>
      <c r="T16" t="str">
        <f ca="1"/>
        <v/>
      </c>
      <c r="U16" t="str">
        <f ca="1"/>
        <v/>
      </c>
      <c r="W16" s="42">
        <f ca="1"/>
        <v>6</v>
      </c>
      <c r="X16" t="str">
        <f ca="1"/>
        <v>Property, Plant &amp; Equipment</v>
      </c>
      <c r="Y16">
        <f ca="1"/>
        <v>0</v>
      </c>
    </row>
    <row r="17" spans="3:25">
      <c r="C17" s="577" t="str">
        <v>Statement of Changes in Shareholders' Equity</v>
      </c>
      <c r="D17" s="579" t="b">
        <v>1</v>
      </c>
      <c r="H17" s="42"/>
      <c r="I17" s="42">
        <f ca="1"/>
        <v>7</v>
      </c>
      <c r="J17" t="str">
        <f ca="1"/>
        <v>Land</v>
      </c>
      <c r="K17">
        <f ca="1"/>
        <v>0</v>
      </c>
      <c r="L17" s="42">
        <v>3</v>
      </c>
      <c r="M17" t="str">
        <v>Net Income</v>
      </c>
      <c r="N17">
        <v>0</v>
      </c>
      <c r="P17" s="42"/>
      <c r="S17" s="42" t="str">
        <f ca="1"/>
        <v/>
      </c>
      <c r="T17" t="str">
        <f ca="1"/>
        <v/>
      </c>
      <c r="U17" t="str">
        <f ca="1"/>
        <v/>
      </c>
      <c r="W17" s="42">
        <f ca="1"/>
        <v>7</v>
      </c>
      <c r="X17" t="str">
        <f ca="1"/>
        <v>Land</v>
      </c>
      <c r="Y17">
        <f ca="1"/>
        <v>0</v>
      </c>
    </row>
    <row r="18" spans="3:25">
      <c r="C18" s="577" t="str">
        <v>Cash Flow Statement</v>
      </c>
      <c r="D18" s="579" t="b">
        <v>1</v>
      </c>
      <c r="H18" s="42"/>
      <c r="I18" s="42" t="str">
        <f ca="1"/>
        <v/>
      </c>
      <c r="J18" t="str">
        <f ca="1"/>
        <v/>
      </c>
      <c r="K18" t="str">
        <f ca="1"/>
        <v/>
      </c>
      <c r="L18" s="42"/>
      <c r="P18" s="42"/>
      <c r="S18" s="42" t="str">
        <f ca="1"/>
        <v/>
      </c>
      <c r="T18" t="str">
        <f ca="1"/>
        <v/>
      </c>
      <c r="U18" t="str">
        <f ca="1"/>
        <v/>
      </c>
      <c r="W18" s="42">
        <f ca="1"/>
        <v>5</v>
      </c>
      <c r="X18" t="str">
        <f ca="1"/>
        <v xml:space="preserve">  Total Noncurrent Assets</v>
      </c>
      <c r="Y18">
        <f ca="1"/>
        <v>0</v>
      </c>
    </row>
    <row r="19" spans="3:25">
      <c r="C19" s="577" t="str">
        <v>Reconciliation of NI and CFO</v>
      </c>
      <c r="D19" s="579" t="b">
        <v>1</v>
      </c>
      <c r="H19" s="42"/>
      <c r="I19" s="42" t="str">
        <f ca="1"/>
        <v/>
      </c>
      <c r="J19" t="str">
        <f ca="1"/>
        <v/>
      </c>
      <c r="K19" t="str">
        <f ca="1"/>
        <v/>
      </c>
      <c r="L19" s="42"/>
      <c r="P19" s="42"/>
      <c r="S19" s="42" t="str">
        <f ca="1"/>
        <v/>
      </c>
      <c r="T19" t="str">
        <f ca="1"/>
        <v/>
      </c>
      <c r="U19" t="str">
        <f ca="1"/>
        <v/>
      </c>
      <c r="W19" s="42" t="str">
        <f ca="1"/>
        <v/>
      </c>
      <c r="X19" t="str">
        <f ca="1"/>
        <v/>
      </c>
      <c r="Y19" t="str">
        <f ca="1"/>
        <v/>
      </c>
    </row>
    <row r="20" spans="3:25">
      <c r="C20" s="577" t="str">
        <v>Noncash Investing/Financing Transactions</v>
      </c>
      <c r="D20" s="579" t="b">
        <v>1</v>
      </c>
      <c r="H20" s="42"/>
      <c r="I20" s="42" t="str">
        <f ca="1"/>
        <v/>
      </c>
      <c r="J20" t="str">
        <f ca="1"/>
        <v/>
      </c>
      <c r="K20" t="str">
        <f ca="1"/>
        <v/>
      </c>
      <c r="L20" s="42"/>
      <c r="P20" s="42"/>
      <c r="S20" s="42">
        <f ca="1"/>
        <v>2</v>
      </c>
      <c r="T20" t="str">
        <f ca="1"/>
        <v>Cash @ 12/31/20x1</v>
      </c>
      <c r="U20">
        <f ca="1"/>
        <v>0</v>
      </c>
      <c r="W20" s="42">
        <f ca="1"/>
        <v>3</v>
      </c>
      <c r="X20" t="str">
        <f ca="1"/>
        <v>Total Assets</v>
      </c>
      <c r="Y20">
        <f ca="1"/>
        <v>0</v>
      </c>
    </row>
    <row r="21" spans="3:25" ht="15" thickBot="1">
      <c r="C21" s="578" t="str">
        <v>Ending Balance Sheet</v>
      </c>
      <c r="D21" s="580" t="b">
        <v>1</v>
      </c>
      <c r="H21" s="42"/>
      <c r="I21" s="42" t="str">
        <f ca="1"/>
        <v/>
      </c>
      <c r="J21" t="str">
        <f ca="1"/>
        <v/>
      </c>
      <c r="K21" t="str">
        <f ca="1"/>
        <v/>
      </c>
      <c r="L21" s="42"/>
      <c r="P21" s="42"/>
      <c r="S21" s="42"/>
      <c r="W21" s="42" t="str">
        <f ca="1"/>
        <v/>
      </c>
      <c r="X21" t="str">
        <f ca="1"/>
        <v/>
      </c>
      <c r="Y21" t="str">
        <f ca="1"/>
        <v/>
      </c>
    </row>
    <row r="22" spans="3:25">
      <c r="H22" s="42"/>
      <c r="I22" s="42">
        <f ca="1"/>
        <v>2</v>
      </c>
      <c r="J22" t="str">
        <f ca="1"/>
        <v>Liabilities</v>
      </c>
      <c r="K22" t="str">
        <f ca="1"/>
        <v/>
      </c>
      <c r="L22" s="42"/>
      <c r="P22" s="42"/>
      <c r="S22" s="42"/>
      <c r="W22" s="42">
        <f ca="1"/>
        <v>2</v>
      </c>
      <c r="X22" t="str">
        <f ca="1"/>
        <v>Liabilities</v>
      </c>
      <c r="Y22" t="str">
        <f ca="1"/>
        <v/>
      </c>
    </row>
    <row r="23" spans="3:25">
      <c r="H23" s="42"/>
      <c r="I23" s="42" t="str">
        <f ca="1"/>
        <v/>
      </c>
      <c r="J23" t="str">
        <f ca="1"/>
        <v/>
      </c>
      <c r="K23" t="str">
        <f ca="1"/>
        <v/>
      </c>
      <c r="L23" s="42"/>
      <c r="P23" s="42"/>
      <c r="S23" s="42"/>
      <c r="W23" s="42" t="str">
        <f ca="1"/>
        <v/>
      </c>
      <c r="X23" t="str">
        <f ca="1"/>
        <v/>
      </c>
      <c r="Y23" t="str">
        <f ca="1"/>
        <v/>
      </c>
    </row>
    <row r="24" spans="3:25" ht="15" thickBot="1">
      <c r="C24" s="531" t="s">
        <v>1038</v>
      </c>
      <c r="D24" s="531" t="s">
        <v>521</v>
      </c>
      <c r="E24" s="531" t="s">
        <v>1039</v>
      </c>
      <c r="F24" s="531" t="s">
        <v>774</v>
      </c>
      <c r="H24" s="42"/>
      <c r="I24" s="42">
        <f ca="1"/>
        <v>2</v>
      </c>
      <c r="J24" t="str">
        <f ca="1"/>
        <v>Equities</v>
      </c>
      <c r="K24" t="str">
        <f ca="1"/>
        <v/>
      </c>
      <c r="L24" s="42"/>
      <c r="P24" s="42"/>
      <c r="S24" s="42"/>
      <c r="W24" s="42">
        <f ca="1"/>
        <v>2</v>
      </c>
      <c r="X24" t="str">
        <f ca="1"/>
        <v>Equities</v>
      </c>
      <c r="Y24" t="str">
        <f ca="1"/>
        <v/>
      </c>
    </row>
    <row r="25" spans="3:25">
      <c r="C25" s="529"/>
      <c r="D25" s="529"/>
      <c r="E25" s="416" t="str">
        <f ca="1">IF(F115&lt;&gt;"",F115,"")</f>
        <v>Loans Payable</v>
      </c>
      <c r="F25" s="559"/>
      <c r="H25" s="42" t="str">
        <f ca="1">_xlfn.TEXTJOIN(6,1,FSBuilder[[#This Row],[Statement]:[Account or Explanation]])</f>
        <v>Loans Payable</v>
      </c>
      <c r="I25" s="42" t="str">
        <f ca="1"/>
        <v/>
      </c>
      <c r="J25" t="str">
        <f ca="1"/>
        <v/>
      </c>
      <c r="K25" t="str">
        <f ca="1"/>
        <v/>
      </c>
      <c r="L25" s="42"/>
      <c r="P25" s="42"/>
      <c r="S25" s="42"/>
      <c r="W25" s="42" t="str">
        <f ca="1"/>
        <v/>
      </c>
      <c r="X25" t="str">
        <f ca="1"/>
        <v/>
      </c>
      <c r="Y25" t="str">
        <f ca="1"/>
        <v/>
      </c>
    </row>
    <row r="26" spans="3:25">
      <c r="C26" s="530"/>
      <c r="D26" s="530"/>
      <c r="E26" t="str">
        <f t="shared" ref="E26:E43" ca="1" si="0">IF(F116&lt;&gt;"",F116,"")</f>
        <v>Cash</v>
      </c>
      <c r="F26" s="560"/>
      <c r="H26" s="42" t="str">
        <f ca="1">_xlfn.TEXTJOIN(6,1,FSBuilder[[#This Row],[Statement]:[Account or Explanation]])</f>
        <v>Cash</v>
      </c>
      <c r="I26" s="42">
        <f ca="1"/>
        <v>6</v>
      </c>
      <c r="J26" t="str">
        <f ca="1"/>
        <v>Common Stock</v>
      </c>
      <c r="K26">
        <f ca="1"/>
        <v>0</v>
      </c>
      <c r="L26" s="42"/>
      <c r="P26" s="42"/>
      <c r="S26" s="42"/>
      <c r="W26" s="42" t="str">
        <f ca="1"/>
        <v/>
      </c>
      <c r="X26" t="str">
        <f ca="1"/>
        <v/>
      </c>
      <c r="Y26" t="str">
        <f ca="1"/>
        <v/>
      </c>
    </row>
    <row r="27" spans="3:25">
      <c r="C27" s="530"/>
      <c r="D27" s="530"/>
      <c r="E27" t="str">
        <f t="shared" ca="1" si="0"/>
        <v>Accounts Receivable</v>
      </c>
      <c r="F27" s="560"/>
      <c r="H27" s="42" t="str">
        <f ca="1">_xlfn.TEXTJOIN(6,1,FSBuilder[[#This Row],[Statement]:[Account or Explanation]])</f>
        <v>Accounts Receivable</v>
      </c>
      <c r="I27" s="42">
        <f ca="1"/>
        <v>7</v>
      </c>
      <c r="J27" t="str">
        <f ca="1"/>
        <v>Retained Earnings</v>
      </c>
      <c r="K27">
        <f ca="1"/>
        <v>0</v>
      </c>
      <c r="L27" s="42"/>
      <c r="P27" s="42"/>
      <c r="S27" s="42"/>
      <c r="W27" s="42" t="str">
        <f ca="1"/>
        <v/>
      </c>
      <c r="X27" t="str">
        <f ca="1"/>
        <v/>
      </c>
      <c r="Y27" t="str">
        <f ca="1"/>
        <v/>
      </c>
    </row>
    <row r="28" spans="3:25">
      <c r="C28" s="530"/>
      <c r="D28" s="530"/>
      <c r="E28" t="str">
        <f t="shared" ca="1" si="0"/>
        <v>Inventories</v>
      </c>
      <c r="F28" s="560"/>
      <c r="H28" s="42" t="str">
        <f ca="1">_xlfn.TEXTJOIN(6,1,FSBuilder[[#This Row],[Statement]:[Account or Explanation]])</f>
        <v>Inventories</v>
      </c>
      <c r="I28" s="42" t="str">
        <f ca="1"/>
        <v/>
      </c>
      <c r="J28" t="str">
        <f ca="1"/>
        <v/>
      </c>
      <c r="K28" t="str">
        <f ca="1"/>
        <v/>
      </c>
      <c r="L28" s="42"/>
      <c r="P28" s="42"/>
      <c r="S28" s="42"/>
      <c r="W28" s="42" t="str">
        <f ca="1"/>
        <v/>
      </c>
      <c r="X28" t="str">
        <f ca="1"/>
        <v/>
      </c>
      <c r="Y28" t="str">
        <f ca="1"/>
        <v/>
      </c>
    </row>
    <row r="29" spans="3:25">
      <c r="C29" s="530"/>
      <c r="D29" s="530"/>
      <c r="E29" t="str">
        <f t="shared" ca="1" si="0"/>
        <v>Common Stock</v>
      </c>
      <c r="F29" s="560"/>
      <c r="H29" s="42" t="str">
        <f ca="1">_xlfn.TEXTJOIN(6,1,FSBuilder[[#This Row],[Statement]:[Account or Explanation]])</f>
        <v>Common Stock</v>
      </c>
      <c r="I29" s="42" t="str">
        <f ca="1"/>
        <v/>
      </c>
      <c r="J29" t="str">
        <f ca="1"/>
        <v/>
      </c>
      <c r="K29" t="str">
        <f ca="1"/>
        <v/>
      </c>
      <c r="L29" s="42"/>
      <c r="P29" s="42"/>
      <c r="S29" s="42"/>
      <c r="W29" s="42" t="str">
        <f ca="1"/>
        <v/>
      </c>
      <c r="X29" t="str">
        <f ca="1"/>
        <v/>
      </c>
      <c r="Y29" t="str">
        <f ca="1"/>
        <v/>
      </c>
    </row>
    <row r="30" spans="3:25">
      <c r="C30" s="530"/>
      <c r="D30" s="530"/>
      <c r="E30" t="str">
        <f t="shared" ca="1" si="0"/>
        <v>Retained Earnings</v>
      </c>
      <c r="F30" s="560"/>
      <c r="H30" s="42" t="str">
        <f ca="1">_xlfn.TEXTJOIN(6,1,FSBuilder[[#This Row],[Statement]:[Account or Explanation]])</f>
        <v>Retained Earnings</v>
      </c>
      <c r="I30" s="42" t="str">
        <f ca="1"/>
        <v/>
      </c>
      <c r="J30" t="str">
        <f ca="1"/>
        <v/>
      </c>
      <c r="K30" t="str">
        <f ca="1"/>
        <v/>
      </c>
      <c r="L30" s="42"/>
      <c r="P30" s="42"/>
      <c r="S30" s="42"/>
      <c r="W30" s="42" t="str">
        <f ca="1"/>
        <v/>
      </c>
      <c r="X30" t="str">
        <f ca="1"/>
        <v/>
      </c>
      <c r="Y30" t="str">
        <f ca="1"/>
        <v/>
      </c>
    </row>
    <row r="31" spans="3:25">
      <c r="C31" s="530"/>
      <c r="D31" s="530"/>
      <c r="E31" t="str">
        <f t="shared" ca="1" si="0"/>
        <v>Accounts Payable</v>
      </c>
      <c r="F31" s="560"/>
      <c r="H31" s="42" t="str">
        <f ca="1">_xlfn.TEXTJOIN(6,1,FSBuilder[[#This Row],[Statement]:[Account or Explanation]])</f>
        <v>Accounts Payable</v>
      </c>
      <c r="I31" s="42" t="str">
        <f ca="1"/>
        <v/>
      </c>
      <c r="J31" t="str">
        <f ca="1"/>
        <v/>
      </c>
      <c r="K31" t="str">
        <f ca="1"/>
        <v/>
      </c>
      <c r="L31" s="42"/>
      <c r="P31" s="42"/>
      <c r="S31" s="42"/>
      <c r="W31" s="42" t="str">
        <f ca="1"/>
        <v/>
      </c>
      <c r="X31" t="str">
        <f ca="1"/>
        <v/>
      </c>
      <c r="Y31" t="str">
        <f ca="1"/>
        <v/>
      </c>
    </row>
    <row r="32" spans="3:25">
      <c r="C32" s="530"/>
      <c r="D32" s="530"/>
      <c r="E32" t="str">
        <f t="shared" ca="1" si="0"/>
        <v>Dividends Payable</v>
      </c>
      <c r="F32" s="560"/>
      <c r="H32" s="42" t="str">
        <f ca="1">_xlfn.TEXTJOIN(6,1,FSBuilder[[#This Row],[Statement]:[Account or Explanation]])</f>
        <v>Dividends Payable</v>
      </c>
      <c r="I32" s="42" t="str">
        <f ca="1"/>
        <v/>
      </c>
      <c r="J32" t="str">
        <f ca="1"/>
        <v/>
      </c>
      <c r="K32" t="str">
        <f ca="1"/>
        <v/>
      </c>
      <c r="L32" s="42"/>
      <c r="P32" s="42"/>
      <c r="S32" s="42"/>
      <c r="W32" s="42"/>
    </row>
    <row r="33" spans="3:23">
      <c r="C33" s="530"/>
      <c r="D33" s="530"/>
      <c r="E33" t="str">
        <f t="shared" ca="1" si="0"/>
        <v>Unearned Revenue</v>
      </c>
      <c r="F33" s="560"/>
      <c r="H33" s="42" t="str">
        <f ca="1">_xlfn.TEXTJOIN(6,1,FSBuilder[[#This Row],[Statement]:[Account or Explanation]])</f>
        <v>Unearned Revenue</v>
      </c>
      <c r="I33" s="42"/>
      <c r="L33" s="42"/>
      <c r="P33" s="42"/>
      <c r="S33" s="42"/>
      <c r="W33" s="42"/>
    </row>
    <row r="34" spans="3:23">
      <c r="C34" s="530"/>
      <c r="D34" s="530"/>
      <c r="E34" t="str">
        <f t="shared" ca="1" si="0"/>
        <v>Property, Plant &amp; Equipment</v>
      </c>
      <c r="F34" s="560"/>
      <c r="H34" s="42" t="str">
        <f ca="1">_xlfn.TEXTJOIN(6,1,FSBuilder[[#This Row],[Statement]:[Account or Explanation]])</f>
        <v>Property, Plant &amp; Equipment</v>
      </c>
      <c r="I34" s="42"/>
      <c r="L34" s="42"/>
      <c r="P34" s="42"/>
      <c r="S34" s="42"/>
      <c r="W34" s="42"/>
    </row>
    <row r="35" spans="3:23">
      <c r="C35" s="530"/>
      <c r="D35" s="530"/>
      <c r="E35" t="str">
        <f t="shared" ca="1" si="0"/>
        <v>Land</v>
      </c>
      <c r="F35" s="560"/>
      <c r="H35" s="42" t="str">
        <f ca="1">_xlfn.TEXTJOIN(6,1,FSBuilder[[#This Row],[Statement]:[Account or Explanation]])</f>
        <v>Land</v>
      </c>
      <c r="I35" s="42"/>
      <c r="L35" s="42"/>
      <c r="P35" s="42"/>
      <c r="S35" s="42"/>
      <c r="W35" s="42"/>
    </row>
    <row r="36" spans="3:23">
      <c r="C36" s="530"/>
      <c r="D36" s="530"/>
      <c r="E36" t="str">
        <f t="shared" ca="1" si="0"/>
        <v>Cost of Goods Sold</v>
      </c>
      <c r="F36" s="560"/>
      <c r="H36" s="42" t="str">
        <f ca="1">_xlfn.TEXTJOIN(6,1,FSBuilder[[#This Row],[Statement]:[Account or Explanation]])</f>
        <v>Cost of Goods Sold</v>
      </c>
      <c r="I36" s="42"/>
      <c r="L36" s="42"/>
      <c r="P36" s="42"/>
      <c r="S36" s="42"/>
      <c r="W36" s="42"/>
    </row>
    <row r="37" spans="3:23">
      <c r="C37" s="530"/>
      <c r="D37" s="530"/>
      <c r="E37" t="str">
        <f t="shared" ca="1" si="0"/>
        <v>Sales</v>
      </c>
      <c r="F37" s="560"/>
      <c r="H37" s="42" t="str">
        <f ca="1">_xlfn.TEXTJOIN(6,1,FSBuilder[[#This Row],[Statement]:[Account or Explanation]])</f>
        <v>Sales</v>
      </c>
      <c r="I37" s="42"/>
      <c r="L37" s="42"/>
      <c r="P37" s="42"/>
      <c r="S37" s="42"/>
      <c r="W37" s="42"/>
    </row>
    <row r="38" spans="3:23">
      <c r="C38" s="530"/>
      <c r="D38" s="530"/>
      <c r="E38" t="str">
        <f t="shared" ca="1" si="0"/>
        <v>Loans Payable</v>
      </c>
      <c r="F38" s="560"/>
      <c r="H38" s="42" t="str">
        <f ca="1">_xlfn.TEXTJOIN(6,1,FSBuilder[[#This Row],[Statement]:[Account or Explanation]])</f>
        <v>Loans Payable</v>
      </c>
      <c r="I38" s="42"/>
      <c r="L38" s="42"/>
      <c r="P38" s="42"/>
      <c r="S38" s="42"/>
      <c r="W38" s="42"/>
    </row>
    <row r="39" spans="3:23">
      <c r="C39" s="530"/>
      <c r="D39" s="530"/>
      <c r="E39" t="str">
        <f t="shared" ca="1" si="0"/>
        <v>Cash</v>
      </c>
      <c r="F39" s="560"/>
      <c r="H39" s="42" t="str">
        <f ca="1">_xlfn.TEXTJOIN(6,1,FSBuilder[[#This Row],[Statement]:[Account or Explanation]])</f>
        <v>Cash</v>
      </c>
      <c r="I39" s="42"/>
      <c r="L39" s="42"/>
      <c r="P39" s="42"/>
      <c r="S39" s="42"/>
      <c r="W39" s="42"/>
    </row>
    <row r="40" spans="3:23">
      <c r="C40" s="530"/>
      <c r="D40" s="530"/>
      <c r="E40" t="str">
        <f t="shared" ca="1" si="0"/>
        <v>Accounts Receivable</v>
      </c>
      <c r="F40" s="560"/>
      <c r="H40" s="42" t="str">
        <f ca="1">_xlfn.TEXTJOIN(6,1,FSBuilder[[#This Row],[Statement]:[Account or Explanation]])</f>
        <v>Accounts Receivable</v>
      </c>
      <c r="I40" s="42"/>
      <c r="L40" s="42"/>
      <c r="P40" s="42"/>
      <c r="S40" s="42"/>
      <c r="W40" s="42"/>
    </row>
    <row r="41" spans="3:23">
      <c r="C41" s="530"/>
      <c r="D41" s="530"/>
      <c r="E41" t="str">
        <f t="shared" ca="1" si="0"/>
        <v>Inventories</v>
      </c>
      <c r="F41" s="560"/>
      <c r="H41" s="42" t="str">
        <f ca="1">_xlfn.TEXTJOIN(6,1,FSBuilder[[#This Row],[Statement]:[Account or Explanation]])</f>
        <v>Inventories</v>
      </c>
      <c r="I41" s="42"/>
      <c r="L41" s="42"/>
      <c r="P41" s="42"/>
      <c r="S41" s="42"/>
      <c r="W41" s="42"/>
    </row>
    <row r="42" spans="3:23">
      <c r="C42" s="530"/>
      <c r="D42" s="530"/>
      <c r="E42" t="str">
        <f t="shared" ca="1" si="0"/>
        <v>Common Stock</v>
      </c>
      <c r="F42" s="560"/>
      <c r="H42" s="42" t="str">
        <f ca="1">_xlfn.TEXTJOIN(6,1,FSBuilder[[#This Row],[Statement]:[Account or Explanation]])</f>
        <v>Common Stock</v>
      </c>
      <c r="I42" s="42"/>
      <c r="L42" s="42"/>
      <c r="P42" s="42"/>
      <c r="S42" s="42"/>
      <c r="W42" s="42"/>
    </row>
    <row r="43" spans="3:23">
      <c r="C43" s="530"/>
      <c r="D43" s="530"/>
      <c r="E43" t="str">
        <f t="shared" ca="1" si="0"/>
        <v>Retained Earnings</v>
      </c>
      <c r="F43" s="560"/>
      <c r="H43" s="42" t="str">
        <f ca="1">_xlfn.TEXTJOIN(6,1,FSBuilder[[#This Row],[Statement]:[Account or Explanation]])</f>
        <v>Retained Earnings</v>
      </c>
      <c r="I43" s="42"/>
      <c r="L43" s="42"/>
      <c r="P43" s="42"/>
      <c r="S43" s="42"/>
      <c r="W43" s="42"/>
    </row>
    <row r="44" spans="3:23">
      <c r="C44" s="530"/>
      <c r="D44" s="530"/>
      <c r="E44" t="str">
        <f t="shared" ref="E44:E55" ca="1" si="1">IF(F134&lt;&gt;"",F134,"")</f>
        <v>Accounts Payable</v>
      </c>
      <c r="F44" s="560"/>
      <c r="H44" s="42" t="str">
        <f ca="1">_xlfn.TEXTJOIN(6,1,FSBuilder[[#This Row],[Statement]:[Account or Explanation]])</f>
        <v>Accounts Payable</v>
      </c>
      <c r="I44" s="42"/>
      <c r="L44" s="42"/>
      <c r="P44" s="42"/>
      <c r="S44" s="42"/>
      <c r="W44" s="42"/>
    </row>
    <row r="45" spans="3:23">
      <c r="C45" s="530"/>
      <c r="D45" s="530"/>
      <c r="E45" t="str">
        <f t="shared" ca="1" si="1"/>
        <v>Dividends Payable</v>
      </c>
      <c r="F45" s="582"/>
      <c r="H45" s="42" t="str">
        <f ca="1">_xlfn.TEXTJOIN(6,1,FSBuilder[[#This Row],[Statement]:[Account or Explanation]])</f>
        <v>Dividends Payable</v>
      </c>
      <c r="I45" s="42"/>
      <c r="L45" s="42"/>
      <c r="P45" s="42"/>
      <c r="S45" s="42"/>
      <c r="W45" s="42"/>
    </row>
    <row r="46" spans="3:23">
      <c r="C46" s="530"/>
      <c r="D46" s="530"/>
      <c r="E46" t="str">
        <f t="shared" ca="1" si="1"/>
        <v>Unearned Revenue</v>
      </c>
      <c r="F46" s="582"/>
      <c r="H46" s="42" t="str">
        <f ca="1">_xlfn.TEXTJOIN(6,1,FSBuilder[[#This Row],[Statement]:[Account or Explanation]])</f>
        <v>Unearned Revenue</v>
      </c>
      <c r="I46" s="42"/>
      <c r="L46" s="42"/>
      <c r="P46" s="42"/>
      <c r="S46" s="42"/>
      <c r="W46" s="42"/>
    </row>
    <row r="47" spans="3:23">
      <c r="C47" s="530"/>
      <c r="D47" s="530"/>
      <c r="E47" t="str">
        <f t="shared" ca="1" si="1"/>
        <v>Property, Plant &amp; Equipment</v>
      </c>
      <c r="F47" s="582"/>
      <c r="H47" s="42" t="str">
        <f ca="1">_xlfn.TEXTJOIN(6,1,FSBuilder[[#This Row],[Statement]:[Account or Explanation]])</f>
        <v>Property, Plant &amp; Equipment</v>
      </c>
      <c r="I47" s="42"/>
      <c r="L47" s="42"/>
      <c r="P47" s="42"/>
      <c r="S47" s="42"/>
      <c r="W47" s="42"/>
    </row>
    <row r="48" spans="3:23">
      <c r="C48" s="530"/>
      <c r="D48" s="530"/>
      <c r="E48" t="str">
        <f t="shared" ca="1" si="1"/>
        <v>Land</v>
      </c>
      <c r="F48" s="560"/>
      <c r="H48" s="42" t="str">
        <f ca="1">_xlfn.TEXTJOIN(6,1,FSBuilder[[#This Row],[Statement]:[Account or Explanation]])</f>
        <v>Land</v>
      </c>
      <c r="I48" s="42"/>
      <c r="L48" s="42"/>
      <c r="P48" s="42"/>
      <c r="S48" s="42"/>
      <c r="W48" s="42"/>
    </row>
    <row r="49" spans="3:23">
      <c r="C49" s="530"/>
      <c r="D49" s="530"/>
      <c r="E49" t="str">
        <f t="shared" ca="1" si="1"/>
        <v>Issued common stock</v>
      </c>
      <c r="F49" s="560"/>
      <c r="H49" s="42" t="str">
        <f ca="1">_xlfn.TEXTJOIN(6,1,FSBuilder[[#This Row],[Statement]:[Account or Explanation]])</f>
        <v>Issued common stock</v>
      </c>
      <c r="I49" s="42"/>
      <c r="L49" s="42"/>
      <c r="P49" s="42"/>
      <c r="S49" s="42"/>
      <c r="W49" s="42"/>
    </row>
    <row r="50" spans="3:23">
      <c r="C50" s="530"/>
      <c r="D50" s="530"/>
      <c r="E50" t="str">
        <f t="shared" ca="1" si="1"/>
        <v>Net Income (Loss)</v>
      </c>
      <c r="F50" s="560"/>
      <c r="H50" s="42" t="str">
        <f ca="1">_xlfn.TEXTJOIN(6,1,FSBuilder[[#This Row],[Statement]:[Account or Explanation]])</f>
        <v>Net Income (Loss)</v>
      </c>
      <c r="I50" s="42"/>
      <c r="L50" s="42"/>
      <c r="P50" s="42"/>
      <c r="S50" s="42"/>
      <c r="W50" s="42"/>
    </row>
    <row r="51" spans="3:23">
      <c r="C51" s="530"/>
      <c r="D51" s="530"/>
      <c r="E51" t="str">
        <f t="shared" ca="1" si="1"/>
        <v>Issued common stock for building</v>
      </c>
      <c r="F51" s="560"/>
      <c r="H51" s="42" t="str">
        <f ca="1">_xlfn.TEXTJOIN(6,1,FSBuilder[[#This Row],[Statement]:[Account or Explanation]])</f>
        <v>Issued common stock for building</v>
      </c>
      <c r="I51" s="42"/>
      <c r="L51" s="42"/>
      <c r="P51" s="42"/>
      <c r="S51" s="42"/>
      <c r="W51" s="42"/>
    </row>
    <row r="52" spans="3:23">
      <c r="C52" s="530"/>
      <c r="D52" s="530"/>
      <c r="E52" t="str">
        <f t="shared" ca="1" si="1"/>
        <v>Collections from customers</v>
      </c>
      <c r="F52" s="560"/>
      <c r="H52" s="42" t="str">
        <f ca="1">_xlfn.TEXTJOIN(6,1,FSBuilder[[#This Row],[Statement]:[Account or Explanation]])</f>
        <v>Collections from customers</v>
      </c>
      <c r="I52" s="42"/>
      <c r="L52" s="42"/>
      <c r="P52" s="42"/>
      <c r="S52" s="42"/>
      <c r="W52" s="42"/>
    </row>
    <row r="53" spans="3:23">
      <c r="C53" s="530"/>
      <c r="D53" s="530"/>
      <c r="E53" t="str">
        <f t="shared" ca="1" si="1"/>
        <v>Payments to suppliers</v>
      </c>
      <c r="F53" s="560"/>
      <c r="H53" s="42" t="str">
        <f ca="1">_xlfn.TEXTJOIN(6,1,FSBuilder[[#This Row],[Statement]:[Account or Explanation]])</f>
        <v>Payments to suppliers</v>
      </c>
      <c r="I53" s="42"/>
      <c r="L53" s="42"/>
      <c r="P53" s="42"/>
      <c r="S53" s="42"/>
      <c r="W53" s="42"/>
    </row>
    <row r="54" spans="3:23">
      <c r="C54" s="530"/>
      <c r="D54" s="530"/>
      <c r="E54" t="str">
        <f t="shared" si="1"/>
        <v/>
      </c>
      <c r="F54" s="560"/>
      <c r="H54" s="42" t="str">
        <f>_xlfn.TEXTJOIN(6,1,FSBuilder[[#This Row],[Statement]:[Account or Explanation]])</f>
        <v/>
      </c>
      <c r="I54" s="42"/>
      <c r="L54" s="42"/>
      <c r="P54" s="42"/>
      <c r="S54" s="42"/>
      <c r="W54" s="42"/>
    </row>
    <row r="55" spans="3:23">
      <c r="C55" s="530"/>
      <c r="D55" s="530"/>
      <c r="E55" t="str">
        <f t="shared" si="1"/>
        <v/>
      </c>
      <c r="F55" s="560"/>
      <c r="H55" s="42" t="str">
        <f>_xlfn.TEXTJOIN(6,1,FSBuilder[[#This Row],[Statement]:[Account or Explanation]])</f>
        <v/>
      </c>
      <c r="I55" s="42"/>
      <c r="L55" s="42"/>
      <c r="P55" s="42"/>
      <c r="S55" s="42"/>
      <c r="W55" s="42"/>
    </row>
    <row r="56" spans="3:23">
      <c r="C56" s="530"/>
      <c r="D56" s="530"/>
      <c r="E56" t="str">
        <f>IF(F149&lt;&gt;"",F149,"")</f>
        <v/>
      </c>
      <c r="F56" s="560"/>
      <c r="H56" s="42" t="str">
        <f>_xlfn.TEXTJOIN(6,1,FSBuilder[[#This Row],[Statement]:[Account or Explanation]])</f>
        <v/>
      </c>
      <c r="I56" s="42"/>
      <c r="L56" s="42"/>
      <c r="P56" s="42"/>
      <c r="S56" s="42"/>
      <c r="W56" s="42"/>
    </row>
    <row r="57" spans="3:23">
      <c r="C57" s="530"/>
      <c r="D57" s="530"/>
      <c r="E57" t="str">
        <f t="shared" ref="E57:E91" si="2">IF(F151&lt;&gt;"",F151,"")</f>
        <v/>
      </c>
      <c r="F57" s="560"/>
      <c r="H57" s="42" t="str">
        <f>_xlfn.TEXTJOIN(6,1,FSBuilder[[#This Row],[Statement]:[Account or Explanation]])</f>
        <v/>
      </c>
      <c r="I57" s="42"/>
      <c r="L57" s="42"/>
      <c r="P57" s="42"/>
      <c r="S57" s="42"/>
      <c r="W57" s="42"/>
    </row>
    <row r="58" spans="3:23">
      <c r="C58" s="530"/>
      <c r="D58" s="530"/>
      <c r="E58" t="str">
        <f t="shared" si="2"/>
        <v/>
      </c>
      <c r="F58" s="560"/>
      <c r="H58" s="42" t="str">
        <f>_xlfn.TEXTJOIN(6,1,FSBuilder[[#This Row],[Statement]:[Account or Explanation]])</f>
        <v/>
      </c>
      <c r="I58" s="42"/>
      <c r="L58" s="42"/>
      <c r="P58" s="42"/>
      <c r="S58" s="42"/>
      <c r="W58" s="42"/>
    </row>
    <row r="59" spans="3:23">
      <c r="C59" s="530"/>
      <c r="D59" s="530"/>
      <c r="E59" t="str">
        <f t="shared" si="2"/>
        <v/>
      </c>
      <c r="F59" s="560"/>
      <c r="H59" s="42" t="str">
        <f>_xlfn.TEXTJOIN(6,1,FSBuilder[[#This Row],[Statement]:[Account or Explanation]])</f>
        <v/>
      </c>
      <c r="I59" s="42"/>
      <c r="L59" s="42"/>
      <c r="P59" s="42"/>
      <c r="S59" s="42"/>
      <c r="W59" s="42"/>
    </row>
    <row r="60" spans="3:23">
      <c r="C60" s="530"/>
      <c r="D60" s="530"/>
      <c r="E60" t="str">
        <f t="shared" si="2"/>
        <v/>
      </c>
      <c r="F60" s="560"/>
      <c r="H60" s="42" t="str">
        <f>_xlfn.TEXTJOIN(6,1,FSBuilder[[#This Row],[Statement]:[Account or Explanation]])</f>
        <v/>
      </c>
      <c r="I60" s="42"/>
      <c r="L60" s="42"/>
      <c r="P60" s="42"/>
      <c r="S60" s="42"/>
      <c r="W60" s="42"/>
    </row>
    <row r="61" spans="3:23">
      <c r="C61" s="530"/>
      <c r="D61" s="530"/>
      <c r="E61" t="str">
        <f t="shared" si="2"/>
        <v/>
      </c>
      <c r="F61" s="560"/>
      <c r="H61" s="42" t="str">
        <f>_xlfn.TEXTJOIN(6,1,FSBuilder[[#This Row],[Statement]:[Account or Explanation]])</f>
        <v/>
      </c>
      <c r="I61" s="42"/>
      <c r="L61" s="42"/>
      <c r="P61" s="42"/>
      <c r="S61" s="42"/>
      <c r="W61" s="42"/>
    </row>
    <row r="62" spans="3:23">
      <c r="C62" s="530"/>
      <c r="D62" s="530"/>
      <c r="E62" t="str">
        <f t="shared" si="2"/>
        <v/>
      </c>
      <c r="F62" s="560"/>
      <c r="H62" s="42" t="str">
        <f>_xlfn.TEXTJOIN(6,1,FSBuilder[[#This Row],[Statement]:[Account or Explanation]])</f>
        <v/>
      </c>
      <c r="I62" s="42"/>
      <c r="L62" s="42"/>
      <c r="P62" s="42"/>
      <c r="S62" s="42"/>
      <c r="W62" s="42"/>
    </row>
    <row r="63" spans="3:23">
      <c r="C63" s="530"/>
      <c r="D63" s="530"/>
      <c r="E63" t="str">
        <f t="shared" si="2"/>
        <v/>
      </c>
      <c r="F63" s="560"/>
      <c r="H63" s="42" t="str">
        <f>_xlfn.TEXTJOIN(6,1,FSBuilder[[#This Row],[Statement]:[Account or Explanation]])</f>
        <v/>
      </c>
      <c r="I63" s="42"/>
      <c r="L63" s="42"/>
      <c r="P63" s="42"/>
      <c r="S63" s="42"/>
      <c r="W63" s="42"/>
    </row>
    <row r="64" spans="3:23">
      <c r="C64" s="530"/>
      <c r="D64" s="530"/>
      <c r="E64" t="str">
        <f t="shared" si="2"/>
        <v/>
      </c>
      <c r="F64" s="560"/>
      <c r="H64" s="42" t="str">
        <f>_xlfn.TEXTJOIN(6,1,FSBuilder[[#This Row],[Statement]:[Account or Explanation]])</f>
        <v/>
      </c>
      <c r="I64" s="42"/>
      <c r="L64" s="42"/>
      <c r="P64" s="42"/>
      <c r="S64" s="42"/>
      <c r="W64" s="42"/>
    </row>
    <row r="65" spans="3:23">
      <c r="C65" s="530"/>
      <c r="D65" s="530"/>
      <c r="E65" t="str">
        <f t="shared" si="2"/>
        <v/>
      </c>
      <c r="F65" s="560"/>
      <c r="H65" s="42" t="str">
        <f>_xlfn.TEXTJOIN(6,1,FSBuilder[[#This Row],[Statement]:[Account or Explanation]])</f>
        <v/>
      </c>
      <c r="I65" s="42"/>
      <c r="L65" s="42"/>
      <c r="P65" s="42"/>
      <c r="S65" s="42"/>
      <c r="W65" s="42"/>
    </row>
    <row r="66" spans="3:23">
      <c r="C66" s="530"/>
      <c r="D66" s="530"/>
      <c r="E66" t="str">
        <f t="shared" si="2"/>
        <v/>
      </c>
      <c r="F66" s="560"/>
      <c r="H66" s="42" t="str">
        <f>_xlfn.TEXTJOIN(6,1,FSBuilder[[#This Row],[Statement]:[Account or Explanation]])</f>
        <v/>
      </c>
      <c r="I66" s="42"/>
      <c r="L66" s="42"/>
      <c r="P66" s="42"/>
      <c r="S66" s="42"/>
      <c r="W66" s="42"/>
    </row>
    <row r="67" spans="3:23">
      <c r="C67" s="530"/>
      <c r="D67" s="530"/>
      <c r="E67" t="str">
        <f t="shared" si="2"/>
        <v/>
      </c>
      <c r="F67" s="560"/>
      <c r="H67" s="42" t="str">
        <f>_xlfn.TEXTJOIN(6,1,FSBuilder[[#This Row],[Statement]:[Account or Explanation]])</f>
        <v/>
      </c>
      <c r="I67" s="42"/>
      <c r="L67" s="42"/>
      <c r="P67" s="42"/>
      <c r="S67" s="42"/>
      <c r="W67" s="42"/>
    </row>
    <row r="68" spans="3:23">
      <c r="C68" s="530"/>
      <c r="D68" s="530"/>
      <c r="E68" t="str">
        <f t="shared" si="2"/>
        <v/>
      </c>
      <c r="F68" s="560"/>
      <c r="H68" s="42" t="str">
        <f>_xlfn.TEXTJOIN(6,1,FSBuilder[[#This Row],[Statement]:[Account or Explanation]])</f>
        <v/>
      </c>
      <c r="I68" s="42"/>
      <c r="L68" s="42"/>
      <c r="P68" s="42"/>
      <c r="S68" s="42"/>
      <c r="W68" s="42"/>
    </row>
    <row r="69" spans="3:23">
      <c r="C69" s="530"/>
      <c r="D69" s="530"/>
      <c r="E69" t="str">
        <f t="shared" si="2"/>
        <v/>
      </c>
      <c r="F69" s="560"/>
      <c r="H69" s="42" t="str">
        <f>_xlfn.TEXTJOIN(6,1,FSBuilder[[#This Row],[Statement]:[Account or Explanation]])</f>
        <v/>
      </c>
      <c r="I69" s="42"/>
      <c r="L69" s="42"/>
      <c r="P69" s="42"/>
      <c r="S69" s="42"/>
      <c r="W69" s="42"/>
    </row>
    <row r="70" spans="3:23">
      <c r="C70" s="530"/>
      <c r="D70" s="530"/>
      <c r="E70" t="str">
        <f t="shared" si="2"/>
        <v/>
      </c>
      <c r="F70" s="560"/>
      <c r="H70" s="42" t="str">
        <f>_xlfn.TEXTJOIN(6,1,FSBuilder[[#This Row],[Statement]:[Account or Explanation]])</f>
        <v/>
      </c>
      <c r="I70" s="42"/>
      <c r="L70" s="42"/>
      <c r="P70" s="42"/>
      <c r="S70" s="42"/>
      <c r="W70" s="42"/>
    </row>
    <row r="71" spans="3:23">
      <c r="C71" s="530"/>
      <c r="D71" s="530"/>
      <c r="E71" t="str">
        <f t="shared" si="2"/>
        <v/>
      </c>
      <c r="F71" s="560"/>
      <c r="H71" s="42" t="str">
        <f>_xlfn.TEXTJOIN(6,1,FSBuilder[[#This Row],[Statement]:[Account or Explanation]])</f>
        <v/>
      </c>
      <c r="I71" s="42"/>
      <c r="L71" s="42"/>
      <c r="P71" s="42"/>
      <c r="S71" s="42"/>
      <c r="W71" s="42"/>
    </row>
    <row r="72" spans="3:23">
      <c r="C72" s="530"/>
      <c r="D72" s="530"/>
      <c r="E72" t="str">
        <f t="shared" si="2"/>
        <v/>
      </c>
      <c r="F72" s="560"/>
      <c r="H72" s="42" t="str">
        <f>_xlfn.TEXTJOIN(6,1,FSBuilder[[#This Row],[Statement]:[Account or Explanation]])</f>
        <v/>
      </c>
      <c r="I72" s="42"/>
      <c r="L72" s="42"/>
      <c r="P72" s="42"/>
      <c r="S72" s="42"/>
      <c r="W72" s="42"/>
    </row>
    <row r="73" spans="3:23">
      <c r="C73" s="530"/>
      <c r="D73" s="530"/>
      <c r="E73" t="str">
        <f t="shared" si="2"/>
        <v/>
      </c>
      <c r="F73" s="560"/>
      <c r="H73" s="42" t="str">
        <f>_xlfn.TEXTJOIN(6,1,FSBuilder[[#This Row],[Statement]:[Account or Explanation]])</f>
        <v/>
      </c>
      <c r="I73" s="42"/>
      <c r="L73" s="42"/>
      <c r="P73" s="42"/>
      <c r="S73" s="42"/>
      <c r="W73" s="42"/>
    </row>
    <row r="74" spans="3:23">
      <c r="C74" s="530"/>
      <c r="D74" s="530"/>
      <c r="E74" t="str">
        <f t="shared" si="2"/>
        <v/>
      </c>
      <c r="F74" s="560"/>
      <c r="H74" s="42" t="str">
        <f>_xlfn.TEXTJOIN(6,1,FSBuilder[[#This Row],[Statement]:[Account or Explanation]])</f>
        <v/>
      </c>
      <c r="I74" s="42"/>
      <c r="L74" s="42"/>
      <c r="P74" s="42"/>
      <c r="S74" s="42"/>
      <c r="W74" s="42"/>
    </row>
    <row r="75" spans="3:23">
      <c r="C75" s="530"/>
      <c r="D75" s="530"/>
      <c r="E75" t="str">
        <f t="shared" si="2"/>
        <v/>
      </c>
      <c r="F75" s="560"/>
      <c r="H75" s="42" t="str">
        <f>_xlfn.TEXTJOIN(6,1,FSBuilder[[#This Row],[Statement]:[Account or Explanation]])</f>
        <v/>
      </c>
      <c r="I75" s="42"/>
      <c r="L75" s="42"/>
      <c r="P75" s="42"/>
      <c r="S75" s="42"/>
      <c r="W75" s="42"/>
    </row>
    <row r="76" spans="3:23">
      <c r="C76" s="530"/>
      <c r="D76" s="530"/>
      <c r="E76" t="str">
        <f t="shared" si="2"/>
        <v/>
      </c>
      <c r="F76" s="560"/>
      <c r="H76" s="42" t="str">
        <f>_xlfn.TEXTJOIN(6,1,FSBuilder[[#This Row],[Statement]:[Account or Explanation]])</f>
        <v/>
      </c>
      <c r="I76" s="42"/>
      <c r="L76" s="42"/>
      <c r="P76" s="42"/>
      <c r="S76" s="42"/>
      <c r="W76" s="42"/>
    </row>
    <row r="77" spans="3:23">
      <c r="C77" s="530"/>
      <c r="D77" s="530"/>
      <c r="E77" t="str">
        <f t="shared" si="2"/>
        <v/>
      </c>
      <c r="F77" s="560"/>
      <c r="H77" s="42" t="str">
        <f>_xlfn.TEXTJOIN(6,1,FSBuilder[[#This Row],[Statement]:[Account or Explanation]])</f>
        <v/>
      </c>
      <c r="I77" s="42"/>
      <c r="L77" s="42"/>
      <c r="P77" s="42"/>
      <c r="S77" s="42"/>
      <c r="W77" s="42"/>
    </row>
    <row r="78" spans="3:23">
      <c r="C78" s="530"/>
      <c r="D78" s="530"/>
      <c r="E78" t="str">
        <f t="shared" si="2"/>
        <v/>
      </c>
      <c r="F78" s="560"/>
      <c r="H78" s="42" t="str">
        <f>_xlfn.TEXTJOIN(6,1,FSBuilder[[#This Row],[Statement]:[Account or Explanation]])</f>
        <v/>
      </c>
      <c r="I78" s="42"/>
      <c r="L78" s="42"/>
      <c r="P78" s="42"/>
      <c r="S78" s="42"/>
      <c r="W78" s="42"/>
    </row>
    <row r="79" spans="3:23">
      <c r="C79" s="530"/>
      <c r="D79" s="530"/>
      <c r="E79" t="str">
        <f t="shared" si="2"/>
        <v/>
      </c>
      <c r="F79" s="560"/>
      <c r="H79" s="42" t="str">
        <f>_xlfn.TEXTJOIN(6,1,FSBuilder[[#This Row],[Statement]:[Account or Explanation]])</f>
        <v/>
      </c>
      <c r="I79" s="42"/>
      <c r="L79" s="42"/>
      <c r="P79" s="42"/>
      <c r="S79" s="42"/>
      <c r="W79" s="42"/>
    </row>
    <row r="80" spans="3:23">
      <c r="C80" s="530"/>
      <c r="D80" s="530"/>
      <c r="E80" t="str">
        <f t="shared" si="2"/>
        <v/>
      </c>
      <c r="F80" s="560"/>
      <c r="H80" s="42" t="str">
        <f>_xlfn.TEXTJOIN(6,1,FSBuilder[[#This Row],[Statement]:[Account or Explanation]])</f>
        <v/>
      </c>
      <c r="I80" s="42"/>
      <c r="L80" s="42"/>
      <c r="P80" s="42"/>
      <c r="S80" s="42"/>
      <c r="W80" s="42"/>
    </row>
    <row r="81" spans="2:23">
      <c r="C81" s="530"/>
      <c r="D81" s="530"/>
      <c r="E81" t="str">
        <f t="shared" si="2"/>
        <v/>
      </c>
      <c r="F81" s="560"/>
      <c r="H81" s="42" t="str">
        <f>_xlfn.TEXTJOIN(6,1,FSBuilder[[#This Row],[Statement]:[Account or Explanation]])</f>
        <v/>
      </c>
      <c r="I81" s="42"/>
      <c r="L81" s="42"/>
      <c r="P81" s="42"/>
      <c r="S81" s="42"/>
      <c r="W81" s="42"/>
    </row>
    <row r="82" spans="2:23">
      <c r="C82" s="530"/>
      <c r="D82" s="530"/>
      <c r="E82" t="str">
        <f t="shared" si="2"/>
        <v/>
      </c>
      <c r="F82" s="560"/>
      <c r="H82" s="42" t="str">
        <f>_xlfn.TEXTJOIN(6,1,FSBuilder[[#This Row],[Statement]:[Account or Explanation]])</f>
        <v/>
      </c>
      <c r="I82" s="42"/>
      <c r="L82" s="42"/>
      <c r="P82" s="42"/>
      <c r="S82" s="42"/>
      <c r="W82" s="42"/>
    </row>
    <row r="83" spans="2:23">
      <c r="C83" s="530"/>
      <c r="D83" s="530"/>
      <c r="E83" t="str">
        <f t="shared" si="2"/>
        <v/>
      </c>
      <c r="F83" s="560"/>
      <c r="H83" s="42" t="str">
        <f>_xlfn.TEXTJOIN(6,1,FSBuilder[[#This Row],[Statement]:[Account or Explanation]])</f>
        <v/>
      </c>
      <c r="I83" s="42"/>
      <c r="L83" s="42"/>
      <c r="P83" s="42"/>
      <c r="S83" s="42"/>
      <c r="W83" s="42"/>
    </row>
    <row r="84" spans="2:23">
      <c r="C84" s="530"/>
      <c r="D84" s="530"/>
      <c r="E84" t="str">
        <f t="shared" si="2"/>
        <v/>
      </c>
      <c r="F84" s="560"/>
      <c r="H84" s="42" t="str">
        <f>_xlfn.TEXTJOIN(6,1,FSBuilder[[#This Row],[Statement]:[Account or Explanation]])</f>
        <v/>
      </c>
      <c r="I84" s="42"/>
      <c r="L84" s="42"/>
      <c r="P84" s="42"/>
      <c r="S84" s="42"/>
      <c r="W84" s="42"/>
    </row>
    <row r="85" spans="2:23">
      <c r="C85" s="530"/>
      <c r="D85" s="530"/>
      <c r="E85" t="str">
        <f t="shared" si="2"/>
        <v/>
      </c>
      <c r="F85" s="560"/>
      <c r="H85" s="42" t="str">
        <f>_xlfn.TEXTJOIN(6,1,FSBuilder[[#This Row],[Statement]:[Account or Explanation]])</f>
        <v/>
      </c>
      <c r="I85" s="42"/>
      <c r="L85" s="42"/>
      <c r="P85" s="42"/>
      <c r="S85" s="42"/>
      <c r="W85" s="42"/>
    </row>
    <row r="86" spans="2:23">
      <c r="C86" s="530"/>
      <c r="D86" s="530"/>
      <c r="E86" t="str">
        <f t="shared" si="2"/>
        <v/>
      </c>
      <c r="F86" s="560"/>
      <c r="H86" s="42" t="str">
        <f>_xlfn.TEXTJOIN(6,1,FSBuilder[[#This Row],[Statement]:[Account or Explanation]])</f>
        <v/>
      </c>
      <c r="I86" s="42"/>
      <c r="L86" s="42"/>
      <c r="P86" s="42"/>
      <c r="S86" s="42"/>
      <c r="W86" s="42"/>
    </row>
    <row r="87" spans="2:23">
      <c r="C87" s="530"/>
      <c r="D87" s="530"/>
      <c r="E87" t="str">
        <f t="shared" si="2"/>
        <v/>
      </c>
      <c r="F87" s="560"/>
      <c r="H87" s="42" t="str">
        <f>_xlfn.TEXTJOIN(6,1,FSBuilder[[#This Row],[Statement]:[Account or Explanation]])</f>
        <v/>
      </c>
      <c r="I87" s="42"/>
      <c r="L87" s="42"/>
      <c r="P87" s="42"/>
      <c r="S87" s="42"/>
      <c r="W87" s="42"/>
    </row>
    <row r="88" spans="2:23">
      <c r="C88" s="530"/>
      <c r="D88" s="530"/>
      <c r="E88" t="str">
        <f t="shared" si="2"/>
        <v/>
      </c>
      <c r="F88" s="560"/>
      <c r="H88" s="42" t="str">
        <f>_xlfn.TEXTJOIN(6,1,FSBuilder[[#This Row],[Statement]:[Account or Explanation]])</f>
        <v/>
      </c>
      <c r="I88" s="42"/>
      <c r="L88" s="42"/>
      <c r="P88" s="42"/>
      <c r="S88" s="42"/>
      <c r="W88" s="42"/>
    </row>
    <row r="89" spans="2:23">
      <c r="C89" s="530"/>
      <c r="D89" s="530"/>
      <c r="E89" t="str">
        <f t="shared" si="2"/>
        <v/>
      </c>
      <c r="F89" s="560"/>
      <c r="H89" s="42" t="str">
        <f>_xlfn.TEXTJOIN(6,1,FSBuilder[[#This Row],[Statement]:[Account or Explanation]])</f>
        <v/>
      </c>
      <c r="I89" s="42"/>
      <c r="L89" s="42"/>
      <c r="P89" s="42"/>
      <c r="S89" s="42"/>
      <c r="W89" s="42"/>
    </row>
    <row r="90" spans="2:23">
      <c r="C90" s="530"/>
      <c r="D90" s="530"/>
      <c r="E90" t="str">
        <f t="shared" si="2"/>
        <v/>
      </c>
      <c r="F90" s="560"/>
      <c r="H90" s="42" t="str">
        <f>_xlfn.TEXTJOIN(6,1,FSBuilder[[#This Row],[Statement]:[Account or Explanation]])</f>
        <v/>
      </c>
      <c r="I90" s="42"/>
      <c r="L90" s="42"/>
      <c r="P90" s="42"/>
      <c r="S90" s="42"/>
      <c r="W90" s="42"/>
    </row>
    <row r="91" spans="2:23">
      <c r="C91" s="530"/>
      <c r="D91" s="530"/>
      <c r="E91" t="str">
        <f t="shared" si="2"/>
        <v/>
      </c>
      <c r="F91" s="560"/>
      <c r="H91" s="42" t="str">
        <f>_xlfn.TEXTJOIN(6,1,FSBuilder[[#This Row],[Statement]:[Account or Explanation]])</f>
        <v/>
      </c>
      <c r="L91" s="42"/>
    </row>
    <row r="92" spans="2:23">
      <c r="F92" s="572"/>
      <c r="H92" s="42"/>
      <c r="L92" s="42"/>
    </row>
    <row r="93" spans="2:23">
      <c r="F93" s="224"/>
      <c r="H93" s="42"/>
      <c r="L93" s="42"/>
    </row>
    <row r="94" spans="2:23">
      <c r="C94" s="224"/>
      <c r="D94" s="224"/>
      <c r="E94" s="224"/>
      <c r="F94" s="224"/>
      <c r="H94" s="42"/>
      <c r="L94" s="42"/>
    </row>
    <row r="95" spans="2:23" s="203" customFormat="1">
      <c r="B95" s="208" t="s">
        <v>1040</v>
      </c>
      <c r="L95" s="591"/>
    </row>
    <row r="96" spans="2:23">
      <c r="B96" s="292"/>
      <c r="C96" s="5" t="s">
        <v>1041</v>
      </c>
    </row>
    <row r="97" spans="2:31">
      <c r="B97" s="292"/>
      <c r="C97" s="423" t="s">
        <v>1038</v>
      </c>
      <c r="D97" s="423" t="s">
        <v>521</v>
      </c>
      <c r="E97" s="423" t="s">
        <v>1042</v>
      </c>
      <c r="AB97" s="601" t="s">
        <v>626</v>
      </c>
    </row>
    <row r="98" spans="2:31">
      <c r="B98" s="292"/>
      <c r="C98" s="224" t="str">
        <f>_xlfn.TEXTJOIN("6",TRUE,C25:C91)</f>
        <v/>
      </c>
      <c r="D98" s="224" t="str">
        <f>_xlfn.TEXTJOIN("6",TRUE,D25:D91)</f>
        <v/>
      </c>
      <c r="E98" s="224" t="str">
        <f ca="1">_xlfn.TEXTJOIN(6,1,H25:H91)</f>
        <v>Loans Payable6Cash6Accounts Receivable6Inventories6Common Stock6Retained Earnings6Accounts Payable6Dividends Payable6Unearned Revenue6Property, Plant &amp; Equipment6Land6Cost of Goods Sold6Sales6Loans Payable6Cash6Accounts Receivable6Inventories6Common Stock6Retained Earnings6Accounts Payable6Dividends Payable6Unearned Revenue6Property, Plant &amp; Equipment6Land6Issued common stock6Net Income (Loss)6Issued common stock for building6Collections from customers6Payments to suppliers</v>
      </c>
      <c r="AB98" t="s">
        <v>1043</v>
      </c>
    </row>
    <row r="99" spans="2:31" ht="15" thickBot="1">
      <c r="B99" s="292"/>
      <c r="AB99" s="5" t="s">
        <v>1044</v>
      </c>
      <c r="AC99" s="5" t="b">
        <f ca="1">$R$126</f>
        <v>1</v>
      </c>
    </row>
    <row r="100" spans="2:31">
      <c r="B100" s="292"/>
      <c r="C100" s="527" t="s">
        <v>1045</v>
      </c>
      <c r="D100" s="583" t="s">
        <v>1046</v>
      </c>
      <c r="E100" s="583" t="s">
        <v>1047</v>
      </c>
      <c r="F100" s="583" t="s">
        <v>1048</v>
      </c>
      <c r="G100" s="584" t="s">
        <v>1049</v>
      </c>
      <c r="J100" s="5" t="s">
        <v>1050</v>
      </c>
      <c r="K100" s="5" t="s">
        <v>1051</v>
      </c>
      <c r="L100" s="423" t="s">
        <v>1052</v>
      </c>
      <c r="M100" s="527" t="s">
        <v>1053</v>
      </c>
      <c r="N100" s="584" t="s">
        <v>1046</v>
      </c>
      <c r="Q100" s="470" t="s">
        <v>1054</v>
      </c>
      <c r="R100" s="206"/>
      <c r="T100" s="5" t="s">
        <v>1055</v>
      </c>
      <c r="AB100" s="5" t="s">
        <v>1056</v>
      </c>
      <c r="AC100" s="5" t="b">
        <f ca="1">$R$126</f>
        <v>1</v>
      </c>
    </row>
    <row r="101" spans="2:31">
      <c r="B101" s="292"/>
      <c r="C101" s="107" t="s">
        <v>583</v>
      </c>
      <c r="D101" t="b">
        <f t="shared" ref="D101:D108" si="3">ISNUMBER(SEARCH(C101,$C$98))</f>
        <v>0</v>
      </c>
      <c r="E101" t="b">
        <f t="shared" ref="E101:E108" si="4">_xlfn.XLOOKUP(C101,$C$14:$C$21,$D$14:$D$21)</f>
        <v>1</v>
      </c>
      <c r="F101" t="b">
        <f>ABS(D555-D556-D557)&lt;0.00001</f>
        <v>1</v>
      </c>
      <c r="G101" s="108" t="b">
        <f ca="1">FSAnswers!D99</f>
        <v>1</v>
      </c>
      <c r="J101" t="str" cm="1">
        <f t="array" aca="1" ref="J101:J102" ca="1">_xlfn._xlws.FILTER(FSConstruction!AQ9:AQ15,FSConstruction!AX9:AX15,"")</f>
        <v>Collections from customers</v>
      </c>
      <c r="K101" t="str" cm="1">
        <f t="array" aca="1" ref="K101" ca="1">_xlfn._xlws.FILTER(FSConstruction!AQ20:AQ29,FSConstruction!AX20:AX29=TRUE,"")</f>
        <v/>
      </c>
      <c r="L101" s="224" t="str" cm="1">
        <f t="array" aca="1" ref="L101" ca="1">_xlfn._xlws.FILTER(FSConstruction!AQ34:AQ47,FSConstruction!AX34:AX47=TRUE,"")</f>
        <v/>
      </c>
      <c r="M101" s="107" t="s">
        <v>1057</v>
      </c>
      <c r="N101" s="108" t="b">
        <f t="shared" ref="N101:N108" ca="1" si="5">ISNUMBER(SEARCH(M101,$E$98,1))</f>
        <v>0</v>
      </c>
      <c r="Q101" s="107"/>
      <c r="R101" s="108"/>
    </row>
    <row r="102" spans="2:31">
      <c r="B102" s="292"/>
      <c r="C102" s="107" t="s">
        <v>586</v>
      </c>
      <c r="D102" t="b">
        <f t="shared" si="3"/>
        <v>0</v>
      </c>
      <c r="E102" t="b">
        <f t="shared" si="4"/>
        <v>1</v>
      </c>
      <c r="G102" s="108" t="b">
        <f ca="1">FSAnswers!I99</f>
        <v>1</v>
      </c>
      <c r="J102" t="str">
        <f ca="1"/>
        <v>Payments to suppliers</v>
      </c>
      <c r="M102" s="107" t="s">
        <v>1058</v>
      </c>
      <c r="N102" s="108" t="b">
        <f t="shared" ca="1" si="5"/>
        <v>0</v>
      </c>
      <c r="Q102" s="594" t="s">
        <v>583</v>
      </c>
      <c r="R102" s="108"/>
      <c r="T102" s="601" t="s">
        <v>583</v>
      </c>
      <c r="X102" s="601" t="s">
        <v>586</v>
      </c>
      <c r="AB102" s="5" t="s">
        <v>1059</v>
      </c>
      <c r="AE102" s="601" t="s">
        <v>872</v>
      </c>
    </row>
    <row r="103" spans="2:31">
      <c r="B103" s="292"/>
      <c r="C103" s="107" t="s">
        <v>696</v>
      </c>
      <c r="D103" t="b">
        <f t="shared" si="3"/>
        <v>0</v>
      </c>
      <c r="E103" t="b">
        <f t="shared" si="4"/>
        <v>1</v>
      </c>
      <c r="G103" s="108" t="b">
        <f ca="1">FSAnswers!M99</f>
        <v>1</v>
      </c>
      <c r="M103" s="107" t="s">
        <v>1060</v>
      </c>
      <c r="N103" s="108" t="b">
        <f t="shared" ca="1" si="5"/>
        <v>0</v>
      </c>
      <c r="Q103" s="107" t="s">
        <v>1061</v>
      </c>
      <c r="R103" s="108" t="b">
        <f>$E$101</f>
        <v>1</v>
      </c>
      <c r="T103" t="s">
        <v>1062</v>
      </c>
      <c r="X103" t="s">
        <v>1063</v>
      </c>
      <c r="AB103" t="s">
        <v>1064</v>
      </c>
      <c r="AC103" t="b">
        <f>$E$104</f>
        <v>1</v>
      </c>
      <c r="AE103" t="s">
        <v>72</v>
      </c>
    </row>
    <row r="104" spans="2:31">
      <c r="B104" s="292"/>
      <c r="C104" s="107" t="s">
        <v>626</v>
      </c>
      <c r="D104" t="b">
        <f t="shared" si="3"/>
        <v>0</v>
      </c>
      <c r="E104" t="b">
        <f t="shared" si="4"/>
        <v>1</v>
      </c>
      <c r="G104" s="108"/>
      <c r="M104" s="107" t="s">
        <v>1065</v>
      </c>
      <c r="N104" s="108" t="b">
        <f t="shared" ca="1" si="5"/>
        <v>0</v>
      </c>
      <c r="Q104" s="107" t="s">
        <v>1066</v>
      </c>
      <c r="R104" s="108" t="b">
        <f>$D$101</f>
        <v>0</v>
      </c>
      <c r="T104" s="5" t="s">
        <v>65</v>
      </c>
      <c r="U104" s="5" t="b">
        <f>$R$105</f>
        <v>1</v>
      </c>
      <c r="X104" s="5" t="s">
        <v>69</v>
      </c>
      <c r="Y104" s="5" t="b">
        <f>$R$111</f>
        <v>1</v>
      </c>
      <c r="AB104" t="s">
        <v>1067</v>
      </c>
      <c r="AC104" t="b">
        <f ca="1">$R$126</f>
        <v>1</v>
      </c>
      <c r="AE104" t="s">
        <v>896</v>
      </c>
    </row>
    <row r="105" spans="2:31">
      <c r="B105" s="292"/>
      <c r="C105" s="107" t="s">
        <v>697</v>
      </c>
      <c r="D105" t="b">
        <f t="shared" si="3"/>
        <v>0</v>
      </c>
      <c r="E105" t="b">
        <f t="shared" si="4"/>
        <v>1</v>
      </c>
      <c r="G105" s="108"/>
      <c r="M105" s="107" t="s">
        <v>1068</v>
      </c>
      <c r="N105" s="108" t="b">
        <f t="shared" ca="1" si="5"/>
        <v>0</v>
      </c>
      <c r="Q105" s="594" t="s">
        <v>1069</v>
      </c>
      <c r="R105" s="443" t="b">
        <f>OR(R103,R104)</f>
        <v>1</v>
      </c>
      <c r="T105" s="5" t="s">
        <v>66</v>
      </c>
      <c r="U105" s="5" t="b">
        <f t="shared" ref="U105:U106" si="6">$R$105</f>
        <v>1</v>
      </c>
      <c r="X105" s="5" t="s">
        <v>70</v>
      </c>
      <c r="Y105" s="5" t="b">
        <f>$R$111</f>
        <v>1</v>
      </c>
      <c r="AB105" t="s">
        <v>1070</v>
      </c>
      <c r="AC105" t="b">
        <f>$K$125</f>
        <v>0</v>
      </c>
      <c r="AE105" t="s">
        <v>1071</v>
      </c>
    </row>
    <row r="106" spans="2:31">
      <c r="B106" s="292"/>
      <c r="C106" s="107" t="s">
        <v>592</v>
      </c>
      <c r="D106" t="b">
        <f t="shared" si="3"/>
        <v>0</v>
      </c>
      <c r="E106" t="b">
        <f t="shared" si="4"/>
        <v>1</v>
      </c>
      <c r="F106" t="b">
        <f>ABS(AC555-AC556-AC557)&lt;0.00001</f>
        <v>1</v>
      </c>
      <c r="G106" s="108" t="b">
        <f ca="1">FSAnswers!U99</f>
        <v>1</v>
      </c>
      <c r="M106" s="107" t="str">
        <f>$M$105&amp;"6Preferred Stock"</f>
        <v>Beginning Balance Sheet6  Equities6Preferred Stock</v>
      </c>
      <c r="N106" s="108" t="b">
        <f t="shared" ca="1" si="5"/>
        <v>0</v>
      </c>
      <c r="Q106" s="107"/>
      <c r="R106" s="108"/>
      <c r="T106" s="5" t="s">
        <v>67</v>
      </c>
      <c r="U106" s="5" t="b">
        <f t="shared" si="6"/>
        <v>1</v>
      </c>
      <c r="AB106" t="s">
        <v>1072</v>
      </c>
      <c r="AC106" t="b">
        <f>$K$126</f>
        <v>0</v>
      </c>
      <c r="AE106" t="s">
        <v>898</v>
      </c>
    </row>
    <row r="107" spans="2:31">
      <c r="B107" s="292"/>
      <c r="C107" s="107" t="s">
        <v>698</v>
      </c>
      <c r="D107" t="b">
        <f t="shared" si="3"/>
        <v>0</v>
      </c>
      <c r="E107" t="b">
        <f t="shared" si="4"/>
        <v>1</v>
      </c>
      <c r="G107" s="108"/>
      <c r="M107" s="107" t="str">
        <f>$M$105&amp;"6Common Stock"</f>
        <v>Beginning Balance Sheet6  Equities6Common Stock</v>
      </c>
      <c r="N107" s="108" t="b">
        <f t="shared" ca="1" si="5"/>
        <v>0</v>
      </c>
      <c r="Q107" s="594" t="s">
        <v>586</v>
      </c>
      <c r="R107" s="108"/>
      <c r="X107" s="5" t="s">
        <v>308</v>
      </c>
      <c r="AB107" t="s">
        <v>1073</v>
      </c>
      <c r="AC107" t="b">
        <f>$K$127</f>
        <v>0</v>
      </c>
    </row>
    <row r="108" spans="2:31" ht="15" thickBot="1">
      <c r="B108" s="292"/>
      <c r="C108" s="109" t="s">
        <v>695</v>
      </c>
      <c r="D108" s="315" t="b">
        <f t="shared" si="3"/>
        <v>0</v>
      </c>
      <c r="E108" s="315" t="b">
        <f t="shared" si="4"/>
        <v>0</v>
      </c>
      <c r="F108" s="315"/>
      <c r="G108" s="110"/>
      <c r="M108" s="107" t="str">
        <f>$M$105&amp;"6Additional Paid-in Capital"</f>
        <v>Beginning Balance Sheet6  Equities6Additional Paid-in Capital</v>
      </c>
      <c r="N108" s="108" t="b">
        <f t="shared" ca="1" si="5"/>
        <v>0</v>
      </c>
      <c r="Q108" s="107" t="s">
        <v>1061</v>
      </c>
      <c r="R108" s="108" t="b">
        <f>$E$102</f>
        <v>1</v>
      </c>
      <c r="X108" t="s">
        <v>1063</v>
      </c>
      <c r="Y108" t="b">
        <f>$R$111</f>
        <v>1</v>
      </c>
      <c r="AB108" s="5" t="s">
        <v>1069</v>
      </c>
      <c r="AC108" s="5" t="b">
        <f ca="1">OR(AC103,AND(AC104,OR(AC105,AC106,AC107)))</f>
        <v>1</v>
      </c>
      <c r="AE108" s="601" t="s">
        <v>592</v>
      </c>
    </row>
    <row r="109" spans="2:31" ht="15" thickBot="1">
      <c r="B109" s="292"/>
      <c r="M109" s="107" t="str">
        <f>$M$105&amp;"6Retained Earnings"</f>
        <v>Beginning Balance Sheet6  Equities6Retained Earnings</v>
      </c>
      <c r="N109" s="108" t="b">
        <f t="shared" ref="N109:N111" ca="1" si="7">ISNUMBER(SEARCH(M109,$E$98,1))</f>
        <v>0</v>
      </c>
      <c r="Q109" s="107" t="s">
        <v>1066</v>
      </c>
      <c r="R109" s="108" t="b">
        <f>$D$102</f>
        <v>0</v>
      </c>
      <c r="T109" s="5" t="s">
        <v>885</v>
      </c>
      <c r="X109" t="s">
        <v>1074</v>
      </c>
      <c r="Y109" t="b">
        <f>FSConstruction!$J$42=1</f>
        <v>0</v>
      </c>
      <c r="AE109" t="s">
        <v>65</v>
      </c>
    </row>
    <row r="110" spans="2:31">
      <c r="B110" s="292"/>
      <c r="C110" s="405" t="str">
        <f>"as of "&amp;EndDate</f>
        <v>as of 12/31/20x1</v>
      </c>
      <c r="M110" s="107" t="str">
        <f>$M$105&amp;"6Accumulated Other Comprehensive Income"</f>
        <v>Beginning Balance Sheet6  Equities6Accumulated Other Comprehensive Income</v>
      </c>
      <c r="N110" s="108" t="b">
        <f t="shared" ca="1" si="7"/>
        <v>0</v>
      </c>
      <c r="Q110" s="107" t="s">
        <v>1075</v>
      </c>
      <c r="R110" s="108" t="b">
        <f>AND($R$105,$R$149)</f>
        <v>1</v>
      </c>
      <c r="T110" t="s">
        <v>1076</v>
      </c>
      <c r="U110" t="b">
        <f>$R$105</f>
        <v>1</v>
      </c>
      <c r="X110" t="s">
        <v>1077</v>
      </c>
      <c r="Y110" t="b">
        <f>$K$123</f>
        <v>0</v>
      </c>
      <c r="AB110" s="5" t="s">
        <v>1078</v>
      </c>
      <c r="AE110" t="s">
        <v>66</v>
      </c>
    </row>
    <row r="111" spans="2:31">
      <c r="B111" s="292"/>
      <c r="C111" s="194" t="str">
        <f>"as of "&amp;BegDate</f>
        <v>as of 12/31/20x0</v>
      </c>
      <c r="M111" s="107" t="str">
        <f>$M$105&amp;"6Treasury Stock"</f>
        <v>Beginning Balance Sheet6  Equities6Treasury Stock</v>
      </c>
      <c r="N111" s="108" t="b">
        <f t="shared" ca="1" si="7"/>
        <v>0</v>
      </c>
      <c r="Q111" s="594" t="s">
        <v>1069</v>
      </c>
      <c r="R111" s="443" t="b">
        <f>OR(R108,R109,R110)</f>
        <v>1</v>
      </c>
      <c r="T111" t="s">
        <v>1079</v>
      </c>
      <c r="U111" t="b">
        <f>$K$116</f>
        <v>0</v>
      </c>
      <c r="X111" t="s">
        <v>1080</v>
      </c>
      <c r="Y111" t="b">
        <f>FSConstruction!$J$52=1</f>
        <v>0</v>
      </c>
      <c r="AB111" t="s">
        <v>1064</v>
      </c>
      <c r="AC111" t="b">
        <f>$E$104</f>
        <v>1</v>
      </c>
      <c r="AE111" t="s">
        <v>67</v>
      </c>
    </row>
    <row r="112" spans="2:31" ht="15" thickBot="1">
      <c r="B112" s="292"/>
      <c r="C112" s="195" t="str">
        <f>"for the "&amp;Period&amp;" ended "&amp;EndDate</f>
        <v>for the Year ended 12/31/20x1</v>
      </c>
      <c r="M112" s="107" t="s">
        <v>1081</v>
      </c>
      <c r="N112" s="108" t="b">
        <f t="shared" ref="N112:N119" ca="1" si="8">ISNUMBER(SEARCH(M112,$E$98,1))</f>
        <v>0</v>
      </c>
      <c r="Q112" s="107"/>
      <c r="R112" s="108"/>
      <c r="T112" t="s">
        <v>1082</v>
      </c>
      <c r="U112" t="b">
        <f>$K$117</f>
        <v>0</v>
      </c>
      <c r="X112" t="s">
        <v>1083</v>
      </c>
      <c r="Y112" t="b">
        <f>$K$124</f>
        <v>0</v>
      </c>
      <c r="AB112" t="s">
        <v>1067</v>
      </c>
      <c r="AC112" t="b">
        <f ca="1">$R$126</f>
        <v>1</v>
      </c>
    </row>
    <row r="113" spans="2:29">
      <c r="B113" s="292"/>
      <c r="M113" s="107" t="s">
        <v>1084</v>
      </c>
      <c r="N113" s="108" t="b">
        <f t="shared" ca="1" si="8"/>
        <v>0</v>
      </c>
      <c r="Q113" s="107"/>
      <c r="R113" s="108"/>
      <c r="T113" s="5" t="s">
        <v>1069</v>
      </c>
      <c r="U113" s="5" t="b">
        <f>AND(U110,OR(U111,U112))</f>
        <v>0</v>
      </c>
      <c r="X113" s="5" t="s">
        <v>1069</v>
      </c>
      <c r="Y113" s="5" t="b">
        <f>AND(Y108,OR(Y109,Y110,Y111,Y112))</f>
        <v>0</v>
      </c>
      <c r="AB113" t="s">
        <v>1070</v>
      </c>
      <c r="AC113" t="b">
        <f>$K$125</f>
        <v>0</v>
      </c>
    </row>
    <row r="114" spans="2:29" ht="15" thickBot="1">
      <c r="B114" s="292"/>
      <c r="C114" s="43" t="s">
        <v>1085</v>
      </c>
      <c r="D114" s="43" t="s">
        <v>1086</v>
      </c>
      <c r="E114" s="43" t="s">
        <v>1087</v>
      </c>
      <c r="F114" s="43" t="s">
        <v>97</v>
      </c>
      <c r="M114" s="107" t="s">
        <v>1088</v>
      </c>
      <c r="N114" s="108" t="b">
        <f t="shared" ca="1" si="8"/>
        <v>0</v>
      </c>
      <c r="Q114" s="594" t="s">
        <v>587</v>
      </c>
      <c r="R114" s="108"/>
      <c r="AB114" t="s">
        <v>1072</v>
      </c>
      <c r="AC114" t="b">
        <f>$K$126</f>
        <v>0</v>
      </c>
    </row>
    <row r="115" spans="2:29">
      <c r="B115" s="292"/>
      <c r="C115" t="str" cm="1">
        <f t="array" ref="C115:C138">_xlfn._xlws.FILTER(_xlfn.VSTACK(_xlfn.ANCHORARRAY(FSConstruction!C88),_xlfn.ANCHORARRAY(FSConstruction!I88),_xlfn.ANCHORARRAY(FSConstruction!C88)),_xlfn.VSTACK(_xlfn.ANCHORARRAY(FSConstruction!C88),_xlfn.ANCHORARRAY(FSConstruction!I88),_xlfn.ANCHORARRAY(FSConstruction!C88))&lt;&gt;"")</f>
        <v>Loans Payable</v>
      </c>
      <c r="D115" t="str" cm="1">
        <f t="array" aca="1" ref="D115:D117" ca="1">_xlfn._xlws.FILTER(StChsSE[Item],ABS(StChsSE[AmtAnswer])&gt;0,"")</f>
        <v>Issued common stock</v>
      </c>
      <c r="E115" t="str" cm="1">
        <f t="array" aca="1" ref="E115:E118" ca="1">_xlfn.VSTACK(_xlfn.ANCHORARRAY(J101),_xlfn.ANCHORARRAY(K101),_xlfn.ANCHORARRAY(L101))</f>
        <v>Collections from customers</v>
      </c>
      <c r="F115" s="405" t="str" cm="1">
        <f t="array" aca="1" ref="F115:F143" ca="1">_xlfn._xlws.FILTER(_xlfn.VSTACK(_xlfn.ANCHORARRAY(C115),_xlfn.ANCHORARRAY(D115),_xlfn.ANCHORARRAY(E115)),_xlfn.VSTACK(_xlfn.ANCHORARRAY(C115),_xlfn.ANCHORARRAY(D115),_xlfn.ANCHORARRAY(E115))&lt;&gt;"")</f>
        <v>Loans Payable</v>
      </c>
      <c r="J115" s="527" t="s">
        <v>1089</v>
      </c>
      <c r="K115" s="584" t="s">
        <v>1046</v>
      </c>
      <c r="M115" s="107" t="s">
        <v>1090</v>
      </c>
      <c r="N115" s="108" t="b">
        <f t="shared" ca="1" si="8"/>
        <v>0</v>
      </c>
      <c r="Q115" s="107" t="s">
        <v>1061</v>
      </c>
      <c r="R115" s="108" t="b">
        <f>$E$103</f>
        <v>1</v>
      </c>
      <c r="X115" s="5" t="s">
        <v>961</v>
      </c>
      <c r="AB115" t="s">
        <v>1073</v>
      </c>
      <c r="AC115" t="b">
        <f>$K$127</f>
        <v>0</v>
      </c>
    </row>
    <row r="116" spans="2:29">
      <c r="B116" s="292"/>
      <c r="C116" t="str">
        <v>Cash</v>
      </c>
      <c r="D116" t="str">
        <f ca="1"/>
        <v>Net Income (Loss)</v>
      </c>
      <c r="E116" t="str">
        <f ca="1"/>
        <v>Payments to suppliers</v>
      </c>
      <c r="F116" s="194" t="str">
        <f ca="1"/>
        <v>Cash</v>
      </c>
      <c r="J116" s="107" t="s">
        <v>1091</v>
      </c>
      <c r="K116" s="108" t="b">
        <f t="shared" ref="K116:K127" si="9">ISNUMBER(SEARCH(J116,$D$98))</f>
        <v>0</v>
      </c>
      <c r="M116" s="107" t="s">
        <v>1092</v>
      </c>
      <c r="N116" s="108" t="b">
        <f t="shared" ca="1" si="8"/>
        <v>0</v>
      </c>
      <c r="Q116" s="107" t="s">
        <v>1093</v>
      </c>
      <c r="R116" s="108" t="b">
        <f ca="1">AND($N$105,$N$117)</f>
        <v>0</v>
      </c>
      <c r="T116" s="5" t="s">
        <v>888</v>
      </c>
      <c r="X116" t="s">
        <v>1063</v>
      </c>
      <c r="Y116" t="b">
        <f>$R$111</f>
        <v>1</v>
      </c>
      <c r="AB116" s="5" t="s">
        <v>1069</v>
      </c>
      <c r="AC116" s="5" t="b">
        <f ca="1">OR(AC111,AND(AC112,OR(AC113,AC114,AC115)))</f>
        <v>1</v>
      </c>
    </row>
    <row r="117" spans="2:29">
      <c r="B117" s="292"/>
      <c r="C117" t="str">
        <v>Accounts Receivable</v>
      </c>
      <c r="D117" t="str">
        <f ca="1"/>
        <v>Issued common stock for building</v>
      </c>
      <c r="E117" t="str">
        <f ca="1"/>
        <v/>
      </c>
      <c r="F117" s="194" t="str">
        <f ca="1"/>
        <v>Accounts Receivable</v>
      </c>
      <c r="J117" s="107" t="s">
        <v>1094</v>
      </c>
      <c r="K117" s="108" t="b">
        <f t="shared" si="9"/>
        <v>0</v>
      </c>
      <c r="M117" s="107" t="s">
        <v>1095</v>
      </c>
      <c r="N117" s="108" t="b">
        <f t="shared" ca="1" si="8"/>
        <v>0</v>
      </c>
      <c r="Q117" s="107" t="s">
        <v>1075</v>
      </c>
      <c r="R117" s="108" t="b">
        <f>AND($R$105,$R$149)</f>
        <v>1</v>
      </c>
      <c r="T117" t="s">
        <v>1076</v>
      </c>
      <c r="U117" t="b">
        <f>$R$105</f>
        <v>1</v>
      </c>
      <c r="X117" t="s">
        <v>1074</v>
      </c>
      <c r="Y117" t="b">
        <f>FSConstruction!$J$42=1</f>
        <v>0</v>
      </c>
    </row>
    <row r="118" spans="2:29">
      <c r="B118" s="292"/>
      <c r="C118" t="str">
        <v>Inventories</v>
      </c>
      <c r="E118" t="str">
        <f ca="1"/>
        <v/>
      </c>
      <c r="F118" s="194" t="str">
        <f ca="1"/>
        <v>Inventories</v>
      </c>
      <c r="J118" s="107" t="s">
        <v>1096</v>
      </c>
      <c r="K118" s="108" t="b">
        <f t="shared" si="9"/>
        <v>0</v>
      </c>
      <c r="M118" s="107" t="str">
        <f>$M$117&amp;"6Preferred Stock"</f>
        <v>Ending Balance Sheet6  Equities6Preferred Stock</v>
      </c>
      <c r="N118" s="108" t="b">
        <f t="shared" ca="1" si="8"/>
        <v>0</v>
      </c>
      <c r="Q118" s="594" t="s">
        <v>1069</v>
      </c>
      <c r="R118" s="443" t="b">
        <f ca="1">OR(R115,R116,R117)</f>
        <v>1</v>
      </c>
      <c r="T118" t="s">
        <v>1079</v>
      </c>
      <c r="U118" t="b">
        <f>$K$117</f>
        <v>0</v>
      </c>
      <c r="X118" t="s">
        <v>1077</v>
      </c>
      <c r="Y118" t="b">
        <f>$K$123</f>
        <v>0</v>
      </c>
      <c r="AB118" s="5" t="s">
        <v>1097</v>
      </c>
    </row>
    <row r="119" spans="2:29">
      <c r="B119" s="292"/>
      <c r="C119" t="str">
        <v>Common Stock</v>
      </c>
      <c r="F119" s="194" t="str">
        <f ca="1"/>
        <v>Common Stock</v>
      </c>
      <c r="J119" s="107" t="s">
        <v>1098</v>
      </c>
      <c r="K119" s="108" t="b">
        <f t="shared" si="9"/>
        <v>0</v>
      </c>
      <c r="M119" s="107" t="str">
        <f>$M$117&amp;"6Common Stock"</f>
        <v>Ending Balance Sheet6  Equities6Common Stock</v>
      </c>
      <c r="N119" s="108" t="b">
        <f t="shared" ca="1" si="8"/>
        <v>0</v>
      </c>
      <c r="Q119" s="107"/>
      <c r="R119" s="108"/>
      <c r="T119" t="s">
        <v>1082</v>
      </c>
      <c r="U119" t="b">
        <f>AND(U116,OR(U117,U118))</f>
        <v>1</v>
      </c>
      <c r="X119" t="s">
        <v>1080</v>
      </c>
      <c r="Y119" t="b">
        <f>FSConstruction!$J$52=1</f>
        <v>0</v>
      </c>
      <c r="AB119" t="s">
        <v>1064</v>
      </c>
      <c r="AC119" t="b">
        <f>$E$104</f>
        <v>1</v>
      </c>
    </row>
    <row r="120" spans="2:29">
      <c r="B120" s="292"/>
      <c r="C120" t="str">
        <v>Retained Earnings</v>
      </c>
      <c r="F120" s="194" t="str">
        <f ca="1"/>
        <v>Retained Earnings</v>
      </c>
      <c r="J120" s="107" t="s">
        <v>1099</v>
      </c>
      <c r="K120" s="108" t="b">
        <f t="shared" si="9"/>
        <v>0</v>
      </c>
      <c r="M120" s="107" t="str">
        <f>$M$117&amp;"6Additional Paid-in Capital"</f>
        <v>Ending Balance Sheet6  Equities6Additional Paid-in Capital</v>
      </c>
      <c r="N120" s="108" t="b">
        <f t="shared" ref="N120:N123" ca="1" si="10">ISNUMBER(SEARCH(M120,$E$98,1))</f>
        <v>0</v>
      </c>
      <c r="Q120" s="107"/>
      <c r="R120" s="108"/>
      <c r="T120" s="5" t="s">
        <v>1069</v>
      </c>
      <c r="U120" s="5" t="b">
        <f>AND(U117,OR(U118,U119))</f>
        <v>1</v>
      </c>
      <c r="X120" t="s">
        <v>1083</v>
      </c>
      <c r="Y120" t="b">
        <f>$K$124</f>
        <v>0</v>
      </c>
      <c r="AB120" t="s">
        <v>1067</v>
      </c>
      <c r="AC120" t="b">
        <f ca="1">$R$126</f>
        <v>1</v>
      </c>
    </row>
    <row r="121" spans="2:29">
      <c r="B121" s="292"/>
      <c r="C121" t="str">
        <v>Accounts Payable</v>
      </c>
      <c r="F121" s="194" t="str">
        <f ca="1"/>
        <v>Accounts Payable</v>
      </c>
      <c r="J121" s="107" t="s">
        <v>1100</v>
      </c>
      <c r="K121" s="108" t="b">
        <f t="shared" si="9"/>
        <v>0</v>
      </c>
      <c r="M121" s="107" t="str">
        <f>$M$117&amp;"6Retained Earnings"</f>
        <v>Ending Balance Sheet6  Equities6Retained Earnings</v>
      </c>
      <c r="N121" s="108" t="b">
        <f t="shared" ca="1" si="10"/>
        <v>0</v>
      </c>
      <c r="Q121" s="594" t="s">
        <v>626</v>
      </c>
      <c r="R121" s="108"/>
      <c r="X121" s="5" t="s">
        <v>1069</v>
      </c>
      <c r="Y121" s="5" t="b">
        <f>AND(Y116,OR(Y117,Y118,Y119,Y120))</f>
        <v>0</v>
      </c>
      <c r="AB121" t="s">
        <v>1070</v>
      </c>
      <c r="AC121" t="b">
        <f>$K$125</f>
        <v>0</v>
      </c>
    </row>
    <row r="122" spans="2:29">
      <c r="B122" s="292"/>
      <c r="C122" t="str">
        <v>Dividends Payable</v>
      </c>
      <c r="F122" s="194" t="str">
        <f ca="1"/>
        <v>Dividends Payable</v>
      </c>
      <c r="J122" s="107" t="s">
        <v>1101</v>
      </c>
      <c r="K122" s="108" t="b">
        <f t="shared" si="9"/>
        <v>0</v>
      </c>
      <c r="M122" s="107" t="str">
        <f>$M$117&amp;"6Accumulated Other Comprehensive Income"</f>
        <v>Ending Balance Sheet6  Equities6Accumulated Other Comprehensive Income</v>
      </c>
      <c r="N122" s="108" t="b">
        <f t="shared" ca="1" si="10"/>
        <v>0</v>
      </c>
      <c r="Q122" s="107" t="s">
        <v>1061</v>
      </c>
      <c r="R122" s="108" t="b">
        <f>$E$104</f>
        <v>1</v>
      </c>
      <c r="AB122" t="s">
        <v>1072</v>
      </c>
      <c r="AC122" t="b">
        <f>$K$126</f>
        <v>0</v>
      </c>
    </row>
    <row r="123" spans="2:29">
      <c r="B123" s="292"/>
      <c r="C123" t="str">
        <v>Unearned Revenue</v>
      </c>
      <c r="F123" s="194" t="str">
        <f ca="1"/>
        <v>Unearned Revenue</v>
      </c>
      <c r="J123" s="107" t="s">
        <v>1102</v>
      </c>
      <c r="K123" s="108" t="b">
        <f t="shared" si="9"/>
        <v>0</v>
      </c>
      <c r="M123" s="107" t="str">
        <f>$M$117&amp;"6Treasury Stock"</f>
        <v>Ending Balance Sheet6  Equities6Treasury Stock</v>
      </c>
      <c r="N123" s="108" t="b">
        <f t="shared" ca="1" si="10"/>
        <v>0</v>
      </c>
      <c r="Q123" s="107" t="s">
        <v>1103</v>
      </c>
      <c r="R123" s="108" t="b">
        <f>$D$104</f>
        <v>0</v>
      </c>
      <c r="T123" s="5" t="s">
        <v>890</v>
      </c>
      <c r="X123" s="601" t="s">
        <v>1104</v>
      </c>
      <c r="AB123" t="s">
        <v>1073</v>
      </c>
      <c r="AC123" t="b">
        <f>$K$127</f>
        <v>0</v>
      </c>
    </row>
    <row r="124" spans="2:29">
      <c r="B124" s="292"/>
      <c r="C124" t="str">
        <v>Property, Plant &amp; Equipment</v>
      </c>
      <c r="F124" s="194" t="str">
        <f ca="1"/>
        <v>Property, Plant &amp; Equipment</v>
      </c>
      <c r="J124" s="107" t="s">
        <v>1105</v>
      </c>
      <c r="K124" s="108" t="b">
        <f t="shared" si="9"/>
        <v>0</v>
      </c>
      <c r="M124" s="107" t="s">
        <v>1106</v>
      </c>
      <c r="N124" s="108" t="b">
        <f ca="1">ISNUMBER(SEARCH(M124,$E$98,1))</f>
        <v>0</v>
      </c>
      <c r="Q124" s="107" t="s">
        <v>1107</v>
      </c>
      <c r="R124" s="108" t="b">
        <f ca="1">AND($N$112,$N$124)</f>
        <v>0</v>
      </c>
      <c r="T124" t="s">
        <v>1076</v>
      </c>
      <c r="U124" t="b">
        <f>$R$105</f>
        <v>1</v>
      </c>
      <c r="AB124" s="5" t="s">
        <v>1069</v>
      </c>
      <c r="AC124" s="5" t="b">
        <f ca="1">OR(AC119,AND(AC120,OR(AC121,AC122,AC123)))</f>
        <v>1</v>
      </c>
    </row>
    <row r="125" spans="2:29">
      <c r="B125" s="292"/>
      <c r="C125" t="str">
        <v>Land</v>
      </c>
      <c r="F125" s="194" t="str">
        <f ca="1"/>
        <v>Land</v>
      </c>
      <c r="J125" s="107" t="s">
        <v>1108</v>
      </c>
      <c r="K125" s="108" t="b">
        <f t="shared" si="9"/>
        <v>0</v>
      </c>
      <c r="M125" s="107"/>
      <c r="N125" s="108"/>
      <c r="Q125" s="107" t="s">
        <v>1075</v>
      </c>
      <c r="R125" s="108" t="b">
        <f>AND($R$105,$R$149)</f>
        <v>1</v>
      </c>
      <c r="T125" t="s">
        <v>1109</v>
      </c>
      <c r="U125" t="b">
        <f>$K$118</f>
        <v>0</v>
      </c>
      <c r="X125" t="s">
        <v>1110</v>
      </c>
    </row>
    <row r="126" spans="2:29">
      <c r="B126" s="292"/>
      <c r="C126" t="str">
        <v>Cost of Goods Sold</v>
      </c>
      <c r="F126" s="194" t="str">
        <f ca="1"/>
        <v>Cost of Goods Sold</v>
      </c>
      <c r="J126" s="107" t="s">
        <v>1111</v>
      </c>
      <c r="K126" s="108" t="b">
        <f t="shared" si="9"/>
        <v>0</v>
      </c>
      <c r="M126" s="107"/>
      <c r="N126" s="108"/>
      <c r="Q126" s="594" t="s">
        <v>1069</v>
      </c>
      <c r="R126" s="443" t="b">
        <f ca="1">OR(R122,R123,R124,R125)</f>
        <v>1</v>
      </c>
      <c r="T126" t="s">
        <v>1112</v>
      </c>
      <c r="U126" t="b">
        <f>$K$119</f>
        <v>0</v>
      </c>
      <c r="X126" s="5" t="s">
        <v>1113</v>
      </c>
      <c r="Y126" s="5" t="b">
        <f ca="1">$R$118</f>
        <v>1</v>
      </c>
      <c r="AB126" s="5" t="s">
        <v>1114</v>
      </c>
    </row>
    <row r="127" spans="2:29" ht="15" thickBot="1">
      <c r="B127" s="292"/>
      <c r="C127" t="str">
        <v>Sales</v>
      </c>
      <c r="F127" s="194" t="str">
        <f ca="1"/>
        <v>Sales</v>
      </c>
      <c r="J127" s="109" t="s">
        <v>1115</v>
      </c>
      <c r="K127" s="110" t="b">
        <f t="shared" si="9"/>
        <v>0</v>
      </c>
      <c r="M127" s="107"/>
      <c r="N127" s="108"/>
      <c r="Q127" s="107"/>
      <c r="R127" s="108"/>
      <c r="T127" s="5" t="s">
        <v>1069</v>
      </c>
      <c r="U127" s="5" t="b">
        <f>AND(U124,OR(U125,U126))</f>
        <v>0</v>
      </c>
      <c r="X127" s="5" t="s">
        <v>1116</v>
      </c>
      <c r="Y127" s="5" t="b">
        <f ca="1">$R$118</f>
        <v>1</v>
      </c>
      <c r="AB127" s="5" t="s">
        <v>1117</v>
      </c>
    </row>
    <row r="128" spans="2:29">
      <c r="B128" s="292"/>
      <c r="C128" t="str">
        <v>Loans Payable</v>
      </c>
      <c r="F128" s="194" t="str">
        <f ca="1"/>
        <v>Loans Payable</v>
      </c>
      <c r="M128" s="107"/>
      <c r="N128" s="108"/>
      <c r="Q128" s="594" t="s">
        <v>872</v>
      </c>
      <c r="R128" s="108"/>
      <c r="AB128" t="s">
        <v>1064</v>
      </c>
      <c r="AC128" t="b">
        <f>$E$104</f>
        <v>1</v>
      </c>
    </row>
    <row r="129" spans="2:29">
      <c r="B129" s="292"/>
      <c r="C129" t="str">
        <v>Cash</v>
      </c>
      <c r="F129" s="194" t="str">
        <f ca="1"/>
        <v>Cash</v>
      </c>
      <c r="M129" s="107"/>
      <c r="N129" s="108"/>
      <c r="Q129" s="107" t="s">
        <v>1061</v>
      </c>
      <c r="R129" s="108" t="b">
        <f>$E$105</f>
        <v>1</v>
      </c>
      <c r="T129" s="5" t="s">
        <v>1008</v>
      </c>
      <c r="X129" s="5" t="s">
        <v>1118</v>
      </c>
      <c r="AB129" t="s">
        <v>1067</v>
      </c>
      <c r="AC129" t="b">
        <f ca="1">$R$126</f>
        <v>1</v>
      </c>
    </row>
    <row r="130" spans="2:29">
      <c r="B130" s="292"/>
      <c r="C130" t="str">
        <v>Accounts Receivable</v>
      </c>
      <c r="F130" s="194" t="str">
        <f ca="1"/>
        <v>Accounts Receivable</v>
      </c>
      <c r="M130" s="107"/>
      <c r="N130" s="108"/>
      <c r="Q130" s="107" t="s">
        <v>1066</v>
      </c>
      <c r="R130" s="108" t="b">
        <f>$D$106</f>
        <v>0</v>
      </c>
      <c r="T130" t="s">
        <v>1076</v>
      </c>
      <c r="U130" t="b">
        <f>$R$105</f>
        <v>1</v>
      </c>
      <c r="X130" t="s">
        <v>1119</v>
      </c>
      <c r="Y130" t="b">
        <f>$E$103</f>
        <v>1</v>
      </c>
      <c r="AB130" t="s">
        <v>1070</v>
      </c>
      <c r="AC130" t="b">
        <f>$K$125</f>
        <v>0</v>
      </c>
    </row>
    <row r="131" spans="2:29">
      <c r="B131" s="292"/>
      <c r="C131" t="str">
        <v>Inventories</v>
      </c>
      <c r="F131" s="194" t="str">
        <f ca="1"/>
        <v>Inventories</v>
      </c>
      <c r="M131" s="107"/>
      <c r="N131" s="108"/>
      <c r="Q131" s="594" t="s">
        <v>1069</v>
      </c>
      <c r="R131" s="443" t="b">
        <f>OR(R129,R130)</f>
        <v>1</v>
      </c>
      <c r="T131" t="s">
        <v>1109</v>
      </c>
      <c r="U131" t="b">
        <f>$K$118</f>
        <v>0</v>
      </c>
      <c r="X131" t="s">
        <v>1120</v>
      </c>
      <c r="Y131" t="b">
        <f ca="1">$R$118</f>
        <v>1</v>
      </c>
      <c r="AB131" t="s">
        <v>1121</v>
      </c>
      <c r="AC131" t="b">
        <f>$V$159</f>
        <v>0</v>
      </c>
    </row>
    <row r="132" spans="2:29">
      <c r="B132" s="292"/>
      <c r="C132" t="str">
        <v>Common Stock</v>
      </c>
      <c r="F132" s="194" t="str">
        <f ca="1"/>
        <v>Common Stock</v>
      </c>
      <c r="M132" s="107"/>
      <c r="N132" s="108"/>
      <c r="Q132" s="107"/>
      <c r="R132" s="108"/>
      <c r="T132" t="s">
        <v>1112</v>
      </c>
      <c r="U132" t="b">
        <f>$K$119</f>
        <v>0</v>
      </c>
      <c r="X132" t="s">
        <v>1122</v>
      </c>
      <c r="Y132" t="b">
        <f>$K$120</f>
        <v>0</v>
      </c>
      <c r="AB132" t="s">
        <v>1123</v>
      </c>
      <c r="AC132" t="b">
        <f>AND(AC128,AC131)</f>
        <v>0</v>
      </c>
    </row>
    <row r="133" spans="2:29">
      <c r="B133" s="292"/>
      <c r="C133" t="str">
        <v>Retained Earnings</v>
      </c>
      <c r="F133" s="194" t="str">
        <f ca="1"/>
        <v>Retained Earnings</v>
      </c>
      <c r="M133" s="107"/>
      <c r="N133" s="108"/>
      <c r="Q133" s="107"/>
      <c r="R133" s="108"/>
      <c r="T133" s="5" t="s">
        <v>1069</v>
      </c>
      <c r="U133" s="5" t="b">
        <f>AND(U130,OR(U131,U132))</f>
        <v>0</v>
      </c>
      <c r="X133" s="5" t="s">
        <v>1069</v>
      </c>
      <c r="Y133" s="5" t="b">
        <f ca="1">OR(Y130,AND(Y131,Y132))</f>
        <v>1</v>
      </c>
      <c r="AB133" t="s">
        <v>1124</v>
      </c>
      <c r="AC133" t="b">
        <f ca="1">AND(AC129,AC130,AC131)</f>
        <v>0</v>
      </c>
    </row>
    <row r="134" spans="2:29">
      <c r="B134" s="292"/>
      <c r="C134" t="str">
        <v>Accounts Payable</v>
      </c>
      <c r="F134" s="194" t="str">
        <f ca="1"/>
        <v>Accounts Payable</v>
      </c>
      <c r="M134" s="107"/>
      <c r="N134" s="108"/>
      <c r="Q134" s="594" t="s">
        <v>698</v>
      </c>
      <c r="R134" s="108"/>
      <c r="AB134" s="5" t="s">
        <v>1069</v>
      </c>
      <c r="AC134" s="5" t="b">
        <f ca="1">OR(AC132,AC133)</f>
        <v>0</v>
      </c>
    </row>
    <row r="135" spans="2:29">
      <c r="B135" s="292"/>
      <c r="C135" t="str">
        <v>Dividends Payable</v>
      </c>
      <c r="F135" s="194" t="str">
        <f ca="1"/>
        <v>Dividends Payable</v>
      </c>
      <c r="M135" s="107"/>
      <c r="N135" s="108"/>
      <c r="Q135" s="107" t="s">
        <v>1061</v>
      </c>
      <c r="R135" s="108" t="b">
        <f>$E$107</f>
        <v>1</v>
      </c>
    </row>
    <row r="136" spans="2:29">
      <c r="B136" s="292"/>
      <c r="C136" t="str">
        <v>Unearned Revenue</v>
      </c>
      <c r="F136" s="194" t="str">
        <f ca="1"/>
        <v>Unearned Revenue</v>
      </c>
      <c r="M136" s="107"/>
      <c r="N136" s="108"/>
      <c r="Q136" s="107" t="s">
        <v>1066</v>
      </c>
      <c r="R136" s="108" t="b">
        <f>$E$106</f>
        <v>1</v>
      </c>
      <c r="X136" s="5" t="s">
        <v>1125</v>
      </c>
      <c r="AB136" s="5" t="s">
        <v>1126</v>
      </c>
    </row>
    <row r="137" spans="2:29" ht="15" thickBot="1">
      <c r="B137" s="292"/>
      <c r="C137" t="str">
        <v>Property, Plant &amp; Equipment</v>
      </c>
      <c r="F137" s="194" t="str">
        <f ca="1"/>
        <v>Property, Plant &amp; Equipment</v>
      </c>
      <c r="M137" s="109"/>
      <c r="N137" s="110"/>
      <c r="Q137" s="594" t="s">
        <v>1069</v>
      </c>
      <c r="R137" s="443" t="b">
        <f>OR(R135,R136)</f>
        <v>1</v>
      </c>
      <c r="X137" t="s">
        <v>1119</v>
      </c>
      <c r="Y137" t="b">
        <f>$E$103</f>
        <v>1</v>
      </c>
      <c r="AB137" t="s">
        <v>1064</v>
      </c>
      <c r="AC137" t="b">
        <f>$E$104</f>
        <v>1</v>
      </c>
    </row>
    <row r="138" spans="2:29">
      <c r="B138" s="292"/>
      <c r="C138" t="str">
        <v>Land</v>
      </c>
      <c r="F138" s="194" t="str">
        <f ca="1"/>
        <v>Land</v>
      </c>
      <c r="Q138" s="107"/>
      <c r="R138" s="108"/>
      <c r="X138" t="s">
        <v>1122</v>
      </c>
      <c r="Y138" t="b">
        <f>$K$120</f>
        <v>0</v>
      </c>
      <c r="AB138" t="s">
        <v>1067</v>
      </c>
      <c r="AC138" t="b">
        <f ca="1">$R$126</f>
        <v>1</v>
      </c>
    </row>
    <row r="139" spans="2:29">
      <c r="B139" s="292"/>
      <c r="F139" s="194" t="str">
        <f ca="1"/>
        <v>Issued common stock</v>
      </c>
      <c r="Q139" s="594" t="s">
        <v>848</v>
      </c>
      <c r="R139" s="108"/>
      <c r="X139" t="s">
        <v>1127</v>
      </c>
      <c r="Y139" t="b">
        <f>MAX($R$160,$R$165,$R$172,ABS($R$179),ABS($R$185),ABS($R$190))&gt;0</f>
        <v>0</v>
      </c>
      <c r="AB139" t="s">
        <v>1072</v>
      </c>
      <c r="AC139" t="b">
        <f>$K$126</f>
        <v>0</v>
      </c>
    </row>
    <row r="140" spans="2:29">
      <c r="B140" s="292"/>
      <c r="F140" s="194" t="str">
        <f ca="1"/>
        <v>Net Income (Loss)</v>
      </c>
      <c r="Q140" s="107"/>
      <c r="R140" s="108"/>
      <c r="X140" t="s">
        <v>1128</v>
      </c>
      <c r="Y140" t="b">
        <f>MAX($R$162,$R$169,$R$176,ABS($R$182),ABS($R$187),ABS($R$193))&gt;0</f>
        <v>0</v>
      </c>
      <c r="AB140" t="s">
        <v>1129</v>
      </c>
      <c r="AC140" t="b">
        <f>$V$185</f>
        <v>0</v>
      </c>
    </row>
    <row r="141" spans="2:29">
      <c r="B141" s="292"/>
      <c r="F141" s="194" t="str">
        <f ca="1"/>
        <v>Issued common stock for building</v>
      </c>
      <c r="Q141" s="107"/>
      <c r="R141" s="108"/>
      <c r="X141" t="s">
        <v>1130</v>
      </c>
      <c r="Y141" t="b">
        <f>AND(Y139,Y140)</f>
        <v>0</v>
      </c>
      <c r="AB141" t="s">
        <v>1131</v>
      </c>
      <c r="AC141" t="b">
        <f>AND(AC137,AC140)</f>
        <v>0</v>
      </c>
    </row>
    <row r="142" spans="2:29">
      <c r="B142" s="292"/>
      <c r="F142" s="194" t="str">
        <f ca="1"/>
        <v>Collections from customers</v>
      </c>
      <c r="Q142" s="107"/>
      <c r="R142" s="108"/>
      <c r="X142" s="5" t="s">
        <v>1069</v>
      </c>
      <c r="Y142" s="5" t="b">
        <f>OR(Y137,AND(Y138,Y141))</f>
        <v>1</v>
      </c>
      <c r="AB142" t="s">
        <v>1132</v>
      </c>
      <c r="AC142" t="b">
        <f ca="1">AND(AC138,AC139,AC140)</f>
        <v>0</v>
      </c>
    </row>
    <row r="143" spans="2:29">
      <c r="B143" s="292"/>
      <c r="F143" s="194" t="str">
        <f ca="1"/>
        <v>Payments to suppliers</v>
      </c>
      <c r="Q143" s="594" t="s">
        <v>592</v>
      </c>
      <c r="R143" s="108"/>
      <c r="AB143" s="5" t="s">
        <v>1069</v>
      </c>
      <c r="AC143" s="5" t="b">
        <f ca="1">OR(AC141,AC142)</f>
        <v>0</v>
      </c>
    </row>
    <row r="144" spans="2:29">
      <c r="B144" s="292"/>
      <c r="F144" s="194"/>
      <c r="Q144" s="107" t="s">
        <v>1061</v>
      </c>
      <c r="R144" s="108" t="b">
        <f>$E$106</f>
        <v>1</v>
      </c>
    </row>
    <row r="145" spans="2:30">
      <c r="B145" s="292"/>
      <c r="F145" s="194"/>
      <c r="Q145" s="107" t="s">
        <v>1066</v>
      </c>
      <c r="R145" s="108" t="b">
        <f>$D$106</f>
        <v>0</v>
      </c>
      <c r="AB145" s="5" t="s">
        <v>1133</v>
      </c>
    </row>
    <row r="146" spans="2:30">
      <c r="B146" s="292"/>
      <c r="F146" s="194"/>
      <c r="Q146" s="107"/>
      <c r="R146" s="108"/>
      <c r="AB146" t="s">
        <v>1064</v>
      </c>
      <c r="AC146" t="b">
        <f>$E$104</f>
        <v>1</v>
      </c>
    </row>
    <row r="147" spans="2:30">
      <c r="B147" s="292"/>
      <c r="F147" s="194"/>
      <c r="Q147" s="107"/>
      <c r="R147" s="108"/>
      <c r="AB147" t="s">
        <v>1067</v>
      </c>
      <c r="AC147" t="b">
        <f ca="1">$R$126</f>
        <v>1</v>
      </c>
    </row>
    <row r="148" spans="2:30">
      <c r="B148" s="292"/>
      <c r="F148" s="194"/>
      <c r="Q148" s="107"/>
      <c r="R148" s="108"/>
      <c r="AB148" t="s">
        <v>1134</v>
      </c>
      <c r="AC148" t="b">
        <f>$K$127</f>
        <v>0</v>
      </c>
    </row>
    <row r="149" spans="2:30" ht="15" thickBot="1">
      <c r="B149" s="292"/>
      <c r="F149" s="194"/>
      <c r="Q149" s="595" t="s">
        <v>1069</v>
      </c>
      <c r="R149" s="596" t="b">
        <f>OR(R144,R145)</f>
        <v>1</v>
      </c>
      <c r="AB149" t="s">
        <v>1135</v>
      </c>
      <c r="AC149" t="b">
        <f>$V$211</f>
        <v>0</v>
      </c>
    </row>
    <row r="150" spans="2:30">
      <c r="B150" s="292"/>
      <c r="F150" s="194"/>
      <c r="Q150" s="5"/>
      <c r="R150" s="5"/>
      <c r="AB150" t="s">
        <v>1136</v>
      </c>
      <c r="AC150" t="b">
        <f>AND(AC146,AC149)</f>
        <v>0</v>
      </c>
    </row>
    <row r="151" spans="2:30">
      <c r="B151" s="292"/>
      <c r="F151" s="194"/>
      <c r="AB151" t="s">
        <v>1137</v>
      </c>
      <c r="AC151" t="b">
        <f ca="1">AND(AC147,AC148,AC149)</f>
        <v>0</v>
      </c>
    </row>
    <row r="152" spans="2:30">
      <c r="B152" s="292"/>
      <c r="F152" s="194"/>
      <c r="AB152" s="5" t="s">
        <v>1069</v>
      </c>
      <c r="AC152" s="5" t="b">
        <f ca="1">OR(AC150,AC151)</f>
        <v>0</v>
      </c>
    </row>
    <row r="153" spans="2:30">
      <c r="B153" s="292"/>
      <c r="F153" s="194"/>
    </row>
    <row r="154" spans="2:30" s="203" customFormat="1">
      <c r="B154" s="208" t="s">
        <v>1138</v>
      </c>
      <c r="F154" s="194"/>
      <c r="G154" s="209" t="s">
        <v>1139</v>
      </c>
      <c r="L154" s="591"/>
    </row>
    <row r="155" spans="2:30">
      <c r="B155" s="292"/>
      <c r="F155" s="194"/>
    </row>
    <row r="156" spans="2:30">
      <c r="B156" s="5" t="s">
        <v>583</v>
      </c>
      <c r="I156" s="5" t="s">
        <v>586</v>
      </c>
      <c r="P156" s="5" t="s">
        <v>696</v>
      </c>
      <c r="T156" s="5" t="s">
        <v>626</v>
      </c>
      <c r="AA156" s="5" t="s">
        <v>592</v>
      </c>
    </row>
    <row r="157" spans="2:30">
      <c r="C157" t="s">
        <v>1047</v>
      </c>
      <c r="D157" s="5" t="b">
        <f>$E$101</f>
        <v>1</v>
      </c>
      <c r="F157" s="194"/>
      <c r="J157" t="s">
        <v>1047</v>
      </c>
      <c r="K157" s="5" t="b">
        <f>$E$102</f>
        <v>1</v>
      </c>
      <c r="Q157" t="s">
        <v>1047</v>
      </c>
      <c r="R157" s="5" t="b">
        <f>E103</f>
        <v>1</v>
      </c>
      <c r="AB157" t="s">
        <v>1047</v>
      </c>
      <c r="AC157" s="5" t="b">
        <f>_xlfn.XLOOKUP(AA156,$C$14:$C$21,$D$14:$D$21)</f>
        <v>1</v>
      </c>
    </row>
    <row r="158" spans="2:30">
      <c r="F158" s="194"/>
    </row>
    <row r="159" spans="2:30" ht="15" thickBot="1">
      <c r="B159" s="5" t="s">
        <v>1140</v>
      </c>
      <c r="E159" t="s">
        <v>1141</v>
      </c>
      <c r="F159" s="194"/>
      <c r="I159" s="5" t="s">
        <v>69</v>
      </c>
      <c r="L159" s="423" t="b">
        <f>COUNTIF(JournalAnswer[Accnt Type],"Revenue")&gt;0</f>
        <v>1</v>
      </c>
      <c r="M159" t="s">
        <v>1142</v>
      </c>
      <c r="Q159" s="5" t="s">
        <v>240</v>
      </c>
      <c r="R159">
        <f>IF(ABS(MAX(R160:R162)&gt;0),1,0)</f>
        <v>0</v>
      </c>
      <c r="S159">
        <v>3</v>
      </c>
      <c r="T159" s="423" t="s">
        <v>1117</v>
      </c>
      <c r="V159" t="b">
        <f>SUM(V160:V178)&gt;0.000001</f>
        <v>0</v>
      </c>
      <c r="AA159" s="5" t="s">
        <v>1140</v>
      </c>
      <c r="AD159" t="s">
        <v>1141</v>
      </c>
    </row>
    <row r="160" spans="2:30">
      <c r="B160" s="207">
        <v>6</v>
      </c>
      <c r="C160" s="416" t="str" cm="1">
        <f t="array" ref="C160:D162">IF(D157,_xlfn._xlws.FILTER(CHOOSE({1,2},BCurrAssets[Account],BCurrAssets[Amt]),BCurrAssets[Used]=1,{"",""}),_xlfn._xlws.FILTER(FSBuilder[[Account or Explanation]:[Amount]],(FSBuilder[Statement]="Beginning Balance Sheet")*(FSBuilder[Category]="  Current Assets"),{"",""}))</f>
        <v>Cash</v>
      </c>
      <c r="D160" s="433">
        <v>0</v>
      </c>
      <c r="E160">
        <f>IF(D160&lt;&gt;"",ABS(D160),0)</f>
        <v>0</v>
      </c>
      <c r="F160" s="194"/>
      <c r="I160" s="541">
        <v>6</v>
      </c>
      <c r="J160" s="451" t="str" cm="1">
        <f t="array" ref="J160:K160">IF(K157,IF(L551,_xlfn._xlws.FILTER(CHOOSE({1,2},IS_Revenues[Account],IS_Revenues[AmtJournal]),IS_Revenues[UsedJournal]=1,{"",""}),{"",""}),_xlfn._xlws.FILTER(CHOOSE({1,2},IS_Revenues[Account],IS_Revenues[AmtFSBuilder]),IS_Revenues[UsedFSBuilder]=1,{"",""}))</f>
        <v/>
      </c>
      <c r="K160" s="542" t="str">
        <v/>
      </c>
      <c r="L160" s="423" t="b">
        <f>COUNTIF(Journal[Accnt Type],"Revenue")&gt;0</f>
        <v>0</v>
      </c>
      <c r="M160" t="s">
        <v>1143</v>
      </c>
      <c r="O160" t="b">
        <v>1</v>
      </c>
      <c r="P160">
        <v>5</v>
      </c>
      <c r="Q160" s="207" t="str">
        <f>"Balance @ "&amp;BegDate</f>
        <v>Balance @ 12/31/20x0</v>
      </c>
      <c r="R160" s="433" cm="1">
        <f t="array" ref="R160">IF($R$157,_xlfn._xlws.FILTER(BEquities[Amt],BEquities[Account]=Q159,0),_xlfn._xlws.FILTER(FSBuilder[Amount],((FSBuilder[Statement]="Beginning Balance Sheet")*(FSBuilder[Account or Explanation]=$Q$159)),0))</f>
        <v>0</v>
      </c>
      <c r="S160" s="224">
        <v>6</v>
      </c>
      <c r="T160" s="541" t="str" cm="1">
        <f t="array" ref="T160:U160">IF($E$104,_xlfn._xlws.FILTER(CHOOSE({1,2},CFS_CFO[Account],CFS_CFO[AmtJournal]),ABS(CFS_CFO[AmtJournal])&gt;0.0001,{"",""}),_xlfn._xlws.FILTER(FSBuilder[[Account or Explanation]:[Amount]],(FSBuilder[Statement]="Cash Flow Statement")*(FSBuilder[Category]="  Operating Activities"),{"",""}))</f>
        <v/>
      </c>
      <c r="U160" s="542" t="str">
        <v/>
      </c>
      <c r="V160">
        <f>IF(U160&lt;&gt;"",ABS(U160),0)</f>
        <v>0</v>
      </c>
      <c r="W160" t="b">
        <f>NOT(V160&lt;0.000001)</f>
        <v>0</v>
      </c>
      <c r="AA160" s="207">
        <v>6</v>
      </c>
      <c r="AB160" s="416" t="str" cm="1">
        <f t="array" ref="AB160:AC162">IF(AC157,_xlfn._xlws.FILTER(CHOOSE({1,2},ECurrAssets[Account],ECurrAssets[AmtJournal]),ECurrAssets[Used]=1,{"",""}),_xlfn._xlws.FILTER(FSBuilder[[Account or Explanation]:[Amount]],(FSBuilder[Statement]="Ending Balance Sheet")*(FSBuilder[Category]="  Current Assets"),{"",""}))</f>
        <v>Cash</v>
      </c>
      <c r="AC160" s="433">
        <v>0</v>
      </c>
      <c r="AD160">
        <f>IF(AC160&lt;&gt;"",ABS(AC160),0)</f>
        <v>0</v>
      </c>
    </row>
    <row r="161" spans="2:30">
      <c r="B161" s="107">
        <v>7</v>
      </c>
      <c r="C161" t="str">
        <v>Accounts Receivable</v>
      </c>
      <c r="D161" s="205">
        <v>0</v>
      </c>
      <c r="E161">
        <f t="shared" ref="E161:E169" si="11">ABS(D161)</f>
        <v>0</v>
      </c>
      <c r="F161" s="194"/>
      <c r="I161" s="543">
        <v>7</v>
      </c>
      <c r="J161" s="224"/>
      <c r="K161" s="544"/>
      <c r="O161" t="b">
        <f>IF(OR(R161=0,R161=""),FALSE,TRUE)</f>
        <v>0</v>
      </c>
      <c r="P161">
        <v>7</v>
      </c>
      <c r="Q161" s="107" t="s">
        <v>842</v>
      </c>
      <c r="R161" s="205" cm="1">
        <f t="array" ref="R161">IF($R$157,FSConstruction!AF9,_xlfn._xlws.FILTER(FSBuilder[Amount],FSBuilder[Account or Explanation]=Q161,""))</f>
        <v>0</v>
      </c>
      <c r="S161" s="224">
        <v>7</v>
      </c>
      <c r="T161" s="543"/>
      <c r="U161" s="544"/>
      <c r="V161">
        <f t="shared" ref="V161:V178" si="12">ABS(U161)</f>
        <v>0</v>
      </c>
      <c r="W161" t="b">
        <f t="shared" ref="W161:W178" si="13">NOT(V161&lt;0.000001)</f>
        <v>0</v>
      </c>
      <c r="AA161" s="107">
        <v>7</v>
      </c>
      <c r="AB161" t="str">
        <v>Accounts Receivable</v>
      </c>
      <c r="AC161" s="205">
        <v>0</v>
      </c>
      <c r="AD161">
        <f t="shared" ref="AD161:AD169" si="14">ABS(AC161)</f>
        <v>0</v>
      </c>
    </row>
    <row r="162" spans="2:30" ht="15" thickBot="1">
      <c r="B162" s="107">
        <v>7</v>
      </c>
      <c r="C162" t="str">
        <v>Inventories</v>
      </c>
      <c r="D162" s="205">
        <v>0</v>
      </c>
      <c r="E162">
        <f t="shared" si="11"/>
        <v>0</v>
      </c>
      <c r="F162" s="194"/>
      <c r="I162" s="543">
        <v>7</v>
      </c>
      <c r="J162" s="224"/>
      <c r="K162" s="544"/>
      <c r="O162" t="b">
        <v>1</v>
      </c>
      <c r="P162">
        <v>5</v>
      </c>
      <c r="Q162" s="109" t="str">
        <f>"Balance @ "&amp;EndDate</f>
        <v>Balance @ 12/31/20x1</v>
      </c>
      <c r="R162" s="317" cm="1">
        <f t="array" ref="R162">IF($R$157,_xlfn._xlws.FILTER(EEquities[AmtJournal],EEquities[Account]=Q159,0),_xlfn._xlws.FILTER(FSBuilder[Amount],((FSBuilder[Statement]="Ending Balance Sheet")*(FSBuilder[Account or Explanation]=$Q$159)),0))</f>
        <v>0</v>
      </c>
      <c r="S162" s="224">
        <v>7</v>
      </c>
      <c r="T162" s="543"/>
      <c r="U162" s="544"/>
      <c r="V162">
        <f t="shared" si="12"/>
        <v>0</v>
      </c>
      <c r="W162" t="b">
        <f t="shared" si="13"/>
        <v>0</v>
      </c>
      <c r="AA162" s="107">
        <v>7</v>
      </c>
      <c r="AB162" t="str">
        <v>Inventories</v>
      </c>
      <c r="AC162" s="205">
        <v>0</v>
      </c>
      <c r="AD162">
        <f t="shared" si="14"/>
        <v>0</v>
      </c>
    </row>
    <row r="163" spans="2:30">
      <c r="B163" s="107">
        <v>7</v>
      </c>
      <c r="D163" s="205"/>
      <c r="E163">
        <f t="shared" si="11"/>
        <v>0</v>
      </c>
      <c r="F163" s="194"/>
      <c r="I163" s="543">
        <v>7</v>
      </c>
      <c r="J163" s="224"/>
      <c r="K163" s="544"/>
      <c r="S163" s="224">
        <v>7</v>
      </c>
      <c r="T163" s="543"/>
      <c r="U163" s="544"/>
      <c r="V163">
        <f t="shared" si="12"/>
        <v>0</v>
      </c>
      <c r="W163" t="b">
        <f t="shared" si="13"/>
        <v>0</v>
      </c>
      <c r="AA163" s="107">
        <v>7</v>
      </c>
      <c r="AC163" s="205"/>
      <c r="AD163">
        <f t="shared" si="14"/>
        <v>0</v>
      </c>
    </row>
    <row r="164" spans="2:30" ht="15" thickBot="1">
      <c r="B164" s="107">
        <v>7</v>
      </c>
      <c r="D164" s="205"/>
      <c r="E164">
        <f t="shared" si="11"/>
        <v>0</v>
      </c>
      <c r="F164" s="194"/>
      <c r="I164" s="543">
        <v>7</v>
      </c>
      <c r="J164" s="224"/>
      <c r="K164" s="544"/>
      <c r="Q164" s="5" t="s">
        <v>243</v>
      </c>
      <c r="R164">
        <f>IF(ABS(MAX(R165:R169)&gt;0),1,0)</f>
        <v>0</v>
      </c>
      <c r="S164" s="224">
        <v>7</v>
      </c>
      <c r="T164" s="543"/>
      <c r="U164" s="544"/>
      <c r="V164">
        <f t="shared" si="12"/>
        <v>0</v>
      </c>
      <c r="W164" t="b">
        <f t="shared" si="13"/>
        <v>0</v>
      </c>
      <c r="AA164" s="107">
        <v>7</v>
      </c>
      <c r="AC164" s="205"/>
      <c r="AD164">
        <f t="shared" si="14"/>
        <v>0</v>
      </c>
    </row>
    <row r="165" spans="2:30">
      <c r="B165" s="107">
        <v>7</v>
      </c>
      <c r="D165" s="205"/>
      <c r="E165">
        <f t="shared" si="11"/>
        <v>0</v>
      </c>
      <c r="F165" s="194"/>
      <c r="I165" s="543">
        <v>7</v>
      </c>
      <c r="J165" s="224"/>
      <c r="K165" s="544"/>
      <c r="O165" t="b">
        <v>1</v>
      </c>
      <c r="P165">
        <v>5</v>
      </c>
      <c r="Q165" s="207" t="str">
        <f>"Balance @ "&amp;BegDate</f>
        <v>Balance @ 12/31/20x0</v>
      </c>
      <c r="R165" s="433" cm="1">
        <f t="array" ref="R165">IF($R$157,_xlfn._xlws.FILTER(BEquities[Amt],BEquities[Account]=Q164,0),_xlfn._xlws.FILTER(FSBuilder[Amount],((FSBuilder[Statement]="Beginning Balance Sheet")*(FSBuilder[Account or Explanation]=$Q$164)),0))</f>
        <v>0</v>
      </c>
      <c r="S165" s="224">
        <v>7</v>
      </c>
      <c r="T165" s="543"/>
      <c r="U165" s="544"/>
      <c r="V165">
        <f t="shared" si="12"/>
        <v>0</v>
      </c>
      <c r="W165" t="b">
        <f t="shared" si="13"/>
        <v>0</v>
      </c>
      <c r="AA165" s="107">
        <v>7</v>
      </c>
      <c r="AC165" s="205"/>
      <c r="AD165">
        <f t="shared" si="14"/>
        <v>0</v>
      </c>
    </row>
    <row r="166" spans="2:30">
      <c r="B166" s="107">
        <v>7</v>
      </c>
      <c r="D166" s="205"/>
      <c r="E166">
        <f t="shared" si="11"/>
        <v>0</v>
      </c>
      <c r="F166" s="194"/>
      <c r="I166" s="543">
        <v>7</v>
      </c>
      <c r="J166" s="224"/>
      <c r="K166" s="544"/>
      <c r="O166" t="b">
        <f t="shared" ref="O166:O168" si="15">IF(OR(R166=0,R166=""),FALSE,TRUE)</f>
        <v>0</v>
      </c>
      <c r="P166">
        <v>7</v>
      </c>
      <c r="Q166" s="107" t="s">
        <v>843</v>
      </c>
      <c r="R166" s="205" cm="1">
        <f t="array" ref="R166">IF($R$157,FSConstruction!AF10,_xlfn._xlws.FILTER(FSBuilder[Amount],FSBuilder[Account or Explanation]=Q166,""))</f>
        <v>0</v>
      </c>
      <c r="S166" s="224">
        <v>7</v>
      </c>
      <c r="T166" s="543"/>
      <c r="U166" s="544"/>
      <c r="V166">
        <f t="shared" si="12"/>
        <v>0</v>
      </c>
      <c r="W166" t="b">
        <f t="shared" si="13"/>
        <v>0</v>
      </c>
      <c r="AA166" s="107">
        <v>7</v>
      </c>
      <c r="AC166" s="205"/>
      <c r="AD166">
        <f t="shared" si="14"/>
        <v>0</v>
      </c>
    </row>
    <row r="167" spans="2:30">
      <c r="B167" s="107">
        <v>7</v>
      </c>
      <c r="D167" s="205"/>
      <c r="E167">
        <f t="shared" si="11"/>
        <v>0</v>
      </c>
      <c r="F167" s="194"/>
      <c r="I167" s="543">
        <v>7</v>
      </c>
      <c r="J167" s="224"/>
      <c r="K167" s="544"/>
      <c r="O167" t="b">
        <f t="shared" si="15"/>
        <v>0</v>
      </c>
      <c r="P167">
        <v>7</v>
      </c>
      <c r="Q167" s="107" t="s">
        <v>844</v>
      </c>
      <c r="R167" s="205" cm="1">
        <f t="array" ref="R167">IF($R$157,FSConstruction!AF17,_xlfn._xlws.FILTER(FSBuilder[Amount],FSBuilder[Account or Explanation]=Q167,""))</f>
        <v>0</v>
      </c>
      <c r="S167" s="224">
        <v>7</v>
      </c>
      <c r="T167" s="543"/>
      <c r="U167" s="544"/>
      <c r="V167">
        <f t="shared" si="12"/>
        <v>0</v>
      </c>
      <c r="W167" t="b">
        <f t="shared" si="13"/>
        <v>0</v>
      </c>
      <c r="AA167" s="107">
        <v>7</v>
      </c>
      <c r="AC167" s="205"/>
      <c r="AD167">
        <f t="shared" si="14"/>
        <v>0</v>
      </c>
    </row>
    <row r="168" spans="2:30">
      <c r="B168" s="107">
        <v>7</v>
      </c>
      <c r="D168" s="205"/>
      <c r="E168">
        <f t="shared" si="11"/>
        <v>0</v>
      </c>
      <c r="F168" s="194"/>
      <c r="I168" s="543">
        <v>7</v>
      </c>
      <c r="J168" s="224"/>
      <c r="K168" s="544"/>
      <c r="O168" t="b">
        <f t="shared" si="15"/>
        <v>0</v>
      </c>
      <c r="P168">
        <v>7</v>
      </c>
      <c r="Q168" s="107" t="s">
        <v>841</v>
      </c>
      <c r="R168" s="205" cm="1">
        <f t="array" ref="R168">IF($R$157,FSConstruction!AF19,_xlfn._xlws.FILTER(FSBuilder[Amount],FSBuilder[Account or Explanation]=Q168,""))</f>
        <v>0</v>
      </c>
      <c r="S168" s="224">
        <v>7</v>
      </c>
      <c r="T168" s="543"/>
      <c r="U168" s="544"/>
      <c r="V168">
        <f t="shared" si="12"/>
        <v>0</v>
      </c>
      <c r="W168" t="b">
        <f t="shared" si="13"/>
        <v>0</v>
      </c>
      <c r="AA168" s="107">
        <v>7</v>
      </c>
      <c r="AC168" s="205"/>
      <c r="AD168">
        <f t="shared" si="14"/>
        <v>0</v>
      </c>
    </row>
    <row r="169" spans="2:30" ht="15" thickBot="1">
      <c r="B169" s="109">
        <v>7</v>
      </c>
      <c r="C169" s="315"/>
      <c r="D169" s="317"/>
      <c r="E169">
        <f t="shared" si="11"/>
        <v>0</v>
      </c>
      <c r="F169" s="194"/>
      <c r="I169" s="545">
        <v>7</v>
      </c>
      <c r="J169" s="546"/>
      <c r="K169" s="547"/>
      <c r="O169" t="b">
        <v>1</v>
      </c>
      <c r="P169">
        <v>5</v>
      </c>
      <c r="Q169" s="109" t="str">
        <f>"Balance @ "&amp;EndDate</f>
        <v>Balance @ 12/31/20x1</v>
      </c>
      <c r="R169" s="317" cm="1">
        <f t="array" ref="R169">IF($R$157,_xlfn._xlws.FILTER(EEquities[AmtJournal],EEquities[Account]=Q164,0),_xlfn._xlws.FILTER(FSBuilder[Amount],((FSBuilder[Statement]="Ending Balance Sheet")*(FSBuilder[Account or Explanation]=$Q$164)),0))</f>
        <v>0</v>
      </c>
      <c r="S169" s="224">
        <v>7</v>
      </c>
      <c r="T169" s="543"/>
      <c r="U169" s="544"/>
      <c r="V169">
        <f t="shared" si="12"/>
        <v>0</v>
      </c>
      <c r="W169" t="b">
        <f t="shared" si="13"/>
        <v>0</v>
      </c>
      <c r="AA169" s="109">
        <v>7</v>
      </c>
      <c r="AB169" s="315"/>
      <c r="AC169" s="317"/>
      <c r="AD169">
        <f t="shared" si="14"/>
        <v>0</v>
      </c>
    </row>
    <row r="170" spans="2:30">
      <c r="E170">
        <f>SUM(E160:E169)</f>
        <v>0</v>
      </c>
      <c r="F170" s="194"/>
      <c r="S170" s="224">
        <v>7</v>
      </c>
      <c r="T170" s="543"/>
      <c r="U170" s="544"/>
      <c r="V170">
        <f t="shared" si="12"/>
        <v>0</v>
      </c>
      <c r="W170" t="b">
        <f t="shared" si="13"/>
        <v>0</v>
      </c>
      <c r="AD170">
        <f>SUM(AD160:AD169)</f>
        <v>0</v>
      </c>
    </row>
    <row r="171" spans="2:30" ht="15" thickBot="1">
      <c r="B171" s="5" t="s">
        <v>1144</v>
      </c>
      <c r="D171" s="419"/>
      <c r="F171" s="194"/>
      <c r="I171" s="5" t="s">
        <v>70</v>
      </c>
      <c r="L171" s="423" t="b">
        <f>COUNTIF(JournalAnswer[Accnt Type],"Expense")&gt;0</f>
        <v>1</v>
      </c>
      <c r="M171" t="s">
        <v>1142</v>
      </c>
      <c r="Q171" s="5" t="s">
        <v>246</v>
      </c>
      <c r="R171">
        <f ca="1">IF(ABS(MAX(R172:R176)&gt;0),1,0)</f>
        <v>1</v>
      </c>
      <c r="S171" s="224">
        <v>7</v>
      </c>
      <c r="T171" s="543"/>
      <c r="U171" s="544"/>
      <c r="V171">
        <f t="shared" si="12"/>
        <v>0</v>
      </c>
      <c r="W171" t="b">
        <f t="shared" si="13"/>
        <v>0</v>
      </c>
      <c r="AA171" s="5" t="s">
        <v>1144</v>
      </c>
      <c r="AC171" s="419"/>
    </row>
    <row r="172" spans="2:30">
      <c r="B172" s="207">
        <v>6</v>
      </c>
      <c r="C172" s="416"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433">
        <v>0</v>
      </c>
      <c r="E172">
        <f>IF(D172&lt;&gt;"",ABS(D172),0)</f>
        <v>0</v>
      </c>
      <c r="F172" s="194"/>
      <c r="I172" s="224">
        <v>6</v>
      </c>
      <c r="J172" s="541" t="str" cm="1">
        <f t="array" ref="J172">IF(K157,IF(L552,_xlfn._xlws.FILTER(CHOOSE({1,2},IS_Expenses[Account],IS_Expenses[AmtJournal]),IS_Expenses[UsedJournal]=1,""),{"",""}),_xlfn._xlws.FILTER(CHOOSE({1,2},IS_Expenses[Account],IS_Expenses[AmtFSBuilder]),IS_Expenses[UsedFSBuilder]=1,{"",""}))</f>
        <v/>
      </c>
      <c r="K172" s="542"/>
      <c r="L172" s="423" t="b">
        <f>COUNTIF(Journal[Accnt Type],"Expense")&gt;0</f>
        <v>0</v>
      </c>
      <c r="M172" t="s">
        <v>1143</v>
      </c>
      <c r="O172" t="b">
        <v>1</v>
      </c>
      <c r="P172">
        <v>5</v>
      </c>
      <c r="Q172" s="207" t="str">
        <f>"Balance @ "&amp;BegDate</f>
        <v>Balance @ 12/31/20x0</v>
      </c>
      <c r="R172" s="433" cm="1">
        <f t="array" ref="R172">IF($R$157,_xlfn._xlws.FILTER(BEquities[Amt],BEquities[Account]=Q171,0),_xlfn._xlws.FILTER(FSBuilder[Amount],((FSBuilder[Statement]="Beginning Balance Sheet")*(FSBuilder[Account or Explanation]=$Q$159)),0))</f>
        <v>0</v>
      </c>
      <c r="S172" s="224">
        <v>7</v>
      </c>
      <c r="T172" s="543"/>
      <c r="U172" s="544"/>
      <c r="V172">
        <f t="shared" si="12"/>
        <v>0</v>
      </c>
      <c r="W172" t="b">
        <f t="shared" si="13"/>
        <v>0</v>
      </c>
      <c r="AA172" s="207">
        <v>6</v>
      </c>
      <c r="AB172" s="416" t="str" cm="1">
        <f t="array" ref="AB172:AC173">IF(AC157,_xlfn._xlws.FILTER(CHOOSE({1,2},ENonCurrAssets[Account],ENonCurrAssets[AmtJournal]),ENonCurrAssets[Used]=1,{"",""}),_xlfn._xlws.FILTER(FSBuilder[[Account or Explanation]:[Amount]],(FSBuilder[Statement]="Ending Balance Sheet")*(FSBuilder[Category]="  Noncurrent Assets"),{"",""}))</f>
        <v>Property, Plant &amp; Equipment</v>
      </c>
      <c r="AC172" s="433">
        <v>0</v>
      </c>
      <c r="AD172">
        <f>IF(AC172&lt;&gt;"",ABS(AC172),0)</f>
        <v>0</v>
      </c>
    </row>
    <row r="173" spans="2:30">
      <c r="B173" s="107">
        <v>7</v>
      </c>
      <c r="C173" t="str">
        <v>Land</v>
      </c>
      <c r="D173" s="205">
        <v>0</v>
      </c>
      <c r="E173">
        <f t="shared" ref="E173:E181" si="16">ABS(D173)</f>
        <v>0</v>
      </c>
      <c r="F173" s="194"/>
      <c r="I173" s="224">
        <v>7</v>
      </c>
      <c r="J173" s="543"/>
      <c r="K173" s="544"/>
      <c r="O173" t="b">
        <f t="shared" ref="O173:O175" ca="1" si="17">IF(OR(R173=0,R173=""),FALSE,TRUE)</f>
        <v>1</v>
      </c>
      <c r="P173">
        <v>7</v>
      </c>
      <c r="Q173" s="107" t="s">
        <v>845</v>
      </c>
      <c r="R173" s="205" cm="1">
        <f t="array" aca="1" ref="R173" ca="1">IF($R$157,FSConstruction!AG10,_xlfn._xlws.FILTER(FSBuilder[Amount],FSBuilder[Account or Explanation]=Q173,""))</f>
        <v>50</v>
      </c>
      <c r="S173" s="224">
        <v>7</v>
      </c>
      <c r="T173" s="543"/>
      <c r="U173" s="544"/>
      <c r="V173">
        <f t="shared" si="12"/>
        <v>0</v>
      </c>
      <c r="W173" t="b">
        <f t="shared" si="13"/>
        <v>0</v>
      </c>
      <c r="AA173" s="107">
        <v>7</v>
      </c>
      <c r="AB173" t="str">
        <v>Land</v>
      </c>
      <c r="AC173" s="205">
        <v>0</v>
      </c>
      <c r="AD173">
        <f t="shared" ref="AD173:AD181" si="18">ABS(AC173)</f>
        <v>0</v>
      </c>
    </row>
    <row r="174" spans="2:30">
      <c r="B174" s="107">
        <v>7</v>
      </c>
      <c r="D174" s="205"/>
      <c r="E174">
        <f t="shared" si="16"/>
        <v>0</v>
      </c>
      <c r="F174" s="194"/>
      <c r="I174" s="224">
        <v>7</v>
      </c>
      <c r="J174" s="543"/>
      <c r="K174" s="544"/>
      <c r="O174" t="b">
        <f t="shared" ca="1" si="17"/>
        <v>0</v>
      </c>
      <c r="P174">
        <v>7</v>
      </c>
      <c r="Q174" s="107" t="s">
        <v>846</v>
      </c>
      <c r="R174" s="205" cm="1">
        <f t="array" aca="1" ref="R174" ca="1">IF($R$157,FSConstruction!AG18,_xlfn._xlws.FILTER(FSBuilder[Amount],FSBuilder[Account or Explanation]=Q174,""))</f>
        <v>0</v>
      </c>
      <c r="S174" s="224">
        <v>7</v>
      </c>
      <c r="T174" s="543"/>
      <c r="U174" s="544"/>
      <c r="V174">
        <f t="shared" si="12"/>
        <v>0</v>
      </c>
      <c r="W174" t="b">
        <f t="shared" si="13"/>
        <v>0</v>
      </c>
      <c r="AA174" s="107">
        <v>7</v>
      </c>
      <c r="AC174" s="205"/>
      <c r="AD174">
        <f t="shared" si="18"/>
        <v>0</v>
      </c>
    </row>
    <row r="175" spans="2:30">
      <c r="B175" s="107">
        <v>7</v>
      </c>
      <c r="D175" s="205"/>
      <c r="E175">
        <f t="shared" si="16"/>
        <v>0</v>
      </c>
      <c r="F175" s="194"/>
      <c r="I175" s="224">
        <v>7</v>
      </c>
      <c r="J175" s="543"/>
      <c r="K175" s="544"/>
      <c r="O175" t="b">
        <f t="shared" si="17"/>
        <v>0</v>
      </c>
      <c r="P175">
        <v>7</v>
      </c>
      <c r="Q175" s="107" t="s">
        <v>847</v>
      </c>
      <c r="R175" s="205" cm="1">
        <f t="array" ref="R175">IF($R$157,FSConstruction!AF20,_xlfn._xlws.FILTER(FSBuilder[Amount],FSBuilder[Account or Explanation]=Q175,""))</f>
        <v>0</v>
      </c>
      <c r="S175" s="224">
        <v>7</v>
      </c>
      <c r="T175" s="543"/>
      <c r="U175" s="544"/>
      <c r="V175">
        <f t="shared" si="12"/>
        <v>0</v>
      </c>
      <c r="W175" t="b">
        <f t="shared" si="13"/>
        <v>0</v>
      </c>
      <c r="AA175" s="107">
        <v>7</v>
      </c>
      <c r="AC175" s="205"/>
      <c r="AD175">
        <f t="shared" si="18"/>
        <v>0</v>
      </c>
    </row>
    <row r="176" spans="2:30" ht="15" thickBot="1">
      <c r="B176" s="107">
        <v>7</v>
      </c>
      <c r="D176" s="205"/>
      <c r="E176">
        <f t="shared" si="16"/>
        <v>0</v>
      </c>
      <c r="F176" s="194"/>
      <c r="I176" s="224">
        <v>7</v>
      </c>
      <c r="J176" s="543"/>
      <c r="K176" s="544"/>
      <c r="O176" t="b">
        <v>1</v>
      </c>
      <c r="P176">
        <v>5</v>
      </c>
      <c r="Q176" s="109" t="str">
        <f>"Balance @ "&amp;EndDate</f>
        <v>Balance @ 12/31/20x1</v>
      </c>
      <c r="R176" s="317" cm="1">
        <f t="array" ref="R176">IF($R$157,_xlfn._xlws.FILTER(EEquities[AmtJournal],EEquities[Account]=Q171,0),_xlfn._xlws.FILTER(FSBuilder[Amount],((FSBuilder[Statement]="Ending Balance Sheet")*(FSBuilder[Account or Explanation]=$Q$171)),0))</f>
        <v>0</v>
      </c>
      <c r="S176" s="224">
        <v>7</v>
      </c>
      <c r="T176" s="543"/>
      <c r="U176" s="544"/>
      <c r="V176">
        <f t="shared" si="12"/>
        <v>0</v>
      </c>
      <c r="W176" t="b">
        <f t="shared" si="13"/>
        <v>0</v>
      </c>
      <c r="AA176" s="107">
        <v>7</v>
      </c>
      <c r="AC176" s="205"/>
      <c r="AD176">
        <f t="shared" si="18"/>
        <v>0</v>
      </c>
    </row>
    <row r="177" spans="2:30">
      <c r="B177" s="107">
        <v>7</v>
      </c>
      <c r="D177" s="205"/>
      <c r="E177">
        <f t="shared" si="16"/>
        <v>0</v>
      </c>
      <c r="F177" s="194"/>
      <c r="I177" s="224">
        <v>7</v>
      </c>
      <c r="J177" s="543"/>
      <c r="K177" s="544"/>
      <c r="R177" s="37"/>
      <c r="S177" s="224">
        <v>7</v>
      </c>
      <c r="T177" s="543"/>
      <c r="U177" s="544"/>
      <c r="V177">
        <f t="shared" si="12"/>
        <v>0</v>
      </c>
      <c r="W177" t="b">
        <f t="shared" si="13"/>
        <v>0</v>
      </c>
      <c r="AA177" s="107">
        <v>7</v>
      </c>
      <c r="AC177" s="205"/>
      <c r="AD177">
        <f t="shared" si="18"/>
        <v>0</v>
      </c>
    </row>
    <row r="178" spans="2:30" ht="15" thickBot="1">
      <c r="B178" s="107">
        <v>7</v>
      </c>
      <c r="D178" s="205"/>
      <c r="E178">
        <f t="shared" si="16"/>
        <v>0</v>
      </c>
      <c r="F178" s="194"/>
      <c r="I178" s="224">
        <v>7</v>
      </c>
      <c r="J178" s="543"/>
      <c r="K178" s="544"/>
      <c r="Q178" s="5" t="s">
        <v>252</v>
      </c>
      <c r="R178">
        <f>IF(ABS(MAX(R179:R182)&gt;0),1,0)</f>
        <v>0</v>
      </c>
      <c r="S178" s="224">
        <v>7</v>
      </c>
      <c r="T178" s="545"/>
      <c r="U178" s="547"/>
      <c r="V178">
        <f t="shared" si="12"/>
        <v>0</v>
      </c>
      <c r="W178" t="b">
        <f t="shared" si="13"/>
        <v>0</v>
      </c>
      <c r="AA178" s="107">
        <v>7</v>
      </c>
      <c r="AC178" s="205"/>
      <c r="AD178">
        <f t="shared" si="18"/>
        <v>0</v>
      </c>
    </row>
    <row r="179" spans="2:30">
      <c r="B179" s="107">
        <v>7</v>
      </c>
      <c r="D179" s="205"/>
      <c r="E179">
        <f t="shared" si="16"/>
        <v>0</v>
      </c>
      <c r="F179" s="194"/>
      <c r="I179" s="224">
        <v>7</v>
      </c>
      <c r="J179" s="543"/>
      <c r="K179" s="544"/>
      <c r="O179" t="b">
        <v>1</v>
      </c>
      <c r="P179">
        <v>5</v>
      </c>
      <c r="Q179" s="207" t="str">
        <f>"Balance @ "&amp;BegDate</f>
        <v>Balance @ 12/31/20x0</v>
      </c>
      <c r="R179" s="433" cm="1">
        <f t="array" ref="R179">IF($R$157,_xlfn._xlws.FILTER(BEquities[Amt],BEquities[Account]=Q178,0),_xlfn._xlws.FILTER(FSBuilder[Amount],((FSBuilder[Statement]="Beginning Balance Sheet")*(FSBuilder[Account or Explanation]=$Q$159)),0))</f>
        <v>0</v>
      </c>
      <c r="AA179" s="107">
        <v>7</v>
      </c>
      <c r="AC179" s="205"/>
      <c r="AD179">
        <f t="shared" si="18"/>
        <v>0</v>
      </c>
    </row>
    <row r="180" spans="2:30">
      <c r="B180" s="107">
        <v>7</v>
      </c>
      <c r="D180" s="205"/>
      <c r="E180">
        <f t="shared" si="16"/>
        <v>0</v>
      </c>
      <c r="F180" s="194"/>
      <c r="I180" s="224">
        <v>7</v>
      </c>
      <c r="J180" s="543"/>
      <c r="K180" s="544"/>
      <c r="O180" t="b">
        <f t="shared" ref="O180:O181" si="19">IF(OR(R180=0,R180=""),FALSE,TRUE)</f>
        <v>0</v>
      </c>
      <c r="P180">
        <v>7</v>
      </c>
      <c r="Q180" s="107" t="s">
        <v>412</v>
      </c>
      <c r="R180" s="205" cm="1">
        <f t="array" ref="R180">IF($R$157,FSConstruction!AF12,_xlfn._xlws.FILTER(FSBuilder[Amount],(FSBuilder[Account or Explanation]=Q180),""))</f>
        <v>0</v>
      </c>
      <c r="T180" s="5"/>
      <c r="AA180" s="107">
        <v>7</v>
      </c>
      <c r="AC180" s="205"/>
      <c r="AD180">
        <f t="shared" si="18"/>
        <v>0</v>
      </c>
    </row>
    <row r="181" spans="2:30" ht="15" thickBot="1">
      <c r="B181" s="109">
        <v>7</v>
      </c>
      <c r="C181" s="315"/>
      <c r="D181" s="317"/>
      <c r="E181">
        <f t="shared" si="16"/>
        <v>0</v>
      </c>
      <c r="F181" s="194"/>
      <c r="I181" s="224">
        <v>7</v>
      </c>
      <c r="J181" s="543"/>
      <c r="K181" s="544"/>
      <c r="M181" s="224"/>
      <c r="N181" s="224"/>
      <c r="O181" t="b">
        <f t="shared" si="19"/>
        <v>0</v>
      </c>
      <c r="P181">
        <v>7</v>
      </c>
      <c r="Q181" s="107" t="s">
        <v>72</v>
      </c>
      <c r="R181" s="205" cm="1">
        <f t="array" ref="R181">IF($R$157,FSConstruction!AF13,_xlfn._xlws.FILTER(FSBuilder[Amount],(FSBuilder[Account or Explanation]=Q181),""))</f>
        <v>0</v>
      </c>
      <c r="AA181" s="109">
        <v>7</v>
      </c>
      <c r="AB181" s="315"/>
      <c r="AC181" s="317"/>
      <c r="AD181">
        <f t="shared" si="18"/>
        <v>0</v>
      </c>
    </row>
    <row r="182" spans="2:30" ht="15" thickBot="1">
      <c r="E182">
        <f>SUM(E172:E181)</f>
        <v>0</v>
      </c>
      <c r="F182" s="194"/>
      <c r="H182" s="5"/>
      <c r="I182" s="224">
        <v>7</v>
      </c>
      <c r="J182" s="543"/>
      <c r="K182" s="544"/>
      <c r="O182" t="b">
        <v>1</v>
      </c>
      <c r="P182">
        <v>5</v>
      </c>
      <c r="Q182" s="109" t="str">
        <f>"Balance @ "&amp;EndDate</f>
        <v>Balance @ 12/31/20x1</v>
      </c>
      <c r="R182" s="317" cm="1">
        <f t="array" ref="R182">IF($R$157,_xlfn._xlws.FILTER(EEquities[AmtJournal],EEquities[Account]=Q178,0),_xlfn._xlws.FILTER(FSBuilder[Amount],((FSBuilder[Statement]="Ending Balance Sheet")*(FSBuilder[Account or Explanation]=$Q$178)),0))</f>
        <v>0</v>
      </c>
      <c r="V182" s="5"/>
      <c r="AD182">
        <f>SUM(AD172:AD181)</f>
        <v>0</v>
      </c>
    </row>
    <row r="183" spans="2:30" ht="15" thickBot="1">
      <c r="B183" s="5" t="s">
        <v>1145</v>
      </c>
      <c r="F183" s="194"/>
      <c r="I183" s="224">
        <v>7</v>
      </c>
      <c r="J183" s="543"/>
      <c r="K183" s="544"/>
      <c r="R183" s="37"/>
      <c r="AA183" s="5" t="s">
        <v>1145</v>
      </c>
    </row>
    <row r="184" spans="2:30" ht="15" thickBot="1">
      <c r="B184" s="207">
        <v>6</v>
      </c>
      <c r="C184" s="416" t="str" cm="1">
        <f t="array" ref="C184:D186">IF(D157,_xlfn._xlws.FILTER(CHOOSE({1,2},BCurrLiabs[Account],BCurrLiabs[Amt]),BCurrLiabs[Used]=1,{"",""}),_xlfn._xlws.FILTER(FSBuilder[[Account or Explanation]:[Amount]],(FSBuilder[Statement]="Beginning Balance Sheet")*(FSBuilder[Category]="  Current Liabilities"),{"",""}))</f>
        <v>Accounts Payable</v>
      </c>
      <c r="D184" s="433">
        <v>0</v>
      </c>
      <c r="E184">
        <f>IF(D184&lt;&gt;"",ABS(D184),0)</f>
        <v>0</v>
      </c>
      <c r="F184" s="194"/>
      <c r="I184" s="224">
        <v>7</v>
      </c>
      <c r="J184" s="543"/>
      <c r="K184" s="544"/>
      <c r="Q184" s="5" t="s">
        <v>848</v>
      </c>
      <c r="R184">
        <f>IF(ABS(MAX(R185:R187)&gt;0),1,0)</f>
        <v>0</v>
      </c>
      <c r="AA184" s="207">
        <v>6</v>
      </c>
      <c r="AB184" s="416" t="str" cm="1">
        <f t="array" ref="AB184:AC186">IF(AC157,_xlfn._xlws.FILTER(CHOOSE({1,2},ECurrLiabs[Account],ECurrLiabs[AmtJournal]),ECurrLiabs[Used]=1,{"",""}),_xlfn._xlws.FILTER(FSBuilder[[Account or Explanation]:[Amount]],(FSBuilder[Statement]="Ending Balance Sheet")*(FSBuilder[Category]="  Current Liabilities"),{"",""}))</f>
        <v>Accounts Payable</v>
      </c>
      <c r="AC184" s="433">
        <v>0</v>
      </c>
      <c r="AD184">
        <f>IF(AC184&lt;&gt;"",ABS(AC184),0)</f>
        <v>0</v>
      </c>
    </row>
    <row r="185" spans="2:30" ht="15" thickBot="1">
      <c r="B185" s="107">
        <v>7</v>
      </c>
      <c r="C185" t="str">
        <v>Dividends Payable</v>
      </c>
      <c r="D185" s="205">
        <v>0</v>
      </c>
      <c r="E185">
        <f t="shared" ref="E185:E193" si="20">ABS(D185)</f>
        <v>0</v>
      </c>
      <c r="F185" s="195"/>
      <c r="I185" s="224">
        <v>7</v>
      </c>
      <c r="J185" s="543"/>
      <c r="K185" s="544"/>
      <c r="O185" t="b">
        <v>1</v>
      </c>
      <c r="P185">
        <v>5</v>
      </c>
      <c r="Q185" s="207" t="str">
        <f>"Balance @ "&amp;BegDate</f>
        <v>Balance @ 12/31/20x0</v>
      </c>
      <c r="R185" s="433" cm="1">
        <f t="array" ref="R185">IF($R$157,_xlfn._xlws.FILTER(BEquities[Amt],BEquities[Account]=Q184,0),_xlfn._xlws.FILTER(FSBuilder[Amount],((FSBuilder[Statement]="Beginning Balance Sheet")*(FSBuilder[Account or Explanation]=$Q$159)),0))</f>
        <v>0</v>
      </c>
      <c r="S185">
        <v>3</v>
      </c>
      <c r="T185" s="423" t="s">
        <v>1126</v>
      </c>
      <c r="U185" s="224"/>
      <c r="V185" t="b">
        <f>SUM(V186:V204)&gt;0.000001</f>
        <v>0</v>
      </c>
      <c r="AA185" s="107">
        <v>7</v>
      </c>
      <c r="AB185" t="str">
        <v>Dividends Payable</v>
      </c>
      <c r="AC185" s="205">
        <v>0</v>
      </c>
      <c r="AD185">
        <f t="shared" ref="AD185:AD193" si="21">ABS(AC185)</f>
        <v>0</v>
      </c>
    </row>
    <row r="186" spans="2:30">
      <c r="B186" s="107">
        <v>7</v>
      </c>
      <c r="C186" t="str">
        <v>Unearned Revenue</v>
      </c>
      <c r="D186" s="205">
        <v>0</v>
      </c>
      <c r="E186">
        <f t="shared" si="20"/>
        <v>0</v>
      </c>
      <c r="I186" s="224">
        <v>7</v>
      </c>
      <c r="J186" s="543"/>
      <c r="K186" s="544"/>
      <c r="O186" t="b">
        <f>IF(OR(R186=0,R186=""),FALSE,TRUE)</f>
        <v>0</v>
      </c>
      <c r="P186">
        <v>7</v>
      </c>
      <c r="Q186" s="107" t="s">
        <v>849</v>
      </c>
      <c r="R186" s="600" cm="1">
        <f t="array" ref="R186">IF($R$157,FSConstruction!AF16,_xlfn._xlws.FILTER(FSBuilder[Amount],(FSBuilder[Account or Explanation]=Q186),""))</f>
        <v>0</v>
      </c>
      <c r="S186" s="224">
        <v>6</v>
      </c>
      <c r="T186" s="541" t="str" cm="1">
        <f t="array" ref="T186:U186">IF($E$104,_xlfn._xlws.FILTER(CHOOSE({1,2},CFS_CFI[Account],CFS_CFI[AmtJournal]),ABS(CFS_CFI[AmtJournal])&gt;0.0001,{"",""}),_xlfn._xlws.FILTER(FSBuilder[[Account or Explanation]:[Amount]],(FSBuilder[Statement]="Cash Flow Statement")*(FSBuilder[Category]="  Investing Activities"),{"",""}))</f>
        <v/>
      </c>
      <c r="U186" s="542" t="str">
        <v/>
      </c>
      <c r="V186">
        <f>IF(U186&lt;&gt;"",ABS(U186),0)</f>
        <v>0</v>
      </c>
      <c r="W186" t="b">
        <f>NOT(V186&lt;0.000001)</f>
        <v>0</v>
      </c>
      <c r="AA186" s="107">
        <v>7</v>
      </c>
      <c r="AB186" t="str">
        <v>Unearned Revenue</v>
      </c>
      <c r="AC186" s="205">
        <v>0</v>
      </c>
      <c r="AD186">
        <f t="shared" si="21"/>
        <v>0</v>
      </c>
    </row>
    <row r="187" spans="2:30" ht="15" thickBot="1">
      <c r="B187" s="107">
        <v>7</v>
      </c>
      <c r="D187" s="205"/>
      <c r="E187">
        <f t="shared" si="20"/>
        <v>0</v>
      </c>
      <c r="I187" s="224">
        <v>7</v>
      </c>
      <c r="J187" s="543"/>
      <c r="K187" s="544"/>
      <c r="O187" t="b">
        <v>1</v>
      </c>
      <c r="P187">
        <v>5</v>
      </c>
      <c r="Q187" s="109" t="str">
        <f>"Balance @ "&amp;EndDate</f>
        <v>Balance @ 12/31/20x1</v>
      </c>
      <c r="R187" s="317" cm="1">
        <f t="array" ref="R187">IF($R$157,_xlfn._xlws.FILTER(EEquities[AmtJournal],EEquities[Account]=Q184,0),_xlfn._xlws.FILTER(FSBuilder[Amount],((FSBuilder[Statement]="Ending Balance Sheet")*(FSBuilder[Account or Explanation]=$Q$184)),0))</f>
        <v>0</v>
      </c>
      <c r="S187" s="224">
        <v>7</v>
      </c>
      <c r="T187" s="543"/>
      <c r="U187" s="544"/>
      <c r="V187">
        <f t="shared" ref="V187:V204" si="22">ABS(U187)</f>
        <v>0</v>
      </c>
      <c r="W187" t="b">
        <f t="shared" ref="W187:W204" si="23">NOT(V187&lt;0.000001)</f>
        <v>0</v>
      </c>
      <c r="AA187" s="107">
        <v>7</v>
      </c>
      <c r="AC187" s="205"/>
      <c r="AD187">
        <f t="shared" si="21"/>
        <v>0</v>
      </c>
    </row>
    <row r="188" spans="2:30">
      <c r="B188" s="107">
        <v>7</v>
      </c>
      <c r="D188" s="205"/>
      <c r="E188">
        <f t="shared" si="20"/>
        <v>0</v>
      </c>
      <c r="I188" s="224">
        <v>7</v>
      </c>
      <c r="J188" s="543"/>
      <c r="K188" s="544"/>
      <c r="R188" s="37"/>
      <c r="S188" s="224">
        <v>7</v>
      </c>
      <c r="T188" s="543"/>
      <c r="U188" s="544"/>
      <c r="V188">
        <f t="shared" si="22"/>
        <v>0</v>
      </c>
      <c r="W188" t="b">
        <f t="shared" si="23"/>
        <v>0</v>
      </c>
      <c r="AA188" s="107">
        <v>7</v>
      </c>
      <c r="AC188" s="205"/>
      <c r="AD188">
        <f t="shared" si="21"/>
        <v>0</v>
      </c>
    </row>
    <row r="189" spans="2:30" ht="15" thickBot="1">
      <c r="B189" s="107">
        <v>7</v>
      </c>
      <c r="D189" s="205"/>
      <c r="E189">
        <f t="shared" si="20"/>
        <v>0</v>
      </c>
      <c r="I189" s="224">
        <v>7</v>
      </c>
      <c r="J189" s="543"/>
      <c r="K189" s="544"/>
      <c r="Q189" s="5" t="s">
        <v>255</v>
      </c>
      <c r="R189">
        <f>IF(ABS(MAX(R190:R193)&gt;0),1,0)</f>
        <v>0</v>
      </c>
      <c r="S189" s="224">
        <v>7</v>
      </c>
      <c r="T189" s="543"/>
      <c r="U189" s="544"/>
      <c r="V189">
        <f t="shared" si="22"/>
        <v>0</v>
      </c>
      <c r="W189" t="b">
        <f t="shared" si="23"/>
        <v>0</v>
      </c>
      <c r="AA189" s="107">
        <v>7</v>
      </c>
      <c r="AC189" s="205"/>
      <c r="AD189">
        <f t="shared" si="21"/>
        <v>0</v>
      </c>
    </row>
    <row r="190" spans="2:30">
      <c r="B190" s="107">
        <v>7</v>
      </c>
      <c r="D190" s="205"/>
      <c r="E190">
        <f t="shared" si="20"/>
        <v>0</v>
      </c>
      <c r="I190" s="224">
        <v>7</v>
      </c>
      <c r="J190" s="543"/>
      <c r="K190" s="544"/>
      <c r="O190" t="b">
        <v>1</v>
      </c>
      <c r="P190">
        <v>5</v>
      </c>
      <c r="Q190" s="207" t="str">
        <f>"Balance @ "&amp;BegDate</f>
        <v>Balance @ 12/31/20x0</v>
      </c>
      <c r="R190" s="433" cm="1">
        <f t="array" ref="R190">IF($R$157,_xlfn._xlws.FILTER(BEquities[Amt],BEquities[Account]=Q189,0),_xlfn._xlws.FILTER(FSBuilder[Amount],((FSBuilder[Statement]="Beginning Balance Sheet")*(FSBuilder[Account or Explanation]=$Q$159)),0))</f>
        <v>0</v>
      </c>
      <c r="S190" s="224">
        <v>7</v>
      </c>
      <c r="T190" s="543"/>
      <c r="U190" s="544"/>
      <c r="V190">
        <f t="shared" si="22"/>
        <v>0</v>
      </c>
      <c r="W190" t="b">
        <f t="shared" si="23"/>
        <v>0</v>
      </c>
      <c r="AA190" s="107">
        <v>7</v>
      </c>
      <c r="AC190" s="205"/>
      <c r="AD190">
        <f t="shared" si="21"/>
        <v>0</v>
      </c>
    </row>
    <row r="191" spans="2:30" ht="15" thickBot="1">
      <c r="B191" s="107">
        <v>7</v>
      </c>
      <c r="D191" s="205"/>
      <c r="E191">
        <f t="shared" si="20"/>
        <v>0</v>
      </c>
      <c r="I191" s="224">
        <v>7</v>
      </c>
      <c r="J191" s="545"/>
      <c r="K191" s="547"/>
      <c r="O191" t="b">
        <f t="shared" ref="O191:O192" si="24">IF(OR(R191=0,R191=""),FALSE,TRUE)</f>
        <v>0</v>
      </c>
      <c r="P191">
        <v>7</v>
      </c>
      <c r="Q191" s="107" t="s">
        <v>850</v>
      </c>
      <c r="R191" s="205" cm="1">
        <f t="array" ref="R191">IF($R$157,FSConstruction!AF15,_xlfn._xlws.FILTER(FSBuilder[Amount],(FSBuilder[Account or Explanation]=Q191),""))</f>
        <v>0</v>
      </c>
      <c r="S191" s="224">
        <v>7</v>
      </c>
      <c r="T191" s="543"/>
      <c r="U191" s="544"/>
      <c r="V191">
        <f t="shared" si="22"/>
        <v>0</v>
      </c>
      <c r="W191" t="b">
        <f t="shared" si="23"/>
        <v>0</v>
      </c>
      <c r="AA191" s="107">
        <v>7</v>
      </c>
      <c r="AC191" s="205"/>
      <c r="AD191">
        <f t="shared" si="21"/>
        <v>0</v>
      </c>
    </row>
    <row r="192" spans="2:30">
      <c r="B192" s="107">
        <v>7</v>
      </c>
      <c r="D192" s="205"/>
      <c r="E192">
        <f t="shared" si="20"/>
        <v>0</v>
      </c>
      <c r="H192" s="5"/>
      <c r="O192" t="b">
        <f t="shared" si="24"/>
        <v>0</v>
      </c>
      <c r="P192">
        <v>7</v>
      </c>
      <c r="Q192" s="107" t="s">
        <v>389</v>
      </c>
      <c r="R192" s="205" cm="1">
        <f t="array" ref="R192">IF($R$157,FSConstruction!AF14,_xlfn._xlws.FILTER(FSBuilder[Amount],(FSBuilder[Account or Explanation]=Q192),""))</f>
        <v>0</v>
      </c>
      <c r="S192" s="224">
        <v>7</v>
      </c>
      <c r="T192" s="543"/>
      <c r="U192" s="544"/>
      <c r="V192">
        <f t="shared" si="22"/>
        <v>0</v>
      </c>
      <c r="W192" t="b">
        <f t="shared" si="23"/>
        <v>0</v>
      </c>
      <c r="AA192" s="107">
        <v>7</v>
      </c>
      <c r="AC192" s="205"/>
      <c r="AD192">
        <f t="shared" si="21"/>
        <v>0</v>
      </c>
    </row>
    <row r="193" spans="2:30" ht="15" thickBot="1">
      <c r="B193" s="109">
        <v>7</v>
      </c>
      <c r="C193" s="315"/>
      <c r="D193" s="317"/>
      <c r="E193">
        <f t="shared" si="20"/>
        <v>0</v>
      </c>
      <c r="O193" t="b">
        <v>1</v>
      </c>
      <c r="P193">
        <v>5</v>
      </c>
      <c r="Q193" s="109" t="str">
        <f>"Balance @ "&amp;EndDate</f>
        <v>Balance @ 12/31/20x1</v>
      </c>
      <c r="R193" s="317" cm="1">
        <f t="array" ref="R193">IF($R$157,_xlfn._xlws.FILTER(EEquities[AmtJournal],EEquities[Account]=Q189,0),_xlfn._xlws.FILTER(FSBuilder[Amount],((FSBuilder[Statement]="Ending Balance Sheet")*(FSBuilder[Account or Explanation]=$Q$189)),0))</f>
        <v>0</v>
      </c>
      <c r="S193" s="224">
        <v>7</v>
      </c>
      <c r="T193" s="543"/>
      <c r="U193" s="544"/>
      <c r="V193">
        <f t="shared" si="22"/>
        <v>0</v>
      </c>
      <c r="W193" t="b">
        <f t="shared" si="23"/>
        <v>0</v>
      </c>
      <c r="AA193" s="109">
        <v>7</v>
      </c>
      <c r="AB193" s="315"/>
      <c r="AC193" s="317"/>
      <c r="AD193">
        <f t="shared" si="21"/>
        <v>0</v>
      </c>
    </row>
    <row r="194" spans="2:30">
      <c r="E194">
        <f>SUM(E184:E193)</f>
        <v>0</v>
      </c>
      <c r="S194" s="224">
        <v>7</v>
      </c>
      <c r="T194" s="543"/>
      <c r="U194" s="544"/>
      <c r="V194">
        <f t="shared" si="22"/>
        <v>0</v>
      </c>
      <c r="W194" t="b">
        <f t="shared" si="23"/>
        <v>0</v>
      </c>
      <c r="AD194">
        <f>SUM(AD184:AD193)</f>
        <v>0</v>
      </c>
    </row>
    <row r="195" spans="2:30" ht="15" thickBot="1">
      <c r="B195" s="5" t="s">
        <v>1008</v>
      </c>
      <c r="I195" s="5" t="s">
        <v>308</v>
      </c>
      <c r="L195" s="423" t="b">
        <f>COUNTIF(JournalAnswer[Accnt Type],"Gain")&gt;0</f>
        <v>0</v>
      </c>
      <c r="M195" t="s">
        <v>1142</v>
      </c>
      <c r="O195" t="b">
        <v>1</v>
      </c>
      <c r="P195">
        <v>2</v>
      </c>
      <c r="Q195" t="str">
        <f>"Total Shareholders' Equity @ "&amp;BegDate</f>
        <v>Total Shareholders' Equity @ 12/31/20x0</v>
      </c>
      <c r="R195" s="248">
        <f>R160+R165+R172+R179+R185+R190</f>
        <v>0</v>
      </c>
      <c r="S195" s="224">
        <v>7</v>
      </c>
      <c r="T195" s="543"/>
      <c r="U195" s="544"/>
      <c r="V195">
        <f t="shared" si="22"/>
        <v>0</v>
      </c>
      <c r="W195" t="b">
        <f t="shared" si="23"/>
        <v>0</v>
      </c>
      <c r="AA195" s="5" t="s">
        <v>1008</v>
      </c>
    </row>
    <row r="196" spans="2:30">
      <c r="B196" s="207">
        <v>6</v>
      </c>
      <c r="C196" s="416" t="str" cm="1">
        <f t="array" ref="C196:D196">IF(D157,_xlfn._xlws.FILTER(CHOOSE({1,2},BNonCurrLiabs[Account],BNonCurrLiabs[Amt]),BNonCurrLiabs[Used]=1,{"",""}),_xlfn._xlws.FILTER(FSBuilder[[Account or Explanation]:[Amount]],(FSBuilder[Statement]="Beginning Balance Sheet")*(FSBuilder[Category]="  Noncurrent Liabilities"),{"",""}))</f>
        <v>Loans Payable</v>
      </c>
      <c r="D196" s="433">
        <v>0</v>
      </c>
      <c r="E196">
        <f>IF(D196&lt;&gt;"",ABS(D196),0)</f>
        <v>0</v>
      </c>
      <c r="I196" s="224">
        <v>6</v>
      </c>
      <c r="J196" s="541" t="str" cm="1">
        <f t="array" ref="J196:K196">IF(K157,IF(L553,_xlfn._xlws.FILTER(CHOOSE({1,2},IS_Gains[Account],IS_Gains[AmtJournal]),IS_Gains[UsedJournal]=1,""),{"",""}),_xlfn._xlws.FILTER(CHOOSE({1,2},IS_Gains[Account],IS_Gains[AmtFSBuilder]),IS_Gains[UsedFSBuilder]=1,{"",""}))</f>
        <v/>
      </c>
      <c r="K196" s="542" t="str">
        <v/>
      </c>
      <c r="L196" s="423" t="b">
        <f>COUNTIF(Journal[Accnt Type],"Gain")&gt;0</f>
        <v>0</v>
      </c>
      <c r="M196" t="s">
        <v>1143</v>
      </c>
      <c r="O196" t="b">
        <v>1</v>
      </c>
      <c r="P196">
        <v>2</v>
      </c>
      <c r="Q196" t="str">
        <f>"Total Shareholders' Equity @ "&amp;EndDate</f>
        <v>Total Shareholders' Equity @ 12/31/20x1</v>
      </c>
      <c r="R196" s="248">
        <f>R162+R169+R176+R182+R187+R193</f>
        <v>0</v>
      </c>
      <c r="S196" s="224">
        <v>7</v>
      </c>
      <c r="T196" s="543"/>
      <c r="U196" s="544"/>
      <c r="V196">
        <f t="shared" si="22"/>
        <v>0</v>
      </c>
      <c r="W196" t="b">
        <f t="shared" si="23"/>
        <v>0</v>
      </c>
      <c r="AA196" s="207">
        <v>6</v>
      </c>
      <c r="AB196" s="416" t="str" cm="1">
        <f t="array" ref="AB196:AC196">IF(AC157,_xlfn._xlws.FILTER(CHOOSE({1,2},ENonCurrLiabs[Account],ENonCurrLiabs[AmtJournal]),ENonCurrLiabs[Used]=1,{"",""}),_xlfn._xlws.FILTER(FSBuilder[[Account or Explanation]:[Amount]],(FSBuilder[Statement]="Ending Balance Sheet")*(FSBuilder[Category]="  Noncurrent Liabilities"),{"",""}))</f>
        <v>Loans Payable</v>
      </c>
      <c r="AC196" s="433">
        <v>0</v>
      </c>
      <c r="AD196">
        <f>IF(AC196&lt;&gt;"",ABS(AC196),0)</f>
        <v>0</v>
      </c>
    </row>
    <row r="197" spans="2:30">
      <c r="B197" s="107">
        <v>7</v>
      </c>
      <c r="D197" s="205"/>
      <c r="E197">
        <f t="shared" ref="E197:E205" si="25">ABS(D197)</f>
        <v>0</v>
      </c>
      <c r="I197" s="224">
        <v>7</v>
      </c>
      <c r="J197" s="543"/>
      <c r="K197" s="544"/>
      <c r="S197" s="224">
        <v>7</v>
      </c>
      <c r="T197" s="543"/>
      <c r="U197" s="544"/>
      <c r="V197">
        <f t="shared" si="22"/>
        <v>0</v>
      </c>
      <c r="W197" t="b">
        <f t="shared" si="23"/>
        <v>0</v>
      </c>
      <c r="AA197" s="107">
        <v>7</v>
      </c>
      <c r="AC197" s="205"/>
      <c r="AD197">
        <f t="shared" ref="AD197:AD205" si="26">ABS(AC197)</f>
        <v>0</v>
      </c>
    </row>
    <row r="198" spans="2:30">
      <c r="B198" s="107">
        <v>7</v>
      </c>
      <c r="D198" s="205"/>
      <c r="E198">
        <f t="shared" si="25"/>
        <v>0</v>
      </c>
      <c r="I198" s="224">
        <v>7</v>
      </c>
      <c r="J198" s="543"/>
      <c r="K198" s="544"/>
      <c r="S198" s="224">
        <v>7</v>
      </c>
      <c r="T198" s="543"/>
      <c r="U198" s="544"/>
      <c r="V198">
        <f t="shared" si="22"/>
        <v>0</v>
      </c>
      <c r="W198" t="b">
        <f t="shared" si="23"/>
        <v>0</v>
      </c>
      <c r="AA198" s="107">
        <v>7</v>
      </c>
      <c r="AC198" s="205"/>
      <c r="AD198">
        <f t="shared" si="26"/>
        <v>0</v>
      </c>
    </row>
    <row r="199" spans="2:30">
      <c r="B199" s="107">
        <v>7</v>
      </c>
      <c r="D199" s="205"/>
      <c r="E199">
        <f t="shared" si="25"/>
        <v>0</v>
      </c>
      <c r="I199" s="224">
        <v>7</v>
      </c>
      <c r="J199" s="543"/>
      <c r="K199" s="544"/>
      <c r="S199" s="224">
        <v>7</v>
      </c>
      <c r="T199" s="543"/>
      <c r="U199" s="544"/>
      <c r="V199">
        <f t="shared" si="22"/>
        <v>0</v>
      </c>
      <c r="W199" t="b">
        <f t="shared" si="23"/>
        <v>0</v>
      </c>
      <c r="AA199" s="107">
        <v>7</v>
      </c>
      <c r="AC199" s="205"/>
      <c r="AD199">
        <f t="shared" si="26"/>
        <v>0</v>
      </c>
    </row>
    <row r="200" spans="2:30">
      <c r="B200" s="107">
        <v>7</v>
      </c>
      <c r="D200" s="205"/>
      <c r="E200">
        <f t="shared" si="25"/>
        <v>0</v>
      </c>
      <c r="I200" s="224">
        <v>7</v>
      </c>
      <c r="J200" s="543"/>
      <c r="K200" s="544"/>
      <c r="S200" s="224">
        <v>7</v>
      </c>
      <c r="T200" s="543"/>
      <c r="U200" s="544"/>
      <c r="V200">
        <f t="shared" si="22"/>
        <v>0</v>
      </c>
      <c r="W200" t="b">
        <f t="shared" si="23"/>
        <v>0</v>
      </c>
      <c r="AA200" s="107">
        <v>7</v>
      </c>
      <c r="AC200" s="205"/>
      <c r="AD200">
        <f t="shared" si="26"/>
        <v>0</v>
      </c>
    </row>
    <row r="201" spans="2:30">
      <c r="B201" s="107">
        <v>7</v>
      </c>
      <c r="D201" s="205"/>
      <c r="E201">
        <f t="shared" si="25"/>
        <v>0</v>
      </c>
      <c r="I201" s="224">
        <v>7</v>
      </c>
      <c r="J201" s="543"/>
      <c r="K201" s="544"/>
      <c r="S201" s="224">
        <v>7</v>
      </c>
      <c r="T201" s="543"/>
      <c r="U201" s="544"/>
      <c r="V201">
        <f t="shared" si="22"/>
        <v>0</v>
      </c>
      <c r="W201" t="b">
        <f t="shared" si="23"/>
        <v>0</v>
      </c>
      <c r="AA201" s="107">
        <v>7</v>
      </c>
      <c r="AC201" s="205"/>
      <c r="AD201">
        <f t="shared" si="26"/>
        <v>0</v>
      </c>
    </row>
    <row r="202" spans="2:30">
      <c r="B202" s="107">
        <v>7</v>
      </c>
      <c r="D202" s="205"/>
      <c r="E202">
        <f t="shared" si="25"/>
        <v>0</v>
      </c>
      <c r="H202" s="5"/>
      <c r="I202" s="224">
        <v>7</v>
      </c>
      <c r="J202" s="543"/>
      <c r="K202" s="544"/>
      <c r="S202" s="224">
        <v>7</v>
      </c>
      <c r="T202" s="543"/>
      <c r="U202" s="544"/>
      <c r="V202">
        <f t="shared" si="22"/>
        <v>0</v>
      </c>
      <c r="W202" t="b">
        <f t="shared" si="23"/>
        <v>0</v>
      </c>
      <c r="AA202" s="107">
        <v>7</v>
      </c>
      <c r="AC202" s="205"/>
      <c r="AD202">
        <f t="shared" si="26"/>
        <v>0</v>
      </c>
    </row>
    <row r="203" spans="2:30">
      <c r="B203" s="107">
        <v>7</v>
      </c>
      <c r="D203" s="205"/>
      <c r="E203">
        <f t="shared" si="25"/>
        <v>0</v>
      </c>
      <c r="I203" s="224">
        <v>7</v>
      </c>
      <c r="J203" s="543"/>
      <c r="K203" s="544"/>
      <c r="S203" s="224">
        <v>7</v>
      </c>
      <c r="T203" s="543"/>
      <c r="U203" s="544"/>
      <c r="V203">
        <f t="shared" si="22"/>
        <v>0</v>
      </c>
      <c r="W203" t="b">
        <f t="shared" si="23"/>
        <v>0</v>
      </c>
      <c r="AA203" s="107">
        <v>7</v>
      </c>
      <c r="AC203" s="205"/>
      <c r="AD203">
        <f t="shared" si="26"/>
        <v>0</v>
      </c>
    </row>
    <row r="204" spans="2:30" ht="15" thickBot="1">
      <c r="B204" s="107">
        <v>7</v>
      </c>
      <c r="D204" s="205"/>
      <c r="E204">
        <f t="shared" si="25"/>
        <v>0</v>
      </c>
      <c r="I204" s="224">
        <v>7</v>
      </c>
      <c r="J204" s="543"/>
      <c r="K204" s="544"/>
      <c r="R204" s="37"/>
      <c r="S204" s="224">
        <v>7</v>
      </c>
      <c r="T204" s="545"/>
      <c r="U204" s="547"/>
      <c r="V204">
        <f t="shared" si="22"/>
        <v>0</v>
      </c>
      <c r="W204" t="b">
        <f t="shared" si="23"/>
        <v>0</v>
      </c>
      <c r="AA204" s="107">
        <v>7</v>
      </c>
      <c r="AC204" s="205"/>
      <c r="AD204">
        <f t="shared" si="26"/>
        <v>0</v>
      </c>
    </row>
    <row r="205" spans="2:30" ht="15" thickBot="1">
      <c r="B205" s="109">
        <v>7</v>
      </c>
      <c r="C205" s="315"/>
      <c r="D205" s="317"/>
      <c r="E205">
        <f t="shared" si="25"/>
        <v>0</v>
      </c>
      <c r="I205" s="224">
        <v>7</v>
      </c>
      <c r="J205" s="545"/>
      <c r="K205" s="547"/>
      <c r="AA205" s="109">
        <v>7</v>
      </c>
      <c r="AB205" s="315"/>
      <c r="AC205" s="317"/>
      <c r="AD205">
        <f t="shared" si="26"/>
        <v>0</v>
      </c>
    </row>
    <row r="206" spans="2:30">
      <c r="E206">
        <f>SUM(E196:E205)</f>
        <v>0</v>
      </c>
      <c r="AD206">
        <f>SUM(AD196:AD205)</f>
        <v>0</v>
      </c>
    </row>
    <row r="207" spans="2:30" ht="15" thickBot="1">
      <c r="B207" s="5" t="s">
        <v>67</v>
      </c>
      <c r="I207" s="5" t="s">
        <v>961</v>
      </c>
      <c r="L207" s="423" t="b">
        <f>COUNTIF(JournalAnswer[Accnt Type],"Loss")&gt;0</f>
        <v>1</v>
      </c>
      <c r="M207" t="s">
        <v>1142</v>
      </c>
      <c r="AA207" s="5" t="s">
        <v>67</v>
      </c>
    </row>
    <row r="208" spans="2:30">
      <c r="B208" s="207">
        <v>6</v>
      </c>
      <c r="C208" s="416" t="str" cm="1">
        <f t="array" ref="C208:D209">IF(D157,_xlfn._xlws.FILTER(CHOOSE({1,2},BEquities[Account],BEquities[Amt]),BEquities[Used]=1,{"",""}),_xlfn._xlws.FILTER(FSBuilder[[Account or Explanation]:[Amount]],(FSBuilder[Statement]="Beginning Balance Sheet")*(FSBuilder[Category]="  Equities"),{"",""}))</f>
        <v>Common Stock</v>
      </c>
      <c r="D208" s="433">
        <v>0</v>
      </c>
      <c r="E208">
        <f>IF(D208&lt;&gt;"",ABS(D208),0)</f>
        <v>0</v>
      </c>
      <c r="I208" s="224">
        <v>6</v>
      </c>
      <c r="J208" s="541" t="str" cm="1">
        <f t="array" ref="J208:K208">IF(K157,IF(L554,_xlfn._xlws.FILTER(CHOOSE({1,2},IS_Losses[Account],IS_Losses[AmtJournal]),IS_Losses[UsedJournal]=1,""),{"",""}),_xlfn._xlws.FILTER(CHOOSE({1,2},IS_Losses[Account],IS_Losses[AmtFSBuilder]),IS_Losses[UsedFSBuilder]=1,{"",""}))</f>
        <v/>
      </c>
      <c r="K208" s="542" t="str">
        <v/>
      </c>
      <c r="L208" s="423" t="b">
        <f>COUNTIF(Journal[Accnt Type],"Loss")&gt;0</f>
        <v>0</v>
      </c>
      <c r="M208" t="s">
        <v>1143</v>
      </c>
      <c r="AA208" s="207">
        <v>6</v>
      </c>
      <c r="AB208" s="416" t="str" cm="1">
        <f t="array" ref="AB208:AC209">IF(E106,_xlfn._xlws.FILTER(CHOOSE({1,2},EEquities[Account],EEquities[AmtJournal]),EEquities[Used]=1,{"",""}),_xlfn._xlws.FILTER(FSBuilder[[Account or Explanation]:[Amount]],(FSBuilder[Statement]="Ending Balance Sheet")*(FSBuilder[Category]="  Equities"),{"",""}))</f>
        <v>Common Stock</v>
      </c>
      <c r="AC208" s="433">
        <v>0</v>
      </c>
      <c r="AD208">
        <f>IF(AC208&lt;&gt;"",ABS(AC208),0)</f>
        <v>0</v>
      </c>
    </row>
    <row r="209" spans="2:30">
      <c r="B209" s="107">
        <v>7</v>
      </c>
      <c r="C209" t="str">
        <v>Retained Earnings</v>
      </c>
      <c r="D209" s="205">
        <v>0</v>
      </c>
      <c r="E209">
        <f t="shared" ref="E209:E217" si="27">ABS(D209)</f>
        <v>0</v>
      </c>
      <c r="I209" s="224">
        <v>7</v>
      </c>
      <c r="J209" s="543"/>
      <c r="K209" s="544"/>
      <c r="AA209" s="107">
        <v>7</v>
      </c>
      <c r="AB209" t="str">
        <v>Retained Earnings</v>
      </c>
      <c r="AC209" s="205">
        <v>0</v>
      </c>
      <c r="AD209">
        <f t="shared" ref="AD209:AD217" si="28">ABS(AC209)</f>
        <v>0</v>
      </c>
    </row>
    <row r="210" spans="2:30">
      <c r="B210" s="107">
        <v>7</v>
      </c>
      <c r="D210" s="205"/>
      <c r="E210">
        <f t="shared" si="27"/>
        <v>0</v>
      </c>
      <c r="I210" s="224">
        <v>7</v>
      </c>
      <c r="J210" s="543"/>
      <c r="K210" s="544"/>
      <c r="AA210" s="107">
        <v>7</v>
      </c>
      <c r="AC210" s="205"/>
      <c r="AD210">
        <f t="shared" si="28"/>
        <v>0</v>
      </c>
    </row>
    <row r="211" spans="2:30" ht="15" thickBot="1">
      <c r="B211" s="107">
        <v>7</v>
      </c>
      <c r="D211" s="205"/>
      <c r="E211">
        <f t="shared" si="27"/>
        <v>0</v>
      </c>
      <c r="I211" s="224">
        <v>7</v>
      </c>
      <c r="J211" s="543"/>
      <c r="K211" s="544"/>
      <c r="S211">
        <v>3</v>
      </c>
      <c r="T211" s="423" t="s">
        <v>1133</v>
      </c>
      <c r="U211" s="224"/>
      <c r="V211" t="b">
        <f>SUM(V212:V230)&gt;0.000001</f>
        <v>0</v>
      </c>
      <c r="AA211" s="107">
        <v>7</v>
      </c>
      <c r="AC211" s="205"/>
      <c r="AD211">
        <f t="shared" si="28"/>
        <v>0</v>
      </c>
    </row>
    <row r="212" spans="2:30">
      <c r="B212" s="107">
        <v>7</v>
      </c>
      <c r="D212" s="205"/>
      <c r="E212">
        <f t="shared" si="27"/>
        <v>0</v>
      </c>
      <c r="H212" s="5"/>
      <c r="I212" s="224">
        <v>7</v>
      </c>
      <c r="J212" s="543"/>
      <c r="K212" s="544"/>
      <c r="S212" s="224">
        <v>6</v>
      </c>
      <c r="T212" s="541" t="str" cm="1">
        <f t="array" ref="T212:U212">IF($E$104,_xlfn._xlws.FILTER(CHOOSE({1,2},CFS_CFF[Account],CFS_CFF[AmtJournal]),ABS(CFS_CFF[AmtJournal])&gt;0.0001,{"",""}),_xlfn._xlws.FILTER(FSBuilder[[Account or Explanation]:[Amount]],(FSBuilder[Statement]="Cash Flow Statement")*(FSBuilder[Category]="  Financing Activities"),{"",""}))</f>
        <v/>
      </c>
      <c r="U212" s="542" t="str">
        <v/>
      </c>
      <c r="V212">
        <f>IF(U212&lt;&gt;"",ABS(U212),0)</f>
        <v>0</v>
      </c>
      <c r="W212" t="b">
        <f>NOT(V212&lt;0.000001)</f>
        <v>0</v>
      </c>
      <c r="AA212" s="107">
        <v>7</v>
      </c>
      <c r="AC212" s="205"/>
      <c r="AD212">
        <f t="shared" si="28"/>
        <v>0</v>
      </c>
    </row>
    <row r="213" spans="2:30">
      <c r="B213" s="107">
        <v>7</v>
      </c>
      <c r="D213" s="205"/>
      <c r="E213">
        <f t="shared" si="27"/>
        <v>0</v>
      </c>
      <c r="I213" s="224">
        <v>7</v>
      </c>
      <c r="J213" s="543"/>
      <c r="K213" s="544"/>
      <c r="S213" s="224">
        <v>7</v>
      </c>
      <c r="T213" s="543"/>
      <c r="U213" s="544"/>
      <c r="V213">
        <f t="shared" ref="V213:V230" si="29">ABS(U213)</f>
        <v>0</v>
      </c>
      <c r="W213" t="b">
        <f t="shared" ref="W213:W230" si="30">NOT(V213&lt;0.000001)</f>
        <v>0</v>
      </c>
      <c r="AA213" s="107">
        <v>7</v>
      </c>
      <c r="AC213" s="205"/>
      <c r="AD213">
        <f t="shared" si="28"/>
        <v>0</v>
      </c>
    </row>
    <row r="214" spans="2:30">
      <c r="B214" s="107">
        <v>7</v>
      </c>
      <c r="D214" s="205"/>
      <c r="E214">
        <f t="shared" si="27"/>
        <v>0</v>
      </c>
      <c r="I214" s="224">
        <v>7</v>
      </c>
      <c r="J214" s="543"/>
      <c r="K214" s="544"/>
      <c r="S214" s="224">
        <v>7</v>
      </c>
      <c r="T214" s="543"/>
      <c r="U214" s="544"/>
      <c r="V214">
        <f t="shared" si="29"/>
        <v>0</v>
      </c>
      <c r="W214" t="b">
        <f t="shared" si="30"/>
        <v>0</v>
      </c>
      <c r="AA214" s="107">
        <v>7</v>
      </c>
      <c r="AC214" s="205"/>
      <c r="AD214">
        <f t="shared" si="28"/>
        <v>0</v>
      </c>
    </row>
    <row r="215" spans="2:30">
      <c r="B215" s="107">
        <v>7</v>
      </c>
      <c r="D215" s="205"/>
      <c r="E215">
        <f t="shared" si="27"/>
        <v>0</v>
      </c>
      <c r="I215" s="224">
        <v>7</v>
      </c>
      <c r="J215" s="543"/>
      <c r="K215" s="544"/>
      <c r="S215" s="224">
        <v>7</v>
      </c>
      <c r="T215" s="543"/>
      <c r="U215" s="544"/>
      <c r="V215">
        <f t="shared" si="29"/>
        <v>0</v>
      </c>
      <c r="W215" t="b">
        <f t="shared" si="30"/>
        <v>0</v>
      </c>
      <c r="AA215" s="107">
        <v>7</v>
      </c>
      <c r="AC215" s="205"/>
      <c r="AD215">
        <f t="shared" si="28"/>
        <v>0</v>
      </c>
    </row>
    <row r="216" spans="2:30">
      <c r="B216" s="107">
        <v>7</v>
      </c>
      <c r="D216" s="205"/>
      <c r="E216">
        <f t="shared" si="27"/>
        <v>0</v>
      </c>
      <c r="I216" s="224">
        <v>7</v>
      </c>
      <c r="J216" s="543"/>
      <c r="K216" s="544"/>
      <c r="S216" s="224">
        <v>7</v>
      </c>
      <c r="T216" s="543"/>
      <c r="U216" s="544"/>
      <c r="V216">
        <f t="shared" si="29"/>
        <v>0</v>
      </c>
      <c r="W216" t="b">
        <f t="shared" si="30"/>
        <v>0</v>
      </c>
      <c r="AA216" s="107">
        <v>7</v>
      </c>
      <c r="AC216" s="205"/>
      <c r="AD216">
        <f t="shared" si="28"/>
        <v>0</v>
      </c>
    </row>
    <row r="217" spans="2:30" ht="15" thickBot="1">
      <c r="B217" s="109">
        <v>7</v>
      </c>
      <c r="C217" s="315"/>
      <c r="D217" s="317"/>
      <c r="E217">
        <f t="shared" si="27"/>
        <v>0</v>
      </c>
      <c r="I217" s="224">
        <v>7</v>
      </c>
      <c r="J217" s="545"/>
      <c r="K217" s="547"/>
      <c r="S217" s="224">
        <v>7</v>
      </c>
      <c r="T217" s="543"/>
      <c r="U217" s="544"/>
      <c r="V217">
        <f t="shared" si="29"/>
        <v>0</v>
      </c>
      <c r="W217" t="b">
        <f t="shared" si="30"/>
        <v>0</v>
      </c>
      <c r="AA217" s="109">
        <v>7</v>
      </c>
      <c r="AB217" s="315"/>
      <c r="AC217" s="317"/>
      <c r="AD217">
        <f t="shared" si="28"/>
        <v>0</v>
      </c>
    </row>
    <row r="218" spans="2:30">
      <c r="E218">
        <f>SUM(E208:E217)</f>
        <v>0</v>
      </c>
      <c r="J218" s="224"/>
      <c r="S218" s="224">
        <v>7</v>
      </c>
      <c r="T218" s="543"/>
      <c r="U218" s="544"/>
      <c r="V218">
        <f t="shared" si="29"/>
        <v>0</v>
      </c>
      <c r="W218" t="b">
        <f t="shared" si="30"/>
        <v>0</v>
      </c>
      <c r="AD218">
        <f>SUM(AD208:AD217)</f>
        <v>0</v>
      </c>
    </row>
    <row r="219" spans="2:30">
      <c r="S219" s="224">
        <v>7</v>
      </c>
      <c r="T219" s="543"/>
      <c r="U219" s="544"/>
      <c r="V219">
        <f t="shared" si="29"/>
        <v>0</v>
      </c>
      <c r="W219" t="b">
        <f t="shared" si="30"/>
        <v>0</v>
      </c>
    </row>
    <row r="220" spans="2:30">
      <c r="C220" s="5"/>
      <c r="S220" s="224">
        <v>7</v>
      </c>
      <c r="T220" s="543"/>
      <c r="U220" s="544"/>
      <c r="V220">
        <f t="shared" si="29"/>
        <v>0</v>
      </c>
      <c r="W220" t="b">
        <f t="shared" si="30"/>
        <v>0</v>
      </c>
      <c r="AB220" s="5" t="s">
        <v>851</v>
      </c>
    </row>
    <row r="221" spans="2:30">
      <c r="S221" s="224">
        <v>7</v>
      </c>
      <c r="T221" s="543"/>
      <c r="U221" s="544"/>
      <c r="V221">
        <f t="shared" si="29"/>
        <v>0</v>
      </c>
      <c r="W221" t="b">
        <f t="shared" si="30"/>
        <v>0</v>
      </c>
      <c r="AA221">
        <v>5</v>
      </c>
      <c r="AB221" t="s">
        <v>1146</v>
      </c>
      <c r="AC221">
        <f>SUM(AC160:AC169)</f>
        <v>0</v>
      </c>
    </row>
    <row r="222" spans="2:30">
      <c r="H222" s="5"/>
      <c r="S222" s="224">
        <v>7</v>
      </c>
      <c r="T222" s="543"/>
      <c r="U222" s="544"/>
      <c r="V222">
        <f t="shared" si="29"/>
        <v>0</v>
      </c>
      <c r="W222" t="b">
        <f t="shared" si="30"/>
        <v>0</v>
      </c>
      <c r="AA222">
        <v>5</v>
      </c>
      <c r="AB222" t="s">
        <v>1147</v>
      </c>
      <c r="AC222">
        <f>SUM(AC172:AC181)</f>
        <v>0</v>
      </c>
    </row>
    <row r="223" spans="2:30">
      <c r="S223" s="224">
        <v>7</v>
      </c>
      <c r="T223" s="543"/>
      <c r="U223" s="544"/>
      <c r="V223">
        <f t="shared" si="29"/>
        <v>0</v>
      </c>
      <c r="W223" t="b">
        <f t="shared" si="30"/>
        <v>0</v>
      </c>
      <c r="AA223">
        <v>3</v>
      </c>
      <c r="AB223" t="s">
        <v>854</v>
      </c>
      <c r="AC223">
        <f>AC221+AC222</f>
        <v>0</v>
      </c>
    </row>
    <row r="224" spans="2:30">
      <c r="S224" s="224">
        <v>7</v>
      </c>
      <c r="T224" s="543"/>
      <c r="U224" s="544"/>
      <c r="V224">
        <f t="shared" si="29"/>
        <v>0</v>
      </c>
      <c r="W224" t="b">
        <f t="shared" si="30"/>
        <v>0</v>
      </c>
      <c r="AA224">
        <v>5</v>
      </c>
      <c r="AB224" t="s">
        <v>1148</v>
      </c>
      <c r="AC224">
        <f>SUM(AC184:AC193)</f>
        <v>0</v>
      </c>
    </row>
    <row r="225" spans="10:29">
      <c r="S225" s="224">
        <v>7</v>
      </c>
      <c r="T225" s="543"/>
      <c r="U225" s="544"/>
      <c r="V225">
        <f t="shared" si="29"/>
        <v>0</v>
      </c>
      <c r="W225" t="b">
        <f t="shared" si="30"/>
        <v>0</v>
      </c>
      <c r="AA225">
        <v>5</v>
      </c>
      <c r="AB225" t="s">
        <v>1149</v>
      </c>
      <c r="AC225">
        <f>SUM(AC196:AC205)</f>
        <v>0</v>
      </c>
    </row>
    <row r="226" spans="10:29">
      <c r="S226" s="224">
        <v>7</v>
      </c>
      <c r="T226" s="543"/>
      <c r="U226" s="544"/>
      <c r="V226">
        <f t="shared" si="29"/>
        <v>0</v>
      </c>
      <c r="W226" t="b">
        <f t="shared" si="30"/>
        <v>0</v>
      </c>
      <c r="AA226">
        <v>3</v>
      </c>
      <c r="AB226" t="s">
        <v>858</v>
      </c>
      <c r="AC226">
        <f>AC224+AC225</f>
        <v>0</v>
      </c>
    </row>
    <row r="227" spans="10:29">
      <c r="S227" s="224">
        <v>7</v>
      </c>
      <c r="T227" s="543"/>
      <c r="U227" s="544"/>
      <c r="V227">
        <f t="shared" si="29"/>
        <v>0</v>
      </c>
      <c r="W227" t="b">
        <f t="shared" si="30"/>
        <v>0</v>
      </c>
      <c r="AA227">
        <v>3</v>
      </c>
      <c r="AB227" t="s">
        <v>859</v>
      </c>
      <c r="AC227">
        <f>SUM(AC208:AC217)</f>
        <v>0</v>
      </c>
    </row>
    <row r="228" spans="10:29">
      <c r="S228" s="224">
        <v>7</v>
      </c>
      <c r="T228" s="543"/>
      <c r="U228" s="544"/>
      <c r="V228">
        <f t="shared" si="29"/>
        <v>0</v>
      </c>
      <c r="W228" t="b">
        <f t="shared" si="30"/>
        <v>0</v>
      </c>
      <c r="AA228">
        <v>3</v>
      </c>
      <c r="AB228" t="s">
        <v>860</v>
      </c>
      <c r="AC228">
        <f>AC226+AC227</f>
        <v>0</v>
      </c>
    </row>
    <row r="229" spans="10:29">
      <c r="S229" s="224">
        <v>7</v>
      </c>
      <c r="T229" s="543"/>
      <c r="U229" s="544"/>
      <c r="V229">
        <f t="shared" si="29"/>
        <v>0</v>
      </c>
      <c r="W229" t="b">
        <f t="shared" si="30"/>
        <v>0</v>
      </c>
    </row>
    <row r="230" spans="10:29" ht="15" thickBot="1">
      <c r="S230" s="224">
        <v>7</v>
      </c>
      <c r="T230" s="545"/>
      <c r="U230" s="547"/>
      <c r="V230">
        <f t="shared" si="29"/>
        <v>0</v>
      </c>
      <c r="W230" t="b">
        <f t="shared" si="30"/>
        <v>0</v>
      </c>
    </row>
    <row r="232" spans="10:29">
      <c r="J232" s="5"/>
      <c r="Q232" s="5"/>
      <c r="S232" s="224">
        <v>2</v>
      </c>
      <c r="T232" t="str">
        <f>"Cash @ "&amp;BegDate</f>
        <v>Cash @ 12/31/20x0</v>
      </c>
      <c r="U232" s="321" cm="1">
        <f t="array" ref="U232">IF($E$104,FSConstruction!F11,_xlfn._xlws.FILTER(FSBuilder[Amount],((FSBuilder[Statement]="Beginning Balance Sheet")*(FSBuilder[Account or Explanation]="Cash")),0))</f>
        <v>0</v>
      </c>
    </row>
    <row r="233" spans="10:29">
      <c r="M233" s="5"/>
      <c r="Q233" s="5"/>
      <c r="S233" s="224">
        <v>2</v>
      </c>
      <c r="T233" t="str">
        <f>"Cash @ "&amp;EndDate</f>
        <v>Cash @ 12/31/20x1</v>
      </c>
      <c r="U233" s="321" cm="1">
        <f t="array" ref="U233">IF($E$104,FSConstruction!BP10,_xlfn._xlws.FILTER(FSBuilder[Amount],((FSBuilder[Statement]="Ending Balance Sheet")*(FSBuilder[Account or Explanation]="Cash")),0))</f>
        <v>0</v>
      </c>
    </row>
    <row r="234" spans="10:29">
      <c r="N234" s="248"/>
      <c r="R234" s="37"/>
    </row>
    <row r="235" spans="10:29">
      <c r="N235" s="248"/>
      <c r="R235" s="37"/>
      <c r="S235" s="224">
        <v>5</v>
      </c>
      <c r="T235" s="224" t="s">
        <v>873</v>
      </c>
      <c r="U235" s="553">
        <f>SUM(U160:U178)</f>
        <v>0</v>
      </c>
    </row>
    <row r="236" spans="10:29">
      <c r="N236" s="248"/>
      <c r="S236" s="224">
        <v>5</v>
      </c>
      <c r="T236" s="224" t="s">
        <v>874</v>
      </c>
      <c r="U236" s="553">
        <f>SUM(U186:U204)</f>
        <v>0</v>
      </c>
    </row>
    <row r="237" spans="10:29">
      <c r="N237" s="248"/>
      <c r="Q237" s="5"/>
      <c r="S237" s="224">
        <v>5</v>
      </c>
      <c r="T237" s="224" t="s">
        <v>875</v>
      </c>
      <c r="U237" s="553">
        <f>SUM(U212:U230)</f>
        <v>0</v>
      </c>
    </row>
    <row r="238" spans="10:29">
      <c r="N238" s="248"/>
    </row>
    <row r="239" spans="10:29">
      <c r="S239" s="224">
        <v>5</v>
      </c>
      <c r="T239" s="224" t="s">
        <v>1005</v>
      </c>
      <c r="U239" s="422">
        <f>U235+U236+U237</f>
        <v>0</v>
      </c>
    </row>
    <row r="241" spans="10:21">
      <c r="S241" s="42"/>
      <c r="T241" s="224"/>
      <c r="U241" s="224"/>
    </row>
    <row r="242" spans="10:21" ht="15" thickBot="1">
      <c r="J242" s="5"/>
      <c r="M242" s="5"/>
      <c r="S242">
        <v>1</v>
      </c>
      <c r="T242" s="423" t="s">
        <v>698</v>
      </c>
      <c r="U242" s="224"/>
    </row>
    <row r="243" spans="10:21">
      <c r="S243" s="224">
        <v>6</v>
      </c>
      <c r="T243" s="597" t="str" cm="1">
        <f t="array" aca="1" ref="T243:U244" ca="1">IF(FSConstruction!AR63&gt;0,_xlfn.VSTACK(_xlfn._xlws.FILTER(CHOOSE({1,2},Noncash_IF[Account],Noncash_IF[AmtJournal]),Noncash_IF[UsedJournal]=1,""),{"",""}),{"",""})</f>
        <v/>
      </c>
      <c r="U243" s="598" t="e">
        <f ca="1"/>
        <v>#N/A</v>
      </c>
    </row>
    <row r="244" spans="10:21">
      <c r="S244" s="224">
        <v>7</v>
      </c>
      <c r="T244" s="543" t="str">
        <f ca="1"/>
        <v/>
      </c>
      <c r="U244" s="289" t="str">
        <f ca="1"/>
        <v/>
      </c>
    </row>
    <row r="245" spans="10:21">
      <c r="S245" s="224">
        <v>7</v>
      </c>
      <c r="T245" s="543"/>
      <c r="U245" s="289"/>
    </row>
    <row r="246" spans="10:21">
      <c r="S246" s="224">
        <v>7</v>
      </c>
      <c r="T246" s="543"/>
      <c r="U246" s="289"/>
    </row>
    <row r="247" spans="10:21">
      <c r="S247" s="224">
        <v>7</v>
      </c>
      <c r="T247" s="543"/>
      <c r="U247" s="289"/>
    </row>
    <row r="248" spans="10:21">
      <c r="M248" s="5"/>
      <c r="S248" s="224">
        <v>7</v>
      </c>
      <c r="T248" s="543"/>
      <c r="U248" s="289"/>
    </row>
    <row r="249" spans="10:21">
      <c r="S249" s="224">
        <v>7</v>
      </c>
      <c r="T249" s="543"/>
      <c r="U249" s="289"/>
    </row>
    <row r="250" spans="10:21">
      <c r="S250" s="224">
        <v>7</v>
      </c>
      <c r="T250" s="543"/>
      <c r="U250" s="289"/>
    </row>
    <row r="251" spans="10:21">
      <c r="S251" s="224">
        <v>7</v>
      </c>
      <c r="T251" s="543"/>
      <c r="U251" s="289"/>
    </row>
    <row r="252" spans="10:21" ht="13.9" customHeight="1">
      <c r="S252" s="224">
        <v>7</v>
      </c>
      <c r="T252" s="543"/>
      <c r="U252" s="289"/>
    </row>
    <row r="253" spans="10:21">
      <c r="S253" s="224">
        <v>7</v>
      </c>
      <c r="T253" s="543"/>
      <c r="U253" s="289"/>
    </row>
    <row r="254" spans="10:21">
      <c r="S254" s="224">
        <v>7</v>
      </c>
      <c r="T254" s="543"/>
      <c r="U254" s="289"/>
    </row>
    <row r="255" spans="10:21">
      <c r="S255" s="224">
        <v>7</v>
      </c>
      <c r="T255" s="543"/>
      <c r="U255" s="289"/>
    </row>
    <row r="256" spans="10:21">
      <c r="S256" s="224">
        <v>7</v>
      </c>
      <c r="T256" s="543"/>
      <c r="U256" s="289"/>
    </row>
    <row r="257" spans="16:21">
      <c r="S257" s="224">
        <v>7</v>
      </c>
      <c r="T257" s="543"/>
      <c r="U257" s="289"/>
    </row>
    <row r="258" spans="16:21">
      <c r="S258" s="224">
        <v>7</v>
      </c>
      <c r="T258" s="543"/>
      <c r="U258" s="289"/>
    </row>
    <row r="259" spans="16:21">
      <c r="S259" s="224">
        <v>7</v>
      </c>
      <c r="T259" s="543"/>
      <c r="U259" s="289"/>
    </row>
    <row r="260" spans="16:21">
      <c r="S260" s="224">
        <v>7</v>
      </c>
      <c r="T260" s="543"/>
      <c r="U260" s="289"/>
    </row>
    <row r="261" spans="16:21" ht="15" thickBot="1">
      <c r="S261" s="224">
        <v>7</v>
      </c>
      <c r="T261" s="545"/>
      <c r="U261" s="550"/>
    </row>
    <row r="272" spans="16:21">
      <c r="P272" t="str" cm="1">
        <f t="array" ref="P272:R272">IF(AND($R$232=1,ABS(MAX(R182:R186))&gt;0),_xlfn.ANCHORARRAY(P242),{"","",""})</f>
        <v/>
      </c>
      <c r="Q272" t="str">
        <v/>
      </c>
      <c r="R272" t="str">
        <v/>
      </c>
    </row>
    <row r="277" spans="9:21">
      <c r="I277" t="str" cm="1">
        <f t="array" ref="I277:K277">IF(K249=1,B222:D222,{"","",""})</f>
        <v/>
      </c>
      <c r="J277" t="str">
        <v/>
      </c>
      <c r="K277" t="str">
        <v/>
      </c>
    </row>
    <row r="278" spans="9:21">
      <c r="I278" t="str" cm="1">
        <f t="array" ref="I278:K278">IF(OR(ISNUMBER(SEARCH("Current Assets",$D$98)),ISNUMBER(SEARCH("Noncurrent Assets",$D$98))),B223:D223,{"","",""})</f>
        <v/>
      </c>
      <c r="J278" t="str">
        <v/>
      </c>
      <c r="K278" t="str">
        <v/>
      </c>
    </row>
    <row r="281" spans="9:21" ht="15" thickBot="1">
      <c r="S281" s="42"/>
      <c r="T281" s="423" t="s">
        <v>872</v>
      </c>
      <c r="U281" s="224"/>
    </row>
    <row r="282" spans="9:21">
      <c r="P282" t="str" cm="1">
        <f t="array" ref="P282:R282">IF(AND($R$232=1,ABS(MAX(R185:R187))&gt;0),_xlfn.ANCHORARRAY(P243),{"","",""})</f>
        <v/>
      </c>
      <c r="Q282" t="str">
        <v/>
      </c>
      <c r="R282" t="str">
        <v/>
      </c>
      <c r="S282" s="224">
        <v>6</v>
      </c>
      <c r="T282" s="541" t="str" cm="1">
        <f t="array" aca="1" ref="T282:U282" ca="1">_xlfn._xlws.FILTER(CHOOSE({1,2},NI_CFO_Recon_Other[Account],NI_CFO_Recon_Other[AmtAnswer]),NI_CFO_Recon_Other[UsedAnswer]=1,{"",""})</f>
        <v/>
      </c>
      <c r="U282" s="549" t="str">
        <f ca="1"/>
        <v/>
      </c>
    </row>
    <row r="283" spans="9:21">
      <c r="P283" t="str" cm="1">
        <f t="array" ref="P283:R283">IF(ABS(MAX(R185:R187))&gt;0,_xlfn._xlws.FILTER(P185:R187,R185:R187&lt;&gt;""),{"","",""})</f>
        <v/>
      </c>
      <c r="Q283" t="str">
        <v/>
      </c>
      <c r="R283" t="str">
        <v/>
      </c>
      <c r="S283" s="224">
        <v>7</v>
      </c>
      <c r="T283" s="543"/>
      <c r="U283" s="289"/>
    </row>
    <row r="284" spans="9:21">
      <c r="S284" s="224">
        <v>7</v>
      </c>
      <c r="T284" s="543"/>
      <c r="U284" s="289"/>
    </row>
    <row r="285" spans="9:21">
      <c r="S285" s="224">
        <v>7</v>
      </c>
      <c r="T285" s="543"/>
      <c r="U285" s="289"/>
    </row>
    <row r="286" spans="9:21">
      <c r="S286" s="224">
        <v>7</v>
      </c>
      <c r="T286" s="543"/>
      <c r="U286" s="289"/>
    </row>
    <row r="287" spans="9:21">
      <c r="S287" s="224">
        <v>7</v>
      </c>
      <c r="T287" s="543"/>
      <c r="U287" s="289"/>
    </row>
    <row r="288" spans="9:21">
      <c r="S288" s="224">
        <v>7</v>
      </c>
      <c r="T288" s="543"/>
      <c r="U288" s="289"/>
    </row>
    <row r="289" spans="9:21">
      <c r="S289" s="224">
        <v>7</v>
      </c>
      <c r="T289" s="543"/>
      <c r="U289" s="289"/>
    </row>
    <row r="290" spans="9:21">
      <c r="S290" s="224">
        <v>7</v>
      </c>
      <c r="T290" s="543"/>
      <c r="U290" s="289"/>
    </row>
    <row r="291" spans="9:21" ht="15" thickBot="1">
      <c r="S291" s="224">
        <v>7</v>
      </c>
      <c r="T291" s="545"/>
      <c r="U291" s="550"/>
    </row>
    <row r="292" spans="9:21">
      <c r="P292" t="str" cm="1">
        <f t="array" ref="P292:R292">IF(AND($R$232=1,ABS(MAX(R190:R193))&gt;0),_xlfn.ANCHORARRAY(P244),{"","",""})</f>
        <v/>
      </c>
      <c r="Q292" t="str">
        <v/>
      </c>
      <c r="R292" t="str">
        <v/>
      </c>
      <c r="S292" s="224">
        <v>6</v>
      </c>
      <c r="T292" s="541" t="str" cm="1">
        <f t="array" ref="T292:U292">_xlfn._xlws.FILTER(CHOOSE({1,2},NI_CFO_Recon_Losses[Account],NI_CFO_Recon_Losses[AmtAnswer]),NI_CFO_Recon_Losses[UsedAnswer]=1,{"",""})</f>
        <v/>
      </c>
      <c r="U292" s="549" t="str">
        <v/>
      </c>
    </row>
    <row r="293" spans="9:21">
      <c r="P293" t="str" cm="1">
        <f t="array" ref="P293:R293">IF(ABS(MAX(R190:R193))&gt;0,_xlfn._xlws.FILTER(P190:R193,R190:R193&lt;&gt;""),{"","",""})</f>
        <v/>
      </c>
      <c r="Q293" t="str">
        <v/>
      </c>
      <c r="R293" t="str">
        <v/>
      </c>
      <c r="S293" s="224">
        <v>7</v>
      </c>
      <c r="T293" s="543"/>
      <c r="U293" s="289"/>
    </row>
    <row r="294" spans="9:21">
      <c r="S294" s="224">
        <v>7</v>
      </c>
      <c r="T294" s="543"/>
      <c r="U294" s="289"/>
    </row>
    <row r="295" spans="9:21">
      <c r="S295" s="224">
        <v>7</v>
      </c>
      <c r="T295" s="543"/>
      <c r="U295" s="289"/>
    </row>
    <row r="296" spans="9:21">
      <c r="S296" s="224">
        <v>7</v>
      </c>
      <c r="T296" s="543"/>
      <c r="U296" s="289"/>
    </row>
    <row r="297" spans="9:21">
      <c r="S297" s="224">
        <v>7</v>
      </c>
      <c r="T297" s="543"/>
      <c r="U297" s="289"/>
    </row>
    <row r="298" spans="9:21">
      <c r="S298" s="224">
        <v>7</v>
      </c>
      <c r="T298" s="543"/>
      <c r="U298" s="289"/>
    </row>
    <row r="299" spans="9:21">
      <c r="S299" s="224">
        <v>7</v>
      </c>
      <c r="T299" s="543"/>
      <c r="U299" s="289"/>
    </row>
    <row r="300" spans="9:21">
      <c r="S300" s="224">
        <v>7</v>
      </c>
      <c r="T300" s="543"/>
      <c r="U300" s="289"/>
    </row>
    <row r="301" spans="9:21" ht="15" thickBot="1">
      <c r="S301" s="224">
        <v>7</v>
      </c>
      <c r="T301" s="545"/>
      <c r="U301" s="550"/>
    </row>
    <row r="302" spans="9:21">
      <c r="I302" t="str" cm="1">
        <f t="array" ref="I302:K302">IF(OR(ISNUMBER(SEARCH("Current Liabilities",$D$98)),ISNUMBER(SEARCH("Noncurrent Liabilities",$D$98))),B226:D226,{"","",""})</f>
        <v/>
      </c>
      <c r="J302" t="str">
        <v/>
      </c>
      <c r="K302" t="str">
        <v/>
      </c>
      <c r="L302" s="224" t="str" cm="1">
        <f t="array" ref="L302">IF(K218=1,L238:N238,"")</f>
        <v/>
      </c>
      <c r="P302" t="str" cm="1">
        <f t="array" ref="P302">IF($R$232=1,P235:R235,"")</f>
        <v/>
      </c>
      <c r="S302" s="224">
        <v>6</v>
      </c>
      <c r="T302" s="541" t="str" cm="1">
        <f t="array" ref="T302:U302">_xlfn._xlws.FILTER(CHOOSE({1,2},NI_CFO_Recon_Gains[Account],NI_CFO_Recon_Gains[AmtAnswer]),NI_CFO_Recon_Gains[UsedAnswer]=1,{"",""})</f>
        <v/>
      </c>
      <c r="U302" s="549" t="str">
        <v/>
      </c>
    </row>
    <row r="303" spans="9:21">
      <c r="S303" s="224">
        <v>7</v>
      </c>
      <c r="T303" s="551"/>
      <c r="U303" s="552"/>
    </row>
    <row r="304" spans="9:21">
      <c r="I304" t="str" cm="1">
        <f t="array" ref="I304:K304">IF(K245=1,{2,"EQUITIES",""},{"","",""})</f>
        <v/>
      </c>
      <c r="J304" t="str">
        <v/>
      </c>
      <c r="K304" t="str">
        <v/>
      </c>
      <c r="S304" s="224">
        <v>7</v>
      </c>
      <c r="T304" s="551"/>
      <c r="U304" s="552"/>
    </row>
    <row r="305" spans="9:21">
      <c r="S305" s="224">
        <v>7</v>
      </c>
      <c r="T305" s="551"/>
      <c r="U305" s="552"/>
    </row>
    <row r="306" spans="9:21">
      <c r="I306" t="str" cm="1">
        <f t="array" ref="I306:K306">IF(K245=1,_xlfn._xlws.FILTER(B208:D217,D208:D217&lt;&gt;"",{"","",""}),{"","",""})</f>
        <v/>
      </c>
      <c r="J306" t="str">
        <v/>
      </c>
      <c r="K306" t="str">
        <v/>
      </c>
      <c r="S306" s="224">
        <v>7</v>
      </c>
      <c r="T306" s="551"/>
      <c r="U306" s="552"/>
    </row>
    <row r="307" spans="9:21">
      <c r="S307" s="224">
        <v>7</v>
      </c>
      <c r="T307" s="551"/>
      <c r="U307" s="552"/>
    </row>
    <row r="308" spans="9:21">
      <c r="S308" s="224">
        <v>7</v>
      </c>
      <c r="T308" s="551"/>
      <c r="U308" s="552"/>
    </row>
    <row r="309" spans="9:21">
      <c r="S309" s="224">
        <v>7</v>
      </c>
      <c r="T309" s="551"/>
      <c r="U309" s="552"/>
    </row>
    <row r="310" spans="9:21">
      <c r="S310" s="224">
        <v>7</v>
      </c>
      <c r="T310" s="551"/>
      <c r="U310" s="552"/>
    </row>
    <row r="311" spans="9:21" ht="15" thickBot="1">
      <c r="S311" s="224">
        <v>7</v>
      </c>
      <c r="T311" s="551"/>
      <c r="U311" s="552"/>
    </row>
    <row r="312" spans="9:21">
      <c r="I312" t="str" cm="1">
        <f t="array" ref="I312:K312">IF(K256=1,B227:D227,{"","",""})</f>
        <v/>
      </c>
      <c r="J312" t="str">
        <v/>
      </c>
      <c r="K312" t="str">
        <v/>
      </c>
      <c r="S312" s="224">
        <v>6</v>
      </c>
      <c r="T312" s="541" t="str" cm="1">
        <f t="array" ref="T312:U312">_xlfn._xlws.FILTER(CHOOSE({1,2},NI_CFO_Recon_Assets[Account],NI_CFO_Recon_Assets[AmtAnswer]),NI_CFO_Recon_Assets[UsedAnswer]=1,{"",""})</f>
        <v/>
      </c>
      <c r="U312" s="549" t="str">
        <v/>
      </c>
    </row>
    <row r="313" spans="9:21">
      <c r="S313" s="224">
        <v>7</v>
      </c>
      <c r="T313" s="543"/>
      <c r="U313" s="289"/>
    </row>
    <row r="314" spans="9:21">
      <c r="I314" t="str" cm="1">
        <f t="array" ref="I314:K314">IF(OR(ISNUMBER(SEARCH("Current Liabilities",$D$98)),ISNUMBER(SEARCH("Noncurrent Liabilities",$D$98)),K256),B228:D228,{"","",""})</f>
        <v/>
      </c>
      <c r="J314" t="str">
        <v/>
      </c>
      <c r="K314" t="str">
        <v/>
      </c>
      <c r="S314" s="224">
        <v>7</v>
      </c>
      <c r="T314" s="543"/>
      <c r="U314" s="289"/>
    </row>
    <row r="315" spans="9:21">
      <c r="S315" s="224">
        <v>7</v>
      </c>
      <c r="T315" s="543"/>
      <c r="U315" s="289"/>
    </row>
    <row r="316" spans="9:21">
      <c r="S316" s="224">
        <v>7</v>
      </c>
      <c r="T316" s="543"/>
      <c r="U316" s="289"/>
    </row>
    <row r="317" spans="9:21">
      <c r="S317" s="224">
        <v>7</v>
      </c>
      <c r="T317" s="543"/>
      <c r="U317" s="289"/>
    </row>
    <row r="318" spans="9:21">
      <c r="S318" s="224">
        <v>7</v>
      </c>
      <c r="T318" s="543"/>
      <c r="U318" s="289"/>
    </row>
    <row r="319" spans="9:21">
      <c r="S319" s="224">
        <v>7</v>
      </c>
      <c r="T319" s="543"/>
      <c r="U319" s="289"/>
    </row>
    <row r="320" spans="9:21">
      <c r="S320" s="224">
        <v>7</v>
      </c>
      <c r="T320" s="543"/>
      <c r="U320" s="289"/>
    </row>
    <row r="321" spans="19:21" ht="15" thickBot="1">
      <c r="S321" s="224">
        <v>7</v>
      </c>
      <c r="T321" s="545"/>
      <c r="U321" s="550"/>
    </row>
    <row r="322" spans="19:21">
      <c r="S322" s="224">
        <v>6</v>
      </c>
      <c r="T322" s="541" t="str" cm="1">
        <f t="array" ref="T322:U322">_xlfn._xlws.FILTER(CHOOSE({1,2},NI_CFO_Recon_Liabilities[Account],NI_CFO_Recon_Liabilities[AmtAnswer]),NI_CFO_Recon_Liabilities[UsedAnswer]=1,{"",""})</f>
        <v/>
      </c>
      <c r="U322" s="549" t="str">
        <v/>
      </c>
    </row>
    <row r="323" spans="19:21">
      <c r="S323" s="224">
        <v>7</v>
      </c>
      <c r="T323" s="543"/>
      <c r="U323" s="289"/>
    </row>
    <row r="324" spans="19:21">
      <c r="S324" s="224">
        <v>7</v>
      </c>
      <c r="T324" s="543"/>
      <c r="U324" s="289"/>
    </row>
    <row r="325" spans="19:21">
      <c r="S325" s="224">
        <v>7</v>
      </c>
      <c r="T325" s="543"/>
      <c r="U325" s="289"/>
    </row>
    <row r="326" spans="19:21">
      <c r="S326" s="224">
        <v>7</v>
      </c>
      <c r="T326" s="543"/>
      <c r="U326" s="289"/>
    </row>
    <row r="327" spans="19:21">
      <c r="S327" s="224">
        <v>7</v>
      </c>
      <c r="T327" s="543"/>
      <c r="U327" s="289"/>
    </row>
    <row r="328" spans="19:21">
      <c r="S328" s="224">
        <v>7</v>
      </c>
      <c r="T328" s="543"/>
      <c r="U328" s="289"/>
    </row>
    <row r="329" spans="19:21">
      <c r="S329" s="224">
        <v>7</v>
      </c>
      <c r="T329" s="543"/>
      <c r="U329" s="289"/>
    </row>
    <row r="330" spans="19:21">
      <c r="S330" s="224">
        <v>7</v>
      </c>
      <c r="T330" s="543"/>
      <c r="U330" s="289"/>
    </row>
    <row r="331" spans="19:21" ht="15" thickBot="1">
      <c r="S331" s="224">
        <v>7</v>
      </c>
      <c r="T331" s="545"/>
      <c r="U331" s="550"/>
    </row>
    <row r="332" spans="19:21">
      <c r="S332" s="42"/>
      <c r="T332" s="5"/>
    </row>
    <row r="333" spans="19:21">
      <c r="S333" s="224"/>
      <c r="T333" s="423"/>
      <c r="U333" s="553"/>
    </row>
    <row r="337" spans="19:21">
      <c r="S337" s="224"/>
      <c r="T337" s="224"/>
      <c r="U337" s="224"/>
    </row>
    <row r="338" spans="19:21">
      <c r="S338" s="224"/>
      <c r="T338" s="224"/>
      <c r="U338" s="224"/>
    </row>
    <row r="339" spans="19:21">
      <c r="S339" s="224"/>
      <c r="T339" s="224"/>
      <c r="U339" s="224"/>
    </row>
    <row r="340" spans="19:21">
      <c r="S340" s="224"/>
      <c r="T340" s="224"/>
      <c r="U340" s="224"/>
    </row>
    <row r="341" spans="19:21">
      <c r="S341" s="224"/>
    </row>
    <row r="342" spans="19:21">
      <c r="S342" s="224"/>
    </row>
    <row r="343" spans="19:21">
      <c r="S343" s="224"/>
    </row>
    <row r="344" spans="19:21">
      <c r="S344" s="224"/>
    </row>
    <row r="345" spans="19:21">
      <c r="S345" s="224"/>
    </row>
    <row r="346" spans="19:21">
      <c r="S346" s="224"/>
    </row>
    <row r="347" spans="19:21">
      <c r="S347" s="224"/>
    </row>
    <row r="348" spans="19:21">
      <c r="S348" s="224"/>
    </row>
    <row r="349" spans="19:21">
      <c r="S349" s="224"/>
    </row>
    <row r="350" spans="19:21">
      <c r="S350" s="224"/>
    </row>
    <row r="351" spans="19:21">
      <c r="S351" s="224"/>
    </row>
    <row r="352" spans="19:21">
      <c r="S352" s="224"/>
    </row>
    <row r="353" spans="19:21">
      <c r="S353" s="224"/>
    </row>
    <row r="354" spans="19:21">
      <c r="S354" s="224"/>
    </row>
    <row r="355" spans="19:21">
      <c r="S355" s="224"/>
    </row>
    <row r="356" spans="19:21">
      <c r="S356" s="224"/>
    </row>
    <row r="357" spans="19:21">
      <c r="S357" s="224"/>
      <c r="T357" s="224"/>
      <c r="U357" s="553"/>
    </row>
    <row r="358" spans="19:21">
      <c r="S358" s="224"/>
      <c r="T358" s="224"/>
    </row>
    <row r="359" spans="19:21">
      <c r="S359" s="224"/>
    </row>
    <row r="360" spans="19:21">
      <c r="S360" s="224"/>
    </row>
    <row r="361" spans="19:21">
      <c r="S361" s="224"/>
    </row>
    <row r="362" spans="19:21">
      <c r="S362" s="224"/>
    </row>
    <row r="363" spans="19:21">
      <c r="S363" s="224"/>
    </row>
    <row r="364" spans="19:21">
      <c r="S364" s="224"/>
    </row>
    <row r="365" spans="19:21">
      <c r="S365" s="224"/>
    </row>
    <row r="366" spans="19:21">
      <c r="S366" s="224"/>
    </row>
    <row r="367" spans="19:21">
      <c r="S367" s="224"/>
    </row>
    <row r="368" spans="19:21">
      <c r="S368" s="224"/>
    </row>
    <row r="369" spans="19:20">
      <c r="S369" s="224"/>
    </row>
    <row r="370" spans="19:20">
      <c r="S370" s="224"/>
    </row>
    <row r="371" spans="19:20">
      <c r="S371" s="224"/>
    </row>
    <row r="372" spans="19:20">
      <c r="S372" s="224"/>
      <c r="T372" s="224"/>
    </row>
    <row r="373" spans="19:20">
      <c r="S373" s="224"/>
      <c r="T373" s="224"/>
    </row>
    <row r="374" spans="19:20">
      <c r="S374" s="224"/>
    </row>
    <row r="375" spans="19:20">
      <c r="S375" s="224"/>
    </row>
    <row r="376" spans="19:20">
      <c r="S376" s="224"/>
    </row>
    <row r="377" spans="19:20">
      <c r="S377" s="224"/>
    </row>
    <row r="378" spans="19:20">
      <c r="S378" s="224"/>
    </row>
    <row r="379" spans="19:20">
      <c r="S379" s="224"/>
    </row>
    <row r="380" spans="19:20">
      <c r="S380" s="224"/>
    </row>
    <row r="381" spans="19:20">
      <c r="S381" s="224"/>
    </row>
    <row r="382" spans="19:20">
      <c r="S382" s="224"/>
    </row>
    <row r="383" spans="19:20">
      <c r="S383" s="224"/>
    </row>
    <row r="384" spans="19:20">
      <c r="S384" s="224"/>
    </row>
    <row r="385" spans="19:20">
      <c r="S385" s="224"/>
    </row>
    <row r="386" spans="19:20">
      <c r="S386" s="224"/>
    </row>
    <row r="387" spans="19:20">
      <c r="S387" s="224"/>
      <c r="T387" s="224"/>
    </row>
    <row r="388" spans="19:20">
      <c r="S388" s="224"/>
    </row>
    <row r="389" spans="19:20">
      <c r="S389" s="224"/>
    </row>
    <row r="390" spans="19:20">
      <c r="S390" s="224"/>
    </row>
    <row r="391" spans="19:20">
      <c r="S391" s="224"/>
    </row>
    <row r="401" spans="2:25" s="209" customFormat="1">
      <c r="B401" s="208" t="s">
        <v>1150</v>
      </c>
      <c r="L401" s="591"/>
    </row>
    <row r="402" spans="2:25" hidden="1">
      <c r="J402" t="s">
        <v>1151</v>
      </c>
      <c r="M402" s="5" t="s">
        <v>1152</v>
      </c>
      <c r="Q402" s="5" t="s">
        <v>1153</v>
      </c>
      <c r="T402" s="5" t="s">
        <v>1154</v>
      </c>
      <c r="X402" s="5" t="s">
        <v>1155</v>
      </c>
    </row>
    <row r="403" spans="2:25" hidden="1">
      <c r="J403" s="5" t="s">
        <v>1156</v>
      </c>
      <c r="K403" s="5" t="b">
        <f ca="1">NOT(ISNUMBER(MATCH(FALSE,K405:K487,0)))</f>
        <v>0</v>
      </c>
      <c r="M403" s="5" t="s">
        <v>1156</v>
      </c>
      <c r="N403" s="5" t="b">
        <f>NOT(ISNUMBER(MATCH(FALSE,N405:N487,0)))</f>
        <v>1</v>
      </c>
      <c r="Q403" s="5" t="s">
        <v>1156</v>
      </c>
      <c r="R403" s="5" t="b">
        <f>NOT(ISNUMBER(MATCH(FALSE,R405:R487,0)))</f>
        <v>1</v>
      </c>
      <c r="T403" s="5" t="s">
        <v>1156</v>
      </c>
      <c r="U403" s="5" t="b">
        <f>NOT(ISNUMBER(MATCH(FALSE,U405:U487,0)))</f>
        <v>1</v>
      </c>
      <c r="X403" s="5" t="s">
        <v>1157</v>
      </c>
      <c r="Y403" s="5" t="b">
        <f ca="1">NOT(ISNUMBER(MATCH(FALSE,Y405:Y487,0)))</f>
        <v>0</v>
      </c>
    </row>
    <row r="404" spans="2:25" ht="15" hidden="1" thickBot="1">
      <c r="K404" s="5" t="s">
        <v>1158</v>
      </c>
      <c r="Y404" s="5" t="s">
        <v>1158</v>
      </c>
    </row>
    <row r="405" spans="2:25" hidden="1">
      <c r="J405" s="207" t="str">
        <f t="shared" ref="J405:J436" ca="1" si="31">IF(J7&lt;&gt;"",J7&amp;K7,"")</f>
        <v>Assets</v>
      </c>
      <c r="K405" s="206" t="b">
        <f ca="1">IF(J405&lt;&gt;"",ISNUMBER(MATCH(J405,FSAnswers!$C$97:$C$151,0)),"")</f>
        <v>1</v>
      </c>
      <c r="M405" s="207" t="str">
        <f t="shared" ref="M405:M436" si="32">IF(M7&lt;&gt;"",M7&amp;N7,"")</f>
        <v>Revenues</v>
      </c>
      <c r="N405" s="206"/>
      <c r="Q405" s="207" t="str">
        <f t="shared" ref="Q405:Q436" ca="1" si="33">IF(Q7&lt;&gt;"",Q7&amp;R7,"")</f>
        <v>Total Shareholders' Equity @ 12/31/20x00</v>
      </c>
      <c r="R405" s="206"/>
      <c r="T405" s="207" t="str">
        <f t="shared" ref="T405:T436" ca="1" si="34">IF(T7&lt;&gt;"",T7&amp;U7,"")</f>
        <v>Cash @ 12/31/20x00</v>
      </c>
      <c r="U405" s="206"/>
      <c r="X405" s="207" t="str">
        <f t="shared" ref="X405:X436" ca="1" si="35">IF(X7&lt;&gt;"",X7&amp;Y7,"")</f>
        <v>Assets</v>
      </c>
      <c r="Y405" s="206" t="b">
        <f ca="1">IF(X405&lt;&gt;"",ISNUMBER(MATCH(X405,FSAnswers!$T$100:$T$200,0)),"")</f>
        <v>1</v>
      </c>
    </row>
    <row r="406" spans="2:25" hidden="1">
      <c r="J406" s="107" t="str">
        <f t="shared" ca="1" si="31"/>
        <v/>
      </c>
      <c r="K406" s="108" t="str">
        <f ca="1">IF(J406&lt;&gt;"",ISNUMBER(MATCH(J406,FSAnswers!$C$97:$C$151,0)),"")</f>
        <v/>
      </c>
      <c r="M406" s="107" t="str">
        <f t="shared" si="32"/>
        <v/>
      </c>
      <c r="N406" s="108"/>
      <c r="Q406" s="107" t="str">
        <f t="shared" ca="1" si="33"/>
        <v/>
      </c>
      <c r="R406" s="108"/>
      <c r="T406" s="107" t="str">
        <f t="shared" ca="1" si="34"/>
        <v/>
      </c>
      <c r="U406" s="108"/>
      <c r="X406" s="107" t="str">
        <f t="shared" ca="1" si="35"/>
        <v/>
      </c>
      <c r="Y406" s="108" t="str">
        <f ca="1">IF(X406&lt;&gt;"",ISNUMBER(MATCH(X406,FSAnswers!$T$100:$T$200,0)),"")</f>
        <v/>
      </c>
    </row>
    <row r="407" spans="2:25" hidden="1">
      <c r="J407" s="107" t="str">
        <f t="shared" ca="1" si="31"/>
        <v xml:space="preserve"> Current Assets:</v>
      </c>
      <c r="K407" s="108" t="b">
        <f ca="1">IF(J407&lt;&gt;"",ISNUMBER(MATCH(J407,FSAnswers!$C$97:$C$151,0)),"")</f>
        <v>0</v>
      </c>
      <c r="M407" s="107" t="str">
        <f t="shared" si="32"/>
        <v/>
      </c>
      <c r="N407" s="108"/>
      <c r="Q407" s="107" t="str">
        <f t="shared" ca="1" si="33"/>
        <v>Common Stock</v>
      </c>
      <c r="R407" s="108"/>
      <c r="T407" s="107" t="str">
        <f t="shared" ca="1" si="34"/>
        <v>Operating Activities</v>
      </c>
      <c r="U407" s="108"/>
      <c r="X407" s="107" t="str">
        <f t="shared" ca="1" si="35"/>
        <v xml:space="preserve"> Current Assets:</v>
      </c>
      <c r="Y407" s="108" t="b">
        <f ca="1">IF(X407&lt;&gt;"",ISNUMBER(MATCH(X407,FSAnswers!$T$100:$T$200,0)),"")</f>
        <v>1</v>
      </c>
    </row>
    <row r="408" spans="2:25" hidden="1">
      <c r="J408" s="107" t="str">
        <f t="shared" ca="1" si="31"/>
        <v>Cash0</v>
      </c>
      <c r="K408" s="108" t="b">
        <f ca="1">IF(J408&lt;&gt;"",ISNUMBER(MATCH(J408,FSAnswers!$C$97:$C$151,0)),"")</f>
        <v>0</v>
      </c>
      <c r="M408" s="107" t="str">
        <f t="shared" si="32"/>
        <v xml:space="preserve">  Total Revenues0</v>
      </c>
      <c r="N408" s="108"/>
      <c r="Q408" s="107" t="str">
        <f t="shared" ca="1" si="33"/>
        <v>Additional Paid-in Capital</v>
      </c>
      <c r="R408" s="108"/>
      <c r="T408" s="107" t="str">
        <f t="shared" ca="1" si="34"/>
        <v/>
      </c>
      <c r="U408" s="108"/>
      <c r="X408" s="107" t="str">
        <f t="shared" ca="1" si="35"/>
        <v>Cash0</v>
      </c>
      <c r="Y408" s="108" t="b">
        <f ca="1">IF(X408&lt;&gt;"",ISNUMBER(MATCH(X408,FSAnswers!$T$100:$T$200,0)),"")</f>
        <v>0</v>
      </c>
    </row>
    <row r="409" spans="2:25" hidden="1">
      <c r="J409" s="107" t="str">
        <f t="shared" ca="1" si="31"/>
        <v>Accounts Receivable0</v>
      </c>
      <c r="K409" s="108" t="b">
        <f ca="1">IF(J409&lt;&gt;"",ISNUMBER(MATCH(J409,FSAnswers!$C$97:$C$151,0)),"")</f>
        <v>0</v>
      </c>
      <c r="M409" s="107" t="str">
        <f t="shared" si="32"/>
        <v/>
      </c>
      <c r="N409" s="108"/>
      <c r="Q409" s="107" t="str">
        <f t="shared" ca="1" si="33"/>
        <v>Retained Earnings</v>
      </c>
      <c r="R409" s="108"/>
      <c r="T409" s="107" t="str">
        <f t="shared" ca="1" si="34"/>
        <v/>
      </c>
      <c r="U409" s="108"/>
      <c r="X409" s="107" t="str">
        <f t="shared" ca="1" si="35"/>
        <v>Accounts Receivable0</v>
      </c>
      <c r="Y409" s="108" t="b">
        <f ca="1">IF(X409&lt;&gt;"",ISNUMBER(MATCH(X409,FSAnswers!$T$100:$T$200,0)),"")</f>
        <v>1</v>
      </c>
    </row>
    <row r="410" spans="2:25" hidden="1">
      <c r="J410" s="107" t="str">
        <f t="shared" ca="1" si="31"/>
        <v>Inventories0</v>
      </c>
      <c r="K410" s="108" t="b">
        <f ca="1">IF(J410&lt;&gt;"",ISNUMBER(MATCH(J410,FSAnswers!$C$97:$C$151,0)),"")</f>
        <v>0</v>
      </c>
      <c r="M410" s="107" t="str">
        <f t="shared" si="32"/>
        <v>Expenses</v>
      </c>
      <c r="N410" s="108"/>
      <c r="Q410" s="107" t="str">
        <f t="shared" ca="1" si="33"/>
        <v>Total Shareholders' Equity @ 12/31/20x10</v>
      </c>
      <c r="R410" s="108"/>
      <c r="T410" s="107" t="str">
        <f t="shared" ca="1" si="34"/>
        <v>Investing Activities</v>
      </c>
      <c r="U410" s="108"/>
      <c r="X410" s="107" t="str">
        <f t="shared" ca="1" si="35"/>
        <v>Inventories0</v>
      </c>
      <c r="Y410" s="108" t="b">
        <f ca="1">IF(X410&lt;&gt;"",ISNUMBER(MATCH(X410,FSAnswers!$T$100:$T$200,0)),"")</f>
        <v>0</v>
      </c>
    </row>
    <row r="411" spans="2:25" hidden="1">
      <c r="J411" s="107" t="str">
        <f t="shared" ca="1" si="31"/>
        <v/>
      </c>
      <c r="K411" s="108" t="str">
        <f ca="1">IF(J411&lt;&gt;"",ISNUMBER(MATCH(J411,FSAnswers!$C$97:$C$151,0)),"")</f>
        <v/>
      </c>
      <c r="M411" s="107" t="str">
        <f t="shared" si="32"/>
        <v/>
      </c>
      <c r="N411" s="108"/>
      <c r="Q411" s="107" t="str">
        <f t="shared" ca="1" si="33"/>
        <v/>
      </c>
      <c r="R411" s="108"/>
      <c r="T411" s="107" t="str">
        <f t="shared" ca="1" si="34"/>
        <v/>
      </c>
      <c r="U411" s="108"/>
      <c r="X411" s="107" t="str">
        <f t="shared" ca="1" si="35"/>
        <v/>
      </c>
      <c r="Y411" s="108" t="str">
        <f ca="1">IF(X411&lt;&gt;"",ISNUMBER(MATCH(X411,FSAnswers!$T$100:$T$200,0)),"")</f>
        <v/>
      </c>
    </row>
    <row r="412" spans="2:25" hidden="1">
      <c r="J412" s="107" t="str">
        <f t="shared" ca="1" si="31"/>
        <v/>
      </c>
      <c r="K412" s="108" t="str">
        <f ca="1">IF(J412&lt;&gt;"",ISNUMBER(MATCH(J412,FSAnswers!$C$97:$C$151,0)),"")</f>
        <v/>
      </c>
      <c r="M412" s="107" t="str">
        <f t="shared" si="32"/>
        <v/>
      </c>
      <c r="N412" s="108"/>
      <c r="Q412" s="107" t="str">
        <f t="shared" si="33"/>
        <v/>
      </c>
      <c r="R412" s="108"/>
      <c r="T412" s="107" t="str">
        <f t="shared" ca="1" si="34"/>
        <v/>
      </c>
      <c r="U412" s="108"/>
      <c r="X412" s="107" t="str">
        <f t="shared" ca="1" si="35"/>
        <v/>
      </c>
      <c r="Y412" s="108" t="str">
        <f ca="1">IF(X412&lt;&gt;"",ISNUMBER(MATCH(X412,FSAnswers!$T$100:$T$200,0)),"")</f>
        <v/>
      </c>
    </row>
    <row r="413" spans="2:25" hidden="1">
      <c r="J413" s="107" t="str">
        <f t="shared" ca="1" si="31"/>
        <v xml:space="preserve"> Noncurrent Assets:</v>
      </c>
      <c r="K413" s="108" t="b">
        <f ca="1">IF(J413&lt;&gt;"",ISNUMBER(MATCH(J413,FSAnswers!$C$97:$C$151,0)),"")</f>
        <v>0</v>
      </c>
      <c r="M413" s="107" t="str">
        <f t="shared" si="32"/>
        <v xml:space="preserve">  Total Expenses0</v>
      </c>
      <c r="N413" s="108"/>
      <c r="Q413" s="107" t="str">
        <f t="shared" si="33"/>
        <v/>
      </c>
      <c r="R413" s="108"/>
      <c r="T413" s="107" t="str">
        <f t="shared" ca="1" si="34"/>
        <v>Financing Activities</v>
      </c>
      <c r="U413" s="108"/>
      <c r="X413" s="107" t="str">
        <f t="shared" ca="1" si="35"/>
        <v xml:space="preserve"> Noncurrent Assets:</v>
      </c>
      <c r="Y413" s="108" t="b">
        <f ca="1">IF(X413&lt;&gt;"",ISNUMBER(MATCH(X413,FSAnswers!$T$100:$T$200,0)),"")</f>
        <v>1</v>
      </c>
    </row>
    <row r="414" spans="2:25" hidden="1">
      <c r="J414" s="107" t="str">
        <f t="shared" ca="1" si="31"/>
        <v>Property, Plant &amp; Equipment0</v>
      </c>
      <c r="K414" s="108" t="b">
        <f ca="1">IF(J414&lt;&gt;"",ISNUMBER(MATCH(J414,FSAnswers!$C$97:$C$151,0)),"")</f>
        <v>0</v>
      </c>
      <c r="M414" s="107" t="str">
        <f t="shared" si="32"/>
        <v/>
      </c>
      <c r="N414" s="108"/>
      <c r="Q414" s="107" t="str">
        <f t="shared" si="33"/>
        <v/>
      </c>
      <c r="R414" s="108"/>
      <c r="T414" s="107" t="str">
        <f t="shared" ca="1" si="34"/>
        <v/>
      </c>
      <c r="U414" s="108"/>
      <c r="X414" s="107" t="str">
        <f t="shared" ca="1" si="35"/>
        <v>Property, Plant &amp; Equipment0</v>
      </c>
      <c r="Y414" s="108" t="b">
        <f ca="1">IF(X414&lt;&gt;"",ISNUMBER(MATCH(X414,FSAnswers!$T$100:$T$200,0)),"")</f>
        <v>0</v>
      </c>
    </row>
    <row r="415" spans="2:25" hidden="1">
      <c r="J415" s="107" t="str">
        <f t="shared" ca="1" si="31"/>
        <v>Land0</v>
      </c>
      <c r="K415" s="108" t="b">
        <f ca="1">IF(J415&lt;&gt;"",ISNUMBER(MATCH(J415,FSAnswers!$C$97:$C$151,0)),"")</f>
        <v>0</v>
      </c>
      <c r="M415" s="107" t="str">
        <f t="shared" si="32"/>
        <v>Net Income0</v>
      </c>
      <c r="N415" s="108"/>
      <c r="Q415" s="107" t="str">
        <f t="shared" si="33"/>
        <v/>
      </c>
      <c r="R415" s="108"/>
      <c r="T415" s="107" t="str">
        <f t="shared" ca="1" si="34"/>
        <v/>
      </c>
      <c r="U415" s="108"/>
      <c r="X415" s="107" t="str">
        <f t="shared" ca="1" si="35"/>
        <v>Land0</v>
      </c>
      <c r="Y415" s="108" t="b">
        <f ca="1">IF(X415&lt;&gt;"",ISNUMBER(MATCH(X415,FSAnswers!$T$100:$T$200,0)),"")</f>
        <v>1</v>
      </c>
    </row>
    <row r="416" spans="2:25" hidden="1">
      <c r="J416" s="107" t="str">
        <f t="shared" ca="1" si="31"/>
        <v/>
      </c>
      <c r="K416" s="108" t="str">
        <f ca="1">IF(J416&lt;&gt;"",ISNUMBER(MATCH(J416,FSAnswers!$C$97:$C$151,0)),"")</f>
        <v/>
      </c>
      <c r="M416" s="107" t="str">
        <f t="shared" si="32"/>
        <v/>
      </c>
      <c r="N416" s="108"/>
      <c r="Q416" s="107" t="str">
        <f t="shared" si="33"/>
        <v/>
      </c>
      <c r="R416" s="108"/>
      <c r="T416" s="107" t="str">
        <f t="shared" ca="1" si="34"/>
        <v/>
      </c>
      <c r="U416" s="108"/>
      <c r="X416" s="107" t="str">
        <f t="shared" ca="1" si="35"/>
        <v xml:space="preserve">  Total Noncurrent Assets0</v>
      </c>
      <c r="Y416" s="108" t="b">
        <f ca="1">IF(X416&lt;&gt;"",ISNUMBER(MATCH(X416,FSAnswers!$T$100:$T$200,0)),"")</f>
        <v>0</v>
      </c>
    </row>
    <row r="417" spans="10:25" hidden="1">
      <c r="J417" s="107" t="str">
        <f t="shared" ca="1" si="31"/>
        <v/>
      </c>
      <c r="K417" s="108" t="str">
        <f ca="1">IF(J417&lt;&gt;"",ISNUMBER(MATCH(J417,FSAnswers!$C$97:$C$151,0)),"")</f>
        <v/>
      </c>
      <c r="M417" s="107" t="str">
        <f t="shared" si="32"/>
        <v/>
      </c>
      <c r="N417" s="108"/>
      <c r="Q417" s="107" t="str">
        <f t="shared" si="33"/>
        <v/>
      </c>
      <c r="R417" s="108"/>
      <c r="T417" s="107" t="str">
        <f t="shared" ca="1" si="34"/>
        <v/>
      </c>
      <c r="U417" s="108"/>
      <c r="X417" s="107" t="str">
        <f t="shared" ca="1" si="35"/>
        <v/>
      </c>
      <c r="Y417" s="108" t="str">
        <f ca="1">IF(X417&lt;&gt;"",ISNUMBER(MATCH(X417,FSAnswers!$T$100:$T$200,0)),"")</f>
        <v/>
      </c>
    </row>
    <row r="418" spans="10:25" hidden="1">
      <c r="J418" s="107" t="str">
        <f t="shared" ca="1" si="31"/>
        <v/>
      </c>
      <c r="K418" s="108" t="str">
        <f ca="1">IF(J418&lt;&gt;"",ISNUMBER(MATCH(J418,FSAnswers!$C$97:$C$151,0)),"")</f>
        <v/>
      </c>
      <c r="M418" s="107" t="str">
        <f t="shared" si="32"/>
        <v/>
      </c>
      <c r="N418" s="108"/>
      <c r="Q418" s="107" t="str">
        <f t="shared" si="33"/>
        <v/>
      </c>
      <c r="R418" s="108"/>
      <c r="T418" s="107" t="str">
        <f t="shared" ca="1" si="34"/>
        <v>Cash @ 12/31/20x10</v>
      </c>
      <c r="U418" s="108"/>
      <c r="X418" s="107" t="str">
        <f t="shared" ca="1" si="35"/>
        <v>Total Assets0</v>
      </c>
      <c r="Y418" s="108" t="b">
        <f ca="1">IF(X418&lt;&gt;"",ISNUMBER(MATCH(X418,FSAnswers!$T$100:$T$200,0)),"")</f>
        <v>0</v>
      </c>
    </row>
    <row r="419" spans="10:25" hidden="1">
      <c r="J419" s="107" t="str">
        <f t="shared" ca="1" si="31"/>
        <v/>
      </c>
      <c r="K419" s="108" t="str">
        <f ca="1">IF(J419&lt;&gt;"",ISNUMBER(MATCH(J419,FSAnswers!$C$97:$C$151,0)),"")</f>
        <v/>
      </c>
      <c r="M419" s="107" t="str">
        <f t="shared" si="32"/>
        <v/>
      </c>
      <c r="N419" s="108"/>
      <c r="Q419" s="107" t="str">
        <f t="shared" si="33"/>
        <v/>
      </c>
      <c r="R419" s="108"/>
      <c r="T419" s="107" t="str">
        <f t="shared" si="34"/>
        <v/>
      </c>
      <c r="U419" s="108"/>
      <c r="X419" s="107" t="str">
        <f t="shared" ca="1" si="35"/>
        <v/>
      </c>
      <c r="Y419" s="108" t="str">
        <f ca="1">IF(X419&lt;&gt;"",ISNUMBER(MATCH(X419,FSAnswers!$T$100:$T$200,0)),"")</f>
        <v/>
      </c>
    </row>
    <row r="420" spans="10:25" hidden="1">
      <c r="J420" s="107" t="str">
        <f t="shared" ca="1" si="31"/>
        <v>Liabilities</v>
      </c>
      <c r="K420" s="108" t="b">
        <f ca="1">IF(J420&lt;&gt;"",ISNUMBER(MATCH(J420,FSAnswers!$C$97:$C$151,0)),"")</f>
        <v>1</v>
      </c>
      <c r="M420" s="107" t="str">
        <f t="shared" si="32"/>
        <v/>
      </c>
      <c r="N420" s="108"/>
      <c r="Q420" s="107" t="str">
        <f t="shared" si="33"/>
        <v/>
      </c>
      <c r="R420" s="108"/>
      <c r="T420" s="107" t="str">
        <f t="shared" si="34"/>
        <v/>
      </c>
      <c r="U420" s="108"/>
      <c r="X420" s="107" t="str">
        <f t="shared" ca="1" si="35"/>
        <v>Liabilities</v>
      </c>
      <c r="Y420" s="108" t="b">
        <f ca="1">IF(X420&lt;&gt;"",ISNUMBER(MATCH(X420,FSAnswers!$T$100:$T$200,0)),"")</f>
        <v>1</v>
      </c>
    </row>
    <row r="421" spans="10:25" hidden="1">
      <c r="J421" s="107" t="str">
        <f t="shared" ca="1" si="31"/>
        <v/>
      </c>
      <c r="K421" s="108" t="str">
        <f ca="1">IF(J421&lt;&gt;"",ISNUMBER(MATCH(J421,FSAnswers!$C$97:$C$151,0)),"")</f>
        <v/>
      </c>
      <c r="M421" s="107" t="str">
        <f t="shared" si="32"/>
        <v/>
      </c>
      <c r="N421" s="108"/>
      <c r="Q421" s="107" t="str">
        <f t="shared" si="33"/>
        <v/>
      </c>
      <c r="R421" s="108"/>
      <c r="T421" s="107" t="str">
        <f t="shared" si="34"/>
        <v/>
      </c>
      <c r="U421" s="108"/>
      <c r="X421" s="107" t="str">
        <f t="shared" ca="1" si="35"/>
        <v/>
      </c>
      <c r="Y421" s="108" t="str">
        <f ca="1">IF(X421&lt;&gt;"",ISNUMBER(MATCH(X421,FSAnswers!$T$100:$T$200,0)),"")</f>
        <v/>
      </c>
    </row>
    <row r="422" spans="10:25" hidden="1">
      <c r="J422" s="107" t="str">
        <f t="shared" ca="1" si="31"/>
        <v>Equities</v>
      </c>
      <c r="K422" s="108" t="b">
        <f ca="1">IF(J422&lt;&gt;"",ISNUMBER(MATCH(J422,FSAnswers!$C$97:$C$151,0)),"")</f>
        <v>1</v>
      </c>
      <c r="M422" s="107" t="str">
        <f t="shared" si="32"/>
        <v/>
      </c>
      <c r="N422" s="108"/>
      <c r="Q422" s="107" t="str">
        <f t="shared" si="33"/>
        <v/>
      </c>
      <c r="R422" s="108"/>
      <c r="T422" s="107" t="str">
        <f t="shared" si="34"/>
        <v/>
      </c>
      <c r="U422" s="108"/>
      <c r="X422" s="107" t="str">
        <f t="shared" ca="1" si="35"/>
        <v>Equities</v>
      </c>
      <c r="Y422" s="108" t="b">
        <f ca="1">IF(X422&lt;&gt;"",ISNUMBER(MATCH(X422,FSAnswers!$T$100:$T$200,0)),"")</f>
        <v>1</v>
      </c>
    </row>
    <row r="423" spans="10:25" hidden="1">
      <c r="J423" s="107" t="str">
        <f t="shared" ca="1" si="31"/>
        <v/>
      </c>
      <c r="K423" s="108" t="str">
        <f ca="1">IF(J423&lt;&gt;"",ISNUMBER(MATCH(J423,FSAnswers!$C$97:$C$151,0)),"")</f>
        <v/>
      </c>
      <c r="M423" s="107" t="str">
        <f t="shared" si="32"/>
        <v/>
      </c>
      <c r="N423" s="108"/>
      <c r="Q423" s="107" t="str">
        <f t="shared" si="33"/>
        <v/>
      </c>
      <c r="R423" s="108"/>
      <c r="T423" s="107" t="str">
        <f t="shared" si="34"/>
        <v/>
      </c>
      <c r="U423" s="108"/>
      <c r="X423" s="107" t="str">
        <f t="shared" ca="1" si="35"/>
        <v/>
      </c>
      <c r="Y423" s="108" t="str">
        <f ca="1">IF(X423&lt;&gt;"",ISNUMBER(MATCH(X423,FSAnswers!$T$100:$T$200,0)),"")</f>
        <v/>
      </c>
    </row>
    <row r="424" spans="10:25" hidden="1">
      <c r="J424" s="107" t="str">
        <f t="shared" ca="1" si="31"/>
        <v>Common Stock0</v>
      </c>
      <c r="K424" s="108" t="b">
        <f ca="1">IF(J424&lt;&gt;"",ISNUMBER(MATCH(J424,FSAnswers!$C$97:$C$151,0)),"")</f>
        <v>1</v>
      </c>
      <c r="M424" s="107" t="str">
        <f t="shared" si="32"/>
        <v/>
      </c>
      <c r="N424" s="108"/>
      <c r="Q424" s="107" t="str">
        <f t="shared" si="33"/>
        <v/>
      </c>
      <c r="R424" s="108"/>
      <c r="T424" s="107" t="str">
        <f t="shared" si="34"/>
        <v/>
      </c>
      <c r="U424" s="108"/>
      <c r="X424" s="107" t="str">
        <f t="shared" ca="1" si="35"/>
        <v/>
      </c>
      <c r="Y424" s="108" t="str">
        <f ca="1">IF(X424&lt;&gt;"",ISNUMBER(MATCH(X424,FSAnswers!$T$100:$T$200,0)),"")</f>
        <v/>
      </c>
    </row>
    <row r="425" spans="10:25" hidden="1">
      <c r="J425" s="107" t="str">
        <f t="shared" ca="1" si="31"/>
        <v>Retained Earnings0</v>
      </c>
      <c r="K425" s="108" t="b">
        <f ca="1">IF(J425&lt;&gt;"",ISNUMBER(MATCH(J425,FSAnswers!$C$97:$C$151,0)),"")</f>
        <v>1</v>
      </c>
      <c r="M425" s="107" t="str">
        <f t="shared" si="32"/>
        <v/>
      </c>
      <c r="N425" s="108"/>
      <c r="Q425" s="107" t="str">
        <f t="shared" si="33"/>
        <v/>
      </c>
      <c r="R425" s="108"/>
      <c r="T425" s="107" t="str">
        <f t="shared" si="34"/>
        <v/>
      </c>
      <c r="U425" s="108"/>
      <c r="X425" s="107" t="str">
        <f t="shared" ca="1" si="35"/>
        <v/>
      </c>
      <c r="Y425" s="108" t="str">
        <f ca="1">IF(X425&lt;&gt;"",ISNUMBER(MATCH(X425,FSAnswers!$T$100:$T$200,0)),"")</f>
        <v/>
      </c>
    </row>
    <row r="426" spans="10:25" hidden="1">
      <c r="J426" s="107" t="str">
        <f t="shared" ca="1" si="31"/>
        <v/>
      </c>
      <c r="K426" s="108" t="str">
        <f ca="1">IF(J426&lt;&gt;"",ISNUMBER(MATCH(J426,FSAnswers!$C$97:$C$151,0)),"")</f>
        <v/>
      </c>
      <c r="M426" s="107" t="str">
        <f t="shared" si="32"/>
        <v/>
      </c>
      <c r="N426" s="108"/>
      <c r="Q426" s="107" t="str">
        <f t="shared" si="33"/>
        <v/>
      </c>
      <c r="R426" s="108"/>
      <c r="T426" s="107" t="str">
        <f t="shared" si="34"/>
        <v/>
      </c>
      <c r="U426" s="108"/>
      <c r="X426" s="107" t="str">
        <f t="shared" ca="1" si="35"/>
        <v/>
      </c>
      <c r="Y426" s="108" t="str">
        <f ca="1">IF(X426&lt;&gt;"",ISNUMBER(MATCH(X426,FSAnswers!$T$100:$T$200,0)),"")</f>
        <v/>
      </c>
    </row>
    <row r="427" spans="10:25" hidden="1">
      <c r="J427" s="107" t="str">
        <f t="shared" ca="1" si="31"/>
        <v/>
      </c>
      <c r="K427" s="108" t="str">
        <f ca="1">IF(J427&lt;&gt;"",ISNUMBER(MATCH(J427,FSAnswers!$C$97:$C$151,0)),"")</f>
        <v/>
      </c>
      <c r="M427" s="107" t="str">
        <f t="shared" si="32"/>
        <v/>
      </c>
      <c r="N427" s="108"/>
      <c r="Q427" s="107" t="str">
        <f t="shared" si="33"/>
        <v/>
      </c>
      <c r="R427" s="108"/>
      <c r="T427" s="107" t="str">
        <f t="shared" si="34"/>
        <v/>
      </c>
      <c r="U427" s="108"/>
      <c r="X427" s="107" t="str">
        <f t="shared" ca="1" si="35"/>
        <v/>
      </c>
      <c r="Y427" s="108" t="str">
        <f ca="1">IF(X427&lt;&gt;"",ISNUMBER(MATCH(X427,FSAnswers!$T$100:$T$200,0)),"")</f>
        <v/>
      </c>
    </row>
    <row r="428" spans="10:25" hidden="1">
      <c r="J428" s="107" t="str">
        <f t="shared" ca="1" si="31"/>
        <v/>
      </c>
      <c r="K428" s="108" t="str">
        <f ca="1">IF(J428&lt;&gt;"",ISNUMBER(MATCH(J428,FSAnswers!$C$97:$C$151,0)),"")</f>
        <v/>
      </c>
      <c r="M428" s="107" t="str">
        <f t="shared" si="32"/>
        <v/>
      </c>
      <c r="N428" s="108"/>
      <c r="Q428" s="107" t="str">
        <f t="shared" si="33"/>
        <v/>
      </c>
      <c r="R428" s="108"/>
      <c r="T428" s="107" t="str">
        <f t="shared" si="34"/>
        <v/>
      </c>
      <c r="U428" s="108"/>
      <c r="X428" s="107" t="str">
        <f t="shared" ca="1" si="35"/>
        <v/>
      </c>
      <c r="Y428" s="108" t="str">
        <f ca="1">IF(X428&lt;&gt;"",ISNUMBER(MATCH(X428,FSAnswers!$T$100:$T$200,0)),"")</f>
        <v/>
      </c>
    </row>
    <row r="429" spans="10:25" hidden="1">
      <c r="J429" s="107" t="str">
        <f t="shared" ca="1" si="31"/>
        <v/>
      </c>
      <c r="K429" s="108" t="str">
        <f ca="1">IF(J429&lt;&gt;"",ISNUMBER(MATCH(J429,FSAnswers!$C$97:$C$151,0)),"")</f>
        <v/>
      </c>
      <c r="M429" s="107" t="str">
        <f t="shared" si="32"/>
        <v/>
      </c>
      <c r="N429" s="108"/>
      <c r="Q429" s="107" t="str">
        <f t="shared" si="33"/>
        <v/>
      </c>
      <c r="R429" s="108"/>
      <c r="T429" s="107" t="str">
        <f t="shared" si="34"/>
        <v/>
      </c>
      <c r="U429" s="108"/>
      <c r="X429" s="107" t="str">
        <f t="shared" ca="1" si="35"/>
        <v/>
      </c>
      <c r="Y429" s="108" t="str">
        <f ca="1">IF(X429&lt;&gt;"",ISNUMBER(MATCH(X429,FSAnswers!$T$100:$T$200,0)),"")</f>
        <v/>
      </c>
    </row>
    <row r="430" spans="10:25" hidden="1">
      <c r="J430" s="107" t="str">
        <f t="shared" ca="1" si="31"/>
        <v/>
      </c>
      <c r="K430" s="108" t="str">
        <f ca="1">IF(J430&lt;&gt;"",ISNUMBER(MATCH(J430,FSAnswers!$C$97:$C$151,0)),"")</f>
        <v/>
      </c>
      <c r="M430" s="107" t="str">
        <f t="shared" si="32"/>
        <v/>
      </c>
      <c r="N430" s="108"/>
      <c r="Q430" s="107" t="str">
        <f t="shared" si="33"/>
        <v/>
      </c>
      <c r="R430" s="108"/>
      <c r="T430" s="107" t="str">
        <f t="shared" si="34"/>
        <v/>
      </c>
      <c r="U430" s="108"/>
      <c r="X430" s="107" t="str">
        <f t="shared" si="35"/>
        <v/>
      </c>
      <c r="Y430" s="108" t="str">
        <f>IF(X430&lt;&gt;"",ISNUMBER(MATCH(X430,FSAnswers!$T$100:$T$200,0)),"")</f>
        <v/>
      </c>
    </row>
    <row r="431" spans="10:25" hidden="1">
      <c r="J431" s="107" t="str">
        <f t="shared" si="31"/>
        <v/>
      </c>
      <c r="K431" s="108" t="str">
        <f>IF(J431&lt;&gt;"",ISNUMBER(MATCH(J431,FSAnswers!$C$97:$C$151,0)),"")</f>
        <v/>
      </c>
      <c r="M431" s="107" t="str">
        <f t="shared" si="32"/>
        <v/>
      </c>
      <c r="N431" s="108"/>
      <c r="Q431" s="107" t="str">
        <f t="shared" si="33"/>
        <v/>
      </c>
      <c r="R431" s="108"/>
      <c r="T431" s="107" t="str">
        <f t="shared" si="34"/>
        <v/>
      </c>
      <c r="U431" s="108"/>
      <c r="X431" s="107" t="str">
        <f t="shared" si="35"/>
        <v/>
      </c>
      <c r="Y431" s="108" t="str">
        <f>IF(X431&lt;&gt;"",ISNUMBER(MATCH(X431,FSAnswers!$T$100:$T$200,0)),"")</f>
        <v/>
      </c>
    </row>
    <row r="432" spans="10:25" hidden="1">
      <c r="J432" s="107" t="str">
        <f t="shared" si="31"/>
        <v/>
      </c>
      <c r="K432" s="108" t="str">
        <f>IF(J432&lt;&gt;"",ISNUMBER(MATCH(J432,FSAnswers!$C$97:$C$151,0)),"")</f>
        <v/>
      </c>
      <c r="M432" s="107" t="str">
        <f t="shared" si="32"/>
        <v/>
      </c>
      <c r="N432" s="108"/>
      <c r="Q432" s="107" t="str">
        <f t="shared" si="33"/>
        <v/>
      </c>
      <c r="R432" s="108"/>
      <c r="T432" s="107" t="str">
        <f t="shared" si="34"/>
        <v/>
      </c>
      <c r="U432" s="108"/>
      <c r="X432" s="107" t="str">
        <f t="shared" si="35"/>
        <v/>
      </c>
      <c r="Y432" s="108" t="str">
        <f>IF(X432&lt;&gt;"",ISNUMBER(MATCH(X432,FSAnswers!$T$100:$T$200,0)),"")</f>
        <v/>
      </c>
    </row>
    <row r="433" spans="10:25" hidden="1">
      <c r="J433" s="107" t="str">
        <f t="shared" si="31"/>
        <v/>
      </c>
      <c r="K433" s="108" t="str">
        <f>IF(J433&lt;&gt;"",ISNUMBER(MATCH(J433,FSAnswers!$C$97:$C$151,0)),"")</f>
        <v/>
      </c>
      <c r="M433" s="107" t="str">
        <f t="shared" si="32"/>
        <v/>
      </c>
      <c r="N433" s="108"/>
      <c r="Q433" s="107" t="str">
        <f t="shared" si="33"/>
        <v/>
      </c>
      <c r="R433" s="108"/>
      <c r="T433" s="107" t="str">
        <f t="shared" si="34"/>
        <v/>
      </c>
      <c r="U433" s="108"/>
      <c r="X433" s="107" t="str">
        <f t="shared" si="35"/>
        <v/>
      </c>
      <c r="Y433" s="108" t="str">
        <f>IF(X433&lt;&gt;"",ISNUMBER(MATCH(X433,FSAnswers!$T$100:$T$200,0)),"")</f>
        <v/>
      </c>
    </row>
    <row r="434" spans="10:25" hidden="1">
      <c r="J434" s="107" t="str">
        <f t="shared" si="31"/>
        <v/>
      </c>
      <c r="K434" s="108" t="str">
        <f>IF(J434&lt;&gt;"",ISNUMBER(MATCH(J434,FSAnswers!$C$97:$C$151,0)),"")</f>
        <v/>
      </c>
      <c r="M434" s="107" t="str">
        <f t="shared" si="32"/>
        <v/>
      </c>
      <c r="N434" s="108"/>
      <c r="Q434" s="107" t="str">
        <f t="shared" si="33"/>
        <v/>
      </c>
      <c r="R434" s="108"/>
      <c r="T434" s="107" t="str">
        <f t="shared" si="34"/>
        <v/>
      </c>
      <c r="U434" s="108"/>
      <c r="X434" s="107" t="str">
        <f t="shared" si="35"/>
        <v/>
      </c>
      <c r="Y434" s="108" t="str">
        <f>IF(X434&lt;&gt;"",ISNUMBER(MATCH(X434,FSAnswers!$T$100:$T$200,0)),"")</f>
        <v/>
      </c>
    </row>
    <row r="435" spans="10:25" hidden="1">
      <c r="J435" s="107" t="str">
        <f t="shared" si="31"/>
        <v/>
      </c>
      <c r="K435" s="108" t="str">
        <f>IF(J435&lt;&gt;"",ISNUMBER(MATCH(J435,FSAnswers!$C$97:$C$151,0)),"")</f>
        <v/>
      </c>
      <c r="M435" s="107" t="str">
        <f t="shared" si="32"/>
        <v/>
      </c>
      <c r="N435" s="108"/>
      <c r="Q435" s="107" t="str">
        <f t="shared" si="33"/>
        <v/>
      </c>
      <c r="R435" s="108"/>
      <c r="T435" s="107" t="str">
        <f t="shared" si="34"/>
        <v/>
      </c>
      <c r="U435" s="108"/>
      <c r="X435" s="107" t="str">
        <f t="shared" si="35"/>
        <v/>
      </c>
      <c r="Y435" s="108" t="str">
        <f>IF(X435&lt;&gt;"",ISNUMBER(MATCH(X435,FSAnswers!$T$100:$T$200,0)),"")</f>
        <v/>
      </c>
    </row>
    <row r="436" spans="10:25" hidden="1">
      <c r="J436" s="107" t="str">
        <f t="shared" si="31"/>
        <v/>
      </c>
      <c r="K436" s="108" t="str">
        <f>IF(J436&lt;&gt;"",ISNUMBER(MATCH(J436,FSAnswers!$C$97:$C$151,0)),"")</f>
        <v/>
      </c>
      <c r="M436" s="107" t="str">
        <f t="shared" si="32"/>
        <v/>
      </c>
      <c r="N436" s="108"/>
      <c r="Q436" s="107" t="str">
        <f t="shared" si="33"/>
        <v/>
      </c>
      <c r="R436" s="108"/>
      <c r="T436" s="107" t="str">
        <f t="shared" si="34"/>
        <v/>
      </c>
      <c r="U436" s="108"/>
      <c r="X436" s="107" t="str">
        <f t="shared" si="35"/>
        <v/>
      </c>
      <c r="Y436" s="108" t="str">
        <f>IF(X436&lt;&gt;"",ISNUMBER(MATCH(X436,FSAnswers!$T$100:$T$200,0)),"")</f>
        <v/>
      </c>
    </row>
    <row r="437" spans="10:25" hidden="1">
      <c r="J437" s="107" t="str">
        <f t="shared" ref="J437:J468" si="36">IF(J39&lt;&gt;"",J39&amp;K39,"")</f>
        <v/>
      </c>
      <c r="K437" s="108" t="str">
        <f>IF(J437&lt;&gt;"",ISNUMBER(MATCH(J437,FSAnswers!$C$97:$C$151,0)),"")</f>
        <v/>
      </c>
      <c r="M437" s="107" t="str">
        <f t="shared" ref="M437:M468" si="37">IF(M39&lt;&gt;"",M39&amp;N39,"")</f>
        <v/>
      </c>
      <c r="N437" s="108"/>
      <c r="Q437" s="107" t="str">
        <f t="shared" ref="Q437:Q468" si="38">IF(Q39&lt;&gt;"",Q39&amp;R39,"")</f>
        <v/>
      </c>
      <c r="R437" s="108"/>
      <c r="T437" s="107" t="str">
        <f t="shared" ref="T437:T468" si="39">IF(T39&lt;&gt;"",T39&amp;U39,"")</f>
        <v/>
      </c>
      <c r="U437" s="108"/>
      <c r="X437" s="107" t="str">
        <f t="shared" ref="X437:X468" si="40">IF(X39&lt;&gt;"",X39&amp;Y39,"")</f>
        <v/>
      </c>
      <c r="Y437" s="108" t="str">
        <f>IF(X437&lt;&gt;"",ISNUMBER(MATCH(X437,FSAnswers!$T$100:$T$200,0)),"")</f>
        <v/>
      </c>
    </row>
    <row r="438" spans="10:25" hidden="1">
      <c r="J438" s="107" t="str">
        <f t="shared" si="36"/>
        <v/>
      </c>
      <c r="K438" s="108" t="str">
        <f>IF(J438&lt;&gt;"",ISNUMBER(MATCH(J438,FSAnswers!$C$97:$C$151,0)),"")</f>
        <v/>
      </c>
      <c r="M438" s="107" t="str">
        <f t="shared" si="37"/>
        <v/>
      </c>
      <c r="N438" s="108"/>
      <c r="Q438" s="107" t="str">
        <f t="shared" si="38"/>
        <v/>
      </c>
      <c r="R438" s="108"/>
      <c r="T438" s="107" t="str">
        <f t="shared" si="39"/>
        <v/>
      </c>
      <c r="U438" s="108"/>
      <c r="X438" s="107" t="str">
        <f t="shared" si="40"/>
        <v/>
      </c>
      <c r="Y438" s="108" t="str">
        <f>IF(X438&lt;&gt;"",ISNUMBER(MATCH(X438,FSAnswers!$T$100:$T$200,0)),"")</f>
        <v/>
      </c>
    </row>
    <row r="439" spans="10:25" hidden="1">
      <c r="J439" s="107" t="str">
        <f t="shared" si="36"/>
        <v/>
      </c>
      <c r="K439" s="108" t="str">
        <f>IF(J439&lt;&gt;"",ISNUMBER(MATCH(J439,FSAnswers!$C$97:$C$151,0)),"")</f>
        <v/>
      </c>
      <c r="M439" s="107" t="str">
        <f t="shared" si="37"/>
        <v/>
      </c>
      <c r="N439" s="108"/>
      <c r="Q439" s="107" t="str">
        <f t="shared" si="38"/>
        <v/>
      </c>
      <c r="R439" s="108"/>
      <c r="T439" s="107" t="str">
        <f t="shared" si="39"/>
        <v/>
      </c>
      <c r="U439" s="108"/>
      <c r="X439" s="107" t="str">
        <f t="shared" si="40"/>
        <v/>
      </c>
      <c r="Y439" s="108" t="str">
        <f>IF(X439&lt;&gt;"",ISNUMBER(MATCH(X439,FSAnswers!$T$100:$T$200,0)),"")</f>
        <v/>
      </c>
    </row>
    <row r="440" spans="10:25" hidden="1">
      <c r="J440" s="107" t="str">
        <f t="shared" si="36"/>
        <v/>
      </c>
      <c r="K440" s="108" t="str">
        <f>IF(J440&lt;&gt;"",ISNUMBER(MATCH(J440,FSAnswers!$C$97:$C$151,0)),"")</f>
        <v/>
      </c>
      <c r="M440" s="107" t="str">
        <f t="shared" si="37"/>
        <v/>
      </c>
      <c r="N440" s="108"/>
      <c r="Q440" s="107" t="str">
        <f t="shared" si="38"/>
        <v/>
      </c>
      <c r="R440" s="108"/>
      <c r="T440" s="107" t="str">
        <f t="shared" si="39"/>
        <v/>
      </c>
      <c r="U440" s="108"/>
      <c r="X440" s="107" t="str">
        <f t="shared" si="40"/>
        <v/>
      </c>
      <c r="Y440" s="108" t="str">
        <f>IF(X440&lt;&gt;"",ISNUMBER(MATCH(X440,FSAnswers!$T$100:$T$200,0)),"")</f>
        <v/>
      </c>
    </row>
    <row r="441" spans="10:25" hidden="1">
      <c r="J441" s="107" t="str">
        <f t="shared" si="36"/>
        <v/>
      </c>
      <c r="K441" s="108" t="str">
        <f>IF(J441&lt;&gt;"",ISNUMBER(MATCH(J441,FSAnswers!$C$97:$C$151,0)),"")</f>
        <v/>
      </c>
      <c r="M441" s="107" t="str">
        <f t="shared" si="37"/>
        <v/>
      </c>
      <c r="N441" s="108"/>
      <c r="Q441" s="107" t="str">
        <f t="shared" si="38"/>
        <v/>
      </c>
      <c r="R441" s="108"/>
      <c r="T441" s="107" t="str">
        <f t="shared" si="39"/>
        <v/>
      </c>
      <c r="U441" s="108"/>
      <c r="X441" s="107" t="str">
        <f t="shared" si="40"/>
        <v/>
      </c>
      <c r="Y441" s="108" t="str">
        <f>IF(X441&lt;&gt;"",ISNUMBER(MATCH(X441,FSAnswers!$T$100:$T$200,0)),"")</f>
        <v/>
      </c>
    </row>
    <row r="442" spans="10:25" hidden="1">
      <c r="J442" s="107" t="str">
        <f t="shared" si="36"/>
        <v/>
      </c>
      <c r="K442" s="108" t="str">
        <f>IF(J442&lt;&gt;"",ISNUMBER(MATCH(J442,FSAnswers!$C$97:$C$151,0)),"")</f>
        <v/>
      </c>
      <c r="M442" s="107" t="str">
        <f t="shared" si="37"/>
        <v/>
      </c>
      <c r="N442" s="108"/>
      <c r="Q442" s="107" t="str">
        <f t="shared" si="38"/>
        <v/>
      </c>
      <c r="R442" s="108"/>
      <c r="T442" s="107" t="str">
        <f t="shared" si="39"/>
        <v/>
      </c>
      <c r="U442" s="108"/>
      <c r="X442" s="107" t="str">
        <f t="shared" si="40"/>
        <v/>
      </c>
      <c r="Y442" s="108" t="str">
        <f>IF(X442&lt;&gt;"",ISNUMBER(MATCH(X442,FSAnswers!$T$100:$T$200,0)),"")</f>
        <v/>
      </c>
    </row>
    <row r="443" spans="10:25" hidden="1">
      <c r="J443" s="107" t="str">
        <f t="shared" si="36"/>
        <v/>
      </c>
      <c r="K443" s="108" t="str">
        <f>IF(J443&lt;&gt;"",ISNUMBER(MATCH(J443,FSAnswers!$C$97:$C$151,0)),"")</f>
        <v/>
      </c>
      <c r="M443" s="107" t="str">
        <f t="shared" si="37"/>
        <v/>
      </c>
      <c r="N443" s="108"/>
      <c r="Q443" s="107" t="str">
        <f t="shared" si="38"/>
        <v/>
      </c>
      <c r="R443" s="108"/>
      <c r="T443" s="107" t="str">
        <f t="shared" si="39"/>
        <v/>
      </c>
      <c r="U443" s="108"/>
      <c r="X443" s="107" t="str">
        <f t="shared" si="40"/>
        <v/>
      </c>
      <c r="Y443" s="108" t="str">
        <f>IF(X443&lt;&gt;"",ISNUMBER(MATCH(X443,FSAnswers!$T$100:$T$200,0)),"")</f>
        <v/>
      </c>
    </row>
    <row r="444" spans="10:25" hidden="1">
      <c r="J444" s="107" t="str">
        <f t="shared" si="36"/>
        <v/>
      </c>
      <c r="K444" s="108" t="str">
        <f>IF(J444&lt;&gt;"",ISNUMBER(MATCH(J444,FSAnswers!$C$97:$C$151,0)),"")</f>
        <v/>
      </c>
      <c r="M444" s="107" t="str">
        <f t="shared" si="37"/>
        <v/>
      </c>
      <c r="N444" s="108"/>
      <c r="Q444" s="107" t="str">
        <f t="shared" si="38"/>
        <v/>
      </c>
      <c r="R444" s="108"/>
      <c r="T444" s="107" t="str">
        <f t="shared" si="39"/>
        <v/>
      </c>
      <c r="U444" s="108"/>
      <c r="X444" s="107" t="str">
        <f t="shared" si="40"/>
        <v/>
      </c>
      <c r="Y444" s="108" t="str">
        <f>IF(X444&lt;&gt;"",ISNUMBER(MATCH(X444,FSAnswers!$T$100:$T$200,0)),"")</f>
        <v/>
      </c>
    </row>
    <row r="445" spans="10:25" hidden="1">
      <c r="J445" s="107" t="str">
        <f t="shared" si="36"/>
        <v/>
      </c>
      <c r="K445" s="108" t="str">
        <f>IF(J445&lt;&gt;"",ISNUMBER(MATCH(J445,FSAnswers!$C$97:$C$151,0)),"")</f>
        <v/>
      </c>
      <c r="M445" s="107" t="str">
        <f t="shared" si="37"/>
        <v/>
      </c>
      <c r="N445" s="108"/>
      <c r="Q445" s="107" t="str">
        <f t="shared" si="38"/>
        <v/>
      </c>
      <c r="R445" s="108"/>
      <c r="T445" s="107" t="str">
        <f t="shared" si="39"/>
        <v/>
      </c>
      <c r="U445" s="108"/>
      <c r="X445" s="107" t="str">
        <f t="shared" si="40"/>
        <v/>
      </c>
      <c r="Y445" s="108" t="str">
        <f>IF(X445&lt;&gt;"",ISNUMBER(MATCH(X445,FSAnswers!$T$100:$T$200,0)),"")</f>
        <v/>
      </c>
    </row>
    <row r="446" spans="10:25" hidden="1">
      <c r="J446" s="107" t="str">
        <f t="shared" si="36"/>
        <v/>
      </c>
      <c r="K446" s="108" t="str">
        <f>IF(J446&lt;&gt;"",ISNUMBER(MATCH(J446,FSAnswers!$C$97:$C$151,0)),"")</f>
        <v/>
      </c>
      <c r="M446" s="107" t="str">
        <f t="shared" si="37"/>
        <v/>
      </c>
      <c r="N446" s="108"/>
      <c r="Q446" s="107" t="str">
        <f t="shared" si="38"/>
        <v/>
      </c>
      <c r="R446" s="108"/>
      <c r="T446" s="107" t="str">
        <f t="shared" si="39"/>
        <v/>
      </c>
      <c r="U446" s="108"/>
      <c r="X446" s="107" t="str">
        <f t="shared" si="40"/>
        <v/>
      </c>
      <c r="Y446" s="108" t="str">
        <f>IF(X446&lt;&gt;"",ISNUMBER(MATCH(X446,FSAnswers!$T$100:$T$200,0)),"")</f>
        <v/>
      </c>
    </row>
    <row r="447" spans="10:25" hidden="1">
      <c r="J447" s="107" t="str">
        <f t="shared" si="36"/>
        <v/>
      </c>
      <c r="K447" s="108" t="str">
        <f>IF(J447&lt;&gt;"",ISNUMBER(MATCH(J447,FSAnswers!$C$97:$C$151,0)),"")</f>
        <v/>
      </c>
      <c r="M447" s="107" t="str">
        <f t="shared" si="37"/>
        <v/>
      </c>
      <c r="N447" s="108"/>
      <c r="Q447" s="107" t="str">
        <f t="shared" si="38"/>
        <v/>
      </c>
      <c r="R447" s="108"/>
      <c r="T447" s="107" t="str">
        <f t="shared" si="39"/>
        <v/>
      </c>
      <c r="U447" s="108"/>
      <c r="X447" s="107" t="str">
        <f t="shared" si="40"/>
        <v/>
      </c>
      <c r="Y447" s="108" t="str">
        <f>IF(X447&lt;&gt;"",ISNUMBER(MATCH(X447,FSAnswers!$T$100:$T$200,0)),"")</f>
        <v/>
      </c>
    </row>
    <row r="448" spans="10:25" hidden="1">
      <c r="J448" s="107" t="str">
        <f t="shared" si="36"/>
        <v/>
      </c>
      <c r="K448" s="108" t="str">
        <f>IF(J448&lt;&gt;"",ISNUMBER(MATCH(J448,FSAnswers!$C$97:$C$151,0)),"")</f>
        <v/>
      </c>
      <c r="M448" s="107" t="str">
        <f t="shared" si="37"/>
        <v/>
      </c>
      <c r="N448" s="108"/>
      <c r="Q448" s="107" t="str">
        <f t="shared" si="38"/>
        <v/>
      </c>
      <c r="R448" s="108"/>
      <c r="T448" s="107" t="str">
        <f t="shared" si="39"/>
        <v/>
      </c>
      <c r="U448" s="108"/>
      <c r="X448" s="107" t="str">
        <f t="shared" si="40"/>
        <v/>
      </c>
      <c r="Y448" s="108" t="str">
        <f>IF(X448&lt;&gt;"",ISNUMBER(MATCH(X448,FSAnswers!$T$100:$T$200,0)),"")</f>
        <v/>
      </c>
    </row>
    <row r="449" spans="10:25" hidden="1">
      <c r="J449" s="107" t="str">
        <f t="shared" si="36"/>
        <v/>
      </c>
      <c r="K449" s="108" t="str">
        <f>IF(J449&lt;&gt;"",ISNUMBER(MATCH(J449,FSAnswers!$C$97:$C$151,0)),"")</f>
        <v/>
      </c>
      <c r="M449" s="107" t="str">
        <f t="shared" si="37"/>
        <v/>
      </c>
      <c r="N449" s="108"/>
      <c r="Q449" s="107" t="str">
        <f t="shared" si="38"/>
        <v/>
      </c>
      <c r="R449" s="108"/>
      <c r="T449" s="107" t="str">
        <f t="shared" si="39"/>
        <v/>
      </c>
      <c r="U449" s="108"/>
      <c r="X449" s="107" t="str">
        <f t="shared" si="40"/>
        <v/>
      </c>
      <c r="Y449" s="108" t="str">
        <f>IF(X449&lt;&gt;"",ISNUMBER(MATCH(X449,FSAnswers!$T$100:$T$200,0)),"")</f>
        <v/>
      </c>
    </row>
    <row r="450" spans="10:25" hidden="1">
      <c r="J450" s="107" t="str">
        <f t="shared" si="36"/>
        <v/>
      </c>
      <c r="K450" s="108" t="str">
        <f>IF(J450&lt;&gt;"",ISNUMBER(MATCH(J450,FSAnswers!$C$97:$C$151,0)),"")</f>
        <v/>
      </c>
      <c r="M450" s="107" t="str">
        <f t="shared" si="37"/>
        <v/>
      </c>
      <c r="N450" s="108"/>
      <c r="Q450" s="107" t="str">
        <f t="shared" si="38"/>
        <v/>
      </c>
      <c r="R450" s="108"/>
      <c r="T450" s="107" t="str">
        <f t="shared" si="39"/>
        <v/>
      </c>
      <c r="U450" s="108"/>
      <c r="X450" s="107" t="str">
        <f t="shared" si="40"/>
        <v/>
      </c>
      <c r="Y450" s="108" t="str">
        <f>IF(X450&lt;&gt;"",ISNUMBER(MATCH(X450,FSAnswers!$T$100:$T$200,0)),"")</f>
        <v/>
      </c>
    </row>
    <row r="451" spans="10:25" hidden="1">
      <c r="J451" s="107" t="str">
        <f t="shared" si="36"/>
        <v/>
      </c>
      <c r="K451" s="108" t="str">
        <f>IF(J451&lt;&gt;"",ISNUMBER(MATCH(J451,FSAnswers!$C$97:$C$151,0)),"")</f>
        <v/>
      </c>
      <c r="M451" s="107" t="str">
        <f t="shared" si="37"/>
        <v/>
      </c>
      <c r="N451" s="108"/>
      <c r="Q451" s="107" t="str">
        <f t="shared" si="38"/>
        <v/>
      </c>
      <c r="R451" s="108"/>
      <c r="T451" s="107" t="str">
        <f t="shared" si="39"/>
        <v/>
      </c>
      <c r="U451" s="108"/>
      <c r="X451" s="107" t="str">
        <f t="shared" si="40"/>
        <v/>
      </c>
      <c r="Y451" s="108" t="str">
        <f>IF(X451&lt;&gt;"",ISNUMBER(MATCH(X451,FSAnswers!$T$100:$T$200,0)),"")</f>
        <v/>
      </c>
    </row>
    <row r="452" spans="10:25" hidden="1">
      <c r="J452" s="107" t="str">
        <f t="shared" si="36"/>
        <v/>
      </c>
      <c r="K452" s="108" t="str">
        <f>IF(J452&lt;&gt;"",ISNUMBER(MATCH(J452,FSAnswers!$C$97:$C$151,0)),"")</f>
        <v/>
      </c>
      <c r="M452" s="107" t="str">
        <f t="shared" si="37"/>
        <v/>
      </c>
      <c r="N452" s="108"/>
      <c r="Q452" s="107" t="str">
        <f t="shared" si="38"/>
        <v/>
      </c>
      <c r="R452" s="108"/>
      <c r="T452" s="107" t="str">
        <f t="shared" si="39"/>
        <v/>
      </c>
      <c r="U452" s="108"/>
      <c r="X452" s="107" t="str">
        <f t="shared" si="40"/>
        <v/>
      </c>
      <c r="Y452" s="108" t="str">
        <f>IF(X452&lt;&gt;"",ISNUMBER(MATCH(X452,FSAnswers!$T$100:$T$200,0)),"")</f>
        <v/>
      </c>
    </row>
    <row r="453" spans="10:25" hidden="1">
      <c r="J453" s="107" t="str">
        <f t="shared" si="36"/>
        <v/>
      </c>
      <c r="K453" s="108" t="str">
        <f>IF(J453&lt;&gt;"",ISNUMBER(MATCH(J453,FSAnswers!$C$97:$C$151,0)),"")</f>
        <v/>
      </c>
      <c r="M453" s="107" t="str">
        <f t="shared" si="37"/>
        <v/>
      </c>
      <c r="N453" s="108"/>
      <c r="Q453" s="107" t="str">
        <f t="shared" si="38"/>
        <v/>
      </c>
      <c r="R453" s="108"/>
      <c r="T453" s="107" t="str">
        <f t="shared" si="39"/>
        <v/>
      </c>
      <c r="U453" s="108"/>
      <c r="X453" s="107" t="str">
        <f t="shared" si="40"/>
        <v/>
      </c>
      <c r="Y453" s="108" t="str">
        <f>IF(X453&lt;&gt;"",ISNUMBER(MATCH(X453,FSAnswers!$T$100:$T$200,0)),"")</f>
        <v/>
      </c>
    </row>
    <row r="454" spans="10:25" hidden="1">
      <c r="J454" s="107" t="str">
        <f t="shared" si="36"/>
        <v/>
      </c>
      <c r="K454" s="108" t="str">
        <f>IF(J454&lt;&gt;"",ISNUMBER(MATCH(J454,FSAnswers!$C$97:$C$151,0)),"")</f>
        <v/>
      </c>
      <c r="M454" s="107" t="str">
        <f t="shared" si="37"/>
        <v/>
      </c>
      <c r="N454" s="108"/>
      <c r="Q454" s="107" t="str">
        <f t="shared" si="38"/>
        <v/>
      </c>
      <c r="R454" s="108"/>
      <c r="T454" s="107" t="str">
        <f t="shared" si="39"/>
        <v/>
      </c>
      <c r="U454" s="108"/>
      <c r="X454" s="107" t="str">
        <f t="shared" si="40"/>
        <v/>
      </c>
      <c r="Y454" s="108" t="str">
        <f>IF(X454&lt;&gt;"",ISNUMBER(MATCH(X454,FSAnswers!$T$100:$T$200,0)),"")</f>
        <v/>
      </c>
    </row>
    <row r="455" spans="10:25" hidden="1">
      <c r="J455" s="107" t="str">
        <f t="shared" si="36"/>
        <v/>
      </c>
      <c r="K455" s="108" t="str">
        <f>IF(J455&lt;&gt;"",ISNUMBER(MATCH(J455,FSAnswers!$C$97:$C$151,0)),"")</f>
        <v/>
      </c>
      <c r="M455" s="107" t="str">
        <f t="shared" si="37"/>
        <v/>
      </c>
      <c r="N455" s="108"/>
      <c r="Q455" s="107" t="str">
        <f t="shared" si="38"/>
        <v/>
      </c>
      <c r="R455" s="108"/>
      <c r="T455" s="107" t="str">
        <f t="shared" si="39"/>
        <v/>
      </c>
      <c r="U455" s="108"/>
      <c r="X455" s="107" t="str">
        <f t="shared" si="40"/>
        <v/>
      </c>
      <c r="Y455" s="108" t="str">
        <f>IF(X455&lt;&gt;"",ISNUMBER(MATCH(X455,FSAnswers!$T$100:$T$200,0)),"")</f>
        <v/>
      </c>
    </row>
    <row r="456" spans="10:25" hidden="1">
      <c r="J456" s="107" t="str">
        <f t="shared" si="36"/>
        <v/>
      </c>
      <c r="K456" s="108" t="str">
        <f>IF(J456&lt;&gt;"",ISNUMBER(MATCH(J456,FSAnswers!$C$97:$C$151,0)),"")</f>
        <v/>
      </c>
      <c r="M456" s="107" t="str">
        <f t="shared" si="37"/>
        <v/>
      </c>
      <c r="N456" s="108"/>
      <c r="Q456" s="107" t="str">
        <f t="shared" si="38"/>
        <v/>
      </c>
      <c r="R456" s="108"/>
      <c r="T456" s="107" t="str">
        <f t="shared" si="39"/>
        <v/>
      </c>
      <c r="U456" s="108"/>
      <c r="X456" s="107" t="str">
        <f t="shared" si="40"/>
        <v/>
      </c>
      <c r="Y456" s="108" t="str">
        <f>IF(X456&lt;&gt;"",ISNUMBER(MATCH(X456,FSAnswers!$T$100:$T$200,0)),"")</f>
        <v/>
      </c>
    </row>
    <row r="457" spans="10:25" hidden="1">
      <c r="J457" s="107" t="str">
        <f t="shared" si="36"/>
        <v/>
      </c>
      <c r="K457" s="108" t="str">
        <f>IF(J457&lt;&gt;"",ISNUMBER(MATCH(J457,FSAnswers!$C$97:$C$151,0)),"")</f>
        <v/>
      </c>
      <c r="M457" s="107" t="str">
        <f t="shared" si="37"/>
        <v/>
      </c>
      <c r="N457" s="108"/>
      <c r="Q457" s="107" t="str">
        <f t="shared" si="38"/>
        <v/>
      </c>
      <c r="R457" s="108"/>
      <c r="T457" s="107" t="str">
        <f t="shared" si="39"/>
        <v/>
      </c>
      <c r="U457" s="108"/>
      <c r="X457" s="107" t="str">
        <f t="shared" si="40"/>
        <v/>
      </c>
      <c r="Y457" s="108" t="str">
        <f>IF(X457&lt;&gt;"",ISNUMBER(MATCH(X457,FSAnswers!$T$100:$T$200,0)),"")</f>
        <v/>
      </c>
    </row>
    <row r="458" spans="10:25" hidden="1">
      <c r="J458" s="107" t="str">
        <f t="shared" si="36"/>
        <v/>
      </c>
      <c r="K458" s="108" t="str">
        <f>IF(J458&lt;&gt;"",ISNUMBER(MATCH(J458,FSAnswers!$C$97:$C$151,0)),"")</f>
        <v/>
      </c>
      <c r="M458" s="107" t="str">
        <f t="shared" si="37"/>
        <v/>
      </c>
      <c r="N458" s="108"/>
      <c r="Q458" s="107" t="str">
        <f t="shared" si="38"/>
        <v/>
      </c>
      <c r="R458" s="108"/>
      <c r="T458" s="107" t="str">
        <f t="shared" si="39"/>
        <v/>
      </c>
      <c r="U458" s="108"/>
      <c r="X458" s="107" t="str">
        <f t="shared" si="40"/>
        <v/>
      </c>
      <c r="Y458" s="108" t="str">
        <f>IF(X458&lt;&gt;"",ISNUMBER(MATCH(X458,FSAnswers!$T$100:$T$200,0)),"")</f>
        <v/>
      </c>
    </row>
    <row r="459" spans="10:25" hidden="1">
      <c r="J459" s="107" t="str">
        <f t="shared" si="36"/>
        <v/>
      </c>
      <c r="K459" s="108" t="str">
        <f>IF(J459&lt;&gt;"",ISNUMBER(MATCH(J459,FSAnswers!$C$97:$C$151,0)),"")</f>
        <v/>
      </c>
      <c r="M459" s="107" t="str">
        <f t="shared" si="37"/>
        <v/>
      </c>
      <c r="N459" s="108"/>
      <c r="Q459" s="107" t="str">
        <f t="shared" si="38"/>
        <v/>
      </c>
      <c r="R459" s="108"/>
      <c r="T459" s="107" t="str">
        <f t="shared" si="39"/>
        <v/>
      </c>
      <c r="U459" s="108"/>
      <c r="X459" s="107" t="str">
        <f t="shared" si="40"/>
        <v/>
      </c>
      <c r="Y459" s="108" t="str">
        <f>IF(X459&lt;&gt;"",ISNUMBER(MATCH(X459,FSAnswers!$T$100:$T$200,0)),"")</f>
        <v/>
      </c>
    </row>
    <row r="460" spans="10:25" hidden="1">
      <c r="J460" s="107" t="str">
        <f t="shared" si="36"/>
        <v/>
      </c>
      <c r="K460" s="108" t="str">
        <f>IF(J460&lt;&gt;"",ISNUMBER(MATCH(J460,FSAnswers!$C$97:$C$151,0)),"")</f>
        <v/>
      </c>
      <c r="M460" s="107" t="str">
        <f t="shared" si="37"/>
        <v/>
      </c>
      <c r="N460" s="108"/>
      <c r="Q460" s="107" t="str">
        <f t="shared" si="38"/>
        <v/>
      </c>
      <c r="R460" s="108"/>
      <c r="T460" s="107" t="str">
        <f t="shared" si="39"/>
        <v/>
      </c>
      <c r="U460" s="108"/>
      <c r="X460" s="107" t="str">
        <f t="shared" si="40"/>
        <v/>
      </c>
      <c r="Y460" s="108" t="str">
        <f>IF(X460&lt;&gt;"",ISNUMBER(MATCH(X460,FSAnswers!$T$100:$T$200,0)),"")</f>
        <v/>
      </c>
    </row>
    <row r="461" spans="10:25" hidden="1">
      <c r="J461" s="107" t="str">
        <f t="shared" si="36"/>
        <v/>
      </c>
      <c r="K461" s="108" t="str">
        <f>IF(J461&lt;&gt;"",ISNUMBER(MATCH(J461,FSAnswers!$C$97:$C$151,0)),"")</f>
        <v/>
      </c>
      <c r="M461" s="107" t="str">
        <f t="shared" si="37"/>
        <v/>
      </c>
      <c r="N461" s="108"/>
      <c r="Q461" s="107" t="str">
        <f t="shared" si="38"/>
        <v/>
      </c>
      <c r="R461" s="108"/>
      <c r="T461" s="107" t="str">
        <f t="shared" si="39"/>
        <v/>
      </c>
      <c r="U461" s="108"/>
      <c r="X461" s="107" t="str">
        <f t="shared" si="40"/>
        <v/>
      </c>
      <c r="Y461" s="108" t="str">
        <f>IF(X461&lt;&gt;"",ISNUMBER(MATCH(X461,FSAnswers!$T$100:$T$200,0)),"")</f>
        <v/>
      </c>
    </row>
    <row r="462" spans="10:25" hidden="1">
      <c r="J462" s="107" t="str">
        <f t="shared" si="36"/>
        <v/>
      </c>
      <c r="K462" s="108" t="str">
        <f>IF(J462&lt;&gt;"",ISNUMBER(MATCH(J462,FSAnswers!$C$97:$C$151,0)),"")</f>
        <v/>
      </c>
      <c r="M462" s="107" t="str">
        <f t="shared" si="37"/>
        <v/>
      </c>
      <c r="N462" s="108"/>
      <c r="Q462" s="107" t="str">
        <f t="shared" si="38"/>
        <v/>
      </c>
      <c r="R462" s="108"/>
      <c r="T462" s="107" t="str">
        <f t="shared" si="39"/>
        <v/>
      </c>
      <c r="U462" s="108"/>
      <c r="X462" s="107" t="str">
        <f t="shared" si="40"/>
        <v/>
      </c>
      <c r="Y462" s="108" t="str">
        <f>IF(X462&lt;&gt;"",ISNUMBER(MATCH(X462,FSAnswers!$T$100:$T$200,0)),"")</f>
        <v/>
      </c>
    </row>
    <row r="463" spans="10:25" hidden="1">
      <c r="J463" s="107" t="str">
        <f t="shared" si="36"/>
        <v/>
      </c>
      <c r="K463" s="108" t="str">
        <f>IF(J463&lt;&gt;"",ISNUMBER(MATCH(J463,FSAnswers!$C$97:$C$151,0)),"")</f>
        <v/>
      </c>
      <c r="M463" s="107" t="str">
        <f t="shared" si="37"/>
        <v/>
      </c>
      <c r="N463" s="108"/>
      <c r="Q463" s="107" t="str">
        <f t="shared" si="38"/>
        <v/>
      </c>
      <c r="R463" s="108"/>
      <c r="T463" s="107" t="str">
        <f t="shared" si="39"/>
        <v/>
      </c>
      <c r="U463" s="108"/>
      <c r="X463" s="107" t="str">
        <f t="shared" si="40"/>
        <v/>
      </c>
      <c r="Y463" s="108" t="str">
        <f>IF(X463&lt;&gt;"",ISNUMBER(MATCH(X463,FSAnswers!$T$100:$T$200,0)),"")</f>
        <v/>
      </c>
    </row>
    <row r="464" spans="10:25" hidden="1">
      <c r="J464" s="107" t="str">
        <f t="shared" si="36"/>
        <v/>
      </c>
      <c r="K464" s="108" t="str">
        <f>IF(J464&lt;&gt;"",ISNUMBER(MATCH(J464,FSAnswers!$C$97:$C$151,0)),"")</f>
        <v/>
      </c>
      <c r="M464" s="107" t="str">
        <f t="shared" si="37"/>
        <v/>
      </c>
      <c r="N464" s="108"/>
      <c r="Q464" s="107" t="str">
        <f t="shared" si="38"/>
        <v/>
      </c>
      <c r="R464" s="108"/>
      <c r="T464" s="107" t="str">
        <f t="shared" si="39"/>
        <v/>
      </c>
      <c r="U464" s="108"/>
      <c r="X464" s="107" t="str">
        <f t="shared" si="40"/>
        <v/>
      </c>
      <c r="Y464" s="108" t="str">
        <f>IF(X464&lt;&gt;"",ISNUMBER(MATCH(X464,FSAnswers!$T$100:$T$200,0)),"")</f>
        <v/>
      </c>
    </row>
    <row r="465" spans="10:25" hidden="1">
      <c r="J465" s="107" t="str">
        <f t="shared" si="36"/>
        <v/>
      </c>
      <c r="K465" s="108" t="str">
        <f>IF(J465&lt;&gt;"",ISNUMBER(MATCH(J465,FSAnswers!$C$97:$C$151,0)),"")</f>
        <v/>
      </c>
      <c r="M465" s="107" t="str">
        <f t="shared" si="37"/>
        <v/>
      </c>
      <c r="N465" s="108"/>
      <c r="Q465" s="107" t="str">
        <f t="shared" si="38"/>
        <v/>
      </c>
      <c r="R465" s="108"/>
      <c r="T465" s="107" t="str">
        <f t="shared" si="39"/>
        <v/>
      </c>
      <c r="U465" s="108"/>
      <c r="X465" s="107" t="str">
        <f t="shared" si="40"/>
        <v/>
      </c>
      <c r="Y465" s="108" t="str">
        <f>IF(X465&lt;&gt;"",ISNUMBER(MATCH(X465,FSAnswers!$T$100:$T$200,0)),"")</f>
        <v/>
      </c>
    </row>
    <row r="466" spans="10:25" hidden="1">
      <c r="J466" s="107" t="str">
        <f t="shared" si="36"/>
        <v/>
      </c>
      <c r="K466" s="108" t="str">
        <f>IF(J466&lt;&gt;"",ISNUMBER(MATCH(J466,FSAnswers!$C$97:$C$151,0)),"")</f>
        <v/>
      </c>
      <c r="M466" s="107" t="str">
        <f t="shared" si="37"/>
        <v/>
      </c>
      <c r="N466" s="108"/>
      <c r="Q466" s="107" t="str">
        <f t="shared" si="38"/>
        <v/>
      </c>
      <c r="R466" s="108"/>
      <c r="T466" s="107" t="str">
        <f t="shared" si="39"/>
        <v/>
      </c>
      <c r="U466" s="108"/>
      <c r="X466" s="107" t="str">
        <f t="shared" si="40"/>
        <v/>
      </c>
      <c r="Y466" s="108" t="str">
        <f>IF(X466&lt;&gt;"",ISNUMBER(MATCH(X466,FSAnswers!$T$100:$T$200,0)),"")</f>
        <v/>
      </c>
    </row>
    <row r="467" spans="10:25" hidden="1">
      <c r="J467" s="107" t="str">
        <f t="shared" si="36"/>
        <v/>
      </c>
      <c r="K467" s="108" t="str">
        <f>IF(J467&lt;&gt;"",ISNUMBER(MATCH(J467,FSAnswers!$C$97:$C$151,0)),"")</f>
        <v/>
      </c>
      <c r="M467" s="107" t="str">
        <f t="shared" si="37"/>
        <v/>
      </c>
      <c r="N467" s="108"/>
      <c r="Q467" s="107" t="str">
        <f t="shared" si="38"/>
        <v/>
      </c>
      <c r="R467" s="108"/>
      <c r="T467" s="107" t="str">
        <f t="shared" si="39"/>
        <v/>
      </c>
      <c r="U467" s="108"/>
      <c r="X467" s="107" t="str">
        <f t="shared" si="40"/>
        <v/>
      </c>
      <c r="Y467" s="108" t="str">
        <f>IF(X467&lt;&gt;"",ISNUMBER(MATCH(X467,FSAnswers!$T$100:$T$200,0)),"")</f>
        <v/>
      </c>
    </row>
    <row r="468" spans="10:25" hidden="1">
      <c r="J468" s="107" t="str">
        <f t="shared" si="36"/>
        <v/>
      </c>
      <c r="K468" s="108" t="str">
        <f>IF(J468&lt;&gt;"",ISNUMBER(MATCH(J468,FSAnswers!$C$97:$C$151,0)),"")</f>
        <v/>
      </c>
      <c r="M468" s="107" t="str">
        <f t="shared" si="37"/>
        <v/>
      </c>
      <c r="N468" s="108"/>
      <c r="Q468" s="107" t="str">
        <f t="shared" si="38"/>
        <v/>
      </c>
      <c r="R468" s="108"/>
      <c r="T468" s="107" t="str">
        <f t="shared" si="39"/>
        <v/>
      </c>
      <c r="U468" s="108"/>
      <c r="X468" s="107" t="str">
        <f t="shared" si="40"/>
        <v/>
      </c>
      <c r="Y468" s="108" t="str">
        <f>IF(X468&lt;&gt;"",ISNUMBER(MATCH(X468,FSAnswers!$T$100:$T$200,0)),"")</f>
        <v/>
      </c>
    </row>
    <row r="469" spans="10:25" hidden="1">
      <c r="J469" s="107" t="str">
        <f t="shared" ref="J469:J488" si="41">IF(J71&lt;&gt;"",J71&amp;K71,"")</f>
        <v/>
      </c>
      <c r="K469" s="108" t="str">
        <f>IF(J469&lt;&gt;"",ISNUMBER(MATCH(J469,FSAnswers!$C$97:$C$151,0)),"")</f>
        <v/>
      </c>
      <c r="M469" s="107" t="str">
        <f t="shared" ref="M469:M486" si="42">IF(M71&lt;&gt;"",M71&amp;N71,"")</f>
        <v/>
      </c>
      <c r="N469" s="108"/>
      <c r="Q469" s="107" t="str">
        <f t="shared" ref="Q469:Q488" si="43">IF(Q71&lt;&gt;"",Q71&amp;R71,"")</f>
        <v/>
      </c>
      <c r="R469" s="108"/>
      <c r="T469" s="107" t="str">
        <f t="shared" ref="T469:T488" si="44">IF(T71&lt;&gt;"",T71&amp;U71,"")</f>
        <v/>
      </c>
      <c r="U469" s="108"/>
      <c r="X469" s="107" t="str">
        <f t="shared" ref="X469:X487" si="45">IF(X71&lt;&gt;"",X71&amp;Y71,"")</f>
        <v/>
      </c>
      <c r="Y469" s="108" t="str">
        <f>IF(X469&lt;&gt;"",ISNUMBER(MATCH(X469,FSAnswers!$T$100:$T$200,0)),"")</f>
        <v/>
      </c>
    </row>
    <row r="470" spans="10:25" hidden="1">
      <c r="J470" s="107" t="str">
        <f t="shared" si="41"/>
        <v/>
      </c>
      <c r="K470" s="108" t="str">
        <f>IF(J470&lt;&gt;"",ISNUMBER(MATCH(J470,FSAnswers!$C$97:$C$151,0)),"")</f>
        <v/>
      </c>
      <c r="M470" s="107" t="str">
        <f t="shared" si="42"/>
        <v/>
      </c>
      <c r="N470" s="108"/>
      <c r="Q470" s="107" t="str">
        <f t="shared" si="43"/>
        <v/>
      </c>
      <c r="R470" s="108"/>
      <c r="T470" s="107" t="str">
        <f t="shared" si="44"/>
        <v/>
      </c>
      <c r="U470" s="108"/>
      <c r="X470" s="107" t="str">
        <f t="shared" si="45"/>
        <v/>
      </c>
      <c r="Y470" s="108" t="str">
        <f>IF(X470&lt;&gt;"",ISNUMBER(MATCH(X470,FSAnswers!$T$100:$T$200,0)),"")</f>
        <v/>
      </c>
    </row>
    <row r="471" spans="10:25" hidden="1">
      <c r="J471" s="107" t="str">
        <f t="shared" si="41"/>
        <v/>
      </c>
      <c r="K471" s="108" t="str">
        <f>IF(J471&lt;&gt;"",ISNUMBER(MATCH(J471,FSAnswers!$C$97:$C$151,0)),"")</f>
        <v/>
      </c>
      <c r="M471" s="107" t="str">
        <f t="shared" si="42"/>
        <v/>
      </c>
      <c r="N471" s="108"/>
      <c r="Q471" s="107" t="str">
        <f t="shared" si="43"/>
        <v/>
      </c>
      <c r="R471" s="108"/>
      <c r="T471" s="107" t="str">
        <f t="shared" si="44"/>
        <v/>
      </c>
      <c r="U471" s="108"/>
      <c r="X471" s="107" t="str">
        <f t="shared" si="45"/>
        <v/>
      </c>
      <c r="Y471" s="108" t="str">
        <f>IF(X471&lt;&gt;"",ISNUMBER(MATCH(X471,FSAnswers!$T$100:$T$200,0)),"")</f>
        <v/>
      </c>
    </row>
    <row r="472" spans="10:25" hidden="1">
      <c r="J472" s="107" t="str">
        <f t="shared" si="41"/>
        <v/>
      </c>
      <c r="K472" s="108" t="str">
        <f>IF(J472&lt;&gt;"",ISNUMBER(MATCH(J472,FSAnswers!$C$97:$C$151,0)),"")</f>
        <v/>
      </c>
      <c r="M472" s="107" t="str">
        <f t="shared" si="42"/>
        <v/>
      </c>
      <c r="N472" s="108"/>
      <c r="Q472" s="107" t="str">
        <f t="shared" si="43"/>
        <v/>
      </c>
      <c r="R472" s="108"/>
      <c r="T472" s="107" t="str">
        <f t="shared" si="44"/>
        <v/>
      </c>
      <c r="U472" s="108"/>
      <c r="X472" s="107" t="str">
        <f t="shared" si="45"/>
        <v/>
      </c>
      <c r="Y472" s="108" t="str">
        <f>IF(X472&lt;&gt;"",ISNUMBER(MATCH(X472,FSAnswers!$T$100:$T$200,0)),"")</f>
        <v/>
      </c>
    </row>
    <row r="473" spans="10:25" hidden="1">
      <c r="J473" s="107" t="str">
        <f t="shared" si="41"/>
        <v/>
      </c>
      <c r="K473" s="108" t="str">
        <f>IF(J473&lt;&gt;"",ISNUMBER(MATCH(J473,FSAnswers!$C$97:$C$151,0)),"")</f>
        <v/>
      </c>
      <c r="M473" s="107" t="str">
        <f t="shared" si="42"/>
        <v/>
      </c>
      <c r="N473" s="108"/>
      <c r="Q473" s="107" t="str">
        <f t="shared" si="43"/>
        <v/>
      </c>
      <c r="R473" s="108"/>
      <c r="T473" s="107" t="str">
        <f t="shared" si="44"/>
        <v/>
      </c>
      <c r="U473" s="108"/>
      <c r="X473" s="107" t="str">
        <f t="shared" si="45"/>
        <v/>
      </c>
      <c r="Y473" s="108" t="str">
        <f>IF(X473&lt;&gt;"",ISNUMBER(MATCH(X473,FSAnswers!$T$100:$T$200,0)),"")</f>
        <v/>
      </c>
    </row>
    <row r="474" spans="10:25" hidden="1">
      <c r="J474" s="107" t="str">
        <f t="shared" si="41"/>
        <v/>
      </c>
      <c r="K474" s="108" t="str">
        <f>IF(J474&lt;&gt;"",ISNUMBER(MATCH(J474,FSAnswers!$C$97:$C$151,0)),"")</f>
        <v/>
      </c>
      <c r="M474" s="107" t="str">
        <f t="shared" si="42"/>
        <v/>
      </c>
      <c r="N474" s="108"/>
      <c r="Q474" s="107" t="str">
        <f t="shared" si="43"/>
        <v/>
      </c>
      <c r="R474" s="108"/>
      <c r="T474" s="107" t="str">
        <f t="shared" si="44"/>
        <v/>
      </c>
      <c r="U474" s="108"/>
      <c r="X474" s="107" t="str">
        <f t="shared" si="45"/>
        <v/>
      </c>
      <c r="Y474" s="108" t="str">
        <f>IF(X474&lt;&gt;"",ISNUMBER(MATCH(X474,FSAnswers!$T$100:$T$200,0)),"")</f>
        <v/>
      </c>
    </row>
    <row r="475" spans="10:25" hidden="1">
      <c r="J475" s="107" t="str">
        <f t="shared" si="41"/>
        <v/>
      </c>
      <c r="K475" s="108" t="str">
        <f>IF(J475&lt;&gt;"",ISNUMBER(MATCH(J475,FSAnswers!$C$97:$C$151,0)),"")</f>
        <v/>
      </c>
      <c r="M475" s="107" t="str">
        <f t="shared" si="42"/>
        <v/>
      </c>
      <c r="N475" s="108"/>
      <c r="Q475" s="107" t="str">
        <f t="shared" si="43"/>
        <v/>
      </c>
      <c r="R475" s="108"/>
      <c r="T475" s="107" t="str">
        <f t="shared" si="44"/>
        <v/>
      </c>
      <c r="U475" s="108"/>
      <c r="X475" s="107" t="str">
        <f t="shared" si="45"/>
        <v/>
      </c>
      <c r="Y475" s="108" t="str">
        <f>IF(X475&lt;&gt;"",ISNUMBER(MATCH(X475,FSAnswers!$T$100:$T$200,0)),"")</f>
        <v/>
      </c>
    </row>
    <row r="476" spans="10:25" hidden="1">
      <c r="J476" s="107" t="str">
        <f t="shared" si="41"/>
        <v/>
      </c>
      <c r="K476" s="108" t="str">
        <f>IF(J476&lt;&gt;"",ISNUMBER(MATCH(J476,FSAnswers!$C$97:$C$151,0)),"")</f>
        <v/>
      </c>
      <c r="M476" s="107" t="str">
        <f t="shared" si="42"/>
        <v/>
      </c>
      <c r="N476" s="108"/>
      <c r="Q476" s="107" t="str">
        <f t="shared" si="43"/>
        <v/>
      </c>
      <c r="R476" s="108"/>
      <c r="T476" s="107" t="str">
        <f t="shared" si="44"/>
        <v/>
      </c>
      <c r="U476" s="108"/>
      <c r="X476" s="107" t="str">
        <f t="shared" si="45"/>
        <v/>
      </c>
      <c r="Y476" s="108" t="str">
        <f>IF(X476&lt;&gt;"",ISNUMBER(MATCH(X476,FSAnswers!$T$100:$T$200,0)),"")</f>
        <v/>
      </c>
    </row>
    <row r="477" spans="10:25" hidden="1">
      <c r="J477" s="107" t="str">
        <f t="shared" si="41"/>
        <v/>
      </c>
      <c r="K477" s="108" t="str">
        <f>IF(J477&lt;&gt;"",ISNUMBER(MATCH(J477,FSAnswers!$C$97:$C$151,0)),"")</f>
        <v/>
      </c>
      <c r="M477" s="107" t="str">
        <f t="shared" si="42"/>
        <v/>
      </c>
      <c r="N477" s="108"/>
      <c r="Q477" s="107" t="str">
        <f t="shared" si="43"/>
        <v/>
      </c>
      <c r="R477" s="108"/>
      <c r="T477" s="107" t="str">
        <f t="shared" si="44"/>
        <v/>
      </c>
      <c r="U477" s="108"/>
      <c r="X477" s="107" t="str">
        <f t="shared" si="45"/>
        <v/>
      </c>
      <c r="Y477" s="108" t="str">
        <f>IF(X477&lt;&gt;"",ISNUMBER(MATCH(X477,FSAnswers!$T$100:$T$200,0)),"")</f>
        <v/>
      </c>
    </row>
    <row r="478" spans="10:25" hidden="1">
      <c r="J478" s="107" t="str">
        <f t="shared" si="41"/>
        <v/>
      </c>
      <c r="K478" s="108" t="str">
        <f>IF(J478&lt;&gt;"",ISNUMBER(MATCH(J478,FSAnswers!$C$97:$C$151,0)),"")</f>
        <v/>
      </c>
      <c r="M478" s="107" t="str">
        <f t="shared" si="42"/>
        <v/>
      </c>
      <c r="N478" s="108"/>
      <c r="Q478" s="107" t="str">
        <f t="shared" si="43"/>
        <v/>
      </c>
      <c r="R478" s="108"/>
      <c r="T478" s="107" t="str">
        <f t="shared" si="44"/>
        <v/>
      </c>
      <c r="U478" s="108"/>
      <c r="X478" s="107" t="str">
        <f t="shared" si="45"/>
        <v/>
      </c>
      <c r="Y478" s="108" t="str">
        <f>IF(X478&lt;&gt;"",ISNUMBER(MATCH(X478,FSAnswers!$T$100:$T$200,0)),"")</f>
        <v/>
      </c>
    </row>
    <row r="479" spans="10:25" hidden="1">
      <c r="J479" s="107" t="str">
        <f t="shared" si="41"/>
        <v/>
      </c>
      <c r="K479" s="108" t="str">
        <f>IF(J479&lt;&gt;"",ISNUMBER(MATCH(J479,FSAnswers!$C$97:$C$151,0)),"")</f>
        <v/>
      </c>
      <c r="M479" s="107" t="str">
        <f t="shared" si="42"/>
        <v/>
      </c>
      <c r="N479" s="108"/>
      <c r="Q479" s="107" t="str">
        <f t="shared" si="43"/>
        <v/>
      </c>
      <c r="R479" s="108"/>
      <c r="T479" s="107" t="str">
        <f t="shared" si="44"/>
        <v/>
      </c>
      <c r="U479" s="108"/>
      <c r="X479" s="107" t="str">
        <f t="shared" si="45"/>
        <v/>
      </c>
      <c r="Y479" s="108" t="str">
        <f>IF(X479&lt;&gt;"",ISNUMBER(MATCH(X479,FSAnswers!$T$100:$T$200,0)),"")</f>
        <v/>
      </c>
    </row>
    <row r="480" spans="10:25" hidden="1">
      <c r="J480" s="107" t="str">
        <f t="shared" si="41"/>
        <v/>
      </c>
      <c r="K480" s="108" t="str">
        <f>IF(J480&lt;&gt;"",ISNUMBER(MATCH(J480,FSAnswers!$C$97:$C$151,0)),"")</f>
        <v/>
      </c>
      <c r="M480" s="107" t="str">
        <f t="shared" si="42"/>
        <v/>
      </c>
      <c r="N480" s="108"/>
      <c r="Q480" s="107" t="str">
        <f t="shared" si="43"/>
        <v/>
      </c>
      <c r="R480" s="108"/>
      <c r="T480" s="107" t="str">
        <f t="shared" si="44"/>
        <v/>
      </c>
      <c r="U480" s="108"/>
      <c r="X480" s="107" t="str">
        <f t="shared" si="45"/>
        <v/>
      </c>
      <c r="Y480" s="108" t="str">
        <f>IF(X480&lt;&gt;"",ISNUMBER(MATCH(X480,FSAnswers!$T$100:$T$200,0)),"")</f>
        <v/>
      </c>
    </row>
    <row r="481" spans="10:25" hidden="1">
      <c r="J481" s="107" t="str">
        <f t="shared" si="41"/>
        <v/>
      </c>
      <c r="K481" s="108" t="str">
        <f>IF(J481&lt;&gt;"",ISNUMBER(MATCH(J481,FSAnswers!$C$97:$C$151,0)),"")</f>
        <v/>
      </c>
      <c r="M481" s="107" t="str">
        <f t="shared" si="42"/>
        <v/>
      </c>
      <c r="N481" s="108"/>
      <c r="Q481" s="107" t="str">
        <f t="shared" si="43"/>
        <v/>
      </c>
      <c r="R481" s="108"/>
      <c r="T481" s="107" t="str">
        <f t="shared" si="44"/>
        <v/>
      </c>
      <c r="U481" s="108"/>
      <c r="X481" s="107" t="str">
        <f t="shared" si="45"/>
        <v/>
      </c>
      <c r="Y481" s="108" t="str">
        <f>IF(X481&lt;&gt;"",ISNUMBER(MATCH(X481,FSAnswers!$T$100:$T$200,0)),"")</f>
        <v/>
      </c>
    </row>
    <row r="482" spans="10:25" hidden="1">
      <c r="J482" s="107" t="str">
        <f t="shared" si="41"/>
        <v/>
      </c>
      <c r="K482" s="108" t="str">
        <f>IF(J482&lt;&gt;"",ISNUMBER(MATCH(J482,FSAnswers!$C$97:$C$151,0)),"")</f>
        <v/>
      </c>
      <c r="M482" s="107" t="str">
        <f t="shared" si="42"/>
        <v/>
      </c>
      <c r="N482" s="108"/>
      <c r="Q482" s="107" t="str">
        <f t="shared" si="43"/>
        <v/>
      </c>
      <c r="R482" s="108"/>
      <c r="T482" s="107" t="str">
        <f t="shared" si="44"/>
        <v/>
      </c>
      <c r="U482" s="108"/>
      <c r="X482" s="107" t="str">
        <f t="shared" si="45"/>
        <v/>
      </c>
      <c r="Y482" s="108" t="str">
        <f>IF(X482&lt;&gt;"",ISNUMBER(MATCH(X482,FSAnswers!$T$100:$T$200,0)),"")</f>
        <v/>
      </c>
    </row>
    <row r="483" spans="10:25" hidden="1">
      <c r="J483" s="107" t="str">
        <f t="shared" si="41"/>
        <v/>
      </c>
      <c r="K483" s="108" t="str">
        <f>IF(J483&lt;&gt;"",ISNUMBER(MATCH(J483,FSAnswers!$C$97:$C$151,0)),"")</f>
        <v/>
      </c>
      <c r="M483" s="107" t="str">
        <f t="shared" si="42"/>
        <v/>
      </c>
      <c r="N483" s="108"/>
      <c r="Q483" s="107" t="str">
        <f t="shared" si="43"/>
        <v/>
      </c>
      <c r="R483" s="108"/>
      <c r="T483" s="107" t="str">
        <f t="shared" si="44"/>
        <v/>
      </c>
      <c r="U483" s="108"/>
      <c r="X483" s="107" t="str">
        <f t="shared" si="45"/>
        <v/>
      </c>
      <c r="Y483" s="108" t="str">
        <f>IF(X483&lt;&gt;"",ISNUMBER(MATCH(X483,FSAnswers!$T$100:$T$200,0)),"")</f>
        <v/>
      </c>
    </row>
    <row r="484" spans="10:25" hidden="1">
      <c r="J484" s="107" t="str">
        <f t="shared" si="41"/>
        <v/>
      </c>
      <c r="K484" s="108" t="str">
        <f>IF(J484&lt;&gt;"",ISNUMBER(MATCH(J484,FSAnswers!$C$97:$C$151,0)),"")</f>
        <v/>
      </c>
      <c r="M484" s="107" t="str">
        <f t="shared" si="42"/>
        <v/>
      </c>
      <c r="N484" s="108"/>
      <c r="Q484" s="107" t="str">
        <f t="shared" si="43"/>
        <v/>
      </c>
      <c r="R484" s="108"/>
      <c r="T484" s="107" t="str">
        <f t="shared" si="44"/>
        <v/>
      </c>
      <c r="U484" s="108"/>
      <c r="X484" s="107" t="str">
        <f t="shared" si="45"/>
        <v/>
      </c>
      <c r="Y484" s="108" t="str">
        <f>IF(X484&lt;&gt;"",ISNUMBER(MATCH(X484,FSAnswers!$T$100:$T$200,0)),"")</f>
        <v/>
      </c>
    </row>
    <row r="485" spans="10:25" hidden="1">
      <c r="J485" s="107" t="str">
        <f t="shared" si="41"/>
        <v/>
      </c>
      <c r="K485" s="108" t="str">
        <f>IF(J485&lt;&gt;"",ISNUMBER(MATCH(J485,FSAnswers!$C$97:$C$151,0)),"")</f>
        <v/>
      </c>
      <c r="M485" s="107" t="str">
        <f t="shared" si="42"/>
        <v/>
      </c>
      <c r="N485" s="108"/>
      <c r="Q485" s="107" t="str">
        <f t="shared" si="43"/>
        <v/>
      </c>
      <c r="R485" s="108"/>
      <c r="T485" s="107" t="str">
        <f t="shared" si="44"/>
        <v/>
      </c>
      <c r="U485" s="108"/>
      <c r="X485" s="107" t="str">
        <f t="shared" si="45"/>
        <v/>
      </c>
      <c r="Y485" s="108" t="str">
        <f>IF(X485&lt;&gt;"",ISNUMBER(MATCH(X485,FSAnswers!$T$100:$T$200,0)),"")</f>
        <v/>
      </c>
    </row>
    <row r="486" spans="10:25" hidden="1">
      <c r="J486" s="107" t="str">
        <f t="shared" si="41"/>
        <v/>
      </c>
      <c r="K486" s="108" t="str">
        <f>IF(J486&lt;&gt;"",ISNUMBER(MATCH(J486,FSAnswers!$C$97:$C$151,0)),"")</f>
        <v/>
      </c>
      <c r="M486" s="107" t="str">
        <f t="shared" si="42"/>
        <v/>
      </c>
      <c r="N486" s="108"/>
      <c r="Q486" s="107" t="str">
        <f t="shared" si="43"/>
        <v/>
      </c>
      <c r="R486" s="108"/>
      <c r="T486" s="107" t="str">
        <f t="shared" si="44"/>
        <v/>
      </c>
      <c r="U486" s="108"/>
      <c r="X486" s="107" t="str">
        <f t="shared" si="45"/>
        <v/>
      </c>
      <c r="Y486" s="108" t="str">
        <f>IF(X486&lt;&gt;"",ISNUMBER(MATCH(X486,FSAnswers!$T$100:$T$200,0)),"")</f>
        <v/>
      </c>
    </row>
    <row r="487" spans="10:25" hidden="1">
      <c r="J487" s="107" t="str">
        <f t="shared" si="41"/>
        <v/>
      </c>
      <c r="K487" s="108" t="str">
        <f>IF(J487&lt;&gt;"",ISNUMBER(MATCH(J487,FSAnswers!$C$97:$C$151,0)),"")</f>
        <v/>
      </c>
      <c r="M487" s="107"/>
      <c r="N487" s="108"/>
      <c r="Q487" s="107" t="str">
        <f t="shared" si="43"/>
        <v/>
      </c>
      <c r="R487" s="108"/>
      <c r="T487" s="107" t="str">
        <f t="shared" si="44"/>
        <v/>
      </c>
      <c r="U487" s="108"/>
      <c r="X487" s="107" t="str">
        <f t="shared" si="45"/>
        <v/>
      </c>
      <c r="Y487" s="108" t="str">
        <f>IF(X487&lt;&gt;"",ISNUMBER(MATCH(X487,FSAnswers!$T$100:$T$200,0)),"")</f>
        <v/>
      </c>
    </row>
    <row r="488" spans="10:25" ht="15" hidden="1" thickBot="1">
      <c r="J488" s="109" t="str">
        <f t="shared" si="41"/>
        <v/>
      </c>
      <c r="K488" s="110" t="str">
        <f>IF(J488&lt;&gt;"",ISNUMBER(MATCH(J488,FSAnswers!$C$97:$C$151,0)),"")</f>
        <v/>
      </c>
      <c r="M488" s="109"/>
      <c r="N488" s="110"/>
      <c r="Q488" s="109" t="str">
        <f t="shared" si="43"/>
        <v/>
      </c>
      <c r="R488" s="110"/>
      <c r="T488" s="109" t="str">
        <f t="shared" si="44"/>
        <v/>
      </c>
      <c r="U488" s="110"/>
      <c r="X488" s="109"/>
      <c r="Y488" s="110"/>
    </row>
    <row r="489" spans="10:25" hidden="1">
      <c r="J489" s="5"/>
    </row>
    <row r="490" spans="10:25" hidden="1"/>
    <row r="491" spans="10:25" hidden="1"/>
    <row r="492" spans="10:25" hidden="1"/>
    <row r="493" spans="10:25" hidden="1"/>
    <row r="494" spans="10:25" hidden="1"/>
    <row r="495" spans="10:25" hidden="1"/>
    <row r="496" spans="10:25"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0" hidden="1"/>
    <row r="546" spans="1:30" hidden="1"/>
    <row r="547" spans="1:30" hidden="1"/>
    <row r="548" spans="1:30" collapsed="1"/>
    <row r="549" spans="1:30" s="203" customFormat="1">
      <c r="A549" s="208" t="s">
        <v>1159</v>
      </c>
      <c r="L549" s="591"/>
    </row>
    <row r="550" spans="1:30">
      <c r="E550" s="43" t="s">
        <v>1160</v>
      </c>
      <c r="L550" s="318" t="s">
        <v>1160</v>
      </c>
      <c r="R550" s="43" t="s">
        <v>857</v>
      </c>
      <c r="AD550" s="43" t="s">
        <v>1160</v>
      </c>
    </row>
    <row r="551" spans="1:30">
      <c r="B551" cm="1">
        <f t="array" ref="B551:D551">{2,"Assets",""}</f>
        <v>2</v>
      </c>
      <c r="C551" t="str">
        <v>Assets</v>
      </c>
      <c r="D551" t="str">
        <v/>
      </c>
      <c r="E551" s="1" t="b">
        <f>OR(D101,$D$157)</f>
        <v>1</v>
      </c>
      <c r="I551" cm="1">
        <f t="array" ref="I551:K551">{2,"Revenues",""}</f>
        <v>2</v>
      </c>
      <c r="J551" t="str">
        <v>Revenues</v>
      </c>
      <c r="K551" t="str">
        <v/>
      </c>
      <c r="L551" s="224" t="b">
        <f>OR($D$102,$E$102)</f>
        <v>1</v>
      </c>
      <c r="Q551" t="s">
        <v>240</v>
      </c>
      <c r="R551" t="b">
        <f>R159=1</f>
        <v>0</v>
      </c>
      <c r="AA551" cm="1">
        <f t="array" ref="AA551:AC551">{2,"Assets",""}</f>
        <v>2</v>
      </c>
      <c r="AB551" t="str">
        <v>Assets</v>
      </c>
      <c r="AC551" t="str">
        <v/>
      </c>
      <c r="AD551" s="1" t="b">
        <f>OR($D$106,$E$106)</f>
        <v>1</v>
      </c>
    </row>
    <row r="552" spans="1:30">
      <c r="B552" cm="1">
        <f t="array" ref="B552:D552">{2,"Liabilities",""}</f>
        <v>2</v>
      </c>
      <c r="C552" t="str">
        <v>Liabilities</v>
      </c>
      <c r="D552" t="str">
        <v/>
      </c>
      <c r="E552" s="1" t="b">
        <f>OR(D101,$D$157)</f>
        <v>1</v>
      </c>
      <c r="I552" cm="1">
        <f t="array" ref="I552:K552">{2,"Expenses",""}</f>
        <v>2</v>
      </c>
      <c r="J552" t="str">
        <v>Expenses</v>
      </c>
      <c r="K552" t="str">
        <v/>
      </c>
      <c r="L552" s="224" t="b">
        <f>OR($D$102,$E$102)</f>
        <v>1</v>
      </c>
      <c r="Q552" t="s">
        <v>243</v>
      </c>
      <c r="R552" t="b">
        <f>R164=1</f>
        <v>0</v>
      </c>
      <c r="AA552" cm="1">
        <f t="array" ref="AA552:AC552">{2,"Liabilities",""}</f>
        <v>2</v>
      </c>
      <c r="AB552" t="str">
        <v>Liabilities</v>
      </c>
      <c r="AC552" t="str">
        <v/>
      </c>
      <c r="AD552" s="1" t="b">
        <f>OR($D$106,$E$106)</f>
        <v>1</v>
      </c>
    </row>
    <row r="553" spans="1:30">
      <c r="B553" cm="1">
        <f t="array" ref="B553:D553">IF(OR($D$157,$D$101),{2,"Equities",""},{"","",""})</f>
        <v>2</v>
      </c>
      <c r="C553" t="str">
        <v>Equities</v>
      </c>
      <c r="D553" t="str">
        <v/>
      </c>
      <c r="E553" s="1" t="b">
        <f>OR(D101,$D$157)</f>
        <v>1</v>
      </c>
      <c r="I553" cm="1">
        <f t="array" ref="I553:K553">{2,"Gains",""}</f>
        <v>2</v>
      </c>
      <c r="J553" t="str">
        <v>Gains</v>
      </c>
      <c r="K553" t="str">
        <v/>
      </c>
      <c r="L553" s="224" t="b">
        <f>AND(OR($D$102,$E$102),$K$123)</f>
        <v>0</v>
      </c>
      <c r="Q553" t="s">
        <v>246</v>
      </c>
      <c r="R553" t="b">
        <f ca="1">R171=1</f>
        <v>1</v>
      </c>
      <c r="AA553" cm="1">
        <f t="array" ref="AA553:AC553">{2,"Equities",""}</f>
        <v>2</v>
      </c>
      <c r="AB553" t="str">
        <v>Equities</v>
      </c>
      <c r="AC553" t="str">
        <v/>
      </c>
      <c r="AD553" s="1" t="b">
        <f>OR($D$106,$E$106)</f>
        <v>1</v>
      </c>
    </row>
    <row r="554" spans="1:30">
      <c r="I554" cm="1">
        <f t="array" ref="I554:K554">{2,"Losses",""}</f>
        <v>2</v>
      </c>
      <c r="J554" t="str">
        <v>Losses</v>
      </c>
      <c r="K554" t="str">
        <v/>
      </c>
      <c r="L554" s="224" t="b">
        <f>AND(OR($D$102,$E$102),$K$124)</f>
        <v>0</v>
      </c>
      <c r="Q554" t="s">
        <v>252</v>
      </c>
      <c r="R554" t="b">
        <f>R178=1</f>
        <v>0</v>
      </c>
    </row>
    <row r="555" spans="1:30">
      <c r="B555">
        <v>3</v>
      </c>
      <c r="C555" t="s">
        <v>854</v>
      </c>
      <c r="D555" s="248">
        <f>D566+D567</f>
        <v>0</v>
      </c>
      <c r="E555" t="b">
        <f>($E$170+$E$182)&gt;0.00000001</f>
        <v>0</v>
      </c>
      <c r="Q555" t="s">
        <v>848</v>
      </c>
      <c r="R555" t="b">
        <f>R184=1</f>
        <v>0</v>
      </c>
      <c r="Y555" s="248"/>
      <c r="AA555">
        <v>3</v>
      </c>
      <c r="AB555" t="s">
        <v>854</v>
      </c>
      <c r="AC555" s="248">
        <f>AC566+AC567</f>
        <v>0</v>
      </c>
      <c r="AD555" t="b">
        <f>AC555&gt;0.00000001</f>
        <v>0</v>
      </c>
    </row>
    <row r="556" spans="1:30">
      <c r="B556">
        <v>3</v>
      </c>
      <c r="C556" t="s">
        <v>858</v>
      </c>
      <c r="D556" s="248">
        <f>D568+D569</f>
        <v>0</v>
      </c>
      <c r="E556" t="b">
        <f>($E$194+$E$206)&gt;0.00000001</f>
        <v>0</v>
      </c>
      <c r="Q556" t="s">
        <v>255</v>
      </c>
      <c r="R556" t="b">
        <f>R189=1</f>
        <v>0</v>
      </c>
      <c r="Y556" s="248"/>
      <c r="AA556">
        <v>3</v>
      </c>
      <c r="AB556" t="s">
        <v>858</v>
      </c>
      <c r="AC556" s="248">
        <f>AC568+AC569</f>
        <v>0</v>
      </c>
      <c r="AD556" t="b">
        <f t="shared" ref="AD556:AD557" si="46">AC556&gt;0.00000001</f>
        <v>0</v>
      </c>
    </row>
    <row r="557" spans="1:30">
      <c r="B557">
        <v>3</v>
      </c>
      <c r="C557" t="s">
        <v>859</v>
      </c>
      <c r="D557" s="248">
        <f>SUM(D208:D217)</f>
        <v>0</v>
      </c>
      <c r="E557" t="b">
        <f>E218&gt;0.00000001</f>
        <v>0</v>
      </c>
      <c r="I557">
        <v>5</v>
      </c>
      <c r="J557" t="s">
        <v>864</v>
      </c>
      <c r="K557" s="321">
        <f>SUM(K575:K580)</f>
        <v>0</v>
      </c>
      <c r="L557" s="224" t="b">
        <f>OR($K$157,AND(K121,$D$102,K557&gt;0.000001))</f>
        <v>1</v>
      </c>
      <c r="Y557" s="248"/>
      <c r="AA557">
        <v>3</v>
      </c>
      <c r="AB557" t="s">
        <v>859</v>
      </c>
      <c r="AC557" s="248">
        <f>SUM(AC208:AC217)</f>
        <v>0</v>
      </c>
      <c r="AD557" t="b">
        <f t="shared" si="46"/>
        <v>0</v>
      </c>
    </row>
    <row r="558" spans="1:30">
      <c r="B558">
        <v>3</v>
      </c>
      <c r="C558" t="s">
        <v>860</v>
      </c>
      <c r="D558" s="248">
        <f>D556+D557</f>
        <v>0</v>
      </c>
      <c r="E558" t="b">
        <f>AND(E556,E557)</f>
        <v>0</v>
      </c>
      <c r="I558">
        <v>5</v>
      </c>
      <c r="J558" t="s">
        <v>865</v>
      </c>
      <c r="K558" s="321">
        <f>SUM(K585:K613)</f>
        <v>0</v>
      </c>
      <c r="L558" s="224" t="b">
        <f>OR($K$157,AND(K122,$D$102,K558&gt;0.000001))</f>
        <v>1</v>
      </c>
      <c r="R558" s="43" t="s">
        <v>1160</v>
      </c>
      <c r="Y558" s="248"/>
      <c r="AA558">
        <v>3</v>
      </c>
      <c r="AB558" t="s">
        <v>860</v>
      </c>
      <c r="AC558" s="248">
        <f>AC556+AC557</f>
        <v>0</v>
      </c>
      <c r="AD558" t="b">
        <f>AND(AD556,AD557)</f>
        <v>0</v>
      </c>
    </row>
    <row r="559" spans="1:30">
      <c r="C559" s="5" t="s">
        <v>1161</v>
      </c>
      <c r="E559" s="1" t="b">
        <f>ABS(D555-D556-D557)&lt;0.00001</f>
        <v>1</v>
      </c>
      <c r="I559">
        <v>5</v>
      </c>
      <c r="J559" t="s">
        <v>867</v>
      </c>
      <c r="K559" s="321">
        <f>SUM(K620:K629)</f>
        <v>0</v>
      </c>
      <c r="L559" s="224" t="b">
        <f>OR(AND($K$157,K559&gt;0.000001),AND(K123,$D$102,K559&gt;0.000001))</f>
        <v>0</v>
      </c>
      <c r="Q559" t="s">
        <v>240</v>
      </c>
      <c r="R559" t="b">
        <f ca="1">AND(R551,OR($D$103,$E$103,OR($N$118,$N$106)))</f>
        <v>0</v>
      </c>
      <c r="X559" s="5"/>
      <c r="AB559" s="5" t="s">
        <v>1161</v>
      </c>
      <c r="AD559" s="1" t="b">
        <f>ABS(AC555-AC556-AC557)&lt;0.00001</f>
        <v>1</v>
      </c>
    </row>
    <row r="560" spans="1:30">
      <c r="I560">
        <v>5</v>
      </c>
      <c r="J560" t="s">
        <v>868</v>
      </c>
      <c r="K560" s="321">
        <f>SUM(K635:K644)</f>
        <v>0</v>
      </c>
      <c r="L560" s="224" t="b">
        <f>OR(AND($K$157,K560&gt;0.000001),AND(K124,$D$102,K560&gt;0.000001))</f>
        <v>0</v>
      </c>
      <c r="Q560" t="s">
        <v>243</v>
      </c>
      <c r="R560" t="b">
        <f ca="1">AND(R552,OR($D$103,$E$103,OR($N119,$N$107)))</f>
        <v>0</v>
      </c>
    </row>
    <row r="561" spans="2:30">
      <c r="B561" cm="1">
        <f t="array" ref="B561:D561">{4," Current Assets:",""}</f>
        <v>4</v>
      </c>
      <c r="C561" t="str">
        <v xml:space="preserve"> Current Assets:</v>
      </c>
      <c r="D561" t="str">
        <v/>
      </c>
      <c r="E561" t="b">
        <f ca="1">AND(E555,N101,OR($E$101,$K$116))</f>
        <v>0</v>
      </c>
      <c r="Q561" t="s">
        <v>246</v>
      </c>
      <c r="R561" t="b">
        <f ca="1">AND(R553,OR($D$103,$E$103,OR($N120,$N$107)))</f>
        <v>1</v>
      </c>
      <c r="AA561" cm="1">
        <f t="array" ref="AA561:AC561">{4," Current Assets:",""}</f>
        <v>4</v>
      </c>
      <c r="AB561" t="str">
        <v xml:space="preserve"> Current Assets:</v>
      </c>
      <c r="AC561" t="str">
        <v/>
      </c>
      <c r="AD561" t="b">
        <f ca="1">AND(AD555,N113,OR($AC$157,$K$116))</f>
        <v>0</v>
      </c>
    </row>
    <row r="562" spans="2:30">
      <c r="B562" cm="1">
        <f t="array" ref="B562:D562">{4," Noncurrent Assets:",""}</f>
        <v>4</v>
      </c>
      <c r="C562" t="str">
        <v xml:space="preserve"> Noncurrent Assets:</v>
      </c>
      <c r="D562" t="str">
        <v/>
      </c>
      <c r="E562" t="b">
        <f ca="1">AND(E555,N102,OR($D$157,$K$117))</f>
        <v>0</v>
      </c>
      <c r="I562">
        <v>3</v>
      </c>
      <c r="J562" t="s">
        <v>862</v>
      </c>
      <c r="K562" s="321">
        <f>K557-K558+K559-K560</f>
        <v>0</v>
      </c>
      <c r="L562" s="224" t="b">
        <f>OR($D$102,$K$157)</f>
        <v>1</v>
      </c>
      <c r="Q562" t="s">
        <v>252</v>
      </c>
      <c r="R562" t="b">
        <f ca="1">AND(R554,OR($D$103,$E$103,OR($N121,$N$107)))</f>
        <v>0</v>
      </c>
      <c r="AA562" cm="1">
        <f t="array" ref="AA562:AC562">{4," Noncurrent Assets:",""}</f>
        <v>4</v>
      </c>
      <c r="AB562" t="str">
        <v xml:space="preserve"> Noncurrent Assets:</v>
      </c>
      <c r="AC562" t="str">
        <v/>
      </c>
      <c r="AD562" t="b">
        <f ca="1">AND(AD555,N114,OR($AC$157,$K$117))</f>
        <v>0</v>
      </c>
    </row>
    <row r="563" spans="2:30">
      <c r="B563" cm="1">
        <f t="array" ref="B563:D563">{4," Current Liabilities:",""}</f>
        <v>4</v>
      </c>
      <c r="C563" t="str">
        <v xml:space="preserve"> Current Liabilities:</v>
      </c>
      <c r="D563" t="str">
        <v/>
      </c>
      <c r="E563" t="b">
        <f ca="1">AND(E556,N102,OR($D$157,$K$118))</f>
        <v>0</v>
      </c>
      <c r="Q563" t="s">
        <v>848</v>
      </c>
      <c r="R563" t="b">
        <f ca="1">AND(R555,OR($D$103,$E$103,OR($N122,$N$107)))</f>
        <v>0</v>
      </c>
      <c r="AA563" cm="1">
        <f t="array" ref="AA563:AC563">{4," Current Liabilities:",""}</f>
        <v>4</v>
      </c>
      <c r="AB563" t="str">
        <v xml:space="preserve"> Current Liabilities:</v>
      </c>
      <c r="AC563" t="str">
        <v/>
      </c>
      <c r="AD563" t="b">
        <f ca="1">AND(AD556,N115,OR($AC$157,$K$118))</f>
        <v>0</v>
      </c>
    </row>
    <row r="564" spans="2:30">
      <c r="B564" cm="1">
        <f t="array" ref="B564:D564">{4," Noncurrent Liabilities:",""}</f>
        <v>4</v>
      </c>
      <c r="C564" t="str">
        <v xml:space="preserve"> Noncurrent Liabilities:</v>
      </c>
      <c r="D564" t="str">
        <v/>
      </c>
      <c r="E564" t="b">
        <f ca="1">AND(E556,N104,OR($D$157,$K$119))</f>
        <v>0</v>
      </c>
      <c r="J564" t="s">
        <v>1162</v>
      </c>
      <c r="L564" s="224" t="b">
        <f>AND(NOT(L559),NOT(L560))</f>
        <v>1</v>
      </c>
      <c r="Q564" t="s">
        <v>255</v>
      </c>
      <c r="R564" t="b">
        <f ca="1">AND(R556,OR($D$103,$E$103,OR($N123,$N$107)))</f>
        <v>0</v>
      </c>
      <c r="AA564" cm="1">
        <f t="array" ref="AA564:AC564">{4," Noncurrent Liabilities:",""}</f>
        <v>4</v>
      </c>
      <c r="AB564" t="str">
        <v xml:space="preserve"> Noncurrent Liabilities:</v>
      </c>
      <c r="AC564" t="str">
        <v/>
      </c>
      <c r="AD564" t="b">
        <f ca="1">AND(AD556,N116,OR($AC$157,$K$119))</f>
        <v>0</v>
      </c>
    </row>
    <row r="565" spans="2:30">
      <c r="J565" t="s">
        <v>1163</v>
      </c>
      <c r="L565" s="224" t="b">
        <f>AND(L559,NOT(L560))</f>
        <v>0</v>
      </c>
    </row>
    <row r="566" spans="2:30">
      <c r="B566">
        <v>5</v>
      </c>
      <c r="C566" t="s">
        <v>852</v>
      </c>
      <c r="D566" s="248">
        <f>SUM(D160:D169)</f>
        <v>0</v>
      </c>
      <c r="E566" t="b">
        <f>E170&gt;0.0000001</f>
        <v>0</v>
      </c>
      <c r="J566" t="s">
        <v>1164</v>
      </c>
      <c r="L566" s="224" t="b">
        <f>AND(NOT(L559),L560)</f>
        <v>0</v>
      </c>
      <c r="Q566" s="5" t="s">
        <v>866</v>
      </c>
      <c r="R566" cm="1">
        <f t="array" aca="1" ref="R566" ca="1">_xlfn.IFS(AND(NOT(R551),NOT(R553),NOT(R555),NOT(R556)),1,R553,2,OR(R551,R555,R556),3)</f>
        <v>2</v>
      </c>
      <c r="Y566" s="248"/>
      <c r="AA566">
        <v>5</v>
      </c>
      <c r="AB566" t="s">
        <v>852</v>
      </c>
      <c r="AC566" s="248">
        <f>SUM(AC160:AC169)</f>
        <v>0</v>
      </c>
      <c r="AD566" t="b">
        <f>AC566&gt;0.0000001</f>
        <v>0</v>
      </c>
    </row>
    <row r="567" spans="2:30">
      <c r="B567">
        <v>5</v>
      </c>
      <c r="C567" t="s">
        <v>853</v>
      </c>
      <c r="D567" s="248">
        <f>SUM(D172:D181)</f>
        <v>0</v>
      </c>
      <c r="E567" t="b">
        <f>E182&gt;0.0000001</f>
        <v>0</v>
      </c>
      <c r="J567" t="s">
        <v>1165</v>
      </c>
      <c r="L567" s="224" t="b">
        <f>AND(L559,L560)</f>
        <v>0</v>
      </c>
      <c r="S567" s="585" cm="1">
        <f t="array" aca="1" ref="S567:U567" ca="1">IF($AC$99,S232:U232,{"","",""})</f>
        <v>2</v>
      </c>
      <c r="T567" t="str">
        <f ca="1"/>
        <v>Cash @ 12/31/20x0</v>
      </c>
      <c r="U567">
        <f ca="1"/>
        <v>0</v>
      </c>
      <c r="Y567" s="248"/>
      <c r="AA567">
        <v>5</v>
      </c>
      <c r="AB567" t="s">
        <v>853</v>
      </c>
      <c r="AC567" s="248">
        <f>SUM(AC172:AC181)</f>
        <v>0</v>
      </c>
      <c r="AD567" t="b">
        <f t="shared" ref="AD567:AD568" si="47">AC567&gt;0.0000001</f>
        <v>0</v>
      </c>
    </row>
    <row r="568" spans="2:30">
      <c r="B568">
        <v>5</v>
      </c>
      <c r="C568" t="s">
        <v>855</v>
      </c>
      <c r="D568" s="248">
        <f>SUM(D184:D193)</f>
        <v>0</v>
      </c>
      <c r="E568" t="b">
        <f>E194&gt;0.0000001</f>
        <v>0</v>
      </c>
      <c r="J568" t="s">
        <v>1166</v>
      </c>
      <c r="L568" s="224" t="b">
        <f>NOT(OR(L564,L565,L566,L567))</f>
        <v>0</v>
      </c>
      <c r="Y568" s="248"/>
      <c r="AA568">
        <v>5</v>
      </c>
      <c r="AB568" t="s">
        <v>855</v>
      </c>
      <c r="AC568" s="248">
        <f>SUM(AC184:AC193)</f>
        <v>0</v>
      </c>
      <c r="AD568" t="b">
        <f t="shared" si="47"/>
        <v>0</v>
      </c>
    </row>
    <row r="569" spans="2:30">
      <c r="B569">
        <v>5</v>
      </c>
      <c r="C569" t="s">
        <v>856</v>
      </c>
      <c r="D569" s="248">
        <f>SUM(D196:D205)</f>
        <v>0</v>
      </c>
      <c r="E569" t="b">
        <f>E206&gt;0.0000001</f>
        <v>0</v>
      </c>
      <c r="P569" s="585" cm="1">
        <f t="array" aca="1" ref="P569:R569" ca="1">IF($Y$133,{3,"Preferred Stock",""},{"","",""})</f>
        <v>3</v>
      </c>
      <c r="Q569" t="str">
        <f ca="1"/>
        <v>Preferred Stock</v>
      </c>
      <c r="R569" t="str">
        <f ca="1"/>
        <v/>
      </c>
      <c r="S569" s="585" cm="1">
        <f t="array" aca="1" ref="S569:U570" ca="1">IF($AC$108,_xlfn.VSTACK({3,"Operating Activities",""},{"","",""}),{"","",""})</f>
        <v>3</v>
      </c>
      <c r="T569" t="str">
        <f ca="1"/>
        <v>Operating Activities</v>
      </c>
      <c r="U569" t="str">
        <f ca="1"/>
        <v/>
      </c>
      <c r="Y569" s="248"/>
      <c r="AA569">
        <v>5</v>
      </c>
      <c r="AB569" t="s">
        <v>856</v>
      </c>
      <c r="AC569" s="248">
        <f>SUM(AC196:AC205)</f>
        <v>0</v>
      </c>
      <c r="AD569" t="b">
        <f>AC569&gt;0.0000001</f>
        <v>0</v>
      </c>
    </row>
    <row r="570" spans="2:30">
      <c r="P570" s="585" cm="1">
        <f t="array" ref="P570:R571">IF($Y$142,_xlfn._xlws.FILTER(P160:R162,O160:O162,{"","",""}),{"","",""})</f>
        <v>5</v>
      </c>
      <c r="Q570" t="str">
        <v>Balance @ 12/31/20x0</v>
      </c>
      <c r="R570">
        <v>0</v>
      </c>
      <c r="S570" t="str">
        <f ca="1"/>
        <v/>
      </c>
      <c r="T570" t="str">
        <f ca="1"/>
        <v/>
      </c>
      <c r="U570" t="str">
        <f ca="1"/>
        <v/>
      </c>
    </row>
    <row r="571" spans="2:30">
      <c r="P571">
        <v>5</v>
      </c>
      <c r="Q571" t="str">
        <v>Balance @ 12/31/20x1</v>
      </c>
      <c r="R571">
        <v>0</v>
      </c>
      <c r="S571" s="585" t="str" cm="1">
        <f t="array" aca="1" ref="S571:U571" ca="1">IF($AC$134,_xlfn.VSTACK(_xlfn._xlws.FILTER(S160:U178,W160:W178,{"","",""}),{"","",""},S235:U235,{"","",""}),{"","",""})</f>
        <v/>
      </c>
      <c r="T571" t="str">
        <f ca="1"/>
        <v/>
      </c>
      <c r="U571" t="str">
        <f ca="1"/>
        <v/>
      </c>
    </row>
    <row r="574" spans="2:30" ht="15" thickBot="1">
      <c r="B574" s="585" cm="1">
        <f t="array" ref="B574:D574">IF(E551,_xlfn.ANCHORARRAY(B551),{"","",""})</f>
        <v>2</v>
      </c>
      <c r="C574" t="str">
        <v>Assets</v>
      </c>
      <c r="D574" t="str">
        <v/>
      </c>
      <c r="I574" s="585" cm="1">
        <f t="array" ref="I574:K574">IF(L551,_xlfn.ANCHORARRAY(I551),{"","",""})</f>
        <v>2</v>
      </c>
      <c r="J574" t="str">
        <v>Revenues</v>
      </c>
      <c r="K574" t="str">
        <v/>
      </c>
      <c r="AA574" s="585" cm="1">
        <f t="array" ref="AA574:AC574">IF(AD551,_xlfn.ANCHORARRAY(AA551),{"","",""})</f>
        <v>2</v>
      </c>
      <c r="AB574" t="str">
        <v>Assets</v>
      </c>
      <c r="AC574" t="str">
        <v/>
      </c>
    </row>
    <row r="575" spans="2:30">
      <c r="B575" s="586" cm="1">
        <f t="array" aca="1" ref="B575:D575" ca="1">IF(OR($E$101,E561),_xlfn.ANCHORARRAY(B561),{"","",""})</f>
        <v>4</v>
      </c>
      <c r="C575" s="416" t="str">
        <f ca="1"/>
        <v xml:space="preserve"> Current Assets:</v>
      </c>
      <c r="D575" s="206" t="str">
        <f ca="1"/>
        <v/>
      </c>
      <c r="I575" s="586" t="str" cm="1">
        <f t="array" ref="I575:K575">IF(L551,_xlfn._xlws.FILTER(I160:K169,K160:K169&lt;&gt;"",{"","",""}),{"","",""})</f>
        <v/>
      </c>
      <c r="J575" s="416" t="str">
        <v/>
      </c>
      <c r="K575" s="206" t="str">
        <v/>
      </c>
      <c r="AA575" s="586" cm="1">
        <f t="array" aca="1" ref="AA575:AC575" ca="1">IF(OR($E$106,AD561),_xlfn.ANCHORARRAY(AA561),{"","",""})</f>
        <v>4</v>
      </c>
      <c r="AB575" s="416" t="str">
        <f ca="1"/>
        <v xml:space="preserve"> Current Assets:</v>
      </c>
      <c r="AC575" s="206" t="str">
        <f ca="1"/>
        <v/>
      </c>
    </row>
    <row r="576" spans="2:30">
      <c r="B576" s="587" cm="1">
        <f t="array" aca="1" ref="B576:D578" ca="1">IF(OR($E$101,E561),_xlfn._xlws.FILTER(B160:D169,C160:C169&lt;&gt;""),{"","",""})</f>
        <v>6</v>
      </c>
      <c r="C576" t="str">
        <f ca="1"/>
        <v>Cash</v>
      </c>
      <c r="D576" s="108">
        <f ca="1"/>
        <v>0</v>
      </c>
      <c r="I576" s="107"/>
      <c r="K576" s="108"/>
      <c r="AA576" s="587" cm="1">
        <f t="array" aca="1" ref="AA576:AC578" ca="1">IF(OR($E$106,AD561),_xlfn._xlws.FILTER(AA160:AC169,AB160:AB169&lt;&gt;""),{"","",""})</f>
        <v>6</v>
      </c>
      <c r="AB576" t="str">
        <f ca="1"/>
        <v>Cash</v>
      </c>
      <c r="AC576" s="108">
        <f ca="1"/>
        <v>0</v>
      </c>
    </row>
    <row r="577" spans="2:29">
      <c r="B577" s="107">
        <f ca="1"/>
        <v>7</v>
      </c>
      <c r="C577" t="str">
        <f ca="1"/>
        <v>Accounts Receivable</v>
      </c>
      <c r="D577" s="108">
        <f ca="1"/>
        <v>0</v>
      </c>
      <c r="I577" s="107"/>
      <c r="K577" s="108"/>
      <c r="AA577" s="107">
        <f ca="1"/>
        <v>7</v>
      </c>
      <c r="AB577" t="str">
        <f ca="1"/>
        <v>Accounts Receivable</v>
      </c>
      <c r="AC577" s="108">
        <f ca="1"/>
        <v>0</v>
      </c>
    </row>
    <row r="578" spans="2:29">
      <c r="B578" s="107">
        <f ca="1"/>
        <v>7</v>
      </c>
      <c r="C578" t="str">
        <f ca="1"/>
        <v>Inventories</v>
      </c>
      <c r="D578" s="108">
        <f ca="1"/>
        <v>0</v>
      </c>
      <c r="I578" s="107"/>
      <c r="K578" s="108"/>
      <c r="AA578" s="107">
        <f ca="1"/>
        <v>7</v>
      </c>
      <c r="AB578" t="str">
        <f ca="1"/>
        <v>Inventories</v>
      </c>
      <c r="AC578" s="108">
        <f ca="1"/>
        <v>0</v>
      </c>
    </row>
    <row r="579" spans="2:29">
      <c r="B579" s="107"/>
      <c r="D579" s="108"/>
      <c r="I579" s="107"/>
      <c r="K579" s="108"/>
      <c r="P579" s="585" cm="1">
        <f t="array" aca="1" ref="P579:R579" ca="1">IF($Y$133,{3,"Common Stock",""},{"","",""})</f>
        <v>3</v>
      </c>
      <c r="Q579" t="str">
        <f ca="1"/>
        <v>Common Stock</v>
      </c>
      <c r="R579" t="str">
        <f ca="1"/>
        <v/>
      </c>
      <c r="AA579" s="107"/>
      <c r="AC579" s="108"/>
    </row>
    <row r="580" spans="2:29" ht="15" thickBot="1">
      <c r="B580" s="107"/>
      <c r="D580" s="108"/>
      <c r="I580" s="109"/>
      <c r="J580" s="315"/>
      <c r="K580" s="110"/>
      <c r="P580" s="585" cm="1">
        <f t="array" ref="P580:R581">IF($Y$142,_xlfn._xlws.FILTER(P165:R169,O165:O169,{"","",""}),{"","",""})</f>
        <v>5</v>
      </c>
      <c r="Q580" t="str">
        <v>Balance @ 12/31/20x0</v>
      </c>
      <c r="R580">
        <v>0</v>
      </c>
      <c r="AA580" s="107"/>
      <c r="AC580" s="108"/>
    </row>
    <row r="581" spans="2:29">
      <c r="B581" s="107"/>
      <c r="D581" s="108"/>
      <c r="P581">
        <v>5</v>
      </c>
      <c r="Q581" t="str">
        <v>Balance @ 12/31/20x1</v>
      </c>
      <c r="R581">
        <v>0</v>
      </c>
      <c r="AA581" s="107"/>
      <c r="AC581" s="108"/>
    </row>
    <row r="582" spans="2:29">
      <c r="B582" s="107"/>
      <c r="D582" s="108"/>
      <c r="AA582" s="107"/>
      <c r="AC582" s="108"/>
    </row>
    <row r="583" spans="2:29">
      <c r="B583" s="107"/>
      <c r="D583" s="108"/>
      <c r="AA583" s="107"/>
      <c r="AC583" s="108"/>
    </row>
    <row r="584" spans="2:29" ht="15" thickBot="1">
      <c r="B584" s="107"/>
      <c r="D584" s="108"/>
      <c r="I584" s="585" cm="1">
        <f t="array" ref="I584:K584">IF(L552,_xlfn.ANCHORARRAY(I552),{"","",""})</f>
        <v>2</v>
      </c>
      <c r="J584" t="str">
        <v>Expenses</v>
      </c>
      <c r="K584" t="str">
        <v/>
      </c>
      <c r="AA584" s="107"/>
      <c r="AC584" s="108"/>
    </row>
    <row r="585" spans="2:29" ht="15" thickBot="1">
      <c r="B585" s="588" t="str" cm="1">
        <f t="array" ref="B585:D585">IF(E566,B566:D566,{"","",""})</f>
        <v/>
      </c>
      <c r="C585" s="315" t="str">
        <v/>
      </c>
      <c r="D585" s="110" t="str">
        <v/>
      </c>
      <c r="I585" s="586" t="str" cm="1">
        <f t="array" ref="I585:K585">IF(L552,_xlfn._xlws.FILTER(I172:K191,K172:K191&lt;&gt;"",{"","",""}),{"","",""})</f>
        <v/>
      </c>
      <c r="J585" s="416" t="str">
        <v/>
      </c>
      <c r="K585" s="206" t="str">
        <v/>
      </c>
      <c r="AA585" s="588" t="str" cm="1">
        <f t="array" ref="AA585:AC585">IF(AD566,AA566:AC566,{"","",""})</f>
        <v/>
      </c>
      <c r="AB585" s="315" t="str">
        <v/>
      </c>
      <c r="AC585" s="110" t="str">
        <v/>
      </c>
    </row>
    <row r="586" spans="2:29">
      <c r="I586" s="107"/>
      <c r="K586" s="108"/>
    </row>
    <row r="587" spans="2:29">
      <c r="I587" s="107"/>
      <c r="K587" s="108"/>
    </row>
    <row r="588" spans="2:29" ht="15" thickBot="1">
      <c r="I588" s="107"/>
      <c r="K588" s="108"/>
    </row>
    <row r="589" spans="2:29">
      <c r="B589" s="586" cm="1">
        <f t="array" aca="1" ref="B589:D589" ca="1">IF(OR($E$101,E562),_xlfn.ANCHORARRAY(B562),{"","",""})</f>
        <v>4</v>
      </c>
      <c r="C589" s="416" t="str">
        <f ca="1"/>
        <v xml:space="preserve"> Noncurrent Assets:</v>
      </c>
      <c r="D589" s="206" t="str">
        <f ca="1"/>
        <v/>
      </c>
      <c r="I589" s="107"/>
      <c r="K589" s="108"/>
      <c r="P589" s="585" cm="1">
        <f t="array" aca="1" ref="P589:R589" ca="1">IF($Y$133,{3,"Additional Paid-in Capital",""},{"","",""})</f>
        <v>3</v>
      </c>
      <c r="Q589" t="str">
        <f ca="1"/>
        <v>Additional Paid-in Capital</v>
      </c>
      <c r="R589" t="str">
        <f ca="1"/>
        <v/>
      </c>
      <c r="AA589" s="586" cm="1">
        <f t="array" aca="1" ref="AA589:AC589" ca="1">IF(OR($E$106,AD562),_xlfn.ANCHORARRAY(AA562),{"","",""})</f>
        <v>4</v>
      </c>
      <c r="AB589" s="416" t="str">
        <f ca="1"/>
        <v xml:space="preserve"> Noncurrent Assets:</v>
      </c>
      <c r="AC589" s="206" t="str">
        <f ca="1"/>
        <v/>
      </c>
    </row>
    <row r="590" spans="2:29">
      <c r="B590" s="587" cm="1">
        <f t="array" aca="1" ref="B590:D591" ca="1">IF(OR($E$101,E562),_xlfn._xlws.FILTER(B172:D181,C172:C181&lt;&gt;""),{"","",""})</f>
        <v>6</v>
      </c>
      <c r="C590" t="str">
        <f ca="1"/>
        <v>Property, Plant &amp; Equipment</v>
      </c>
      <c r="D590" s="108">
        <f ca="1"/>
        <v>0</v>
      </c>
      <c r="I590" s="107"/>
      <c r="K590" s="108"/>
      <c r="P590" s="585" cm="1">
        <f t="array" aca="1" ref="P590:R592" ca="1">IF($Y$142,_xlfn._xlws.FILTER(P172:R176,O172:O176,{"","",""}),{"","",""})</f>
        <v>5</v>
      </c>
      <c r="Q590" t="str">
        <f ca="1"/>
        <v>Balance @ 12/31/20x0</v>
      </c>
      <c r="R590">
        <f ca="1"/>
        <v>0</v>
      </c>
      <c r="AA590" s="587" cm="1">
        <f t="array" aca="1" ref="AA590:AC591" ca="1">IF(OR($E$106,AD562),_xlfn._xlws.FILTER(AA172:AC181,AB172:AB181&lt;&gt;""),{"","",""})</f>
        <v>6</v>
      </c>
      <c r="AB590" t="str">
        <f ca="1"/>
        <v>Property, Plant &amp; Equipment</v>
      </c>
      <c r="AC590" s="108">
        <f ca="1"/>
        <v>0</v>
      </c>
    </row>
    <row r="591" spans="2:29">
      <c r="B591" s="107">
        <f ca="1"/>
        <v>7</v>
      </c>
      <c r="C591" t="str">
        <f ca="1"/>
        <v>Land</v>
      </c>
      <c r="D591" s="108">
        <f ca="1"/>
        <v>0</v>
      </c>
      <c r="I591" s="107"/>
      <c r="K591" s="108"/>
      <c r="P591">
        <f ca="1"/>
        <v>7</v>
      </c>
      <c r="Q591" t="str">
        <f ca="1"/>
        <v>Issued Common Stock - APIC</v>
      </c>
      <c r="R591">
        <f ca="1"/>
        <v>50</v>
      </c>
      <c r="AA591" s="107">
        <f ca="1"/>
        <v>7</v>
      </c>
      <c r="AB591" t="str">
        <f ca="1"/>
        <v>Land</v>
      </c>
      <c r="AC591" s="108">
        <f ca="1"/>
        <v>0</v>
      </c>
    </row>
    <row r="592" spans="2:29">
      <c r="B592" s="107"/>
      <c r="D592" s="108"/>
      <c r="I592" s="107"/>
      <c r="K592" s="108"/>
      <c r="P592">
        <f ca="1"/>
        <v>5</v>
      </c>
      <c r="Q592" t="str">
        <f ca="1"/>
        <v>Balance @ 12/31/20x1</v>
      </c>
      <c r="R592">
        <f ca="1"/>
        <v>0</v>
      </c>
      <c r="AA592" s="107"/>
      <c r="AC592" s="108"/>
    </row>
    <row r="593" spans="2:29">
      <c r="B593" s="107"/>
      <c r="D593" s="108"/>
      <c r="I593" s="107"/>
      <c r="K593" s="108"/>
      <c r="AA593" s="107"/>
      <c r="AC593" s="108"/>
    </row>
    <row r="594" spans="2:29">
      <c r="B594" s="107"/>
      <c r="D594" s="108"/>
      <c r="I594" s="107"/>
      <c r="K594" s="108"/>
      <c r="S594" s="585" cm="1">
        <f t="array" aca="1" ref="S594:U595" ca="1">IF($AC$116,_xlfn.VSTACK({3,"Investing Activities",""},{"","",""}),{"","",""})</f>
        <v>3</v>
      </c>
      <c r="T594" t="str">
        <f ca="1"/>
        <v>Investing Activities</v>
      </c>
      <c r="U594" t="str">
        <f ca="1"/>
        <v/>
      </c>
      <c r="AA594" s="107"/>
      <c r="AC594" s="108"/>
    </row>
    <row r="595" spans="2:29">
      <c r="B595" s="107"/>
      <c r="D595" s="108"/>
      <c r="I595" s="107"/>
      <c r="K595" s="108"/>
      <c r="S595" t="str">
        <f ca="1"/>
        <v/>
      </c>
      <c r="T595" t="str">
        <f ca="1"/>
        <v/>
      </c>
      <c r="U595" t="str">
        <f ca="1"/>
        <v/>
      </c>
      <c r="AA595" s="107"/>
      <c r="AC595" s="108"/>
    </row>
    <row r="596" spans="2:29">
      <c r="B596" s="107"/>
      <c r="D596" s="108"/>
      <c r="I596" s="107"/>
      <c r="K596" s="108"/>
      <c r="S596" s="585" t="str" cm="1">
        <f t="array" aca="1" ref="S596:U596" ca="1">IF($AC$143,_xlfn.VSTACK(_xlfn._xlws.FILTER(S186:U204,W186:W204,{"","",""}),S236:U236,{"","",""}),{"","",""})</f>
        <v/>
      </c>
      <c r="T596" t="str">
        <f ca="1"/>
        <v/>
      </c>
      <c r="U596" t="str">
        <f ca="1"/>
        <v/>
      </c>
      <c r="AA596" s="107"/>
      <c r="AC596" s="108"/>
    </row>
    <row r="597" spans="2:29">
      <c r="B597" s="107"/>
      <c r="D597" s="108"/>
      <c r="I597" s="107"/>
      <c r="K597" s="108"/>
      <c r="AA597" s="107"/>
      <c r="AC597" s="108"/>
    </row>
    <row r="598" spans="2:29">
      <c r="B598" s="107"/>
      <c r="D598" s="108"/>
      <c r="I598" s="107"/>
      <c r="K598" s="108"/>
      <c r="AA598" s="107"/>
      <c r="AC598" s="108"/>
    </row>
    <row r="599" spans="2:29" ht="15" thickBot="1">
      <c r="B599" s="588" t="str" cm="1">
        <f t="array" ref="B599:D599">IF(E567,B567:D567,{"","",""})</f>
        <v/>
      </c>
      <c r="C599" s="315" t="str">
        <v/>
      </c>
      <c r="D599" s="110" t="str">
        <v/>
      </c>
      <c r="I599" s="107"/>
      <c r="K599" s="108"/>
      <c r="P599" s="585" cm="1">
        <f t="array" aca="1" ref="P599:R599" ca="1">IF($Y$133,{3,"Retained Earnings",""},{"","",""})</f>
        <v>3</v>
      </c>
      <c r="Q599" t="str">
        <f ca="1"/>
        <v>Retained Earnings</v>
      </c>
      <c r="R599" t="str">
        <f ca="1"/>
        <v/>
      </c>
      <c r="AA599" s="588" cm="1">
        <f t="array" ref="AA599:AC599">IF(OR($E$106,AD567),AA567:AC567,{"","",""})</f>
        <v>5</v>
      </c>
      <c r="AB599" s="315" t="str">
        <v xml:space="preserve">  Total Noncurrent Assets</v>
      </c>
      <c r="AC599" s="110">
        <v>0</v>
      </c>
    </row>
    <row r="600" spans="2:29">
      <c r="I600" s="107"/>
      <c r="K600" s="108"/>
      <c r="P600" s="585" cm="1">
        <f t="array" ref="P600:R601">IF($Y$142,_xlfn._xlws.FILTER(P179:R182,O179:O182,{"","",""}),{"","",""})</f>
        <v>5</v>
      </c>
      <c r="Q600" t="str">
        <v>Balance @ 12/31/20x0</v>
      </c>
      <c r="R600">
        <v>0</v>
      </c>
    </row>
    <row r="601" spans="2:29">
      <c r="I601" s="107"/>
      <c r="K601" s="108"/>
      <c r="P601">
        <v>5</v>
      </c>
      <c r="Q601" t="str">
        <v>Balance @ 12/31/20x1</v>
      </c>
      <c r="R601">
        <v>0</v>
      </c>
    </row>
    <row r="602" spans="2:29">
      <c r="I602" s="107"/>
      <c r="K602" s="108"/>
    </row>
    <row r="603" spans="2:29">
      <c r="I603" s="107"/>
      <c r="K603" s="108"/>
    </row>
    <row r="604" spans="2:29">
      <c r="B604" s="585" t="str" cm="1">
        <f t="array" ref="B604:D604">IF(E555,B555:D555,{"","",""})</f>
        <v/>
      </c>
      <c r="C604" t="str">
        <v/>
      </c>
      <c r="D604" t="str">
        <v/>
      </c>
      <c r="I604" s="107"/>
      <c r="K604" s="108"/>
      <c r="AA604" s="585" cm="1">
        <f t="array" ref="AA604:AC604">IF(OR($E$106,AD555),AA555:AC555,{"","",""})</f>
        <v>3</v>
      </c>
      <c r="AB604" t="str">
        <v>Total Assets</v>
      </c>
      <c r="AC604">
        <v>0</v>
      </c>
    </row>
    <row r="605" spans="2:29">
      <c r="I605" s="107"/>
      <c r="K605" s="108"/>
    </row>
    <row r="606" spans="2:29">
      <c r="I606" s="107"/>
      <c r="K606" s="108"/>
    </row>
    <row r="607" spans="2:29">
      <c r="I607" s="107"/>
      <c r="K607" s="108"/>
    </row>
    <row r="608" spans="2:29" ht="15" thickBot="1">
      <c r="B608" s="5" t="s">
        <v>1167</v>
      </c>
      <c r="I608" s="107"/>
      <c r="K608" s="108"/>
      <c r="W608" s="5"/>
      <c r="AA608" s="5" t="s">
        <v>1167</v>
      </c>
    </row>
    <row r="609" spans="2:29">
      <c r="B609" s="207" cm="1">
        <f t="array" aca="1" ref="B609:D622" ca="1">IF(OR($E$101,OR(E561,E562)),_xlfn.VSTACK(_xlfn.ANCHORARRAY(B574),{"","",""},_xlfn.ANCHORARRAY(B575),_xlfn.ANCHORARRAY(B576),_xlfn.ANCHORARRAY(B585),{"","",""},_xlfn.ANCHORARRAY(B589),_xlfn.ANCHORARRAY(B590),_xlfn.ANCHORARRAY(B599),{"","",""},_xlfn.ANCHORARRAY(B604)),_xlfn.ANCHORARRAY(B574))</f>
        <v>2</v>
      </c>
      <c r="C609" s="416" t="str">
        <f ca="1"/>
        <v>Assets</v>
      </c>
      <c r="D609" s="206" t="str">
        <f ca="1"/>
        <v/>
      </c>
      <c r="I609" s="107"/>
      <c r="K609" s="108"/>
      <c r="P609" s="585" cm="1">
        <f t="array" aca="1" ref="P609:R609" ca="1">IF($Y$133,{3,"Accumulated Other Comprehensive Income",""},{"","",""})</f>
        <v>3</v>
      </c>
      <c r="Q609" t="str">
        <f ca="1"/>
        <v>Accumulated Other Comprehensive Income</v>
      </c>
      <c r="R609" t="str">
        <f ca="1"/>
        <v/>
      </c>
      <c r="AA609" s="207" cm="1">
        <f t="array" aca="1" ref="AA609:AC622" ca="1">IF(OR($E$106,OR(AD561,AD562)),_xlfn.VSTACK(_xlfn.ANCHORARRAY(AA574),{"","",""},_xlfn.ANCHORARRAY(AA575),_xlfn.ANCHORARRAY(AA576),_xlfn.ANCHORARRAY(AA585),{"","",""},_xlfn.ANCHORARRAY(AA589),_xlfn.ANCHORARRAY(AA590),_xlfn.ANCHORARRAY(AA599),{"","",""},_xlfn.ANCHORARRAY(AA604)),_xlfn.ANCHORARRAY(AA574))</f>
        <v>2</v>
      </c>
      <c r="AB609" s="416" t="str">
        <f ca="1"/>
        <v>Assets</v>
      </c>
      <c r="AC609" s="206" t="str">
        <f ca="1"/>
        <v/>
      </c>
    </row>
    <row r="610" spans="2:29">
      <c r="B610" s="107" t="str">
        <f ca="1"/>
        <v/>
      </c>
      <c r="C610" t="str">
        <f ca="1"/>
        <v/>
      </c>
      <c r="D610" s="108" t="str">
        <f ca="1"/>
        <v/>
      </c>
      <c r="I610" s="107"/>
      <c r="K610" s="108"/>
      <c r="P610" s="585" cm="1">
        <f t="array" ref="P610:R611">IF($Y$142,_xlfn._xlws.FILTER(P185:R187,O185:O187,{"","",""}),{"","",""})</f>
        <v>5</v>
      </c>
      <c r="Q610" t="str">
        <v>Balance @ 12/31/20x0</v>
      </c>
      <c r="R610">
        <v>0</v>
      </c>
      <c r="AA610" s="107" t="str">
        <f ca="1"/>
        <v/>
      </c>
      <c r="AB610" t="str">
        <f ca="1"/>
        <v/>
      </c>
      <c r="AC610" s="108" t="str">
        <f ca="1"/>
        <v/>
      </c>
    </row>
    <row r="611" spans="2:29">
      <c r="B611" s="107">
        <f ca="1"/>
        <v>4</v>
      </c>
      <c r="C611" t="str">
        <f ca="1"/>
        <v xml:space="preserve"> Current Assets:</v>
      </c>
      <c r="D611" s="108" t="str">
        <f ca="1"/>
        <v/>
      </c>
      <c r="I611" s="107"/>
      <c r="K611" s="108"/>
      <c r="P611">
        <v>5</v>
      </c>
      <c r="Q611" t="str">
        <v>Balance @ 12/31/20x1</v>
      </c>
      <c r="R611">
        <v>0</v>
      </c>
      <c r="AA611" s="107">
        <f ca="1"/>
        <v>4</v>
      </c>
      <c r="AB611" t="str">
        <f ca="1"/>
        <v xml:space="preserve"> Current Assets:</v>
      </c>
      <c r="AC611" s="108" t="str">
        <f ca="1"/>
        <v/>
      </c>
    </row>
    <row r="612" spans="2:29">
      <c r="B612" s="107">
        <f ca="1"/>
        <v>6</v>
      </c>
      <c r="C612" t="str">
        <f ca="1"/>
        <v>Cash</v>
      </c>
      <c r="D612" s="108">
        <f ca="1"/>
        <v>0</v>
      </c>
      <c r="I612" s="107"/>
      <c r="K612" s="108"/>
      <c r="AA612" s="107">
        <f ca="1"/>
        <v>6</v>
      </c>
      <c r="AB612" t="str">
        <f ca="1"/>
        <v>Cash</v>
      </c>
      <c r="AC612" s="108">
        <f ca="1"/>
        <v>0</v>
      </c>
    </row>
    <row r="613" spans="2:29" ht="15" thickBot="1">
      <c r="B613" s="107">
        <f ca="1"/>
        <v>7</v>
      </c>
      <c r="C613" t="str">
        <f ca="1"/>
        <v>Accounts Receivable</v>
      </c>
      <c r="D613" s="108">
        <f ca="1"/>
        <v>0</v>
      </c>
      <c r="I613" s="109"/>
      <c r="J613" s="315"/>
      <c r="K613" s="110"/>
      <c r="AA613" s="107">
        <f ca="1"/>
        <v>7</v>
      </c>
      <c r="AB613" t="str">
        <f ca="1"/>
        <v>Accounts Receivable</v>
      </c>
      <c r="AC613" s="108">
        <f ca="1"/>
        <v>0</v>
      </c>
    </row>
    <row r="614" spans="2:29">
      <c r="B614" s="107">
        <f ca="1"/>
        <v>7</v>
      </c>
      <c r="C614" t="str">
        <f ca="1"/>
        <v>Inventories</v>
      </c>
      <c r="D614" s="108">
        <f ca="1"/>
        <v>0</v>
      </c>
      <c r="S614" s="585" cm="1">
        <f t="array" aca="1" ref="S614:U615" ca="1">IF(AC124,_xlfn.VSTACK({3,"Financing Activities",""},{"","",""}),{"","",""})</f>
        <v>3</v>
      </c>
      <c r="T614" t="str">
        <f ca="1"/>
        <v>Financing Activities</v>
      </c>
      <c r="U614" t="str">
        <f ca="1"/>
        <v/>
      </c>
      <c r="AA614" s="107">
        <f ca="1"/>
        <v>7</v>
      </c>
      <c r="AB614" t="str">
        <f ca="1"/>
        <v>Inventories</v>
      </c>
      <c r="AC614" s="108">
        <f ca="1"/>
        <v>0</v>
      </c>
    </row>
    <row r="615" spans="2:29">
      <c r="B615" s="107" t="str">
        <f ca="1"/>
        <v/>
      </c>
      <c r="C615" t="str">
        <f ca="1"/>
        <v/>
      </c>
      <c r="D615" s="108" t="str">
        <f ca="1"/>
        <v/>
      </c>
      <c r="S615" t="str">
        <f ca="1"/>
        <v/>
      </c>
      <c r="T615" t="str">
        <f ca="1"/>
        <v/>
      </c>
      <c r="U615" t="str">
        <f ca="1"/>
        <v/>
      </c>
      <c r="AA615" s="107" t="str">
        <f ca="1"/>
        <v/>
      </c>
      <c r="AB615" t="str">
        <f ca="1"/>
        <v/>
      </c>
      <c r="AC615" s="108" t="str">
        <f ca="1"/>
        <v/>
      </c>
    </row>
    <row r="616" spans="2:29">
      <c r="B616" s="107" t="str">
        <f ca="1"/>
        <v/>
      </c>
      <c r="C616" t="str">
        <f ca="1"/>
        <v/>
      </c>
      <c r="D616" s="108" t="str">
        <f ca="1"/>
        <v/>
      </c>
      <c r="S616" s="585" t="str" cm="1">
        <f t="array" aca="1" ref="S616:U616" ca="1">IF($AC$152,_xlfn.VSTACK(_xlfn._xlws.FILTER(S212:U230,W212:W230,{"","",""}),S237:U237,{"","",""}),{"","",""})</f>
        <v/>
      </c>
      <c r="T616" t="str">
        <f ca="1"/>
        <v/>
      </c>
      <c r="U616" t="str">
        <f ca="1"/>
        <v/>
      </c>
      <c r="AA616" s="107" t="str">
        <f ca="1"/>
        <v/>
      </c>
      <c r="AB616" t="str">
        <f ca="1"/>
        <v/>
      </c>
      <c r="AC616" s="108" t="str">
        <f ca="1"/>
        <v/>
      </c>
    </row>
    <row r="617" spans="2:29">
      <c r="B617" s="107">
        <f ca="1"/>
        <v>4</v>
      </c>
      <c r="C617" t="str">
        <f ca="1"/>
        <v xml:space="preserve"> Noncurrent Assets:</v>
      </c>
      <c r="D617" s="108" t="str">
        <f ca="1"/>
        <v/>
      </c>
      <c r="AA617" s="107">
        <f ca="1"/>
        <v>4</v>
      </c>
      <c r="AB617" t="str">
        <f ca="1"/>
        <v xml:space="preserve"> Noncurrent Assets:</v>
      </c>
      <c r="AC617" s="108" t="str">
        <f ca="1"/>
        <v/>
      </c>
    </row>
    <row r="618" spans="2:29">
      <c r="B618" s="107">
        <f ca="1"/>
        <v>6</v>
      </c>
      <c r="C618" t="str">
        <f ca="1"/>
        <v>Property, Plant &amp; Equipment</v>
      </c>
      <c r="D618" s="108">
        <f ca="1"/>
        <v>0</v>
      </c>
      <c r="AA618" s="107">
        <f ca="1"/>
        <v>6</v>
      </c>
      <c r="AB618" t="str">
        <f ca="1"/>
        <v>Property, Plant &amp; Equipment</v>
      </c>
      <c r="AC618" s="108">
        <f ca="1"/>
        <v>0</v>
      </c>
    </row>
    <row r="619" spans="2:29" ht="15" thickBot="1">
      <c r="B619" s="107">
        <f ca="1"/>
        <v>7</v>
      </c>
      <c r="C619" t="str">
        <f ca="1"/>
        <v>Land</v>
      </c>
      <c r="D619" s="108">
        <f ca="1"/>
        <v>0</v>
      </c>
      <c r="I619" s="585" t="str" cm="1">
        <f t="array" ref="I619:K619">IF(L553,_xlfn.ANCHORARRAY(I553),{"","",""})</f>
        <v/>
      </c>
      <c r="J619" t="str">
        <v/>
      </c>
      <c r="K619" t="str">
        <v/>
      </c>
      <c r="P619" s="585" cm="1">
        <f t="array" aca="1" ref="P619:R619" ca="1">IF($Y$133,{3,"Treasury Stock",""},{"","",""})</f>
        <v>3</v>
      </c>
      <c r="Q619" t="str">
        <f ca="1"/>
        <v>Treasury Stock</v>
      </c>
      <c r="R619" t="str">
        <f ca="1"/>
        <v/>
      </c>
      <c r="AA619" s="107">
        <f ca="1"/>
        <v>7</v>
      </c>
      <c r="AB619" t="str">
        <f ca="1"/>
        <v>Land</v>
      </c>
      <c r="AC619" s="108">
        <f ca="1"/>
        <v>0</v>
      </c>
    </row>
    <row r="620" spans="2:29">
      <c r="B620" s="107" t="str">
        <f ca="1"/>
        <v/>
      </c>
      <c r="C620" t="str">
        <f ca="1"/>
        <v/>
      </c>
      <c r="D620" s="108" t="str">
        <f ca="1"/>
        <v/>
      </c>
      <c r="I620" s="586" t="str" cm="1">
        <f t="array" ref="I620:K620">IF(L553,_xlfn._xlws.FILTER(I196:K205,K196:K205&lt;&gt;"",{"","",""}),{"","",""})</f>
        <v/>
      </c>
      <c r="J620" s="416" t="str">
        <v/>
      </c>
      <c r="K620" s="206" t="str">
        <v/>
      </c>
      <c r="P620" s="585" cm="1">
        <f t="array" ref="P620:R621">IF($Y$142,_xlfn._xlws.FILTER(P190:R193,O190:O193,{"","",""}),{"","",""})</f>
        <v>5</v>
      </c>
      <c r="Q620" t="str">
        <v>Balance @ 12/31/20x0</v>
      </c>
      <c r="R620">
        <v>0</v>
      </c>
      <c r="AA620" s="107">
        <f ca="1"/>
        <v>5</v>
      </c>
      <c r="AB620" t="str">
        <f ca="1"/>
        <v xml:space="preserve">  Total Noncurrent Assets</v>
      </c>
      <c r="AC620" s="108">
        <f ca="1"/>
        <v>0</v>
      </c>
    </row>
    <row r="621" spans="2:29">
      <c r="B621" s="107" t="str">
        <f ca="1"/>
        <v/>
      </c>
      <c r="C621" t="str">
        <f ca="1"/>
        <v/>
      </c>
      <c r="D621" s="108" t="str">
        <f ca="1"/>
        <v/>
      </c>
      <c r="I621" s="107"/>
      <c r="K621" s="108"/>
      <c r="P621">
        <v>5</v>
      </c>
      <c r="Q621" t="str">
        <v>Balance @ 12/31/20x1</v>
      </c>
      <c r="R621">
        <v>0</v>
      </c>
      <c r="AA621" s="107" t="str">
        <f ca="1"/>
        <v/>
      </c>
      <c r="AB621" t="str">
        <f ca="1"/>
        <v/>
      </c>
      <c r="AC621" s="108" t="str">
        <f ca="1"/>
        <v/>
      </c>
    </row>
    <row r="622" spans="2:29">
      <c r="B622" s="107" t="str">
        <f ca="1"/>
        <v/>
      </c>
      <c r="C622" t="str">
        <f ca="1"/>
        <v/>
      </c>
      <c r="D622" s="108" t="str">
        <f ca="1"/>
        <v/>
      </c>
      <c r="I622" s="107"/>
      <c r="K622" s="108"/>
      <c r="AA622" s="107">
        <f ca="1"/>
        <v>3</v>
      </c>
      <c r="AB622" t="str">
        <f ca="1"/>
        <v>Total Assets</v>
      </c>
      <c r="AC622" s="108">
        <f ca="1"/>
        <v>0</v>
      </c>
    </row>
    <row r="623" spans="2:29">
      <c r="B623" s="107"/>
      <c r="D623" s="108"/>
      <c r="I623" s="107"/>
      <c r="K623" s="108"/>
      <c r="AA623" s="107"/>
      <c r="AC623" s="108"/>
    </row>
    <row r="624" spans="2:29">
      <c r="B624" s="107"/>
      <c r="D624" s="108"/>
      <c r="I624" s="107"/>
      <c r="K624" s="108"/>
      <c r="AA624" s="107"/>
      <c r="AC624" s="108"/>
    </row>
    <row r="625" spans="2:29">
      <c r="B625" s="107"/>
      <c r="D625" s="108"/>
      <c r="I625" s="107"/>
      <c r="K625" s="108"/>
      <c r="AA625" s="107"/>
      <c r="AC625" s="108"/>
    </row>
    <row r="626" spans="2:29">
      <c r="B626" s="107"/>
      <c r="D626" s="108"/>
      <c r="I626" s="107"/>
      <c r="K626" s="108"/>
      <c r="AA626" s="107"/>
      <c r="AC626" s="108"/>
    </row>
    <row r="627" spans="2:29">
      <c r="B627" s="107"/>
      <c r="D627" s="108"/>
      <c r="I627" s="107"/>
      <c r="K627" s="108"/>
      <c r="S627" s="585" t="str" cm="1">
        <f t="array" aca="1" ref="S627:U627" ca="1">IF(OR($AC$134,$AC$143,$AC$152),S239:U239,{"","",""})</f>
        <v/>
      </c>
      <c r="T627" t="str">
        <f ca="1"/>
        <v/>
      </c>
      <c r="U627" t="str">
        <f ca="1"/>
        <v/>
      </c>
      <c r="AA627" s="107"/>
      <c r="AC627" s="108"/>
    </row>
    <row r="628" spans="2:29">
      <c r="B628" s="107"/>
      <c r="D628" s="108"/>
      <c r="I628" s="107"/>
      <c r="K628" s="108"/>
      <c r="AA628" s="107"/>
      <c r="AC628" s="108"/>
    </row>
    <row r="629" spans="2:29" ht="15" thickBot="1">
      <c r="B629" s="107"/>
      <c r="D629" s="108"/>
      <c r="I629" s="109"/>
      <c r="J629" s="315"/>
      <c r="K629" s="110"/>
      <c r="S629" s="585" cm="1">
        <f t="array" aca="1" ref="S629:U629" ca="1">IF($AC$100,S233:U233,{"","",""})</f>
        <v>2</v>
      </c>
      <c r="T629" t="str">
        <f ca="1"/>
        <v>Cash @ 12/31/20x1</v>
      </c>
      <c r="U629">
        <f ca="1"/>
        <v>0</v>
      </c>
      <c r="AA629" s="107"/>
      <c r="AC629" s="108"/>
    </row>
    <row r="630" spans="2:29">
      <c r="B630" s="107"/>
      <c r="D630" s="108"/>
      <c r="AA630" s="107"/>
      <c r="AC630" s="108"/>
    </row>
    <row r="631" spans="2:29">
      <c r="B631" s="107"/>
      <c r="D631" s="108"/>
      <c r="AA631" s="107"/>
      <c r="AC631" s="108"/>
    </row>
    <row r="632" spans="2:29">
      <c r="B632" s="107"/>
      <c r="D632" s="108"/>
      <c r="AA632" s="107"/>
      <c r="AC632" s="108"/>
    </row>
    <row r="633" spans="2:29">
      <c r="B633" s="107"/>
      <c r="D633" s="108"/>
      <c r="AA633" s="107"/>
      <c r="AC633" s="108"/>
    </row>
    <row r="634" spans="2:29" ht="15" thickBot="1">
      <c r="B634" s="107"/>
      <c r="D634" s="108"/>
      <c r="I634" s="585" t="str" cm="1">
        <f t="array" ref="I634:K634">IF(L554,_xlfn.ANCHORARRAY(I554),{"","",""})</f>
        <v/>
      </c>
      <c r="J634" t="str">
        <v/>
      </c>
      <c r="K634" t="str">
        <v/>
      </c>
      <c r="AA634" s="107"/>
      <c r="AC634" s="108"/>
    </row>
    <row r="635" spans="2:29">
      <c r="B635" s="107"/>
      <c r="D635" s="108"/>
      <c r="I635" s="586" t="str" cm="1">
        <f t="array" ref="I635:K635">IF(L554,_xlfn._xlws.FILTER(I208:K217,K208:K217&lt;&gt;"",{"","",""}),{"","",""})</f>
        <v/>
      </c>
      <c r="J635" s="416" t="str">
        <v/>
      </c>
      <c r="K635" s="206" t="str">
        <v/>
      </c>
      <c r="AA635" s="107"/>
      <c r="AC635" s="108"/>
    </row>
    <row r="636" spans="2:29">
      <c r="B636" s="107"/>
      <c r="D636" s="108"/>
      <c r="I636" s="107"/>
      <c r="K636" s="108"/>
      <c r="AA636" s="107"/>
      <c r="AC636" s="108"/>
    </row>
    <row r="637" spans="2:29">
      <c r="B637" s="107"/>
      <c r="D637" s="108"/>
      <c r="I637" s="107"/>
      <c r="K637" s="108"/>
      <c r="AA637" s="107"/>
      <c r="AC637" s="108"/>
    </row>
    <row r="638" spans="2:29">
      <c r="B638" s="107"/>
      <c r="D638" s="108"/>
      <c r="I638" s="107"/>
      <c r="K638" s="108"/>
      <c r="AA638" s="107"/>
      <c r="AC638" s="108"/>
    </row>
    <row r="639" spans="2:29">
      <c r="B639" s="107"/>
      <c r="D639" s="108"/>
      <c r="I639" s="107"/>
      <c r="K639" s="108"/>
      <c r="AA639" s="107"/>
      <c r="AC639" s="108"/>
    </row>
    <row r="640" spans="2:29">
      <c r="B640" s="107"/>
      <c r="D640" s="108"/>
      <c r="I640" s="107"/>
      <c r="K640" s="108"/>
      <c r="AA640" s="107"/>
      <c r="AC640" s="108"/>
    </row>
    <row r="641" spans="2:29">
      <c r="B641" s="107"/>
      <c r="D641" s="108"/>
      <c r="I641" s="107"/>
      <c r="K641" s="108"/>
      <c r="AA641" s="107"/>
      <c r="AC641" s="108"/>
    </row>
    <row r="642" spans="2:29">
      <c r="B642" s="107"/>
      <c r="D642" s="108"/>
      <c r="I642" s="107"/>
      <c r="K642" s="108"/>
      <c r="AA642" s="107"/>
      <c r="AC642" s="108"/>
    </row>
    <row r="643" spans="2:29">
      <c r="B643" s="107"/>
      <c r="D643" s="108"/>
      <c r="I643" s="107"/>
      <c r="K643" s="108"/>
      <c r="AA643" s="107"/>
      <c r="AC643" s="108"/>
    </row>
    <row r="644" spans="2:29" ht="15" thickBot="1">
      <c r="B644" s="107"/>
      <c r="D644" s="108"/>
      <c r="I644" s="109"/>
      <c r="J644" s="315"/>
      <c r="K644" s="110"/>
      <c r="AA644" s="107"/>
      <c r="AC644" s="108"/>
    </row>
    <row r="645" spans="2:29">
      <c r="B645" s="107"/>
      <c r="D645" s="108"/>
      <c r="AA645" s="107"/>
      <c r="AC645" s="108"/>
    </row>
    <row r="646" spans="2:29">
      <c r="B646" s="107"/>
      <c r="D646" s="108"/>
      <c r="I646" s="5"/>
      <c r="AA646" s="107"/>
      <c r="AC646" s="108"/>
    </row>
    <row r="647" spans="2:29" ht="15" thickBot="1">
      <c r="B647" s="109"/>
      <c r="C647" s="315"/>
      <c r="D647" s="110"/>
      <c r="I647" s="5" t="s">
        <v>1168</v>
      </c>
      <c r="AA647" s="109"/>
      <c r="AB647" s="315"/>
      <c r="AC647" s="110"/>
    </row>
    <row r="648" spans="2:29" ht="15" thickBot="1">
      <c r="I648" s="5" t="s">
        <v>69</v>
      </c>
    </row>
    <row r="649" spans="2:29" ht="15" thickBot="1">
      <c r="B649" s="585" cm="1">
        <f t="array" ref="B649:D649">IF(E552,_xlfn.ANCHORARRAY(B552),{"","",""})</f>
        <v>2</v>
      </c>
      <c r="C649" t="str">
        <v>Liabilities</v>
      </c>
      <c r="D649" t="str">
        <v/>
      </c>
      <c r="I649" s="207" cm="1">
        <f t="array" ref="I649:K652">_xlfn.IFS(AND(L551,L557),_xlfn.VSTACK(_xlfn.ANCHORARRAY(I574),{"","",""},_xlfn.ANCHORARRAY(I575),I557:K557),AND(L551,NOT(L557)),_xlfn.ANCHORARRAY(I551),NOT(L551),{"","",""})</f>
        <v>2</v>
      </c>
      <c r="J649" s="416" t="str">
        <v>Revenues</v>
      </c>
      <c r="K649" s="206" t="str">
        <v/>
      </c>
      <c r="AA649" s="585" cm="1">
        <f t="array" ref="AA649:AC649">IF(AD552,_xlfn.ANCHORARRAY(AA552),{"","",""})</f>
        <v>2</v>
      </c>
      <c r="AB649" t="str">
        <v>Liabilities</v>
      </c>
      <c r="AC649" t="str">
        <v/>
      </c>
    </row>
    <row r="650" spans="2:29">
      <c r="B650" s="586" cm="1">
        <f t="array" aca="1" ref="B650:D650" ca="1">IF(OR($E$101,E563),_xlfn.ANCHORARRAY(B563),{"","",""})</f>
        <v>4</v>
      </c>
      <c r="C650" s="416" t="str">
        <f ca="1"/>
        <v xml:space="preserve"> Current Liabilities:</v>
      </c>
      <c r="D650" s="206" t="str">
        <f ca="1"/>
        <v/>
      </c>
      <c r="I650" s="107" t="str">
        <v/>
      </c>
      <c r="J650" t="str">
        <v/>
      </c>
      <c r="K650" s="205" t="str">
        <v/>
      </c>
      <c r="AA650" s="586" cm="1">
        <f t="array" aca="1" ref="AA650:AC650" ca="1">IF(OR($E$106,AD563),_xlfn.ANCHORARRAY(AA563),{"","",""})</f>
        <v>4</v>
      </c>
      <c r="AB650" s="416" t="str">
        <f ca="1"/>
        <v xml:space="preserve"> Current Liabilities:</v>
      </c>
      <c r="AC650" s="206" t="str">
        <f ca="1"/>
        <v/>
      </c>
    </row>
    <row r="651" spans="2:29">
      <c r="B651" s="587" cm="1">
        <f t="array" ref="B651:D653">IF(OR($E$101,E568),_xlfn._xlws.FILTER(B184:D193,C184:C193&lt;&gt;""),{"","",""})</f>
        <v>6</v>
      </c>
      <c r="C651" t="str">
        <v>Accounts Payable</v>
      </c>
      <c r="D651" s="108">
        <v>0</v>
      </c>
      <c r="I651" s="107" t="str">
        <v/>
      </c>
      <c r="J651" t="str">
        <v/>
      </c>
      <c r="K651" s="205" t="str">
        <v/>
      </c>
      <c r="AA651" s="587" cm="1">
        <f t="array" ref="AA651:AC653">IF(OR($E$106,AD568),_xlfn._xlws.FILTER(AA184:AC193,AB184:AB193&lt;&gt;""),{"","",""})</f>
        <v>6</v>
      </c>
      <c r="AB651" t="str">
        <v>Accounts Payable</v>
      </c>
      <c r="AC651" s="108">
        <v>0</v>
      </c>
    </row>
    <row r="652" spans="2:29">
      <c r="B652" s="107">
        <v>7</v>
      </c>
      <c r="C652" t="str">
        <v>Dividends Payable</v>
      </c>
      <c r="D652" s="108">
        <v>0</v>
      </c>
      <c r="I652" s="107">
        <v>5</v>
      </c>
      <c r="J652" t="str">
        <v xml:space="preserve">  Total Revenues</v>
      </c>
      <c r="K652" s="205">
        <v>0</v>
      </c>
      <c r="P652" s="5" t="s">
        <v>1169</v>
      </c>
      <c r="AA652" s="107">
        <v>7</v>
      </c>
      <c r="AB652" t="str">
        <v>Dividends Payable</v>
      </c>
      <c r="AC652" s="108">
        <v>0</v>
      </c>
    </row>
    <row r="653" spans="2:29">
      <c r="B653" s="107">
        <v>7</v>
      </c>
      <c r="C653" t="str">
        <v>Unearned Revenue</v>
      </c>
      <c r="D653" s="108">
        <v>0</v>
      </c>
      <c r="I653" s="107"/>
      <c r="K653" s="205"/>
      <c r="P653" cm="1">
        <f t="array" aca="1" ref="P653:R662" ca="1">IF($R$118,_xlfn.VSTACK(P195:R195,{"","",""},_xlfn.ANCHORARRAY(P579),_xlfn.ANCHORARRAY(P580),_xlfn.ANCHORARRAY(P599),_xlfn.ANCHORARRAY(P600),P196:R196,{"","",""}),{"","",""})</f>
        <v>2</v>
      </c>
      <c r="Q653" t="str">
        <f ca="1"/>
        <v>Total Shareholders' Equity @ 12/31/20x0</v>
      </c>
      <c r="R653">
        <f ca="1"/>
        <v>0</v>
      </c>
      <c r="AA653" s="107">
        <v>7</v>
      </c>
      <c r="AB653" t="str">
        <v>Unearned Revenue</v>
      </c>
      <c r="AC653" s="108">
        <v>0</v>
      </c>
    </row>
    <row r="654" spans="2:29">
      <c r="B654" s="107"/>
      <c r="D654" s="108"/>
      <c r="I654" s="107"/>
      <c r="K654" s="205"/>
      <c r="P654" t="str">
        <f ca="1"/>
        <v/>
      </c>
      <c r="Q654" t="str">
        <f ca="1"/>
        <v/>
      </c>
      <c r="R654" t="str">
        <f ca="1"/>
        <v/>
      </c>
      <c r="AA654" s="107"/>
      <c r="AC654" s="108"/>
    </row>
    <row r="655" spans="2:29">
      <c r="B655" s="107"/>
      <c r="D655" s="108"/>
      <c r="I655" s="107"/>
      <c r="K655" s="205"/>
      <c r="P655">
        <f ca="1"/>
        <v>3</v>
      </c>
      <c r="Q655" t="str">
        <f ca="1"/>
        <v>Common Stock</v>
      </c>
      <c r="R655" t="str">
        <f ca="1"/>
        <v/>
      </c>
      <c r="AA655" s="107"/>
      <c r="AC655" s="108"/>
    </row>
    <row r="656" spans="2:29">
      <c r="B656" s="107"/>
      <c r="D656" s="108"/>
      <c r="I656" s="107"/>
      <c r="K656" s="205"/>
      <c r="P656">
        <f ca="1"/>
        <v>5</v>
      </c>
      <c r="Q656" t="str">
        <f ca="1"/>
        <v>Balance @ 12/31/20x0</v>
      </c>
      <c r="R656">
        <f ca="1"/>
        <v>0</v>
      </c>
      <c r="AA656" s="107"/>
      <c r="AC656" s="108"/>
    </row>
    <row r="657" spans="2:29" ht="15" thickBot="1">
      <c r="B657" s="107"/>
      <c r="D657" s="108"/>
      <c r="I657" s="109"/>
      <c r="J657" s="315"/>
      <c r="K657" s="317"/>
      <c r="P657">
        <f ca="1"/>
        <v>5</v>
      </c>
      <c r="Q657" t="str">
        <f ca="1"/>
        <v>Balance @ 12/31/20x1</v>
      </c>
      <c r="R657">
        <f ca="1"/>
        <v>0</v>
      </c>
      <c r="AA657" s="107"/>
      <c r="AC657" s="108"/>
    </row>
    <row r="658" spans="2:29">
      <c r="B658" s="107"/>
      <c r="D658" s="108"/>
      <c r="K658" s="37"/>
      <c r="P658">
        <f ca="1"/>
        <v>3</v>
      </c>
      <c r="Q658" t="str">
        <f ca="1"/>
        <v>Retained Earnings</v>
      </c>
      <c r="R658" t="str">
        <f ca="1"/>
        <v/>
      </c>
      <c r="AA658" s="107"/>
      <c r="AC658" s="108"/>
    </row>
    <row r="659" spans="2:29">
      <c r="B659" s="107"/>
      <c r="D659" s="108"/>
      <c r="K659" s="37"/>
      <c r="P659">
        <f ca="1"/>
        <v>5</v>
      </c>
      <c r="Q659" t="str">
        <f ca="1"/>
        <v>Balance @ 12/31/20x0</v>
      </c>
      <c r="R659">
        <f ca="1"/>
        <v>0</v>
      </c>
      <c r="AA659" s="107"/>
      <c r="AC659" s="108"/>
    </row>
    <row r="660" spans="2:29" ht="15" thickBot="1">
      <c r="B660" s="588" t="str" cm="1">
        <f t="array" ref="B660:D660">IF(E568,B568:D568,{"","",""})</f>
        <v/>
      </c>
      <c r="C660" s="315" t="str">
        <v/>
      </c>
      <c r="D660" s="110" t="str">
        <v/>
      </c>
      <c r="K660" s="37"/>
      <c r="P660">
        <f ca="1"/>
        <v>5</v>
      </c>
      <c r="Q660" t="str">
        <f ca="1"/>
        <v>Balance @ 12/31/20x1</v>
      </c>
      <c r="R660">
        <f ca="1"/>
        <v>0</v>
      </c>
      <c r="AA660" s="588" cm="1">
        <f t="array" ref="AA660:AC660">IF(OR($E$106,AD568),AA568:AC568,{"","",""})</f>
        <v>5</v>
      </c>
      <c r="AB660" s="315" t="str">
        <v xml:space="preserve">  Total Current Liabilities</v>
      </c>
      <c r="AC660" s="110">
        <v>0</v>
      </c>
    </row>
    <row r="661" spans="2:29">
      <c r="K661" s="37"/>
      <c r="P661">
        <f ca="1"/>
        <v>2</v>
      </c>
      <c r="Q661" t="str">
        <f ca="1"/>
        <v>Total Shareholders' Equity @ 12/31/20x1</v>
      </c>
      <c r="R661">
        <f ca="1"/>
        <v>0</v>
      </c>
    </row>
    <row r="662" spans="2:29">
      <c r="K662" s="37"/>
      <c r="P662" t="str">
        <f ca="1"/>
        <v/>
      </c>
      <c r="Q662" t="str">
        <f ca="1"/>
        <v/>
      </c>
      <c r="R662" t="str">
        <f ca="1"/>
        <v/>
      </c>
    </row>
    <row r="663" spans="2:29" ht="15" thickBot="1">
      <c r="I663" s="5" t="s">
        <v>70</v>
      </c>
      <c r="K663" s="37"/>
    </row>
    <row r="664" spans="2:29" ht="15" thickBot="1">
      <c r="I664" s="207" cm="1">
        <f t="array" ref="I664:K667">_xlfn.IFS(AND(L552,L558),_xlfn.VSTACK(_xlfn.ANCHORARRAY(I584),{"","",""},_xlfn.ANCHORARRAY(I585),I558:K558),AND(L552,NOT(L558)),_xlfn.ANCHORARRAY(I552),NOT(L552),{"","",""})</f>
        <v>2</v>
      </c>
      <c r="J664" s="416" t="str">
        <v>Expenses</v>
      </c>
      <c r="K664" s="433" t="str">
        <v/>
      </c>
    </row>
    <row r="665" spans="2:29">
      <c r="B665" s="586" cm="1">
        <f t="array" aca="1" ref="B665:D665" ca="1">IF(OR($E$101,E563),_xlfn.ANCHORARRAY(B564),{"","",""})</f>
        <v>4</v>
      </c>
      <c r="C665" s="416" t="str">
        <f ca="1"/>
        <v xml:space="preserve"> Noncurrent Liabilities:</v>
      </c>
      <c r="D665" s="206" t="str">
        <f ca="1"/>
        <v/>
      </c>
      <c r="I665" s="107" t="str">
        <v/>
      </c>
      <c r="J665" t="str">
        <v/>
      </c>
      <c r="K665" s="205" t="str">
        <v/>
      </c>
      <c r="AA665" s="586" cm="1">
        <f t="array" aca="1" ref="AA665:AC665" ca="1">IF(OR($E$106,AD564),_xlfn.ANCHORARRAY(AA564),{"","",""})</f>
        <v>4</v>
      </c>
      <c r="AB665" s="416" t="str">
        <f ca="1"/>
        <v xml:space="preserve"> Noncurrent Liabilities:</v>
      </c>
      <c r="AC665" s="206" t="str">
        <f ca="1"/>
        <v/>
      </c>
    </row>
    <row r="666" spans="2:29">
      <c r="B666" s="587" cm="1">
        <f t="array" ref="B666:D666">IF(OR($E$101,E569),_xlfn._xlws.FILTER(B196:D205,C196:C205&lt;&gt;""),{"","",""})</f>
        <v>6</v>
      </c>
      <c r="C666" t="str">
        <v>Loans Payable</v>
      </c>
      <c r="D666" s="108">
        <v>0</v>
      </c>
      <c r="I666" s="107" t="str">
        <v/>
      </c>
      <c r="J666" t="str">
        <v/>
      </c>
      <c r="K666" s="205" t="str">
        <v/>
      </c>
      <c r="AA666" s="587" cm="1">
        <f t="array" aca="1" ref="AA666:AC666" ca="1">IF(OR($E$106,AD564),_xlfn._xlws.FILTER(AA196:AC205,AB196:AB205&lt;&gt;""),{"","",""})</f>
        <v>6</v>
      </c>
      <c r="AB666" t="str">
        <f ca="1"/>
        <v>Loans Payable</v>
      </c>
      <c r="AC666" s="108">
        <f ca="1"/>
        <v>0</v>
      </c>
    </row>
    <row r="667" spans="2:29">
      <c r="B667" s="107"/>
      <c r="D667" s="108"/>
      <c r="I667" s="107">
        <v>5</v>
      </c>
      <c r="J667" t="str">
        <v xml:space="preserve">  Total Expenses</v>
      </c>
      <c r="K667" s="205">
        <v>0</v>
      </c>
      <c r="AA667" s="107"/>
      <c r="AC667" s="108"/>
    </row>
    <row r="668" spans="2:29">
      <c r="B668" s="107"/>
      <c r="D668" s="108"/>
      <c r="I668" s="107"/>
      <c r="K668" s="205"/>
      <c r="AA668" s="107"/>
      <c r="AC668" s="108"/>
    </row>
    <row r="669" spans="2:29">
      <c r="B669" s="107"/>
      <c r="D669" s="108"/>
      <c r="I669" s="107"/>
      <c r="K669" s="205"/>
      <c r="AA669" s="107"/>
      <c r="AC669" s="108"/>
    </row>
    <row r="670" spans="2:29">
      <c r="B670" s="107"/>
      <c r="D670" s="108"/>
      <c r="I670" s="107"/>
      <c r="K670" s="205"/>
      <c r="AA670" s="107"/>
      <c r="AC670" s="108"/>
    </row>
    <row r="671" spans="2:29">
      <c r="B671" s="107"/>
      <c r="D671" s="108"/>
      <c r="I671" s="107"/>
      <c r="K671" s="205"/>
      <c r="AA671" s="107"/>
      <c r="AC671" s="108"/>
    </row>
    <row r="672" spans="2:29">
      <c r="B672" s="107"/>
      <c r="D672" s="108"/>
      <c r="I672" s="107"/>
      <c r="K672" s="205"/>
      <c r="AA672" s="107"/>
      <c r="AC672" s="108"/>
    </row>
    <row r="673" spans="2:29">
      <c r="B673" s="107"/>
      <c r="D673" s="108"/>
      <c r="I673" s="107"/>
      <c r="K673" s="205"/>
      <c r="AA673" s="107"/>
      <c r="AC673" s="108"/>
    </row>
    <row r="674" spans="2:29">
      <c r="B674" s="107"/>
      <c r="D674" s="108"/>
      <c r="I674" s="107"/>
      <c r="K674" s="205"/>
      <c r="AA674" s="107"/>
      <c r="AC674" s="108"/>
    </row>
    <row r="675" spans="2:29" ht="15" thickBot="1">
      <c r="B675" s="588" t="str" cm="1">
        <f t="array" ref="B675:D675">IF(E569,B569:D569,{"","",""})</f>
        <v/>
      </c>
      <c r="C675" s="315" t="str">
        <v/>
      </c>
      <c r="D675" s="110" t="str">
        <v/>
      </c>
      <c r="I675" s="107"/>
      <c r="K675" s="205"/>
      <c r="AA675" s="588" cm="1">
        <f t="array" ref="AA675:AC675">IF(OR($E$106,AD569),AA569:AC569,{"","",""})</f>
        <v>5</v>
      </c>
      <c r="AB675" s="315" t="str">
        <v xml:space="preserve">  Total Noncurrent Liabilities</v>
      </c>
      <c r="AC675" s="110">
        <v>0</v>
      </c>
    </row>
    <row r="676" spans="2:29">
      <c r="I676" s="107"/>
      <c r="K676" s="205"/>
    </row>
    <row r="677" spans="2:29">
      <c r="I677" s="107"/>
      <c r="K677" s="205"/>
    </row>
    <row r="678" spans="2:29">
      <c r="I678" s="107"/>
      <c r="K678" s="205"/>
    </row>
    <row r="679" spans="2:29">
      <c r="I679" s="107"/>
      <c r="K679" s="205"/>
    </row>
    <row r="680" spans="2:29">
      <c r="B680" s="585" cm="1">
        <f t="array" ref="B680:D680">IF(OR($E$101,E556),B556:D556,{"","",""})</f>
        <v>3</v>
      </c>
      <c r="C680" t="str">
        <v>Total Liabilities</v>
      </c>
      <c r="D680">
        <v>0</v>
      </c>
      <c r="I680" s="107"/>
      <c r="K680" s="205"/>
      <c r="AA680" s="585" cm="1">
        <f t="array" ref="AA680:AC680">IF(OR($E$106,AD556),AA556:AC556,{"","",""})</f>
        <v>3</v>
      </c>
      <c r="AB680" t="str">
        <v>Total Liabilities</v>
      </c>
      <c r="AC680">
        <v>0</v>
      </c>
    </row>
    <row r="681" spans="2:29">
      <c r="I681" s="107"/>
      <c r="K681" s="205"/>
    </row>
    <row r="682" spans="2:29">
      <c r="I682" s="107"/>
      <c r="K682" s="205"/>
    </row>
    <row r="683" spans="2:29">
      <c r="I683" s="107"/>
      <c r="K683" s="205"/>
    </row>
    <row r="684" spans="2:29" ht="15" thickBot="1">
      <c r="I684" s="109"/>
      <c r="J684" s="315"/>
      <c r="K684" s="317"/>
    </row>
    <row r="685" spans="2:29">
      <c r="K685" s="37"/>
    </row>
    <row r="686" spans="2:29">
      <c r="K686" s="37"/>
    </row>
    <row r="687" spans="2:29">
      <c r="K687" s="37"/>
      <c r="P687" s="5" t="s">
        <v>1170</v>
      </c>
    </row>
    <row r="688" spans="2:29" ht="15" thickBot="1">
      <c r="B688" s="5" t="s">
        <v>1171</v>
      </c>
      <c r="I688" s="5" t="s">
        <v>308</v>
      </c>
      <c r="K688" s="37"/>
      <c r="P688" cm="1">
        <f t="array" aca="1" ref="P688:R694" ca="1">_xlfn.VSTACK(P195:R195,{"","",""},_xlfn.ANCHORARRAY(P579),_xlfn.ANCHORARRAY(P589),_xlfn.ANCHORARRAY(P599),P196:R196,{"","",""})</f>
        <v>2</v>
      </c>
      <c r="Q688" t="str">
        <f ca="1"/>
        <v>Total Shareholders' Equity @ 12/31/20x0</v>
      </c>
      <c r="R688">
        <f ca="1"/>
        <v>0</v>
      </c>
      <c r="W688" s="5"/>
      <c r="AA688" s="5" t="s">
        <v>1171</v>
      </c>
    </row>
    <row r="689" spans="2:29">
      <c r="B689" s="207" cm="1">
        <f t="array" aca="1" ref="B689:D689" ca="1">IF(OR(AND($E$101,OR(E563,E564)),OR(E563,E564)),_xlfn.VSTACK(_xlfn.ANCHORARRAY(B649),{"","",""},_xlfn.ANCHORARRAY(B650),_xlfn.ANCHORARRAY(B651),_xlfn.ANCHORARRAY(B660),{"","",""},_xlfn.ANCHORARRAY(B665),_xlfn.ANCHORARRAY(B666),_xlfn.ANCHORARRAY(B675),{"","",""},_xlfn.ANCHORARRAY(B680)),_xlfn.ANCHORARRAY(B649))</f>
        <v>2</v>
      </c>
      <c r="C689" s="416" t="str">
        <f ca="1"/>
        <v>Liabilities</v>
      </c>
      <c r="D689" s="206" t="str">
        <f ca="1"/>
        <v/>
      </c>
      <c r="I689" s="207" t="str" cm="1">
        <f t="array" ref="I689:K689">_xlfn.IFS(AND(L553,L559),_xlfn.VSTACK(_xlfn.ANCHORARRAY(I619),{"","",""},_xlfn.ANCHORARRAY(I620),I559:K559),AND(L553,NOT(L559)),_xlfn.ANCHORARRAY(I553),NOT(L553),{"","",""})</f>
        <v/>
      </c>
      <c r="J689" s="416" t="str">
        <v/>
      </c>
      <c r="K689" s="206" t="str">
        <v/>
      </c>
      <c r="P689" t="str">
        <f ca="1"/>
        <v/>
      </c>
      <c r="Q689" t="str">
        <f ca="1"/>
        <v/>
      </c>
      <c r="R689" t="str">
        <f ca="1"/>
        <v/>
      </c>
      <c r="AA689" s="207" cm="1">
        <f t="array" aca="1" ref="AA689:AC689" ca="1">IF(OR(AND($E$106,OR(AD563,AD564)),OR(AD563,AD564)),_xlfn.VSTACK(_xlfn.ANCHORARRAY(AA649),{"","",""},_xlfn.ANCHORARRAY(AA650),_xlfn.ANCHORARRAY(AA651),_xlfn.ANCHORARRAY(AA660),{"","",""},_xlfn.ANCHORARRAY(AA665),_xlfn.ANCHORARRAY(AA666),_xlfn.ANCHORARRAY(AA675),{"","",""},_xlfn.ANCHORARRAY(AA680)),_xlfn.ANCHORARRAY(AA649))</f>
        <v>2</v>
      </c>
      <c r="AB689" s="416" t="str">
        <f ca="1"/>
        <v>Liabilities</v>
      </c>
      <c r="AC689" s="206" t="str">
        <f ca="1"/>
        <v/>
      </c>
    </row>
    <row r="690" spans="2:29">
      <c r="B690" s="107"/>
      <c r="D690" s="108"/>
      <c r="I690" s="107"/>
      <c r="K690" s="205"/>
      <c r="P690">
        <f ca="1"/>
        <v>3</v>
      </c>
      <c r="Q690" t="str">
        <f ca="1"/>
        <v>Common Stock</v>
      </c>
      <c r="R690" t="str">
        <f ca="1"/>
        <v/>
      </c>
      <c r="AA690" s="107"/>
      <c r="AC690" s="108"/>
    </row>
    <row r="691" spans="2:29">
      <c r="B691" s="107"/>
      <c r="D691" s="108"/>
      <c r="I691" s="107"/>
      <c r="K691" s="205"/>
      <c r="P691">
        <f ca="1"/>
        <v>3</v>
      </c>
      <c r="Q691" t="str">
        <f ca="1"/>
        <v>Additional Paid-in Capital</v>
      </c>
      <c r="R691" t="str">
        <f ca="1"/>
        <v/>
      </c>
      <c r="AA691" s="107"/>
      <c r="AC691" s="108"/>
    </row>
    <row r="692" spans="2:29">
      <c r="B692" s="107"/>
      <c r="D692" s="108"/>
      <c r="I692" s="107"/>
      <c r="K692" s="205"/>
      <c r="P692">
        <f ca="1"/>
        <v>3</v>
      </c>
      <c r="Q692" t="str">
        <f ca="1"/>
        <v>Retained Earnings</v>
      </c>
      <c r="R692" t="str">
        <f ca="1"/>
        <v/>
      </c>
      <c r="AA692" s="107"/>
      <c r="AC692" s="108"/>
    </row>
    <row r="693" spans="2:29">
      <c r="B693" s="107"/>
      <c r="D693" s="108"/>
      <c r="I693" s="107"/>
      <c r="K693" s="205"/>
      <c r="P693">
        <f ca="1"/>
        <v>2</v>
      </c>
      <c r="Q693" t="str">
        <f ca="1"/>
        <v>Total Shareholders' Equity @ 12/31/20x1</v>
      </c>
      <c r="R693">
        <f ca="1"/>
        <v>0</v>
      </c>
      <c r="AA693" s="107"/>
      <c r="AC693" s="108"/>
    </row>
    <row r="694" spans="2:29">
      <c r="B694" s="107"/>
      <c r="D694" s="108"/>
      <c r="I694" s="107"/>
      <c r="K694" s="205"/>
      <c r="P694" t="str">
        <f ca="1"/>
        <v/>
      </c>
      <c r="Q694" t="str">
        <f ca="1"/>
        <v/>
      </c>
      <c r="R694" t="str">
        <f ca="1"/>
        <v/>
      </c>
      <c r="AA694" s="107"/>
      <c r="AC694" s="108"/>
    </row>
    <row r="695" spans="2:29">
      <c r="B695" s="107"/>
      <c r="D695" s="108"/>
      <c r="I695" s="107"/>
      <c r="K695" s="205"/>
      <c r="AA695" s="107"/>
      <c r="AC695" s="108"/>
    </row>
    <row r="696" spans="2:29">
      <c r="B696" s="107"/>
      <c r="D696" s="108"/>
      <c r="I696" s="107"/>
      <c r="K696" s="205"/>
      <c r="AA696" s="107"/>
      <c r="AC696" s="108"/>
    </row>
    <row r="697" spans="2:29" ht="15" thickBot="1">
      <c r="B697" s="107"/>
      <c r="D697" s="108"/>
      <c r="I697" s="109"/>
      <c r="J697" s="315"/>
      <c r="K697" s="317"/>
      <c r="AA697" s="107"/>
      <c r="AC697" s="108"/>
    </row>
    <row r="698" spans="2:29">
      <c r="B698" s="107"/>
      <c r="D698" s="108"/>
      <c r="K698" s="37"/>
      <c r="AA698" s="107"/>
      <c r="AC698" s="108"/>
    </row>
    <row r="699" spans="2:29">
      <c r="B699" s="107"/>
      <c r="D699" s="108"/>
      <c r="K699" s="37"/>
      <c r="AA699" s="107"/>
      <c r="AC699" s="108"/>
    </row>
    <row r="700" spans="2:29">
      <c r="B700" s="107"/>
      <c r="D700" s="108"/>
      <c r="K700" s="37"/>
      <c r="AA700" s="107"/>
      <c r="AC700" s="108"/>
    </row>
    <row r="701" spans="2:29">
      <c r="B701" s="107"/>
      <c r="D701" s="108"/>
      <c r="K701" s="37"/>
      <c r="AA701" s="107"/>
      <c r="AC701" s="108"/>
    </row>
    <row r="702" spans="2:29">
      <c r="B702" s="107"/>
      <c r="D702" s="108"/>
      <c r="K702" s="37"/>
      <c r="AA702" s="107"/>
      <c r="AC702" s="108"/>
    </row>
    <row r="703" spans="2:29" ht="15" thickBot="1">
      <c r="B703" s="107"/>
      <c r="D703" s="108"/>
      <c r="I703" s="5" t="s">
        <v>961</v>
      </c>
      <c r="K703" s="37"/>
      <c r="AA703" s="107"/>
      <c r="AC703" s="108"/>
    </row>
    <row r="704" spans="2:29">
      <c r="B704" s="107"/>
      <c r="D704" s="108"/>
      <c r="I704" s="207" t="str" cm="1">
        <f t="array" ref="I704:K704">_xlfn.IFS(AND(L554,L560),_xlfn.VSTACK(_xlfn.ANCHORARRAY(I635),{"","",""},I636:K636,I560:K560),AND(L554,NOT(L560)),_xlfn.ANCHORARRAY(I554),NOT(L554),{"","",""})</f>
        <v/>
      </c>
      <c r="J704" s="416" t="str">
        <v/>
      </c>
      <c r="K704" s="206" t="str">
        <v/>
      </c>
      <c r="AA704" s="107"/>
      <c r="AC704" s="108"/>
    </row>
    <row r="705" spans="2:29">
      <c r="B705" s="107"/>
      <c r="D705" s="108"/>
      <c r="I705" s="107"/>
      <c r="K705" s="205"/>
      <c r="AA705" s="107"/>
      <c r="AC705" s="108"/>
    </row>
    <row r="706" spans="2:29">
      <c r="B706" s="107"/>
      <c r="D706" s="108"/>
      <c r="I706" s="107"/>
      <c r="K706" s="205"/>
      <c r="AA706" s="107"/>
      <c r="AC706" s="108"/>
    </row>
    <row r="707" spans="2:29">
      <c r="B707" s="107"/>
      <c r="D707" s="108"/>
      <c r="I707" s="107"/>
      <c r="K707" s="205"/>
      <c r="AA707" s="107"/>
      <c r="AC707" s="108"/>
    </row>
    <row r="708" spans="2:29">
      <c r="B708" s="107"/>
      <c r="D708" s="108"/>
      <c r="I708" s="107"/>
      <c r="K708" s="205"/>
      <c r="AA708" s="107"/>
      <c r="AC708" s="108"/>
    </row>
    <row r="709" spans="2:29">
      <c r="B709" s="107"/>
      <c r="D709" s="108"/>
      <c r="I709" s="107"/>
      <c r="K709" s="205"/>
      <c r="AA709" s="107"/>
      <c r="AC709" s="108"/>
    </row>
    <row r="710" spans="2:29">
      <c r="B710" s="107"/>
      <c r="D710" s="108"/>
      <c r="I710" s="107"/>
      <c r="K710" s="205"/>
      <c r="AA710" s="107"/>
      <c r="AC710" s="108"/>
    </row>
    <row r="711" spans="2:29">
      <c r="B711" s="107"/>
      <c r="D711" s="108"/>
      <c r="I711" s="107"/>
      <c r="K711" s="205"/>
      <c r="AA711" s="107"/>
      <c r="AC711" s="108"/>
    </row>
    <row r="712" spans="2:29" ht="15" thickBot="1">
      <c r="B712" s="107"/>
      <c r="D712" s="108"/>
      <c r="I712" s="109"/>
      <c r="J712" s="315"/>
      <c r="K712" s="317"/>
      <c r="AA712" s="107"/>
      <c r="AC712" s="108"/>
    </row>
    <row r="713" spans="2:29">
      <c r="B713" s="107"/>
      <c r="D713" s="108"/>
      <c r="K713" s="37"/>
      <c r="AA713" s="107"/>
      <c r="AC713" s="108"/>
    </row>
    <row r="714" spans="2:29">
      <c r="B714" s="107"/>
      <c r="D714" s="108"/>
      <c r="I714" cm="1">
        <f t="array" ref="I714:K714">IF(L562,I562:K562,{"","",""})</f>
        <v>3</v>
      </c>
      <c r="J714" t="str">
        <v>Net Income</v>
      </c>
      <c r="K714" s="37">
        <v>0</v>
      </c>
      <c r="AA714" s="107"/>
      <c r="AC714" s="108"/>
    </row>
    <row r="715" spans="2:29">
      <c r="B715" s="107"/>
      <c r="D715" s="108"/>
      <c r="K715" s="37"/>
      <c r="AA715" s="107"/>
      <c r="AC715" s="108"/>
    </row>
    <row r="716" spans="2:29">
      <c r="B716" s="107"/>
      <c r="D716" s="108"/>
      <c r="K716" s="37"/>
      <c r="AA716" s="107"/>
      <c r="AC716" s="108"/>
    </row>
    <row r="717" spans="2:29" ht="15" thickBot="1">
      <c r="B717" s="109"/>
      <c r="C717" s="315"/>
      <c r="D717" s="110"/>
      <c r="K717" s="37"/>
      <c r="AA717" s="109"/>
      <c r="AB717" s="315"/>
      <c r="AC717" s="110"/>
    </row>
    <row r="718" spans="2:29">
      <c r="I718" t="s">
        <v>1172</v>
      </c>
      <c r="K718" s="37"/>
    </row>
    <row r="719" spans="2:29">
      <c r="I719" s="585" cm="1">
        <f t="array" ref="I719:K729">_xlfn.VSTACK(_xlfn.ANCHORARRAY(I649),{"","",""},_xlfn.ANCHORARRAY(I664),{"","",""},_xlfn.ANCHORARRAY(I714))</f>
        <v>2</v>
      </c>
      <c r="J719" t="str">
        <v>Revenues</v>
      </c>
      <c r="K719" s="37" t="str">
        <v/>
      </c>
    </row>
    <row r="720" spans="2:29">
      <c r="I720" t="str">
        <v/>
      </c>
      <c r="J720" t="str">
        <v/>
      </c>
      <c r="K720" s="37" t="str">
        <v/>
      </c>
    </row>
    <row r="721" spans="2:29">
      <c r="I721" t="str">
        <v/>
      </c>
      <c r="J721" t="str">
        <v/>
      </c>
      <c r="K721" s="37" t="str">
        <v/>
      </c>
    </row>
    <row r="722" spans="2:29">
      <c r="I722">
        <v>5</v>
      </c>
      <c r="J722" t="str">
        <v xml:space="preserve">  Total Revenues</v>
      </c>
      <c r="K722" s="37">
        <v>0</v>
      </c>
    </row>
    <row r="723" spans="2:29">
      <c r="I723" t="str">
        <v/>
      </c>
      <c r="J723" t="str">
        <v/>
      </c>
      <c r="K723" s="37" t="str">
        <v/>
      </c>
    </row>
    <row r="724" spans="2:29">
      <c r="I724">
        <v>2</v>
      </c>
      <c r="J724" t="str">
        <v>Expenses</v>
      </c>
      <c r="K724" s="37" t="str">
        <v/>
      </c>
    </row>
    <row r="725" spans="2:29">
      <c r="I725" t="str">
        <v/>
      </c>
      <c r="J725" t="str">
        <v/>
      </c>
      <c r="K725" s="37" t="str">
        <v/>
      </c>
    </row>
    <row r="726" spans="2:29">
      <c r="I726" t="str">
        <v/>
      </c>
      <c r="J726" t="str">
        <v/>
      </c>
      <c r="K726" s="37" t="str">
        <v/>
      </c>
    </row>
    <row r="727" spans="2:29">
      <c r="I727">
        <v>5</v>
      </c>
      <c r="J727" t="str">
        <v xml:space="preserve">  Total Expenses</v>
      </c>
      <c r="K727" s="37">
        <v>0</v>
      </c>
      <c r="P727" s="5" t="s">
        <v>1173</v>
      </c>
    </row>
    <row r="728" spans="2:29">
      <c r="B728" s="5" t="s">
        <v>1174</v>
      </c>
      <c r="I728" t="str">
        <v/>
      </c>
      <c r="J728" t="str">
        <v/>
      </c>
      <c r="K728" s="37" t="str">
        <v/>
      </c>
      <c r="P728" cm="1">
        <f t="array" aca="1" ref="P728:R740" ca="1">_xlfn.VSTACK(P195:R195,{"","",""},_xlfn.ANCHORARRAY(P569),{"","",""},_xlfn.ANCHORARRAY(P579),{"","",""},_xlfn.ANCHORARRAY(P589),{"","",""},_xlfn.ANCHORARRAY(P599),{"","",""},_xlfn.ANCHORARRAY(P609),P196:R196,{"","",""})</f>
        <v>2</v>
      </c>
      <c r="Q728" t="str">
        <f ca="1"/>
        <v>Total Shareholders' Equity @ 12/31/20x0</v>
      </c>
      <c r="R728">
        <f ca="1"/>
        <v>0</v>
      </c>
      <c r="W728" s="5"/>
      <c r="AA728" s="5" t="s">
        <v>1174</v>
      </c>
    </row>
    <row r="729" spans="2:29" ht="15" thickBot="1">
      <c r="B729" s="585" cm="1">
        <f t="array" ref="B729:D729">IF(OR($E$101,E553),_xlfn.ANCHORARRAY(B553),{"","",""})</f>
        <v>2</v>
      </c>
      <c r="C729" t="str">
        <v>Equities</v>
      </c>
      <c r="D729" t="str">
        <v/>
      </c>
      <c r="I729">
        <v>3</v>
      </c>
      <c r="J729" t="str">
        <v>Net Income</v>
      </c>
      <c r="K729" s="37">
        <v>0</v>
      </c>
      <c r="P729" t="str">
        <f ca="1"/>
        <v/>
      </c>
      <c r="Q729" t="str">
        <f ca="1"/>
        <v/>
      </c>
      <c r="R729" t="str">
        <f ca="1"/>
        <v/>
      </c>
      <c r="AA729" s="585" cm="1">
        <f t="array" ref="AA729:AC729">IF(OR($E$106,AD553),_xlfn.ANCHORARRAY(AA553),{"","",""})</f>
        <v>2</v>
      </c>
      <c r="AB729" t="str">
        <v>Equities</v>
      </c>
      <c r="AC729" t="str">
        <v/>
      </c>
    </row>
    <row r="730" spans="2:29">
      <c r="B730" s="586" cm="1">
        <f t="array" ref="B730:D731">IF(OR($E$101,OR($E$101,E557)),_xlfn._xlws.FILTER(B208:D217,C208:C217&lt;&gt;""),{"","",""})</f>
        <v>6</v>
      </c>
      <c r="C730" s="416" t="str">
        <v>Common Stock</v>
      </c>
      <c r="D730" s="206">
        <v>0</v>
      </c>
      <c r="K730" s="37"/>
      <c r="P730">
        <f ca="1"/>
        <v>3</v>
      </c>
      <c r="Q730" t="str">
        <f ca="1"/>
        <v>Preferred Stock</v>
      </c>
      <c r="R730" t="str">
        <f ca="1"/>
        <v/>
      </c>
      <c r="AA730" s="586" t="str" cm="1">
        <f t="array" ref="AA730:AC730">IF(AD557,_xlfn._xlws.FILTER(AA208:AC217,AB208:AB217&lt;&gt;""),{"","",""})</f>
        <v/>
      </c>
      <c r="AB730" s="416" t="str">
        <v/>
      </c>
      <c r="AC730" s="206" t="str">
        <v/>
      </c>
    </row>
    <row r="731" spans="2:29">
      <c r="B731" s="107">
        <v>7</v>
      </c>
      <c r="C731" t="str">
        <v>Retained Earnings</v>
      </c>
      <c r="D731" s="108">
        <v>0</v>
      </c>
      <c r="K731" s="37"/>
      <c r="P731" t="str">
        <f ca="1"/>
        <v/>
      </c>
      <c r="Q731" t="str">
        <f ca="1"/>
        <v/>
      </c>
      <c r="R731" t="str">
        <f ca="1"/>
        <v/>
      </c>
      <c r="AA731" s="107"/>
      <c r="AC731" s="108"/>
    </row>
    <row r="732" spans="2:29">
      <c r="B732" s="107"/>
      <c r="D732" s="108"/>
      <c r="K732" s="37"/>
      <c r="P732">
        <f ca="1"/>
        <v>3</v>
      </c>
      <c r="Q732" t="str">
        <f ca="1"/>
        <v>Common Stock</v>
      </c>
      <c r="R732" t="str">
        <f ca="1"/>
        <v/>
      </c>
      <c r="AA732" s="107"/>
      <c r="AC732" s="108"/>
    </row>
    <row r="733" spans="2:29">
      <c r="B733" s="107"/>
      <c r="D733" s="108"/>
      <c r="K733" s="37"/>
      <c r="P733" t="str">
        <f ca="1"/>
        <v/>
      </c>
      <c r="Q733" t="str">
        <f ca="1"/>
        <v/>
      </c>
      <c r="R733" t="str">
        <f ca="1"/>
        <v/>
      </c>
      <c r="AA733" s="107"/>
      <c r="AC733" s="108"/>
    </row>
    <row r="734" spans="2:29">
      <c r="B734" s="107"/>
      <c r="D734" s="108"/>
      <c r="K734" s="37"/>
      <c r="P734">
        <f ca="1"/>
        <v>3</v>
      </c>
      <c r="Q734" t="str">
        <f ca="1"/>
        <v>Additional Paid-in Capital</v>
      </c>
      <c r="R734" t="str">
        <f ca="1"/>
        <v/>
      </c>
      <c r="AA734" s="107"/>
      <c r="AC734" s="108"/>
    </row>
    <row r="735" spans="2:29">
      <c r="B735" s="107"/>
      <c r="D735" s="108"/>
      <c r="K735" s="37"/>
      <c r="P735" t="str">
        <f ca="1"/>
        <v/>
      </c>
      <c r="Q735" t="str">
        <f ca="1"/>
        <v/>
      </c>
      <c r="R735" t="str">
        <f ca="1"/>
        <v/>
      </c>
      <c r="AA735" s="107"/>
      <c r="AC735" s="108"/>
    </row>
    <row r="736" spans="2:29">
      <c r="B736" s="107"/>
      <c r="D736" s="108"/>
      <c r="K736" s="37"/>
      <c r="P736">
        <f ca="1"/>
        <v>3</v>
      </c>
      <c r="Q736" t="str">
        <f ca="1"/>
        <v>Retained Earnings</v>
      </c>
      <c r="R736" t="str">
        <f ca="1"/>
        <v/>
      </c>
      <c r="AA736" s="107"/>
      <c r="AC736" s="108"/>
    </row>
    <row r="737" spans="2:29">
      <c r="B737" s="107"/>
      <c r="D737" s="108"/>
      <c r="K737" s="37"/>
      <c r="P737" t="str">
        <f ca="1"/>
        <v/>
      </c>
      <c r="Q737" t="str">
        <f ca="1"/>
        <v/>
      </c>
      <c r="R737" t="str">
        <f ca="1"/>
        <v/>
      </c>
      <c r="AA737" s="107"/>
      <c r="AC737" s="108"/>
    </row>
    <row r="738" spans="2:29">
      <c r="B738" s="107"/>
      <c r="D738" s="108"/>
      <c r="K738" s="37"/>
      <c r="P738">
        <f ca="1"/>
        <v>3</v>
      </c>
      <c r="Q738" t="str">
        <f ca="1"/>
        <v>Accumulated Other Comprehensive Income</v>
      </c>
      <c r="R738" t="str">
        <f ca="1"/>
        <v/>
      </c>
      <c r="AA738" s="107"/>
      <c r="AC738" s="108"/>
    </row>
    <row r="739" spans="2:29">
      <c r="B739" s="107"/>
      <c r="D739" s="108"/>
      <c r="K739" s="37"/>
      <c r="P739">
        <f ca="1"/>
        <v>2</v>
      </c>
      <c r="Q739" t="str">
        <f ca="1"/>
        <v>Total Shareholders' Equity @ 12/31/20x1</v>
      </c>
      <c r="R739">
        <f ca="1"/>
        <v>0</v>
      </c>
      <c r="AA739" s="107"/>
      <c r="AC739" s="108"/>
    </row>
    <row r="740" spans="2:29" ht="15" thickBot="1">
      <c r="B740" s="588" t="str" cm="1">
        <f t="array" ref="B740:D740">IF(E557,B557:D557,{"","",""})</f>
        <v/>
      </c>
      <c r="C740" s="315" t="str">
        <v/>
      </c>
      <c r="D740" s="110" t="str">
        <v/>
      </c>
      <c r="K740" s="37"/>
      <c r="P740" t="str">
        <f ca="1"/>
        <v/>
      </c>
      <c r="Q740" t="str">
        <f ca="1"/>
        <v/>
      </c>
      <c r="R740" t="str">
        <f ca="1"/>
        <v/>
      </c>
      <c r="AA740" s="588" t="str" cm="1">
        <f t="array" ref="AA740:AC740">IF(AD557,AA557:AC557,{"","",""})</f>
        <v/>
      </c>
      <c r="AB740" s="315" t="str">
        <v/>
      </c>
      <c r="AC740" s="110" t="str">
        <v/>
      </c>
    </row>
    <row r="741" spans="2:29">
      <c r="B741" s="585" t="str" cm="1">
        <f t="array" ref="B741:D741">IF(E558,B558:D558,{"","",""})</f>
        <v/>
      </c>
      <c r="C741" t="str">
        <v/>
      </c>
      <c r="D741" t="str">
        <v/>
      </c>
      <c r="K741" s="37"/>
      <c r="W741" t="str" cm="1">
        <f t="array" ref="W741:Y741">IF(AD569,W569:Y569,{"","",""})</f>
        <v/>
      </c>
      <c r="X741" t="str">
        <v/>
      </c>
      <c r="Y741" t="str">
        <v/>
      </c>
      <c r="AA741" s="585" t="str" cm="1">
        <f t="array" ref="AA741:AC741">IF(AD558,AA558:AC558,{"","",""})</f>
        <v/>
      </c>
      <c r="AB741" t="str">
        <v/>
      </c>
      <c r="AC741" t="str">
        <v/>
      </c>
    </row>
    <row r="742" spans="2:29">
      <c r="K742" s="37"/>
    </row>
    <row r="743" spans="2:29">
      <c r="K743" s="37"/>
    </row>
    <row r="744" spans="2:29">
      <c r="B744" cm="1">
        <f t="array" ref="B744:D752">_xlfn.VSTACK(_xlfn.ANCHORARRAY(B729),{"","",""},_xlfn.ANCHORARRAY(B730),{"","",""},_xlfn.ANCHORARRAY(B740),{"","",""},_xlfn.ANCHORARRAY(B741),{"","",""})</f>
        <v>2</v>
      </c>
      <c r="C744" t="str">
        <v>Equities</v>
      </c>
      <c r="D744" t="str">
        <v/>
      </c>
      <c r="K744" s="37"/>
      <c r="AA744" cm="1">
        <f t="array" ref="AA744:AC751">_xlfn.VSTACK(_xlfn.ANCHORARRAY(AA729),{"","",""},_xlfn.ANCHORARRAY(AA730),{"","",""},_xlfn.ANCHORARRAY(AA740),{"","",""},_xlfn.ANCHORARRAY(AA741),{"","",""})</f>
        <v>2</v>
      </c>
      <c r="AB744" t="str">
        <v>Equities</v>
      </c>
      <c r="AC744" t="str">
        <v/>
      </c>
    </row>
    <row r="745" spans="2:29">
      <c r="B745" t="str">
        <v/>
      </c>
      <c r="C745" t="str">
        <v/>
      </c>
      <c r="D745" t="str">
        <v/>
      </c>
      <c r="K745" s="37"/>
      <c r="AA745" t="str">
        <v/>
      </c>
      <c r="AB745" t="str">
        <v/>
      </c>
      <c r="AC745" t="str">
        <v/>
      </c>
    </row>
    <row r="746" spans="2:29">
      <c r="B746">
        <v>6</v>
      </c>
      <c r="C746" t="str">
        <v>Common Stock</v>
      </c>
      <c r="D746">
        <v>0</v>
      </c>
      <c r="K746" s="37"/>
      <c r="AA746" t="str">
        <v/>
      </c>
      <c r="AB746" t="str">
        <v/>
      </c>
      <c r="AC746" t="str">
        <v/>
      </c>
    </row>
    <row r="747" spans="2:29">
      <c r="B747">
        <v>7</v>
      </c>
      <c r="C747" t="str">
        <v>Retained Earnings</v>
      </c>
      <c r="D747">
        <v>0</v>
      </c>
      <c r="K747" s="37"/>
      <c r="AA747" t="str">
        <v/>
      </c>
      <c r="AB747" t="str">
        <v/>
      </c>
      <c r="AC747" t="str">
        <v/>
      </c>
    </row>
    <row r="748" spans="2:29">
      <c r="B748" t="str">
        <v/>
      </c>
      <c r="C748" t="str">
        <v/>
      </c>
      <c r="D748" t="str">
        <v/>
      </c>
      <c r="K748" s="37"/>
      <c r="AA748" t="str">
        <v/>
      </c>
      <c r="AB748" t="str">
        <v/>
      </c>
      <c r="AC748" t="str">
        <v/>
      </c>
    </row>
    <row r="749" spans="2:29">
      <c r="B749" t="str">
        <v/>
      </c>
      <c r="C749" t="str">
        <v/>
      </c>
      <c r="D749" t="str">
        <v/>
      </c>
      <c r="AA749" t="str">
        <v/>
      </c>
      <c r="AB749" t="str">
        <v/>
      </c>
      <c r="AC749" t="str">
        <v/>
      </c>
    </row>
    <row r="750" spans="2:29">
      <c r="B750" t="str">
        <v/>
      </c>
      <c r="C750" t="str">
        <v/>
      </c>
      <c r="D750" t="str">
        <v/>
      </c>
      <c r="AA750" t="str">
        <v/>
      </c>
      <c r="AB750" t="str">
        <v/>
      </c>
      <c r="AC750" t="str">
        <v/>
      </c>
    </row>
    <row r="751" spans="2:29">
      <c r="B751" t="str">
        <v/>
      </c>
      <c r="C751" t="str">
        <v/>
      </c>
      <c r="D751" t="str">
        <v/>
      </c>
      <c r="AA751" t="str">
        <v/>
      </c>
      <c r="AB751" t="str">
        <v/>
      </c>
      <c r="AC751" t="str">
        <v/>
      </c>
    </row>
    <row r="752" spans="2:29">
      <c r="B752" t="str">
        <v/>
      </c>
      <c r="C752" t="str">
        <v/>
      </c>
      <c r="D752" t="str">
        <v/>
      </c>
    </row>
    <row r="761" spans="9:11">
      <c r="K761" s="37"/>
    </row>
    <row r="762" spans="9:11">
      <c r="K762" s="37"/>
    </row>
    <row r="763" spans="9:11">
      <c r="I763" t="s">
        <v>1175</v>
      </c>
      <c r="K763" s="37"/>
    </row>
    <row r="764" spans="9:11">
      <c r="I764" s="585" cm="1">
        <f t="array" ref="I764:K776">_xlfn.VSTACK(_xlfn.ANCHORARRAY(I649),{"","",""},_xlfn.ANCHORARRAY(I664),{"","",""},_xlfn.ANCHORARRAY(I689),{"","",""},_xlfn.ANCHORARRAY(I714))</f>
        <v>2</v>
      </c>
      <c r="J764" t="str">
        <v>Revenues</v>
      </c>
      <c r="K764" s="37" t="str">
        <v/>
      </c>
    </row>
    <row r="765" spans="9:11">
      <c r="I765" t="str">
        <v/>
      </c>
      <c r="J765" t="str">
        <v/>
      </c>
      <c r="K765" s="37" t="str">
        <v/>
      </c>
    </row>
    <row r="766" spans="9:11">
      <c r="I766" t="str">
        <v/>
      </c>
      <c r="J766" t="str">
        <v/>
      </c>
      <c r="K766" s="37" t="str">
        <v/>
      </c>
    </row>
    <row r="767" spans="9:11">
      <c r="I767">
        <v>5</v>
      </c>
      <c r="J767" t="str">
        <v xml:space="preserve">  Total Revenues</v>
      </c>
      <c r="K767" s="37">
        <v>0</v>
      </c>
    </row>
    <row r="768" spans="9:11">
      <c r="I768" t="str">
        <v/>
      </c>
      <c r="J768" t="str">
        <v/>
      </c>
      <c r="K768" s="37" t="str">
        <v/>
      </c>
    </row>
    <row r="769" spans="9:11">
      <c r="I769">
        <v>2</v>
      </c>
      <c r="J769" t="str">
        <v>Expenses</v>
      </c>
      <c r="K769" s="37" t="str">
        <v/>
      </c>
    </row>
    <row r="770" spans="9:11">
      <c r="I770" t="str">
        <v/>
      </c>
      <c r="J770" t="str">
        <v/>
      </c>
      <c r="K770" s="37" t="str">
        <v/>
      </c>
    </row>
    <row r="771" spans="9:11">
      <c r="I771" t="str">
        <v/>
      </c>
      <c r="J771" t="str">
        <v/>
      </c>
      <c r="K771" s="37" t="str">
        <v/>
      </c>
    </row>
    <row r="772" spans="9:11">
      <c r="I772">
        <v>5</v>
      </c>
      <c r="J772" t="str">
        <v xml:space="preserve">  Total Expenses</v>
      </c>
      <c r="K772" s="37">
        <v>0</v>
      </c>
    </row>
    <row r="773" spans="9:11">
      <c r="I773" t="str">
        <v/>
      </c>
      <c r="J773" t="str">
        <v/>
      </c>
      <c r="K773" s="37" t="str">
        <v/>
      </c>
    </row>
    <row r="774" spans="9:11">
      <c r="I774" t="str">
        <v/>
      </c>
      <c r="J774" t="str">
        <v/>
      </c>
      <c r="K774" s="37" t="str">
        <v/>
      </c>
    </row>
    <row r="775" spans="9:11">
      <c r="I775" t="str">
        <v/>
      </c>
      <c r="J775" t="str">
        <v/>
      </c>
      <c r="K775" s="37" t="str">
        <v/>
      </c>
    </row>
    <row r="776" spans="9:11">
      <c r="I776">
        <v>3</v>
      </c>
      <c r="J776" t="str">
        <v>Net Income</v>
      </c>
      <c r="K776" s="37">
        <v>0</v>
      </c>
    </row>
    <row r="777" spans="9:11">
      <c r="K777" s="37"/>
    </row>
    <row r="778" spans="9:11">
      <c r="K778" s="37"/>
    </row>
    <row r="779" spans="9:11">
      <c r="K779" s="37"/>
    </row>
    <row r="780" spans="9:11">
      <c r="K780" s="37"/>
    </row>
    <row r="781" spans="9:11">
      <c r="K781" s="37"/>
    </row>
    <row r="782" spans="9:11">
      <c r="K782" s="37"/>
    </row>
    <row r="783" spans="9:11">
      <c r="K783" s="37"/>
    </row>
    <row r="784" spans="9:11">
      <c r="K784" s="37"/>
    </row>
    <row r="785" spans="9:19">
      <c r="K785" s="37"/>
    </row>
    <row r="786" spans="9:19">
      <c r="K786" s="37"/>
    </row>
    <row r="787" spans="9:19">
      <c r="K787" s="37"/>
    </row>
    <row r="788" spans="9:19">
      <c r="K788" s="37"/>
    </row>
    <row r="789" spans="9:19">
      <c r="K789" s="37"/>
    </row>
    <row r="790" spans="9:19">
      <c r="K790" s="37"/>
    </row>
    <row r="791" spans="9:19">
      <c r="K791" s="37"/>
    </row>
    <row r="792" spans="9:19">
      <c r="K792" s="37"/>
    </row>
    <row r="793" spans="9:19">
      <c r="K793" s="37"/>
    </row>
    <row r="794" spans="9:19">
      <c r="K794" s="37"/>
    </row>
    <row r="795" spans="9:19">
      <c r="K795" s="37"/>
    </row>
    <row r="798" spans="9:19">
      <c r="I798" t="s">
        <v>1176</v>
      </c>
    </row>
    <row r="799" spans="9:19">
      <c r="I799" s="585" cm="1">
        <f t="array" ref="I799:K811">_xlfn.VSTACK(_xlfn.ANCHORARRAY(I649),{"","",""},_xlfn.ANCHORARRAY(I664),{"","",""},_xlfn.ANCHORARRAY(I704),{"","",""},_xlfn.ANCHORARRAY(I714))</f>
        <v>2</v>
      </c>
      <c r="J799" t="str">
        <v>Revenues</v>
      </c>
      <c r="K799" t="str">
        <v/>
      </c>
    </row>
    <row r="800" spans="9:19">
      <c r="I800" t="str">
        <v/>
      </c>
      <c r="J800" t="str">
        <v/>
      </c>
      <c r="K800" t="str">
        <v/>
      </c>
      <c r="S800" s="224"/>
    </row>
    <row r="801" spans="9:21">
      <c r="I801" t="str">
        <v/>
      </c>
      <c r="J801" t="str">
        <v/>
      </c>
      <c r="K801" t="str">
        <v/>
      </c>
      <c r="S801" s="224"/>
    </row>
    <row r="802" spans="9:21">
      <c r="I802">
        <v>5</v>
      </c>
      <c r="J802" t="str">
        <v xml:space="preserve">  Total Revenues</v>
      </c>
      <c r="K802">
        <v>0</v>
      </c>
      <c r="S802" s="224"/>
    </row>
    <row r="803" spans="9:21">
      <c r="I803" t="str">
        <v/>
      </c>
      <c r="J803" t="str">
        <v/>
      </c>
      <c r="K803" t="str">
        <v/>
      </c>
      <c r="S803" s="224"/>
    </row>
    <row r="804" spans="9:21">
      <c r="I804">
        <v>2</v>
      </c>
      <c r="J804" t="str">
        <v>Expenses</v>
      </c>
      <c r="K804" t="str">
        <v/>
      </c>
      <c r="S804" s="224"/>
    </row>
    <row r="805" spans="9:21">
      <c r="I805" t="str">
        <v/>
      </c>
      <c r="J805" t="str">
        <v/>
      </c>
      <c r="K805" t="str">
        <v/>
      </c>
      <c r="S805" s="224"/>
    </row>
    <row r="806" spans="9:21">
      <c r="I806" t="str">
        <v/>
      </c>
      <c r="J806" t="str">
        <v/>
      </c>
      <c r="K806" t="str">
        <v/>
      </c>
      <c r="S806" s="224"/>
    </row>
    <row r="807" spans="9:21">
      <c r="I807">
        <v>5</v>
      </c>
      <c r="J807" t="str">
        <v xml:space="preserve">  Total Expenses</v>
      </c>
      <c r="K807">
        <v>0</v>
      </c>
      <c r="S807" s="224"/>
    </row>
    <row r="808" spans="9:21">
      <c r="I808" t="str">
        <v/>
      </c>
      <c r="J808" t="str">
        <v/>
      </c>
      <c r="K808" t="str">
        <v/>
      </c>
      <c r="S808" s="224"/>
    </row>
    <row r="809" spans="9:21">
      <c r="I809" t="str">
        <v/>
      </c>
      <c r="J809" t="str">
        <v/>
      </c>
      <c r="K809" t="str">
        <v/>
      </c>
      <c r="S809" s="224" t="e" cm="1">
        <f t="array" ref="S809">#REF!</f>
        <v>#REF!</v>
      </c>
      <c r="T809" s="224"/>
    </row>
    <row r="810" spans="9:21">
      <c r="I810" t="str">
        <v/>
      </c>
      <c r="J810" t="str">
        <v/>
      </c>
      <c r="K810" t="str">
        <v/>
      </c>
      <c r="S810" s="224"/>
    </row>
    <row r="811" spans="9:21">
      <c r="I811">
        <v>3</v>
      </c>
      <c r="J811" t="str">
        <v>Net Income</v>
      </c>
      <c r="K811">
        <v>0</v>
      </c>
      <c r="S811" s="224" t="str" cm="1">
        <f t="array" ref="S811:U811">IFERROR(_xlfn._xlws.FILTER(#REF!,#REF!&lt;&gt;""),{"","",""})</f>
        <v/>
      </c>
      <c r="T811" t="str">
        <v/>
      </c>
      <c r="U811" t="str">
        <v/>
      </c>
    </row>
    <row r="812" spans="9:21">
      <c r="S812" s="224"/>
    </row>
    <row r="813" spans="9:21">
      <c r="S813" s="224"/>
    </row>
    <row r="838" spans="9:11">
      <c r="I838" t="s">
        <v>1177</v>
      </c>
    </row>
    <row r="839" spans="9:11">
      <c r="I839" s="585" cm="1">
        <f t="array" ref="I839:K853">_xlfn.VSTACK(_xlfn.ANCHORARRAY(I649),{"","",""},_xlfn.ANCHORARRAY(I664),{"","",""},_xlfn.ANCHORARRAY(I689),{"","",""},_xlfn.ANCHORARRAY(I704),{"","",""},_xlfn.ANCHORARRAY(I714))</f>
        <v>2</v>
      </c>
      <c r="J839" t="str">
        <v>Revenues</v>
      </c>
      <c r="K839" t="str">
        <v/>
      </c>
    </row>
    <row r="840" spans="9:11">
      <c r="I840" t="str">
        <v/>
      </c>
      <c r="J840" t="str">
        <v/>
      </c>
      <c r="K840" t="str">
        <v/>
      </c>
    </row>
    <row r="841" spans="9:11">
      <c r="I841" t="str">
        <v/>
      </c>
      <c r="J841" t="str">
        <v/>
      </c>
      <c r="K841" t="str">
        <v/>
      </c>
    </row>
    <row r="842" spans="9:11">
      <c r="I842">
        <v>5</v>
      </c>
      <c r="J842" t="str">
        <v xml:space="preserve">  Total Revenues</v>
      </c>
      <c r="K842">
        <v>0</v>
      </c>
    </row>
    <row r="843" spans="9:11">
      <c r="I843" t="str">
        <v/>
      </c>
      <c r="J843" t="str">
        <v/>
      </c>
      <c r="K843" t="str">
        <v/>
      </c>
    </row>
    <row r="844" spans="9:11">
      <c r="I844">
        <v>2</v>
      </c>
      <c r="J844" t="str">
        <v>Expenses</v>
      </c>
      <c r="K844" t="str">
        <v/>
      </c>
    </row>
    <row r="845" spans="9:11">
      <c r="I845" t="str">
        <v/>
      </c>
      <c r="J845" t="str">
        <v/>
      </c>
      <c r="K845" t="str">
        <v/>
      </c>
    </row>
    <row r="846" spans="9:11">
      <c r="I846" t="str">
        <v/>
      </c>
      <c r="J846" t="str">
        <v/>
      </c>
      <c r="K846" t="str">
        <v/>
      </c>
    </row>
    <row r="847" spans="9:11">
      <c r="I847">
        <v>5</v>
      </c>
      <c r="J847" t="str">
        <v xml:space="preserve">  Total Expenses</v>
      </c>
      <c r="K847">
        <v>0</v>
      </c>
    </row>
    <row r="848" spans="9:11">
      <c r="I848" t="str">
        <v/>
      </c>
      <c r="J848" t="str">
        <v/>
      </c>
      <c r="K848" t="str">
        <v/>
      </c>
    </row>
    <row r="849" spans="9:11">
      <c r="I849" t="str">
        <v/>
      </c>
      <c r="J849" t="str">
        <v/>
      </c>
      <c r="K849" t="str">
        <v/>
      </c>
    </row>
    <row r="850" spans="9:11">
      <c r="I850" t="str">
        <v/>
      </c>
      <c r="J850" t="str">
        <v/>
      </c>
      <c r="K850" t="str">
        <v/>
      </c>
    </row>
    <row r="851" spans="9:11">
      <c r="I851" t="str">
        <v/>
      </c>
      <c r="J851" t="str">
        <v/>
      </c>
      <c r="K851" t="str">
        <v/>
      </c>
    </row>
    <row r="852" spans="9:11">
      <c r="I852" t="str">
        <v/>
      </c>
      <c r="J852" t="str">
        <v/>
      </c>
      <c r="K852" t="str">
        <v/>
      </c>
    </row>
    <row r="853" spans="9:11">
      <c r="I853">
        <v>3</v>
      </c>
      <c r="J853" t="str">
        <v>Net Income</v>
      </c>
      <c r="K853">
        <v>0</v>
      </c>
    </row>
  </sheetData>
  <mergeCells count="1">
    <mergeCell ref="M4:U4"/>
  </mergeCells>
  <phoneticPr fontId="4" type="noConversion"/>
  <conditionalFormatting sqref="D14:D21">
    <cfRule type="expression" dxfId="366" priority="18">
      <formula>NOT(ISBLANK($C14))</formula>
    </cfRule>
  </conditionalFormatting>
  <conditionalFormatting sqref="J7:J90">
    <cfRule type="expression" dxfId="365" priority="74">
      <formula>I7=3</formula>
    </cfRule>
    <cfRule type="expression" dxfId="364" priority="77">
      <formula>I7=2</formula>
    </cfRule>
    <cfRule type="expression" dxfId="363" priority="76">
      <formula>I7=4</formula>
    </cfRule>
    <cfRule type="expression" dxfId="362" priority="75">
      <formula>I7=5</formula>
    </cfRule>
  </conditionalFormatting>
  <conditionalFormatting sqref="J6:K6">
    <cfRule type="expression" dxfId="361" priority="416">
      <formula>NOT($G$101)</formula>
    </cfRule>
    <cfRule type="expression" dxfId="360" priority="415">
      <formula>AND($J$6&lt;&gt;"",$F$101,$G$101)</formula>
    </cfRule>
    <cfRule type="expression" dxfId="359" priority="14">
      <formula>NOT($F$101)</formula>
    </cfRule>
  </conditionalFormatting>
  <conditionalFormatting sqref="K7:K90">
    <cfRule type="expression" dxfId="358" priority="73">
      <formula>I7=2</formula>
    </cfRule>
    <cfRule type="expression" dxfId="357" priority="72">
      <formula>I7=3</formula>
    </cfRule>
    <cfRule type="expression" dxfId="356" priority="70">
      <formula>I7=5</formula>
    </cfRule>
    <cfRule type="expression" dxfId="355" priority="69">
      <formula>I7=7</formula>
    </cfRule>
    <cfRule type="expression" dxfId="354" priority="68">
      <formula>I7=6</formula>
    </cfRule>
  </conditionalFormatting>
  <conditionalFormatting sqref="M7:M90">
    <cfRule type="expression" dxfId="353" priority="49">
      <formula>L7=3</formula>
    </cfRule>
    <cfRule type="expression" dxfId="352" priority="51">
      <formula>L7=2</formula>
    </cfRule>
    <cfRule type="expression" dxfId="351" priority="16">
      <formula>L7=5</formula>
    </cfRule>
  </conditionalFormatting>
  <conditionalFormatting sqref="M6:N6">
    <cfRule type="expression" dxfId="350" priority="402">
      <formula>NOT($G$102)</formula>
    </cfRule>
    <cfRule type="expression" dxfId="349" priority="15">
      <formula>AND($M$6&lt;&gt;"",$G$102)</formula>
    </cfRule>
  </conditionalFormatting>
  <conditionalFormatting sqref="N7:N90">
    <cfRule type="expression" dxfId="348" priority="17">
      <formula>L7=5</formula>
    </cfRule>
    <cfRule type="expression" dxfId="347" priority="50">
      <formula>L7=6</formula>
    </cfRule>
    <cfRule type="expression" dxfId="346" priority="48">
      <formula>L7=3</formula>
    </cfRule>
    <cfRule type="expression" dxfId="345" priority="52">
      <formula>L7=2</formula>
    </cfRule>
  </conditionalFormatting>
  <conditionalFormatting sqref="Q7:Q90">
    <cfRule type="expression" dxfId="344" priority="29">
      <formula>P7=2</formula>
    </cfRule>
    <cfRule type="expression" dxfId="343" priority="28">
      <formula>P7=4</formula>
    </cfRule>
    <cfRule type="expression" dxfId="342" priority="26">
      <formula>P7=3</formula>
    </cfRule>
    <cfRule type="expression" dxfId="341" priority="27">
      <formula>P7=5</formula>
    </cfRule>
  </conditionalFormatting>
  <conditionalFormatting sqref="Q6:R6">
    <cfRule type="expression" dxfId="340" priority="10">
      <formula>IF($Q$6&lt;&gt;"",$G$103)</formula>
    </cfRule>
    <cfRule type="expression" dxfId="339" priority="20">
      <formula>NOT($G$103)</formula>
    </cfRule>
  </conditionalFormatting>
  <conditionalFormatting sqref="R7:R90">
    <cfRule type="expression" dxfId="338" priority="23">
      <formula>P7=5</formula>
    </cfRule>
    <cfRule type="expression" dxfId="337" priority="24">
      <formula>P7=3</formula>
    </cfRule>
    <cfRule type="expression" dxfId="336" priority="25">
      <formula>P7=2</formula>
    </cfRule>
    <cfRule type="expression" dxfId="335" priority="22">
      <formula>P7=7</formula>
    </cfRule>
    <cfRule type="expression" dxfId="334" priority="21">
      <formula>P7=6</formula>
    </cfRule>
  </conditionalFormatting>
  <conditionalFormatting sqref="T7:T90">
    <cfRule type="expression" dxfId="333" priority="44">
      <formula>S7=5</formula>
    </cfRule>
    <cfRule type="expression" dxfId="332" priority="45">
      <formula>S7=4</formula>
    </cfRule>
    <cfRule type="expression" dxfId="331" priority="46">
      <formula>S7=2</formula>
    </cfRule>
    <cfRule type="expression" dxfId="330" priority="43">
      <formula>S7=3</formula>
    </cfRule>
  </conditionalFormatting>
  <conditionalFormatting sqref="U7:U90">
    <cfRule type="expression" dxfId="329" priority="42">
      <formula>S7=2</formula>
    </cfRule>
    <cfRule type="expression" dxfId="328" priority="41">
      <formula>S7=3</formula>
    </cfRule>
    <cfRule type="expression" dxfId="327" priority="40">
      <formula>S7=5</formula>
    </cfRule>
    <cfRule type="expression" dxfId="326" priority="39">
      <formula>S7=7</formula>
    </cfRule>
    <cfRule type="expression" dxfId="325" priority="38">
      <formula>S7=6</formula>
    </cfRule>
  </conditionalFormatting>
  <conditionalFormatting sqref="U111:U113">
    <cfRule type="iconSet" priority="8">
      <iconSet iconSet="3Arrows">
        <cfvo type="percent" val="0"/>
        <cfvo type="percent" val="33"/>
        <cfvo type="percent" val="67"/>
      </iconSet>
    </cfRule>
  </conditionalFormatting>
  <conditionalFormatting sqref="U116 U118:U119">
    <cfRule type="iconSet" priority="7">
      <iconSet iconSet="3Arrows">
        <cfvo type="percent" val="0"/>
        <cfvo type="percent" val="33"/>
        <cfvo type="percent" val="67"/>
      </iconSet>
    </cfRule>
  </conditionalFormatting>
  <conditionalFormatting sqref="U120">
    <cfRule type="iconSet" priority="4">
      <iconSet iconSet="3Arrows">
        <cfvo type="percent" val="0"/>
        <cfvo type="percent" val="33"/>
        <cfvo type="percent" val="67"/>
      </iconSet>
    </cfRule>
  </conditionalFormatting>
  <conditionalFormatting sqref="U121">
    <cfRule type="iconSet" priority="3">
      <iconSet iconSet="3Arrows">
        <cfvo type="percent" val="0"/>
        <cfvo type="percent" val="33"/>
        <cfvo type="percent" val="67"/>
      </iconSet>
    </cfRule>
  </conditionalFormatting>
  <conditionalFormatting sqref="U127">
    <cfRule type="iconSet" priority="2">
      <iconSet iconSet="3Arrows">
        <cfvo type="percent" val="0"/>
        <cfvo type="percent" val="33"/>
        <cfvo type="percent" val="67"/>
      </iconSet>
    </cfRule>
  </conditionalFormatting>
  <conditionalFormatting sqref="U133">
    <cfRule type="iconSet" priority="1">
      <iconSet iconSet="3Arrows">
        <cfvo type="percent" val="0"/>
        <cfvo type="percent" val="33"/>
        <cfvo type="percent" val="67"/>
      </iconSet>
    </cfRule>
  </conditionalFormatting>
  <conditionalFormatting sqref="X7:X90">
    <cfRule type="expression" dxfId="324" priority="63">
      <formula>W7=5</formula>
    </cfRule>
    <cfRule type="expression" dxfId="323" priority="65">
      <formula>W7=2</formula>
    </cfRule>
    <cfRule type="expression" dxfId="322" priority="64">
      <formula>W7=4</formula>
    </cfRule>
    <cfRule type="expression" dxfId="321" priority="62">
      <formula>W7=3</formula>
    </cfRule>
  </conditionalFormatting>
  <conditionalFormatting sqref="X6:Y6">
    <cfRule type="expression" dxfId="320" priority="13">
      <formula>NOT($G$106)</formula>
    </cfRule>
    <cfRule type="expression" dxfId="319" priority="12">
      <formula>AND($X$6&lt;&gt;"",$F$106,$G$106)</formula>
    </cfRule>
    <cfRule type="expression" dxfId="318" priority="11">
      <formula>NOT($F$106)</formula>
    </cfRule>
  </conditionalFormatting>
  <conditionalFormatting sqref="Y7:Y90">
    <cfRule type="expression" dxfId="317" priority="58">
      <formula>W7=7</formula>
    </cfRule>
    <cfRule type="expression" dxfId="316" priority="57">
      <formula>W7=6</formula>
    </cfRule>
    <cfRule type="expression" dxfId="315" priority="60">
      <formula>W7=3</formula>
    </cfRule>
    <cfRule type="expression" dxfId="314" priority="59">
      <formula>W7=5</formula>
    </cfRule>
    <cfRule type="expression" dxfId="313" priority="61">
      <formula>W7=2</formula>
    </cfRule>
  </conditionalFormatting>
  <dataValidations count="7">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C25:C91" xr:uid="{F99E8168-FB16-4302-A85B-BF9A79CF36A8}">
      <formula1>$C$101:$C$108</formula1>
    </dataValidation>
    <dataValidation type="list" allowBlank="1" showInputMessage="1" showErrorMessage="1" sqref="D25:D91 D97:D98 D94" xr:uid="{3A8A877E-F706-49BA-9D22-CB25BFD9AFE9}">
      <formula1>$J$116:$J$127</formula1>
    </dataValidation>
  </dataValidations>
  <pageMargins left="0.7" right="0.7" top="0.75" bottom="0.75" header="0.3" footer="0.3"/>
  <pageSetup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9" id="{4EFFB192-F233-49B7-9DD0-B685D14145D4}">
            <xm:f>AND(T7&lt;&gt;"",FSAnswers!$Q$99)</xm:f>
            <x14:dxf>
              <font>
                <b/>
                <i val="0"/>
                <color theme="1"/>
              </font>
              <fill>
                <patternFill>
                  <bgColor rgb="FFFFFF00"/>
                </patternFill>
              </fill>
            </x14:dxf>
          </x14:cfRule>
          <x14:cfRule type="expression" priority="409" id="{00000000-000E-0000-0A00-00008A010000}">
            <xm:f>NOT(FSAnswers!$Q$99)</xm:f>
            <x14:dxf>
              <font>
                <b/>
                <i val="0"/>
                <color theme="0"/>
              </font>
              <fill>
                <patternFill>
                  <bgColor theme="9" tint="-0.24994659260841701"/>
                </patternFill>
              </fill>
            </x14:dxf>
          </x14:cfRule>
          <xm:sqref>T6:U6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49E3-E55F-44FC-A932-C209F2BD1AF8}">
  <sheetPr>
    <tabColor theme="4" tint="0.39997558519241921"/>
  </sheetPr>
  <dimension ref="A1:AZ390"/>
  <sheetViews>
    <sheetView workbookViewId="0">
      <selection activeCell="M33" sqref="M33"/>
    </sheetView>
  </sheetViews>
  <sheetFormatPr defaultRowHeight="14.45"/>
  <cols>
    <col min="1" max="1" width="17.42578125" customWidth="1"/>
    <col min="2" max="2" width="3.42578125" style="42" customWidth="1"/>
    <col min="3" max="3" width="43.28515625" customWidth="1"/>
    <col min="4" max="4" width="10.42578125" customWidth="1"/>
    <col min="5" max="5" width="4.28515625" style="42" customWidth="1"/>
    <col min="6" max="6" width="44.5703125" customWidth="1"/>
    <col min="7" max="7" width="10.85546875" customWidth="1"/>
    <col min="8" max="9" width="3.42578125" style="42" customWidth="1"/>
    <col min="10" max="10" width="33.42578125" customWidth="1"/>
    <col min="11" max="13" width="10.85546875" customWidth="1"/>
    <col min="14" max="18" width="7.7109375" customWidth="1"/>
    <col min="19" max="19" width="3.7109375" style="224" customWidth="1"/>
    <col min="20" max="20" width="3.42578125" style="42" customWidth="1"/>
    <col min="21" max="21" width="44.140625" customWidth="1"/>
    <col min="22" max="22" width="9.140625" customWidth="1"/>
    <col min="23" max="23" width="3.42578125" style="224" customWidth="1"/>
    <col min="24" max="24" width="3.42578125" style="42" customWidth="1"/>
    <col min="25" max="25" width="45.42578125" customWidth="1"/>
    <col min="26" max="26" width="10.28515625" customWidth="1"/>
    <col min="27" max="27" width="5.28515625" style="42" bestFit="1" customWidth="1"/>
    <col min="28" max="28" width="9.140625" customWidth="1"/>
    <col min="29" max="29" width="3.42578125" customWidth="1"/>
    <col min="30" max="31" width="13.85546875" customWidth="1"/>
    <col min="32" max="33" width="3.28515625" bestFit="1" customWidth="1"/>
    <col min="34" max="35" width="13.85546875" customWidth="1"/>
    <col min="36" max="37" width="3.28515625" bestFit="1" customWidth="1"/>
    <col min="38" max="38" width="12.5703125" customWidth="1"/>
    <col min="39" max="39" width="11.28515625" customWidth="1"/>
    <col min="40" max="41" width="3.28515625" bestFit="1" customWidth="1"/>
    <col min="42" max="42" width="12.28515625" customWidth="1"/>
    <col min="43" max="43" width="12.140625" customWidth="1"/>
    <col min="44" max="44" width="3.28515625" customWidth="1"/>
    <col min="45" max="45" width="7.28515625" bestFit="1" customWidth="1"/>
    <col min="46" max="46" width="13.28515625" customWidth="1"/>
    <col min="47" max="47" width="12.28515625" customWidth="1"/>
    <col min="48" max="48" width="3.140625" customWidth="1"/>
  </cols>
  <sheetData>
    <row r="1" spans="1:48" ht="23.45">
      <c r="A1" s="403">
        <v>1</v>
      </c>
      <c r="C1" s="414" t="str">
        <f>Entity</f>
        <v>Accounting Identity LLC</v>
      </c>
    </row>
    <row r="2" spans="1:48">
      <c r="A2" s="409">
        <v>2</v>
      </c>
      <c r="C2" s="413" t="str">
        <f>Units</f>
        <v>Dollars in Thousands</v>
      </c>
      <c r="D2" s="293"/>
      <c r="F2" s="293"/>
      <c r="G2" s="293"/>
      <c r="J2" s="293"/>
      <c r="K2" s="293"/>
      <c r="L2" s="293"/>
      <c r="M2" s="293"/>
      <c r="N2" s="293"/>
      <c r="O2" s="293"/>
      <c r="P2" s="293"/>
      <c r="Q2" s="202"/>
      <c r="R2" s="202"/>
      <c r="U2" s="293"/>
      <c r="V2" s="293"/>
      <c r="Y2" s="293"/>
      <c r="Z2" s="293"/>
      <c r="AB2" s="293"/>
      <c r="AC2" s="293"/>
    </row>
    <row r="3" spans="1:48">
      <c r="A3" s="409" t="s">
        <v>1178</v>
      </c>
      <c r="C3" s="293"/>
      <c r="D3" s="293"/>
      <c r="F3" s="293"/>
      <c r="G3" s="293"/>
      <c r="J3" s="293"/>
      <c r="K3" s="293"/>
      <c r="L3" s="293"/>
      <c r="M3" s="293"/>
      <c r="N3" s="293"/>
      <c r="O3" s="293"/>
      <c r="P3" s="293"/>
      <c r="Q3" s="202"/>
      <c r="R3" s="202"/>
      <c r="U3" s="293"/>
      <c r="V3" s="293"/>
      <c r="Y3" s="293"/>
      <c r="Z3" s="293"/>
      <c r="AB3" s="293"/>
      <c r="AC3" s="293"/>
      <c r="AE3" s="248"/>
    </row>
    <row r="4" spans="1:48" ht="18.600000000000001" thickBot="1">
      <c r="A4" s="409" t="s">
        <v>829</v>
      </c>
      <c r="C4" s="415" t="str">
        <f>BegDate</f>
        <v>12/31/20x0</v>
      </c>
      <c r="D4" s="412"/>
      <c r="F4" s="652" t="str">
        <f>"Explanations of Changes Made Using the Accounting Indentity over the "&amp;Period</f>
        <v>Explanations of Changes Made Using the Accounting Indentity over the Year</v>
      </c>
      <c r="G4" s="653"/>
      <c r="H4" s="653"/>
      <c r="I4" s="653"/>
      <c r="J4" s="653"/>
      <c r="K4" s="653"/>
      <c r="L4" s="653"/>
      <c r="M4" s="653"/>
      <c r="N4" s="653"/>
      <c r="O4" s="653"/>
      <c r="P4" s="653"/>
      <c r="Q4" s="653"/>
      <c r="R4" s="653"/>
      <c r="S4" s="653"/>
      <c r="T4" s="653"/>
      <c r="U4" s="653"/>
      <c r="V4" s="653"/>
      <c r="Y4" s="415" t="str">
        <f>EndDate</f>
        <v>12/31/20x1</v>
      </c>
      <c r="Z4" s="412"/>
      <c r="AB4" s="293"/>
      <c r="AC4" s="293"/>
    </row>
    <row r="5" spans="1:48">
      <c r="A5" s="409" t="s">
        <v>1179</v>
      </c>
      <c r="C5" s="293"/>
      <c r="D5" s="293"/>
      <c r="F5" s="293"/>
      <c r="G5" s="293"/>
      <c r="J5" s="293"/>
      <c r="K5" s="293"/>
      <c r="L5" s="293"/>
      <c r="M5" s="293"/>
      <c r="N5" s="293"/>
      <c r="O5" s="293"/>
      <c r="P5" s="293"/>
      <c r="Q5" s="202"/>
      <c r="R5" s="202"/>
      <c r="U5" s="293"/>
      <c r="V5" s="293"/>
      <c r="Y5" s="293"/>
      <c r="Z5" s="293"/>
      <c r="AB5" s="293"/>
      <c r="AC5" s="293"/>
      <c r="AD5" s="5" t="s">
        <v>65</v>
      </c>
    </row>
    <row r="6" spans="1:48" ht="15" thickBot="1">
      <c r="A6" s="409" t="s">
        <v>832</v>
      </c>
      <c r="B6" s="87">
        <v>1</v>
      </c>
      <c r="C6" s="511" t="s">
        <v>625</v>
      </c>
      <c r="D6" s="512"/>
      <c r="E6" s="508">
        <v>1</v>
      </c>
      <c r="F6" s="511" t="s">
        <v>586</v>
      </c>
      <c r="G6" s="512"/>
      <c r="H6" s="508"/>
      <c r="I6" s="508">
        <v>1</v>
      </c>
      <c r="J6" s="511" t="s">
        <v>696</v>
      </c>
      <c r="K6" s="512"/>
      <c r="L6" s="513"/>
      <c r="M6" s="513"/>
      <c r="N6" s="513"/>
      <c r="O6" s="513"/>
      <c r="P6" s="513"/>
      <c r="Q6" s="513"/>
      <c r="R6" s="514"/>
      <c r="S6" s="509"/>
      <c r="T6" s="571">
        <v>1</v>
      </c>
      <c r="U6" s="511" t="s">
        <v>626</v>
      </c>
      <c r="V6" s="512"/>
      <c r="W6" s="509"/>
      <c r="X6" s="508">
        <v>1</v>
      </c>
      <c r="Y6" s="511" t="s">
        <v>625</v>
      </c>
      <c r="Z6" s="512"/>
      <c r="AB6" s="410"/>
      <c r="AC6" s="301"/>
      <c r="AD6" s="472" t="str" cm="1">
        <f t="array" ref="AD6">_xlfn._xlws.FILTER($AT$101:$AT$118,($AS$101:$AS$118="Asset")*($AU$101:$AU$118=0),"None")</f>
        <v>None</v>
      </c>
      <c r="AE6" s="472"/>
      <c r="AF6" s="301"/>
      <c r="AG6" s="301"/>
      <c r="AH6" s="472" t="str" cm="1">
        <f t="array" ref="AH6">_xlfn._xlws.FILTER($AT$101:$AT$118,($AS$101:$AS$118="Asset")*($AU$101:$AU$118=1),"None")</f>
        <v>None</v>
      </c>
      <c r="AI6" s="472"/>
      <c r="AJ6" s="301"/>
      <c r="AK6" s="301"/>
      <c r="AL6" s="472" t="str" cm="1">
        <f t="array" ref="AL6">_xlfn._xlws.FILTER($AT$101:$AT$118,($AS$101:$AS$118="Asset")*($AU$101:$AU$118=2),"None")</f>
        <v>None</v>
      </c>
      <c r="AM6" s="472"/>
      <c r="AN6" s="301"/>
      <c r="AO6" s="301"/>
      <c r="AP6" s="472" t="str" cm="1">
        <f t="array" ref="AP6">_xlfn._xlws.FILTER($AT$101:$AT$118,($AS$101:$AS$118="Asset")*($AU$101:$AU$118=3),"None")</f>
        <v>None</v>
      </c>
      <c r="AQ6" s="472"/>
      <c r="AR6" s="301"/>
      <c r="AS6" s="301"/>
      <c r="AT6" s="472" t="str" cm="1">
        <f t="array" ref="AT6">_xlfn._xlws.FILTER($AT$101:$AT$118,($AS$101:$AS$118="Asset")*($AU$101:$AU$118=4),"None")</f>
        <v>None</v>
      </c>
      <c r="AU6" s="472"/>
      <c r="AV6" s="301"/>
    </row>
    <row r="7" spans="1:48" ht="15" thickTop="1">
      <c r="B7" s="87" cm="1">
        <f t="array" ref="B7:D24">_xlfn.VSTACK({2,"Assets",""},_xlfn.ANCHORARRAY(B160),_xlfn.ANCHORARRAY(B170),{2,"Liabilities",""},_xlfn.ANCHORARRAY(B180),_xlfn.ANCHORARRAY(B190),{2,"Equities",""},_xlfn.ANCHORARRAY(B200))</f>
        <v>2</v>
      </c>
      <c r="C7" s="506" t="str">
        <v>Assets</v>
      </c>
      <c r="D7" s="506" t="str">
        <v/>
      </c>
      <c r="E7" s="508" t="e" cm="1">
        <f t="array" ref="E7">IF($A$3="Show OCI",_xlfn.VSTACK({2,"Revenues",""},_xlfn.ANCHORARRAY(E160),{2,"Expenses",""},_xlfn.ANCHORARRAY(E170),_xlfn.ANCHORARRAY(E190),_xlfn.ANCHORARRAY(E200),#REF!,{"","",""},{"","",""},_xlfn.ANCHORARRAY(E211)),_xlfn.VSTACK({2,"Revenues",""},_xlfn.ANCHORARRAY(E160),{2,"Expenses",""},_xlfn.ANCHORARRAY(E170),_xlfn.ANCHORARRAY(E190),_xlfn.ANCHORARRAY(E200),#REF!))</f>
        <v>#REF!</v>
      </c>
      <c r="F7" s="509"/>
      <c r="G7" s="509"/>
      <c r="H7" s="508">
        <f>IF(F7&lt;&gt;"",COUNTIFS($AT$101:$AT$118,F7),0)</f>
        <v>0</v>
      </c>
      <c r="I7" s="508" t="e" cm="1">
        <f t="array" ref="I7">_xlfn._xlws.FILTER(#REF!,#REF!,"")</f>
        <v>#REF!</v>
      </c>
      <c r="J7" s="506"/>
      <c r="K7" s="510"/>
      <c r="L7" s="510"/>
      <c r="M7" s="510"/>
      <c r="N7" s="510"/>
      <c r="O7" s="510"/>
      <c r="P7" s="510"/>
      <c r="Q7" s="510"/>
      <c r="R7" s="510"/>
      <c r="S7" s="509"/>
      <c r="T7" s="571" cm="1">
        <f t="array" ref="T7:V21">_xlfn.IFS($V$350=0,_xlfn.VSTACK({2,"Operating",""},_xlfn.ANCHORARRAY(T160),{"","",""},{2,"Investing",""},_xlfn.ANCHORARRAY(T180),{"","",""},{2,"Financing",""},_xlfn.ANCHORARRAY(T200),{"","",""},_xlfn.ANCHORARRAY(T220)),$V$350=1,_xlfn.VSTACK({2,"Operating",""},_xlfn.ANCHORARRAY(T160),{"","",""},{2,"Investing",""},_xlfn.ANCHORARRAY(T180),{"","",""},{2,"Financing",""},_xlfn.ANCHORARRAY(T200),{"","",""},_xlfn.ANCHORARRAY(T220),{"","",""},{"","",""},{1,"Reconciliation of NI and CFO",""},_xlfn.ANCHORARRAY(T320),T310:V310),$V$350=2,_xlfn.VSTACK({2,"Operating",""},_xlfn.ANCHORARRAY(T160),{"","",""},{2,"Investing",""},_xlfn.ANCHORARRAY(T180),{"","",""},{2,"Financing",""},_xlfn.ANCHORARRAY(T200),{"","",""},_xlfn.ANCHORARRAY(T220),{"","",""},{"","",""},_xlfn.ANCHORARRAY(T240)),$V$350=3,_xlfn.VSTACK({2,"Operating",""},_xlfn.ANCHORARRAY(T160),{"","",""},{2,"Investing",""},_xlfn.ANCHORARRAY(T180),{"","",""},{2,"Financing",""},_xlfn.ANCHORARRAY(T200),{"","",""},_xlfn.ANCHORARRAY(T220),{"","",""},{"","",""},_xlfn.ANCHORARRAY(T240),{"","",""},{"","",""},{1,"Reconciliation of NI and CFO",""},_xlfn.ANCHORARRAY(T320),T310:V310),$V$350=4,_xlfn.VSTACK({2,"Operating",""},_xlfn.ANCHORARRAY(T320),{"","",""},{2,"Investing",""},_xlfn.ANCHORARRAY(T180),{"","",""},{2,"Financing",""},_xlfn.ANCHORARRAY(T200),{"","",""},_xlfn.ANCHORARRAY(T220)),OR($V$350=5,$V$350=6,$V$350=7),_xlfn.VSTACK({2,"Operating",""},_xlfn.ANCHORARRAY(T320),{"","",""},{2,"Investing",""},_xlfn.ANCHORARRAY(T180),{"","",""},{2,"Financing",""},_xlfn.ANCHORARRAY(T200),{"","",""},_xlfn.ANCHORARRAY(T220),{"","",""},{"","",""},_xlfn.ANCHORARRAY(T240)))</f>
        <v>2</v>
      </c>
      <c r="U7" s="506" t="str">
        <v>Operating</v>
      </c>
      <c r="V7" s="506" t="str">
        <v/>
      </c>
      <c r="W7" s="509"/>
      <c r="X7" s="508" cm="1">
        <f t="array" ref="X7:Z14">_xlfn.VSTACK({2,"Assets",""},_xlfn.ANCHORARRAY(X160),_xlfn.ANCHORARRAY(X170),{2,"Liabilities",""},_xlfn.ANCHORARRAY(X180),_xlfn.ANCHORARRAY(X190),{2,"Equities",""},_xlfn.ANCHORARRAY(X200))</f>
        <v>2</v>
      </c>
      <c r="Y7" s="506" t="str">
        <v>Assets</v>
      </c>
      <c r="Z7" s="506" t="str">
        <v/>
      </c>
      <c r="AA7" s="42" cm="1">
        <f t="array" ref="AA7">COUNTIFS($AT$101:$AT$118,Y7)+_xlfn.IFNA(_xlfn.IFS(AND(Y7="Retained Earnings",$AD$32="Retained Earnings"),1),0)</f>
        <v>0</v>
      </c>
      <c r="AC7" s="304" t="s">
        <v>884</v>
      </c>
      <c r="AD7" s="305">
        <f>_xlfn.IFNA(IF(_xlfn.XLOOKUP(AD6,$C$160:$C$179,$D$160:$D$179)&gt;0,_xlfn.XLOOKUP(AD6,$C$160:$C$179,$D$160:$D$179),""),0)</f>
        <v>0</v>
      </c>
      <c r="AE7" s="306">
        <f>_xlfn.IFNA(IF(_xlfn.XLOOKUP(AD6,$C$160:$C$179,$D$160:$D$179)&lt;0,-_xlfn.XLOOKUP(AD6,$C$160:$C$179,$D$160:$D$179),0),0)</f>
        <v>0</v>
      </c>
      <c r="AF7" s="304" t="s">
        <v>884</v>
      </c>
      <c r="AG7" s="304" t="s">
        <v>884</v>
      </c>
      <c r="AH7" s="305">
        <f>_xlfn.IFNA(IF(_xlfn.XLOOKUP(AH6,$C$160:$C$179,$D$160:$D$179)&gt;0,_xlfn.XLOOKUP(AH6,$C$160:$C$179,$D$160:$D$179),""),0)</f>
        <v>0</v>
      </c>
      <c r="AI7" s="306">
        <f>_xlfn.IFNA(IF(_xlfn.XLOOKUP(AH6,$C$160:$C$179,$D$160:$D$179)&lt;0,-_xlfn.XLOOKUP(AH6,$C$160:$C$179,$D$160:$D$179),0),0)</f>
        <v>0</v>
      </c>
      <c r="AJ7" s="304" t="s">
        <v>884</v>
      </c>
      <c r="AK7" s="304" t="s">
        <v>884</v>
      </c>
      <c r="AL7" s="305">
        <f>_xlfn.IFNA(IF(_xlfn.XLOOKUP(AL6,$C$160:$C$179,$D$160:$D$179)&gt;0,_xlfn.XLOOKUP(AL6,$C$160:$C$179,$D$160:$D$179),""),0)</f>
        <v>0</v>
      </c>
      <c r="AM7" s="306">
        <f>_xlfn.IFNA(IF(_xlfn.XLOOKUP(AL6,$C$160:$C$179,$D$160:$D$179)&lt;0,-_xlfn.XLOOKUP(AL6,$C$160:$C$179,$D$160:$D$179),0),0)</f>
        <v>0</v>
      </c>
      <c r="AN7" s="304" t="s">
        <v>884</v>
      </c>
      <c r="AO7" s="304" t="s">
        <v>884</v>
      </c>
      <c r="AP7" s="305">
        <f>_xlfn.IFNA(IF(_xlfn.XLOOKUP(AP6,$C$160:$C$179,$D$160:$D$179)&gt;0,_xlfn.XLOOKUP(AP6,$C$160:$C$179,$D$160:$D$179),""),0)</f>
        <v>0</v>
      </c>
      <c r="AQ7" s="306">
        <f>_xlfn.IFNA(IF(_xlfn.XLOOKUP(AP6,$C$160:$C$179,$D$160:$D$179)&lt;0,-_xlfn.XLOOKUP(AP6,$C$160:$C$179,$D$160:$D$179),0),0)</f>
        <v>0</v>
      </c>
      <c r="AR7" s="304" t="s">
        <v>884</v>
      </c>
      <c r="AS7" s="304" t="s">
        <v>884</v>
      </c>
      <c r="AT7" s="305">
        <f>_xlfn.IFNA(IF(_xlfn.XLOOKUP(AT6,$C$160:$C$179,$D$160:$D$179)&gt;0,_xlfn.XLOOKUP(AT6,$C$160:$C$179,$D$160:$D$179),""),0)</f>
        <v>0</v>
      </c>
      <c r="AU7" s="306">
        <f>_xlfn.IFNA(IF(_xlfn.XLOOKUP(AT6,$C$160:$C$179,$D$160:$D$179)&lt;0,-_xlfn.XLOOKUP(AT6,$C$160:$C$179,$D$160:$D$179),0),0)</f>
        <v>0</v>
      </c>
      <c r="AV7" s="304" t="s">
        <v>884</v>
      </c>
    </row>
    <row r="8" spans="1:48">
      <c r="B8" s="87">
        <v>4</v>
      </c>
      <c r="C8" s="506" t="str">
        <v>Current Assets</v>
      </c>
      <c r="D8" s="506" t="str">
        <v/>
      </c>
      <c r="E8" s="508"/>
      <c r="F8" s="509"/>
      <c r="G8" s="509"/>
      <c r="H8" s="508">
        <f t="shared" ref="H8:H60" si="0">IF(F8&lt;&gt;"",COUNTIFS($AT$101:$AT$118,F8),0)</f>
        <v>0</v>
      </c>
      <c r="I8" s="508"/>
      <c r="J8" s="506"/>
      <c r="K8" s="506"/>
      <c r="L8" s="506"/>
      <c r="M8" s="506"/>
      <c r="N8" s="506"/>
      <c r="O8" s="506"/>
      <c r="P8" s="506"/>
      <c r="Q8" s="506"/>
      <c r="R8" s="506"/>
      <c r="S8" s="509"/>
      <c r="T8" s="571" t="str">
        <v/>
      </c>
      <c r="U8" s="506" t="str">
        <v/>
      </c>
      <c r="V8" s="506" t="str">
        <v/>
      </c>
      <c r="W8" s="509"/>
      <c r="X8" s="508" t="e">
        <v>#REF!</v>
      </c>
      <c r="Y8" s="506" t="e">
        <v>#N/A</v>
      </c>
      <c r="Z8" s="506" t="e">
        <v>#N/A</v>
      </c>
      <c r="AA8" s="42" cm="1">
        <f t="array" ref="AA8">COUNTIFS($AT$101:$AT$118,Y8)+_xlfn.IFNA(_xlfn.IFS(AND(Y8="Retained Earnings",$AD$32="Retained Earnings"),1),0)</f>
        <v>0</v>
      </c>
      <c r="AC8" s="304" t="str" cm="1">
        <f t="array" ref="AC8">_xlfn.IFNA(_xlfn._xlws.FILTER(Journal[Transaction '#],Journal[Debit Account]=AD6,""),"")</f>
        <v/>
      </c>
      <c r="AD8" s="307" cm="1">
        <f t="array" ref="AD8">_xlfn._xlws.FILTER(Journal[Dr Amt],Journal[Debit Account]=AD6,0)</f>
        <v>0</v>
      </c>
      <c r="AE8" s="37" cm="1">
        <f t="array" ref="AE8">_xlfn._xlws.FILTER(Journal[Cr Amt],Journal[Credit Account]=AD6,0)</f>
        <v>0</v>
      </c>
      <c r="AF8" s="304" t="str" cm="1">
        <f t="array" ref="AF8">_xlfn.IFNA(_xlfn._xlws.FILTER(Journal[Transaction '#],Journal[Credit Account]=AD6,""),"")</f>
        <v/>
      </c>
      <c r="AG8" s="304" t="str" cm="1">
        <f t="array" ref="AG8">_xlfn.IFNA(_xlfn._xlws.FILTER(Journal[Transaction '#],Journal[Debit Account]=AH6,""),"")</f>
        <v/>
      </c>
      <c r="AH8" s="307" cm="1">
        <f t="array" ref="AH8">_xlfn._xlws.FILTER(Journal[Dr Amt],Journal[Debit Account]=AH6,0)</f>
        <v>0</v>
      </c>
      <c r="AI8" s="37" cm="1">
        <f t="array" ref="AI8">_xlfn._xlws.FILTER(Journal[Cr Amt],Journal[Credit Account]=AH6,0)</f>
        <v>0</v>
      </c>
      <c r="AJ8" s="304" t="str" cm="1">
        <f t="array" ref="AJ8">_xlfn.IFNA(_xlfn._xlws.FILTER(Journal[Transaction '#],Journal[Credit Account]=AH6,""),"")</f>
        <v/>
      </c>
      <c r="AK8" s="304" t="str" cm="1">
        <f t="array" ref="AK8">_xlfn.IFNA(_xlfn._xlws.FILTER(Journal[Transaction '#],Journal[Debit Account]=AL6,""),"")</f>
        <v/>
      </c>
      <c r="AL8" s="307" cm="1">
        <f t="array" ref="AL8">_xlfn._xlws.FILTER(Journal[Dr Amt],Journal[Debit Account]=AL6,0)</f>
        <v>0</v>
      </c>
      <c r="AM8" s="37" cm="1">
        <f t="array" ref="AM8">_xlfn._xlws.FILTER(Journal[Cr Amt],Journal[Credit Account]=AL6,0)</f>
        <v>0</v>
      </c>
      <c r="AN8" s="304" t="str" cm="1">
        <f t="array" ref="AN8">_xlfn.IFNA(_xlfn._xlws.FILTER(Journal[Transaction '#],Journal[Credit Account]=AL6,""),"")</f>
        <v/>
      </c>
      <c r="AO8" s="304" t="str" cm="1">
        <f t="array" ref="AO8">_xlfn.IFNA(_xlfn._xlws.FILTER(Journal[Transaction '#],Journal[Debit Account]=AP6,""),"")</f>
        <v/>
      </c>
      <c r="AP8" s="307" cm="1">
        <f t="array" ref="AP8">_xlfn._xlws.FILTER(Journal[Dr Amt],Journal[Debit Account]=AP6,0)</f>
        <v>0</v>
      </c>
      <c r="AQ8" s="37" cm="1">
        <f t="array" ref="AQ8">_xlfn._xlws.FILTER(Journal[Cr Amt],Journal[Credit Account]=AP6,0)</f>
        <v>0</v>
      </c>
      <c r="AR8" s="304" t="str" cm="1">
        <f t="array" ref="AR8">_xlfn.IFNA(_xlfn._xlws.FILTER(Journal[Transaction '#],Journal[Credit Account]=AP6,""),"")</f>
        <v/>
      </c>
      <c r="AS8" s="304" t="str" cm="1">
        <f t="array" ref="AS8">_xlfn.IFNA(_xlfn._xlws.FILTER(Journal[Transaction '#],Journal[Debit Account]=AT6,""),"")</f>
        <v/>
      </c>
      <c r="AT8" s="307" cm="1">
        <f t="array" ref="AT8">_xlfn._xlws.FILTER(Journal[Dr Amt],Journal[Debit Account]=AT6,0)</f>
        <v>0</v>
      </c>
      <c r="AU8" s="37" cm="1">
        <f t="array" ref="AU8">_xlfn._xlws.FILTER(Journal[Cr Amt],Journal[Credit Account]=AT6,0)</f>
        <v>0</v>
      </c>
      <c r="AV8" s="304" t="str" cm="1">
        <f t="array" ref="AV8">_xlfn.IFNA(_xlfn._xlws.FILTER(Journal[Transaction '#],Journal[Credit Account]=AT6,""),"")</f>
        <v/>
      </c>
    </row>
    <row r="9" spans="1:48">
      <c r="B9" s="87">
        <v>6</v>
      </c>
      <c r="C9" s="506" t="str">
        <v>Cash</v>
      </c>
      <c r="D9" s="506">
        <v>0</v>
      </c>
      <c r="E9" s="508"/>
      <c r="F9" s="509"/>
      <c r="G9" s="509"/>
      <c r="H9" s="508">
        <f t="shared" si="0"/>
        <v>0</v>
      </c>
      <c r="I9" s="508"/>
      <c r="J9" s="506"/>
      <c r="K9" s="506"/>
      <c r="L9" s="506"/>
      <c r="M9" s="506"/>
      <c r="N9" s="506"/>
      <c r="O9" s="506"/>
      <c r="P9" s="506"/>
      <c r="Q9" s="506"/>
      <c r="R9" s="506"/>
      <c r="S9" s="509"/>
      <c r="T9" s="571" t="str">
        <v/>
      </c>
      <c r="U9" s="506" t="str">
        <v/>
      </c>
      <c r="V9" s="506" t="str">
        <v/>
      </c>
      <c r="W9" s="509"/>
      <c r="X9" s="508" t="e">
        <v>#REF!</v>
      </c>
      <c r="Y9" s="506" t="e">
        <v>#N/A</v>
      </c>
      <c r="Z9" s="506" t="e">
        <v>#N/A</v>
      </c>
      <c r="AA9" s="42" cm="1">
        <f t="array" ref="AA9">COUNTIFS($AT$101:$AT$118,Y9)+_xlfn.IFNA(_xlfn.IFS(AND(Y9="Retained Earnings",$AD$32="Retained Earnings"),1),0)</f>
        <v>0</v>
      </c>
      <c r="AB9" s="42"/>
      <c r="AC9" s="304"/>
      <c r="AD9" s="307"/>
      <c r="AE9" s="37"/>
      <c r="AF9" s="304"/>
      <c r="AG9" s="304"/>
      <c r="AH9" s="307"/>
      <c r="AI9" s="37"/>
      <c r="AJ9" s="304"/>
      <c r="AK9" s="304"/>
      <c r="AL9" s="307"/>
      <c r="AM9" s="37"/>
      <c r="AN9" s="304"/>
      <c r="AO9" s="304"/>
      <c r="AP9" s="307"/>
      <c r="AQ9" s="37"/>
      <c r="AR9" s="304"/>
      <c r="AS9" s="304"/>
      <c r="AT9" s="307"/>
      <c r="AU9" s="37"/>
      <c r="AV9" s="304"/>
    </row>
    <row r="10" spans="1:48">
      <c r="B10" s="87">
        <v>7</v>
      </c>
      <c r="C10" s="506" t="str">
        <v>Accounts Receivable</v>
      </c>
      <c r="D10" s="506">
        <v>0</v>
      </c>
      <c r="E10" s="508"/>
      <c r="F10" s="509"/>
      <c r="G10" s="509"/>
      <c r="H10" s="508">
        <f t="shared" si="0"/>
        <v>0</v>
      </c>
      <c r="I10" s="508"/>
      <c r="J10" s="506"/>
      <c r="K10" s="506"/>
      <c r="L10" s="506"/>
      <c r="M10" s="506"/>
      <c r="N10" s="506"/>
      <c r="O10" s="506"/>
      <c r="P10" s="506"/>
      <c r="Q10" s="506"/>
      <c r="R10" s="506"/>
      <c r="S10" s="509"/>
      <c r="T10" s="571">
        <v>2</v>
      </c>
      <c r="U10" s="506" t="str">
        <v>Investing</v>
      </c>
      <c r="V10" s="506" t="str">
        <v/>
      </c>
      <c r="W10" s="509"/>
      <c r="X10" s="508">
        <v>2</v>
      </c>
      <c r="Y10" s="506" t="str">
        <v>Liabilities</v>
      </c>
      <c r="Z10" s="506" t="str">
        <v/>
      </c>
      <c r="AA10" s="42" cm="1">
        <f t="array" ref="AA10">COUNTIFS($AT$101:$AT$118,Y10)+_xlfn.IFNA(_xlfn.IFS(AND(Y10="Retained Earnings",$AD$32="Retained Earnings"),1),0)</f>
        <v>0</v>
      </c>
      <c r="AC10" s="304"/>
      <c r="AD10" s="307"/>
      <c r="AE10" s="37"/>
      <c r="AF10" s="304"/>
      <c r="AG10" s="304"/>
      <c r="AH10" s="307"/>
      <c r="AI10" s="37"/>
      <c r="AJ10" s="304"/>
      <c r="AK10" s="304"/>
      <c r="AL10" s="307"/>
      <c r="AM10" s="37"/>
      <c r="AN10" s="304"/>
      <c r="AO10" s="304"/>
      <c r="AP10" s="307"/>
      <c r="AQ10" s="37"/>
      <c r="AR10" s="304"/>
      <c r="AS10" s="304"/>
      <c r="AT10" s="307"/>
      <c r="AU10" s="37"/>
      <c r="AV10" s="304"/>
    </row>
    <row r="11" spans="1:48">
      <c r="B11" s="87">
        <v>7</v>
      </c>
      <c r="C11" s="506" t="str">
        <v>Inventories</v>
      </c>
      <c r="D11" s="506">
        <v>0</v>
      </c>
      <c r="E11" s="508"/>
      <c r="F11" s="509"/>
      <c r="G11" s="509"/>
      <c r="H11" s="508">
        <f t="shared" si="0"/>
        <v>0</v>
      </c>
      <c r="I11" s="508"/>
      <c r="J11" s="506"/>
      <c r="K11" s="506"/>
      <c r="L11" s="506"/>
      <c r="M11" s="506"/>
      <c r="N11" s="506"/>
      <c r="O11" s="506"/>
      <c r="P11" s="506"/>
      <c r="Q11" s="506"/>
      <c r="R11" s="506"/>
      <c r="S11" s="509"/>
      <c r="T11" s="571" t="str">
        <v/>
      </c>
      <c r="U11" s="506" t="str">
        <v/>
      </c>
      <c r="V11" s="506" t="str">
        <v/>
      </c>
      <c r="W11" s="509"/>
      <c r="X11" s="508" t="e">
        <v>#REF!</v>
      </c>
      <c r="Y11" s="506" t="e">
        <v>#N/A</v>
      </c>
      <c r="Z11" s="506" t="e">
        <v>#N/A</v>
      </c>
      <c r="AA11" s="42" cm="1">
        <f t="array" ref="AA11">COUNTIFS($AT$101:$AT$118,Y11)+_xlfn.IFNA(_xlfn.IFS(AND(Y11="Retained Earnings",$AD$32="Retained Earnings"),1),0)</f>
        <v>0</v>
      </c>
      <c r="AC11" s="304"/>
      <c r="AD11" s="307"/>
      <c r="AE11" s="37"/>
      <c r="AF11" s="304"/>
      <c r="AG11" s="304"/>
      <c r="AH11" s="307"/>
      <c r="AI11" s="37"/>
      <c r="AJ11" s="304"/>
      <c r="AK11" s="304"/>
      <c r="AL11" s="307"/>
      <c r="AM11" s="37"/>
      <c r="AN11" s="304"/>
      <c r="AO11" s="304"/>
      <c r="AP11" s="307"/>
      <c r="AQ11" s="37"/>
      <c r="AR11" s="304"/>
      <c r="AS11" s="304"/>
      <c r="AT11" s="307"/>
      <c r="AU11" s="37"/>
      <c r="AV11" s="304"/>
    </row>
    <row r="12" spans="1:48">
      <c r="B12" s="87">
        <v>4</v>
      </c>
      <c r="C12" s="506" t="str">
        <v>Noncurrent Assets</v>
      </c>
      <c r="D12" s="506" t="str">
        <v/>
      </c>
      <c r="E12" s="508"/>
      <c r="F12" s="509"/>
      <c r="G12" s="509"/>
      <c r="H12" s="508">
        <f t="shared" si="0"/>
        <v>0</v>
      </c>
      <c r="I12" s="508"/>
      <c r="J12" s="506"/>
      <c r="K12" s="506"/>
      <c r="L12" s="506"/>
      <c r="M12" s="506"/>
      <c r="N12" s="506"/>
      <c r="O12" s="506"/>
      <c r="P12" s="506"/>
      <c r="Q12" s="506"/>
      <c r="R12" s="506"/>
      <c r="S12" s="509"/>
      <c r="T12" s="571" t="str">
        <v/>
      </c>
      <c r="U12" s="506" t="str">
        <v/>
      </c>
      <c r="V12" s="506" t="str">
        <v/>
      </c>
      <c r="W12" s="509"/>
      <c r="X12" s="508" t="e">
        <v>#REF!</v>
      </c>
      <c r="Y12" s="506" t="e">
        <v>#N/A</v>
      </c>
      <c r="Z12" s="506" t="e">
        <v>#N/A</v>
      </c>
      <c r="AA12" s="42" cm="1">
        <f t="array" ref="AA12">COUNTIFS($AT$101:$AT$118,Y12)+_xlfn.IFNA(_xlfn.IFS(AND(Y12="Retained Earnings",$AD$32="Retained Earnings"),1),0)</f>
        <v>0</v>
      </c>
      <c r="AC12" s="304"/>
      <c r="AD12" s="307"/>
      <c r="AE12" s="37"/>
      <c r="AF12" s="304"/>
      <c r="AG12" s="304"/>
      <c r="AH12" s="307"/>
      <c r="AI12" s="37"/>
      <c r="AJ12" s="304"/>
      <c r="AK12" s="304"/>
      <c r="AL12" s="307"/>
      <c r="AM12" s="37"/>
      <c r="AN12" s="304"/>
      <c r="AO12" s="304"/>
      <c r="AP12" s="307"/>
      <c r="AQ12" s="37"/>
      <c r="AR12" s="304"/>
      <c r="AS12" s="304"/>
      <c r="AT12" s="307"/>
      <c r="AU12" s="37"/>
      <c r="AV12" s="304"/>
    </row>
    <row r="13" spans="1:48">
      <c r="B13" s="87">
        <v>6</v>
      </c>
      <c r="C13" s="506" t="str">
        <v>Property, Plant &amp; Equipment</v>
      </c>
      <c r="D13" s="506">
        <v>0</v>
      </c>
      <c r="E13" s="508"/>
      <c r="F13" s="509"/>
      <c r="G13" s="509"/>
      <c r="H13" s="508">
        <f t="shared" si="0"/>
        <v>0</v>
      </c>
      <c r="I13" s="508"/>
      <c r="J13" s="506"/>
      <c r="K13" s="506"/>
      <c r="L13" s="506"/>
      <c r="M13" s="506"/>
      <c r="N13" s="506"/>
      <c r="O13" s="506"/>
      <c r="P13" s="506"/>
      <c r="Q13" s="506"/>
      <c r="R13" s="506"/>
      <c r="S13" s="509"/>
      <c r="T13" s="571">
        <v>2</v>
      </c>
      <c r="U13" s="506" t="str">
        <v>Financing</v>
      </c>
      <c r="V13" s="506" t="str">
        <v/>
      </c>
      <c r="W13" s="509"/>
      <c r="X13" s="508">
        <v>2</v>
      </c>
      <c r="Y13" s="506" t="str">
        <v>Equities</v>
      </c>
      <c r="Z13" s="506" t="str">
        <v/>
      </c>
      <c r="AA13" s="42" cm="1">
        <f t="array" ref="AA13">COUNTIFS($AT$101:$AT$118,Y13)+_xlfn.IFNA(_xlfn.IFS(AND(Y13="Retained Earnings",$AD$32="Retained Earnings"),1),0)</f>
        <v>0</v>
      </c>
      <c r="AC13" s="304"/>
      <c r="AD13" s="307"/>
      <c r="AE13" s="37"/>
      <c r="AF13" s="304"/>
      <c r="AG13" s="304"/>
      <c r="AH13" s="307"/>
      <c r="AI13" s="37"/>
      <c r="AJ13" s="304"/>
      <c r="AK13" s="304"/>
      <c r="AL13" s="307"/>
      <c r="AM13" s="37"/>
      <c r="AN13" s="304"/>
      <c r="AO13" s="304"/>
      <c r="AP13" s="307"/>
      <c r="AQ13" s="37"/>
      <c r="AR13" s="304"/>
      <c r="AS13" s="304"/>
      <c r="AT13" s="307"/>
      <c r="AU13" s="37"/>
      <c r="AV13" s="304"/>
    </row>
    <row r="14" spans="1:48">
      <c r="B14" s="87">
        <v>7</v>
      </c>
      <c r="C14" s="506" t="str">
        <v>Land</v>
      </c>
      <c r="D14" s="506">
        <v>0</v>
      </c>
      <c r="E14" s="508"/>
      <c r="F14" s="509"/>
      <c r="G14" s="509"/>
      <c r="H14" s="508">
        <f t="shared" si="0"/>
        <v>0</v>
      </c>
      <c r="I14" s="508"/>
      <c r="J14" s="506"/>
      <c r="K14" s="506"/>
      <c r="L14" s="506"/>
      <c r="M14" s="506"/>
      <c r="N14" s="506"/>
      <c r="O14" s="506"/>
      <c r="P14" s="506"/>
      <c r="Q14" s="506"/>
      <c r="R14" s="506"/>
      <c r="S14" s="509"/>
      <c r="T14" s="571" t="str">
        <v/>
      </c>
      <c r="U14" s="506" t="str">
        <v/>
      </c>
      <c r="V14" s="506" t="str">
        <v/>
      </c>
      <c r="W14" s="509"/>
      <c r="X14" s="508" t="e">
        <v>#REF!</v>
      </c>
      <c r="Y14" s="506" t="e">
        <v>#N/A</v>
      </c>
      <c r="Z14" s="506" t="e">
        <v>#N/A</v>
      </c>
      <c r="AA14" s="42" cm="1">
        <f t="array" ref="AA14">COUNTIFS($AT$101:$AT$118,Y14)+_xlfn.IFNA(_xlfn.IFS(AND(Y14="Retained Earnings",$AD$32="Retained Earnings"),1),0)</f>
        <v>0</v>
      </c>
      <c r="AC14" s="304"/>
      <c r="AD14" s="307"/>
      <c r="AE14" s="37"/>
      <c r="AF14" s="304"/>
      <c r="AG14" s="304"/>
      <c r="AH14" s="307"/>
      <c r="AI14" s="37"/>
      <c r="AJ14" s="304"/>
      <c r="AK14" s="304"/>
      <c r="AL14" s="307"/>
      <c r="AM14" s="37"/>
      <c r="AN14" s="304"/>
      <c r="AO14" s="304"/>
      <c r="AP14" s="307"/>
      <c r="AQ14" s="37"/>
      <c r="AR14" s="304"/>
      <c r="AS14" s="304"/>
      <c r="AT14" s="307"/>
      <c r="AU14" s="37"/>
      <c r="AV14" s="304"/>
    </row>
    <row r="15" spans="1:48">
      <c r="B15" s="87">
        <v>2</v>
      </c>
      <c r="C15" s="506" t="str">
        <v>Liabilities</v>
      </c>
      <c r="D15" s="506" t="str">
        <v/>
      </c>
      <c r="E15" s="508"/>
      <c r="F15" s="509"/>
      <c r="G15" s="509"/>
      <c r="H15" s="508">
        <f t="shared" si="0"/>
        <v>0</v>
      </c>
      <c r="I15" s="508"/>
      <c r="J15" s="506"/>
      <c r="K15" s="506"/>
      <c r="L15" s="506"/>
      <c r="M15" s="506"/>
      <c r="N15" s="506"/>
      <c r="O15" s="506"/>
      <c r="P15" s="506"/>
      <c r="Q15" s="506"/>
      <c r="R15" s="506"/>
      <c r="S15" s="509"/>
      <c r="T15" s="571" t="str">
        <v/>
      </c>
      <c r="U15" s="506" t="str">
        <v/>
      </c>
      <c r="V15" s="506" t="str">
        <v/>
      </c>
      <c r="W15" s="509"/>
      <c r="X15" s="508"/>
      <c r="Y15" s="506"/>
      <c r="Z15" s="506"/>
      <c r="AA15" s="42" cm="1">
        <f t="array" ref="AA15">COUNTIFS($AT$101:$AT$118,Y15)+_xlfn.IFNA(_xlfn.IFS(AND(Y15="Retained Earnings",$AD$32="Retained Earnings"),1),0)</f>
        <v>0</v>
      </c>
      <c r="AC15" s="304"/>
      <c r="AD15" s="307"/>
      <c r="AE15" s="37"/>
      <c r="AF15" s="304"/>
      <c r="AG15" s="304"/>
      <c r="AH15" s="307"/>
      <c r="AI15" s="37"/>
      <c r="AJ15" s="304"/>
      <c r="AK15" s="304"/>
      <c r="AL15" s="307"/>
      <c r="AM15" s="37"/>
      <c r="AN15" s="304"/>
      <c r="AO15" s="304"/>
      <c r="AP15" s="307"/>
      <c r="AQ15" s="37"/>
      <c r="AR15" s="304"/>
      <c r="AS15" s="304"/>
      <c r="AT15" s="307"/>
      <c r="AU15" s="37"/>
      <c r="AV15" s="304"/>
    </row>
    <row r="16" spans="1:48">
      <c r="B16" s="87">
        <v>4</v>
      </c>
      <c r="C16" s="506" t="str">
        <v>Current Liabilities</v>
      </c>
      <c r="D16" s="506" t="str">
        <v/>
      </c>
      <c r="E16" s="508"/>
      <c r="F16" s="509"/>
      <c r="G16" s="509"/>
      <c r="H16" s="508">
        <f t="shared" si="0"/>
        <v>0</v>
      </c>
      <c r="I16" s="508"/>
      <c r="J16" s="506"/>
      <c r="K16" s="506"/>
      <c r="L16" s="506"/>
      <c r="M16" s="506"/>
      <c r="N16" s="506"/>
      <c r="O16" s="506"/>
      <c r="P16" s="506"/>
      <c r="Q16" s="506"/>
      <c r="R16" s="506"/>
      <c r="S16" s="509"/>
      <c r="T16" s="571" t="str">
        <v/>
      </c>
      <c r="U16" s="506" t="str">
        <v/>
      </c>
      <c r="V16" s="506" t="str">
        <v/>
      </c>
      <c r="W16" s="509"/>
      <c r="X16" s="508"/>
      <c r="Y16" s="506"/>
      <c r="Z16" s="506"/>
      <c r="AA16" s="42" cm="1">
        <f t="array" ref="AA16">COUNTIFS($AT$101:$AT$118,Y16)+_xlfn.IFNA(_xlfn.IFS(AND(Y16="Retained Earnings",$AD$32="Retained Earnings"),1),0)</f>
        <v>0</v>
      </c>
      <c r="AC16" s="304"/>
      <c r="AD16" s="307"/>
      <c r="AE16" s="37"/>
      <c r="AF16" s="304"/>
      <c r="AG16" s="304"/>
      <c r="AH16" s="307"/>
      <c r="AI16" s="37"/>
      <c r="AJ16" s="304"/>
      <c r="AK16" s="304"/>
      <c r="AL16" s="307"/>
      <c r="AM16" s="37"/>
      <c r="AN16" s="304"/>
      <c r="AO16" s="304"/>
      <c r="AP16" s="307"/>
      <c r="AQ16" s="37"/>
      <c r="AR16" s="304"/>
      <c r="AS16" s="304"/>
      <c r="AT16" s="307"/>
      <c r="AU16" s="37"/>
      <c r="AV16" s="304"/>
    </row>
    <row r="17" spans="2:52">
      <c r="B17" s="87">
        <v>6</v>
      </c>
      <c r="C17" s="506" t="str">
        <v>Accounts Payable</v>
      </c>
      <c r="D17" s="506">
        <v>0</v>
      </c>
      <c r="E17" s="508"/>
      <c r="F17" s="509"/>
      <c r="G17" s="509"/>
      <c r="H17" s="508">
        <f t="shared" si="0"/>
        <v>0</v>
      </c>
      <c r="I17" s="508"/>
      <c r="J17" s="506"/>
      <c r="K17" s="506"/>
      <c r="L17" s="506"/>
      <c r="M17" s="506"/>
      <c r="N17" s="506"/>
      <c r="O17" s="506"/>
      <c r="P17" s="506"/>
      <c r="Q17" s="506"/>
      <c r="R17" s="506"/>
      <c r="S17" s="509"/>
      <c r="T17" s="571" t="str">
        <v/>
      </c>
      <c r="U17" s="506" t="str">
        <v/>
      </c>
      <c r="V17" s="506" t="str">
        <v/>
      </c>
      <c r="W17" s="509"/>
      <c r="X17" s="508"/>
      <c r="Y17" s="506"/>
      <c r="Z17" s="506"/>
      <c r="AA17" s="42" cm="1">
        <f t="array" ref="AA17">COUNTIFS($AT$101:$AT$118,Y17)+_xlfn.IFNA(_xlfn.IFS(AND(Y17="Retained Earnings",$AD$32="Retained Earnings"),1),0)</f>
        <v>0</v>
      </c>
      <c r="AC17" s="304"/>
      <c r="AD17" s="307"/>
      <c r="AE17" s="37"/>
      <c r="AF17" s="304"/>
      <c r="AG17" s="304"/>
      <c r="AH17" s="307"/>
      <c r="AI17" s="37"/>
      <c r="AJ17" s="304"/>
      <c r="AK17" s="304"/>
      <c r="AL17" s="307"/>
      <c r="AM17" s="37"/>
      <c r="AN17" s="304"/>
      <c r="AO17" s="304"/>
      <c r="AP17" s="307"/>
      <c r="AQ17" s="37"/>
      <c r="AR17" s="304"/>
      <c r="AS17" s="304"/>
      <c r="AT17" s="307"/>
      <c r="AU17" s="37"/>
      <c r="AV17" s="304"/>
    </row>
    <row r="18" spans="2:52">
      <c r="B18" s="87">
        <v>7</v>
      </c>
      <c r="C18" s="506" t="str">
        <v>Dividends Payable</v>
      </c>
      <c r="D18" s="506">
        <v>0</v>
      </c>
      <c r="E18" s="508"/>
      <c r="F18" s="509"/>
      <c r="G18" s="509"/>
      <c r="H18" s="508">
        <f t="shared" si="0"/>
        <v>0</v>
      </c>
      <c r="I18" s="508"/>
      <c r="J18" s="506"/>
      <c r="K18" s="506"/>
      <c r="L18" s="506"/>
      <c r="M18" s="506"/>
      <c r="N18" s="506"/>
      <c r="O18" s="506"/>
      <c r="P18" s="506"/>
      <c r="Q18" s="506"/>
      <c r="R18" s="506"/>
      <c r="S18" s="509"/>
      <c r="T18" s="571" t="str">
        <v/>
      </c>
      <c r="U18" s="506" t="str">
        <v/>
      </c>
      <c r="V18" s="506" t="str">
        <v/>
      </c>
      <c r="W18" s="509"/>
      <c r="X18" s="508"/>
      <c r="Y18" s="506"/>
      <c r="Z18" s="506"/>
      <c r="AA18" s="42" cm="1">
        <f t="array" ref="AA18">COUNTIFS($AT$101:$AT$118,Y18)+_xlfn.IFNA(_xlfn.IFS(AND(Y18="Retained Earnings",$AD$32="Retained Earnings"),1),0)</f>
        <v>0</v>
      </c>
      <c r="AC18" s="304"/>
      <c r="AD18" s="307"/>
      <c r="AE18" s="37"/>
      <c r="AF18" s="304"/>
      <c r="AG18" s="304"/>
      <c r="AH18" s="307"/>
      <c r="AI18" s="37"/>
      <c r="AJ18" s="304"/>
      <c r="AK18" s="304"/>
      <c r="AL18" s="307"/>
      <c r="AM18" s="37"/>
      <c r="AN18" s="304"/>
      <c r="AO18" s="304"/>
      <c r="AP18" s="307"/>
      <c r="AQ18" s="37"/>
      <c r="AR18" s="304"/>
      <c r="AS18" s="304"/>
      <c r="AT18" s="307"/>
      <c r="AU18" s="37"/>
      <c r="AV18" s="304"/>
    </row>
    <row r="19" spans="2:52" ht="15" thickBot="1">
      <c r="B19" s="87">
        <v>7</v>
      </c>
      <c r="C19" s="506" t="str">
        <v>Unearned Revenue</v>
      </c>
      <c r="D19" s="506">
        <v>0</v>
      </c>
      <c r="E19" s="508"/>
      <c r="F19" s="509"/>
      <c r="G19" s="509"/>
      <c r="H19" s="508">
        <f t="shared" si="0"/>
        <v>0</v>
      </c>
      <c r="I19" s="508"/>
      <c r="J19" s="506"/>
      <c r="K19" s="506"/>
      <c r="L19" s="506"/>
      <c r="M19" s="506"/>
      <c r="N19" s="506"/>
      <c r="O19" s="506"/>
      <c r="P19" s="506"/>
      <c r="Q19" s="506"/>
      <c r="R19" s="506"/>
      <c r="S19" s="509"/>
      <c r="T19" s="571">
        <v>1</v>
      </c>
      <c r="U19" s="506" t="str">
        <v>Reconciliation of NI and CFO</v>
      </c>
      <c r="V19" s="506" t="str">
        <v/>
      </c>
      <c r="W19" s="509"/>
      <c r="X19" s="508"/>
      <c r="Y19" s="506"/>
      <c r="Z19" s="506"/>
      <c r="AA19" s="42" cm="1">
        <f t="array" ref="AA19">COUNTIFS($AT$101:$AT$118,Y19)+_xlfn.IFNA(_xlfn.IFS(AND(Y19="Retained Earnings",$AD$32="Retained Earnings"),1),0)</f>
        <v>0</v>
      </c>
      <c r="AC19" s="310"/>
      <c r="AD19" s="311"/>
      <c r="AE19" s="312"/>
      <c r="AF19" s="310"/>
      <c r="AG19" s="310"/>
      <c r="AH19" s="311"/>
      <c r="AI19" s="312"/>
      <c r="AJ19" s="310"/>
      <c r="AK19" s="310"/>
      <c r="AL19" s="311"/>
      <c r="AM19" s="312"/>
      <c r="AN19" s="310"/>
      <c r="AO19" s="310"/>
      <c r="AP19" s="311"/>
      <c r="AQ19" s="312"/>
      <c r="AR19" s="310"/>
      <c r="AS19" s="310"/>
      <c r="AT19" s="311"/>
      <c r="AU19" s="312"/>
      <c r="AV19" s="310"/>
      <c r="AZ19">
        <f>MAX(MD_Liability[Used])</f>
        <v>1</v>
      </c>
    </row>
    <row r="20" spans="2:52" ht="15.6" thickTop="1" thickBot="1">
      <c r="B20" s="87">
        <v>4</v>
      </c>
      <c r="C20" s="506" t="str">
        <v>Noncurrent Liabilities</v>
      </c>
      <c r="D20" s="506" t="str">
        <v/>
      </c>
      <c r="E20" s="508"/>
      <c r="F20" s="509"/>
      <c r="G20" s="509"/>
      <c r="H20" s="508">
        <f t="shared" si="0"/>
        <v>0</v>
      </c>
      <c r="I20" s="508"/>
      <c r="J20" s="506"/>
      <c r="K20" s="506"/>
      <c r="L20" s="506"/>
      <c r="M20" s="506"/>
      <c r="N20" s="506"/>
      <c r="O20" s="506"/>
      <c r="P20" s="506"/>
      <c r="Q20" s="506"/>
      <c r="R20" s="506"/>
      <c r="S20" s="509"/>
      <c r="T20" s="571" t="e">
        <v>#NAME?</v>
      </c>
      <c r="U20" s="506" t="e">
        <v>#N/A</v>
      </c>
      <c r="V20" s="506" t="e">
        <v>#N/A</v>
      </c>
      <c r="W20" s="509"/>
      <c r="X20" s="508"/>
      <c r="Y20" s="506"/>
      <c r="Z20" s="506"/>
      <c r="AA20" s="42" cm="1">
        <f t="array" ref="AA20">COUNTIFS($AT$101:$AT$118,Y20)+_xlfn.IFNA(_xlfn.IFS(AND(Y20="Retained Earnings",$AD$32="Retained Earnings"),1),0)</f>
        <v>0</v>
      </c>
      <c r="AC20" s="304" t="s">
        <v>894</v>
      </c>
      <c r="AD20" s="313">
        <f>MAX(SUM(AD7:AD19)-SUM(AE7:AE19),0)</f>
        <v>0</v>
      </c>
      <c r="AE20" s="314">
        <f>MAX(SUM(AE7:AE19)-SUM(AD7:AD19),0)</f>
        <v>0</v>
      </c>
      <c r="AF20" s="304" t="s">
        <v>894</v>
      </c>
      <c r="AG20" s="304" t="s">
        <v>894</v>
      </c>
      <c r="AH20" s="313">
        <f>MAX(SUM(AH7:AH19)-SUM(AI7:AI19),0)</f>
        <v>0</v>
      </c>
      <c r="AI20" s="314">
        <f>MAX(SUM(AI7:AI19)-SUM(AH7:AH19),0)</f>
        <v>0</v>
      </c>
      <c r="AJ20" s="304" t="s">
        <v>894</v>
      </c>
      <c r="AK20" s="304" t="s">
        <v>894</v>
      </c>
      <c r="AL20" s="313">
        <f>MAX(SUM(AL7:AL19)-SUM(AM7:AM19),0)</f>
        <v>0</v>
      </c>
      <c r="AM20" s="314">
        <f>MAX(SUM(AM7:AM19)-SUM(AL7:AL19),0)</f>
        <v>0</v>
      </c>
      <c r="AN20" s="304" t="s">
        <v>894</v>
      </c>
      <c r="AO20" s="304" t="s">
        <v>894</v>
      </c>
      <c r="AP20" s="313">
        <f>MAX(SUM(AP7:AP19)-SUM(AQ7:AQ19),0)</f>
        <v>0</v>
      </c>
      <c r="AQ20" s="314">
        <f>MAX(SUM(AQ7:AQ19)-SUM(AP7:AP19),0)</f>
        <v>0</v>
      </c>
      <c r="AR20" s="304" t="s">
        <v>894</v>
      </c>
      <c r="AS20" s="304" t="s">
        <v>894</v>
      </c>
      <c r="AT20" s="313">
        <f>MAX(SUM(AT7:AT19)-SUM(AU7:AU19),0)</f>
        <v>0</v>
      </c>
      <c r="AU20" s="314">
        <f>MAX(SUM(AU7:AU19)-SUM(AT7:AT19),0)</f>
        <v>0</v>
      </c>
      <c r="AV20" s="304" t="s">
        <v>894</v>
      </c>
    </row>
    <row r="21" spans="2:52" ht="15" thickTop="1">
      <c r="B21" s="87">
        <v>6</v>
      </c>
      <c r="C21" s="506" t="str">
        <v>Loans Payable</v>
      </c>
      <c r="D21" s="506">
        <v>0</v>
      </c>
      <c r="E21" s="508"/>
      <c r="F21" s="509"/>
      <c r="G21" s="509"/>
      <c r="H21" s="508">
        <f t="shared" si="0"/>
        <v>0</v>
      </c>
      <c r="I21" s="508"/>
      <c r="J21" s="506"/>
      <c r="K21" s="506"/>
      <c r="L21" s="506"/>
      <c r="M21" s="506"/>
      <c r="N21" s="506"/>
      <c r="O21" s="506"/>
      <c r="P21" s="506"/>
      <c r="Q21" s="506"/>
      <c r="R21" s="506"/>
      <c r="S21" s="509"/>
      <c r="T21" s="571">
        <v>3</v>
      </c>
      <c r="U21" s="506" t="str">
        <v>Cash Flow from Operations</v>
      </c>
      <c r="V21" s="506" t="e">
        <v>#REF!</v>
      </c>
      <c r="W21" s="509"/>
      <c r="X21" s="508"/>
      <c r="Y21" s="506"/>
      <c r="Z21" s="506"/>
      <c r="AA21" s="42" cm="1">
        <f t="array" ref="AA21">COUNTIFS($AT$101:$AT$118,Y21)+_xlfn.IFNA(_xlfn.IFS(AND(Y21="Retained Earnings",$AD$32="Retained Earnings"),1),0)</f>
        <v>0</v>
      </c>
      <c r="AD21" s="5" t="s">
        <v>66</v>
      </c>
    </row>
    <row r="22" spans="2:52" ht="15" thickBot="1">
      <c r="B22" s="87">
        <v>2</v>
      </c>
      <c r="C22" s="506" t="str">
        <v>Equities</v>
      </c>
      <c r="D22" s="506" t="str">
        <v/>
      </c>
      <c r="E22" s="508"/>
      <c r="F22" s="509"/>
      <c r="G22" s="509"/>
      <c r="H22" s="508">
        <f t="shared" si="0"/>
        <v>0</v>
      </c>
      <c r="I22" s="508"/>
      <c r="J22" s="506"/>
      <c r="K22" s="506"/>
      <c r="L22" s="506"/>
      <c r="M22" s="506"/>
      <c r="N22" s="506"/>
      <c r="O22" s="506"/>
      <c r="P22" s="506"/>
      <c r="Q22" s="506"/>
      <c r="R22" s="506"/>
      <c r="S22" s="509"/>
      <c r="T22" s="571"/>
      <c r="U22" s="506"/>
      <c r="V22" s="506"/>
      <c r="W22" s="509"/>
      <c r="X22" s="508"/>
      <c r="Y22" s="506"/>
      <c r="Z22" s="506"/>
      <c r="AA22" s="42" cm="1">
        <f t="array" ref="AA22">COUNTIFS($AT$101:$AT$118,Y22)+_xlfn.IFNA(_xlfn.IFS(AND(Y22="Retained Earnings",$AD$32="Retained Earnings"),1),0)</f>
        <v>0</v>
      </c>
      <c r="AC22" s="301"/>
      <c r="AD22" s="472" t="str" cm="1">
        <f t="array" ref="AD22">_xlfn.IFNA(_xlfn.IFS(MAX(MD_Liability[Used]&gt;0),_xlfn._xlws.FILTER($AT$101:$AT$118,($AS$101:$AS$118="Liability")*($AU$101:$AU$118=0),"None"),MAX(MD_Liability[Used]=0),"None"),"None")</f>
        <v>None</v>
      </c>
      <c r="AE22" s="472"/>
      <c r="AF22" s="301"/>
      <c r="AG22" s="301"/>
      <c r="AH22" s="472" t="str" cm="1">
        <f t="array" ref="AH22">_xlfn.IFNA(_xlfn.IFS(MAX(MD_Liability[Used]&gt;0),_xlfn._xlws.FILTER($AT$101:$AT$118,($AS$101:$AS$118="Liability")*($AU$101:$AU$118=1),"None"),MAX(MD_Liability[Used]=0),"None"),"None")</f>
        <v>None</v>
      </c>
      <c r="AI22" s="472"/>
      <c r="AJ22" s="301"/>
      <c r="AK22" s="301"/>
      <c r="AL22" s="472" t="str" cm="1">
        <f t="array" ref="AL22">_xlfn._xlws.FILTER($AT$101:$AT$118,($AS$101:$AS$118="Liability")*($AU$101:$AU$118=2),"None")</f>
        <v>None</v>
      </c>
      <c r="AM22" s="472"/>
      <c r="AN22" s="301"/>
      <c r="AO22" s="301"/>
      <c r="AP22" s="472" t="str" cm="1">
        <f t="array" ref="AP22">_xlfn._xlws.FILTER($AT$101:$AT$118,($AS$101:$AS$118="Liability")*($AU$101:$AU$118=3),"None")</f>
        <v>None</v>
      </c>
      <c r="AQ22" s="472"/>
      <c r="AR22" s="301"/>
      <c r="AS22" s="301"/>
      <c r="AT22" s="472" t="str" cm="1">
        <f t="array" ref="AT22">_xlfn._xlws.FILTER($AT$101:$AT$118,($AS$101:$AS$118="Liability")*($AU$101:$AU$118=4),"None")</f>
        <v>None</v>
      </c>
      <c r="AU22" s="472"/>
      <c r="AV22" s="301"/>
    </row>
    <row r="23" spans="2:52" ht="15" thickTop="1">
      <c r="B23" s="87">
        <v>6</v>
      </c>
      <c r="C23" s="506" t="str">
        <v>Common Stock</v>
      </c>
      <c r="D23" s="506">
        <v>0</v>
      </c>
      <c r="E23" s="508"/>
      <c r="F23" s="509"/>
      <c r="G23" s="509"/>
      <c r="H23" s="508">
        <f t="shared" si="0"/>
        <v>0</v>
      </c>
      <c r="I23" s="508"/>
      <c r="J23" s="506"/>
      <c r="K23" s="506"/>
      <c r="L23" s="506"/>
      <c r="M23" s="506"/>
      <c r="N23" s="506"/>
      <c r="O23" s="506"/>
      <c r="P23" s="506"/>
      <c r="Q23" s="506"/>
      <c r="R23" s="506"/>
      <c r="S23" s="509"/>
      <c r="T23" s="571"/>
      <c r="U23" s="506"/>
      <c r="V23" s="506"/>
      <c r="W23" s="509"/>
      <c r="X23" s="508"/>
      <c r="Y23" s="506"/>
      <c r="Z23" s="506"/>
      <c r="AA23" s="42" cm="1">
        <f t="array" ref="AA23">COUNTIFS($AT$101:$AT$118,Y23)+_xlfn.IFNA(_xlfn.IFS(AND(Y23="Retained Earnings",$AD$32="Retained Earnings"),1),0)</f>
        <v>0</v>
      </c>
      <c r="AC23" s="304" t="s">
        <v>884</v>
      </c>
      <c r="AD23" s="305">
        <f>_xlfn.IFNA(IF(_xlfn.XLOOKUP(AD22,$C$180:$C$199,$D$180:$D$199)&gt;0,0,-_xlfn.XLOOKUP(AD22,$C$190:$C$199,$D$190:$D$199)),0)</f>
        <v>0</v>
      </c>
      <c r="AE23" s="306">
        <f>_xlfn.IFNA(IF(_xlfn.XLOOKUP(AD22,$C$180:$C$199,$D$180:$D$199)&gt;0,_xlfn.XLOOKUP(AD22,$C$180:$C$199,$D$180:$D$199),0),0)</f>
        <v>0</v>
      </c>
      <c r="AF23" s="304" t="s">
        <v>884</v>
      </c>
      <c r="AG23" s="304" t="s">
        <v>884</v>
      </c>
      <c r="AH23" s="305">
        <f>_xlfn.IFNA(IF(_xlfn.XLOOKUP(AH22,$C$180:$C$199,$D$180:$D$199)&gt;0,0,-_xlfn.XLOOKUP(AH22,$C$190:$C$199,$D$190:$D$199)),0)</f>
        <v>0</v>
      </c>
      <c r="AI23" s="306">
        <f>_xlfn.IFNA(IF(_xlfn.XLOOKUP(AH22,$C$180:$C$199,$D$180:$D$199)&gt;0,_xlfn.XLOOKUP(AH22,$C$180:$C$199,$D$180:$D$199),0),0)</f>
        <v>0</v>
      </c>
      <c r="AJ23" s="304" t="s">
        <v>884</v>
      </c>
      <c r="AK23" s="304" t="s">
        <v>884</v>
      </c>
      <c r="AL23" s="305">
        <f>_xlfn.IFNA(IF(_xlfn.XLOOKUP(AL22,$C$180:$C$199,$D$180:$D$199)&gt;0,0,-_xlfn.XLOOKUP(AL22,$C$190:$C$199,$D$190:$D$199)),0)</f>
        <v>0</v>
      </c>
      <c r="AM23" s="306">
        <f>_xlfn.IFNA(IF(_xlfn.XLOOKUP(AL22,$C$180:$C$199,$D$180:$D$199)&gt;0,_xlfn.XLOOKUP(AL22,$C$180:$C$199,$D$180:$D$199),0),0)</f>
        <v>0</v>
      </c>
      <c r="AN23" s="304" t="s">
        <v>884</v>
      </c>
      <c r="AO23" s="304" t="s">
        <v>884</v>
      </c>
      <c r="AP23" s="305">
        <f>_xlfn.IFNA(IF(_xlfn.XLOOKUP(AP22,$C$180:$C$199,$D$180:$D$199)&gt;0,0,-_xlfn.XLOOKUP(AP22,$C$190:$C$199,$D$190:$D$199)),0)</f>
        <v>0</v>
      </c>
      <c r="AQ23" s="306">
        <f>_xlfn.IFNA(IF(_xlfn.XLOOKUP(AP22,$C$180:$C$199,$D$180:$D$199)&gt;0,_xlfn.XLOOKUP(AP22,$C$180:$C$199,$D$180:$D$199),0),0)</f>
        <v>0</v>
      </c>
      <c r="AR23" s="304" t="s">
        <v>884</v>
      </c>
      <c r="AS23" s="304" t="s">
        <v>884</v>
      </c>
      <c r="AT23" s="305">
        <f>_xlfn.IFNA(IF(_xlfn.XLOOKUP(AT22,$C$180:$C$199,$D$180:$D$199)&gt;0,0,-_xlfn.XLOOKUP(AT22,$C$190:$C$199,$D$190:$D$199)),0)</f>
        <v>0</v>
      </c>
      <c r="AU23" s="306">
        <f>_xlfn.IFNA(IF(_xlfn.XLOOKUP(AT22,$C$180:$C$199,$D$180:$D$199)&gt;0,_xlfn.XLOOKUP(AT22,$C$180:$C$199,$D$180:$D$199),0),0)</f>
        <v>0</v>
      </c>
      <c r="AV23" s="304" t="s">
        <v>884</v>
      </c>
    </row>
    <row r="24" spans="2:52" ht="18" customHeight="1">
      <c r="B24" s="87">
        <v>7</v>
      </c>
      <c r="C24" s="506" t="str">
        <v>Retained Earnings</v>
      </c>
      <c r="D24" s="506">
        <v>0</v>
      </c>
      <c r="E24" s="508"/>
      <c r="F24" s="509"/>
      <c r="G24" s="509"/>
      <c r="H24" s="508">
        <f t="shared" si="0"/>
        <v>0</v>
      </c>
      <c r="I24" s="508"/>
      <c r="J24" s="506"/>
      <c r="K24" s="506"/>
      <c r="L24" s="506"/>
      <c r="M24" s="506"/>
      <c r="N24" s="506"/>
      <c r="O24" s="506"/>
      <c r="P24" s="506"/>
      <c r="Q24" s="506"/>
      <c r="R24" s="506"/>
      <c r="S24" s="509"/>
      <c r="T24" s="571"/>
      <c r="U24" s="506"/>
      <c r="V24" s="506"/>
      <c r="W24" s="509"/>
      <c r="X24" s="508"/>
      <c r="Y24" s="506"/>
      <c r="Z24" s="506"/>
      <c r="AA24" s="42" cm="1">
        <f t="array" ref="AA24">COUNTIFS($AT$101:$AT$118,Y24)+_xlfn.IFNA(_xlfn.IFS(AND(Y24="Retained Earnings",$AD$32="Retained Earnings"),1),0)</f>
        <v>0</v>
      </c>
      <c r="AC24" s="304" t="str" cm="1">
        <f t="array" ref="AC24">_xlfn.IFNA(_xlfn._xlws.FILTER(Journal[Transaction '#],Journal[Debit Account]=AD22,""),0)</f>
        <v/>
      </c>
      <c r="AD24" s="307" cm="1">
        <f t="array" ref="AD24">_xlfn._xlws.FILTER(Journal[Dr Amt],Journal[Debit Account]=AD22,0)</f>
        <v>0</v>
      </c>
      <c r="AE24" s="37" cm="1">
        <f t="array" ref="AE24">_xlfn._xlws.FILTER(Journal[Cr Amt],Journal[Credit Account]=AD22,0)</f>
        <v>0</v>
      </c>
      <c r="AF24" s="304" t="str" cm="1">
        <f t="array" ref="AF24">_xlfn._xlws.FILTER(Journal[Transaction '#],Journal[Credit Account]=AD22,"")</f>
        <v/>
      </c>
      <c r="AG24" s="304" t="str" cm="1">
        <f t="array" ref="AG24">_xlfn.IFNA(_xlfn._xlws.FILTER(Journal[Transaction '#],Journal[Debit Account]=AH22,""),0)</f>
        <v/>
      </c>
      <c r="AH24" s="307" cm="1">
        <f t="array" ref="AH24">_xlfn._xlws.FILTER(Journal[Dr Amt],Journal[Debit Account]=AH22,0)</f>
        <v>0</v>
      </c>
      <c r="AI24" s="37" cm="1">
        <f t="array" ref="AI24">_xlfn._xlws.FILTER(Journal[Cr Amt],Journal[Credit Account]=AH22,0)</f>
        <v>0</v>
      </c>
      <c r="AJ24" s="304" t="str" cm="1">
        <f t="array" ref="AJ24">_xlfn._xlws.FILTER(Journal[Transaction '#],Journal[Credit Account]=AH22,"")</f>
        <v/>
      </c>
      <c r="AK24" s="304" t="str" cm="1">
        <f t="array" ref="AK24">_xlfn.IFNA(_xlfn._xlws.FILTER(Journal[Transaction '#],Journal[Debit Account]=AL22,""),0)</f>
        <v/>
      </c>
      <c r="AL24" s="307" cm="1">
        <f t="array" ref="AL24">_xlfn._xlws.FILTER(Journal[Dr Amt],Journal[Debit Account]=AL22,0)</f>
        <v>0</v>
      </c>
      <c r="AM24" s="37" cm="1">
        <f t="array" ref="AM24">_xlfn._xlws.FILTER(Journal[Cr Amt],Journal[Credit Account]=AL22,0)</f>
        <v>0</v>
      </c>
      <c r="AN24" s="304" t="str" cm="1">
        <f t="array" ref="AN24">_xlfn._xlws.FILTER(Journal[Transaction '#],Journal[Credit Account]=AL22,"")</f>
        <v/>
      </c>
      <c r="AO24" s="304" t="str" cm="1">
        <f t="array" ref="AO24">_xlfn.IFNA(_xlfn._xlws.FILTER(Journal[Transaction '#],Journal[Debit Account]=AP22,""),0)</f>
        <v/>
      </c>
      <c r="AP24" s="307" cm="1">
        <f t="array" ref="AP24">_xlfn._xlws.FILTER(Journal[Dr Amt],Journal[Debit Account]=AP22,0)</f>
        <v>0</v>
      </c>
      <c r="AQ24" s="37" cm="1">
        <f t="array" ref="AQ24">_xlfn._xlws.FILTER(Journal[Cr Amt],Journal[Credit Account]=AP22,0)</f>
        <v>0</v>
      </c>
      <c r="AR24" s="304" t="str" cm="1">
        <f t="array" ref="AR24">_xlfn._xlws.FILTER(Journal[Transaction '#],Journal[Credit Account]=AP22,"")</f>
        <v/>
      </c>
      <c r="AS24" s="304" t="str" cm="1">
        <f t="array" ref="AS24">_xlfn.IFNA(_xlfn._xlws.FILTER(Journal[Transaction '#],Journal[Debit Account]=AT22,""),0)</f>
        <v/>
      </c>
      <c r="AT24" s="307" cm="1">
        <f t="array" ref="AT24">_xlfn._xlws.FILTER(Journal[Dr Amt],Journal[Debit Account]=AT22,0)</f>
        <v>0</v>
      </c>
      <c r="AU24" s="37" cm="1">
        <f t="array" ref="AU24">_xlfn._xlws.FILTER(Journal[Cr Amt],Journal[Credit Account]=AT22,0)</f>
        <v>0</v>
      </c>
      <c r="AV24" s="304" t="str" cm="1">
        <f t="array" ref="AV24">_xlfn._xlws.FILTER(Journal[Transaction '#],Journal[Credit Account]=AT22,"")</f>
        <v/>
      </c>
    </row>
    <row r="25" spans="2:52">
      <c r="B25" s="87"/>
      <c r="C25" s="506"/>
      <c r="D25" s="506"/>
      <c r="E25" s="508"/>
      <c r="F25" s="509"/>
      <c r="G25" s="509"/>
      <c r="H25" s="508">
        <f t="shared" si="0"/>
        <v>0</v>
      </c>
      <c r="I25" s="508"/>
      <c r="J25" s="506"/>
      <c r="K25" s="506"/>
      <c r="L25" s="506"/>
      <c r="M25" s="506"/>
      <c r="N25" s="506"/>
      <c r="O25" s="506"/>
      <c r="P25" s="506"/>
      <c r="Q25" s="506"/>
      <c r="R25" s="506"/>
      <c r="S25" s="509"/>
      <c r="T25" s="571"/>
      <c r="U25" s="506"/>
      <c r="V25" s="506"/>
      <c r="W25" s="509"/>
      <c r="X25" s="508"/>
      <c r="Y25" s="506"/>
      <c r="Z25" s="506"/>
      <c r="AA25" s="42" cm="1">
        <f t="array" ref="AA25">COUNTIFS($AT$101:$AT$118,Y25)+_xlfn.IFNA(_xlfn.IFS(AND(Y25="Retained Earnings",$AD$32="Retained Earnings"),1),0)</f>
        <v>0</v>
      </c>
      <c r="AC25" s="304"/>
      <c r="AD25" s="307"/>
      <c r="AE25" s="37"/>
      <c r="AF25" s="304"/>
      <c r="AG25" s="304"/>
      <c r="AH25" s="307"/>
      <c r="AI25" s="37"/>
      <c r="AJ25" s="304"/>
      <c r="AK25" s="304"/>
      <c r="AL25" s="307"/>
      <c r="AM25" s="37"/>
      <c r="AN25" s="304"/>
      <c r="AO25" s="304"/>
      <c r="AP25" s="307"/>
      <c r="AQ25" s="37"/>
      <c r="AR25" s="304"/>
      <c r="AS25" s="304"/>
      <c r="AT25" s="307"/>
      <c r="AU25" s="37"/>
      <c r="AV25" s="304"/>
    </row>
    <row r="26" spans="2:52">
      <c r="B26" s="87"/>
      <c r="C26" s="506"/>
      <c r="D26" s="506"/>
      <c r="E26" s="508"/>
      <c r="F26" s="509"/>
      <c r="G26" s="509"/>
      <c r="H26" s="508">
        <f t="shared" si="0"/>
        <v>0</v>
      </c>
      <c r="I26" s="508"/>
      <c r="J26" s="506"/>
      <c r="K26" s="506"/>
      <c r="L26" s="506"/>
      <c r="M26" s="506"/>
      <c r="N26" s="506"/>
      <c r="O26" s="506"/>
      <c r="P26" s="506"/>
      <c r="Q26" s="506"/>
      <c r="R26" s="506"/>
      <c r="S26" s="509"/>
      <c r="T26" s="571"/>
      <c r="U26" s="506"/>
      <c r="V26" s="506"/>
      <c r="W26" s="509"/>
      <c r="X26" s="508"/>
      <c r="Y26" s="506"/>
      <c r="Z26" s="506"/>
      <c r="AA26" s="42" cm="1">
        <f t="array" ref="AA26">COUNTIFS($AT$101:$AT$118,Y26)+_xlfn.IFNA(_xlfn.IFS(AND(Y26="Retained Earnings",$AD$32="Retained Earnings"),1),0)</f>
        <v>0</v>
      </c>
      <c r="AC26" s="304"/>
      <c r="AD26" s="307"/>
      <c r="AE26" s="37"/>
      <c r="AF26" s="304"/>
      <c r="AG26" s="304"/>
      <c r="AH26" s="307"/>
      <c r="AI26" s="37"/>
      <c r="AJ26" s="304"/>
      <c r="AK26" s="304"/>
      <c r="AL26" s="307"/>
      <c r="AM26" s="37"/>
      <c r="AN26" s="304"/>
      <c r="AO26" s="304"/>
      <c r="AP26" s="307"/>
      <c r="AQ26" s="37"/>
      <c r="AR26" s="304"/>
      <c r="AS26" s="304"/>
      <c r="AT26" s="307"/>
      <c r="AU26" s="37"/>
      <c r="AV26" s="304"/>
    </row>
    <row r="27" spans="2:52">
      <c r="B27" s="87"/>
      <c r="C27" s="506"/>
      <c r="D27" s="506"/>
      <c r="E27" s="508"/>
      <c r="F27" s="509"/>
      <c r="G27" s="509"/>
      <c r="H27" s="508">
        <f t="shared" si="0"/>
        <v>0</v>
      </c>
      <c r="I27" s="508"/>
      <c r="J27" s="506"/>
      <c r="K27" s="506"/>
      <c r="L27" s="506"/>
      <c r="M27" s="506"/>
      <c r="N27" s="506"/>
      <c r="O27" s="506"/>
      <c r="P27" s="506"/>
      <c r="Q27" s="506"/>
      <c r="R27" s="506"/>
      <c r="S27" s="509"/>
      <c r="T27" s="571"/>
      <c r="U27" s="506"/>
      <c r="V27" s="506"/>
      <c r="W27" s="509"/>
      <c r="X27" s="508"/>
      <c r="Y27" s="506"/>
      <c r="Z27" s="506"/>
      <c r="AA27" s="42" cm="1">
        <f t="array" ref="AA27">COUNTIFS($AT$101:$AT$118,Y27)+_xlfn.IFNA(_xlfn.IFS(AND(Y27="Retained Earnings",$AD$32="Retained Earnings"),1),0)</f>
        <v>0</v>
      </c>
      <c r="AC27" s="304"/>
      <c r="AD27" s="307"/>
      <c r="AE27" s="37"/>
      <c r="AF27" s="304"/>
      <c r="AG27" s="304"/>
      <c r="AH27" s="307"/>
      <c r="AI27" s="37"/>
      <c r="AJ27" s="304"/>
      <c r="AK27" s="304"/>
      <c r="AL27" s="307"/>
      <c r="AM27" s="37"/>
      <c r="AN27" s="304"/>
      <c r="AO27" s="304"/>
      <c r="AP27" s="307"/>
      <c r="AQ27" s="37"/>
      <c r="AR27" s="304"/>
      <c r="AS27" s="304"/>
      <c r="AT27" s="307"/>
      <c r="AU27" s="37"/>
      <c r="AV27" s="304"/>
    </row>
    <row r="28" spans="2:52">
      <c r="B28" s="87"/>
      <c r="C28" s="506"/>
      <c r="D28" s="506"/>
      <c r="E28" s="508"/>
      <c r="F28" s="509"/>
      <c r="G28" s="509"/>
      <c r="H28" s="508">
        <f t="shared" si="0"/>
        <v>0</v>
      </c>
      <c r="I28" s="508"/>
      <c r="J28" s="506"/>
      <c r="K28" s="506"/>
      <c r="L28" s="506"/>
      <c r="M28" s="506"/>
      <c r="N28" s="506"/>
      <c r="O28" s="506"/>
      <c r="P28" s="506"/>
      <c r="Q28" s="506"/>
      <c r="R28" s="506"/>
      <c r="S28" s="509"/>
      <c r="T28" s="571"/>
      <c r="U28" s="506"/>
      <c r="V28" s="506"/>
      <c r="W28" s="509"/>
      <c r="X28" s="508"/>
      <c r="Y28" s="506"/>
      <c r="Z28" s="506"/>
      <c r="AA28" s="42" cm="1">
        <f t="array" ref="AA28">COUNTIFS($AT$101:$AT$118,Y28)+_xlfn.IFNA(_xlfn.IFS(AND(Y28="Retained Earnings",$AD$32="Retained Earnings"),1),0)</f>
        <v>0</v>
      </c>
      <c r="AC28" s="304"/>
      <c r="AD28" s="307"/>
      <c r="AE28" s="37"/>
      <c r="AF28" s="304"/>
      <c r="AG28" s="304"/>
      <c r="AH28" s="307"/>
      <c r="AI28" s="37"/>
      <c r="AJ28" s="304"/>
      <c r="AK28" s="304"/>
      <c r="AL28" s="307"/>
      <c r="AM28" s="37"/>
      <c r="AN28" s="304"/>
      <c r="AO28" s="304"/>
      <c r="AP28" s="307"/>
      <c r="AQ28" s="37"/>
      <c r="AR28" s="304"/>
      <c r="AS28" s="304"/>
      <c r="AT28" s="307"/>
      <c r="AU28" s="37"/>
      <c r="AV28" s="304"/>
    </row>
    <row r="29" spans="2:52" ht="15" thickBot="1">
      <c r="C29" s="506"/>
      <c r="D29" s="506"/>
      <c r="E29" s="508"/>
      <c r="F29" s="509"/>
      <c r="G29" s="509"/>
      <c r="H29" s="508">
        <f t="shared" si="0"/>
        <v>0</v>
      </c>
      <c r="I29" s="508"/>
      <c r="J29" s="506"/>
      <c r="K29" s="506"/>
      <c r="L29" s="506"/>
      <c r="M29" s="506"/>
      <c r="N29" s="506"/>
      <c r="O29" s="506"/>
      <c r="P29" s="506"/>
      <c r="Q29" s="506"/>
      <c r="R29" s="506"/>
      <c r="S29" s="509"/>
      <c r="T29" s="571"/>
      <c r="U29" s="506"/>
      <c r="V29" s="506"/>
      <c r="W29" s="509"/>
      <c r="X29" s="508"/>
      <c r="Y29" s="506"/>
      <c r="Z29" s="506"/>
      <c r="AA29" s="42" cm="1">
        <f t="array" ref="AA29">COUNTIFS($AT$101:$AT$118,Y29)+_xlfn.IFNA(_xlfn.IFS(AND(Y29="Retained Earnings",$AD$32="Retained Earnings"),1),0)</f>
        <v>0</v>
      </c>
      <c r="AC29" s="310"/>
      <c r="AD29" s="311"/>
      <c r="AE29" s="312"/>
      <c r="AF29" s="310"/>
      <c r="AG29" s="310"/>
      <c r="AH29" s="311"/>
      <c r="AI29" s="312"/>
      <c r="AJ29" s="310"/>
      <c r="AK29" s="310"/>
      <c r="AL29" s="311"/>
      <c r="AM29" s="312"/>
      <c r="AN29" s="310"/>
      <c r="AO29" s="310"/>
      <c r="AP29" s="311"/>
      <c r="AQ29" s="312"/>
      <c r="AR29" s="310"/>
      <c r="AS29" s="310"/>
      <c r="AT29" s="311"/>
      <c r="AU29" s="312"/>
      <c r="AV29" s="310"/>
    </row>
    <row r="30" spans="2:52" ht="15.6" thickTop="1" thickBot="1">
      <c r="C30" s="506"/>
      <c r="D30" s="506"/>
      <c r="E30" s="508"/>
      <c r="F30" s="509"/>
      <c r="G30" s="509"/>
      <c r="H30" s="508">
        <f t="shared" si="0"/>
        <v>0</v>
      </c>
      <c r="I30" s="508"/>
      <c r="J30" s="506"/>
      <c r="K30" s="506"/>
      <c r="L30" s="506"/>
      <c r="M30" s="506"/>
      <c r="N30" s="506"/>
      <c r="O30" s="506"/>
      <c r="P30" s="506"/>
      <c r="Q30" s="506"/>
      <c r="R30" s="506"/>
      <c r="S30" s="509"/>
      <c r="T30" s="571"/>
      <c r="U30" s="506"/>
      <c r="V30" s="506"/>
      <c r="W30" s="509"/>
      <c r="X30" s="508"/>
      <c r="Y30" s="506"/>
      <c r="Z30" s="506"/>
      <c r="AA30" s="42" cm="1">
        <f t="array" ref="AA30">COUNTIFS($AT$101:$AT$118,Y30)+_xlfn.IFNA(_xlfn.IFS(AND(Y30="Retained Earnings",$AD$32="Retained Earnings"),1),0)</f>
        <v>0</v>
      </c>
      <c r="AC30" s="304" t="s">
        <v>894</v>
      </c>
      <c r="AD30" s="313">
        <f>MAX(SUM(AD23:AD29)-SUM(AE23:AE29),0)</f>
        <v>0</v>
      </c>
      <c r="AE30" s="314">
        <f>MAX(SUM(AE23:AE29)-SUM(AD23:AD29),0)</f>
        <v>0</v>
      </c>
      <c r="AF30" s="304" t="s">
        <v>894</v>
      </c>
      <c r="AG30" s="304" t="s">
        <v>894</v>
      </c>
      <c r="AH30" s="313">
        <f>MAX(SUM(AH23:AH29)-SUM(AI23:AI29),0)</f>
        <v>0</v>
      </c>
      <c r="AI30" s="314">
        <f>MAX(SUM(AI23:AI29)-SUM(AH23:AH29),0)</f>
        <v>0</v>
      </c>
      <c r="AJ30" s="304" t="s">
        <v>894</v>
      </c>
      <c r="AK30" s="304" t="s">
        <v>894</v>
      </c>
      <c r="AL30" s="313">
        <f>MAX(SUM(AL23:AL29)-SUM(AM23:AM29),0)</f>
        <v>0</v>
      </c>
      <c r="AM30" s="314">
        <f>MAX(SUM(AM23:AM29)-SUM(AL23:AL29),0)</f>
        <v>0</v>
      </c>
      <c r="AN30" s="304" t="s">
        <v>894</v>
      </c>
      <c r="AO30" s="304" t="s">
        <v>894</v>
      </c>
      <c r="AP30" s="313">
        <f>MAX(SUM(AP23:AP29)-SUM(AQ23:AQ29),0)</f>
        <v>0</v>
      </c>
      <c r="AQ30" s="314">
        <f>MAX(SUM(AQ23:AQ29)-SUM(AP23:AP29),0)</f>
        <v>0</v>
      </c>
      <c r="AR30" s="304" t="s">
        <v>894</v>
      </c>
      <c r="AS30" s="304" t="s">
        <v>894</v>
      </c>
      <c r="AT30" s="313">
        <f>MAX(SUM(AT23:AT29)-SUM(AU23:AU29),0)</f>
        <v>0</v>
      </c>
      <c r="AU30" s="314">
        <f>MAX(SUM(AU23:AU29)-SUM(AT23:AT29),0)</f>
        <v>0</v>
      </c>
      <c r="AV30" s="304" t="s">
        <v>894</v>
      </c>
    </row>
    <row r="31" spans="2:52" ht="15" thickTop="1">
      <c r="C31" s="506"/>
      <c r="D31" s="506"/>
      <c r="E31" s="508"/>
      <c r="F31" s="509"/>
      <c r="G31" s="509"/>
      <c r="H31" s="508">
        <f t="shared" si="0"/>
        <v>0</v>
      </c>
      <c r="I31" s="508"/>
      <c r="J31" s="506"/>
      <c r="K31" s="506"/>
      <c r="L31" s="506"/>
      <c r="M31" s="506"/>
      <c r="N31" s="506"/>
      <c r="O31" s="506"/>
      <c r="P31" s="506"/>
      <c r="Q31" s="506"/>
      <c r="R31" s="506"/>
      <c r="S31" s="509"/>
      <c r="T31" s="571"/>
      <c r="U31" s="506"/>
      <c r="V31" s="506"/>
      <c r="W31" s="509"/>
      <c r="X31" s="508"/>
      <c r="Y31" s="506"/>
      <c r="Z31" s="506"/>
      <c r="AA31" s="42" cm="1">
        <f t="array" ref="AA31">COUNTIFS($AT$101:$AT$118,Y31)+_xlfn.IFNA(_xlfn.IFS(AND(Y31="Retained Earnings",$AD$32="Retained Earnings"),1),0)</f>
        <v>0</v>
      </c>
      <c r="AD31" s="5" t="s">
        <v>67</v>
      </c>
    </row>
    <row r="32" spans="2:52" ht="15" thickBot="1">
      <c r="C32" s="506"/>
      <c r="D32" s="506"/>
      <c r="E32" s="508"/>
      <c r="F32" s="509"/>
      <c r="G32" s="509"/>
      <c r="H32" s="508">
        <f t="shared" si="0"/>
        <v>0</v>
      </c>
      <c r="I32" s="508"/>
      <c r="J32" s="506"/>
      <c r="K32" s="506"/>
      <c r="L32" s="506"/>
      <c r="M32" s="506"/>
      <c r="N32" s="506"/>
      <c r="O32" s="506"/>
      <c r="P32" s="506"/>
      <c r="Q32" s="506"/>
      <c r="R32" s="506"/>
      <c r="S32" s="509"/>
      <c r="T32" s="571"/>
      <c r="U32" s="506"/>
      <c r="V32" s="506"/>
      <c r="W32" s="509"/>
      <c r="X32" s="508"/>
      <c r="Y32" s="506"/>
      <c r="Z32" s="506"/>
      <c r="AA32" s="42" cm="1">
        <f t="array" ref="AA32">COUNTIFS($AT$101:$AT$118,Y32)+_xlfn.IFNA(_xlfn.IFS(AND(Y32="Retained Earnings",$AD$32="Retained Earnings"),1),0)</f>
        <v>0</v>
      </c>
      <c r="AC32" s="301"/>
      <c r="AD32" s="472" t="str" cm="1">
        <f t="array" ref="AD32">_xlfn.IFS($AR$101=0,_xlfn._xlws.FILTER($AT$101:$AT$118,($AS$101:$AS$118="Equity")*($AU$101:$AU$118=0),"None"),$AR$101&gt;0,"Retained Earnings")</f>
        <v>None</v>
      </c>
      <c r="AE32" s="472"/>
      <c r="AF32" s="301"/>
      <c r="AG32" s="301"/>
      <c r="AH32" s="472" t="str" cm="1">
        <f t="array" ref="AH32">_xlfn.IFS($AD$32="Retained Earnings",_xlfn._xlws.FILTER($AT$101:$AT$118,($AS$101:$AS$118="Equity")*($AU$101:$AU$118=0),"None"),$AD$32&lt;&gt;"Retained Earnings",_xlfn._xlws.FILTER($AT$101:$AT$118,($AS$101:$AS$118="Equity")*($AU$101:$AU$118=1),"None"))</f>
        <v>None</v>
      </c>
      <c r="AI32" s="472"/>
      <c r="AJ32" s="301"/>
      <c r="AK32" s="301"/>
      <c r="AL32" s="472" t="str" cm="1">
        <f t="array" ref="AL32">_xlfn.IFS($AD$32="Retained Earnings",_xlfn._xlws.FILTER($AT$101:$AT$118,($AS$101:$AS$118="Equity")*($AU$101:$AU$118=1),"None"),$AD$32&lt;&gt;"Retained Earnings",_xlfn._xlws.FILTER($AT$101:$AT$118,($AS$101:$AS$118="Equity")*($AU$101:$AU$118=2),"None"))</f>
        <v>None</v>
      </c>
      <c r="AM32" s="472"/>
      <c r="AN32" s="301"/>
      <c r="AO32" s="301"/>
      <c r="AP32" s="472" t="str" cm="1">
        <f t="array" ref="AP32">_xlfn._xlws.FILTER(AT101:AT118,(AS101:AS118="Equity")*(AU101:AU118=3),"None")</f>
        <v>None</v>
      </c>
      <c r="AQ32" s="472"/>
      <c r="AR32" s="301"/>
      <c r="AS32" s="301"/>
      <c r="AT32" s="472" t="str" cm="1">
        <f t="array" ref="AT32">_xlfn._xlws.FILTER(AX63:AX80,(AW63:AW80="Equity")*(AY63:AY80=4),"None")</f>
        <v>None</v>
      </c>
      <c r="AU32" s="472"/>
      <c r="AV32" s="301"/>
    </row>
    <row r="33" spans="3:48" ht="15" thickTop="1">
      <c r="C33" s="506"/>
      <c r="D33" s="506"/>
      <c r="E33" s="508"/>
      <c r="F33" s="509"/>
      <c r="G33" s="509"/>
      <c r="H33" s="508">
        <f t="shared" si="0"/>
        <v>0</v>
      </c>
      <c r="I33" s="508"/>
      <c r="J33" s="506"/>
      <c r="K33" s="506"/>
      <c r="L33" s="506"/>
      <c r="M33" s="506"/>
      <c r="N33" s="506"/>
      <c r="O33" s="506"/>
      <c r="P33" s="506"/>
      <c r="Q33" s="506"/>
      <c r="R33" s="506"/>
      <c r="S33" s="509"/>
      <c r="T33" s="508"/>
      <c r="U33" s="506"/>
      <c r="V33" s="506"/>
      <c r="W33" s="509"/>
      <c r="X33" s="508"/>
      <c r="Y33" s="506"/>
      <c r="Z33" s="506"/>
      <c r="AA33" s="42" cm="1">
        <f t="array" ref="AA33">COUNTIFS($AT$101:$AT$118,Y33)+_xlfn.IFNA(_xlfn.IFS(AND(Y33="Retained Earnings",$AD$32="Retained Earnings"),1),0)</f>
        <v>0</v>
      </c>
      <c r="AC33" s="304" t="s">
        <v>884</v>
      </c>
      <c r="AD33" s="305">
        <f>_xlfn.IFNA(IF(_xlfn.XLOOKUP(AD32,$C$200:$C$209,$D$200:$D$209)&lt;0,_xlfn.XLOOKUP(AD32,$C$200:$C$209,$D$200:$D$209),0),0)</f>
        <v>0</v>
      </c>
      <c r="AE33" s="306">
        <f>_xlfn.IFNA(IF(_xlfn.XLOOKUP(AD32,$C$200:$C$209,$D$200:$D$209)&gt;0,_xlfn.XLOOKUP(AD32,$C$200:$C$209,$D$200:$D$209),0),0)</f>
        <v>0</v>
      </c>
      <c r="AF33" s="304" t="s">
        <v>884</v>
      </c>
      <c r="AG33" s="304" t="s">
        <v>884</v>
      </c>
      <c r="AH33" s="305">
        <f>_xlfn.IFNA(IF(_xlfn.XLOOKUP(AH32,$C$200:$C$209,$D$200:$D$209)&lt;0,_xlfn.XLOOKUP(AH32,$C$200:$C$209,$D$200:$D$209),0),0)</f>
        <v>0</v>
      </c>
      <c r="AI33" s="306">
        <f>_xlfn.IFNA(IF(_xlfn.XLOOKUP(AH32,$C$200:$C$209,$D$200:$D$209)&gt;0,_xlfn.XLOOKUP(AH32,$C$200:$C$209,$D$200:$D$209),0),0)</f>
        <v>0</v>
      </c>
      <c r="AJ33" s="304" t="s">
        <v>884</v>
      </c>
      <c r="AK33" s="304" t="s">
        <v>884</v>
      </c>
      <c r="AL33" s="305">
        <f>_xlfn.IFNA(IF(_xlfn.XLOOKUP(AL32,$C$200:$C$209,$D$200:$D$209)&lt;0,_xlfn.XLOOKUP(AL32,$C$200:$C$209,$D$200:$D$209),0),0)</f>
        <v>0</v>
      </c>
      <c r="AM33" s="306">
        <f>_xlfn.IFNA(IF(_xlfn.XLOOKUP(AL32,$C$200:$C$209,$D$200:$D$209)&gt;0,_xlfn.XLOOKUP(AL32,$C$200:$C$209,$D$200:$D$209),0),0)</f>
        <v>0</v>
      </c>
      <c r="AN33" s="304" t="s">
        <v>884</v>
      </c>
      <c r="AO33" s="304" t="s">
        <v>884</v>
      </c>
      <c r="AP33" s="305">
        <f>_xlfn.IFNA(IF(_xlfn.XLOOKUP(AP32,$C$200:$C$209,$D$200:$D$209)&lt;0,_xlfn.XLOOKUP(AP32,$C$200:$C$209,$D$200:$D$209),0),0)</f>
        <v>0</v>
      </c>
      <c r="AQ33" s="306">
        <f>_xlfn.IFNA(IF(_xlfn.XLOOKUP(AP32,$C$200:$C$209,$D$200:$D$209)&gt;0,_xlfn.XLOOKUP(AP32,$C$200:$C$209,$D$200:$D$209),0),0)</f>
        <v>0</v>
      </c>
      <c r="AR33" s="304" t="s">
        <v>884</v>
      </c>
      <c r="AS33" s="304" t="s">
        <v>884</v>
      </c>
      <c r="AT33" s="305">
        <f>_xlfn.IFNA(IF(_xlfn.XLOOKUP(AT32,$C$200:$C$209,$D$200:$D$209)&lt;0,_xlfn.XLOOKUP(AT32,$C$200:$C$209,$D$200:$D$209),0),0)</f>
        <v>0</v>
      </c>
      <c r="AU33" s="306">
        <f>_xlfn.IFNA(IF(_xlfn.XLOOKUP(AT32,$C$200:$C$209,$D$200:$D$209)&gt;0,_xlfn.XLOOKUP(AT32,$C$200:$C$209,$D$200:$D$209),0),0)</f>
        <v>0</v>
      </c>
      <c r="AV33" s="304" t="s">
        <v>884</v>
      </c>
    </row>
    <row r="34" spans="3:48">
      <c r="C34" s="506"/>
      <c r="D34" s="506"/>
      <c r="E34" s="508"/>
      <c r="F34" s="509"/>
      <c r="G34" s="509"/>
      <c r="H34" s="508">
        <f t="shared" si="0"/>
        <v>0</v>
      </c>
      <c r="I34" s="508"/>
      <c r="J34" s="506"/>
      <c r="K34" s="506"/>
      <c r="L34" s="506"/>
      <c r="M34" s="506"/>
      <c r="N34" s="506"/>
      <c r="O34" s="506"/>
      <c r="P34" s="506"/>
      <c r="Q34" s="506"/>
      <c r="R34" s="506"/>
      <c r="S34" s="509"/>
      <c r="T34" s="508"/>
      <c r="U34" s="506"/>
      <c r="V34" s="506"/>
      <c r="W34" s="509"/>
      <c r="X34" s="508"/>
      <c r="Y34" s="506"/>
      <c r="Z34" s="506"/>
      <c r="AA34" s="42" cm="1">
        <f t="array" ref="AA34">COUNTIFS($AT$101:$AT$118,Y34)+_xlfn.IFNA(_xlfn.IFS(AND(Y34="Retained Earnings",$AD$32="Retained Earnings"),1),0)</f>
        <v>0</v>
      </c>
      <c r="AC34" s="304" t="str" cm="1">
        <f t="array" ref="AC34">_xlfn.IFNA(_xlfn._xlws.FILTER(Journal[Transaction '#],Journal[Debit Account]=AD32,""),0)</f>
        <v/>
      </c>
      <c r="AD34" s="307" cm="1">
        <f t="array" ref="AD34">_xlfn._xlws.FILTER(Journal[Dr Amt],Journal[Debit Account]=AD32,0)</f>
        <v>0</v>
      </c>
      <c r="AE34" s="37" cm="1">
        <f t="array" ref="AE34">_xlfn._xlws.FILTER(Journal[Cr Amt],Journal[Credit Account]=AD32,0)</f>
        <v>0</v>
      </c>
      <c r="AF34" s="304" t="str" cm="1">
        <f t="array" ref="AF34">_xlfn._xlws.FILTER(Journal[Transaction '#],Journal[Credit Account]=AD32,"")</f>
        <v/>
      </c>
      <c r="AG34" s="304" t="str" cm="1">
        <f t="array" ref="AG34">_xlfn.IFNA(_xlfn._xlws.FILTER(Journal[Transaction '#],Journal[Debit Account]=AH32,""),0)</f>
        <v/>
      </c>
      <c r="AH34" s="307" cm="1">
        <f t="array" ref="AH34">_xlfn._xlws.FILTER(Journal[Dr Amt],Journal[Debit Account]=AH32,0)</f>
        <v>0</v>
      </c>
      <c r="AI34" s="37" cm="1">
        <f t="array" ref="AI34">_xlfn._xlws.FILTER(Journal[Cr Amt],Journal[Credit Account]=AH32,0)</f>
        <v>0</v>
      </c>
      <c r="AJ34" s="304" t="str" cm="1">
        <f t="array" ref="AJ34">_xlfn._xlws.FILTER(Journal[Transaction '#],Journal[Credit Account]=AH32,"")</f>
        <v/>
      </c>
      <c r="AK34" s="304" t="str" cm="1">
        <f t="array" ref="AK34">_xlfn.IFNA(_xlfn._xlws.FILTER(Journal[Transaction '#],Journal[Debit Account]=AL32,""),0)</f>
        <v/>
      </c>
      <c r="AL34" s="307" cm="1">
        <f t="array" ref="AL34">_xlfn._xlws.FILTER(Journal[Dr Amt],Journal[Debit Account]=AL32,0)</f>
        <v>0</v>
      </c>
      <c r="AM34" s="37" cm="1">
        <f t="array" ref="AM34">_xlfn._xlws.FILTER(Journal[Cr Amt],Journal[Credit Account]=AL32,0)</f>
        <v>0</v>
      </c>
      <c r="AN34" s="304" t="str" cm="1">
        <f t="array" ref="AN34">_xlfn._xlws.FILTER(Journal[Transaction '#],Journal[Credit Account]=AL32,"")</f>
        <v/>
      </c>
      <c r="AO34" s="304" t="str" cm="1">
        <f t="array" ref="AO34">_xlfn.IFNA(_xlfn._xlws.FILTER(Journal[Transaction '#],Journal[Debit Account]=AP32,""),0)</f>
        <v/>
      </c>
      <c r="AP34" s="307" cm="1">
        <f t="array" ref="AP34">_xlfn._xlws.FILTER(Journal[Dr Amt],Journal[Debit Account]=AP32,0)</f>
        <v>0</v>
      </c>
      <c r="AQ34" s="37" cm="1">
        <f t="array" ref="AQ34">_xlfn._xlws.FILTER(Journal[Cr Amt],Journal[Credit Account]=AP32,0)</f>
        <v>0</v>
      </c>
      <c r="AR34" s="304" t="str" cm="1">
        <f t="array" ref="AR34">_xlfn._xlws.FILTER(Journal[Transaction '#],Journal[Credit Account]=AP32,"")</f>
        <v/>
      </c>
      <c r="AS34" s="304" t="str" cm="1">
        <f t="array" ref="AS34">_xlfn.IFNA(_xlfn._xlws.FILTER(Journal[Transaction '#],Journal[Debit Account]=AT32,""),0)</f>
        <v/>
      </c>
      <c r="AT34" s="307" cm="1">
        <f t="array" ref="AT34">_xlfn._xlws.FILTER(Journal[Dr Amt],Journal[Debit Account]=AT32,0)</f>
        <v>0</v>
      </c>
      <c r="AU34" s="37" cm="1">
        <f t="array" ref="AU34">_xlfn._xlws.FILTER(Journal[Cr Amt],Journal[Credit Account]=AT32,0)</f>
        <v>0</v>
      </c>
      <c r="AV34" s="304" t="str" cm="1">
        <f t="array" ref="AV34">_xlfn._xlws.FILTER(Journal[Transaction '#],Journal[Credit Account]=AT32,"")</f>
        <v/>
      </c>
    </row>
    <row r="35" spans="3:48">
      <c r="C35" s="506"/>
      <c r="D35" s="506"/>
      <c r="E35" s="508"/>
      <c r="F35" s="509"/>
      <c r="G35" s="509"/>
      <c r="H35" s="508">
        <f t="shared" si="0"/>
        <v>0</v>
      </c>
      <c r="I35" s="508"/>
      <c r="J35" s="506"/>
      <c r="K35" s="506"/>
      <c r="L35" s="506"/>
      <c r="M35" s="506"/>
      <c r="N35" s="506"/>
      <c r="O35" s="506"/>
      <c r="P35" s="506"/>
      <c r="Q35" s="506"/>
      <c r="R35" s="506"/>
      <c r="S35" s="509"/>
      <c r="T35" s="508"/>
      <c r="U35" s="506"/>
      <c r="V35" s="506"/>
      <c r="W35" s="509"/>
      <c r="X35" s="508"/>
      <c r="Y35" s="506"/>
      <c r="Z35" s="506"/>
      <c r="AA35" s="42" cm="1">
        <f t="array" ref="AA35">COUNTIFS($AT$101:$AT$118,Y35)+_xlfn.IFNA(_xlfn.IFS(AND(Y35="Retained Earnings",$AD$32="Retained Earnings"),1),0)</f>
        <v>0</v>
      </c>
      <c r="AC35" s="304"/>
      <c r="AD35" s="307"/>
      <c r="AE35" s="37"/>
      <c r="AF35" s="304"/>
      <c r="AG35" s="304"/>
      <c r="AH35" s="307"/>
      <c r="AI35" s="37"/>
      <c r="AJ35" s="304"/>
      <c r="AK35" s="304"/>
      <c r="AL35" s="307"/>
      <c r="AM35" s="37"/>
      <c r="AN35" s="304"/>
      <c r="AO35" s="304"/>
      <c r="AP35" s="307"/>
      <c r="AQ35" s="37"/>
      <c r="AR35" s="304"/>
      <c r="AS35" s="304"/>
      <c r="AT35" s="307"/>
      <c r="AU35" s="37"/>
      <c r="AV35" s="304"/>
    </row>
    <row r="36" spans="3:48">
      <c r="C36" s="506"/>
      <c r="D36" s="506"/>
      <c r="E36" s="508"/>
      <c r="F36" s="509"/>
      <c r="G36" s="509"/>
      <c r="H36" s="508">
        <f t="shared" si="0"/>
        <v>0</v>
      </c>
      <c r="I36" s="508"/>
      <c r="J36" s="506"/>
      <c r="K36" s="506"/>
      <c r="L36" s="506"/>
      <c r="M36" s="506"/>
      <c r="N36" s="506"/>
      <c r="O36" s="506"/>
      <c r="P36" s="506"/>
      <c r="Q36" s="506"/>
      <c r="R36" s="506"/>
      <c r="S36" s="509"/>
      <c r="T36" s="508"/>
      <c r="U36" s="506"/>
      <c r="V36" s="506"/>
      <c r="W36" s="509"/>
      <c r="X36" s="508"/>
      <c r="Y36" s="506"/>
      <c r="Z36" s="506"/>
      <c r="AA36" s="42" cm="1">
        <f t="array" ref="AA36">COUNTIFS($AT$101:$AT$118,Y36)+_xlfn.IFNA(_xlfn.IFS(AND(Y36="Retained Earnings",$AD$32="Retained Earnings"),1),0)</f>
        <v>0</v>
      </c>
      <c r="AC36" s="304"/>
      <c r="AD36" s="307"/>
      <c r="AE36" s="37"/>
      <c r="AF36" s="304"/>
      <c r="AG36" s="304"/>
      <c r="AH36" s="307"/>
      <c r="AI36" s="37"/>
      <c r="AJ36" s="304"/>
      <c r="AK36" s="304"/>
      <c r="AL36" s="307"/>
      <c r="AM36" s="37"/>
      <c r="AN36" s="304"/>
      <c r="AO36" s="304"/>
      <c r="AP36" s="307"/>
      <c r="AQ36" s="37"/>
      <c r="AR36" s="304"/>
      <c r="AS36" s="304"/>
      <c r="AT36" s="307"/>
      <c r="AU36" s="37"/>
      <c r="AV36" s="304"/>
    </row>
    <row r="37" spans="3:48">
      <c r="C37" s="506"/>
      <c r="D37" s="506"/>
      <c r="E37" s="508"/>
      <c r="F37" s="509"/>
      <c r="G37" s="509"/>
      <c r="H37" s="508">
        <f t="shared" si="0"/>
        <v>0</v>
      </c>
      <c r="I37" s="508"/>
      <c r="J37" s="506"/>
      <c r="K37" s="506"/>
      <c r="L37" s="506"/>
      <c r="M37" s="506"/>
      <c r="N37" s="506"/>
      <c r="O37" s="506"/>
      <c r="P37" s="506"/>
      <c r="Q37" s="506"/>
      <c r="R37" s="506"/>
      <c r="S37" s="509"/>
      <c r="T37" s="508"/>
      <c r="U37" s="506"/>
      <c r="V37" s="506"/>
      <c r="W37" s="509"/>
      <c r="X37" s="508"/>
      <c r="Y37" s="506"/>
      <c r="Z37" s="506"/>
      <c r="AA37" s="42" cm="1">
        <f t="array" ref="AA37">COUNTIFS($AT$101:$AT$118,Y37)+_xlfn.IFNA(_xlfn.IFS(AND(Y37="Retained Earnings",$AD$32="Retained Earnings"),1),0)</f>
        <v>0</v>
      </c>
      <c r="AC37" s="304"/>
      <c r="AD37" s="307"/>
      <c r="AE37" s="37"/>
      <c r="AF37" s="304"/>
      <c r="AG37" s="304"/>
      <c r="AH37" s="307"/>
      <c r="AI37" s="37"/>
      <c r="AJ37" s="304"/>
      <c r="AK37" s="304"/>
      <c r="AL37" s="307"/>
      <c r="AM37" s="37"/>
      <c r="AN37" s="304"/>
      <c r="AO37" s="304"/>
      <c r="AP37" s="307"/>
      <c r="AQ37" s="37"/>
      <c r="AR37" s="304"/>
      <c r="AS37" s="304"/>
      <c r="AT37" s="307"/>
      <c r="AU37" s="37"/>
      <c r="AV37" s="304"/>
    </row>
    <row r="38" spans="3:48">
      <c r="C38" s="506"/>
      <c r="D38" s="506"/>
      <c r="E38" s="508"/>
      <c r="F38" s="509"/>
      <c r="G38" s="509"/>
      <c r="H38" s="508">
        <f t="shared" si="0"/>
        <v>0</v>
      </c>
      <c r="I38" s="508"/>
      <c r="J38" s="506"/>
      <c r="K38" s="506"/>
      <c r="L38" s="506"/>
      <c r="M38" s="506"/>
      <c r="N38" s="506"/>
      <c r="O38" s="506"/>
      <c r="P38" s="506"/>
      <c r="Q38" s="506"/>
      <c r="R38" s="506"/>
      <c r="S38" s="509"/>
      <c r="T38" s="508"/>
      <c r="U38" s="506"/>
      <c r="V38" s="506"/>
      <c r="W38" s="509"/>
      <c r="X38" s="508"/>
      <c r="Y38" s="506"/>
      <c r="Z38" s="506"/>
      <c r="AA38" s="42" cm="1">
        <f t="array" ref="AA38">COUNTIFS($AT$101:$AT$118,Y38)+_xlfn.IFNA(_xlfn.IFS(AND(Y38="Retained Earnings",$AD$32="Retained Earnings"),1),0)</f>
        <v>0</v>
      </c>
      <c r="AC38" s="304"/>
      <c r="AD38" s="307"/>
      <c r="AE38" s="37"/>
      <c r="AF38" s="304"/>
      <c r="AG38" s="304"/>
      <c r="AH38" s="307"/>
      <c r="AI38" s="37"/>
      <c r="AJ38" s="304"/>
      <c r="AK38" s="304"/>
      <c r="AL38" s="307"/>
      <c r="AM38" s="37"/>
      <c r="AN38" s="304"/>
      <c r="AO38" s="304"/>
      <c r="AP38" s="307"/>
      <c r="AQ38" s="37"/>
      <c r="AR38" s="304"/>
      <c r="AS38" s="304"/>
      <c r="AT38" s="307"/>
      <c r="AU38" s="37"/>
      <c r="AV38" s="304"/>
    </row>
    <row r="39" spans="3:48" ht="15" thickBot="1">
      <c r="C39" s="506"/>
      <c r="D39" s="506"/>
      <c r="E39" s="508"/>
      <c r="F39" s="509"/>
      <c r="G39" s="509"/>
      <c r="H39" s="508">
        <f t="shared" si="0"/>
        <v>0</v>
      </c>
      <c r="I39" s="508"/>
      <c r="J39" s="506"/>
      <c r="K39" s="506"/>
      <c r="L39" s="506"/>
      <c r="M39" s="506"/>
      <c r="N39" s="506"/>
      <c r="O39" s="506"/>
      <c r="P39" s="506"/>
      <c r="Q39" s="506"/>
      <c r="R39" s="506"/>
      <c r="S39" s="509"/>
      <c r="T39" s="508"/>
      <c r="U39" s="506"/>
      <c r="V39" s="506"/>
      <c r="W39" s="509"/>
      <c r="X39" s="508"/>
      <c r="Y39" s="506"/>
      <c r="Z39" s="506"/>
      <c r="AA39" s="42" cm="1">
        <f t="array" ref="AA39">COUNTIFS($AT$101:$AT$118,Y39)+_xlfn.IFNA(_xlfn.IFS(AND(Y39="Retained Earnings",$AD$32="Retained Earnings"),1),0)</f>
        <v>0</v>
      </c>
      <c r="AC39" s="310"/>
      <c r="AD39" s="311"/>
      <c r="AE39" s="312"/>
      <c r="AF39" s="310"/>
      <c r="AG39" s="310"/>
      <c r="AH39" s="311"/>
      <c r="AI39" s="312"/>
      <c r="AJ39" s="310"/>
      <c r="AK39" s="310"/>
      <c r="AL39" s="311"/>
      <c r="AM39" s="312"/>
      <c r="AN39" s="310"/>
      <c r="AO39" s="310"/>
      <c r="AP39" s="311"/>
      <c r="AQ39" s="312"/>
      <c r="AR39" s="310"/>
      <c r="AS39" s="310"/>
      <c r="AT39" s="311"/>
      <c r="AU39" s="312"/>
      <c r="AV39" s="310"/>
    </row>
    <row r="40" spans="3:48" ht="15.6" thickTop="1" thickBot="1">
      <c r="C40" s="506"/>
      <c r="D40" s="506"/>
      <c r="E40" s="508"/>
      <c r="F40" s="509"/>
      <c r="G40" s="509"/>
      <c r="H40" s="508">
        <f t="shared" si="0"/>
        <v>0</v>
      </c>
      <c r="I40" s="508"/>
      <c r="J40" s="506"/>
      <c r="K40" s="506"/>
      <c r="L40" s="506"/>
      <c r="M40" s="506"/>
      <c r="N40" s="506"/>
      <c r="O40" s="506"/>
      <c r="P40" s="506"/>
      <c r="Q40" s="506"/>
      <c r="R40" s="506"/>
      <c r="S40" s="509"/>
      <c r="T40" s="508"/>
      <c r="U40" s="506"/>
      <c r="V40" s="506"/>
      <c r="W40" s="509"/>
      <c r="X40" s="508"/>
      <c r="Y40" s="506"/>
      <c r="Z40" s="506"/>
      <c r="AA40" s="42" cm="1">
        <f t="array" ref="AA40">COUNTIFS($AT$101:$AT$118,Y40)+_xlfn.IFNA(_xlfn.IFS(AND(Y40="Retained Earnings",$AD$32="Retained Earnings"),1),0)</f>
        <v>0</v>
      </c>
      <c r="AC40" s="304" t="s">
        <v>894</v>
      </c>
      <c r="AD40" s="313">
        <f>MAX(SUM(AD33:AD39)-SUM(AE33:AE39),0)</f>
        <v>0</v>
      </c>
      <c r="AE40" s="314">
        <f>MAX(SUM(AE33:AE39)-SUM(AD33:AD39),0)</f>
        <v>0</v>
      </c>
      <c r="AF40" s="304" t="s">
        <v>894</v>
      </c>
      <c r="AG40" s="304" t="s">
        <v>894</v>
      </c>
      <c r="AH40" s="313">
        <f>MAX(SUM(AH33:AH39)-SUM(AI33:AI39),0)</f>
        <v>0</v>
      </c>
      <c r="AI40" s="314">
        <f>MAX(SUM(AI33:AI39)-SUM(AH33:AH39),0)</f>
        <v>0</v>
      </c>
      <c r="AJ40" s="304" t="s">
        <v>894</v>
      </c>
      <c r="AK40" s="304" t="s">
        <v>894</v>
      </c>
      <c r="AL40" s="313">
        <f>MAX(SUM(AL33:AL39)-SUM(AM33:AM39),0)</f>
        <v>0</v>
      </c>
      <c r="AM40" s="314">
        <f>MAX(SUM(AM33:AM39)-SUM(AL33:AL39),0)</f>
        <v>0</v>
      </c>
      <c r="AN40" s="304" t="s">
        <v>894</v>
      </c>
      <c r="AO40" s="304" t="s">
        <v>894</v>
      </c>
      <c r="AP40" s="313">
        <f>MAX(SUM(AP33:AP39)-SUM(AQ33:AQ39),0)</f>
        <v>0</v>
      </c>
      <c r="AQ40" s="314">
        <f>MAX(SUM(AQ33:AQ39)-SUM(AP33:AP39),0)</f>
        <v>0</v>
      </c>
      <c r="AR40" s="304" t="s">
        <v>894</v>
      </c>
      <c r="AS40" s="304" t="s">
        <v>894</v>
      </c>
      <c r="AT40" s="313">
        <f>MAX(SUM(AT33:AT39)-SUM(AU33:AU39),0)</f>
        <v>0</v>
      </c>
      <c r="AU40" s="314">
        <f>MAX(SUM(AU33:AU39)-SUM(AT33:AT39),0)</f>
        <v>0</v>
      </c>
      <c r="AV40" s="304" t="s">
        <v>894</v>
      </c>
    </row>
    <row r="41" spans="3:48" ht="15" thickTop="1">
      <c r="C41" s="506"/>
      <c r="D41" s="506"/>
      <c r="E41" s="508"/>
      <c r="F41" s="509"/>
      <c r="G41" s="509"/>
      <c r="H41" s="508">
        <f t="shared" si="0"/>
        <v>0</v>
      </c>
      <c r="I41" s="508"/>
      <c r="J41" s="506"/>
      <c r="K41" s="506"/>
      <c r="L41" s="506"/>
      <c r="M41" s="506"/>
      <c r="N41" s="506"/>
      <c r="O41" s="506"/>
      <c r="P41" s="506"/>
      <c r="Q41" s="506"/>
      <c r="R41" s="506"/>
      <c r="S41" s="509"/>
      <c r="T41" s="508"/>
      <c r="U41" s="506"/>
      <c r="V41" s="506"/>
      <c r="W41" s="509"/>
      <c r="X41" s="508"/>
      <c r="Y41" s="506"/>
      <c r="Z41" s="506"/>
      <c r="AA41" s="42" cm="1">
        <f t="array" ref="AA41">COUNTIFS($AT$101:$AT$118,Y41)+_xlfn.IFNA(_xlfn.IFS(AND(Y41="Retained Earnings",$AD$32="Retained Earnings"),1),0)</f>
        <v>0</v>
      </c>
      <c r="AD41" s="5" t="s">
        <v>900</v>
      </c>
    </row>
    <row r="42" spans="3:48" ht="15" thickBot="1">
      <c r="C42" s="506"/>
      <c r="D42" s="506"/>
      <c r="E42" s="508"/>
      <c r="F42" s="509"/>
      <c r="G42" s="509"/>
      <c r="H42" s="508">
        <f t="shared" si="0"/>
        <v>0</v>
      </c>
      <c r="I42" s="508"/>
      <c r="J42" s="506"/>
      <c r="K42" s="506"/>
      <c r="L42" s="506"/>
      <c r="M42" s="506"/>
      <c r="N42" s="506"/>
      <c r="O42" s="506"/>
      <c r="P42" s="506"/>
      <c r="Q42" s="506"/>
      <c r="R42" s="506"/>
      <c r="S42" s="509"/>
      <c r="T42" s="508"/>
      <c r="U42" s="506"/>
      <c r="V42" s="506"/>
      <c r="W42" s="509"/>
      <c r="X42" s="508"/>
      <c r="Y42" s="506"/>
      <c r="Z42" s="506"/>
      <c r="AA42" s="42" cm="1">
        <f t="array" ref="AA42">COUNTIFS($AT$101:$AT$118,Y42)+_xlfn.IFNA(_xlfn.IFS(AND(Y42="Retained Earnings",$AD$32="Retained Earnings"),1),0)</f>
        <v>0</v>
      </c>
      <c r="AC42" s="301"/>
      <c r="AD42" s="473" t="str" cm="1">
        <f t="array" ref="AD42">_xlfn.IFS($AR$101&gt;0,_xlfn._xlws.FILTER($AT$101:$AT$118,($AS$101:$AS$118="Revenue")*($AU$101:$AU$118=0),"None"),$AR$101=0,"None")</f>
        <v>None</v>
      </c>
      <c r="AE42" s="473"/>
      <c r="AF42" s="301"/>
      <c r="AG42" s="301"/>
      <c r="AH42" s="473" t="str" cm="1">
        <f t="array" ref="AH42">_xlfn.IFS($AR$101&gt;0,_xlfn._xlws.FILTER($AT$101:$AT$118,($AS$101:$AS$118="Revenue")*($AU$101:$AU$118=1),"None"),$AR$101=0,"None")</f>
        <v>None</v>
      </c>
      <c r="AI42" s="473"/>
      <c r="AJ42" s="301"/>
      <c r="AK42" s="301"/>
      <c r="AL42" s="473" t="str" cm="1">
        <f t="array" ref="AL42">_xlfn.IFS($AR$101&gt;0,_xlfn._xlws.FILTER($AT$101:$AT$118,($AS$101:$AS$118="Revenue")*($AU$101:$AU$118=2),"None"),$AR$101=0,"None")</f>
        <v>None</v>
      </c>
      <c r="AM42" s="473"/>
      <c r="AN42" s="301"/>
      <c r="AO42" s="301"/>
      <c r="AP42" s="473" t="str" cm="1">
        <f t="array" ref="AP42">_xlfn.IFS($AR$101&gt;0,_xlfn._xlws.FILTER($AT$101:$AT$118,($AS$101:$AS$118="Revenue")*($AU$101:$AU$118=3),"None"),$AR$101=0,"None")</f>
        <v>None</v>
      </c>
      <c r="AQ42" s="473"/>
      <c r="AR42" s="301"/>
      <c r="AS42" s="301"/>
      <c r="AT42" s="473" t="str" cm="1">
        <f t="array" ref="AT42">_xlfn.IFS($AR$101&gt;0,_xlfn._xlws.FILTER($AT$101:$AT$118,($AS$101:$AS$118="Revenue")*($AU$101:$AU$118=3),"None"),$AR$101=0,"None")</f>
        <v>None</v>
      </c>
      <c r="AU42" s="473"/>
      <c r="AV42" s="301"/>
    </row>
    <row r="43" spans="3:48" ht="15" thickTop="1">
      <c r="C43" s="506"/>
      <c r="D43" s="506"/>
      <c r="E43" s="508"/>
      <c r="F43" s="509"/>
      <c r="G43" s="509"/>
      <c r="H43" s="508">
        <f t="shared" si="0"/>
        <v>0</v>
      </c>
      <c r="I43" s="508"/>
      <c r="J43" s="506"/>
      <c r="K43" s="506"/>
      <c r="L43" s="506"/>
      <c r="M43" s="506"/>
      <c r="N43" s="506"/>
      <c r="O43" s="506"/>
      <c r="P43" s="506"/>
      <c r="Q43" s="506"/>
      <c r="R43" s="506"/>
      <c r="S43" s="509"/>
      <c r="T43" s="508"/>
      <c r="U43" s="506"/>
      <c r="V43" s="506"/>
      <c r="W43" s="509"/>
      <c r="X43" s="508"/>
      <c r="Y43" s="506"/>
      <c r="Z43" s="506"/>
      <c r="AA43" s="42" cm="1">
        <f t="array" ref="AA43">COUNTIFS($AT$101:$AT$118,Y43)+_xlfn.IFNA(_xlfn.IFS(AND(Y43="Retained Earnings",$AD$32="Retained Earnings"),1),0)</f>
        <v>0</v>
      </c>
      <c r="AC43" s="304" t="str" cm="1">
        <f t="array" ref="AC43">_xlfn.IFNA(_xlfn._xlws.FILTER(Journal[Transaction '#],Journal[Debit Account]=AD42,""),0)</f>
        <v/>
      </c>
      <c r="AD43" s="447" cm="1">
        <f t="array" ref="AD43">_xlfn._xlws.FILTER(Journal[Dr Amt],Journal[Debit Account]=AD42,0)</f>
        <v>0</v>
      </c>
      <c r="AE43" s="448" cm="1">
        <f t="array" ref="AE43">_xlfn._xlws.FILTER(Journal[Cr Amt],Journal[Credit Account]=AD42,0)</f>
        <v>0</v>
      </c>
      <c r="AF43" s="304" t="str" cm="1">
        <f t="array" ref="AF43">_xlfn._xlws.FILTER(Journal[Transaction '#],Journal[Credit Account]=AD42,"")</f>
        <v/>
      </c>
      <c r="AG43" s="304" t="str" cm="1">
        <f t="array" ref="AG43">_xlfn.IFNA(_xlfn._xlws.FILTER(Journal[Transaction '#],Journal[Debit Account]=AH42,""),0)</f>
        <v/>
      </c>
      <c r="AH43" s="447" cm="1">
        <f t="array" ref="AH43">_xlfn._xlws.FILTER(Journal[Dr Amt],Journal[Debit Account]=AH42,0)</f>
        <v>0</v>
      </c>
      <c r="AI43" s="448" cm="1">
        <f t="array" ref="AI43">_xlfn._xlws.FILTER(Journal[Cr Amt],Journal[Credit Account]=AH42,0)</f>
        <v>0</v>
      </c>
      <c r="AJ43" s="304" t="str" cm="1">
        <f t="array" ref="AJ43">_xlfn._xlws.FILTER(Journal[Transaction '#],Journal[Credit Account]=AH42,"")</f>
        <v/>
      </c>
      <c r="AK43" s="304" t="str" cm="1">
        <f t="array" ref="AK43">_xlfn.IFNA(_xlfn._xlws.FILTER(Journal[Transaction '#],Journal[Debit Account]=AL42,""),0)</f>
        <v/>
      </c>
      <c r="AL43" s="447" cm="1">
        <f t="array" ref="AL43">_xlfn._xlws.FILTER(Journal[Dr Amt],Journal[Debit Account]=AL42,0)</f>
        <v>0</v>
      </c>
      <c r="AM43" s="448" cm="1">
        <f t="array" ref="AM43">_xlfn._xlws.FILTER(Journal[Cr Amt],Journal[Credit Account]=AL42,0)</f>
        <v>0</v>
      </c>
      <c r="AN43" s="304" t="str" cm="1">
        <f t="array" ref="AN43">_xlfn._xlws.FILTER(Journal[Transaction '#],Journal[Credit Account]=AL42,"")</f>
        <v/>
      </c>
      <c r="AO43" s="304" t="str" cm="1">
        <f t="array" ref="AO43">_xlfn.IFNA(_xlfn._xlws.FILTER(Journal[Transaction '#],Journal[Debit Account]=AP42,""),0)</f>
        <v/>
      </c>
      <c r="AP43" s="447" cm="1">
        <f t="array" ref="AP43">_xlfn._xlws.FILTER(Journal[Dr Amt],Journal[Debit Account]=AP42,0)</f>
        <v>0</v>
      </c>
      <c r="AQ43" s="448" cm="1">
        <f t="array" ref="AQ43">_xlfn._xlws.FILTER(Journal[Cr Amt],Journal[Credit Account]=AP42,0)</f>
        <v>0</v>
      </c>
      <c r="AR43" s="304" t="str" cm="1">
        <f t="array" ref="AR43">_xlfn._xlws.FILTER(Journal[Transaction '#],Journal[Credit Account]=AP42,"")</f>
        <v/>
      </c>
      <c r="AS43" s="304" t="str" cm="1">
        <f t="array" ref="AS43">_xlfn.IFNA(_xlfn._xlws.FILTER(Journal[Transaction '#],Journal[Debit Account]=AT42,""),0)</f>
        <v/>
      </c>
      <c r="AT43" s="447" cm="1">
        <f t="array" ref="AT43">_xlfn._xlws.FILTER(Journal[Dr Amt],Journal[Debit Account]=AT42,0)</f>
        <v>0</v>
      </c>
      <c r="AU43" s="448" cm="1">
        <f t="array" ref="AU43">_xlfn._xlws.FILTER(Journal[Cr Amt],Journal[Credit Account]=AT42,0)</f>
        <v>0</v>
      </c>
      <c r="AV43" s="304" t="str" cm="1">
        <f t="array" ref="AV43">_xlfn._xlws.FILTER(Journal[Transaction '#],Journal[Credit Account]=AT42,"")</f>
        <v/>
      </c>
    </row>
    <row r="44" spans="3:48">
      <c r="C44" s="506"/>
      <c r="D44" s="506"/>
      <c r="E44" s="508"/>
      <c r="F44" s="509"/>
      <c r="G44" s="509"/>
      <c r="H44" s="508">
        <f t="shared" si="0"/>
        <v>0</v>
      </c>
      <c r="I44" s="508"/>
      <c r="J44" s="506"/>
      <c r="K44" s="506"/>
      <c r="L44" s="506"/>
      <c r="M44" s="506"/>
      <c r="N44" s="506"/>
      <c r="O44" s="506"/>
      <c r="P44" s="506"/>
      <c r="Q44" s="506"/>
      <c r="R44" s="506"/>
      <c r="S44" s="509"/>
      <c r="T44" s="508"/>
      <c r="U44" s="506"/>
      <c r="V44" s="506"/>
      <c r="W44" s="509"/>
      <c r="X44" s="508"/>
      <c r="Y44" s="506"/>
      <c r="Z44" s="506"/>
      <c r="AA44" s="42" cm="1">
        <f t="array" ref="AA44">COUNTIFS($AT$101:$AT$118,Y44)+_xlfn.IFNA(_xlfn.IFS(AND(Y44="Retained Earnings",$AD$32="Retained Earnings"),1),0)</f>
        <v>0</v>
      </c>
      <c r="AD44" s="307"/>
      <c r="AE44" s="37"/>
      <c r="AH44" s="307"/>
      <c r="AI44" s="37"/>
      <c r="AL44" s="307"/>
      <c r="AM44" s="37"/>
      <c r="AP44" s="307"/>
      <c r="AQ44" s="37"/>
      <c r="AT44" s="307"/>
      <c r="AU44" s="37"/>
    </row>
    <row r="45" spans="3:48">
      <c r="C45" s="506"/>
      <c r="D45" s="506"/>
      <c r="E45" s="508"/>
      <c r="F45" s="506"/>
      <c r="G45" s="506"/>
      <c r="H45" s="508">
        <f t="shared" si="0"/>
        <v>0</v>
      </c>
      <c r="I45" s="508"/>
      <c r="J45" s="506"/>
      <c r="K45" s="506"/>
      <c r="L45" s="506"/>
      <c r="M45" s="506"/>
      <c r="N45" s="506"/>
      <c r="O45" s="506"/>
      <c r="P45" s="506"/>
      <c r="Q45" s="506"/>
      <c r="R45" s="506"/>
      <c r="S45" s="509"/>
      <c r="T45" s="508"/>
      <c r="U45" s="506"/>
      <c r="V45" s="506"/>
      <c r="W45" s="509"/>
      <c r="X45" s="508"/>
      <c r="Y45" s="506"/>
      <c r="Z45" s="506"/>
      <c r="AA45" s="42" cm="1">
        <f t="array" ref="AA45">COUNTIFS($AT$101:$AT$118,Y45)+_xlfn.IFNA(_xlfn.IFS(AND(Y45="Retained Earnings",$AD$32="Retained Earnings"),1),0)</f>
        <v>0</v>
      </c>
      <c r="AC45" s="304"/>
      <c r="AD45" s="307"/>
      <c r="AE45" s="37"/>
      <c r="AF45" s="304"/>
      <c r="AG45" s="304"/>
      <c r="AH45" s="307"/>
      <c r="AI45" s="37"/>
      <c r="AJ45" s="304"/>
      <c r="AK45" s="304"/>
      <c r="AL45" s="307"/>
      <c r="AM45" s="37"/>
      <c r="AN45" s="304"/>
      <c r="AO45" s="304"/>
      <c r="AP45" s="307"/>
      <c r="AQ45" s="37"/>
      <c r="AR45" s="304"/>
      <c r="AS45" s="304"/>
      <c r="AT45" s="307"/>
      <c r="AU45" s="37"/>
      <c r="AV45" s="304"/>
    </row>
    <row r="46" spans="3:48">
      <c r="C46" s="506"/>
      <c r="D46" s="506"/>
      <c r="E46" s="508"/>
      <c r="F46" s="506"/>
      <c r="G46" s="506"/>
      <c r="H46" s="508">
        <f t="shared" si="0"/>
        <v>0</v>
      </c>
      <c r="I46" s="508"/>
      <c r="J46" s="506"/>
      <c r="K46" s="506"/>
      <c r="L46" s="506"/>
      <c r="M46" s="506"/>
      <c r="N46" s="506"/>
      <c r="O46" s="506"/>
      <c r="P46" s="506"/>
      <c r="Q46" s="506"/>
      <c r="R46" s="506"/>
      <c r="S46" s="509"/>
      <c r="T46" s="508"/>
      <c r="U46" s="506"/>
      <c r="V46" s="506"/>
      <c r="W46" s="509"/>
      <c r="X46" s="508"/>
      <c r="Y46" s="506"/>
      <c r="Z46" s="506"/>
      <c r="AA46" s="42" cm="1">
        <f t="array" ref="AA46">COUNTIFS($AT$101:$AT$118,Y46)+_xlfn.IFNA(_xlfn.IFS(AND(Y46="Retained Earnings",$AD$32="Retained Earnings"),1),0)</f>
        <v>0</v>
      </c>
      <c r="AC46" s="304"/>
      <c r="AD46" s="307"/>
      <c r="AE46" s="37"/>
      <c r="AF46" s="304"/>
      <c r="AG46" s="304"/>
      <c r="AH46" s="307"/>
      <c r="AI46" s="37"/>
      <c r="AJ46" s="304"/>
      <c r="AK46" s="304"/>
      <c r="AL46" s="307"/>
      <c r="AM46" s="37"/>
      <c r="AN46" s="304"/>
      <c r="AO46" s="304"/>
      <c r="AP46" s="307"/>
      <c r="AQ46" s="37"/>
      <c r="AR46" s="304"/>
      <c r="AS46" s="304"/>
      <c r="AT46" s="307"/>
      <c r="AU46" s="37"/>
      <c r="AV46" s="304"/>
    </row>
    <row r="47" spans="3:48">
      <c r="C47" s="506"/>
      <c r="D47" s="506"/>
      <c r="E47" s="508"/>
      <c r="F47" s="506"/>
      <c r="G47" s="506"/>
      <c r="H47" s="508">
        <f t="shared" si="0"/>
        <v>0</v>
      </c>
      <c r="I47" s="508"/>
      <c r="J47" s="506"/>
      <c r="K47" s="506"/>
      <c r="L47" s="506"/>
      <c r="M47" s="506"/>
      <c r="N47" s="506"/>
      <c r="O47" s="506"/>
      <c r="P47" s="506"/>
      <c r="Q47" s="506"/>
      <c r="R47" s="506"/>
      <c r="S47" s="509"/>
      <c r="T47" s="508"/>
      <c r="U47" s="506"/>
      <c r="V47" s="506"/>
      <c r="W47" s="509"/>
      <c r="X47" s="508"/>
      <c r="Y47" s="506"/>
      <c r="Z47" s="506"/>
      <c r="AA47" s="42" cm="1">
        <f t="array" ref="AA47">COUNTIFS($AT$101:$AT$118,Y47)+_xlfn.IFNA(_xlfn.IFS(AND(Y47="Retained Earnings",$AD$32="Retained Earnings"),1),0)</f>
        <v>0</v>
      </c>
      <c r="AC47" s="304"/>
      <c r="AD47" s="307"/>
      <c r="AE47" s="37"/>
      <c r="AF47" s="304"/>
      <c r="AG47" s="304"/>
      <c r="AH47" s="307"/>
      <c r="AI47" s="37"/>
      <c r="AJ47" s="304"/>
      <c r="AK47" s="304"/>
      <c r="AL47" s="307"/>
      <c r="AM47" s="37"/>
      <c r="AN47" s="304"/>
      <c r="AO47" s="304"/>
      <c r="AP47" s="307"/>
      <c r="AQ47" s="37"/>
      <c r="AR47" s="304"/>
      <c r="AS47" s="304"/>
      <c r="AT47" s="307"/>
      <c r="AU47" s="37"/>
      <c r="AV47" s="304"/>
    </row>
    <row r="48" spans="3:48">
      <c r="C48" s="506"/>
      <c r="D48" s="506"/>
      <c r="E48" s="508"/>
      <c r="F48" s="506"/>
      <c r="G48" s="506"/>
      <c r="H48" s="508">
        <f t="shared" si="0"/>
        <v>0</v>
      </c>
      <c r="I48" s="508"/>
      <c r="J48" s="506"/>
      <c r="K48" s="506"/>
      <c r="L48" s="506"/>
      <c r="M48" s="506"/>
      <c r="N48" s="506"/>
      <c r="O48" s="506"/>
      <c r="P48" s="506"/>
      <c r="Q48" s="506"/>
      <c r="R48" s="506"/>
      <c r="S48" s="509"/>
      <c r="T48" s="508"/>
      <c r="U48" s="506"/>
      <c r="V48" s="506"/>
      <c r="W48" s="509"/>
      <c r="X48" s="508"/>
      <c r="Y48" s="506"/>
      <c r="Z48" s="506"/>
      <c r="AA48" s="42" cm="1">
        <f t="array" ref="AA48">COUNTIFS($AT$101:$AT$118,Y48)+_xlfn.IFNA(_xlfn.IFS(AND(Y48="Retained Earnings",$AD$32="Retained Earnings"),1),0)</f>
        <v>0</v>
      </c>
      <c r="AC48" s="304"/>
      <c r="AD48" s="307"/>
      <c r="AE48" s="37"/>
      <c r="AF48" s="304"/>
      <c r="AG48" s="304"/>
      <c r="AH48" s="307"/>
      <c r="AI48" s="37"/>
      <c r="AJ48" s="304"/>
      <c r="AK48" s="304"/>
      <c r="AL48" s="307"/>
      <c r="AM48" s="37"/>
      <c r="AN48" s="304"/>
      <c r="AO48" s="304"/>
      <c r="AP48" s="307"/>
      <c r="AQ48" s="37"/>
      <c r="AR48" s="304"/>
      <c r="AS48" s="304"/>
      <c r="AT48" s="307"/>
      <c r="AU48" s="37"/>
      <c r="AV48" s="304"/>
    </row>
    <row r="49" spans="3:48" ht="15" thickBot="1">
      <c r="C49" s="506"/>
      <c r="D49" s="506"/>
      <c r="E49" s="508"/>
      <c r="F49" s="506"/>
      <c r="G49" s="506"/>
      <c r="H49" s="508">
        <f t="shared" si="0"/>
        <v>0</v>
      </c>
      <c r="I49" s="508"/>
      <c r="J49" s="506"/>
      <c r="K49" s="506"/>
      <c r="L49" s="506"/>
      <c r="M49" s="506"/>
      <c r="N49" s="506"/>
      <c r="O49" s="506"/>
      <c r="P49" s="506"/>
      <c r="Q49" s="506"/>
      <c r="R49" s="506"/>
      <c r="S49" s="509"/>
      <c r="T49" s="508"/>
      <c r="U49" s="506"/>
      <c r="V49" s="506"/>
      <c r="W49" s="509"/>
      <c r="X49" s="508"/>
      <c r="Y49" s="506"/>
      <c r="Z49" s="506"/>
      <c r="AA49" s="42" cm="1">
        <f t="array" ref="AA49">COUNTIFS($AT$101:$AT$118,Y49)+_xlfn.IFNA(_xlfn.IFS(AND(Y49="Retained Earnings",$AD$32="Retained Earnings"),1),0)</f>
        <v>0</v>
      </c>
      <c r="AC49" s="310"/>
      <c r="AD49" s="311"/>
      <c r="AE49" s="312"/>
      <c r="AF49" s="310"/>
      <c r="AG49" s="310"/>
      <c r="AH49" s="311"/>
      <c r="AI49" s="312"/>
      <c r="AJ49" s="310"/>
      <c r="AK49" s="310"/>
      <c r="AL49" s="311"/>
      <c r="AM49" s="312"/>
      <c r="AN49" s="310"/>
      <c r="AO49" s="310"/>
      <c r="AP49" s="311"/>
      <c r="AQ49" s="312"/>
      <c r="AR49" s="310"/>
      <c r="AS49" s="310"/>
      <c r="AT49" s="311"/>
      <c r="AU49" s="312"/>
      <c r="AV49" s="310"/>
    </row>
    <row r="50" spans="3:48" ht="15.6" thickTop="1" thickBot="1">
      <c r="C50" s="506"/>
      <c r="D50" s="506"/>
      <c r="E50" s="508"/>
      <c r="F50" s="506"/>
      <c r="G50" s="506"/>
      <c r="H50" s="508">
        <f t="shared" si="0"/>
        <v>0</v>
      </c>
      <c r="I50" s="508"/>
      <c r="J50" s="506"/>
      <c r="K50" s="506"/>
      <c r="L50" s="506"/>
      <c r="M50" s="506"/>
      <c r="N50" s="506"/>
      <c r="O50" s="506"/>
      <c r="P50" s="506"/>
      <c r="Q50" s="506"/>
      <c r="R50" s="506"/>
      <c r="S50" s="509"/>
      <c r="T50" s="508"/>
      <c r="U50" s="506"/>
      <c r="V50" s="506"/>
      <c r="W50" s="509"/>
      <c r="X50" s="508"/>
      <c r="Y50" s="506"/>
      <c r="Z50" s="506"/>
      <c r="AA50" s="42" cm="1">
        <f t="array" ref="AA50">COUNTIFS($AT$101:$AT$118,Y50)+_xlfn.IFNA(_xlfn.IFS(AND(Y50="Retained Earnings",$AD$32="Retained Earnings"),1),0)</f>
        <v>0</v>
      </c>
      <c r="AC50" s="304" t="s">
        <v>894</v>
      </c>
      <c r="AD50" s="449">
        <f>MAX(SUM(AD43:AD49)-SUM(AE43:AE49),0)</f>
        <v>0</v>
      </c>
      <c r="AE50" s="450">
        <f>MAX(SUM(AE43:AE49)-SUM(AD43:AD49),0)</f>
        <v>0</v>
      </c>
      <c r="AF50" s="304" t="s">
        <v>894</v>
      </c>
      <c r="AG50" s="304" t="s">
        <v>894</v>
      </c>
      <c r="AH50" s="449">
        <f>MAX(SUM(AH43:AH49)-SUM(AI43:AI49),0)</f>
        <v>0</v>
      </c>
      <c r="AI50" s="450">
        <f>MAX(SUM(AI43:AI49)-SUM(AH43:AH49),0)</f>
        <v>0</v>
      </c>
      <c r="AJ50" s="304" t="s">
        <v>894</v>
      </c>
      <c r="AK50" s="304" t="s">
        <v>894</v>
      </c>
      <c r="AL50" s="449">
        <f>MAX(SUM(AL43:AL49)-SUM(AM43:AM49),0)</f>
        <v>0</v>
      </c>
      <c r="AM50" s="450">
        <f>MAX(SUM(AM43:AM49)-SUM(AL43:AL49),0)</f>
        <v>0</v>
      </c>
      <c r="AN50" s="304" t="s">
        <v>894</v>
      </c>
      <c r="AO50" s="304" t="s">
        <v>894</v>
      </c>
      <c r="AP50" s="449">
        <f>MAX(SUM(AP43:AP49)-SUM(AQ43:AQ49),0)</f>
        <v>0</v>
      </c>
      <c r="AQ50" s="450">
        <f>MAX(SUM(AQ43:AQ49)-SUM(AP43:AP49),0)</f>
        <v>0</v>
      </c>
      <c r="AR50" s="304" t="s">
        <v>894</v>
      </c>
      <c r="AS50" s="304" t="s">
        <v>894</v>
      </c>
      <c r="AT50" s="449">
        <f>MAX(SUM(AT43:AT49)-SUM(AU43:AU49),0)</f>
        <v>0</v>
      </c>
      <c r="AU50" s="450">
        <f>MAX(SUM(AU43:AU49)-SUM(AT43:AT49),0)</f>
        <v>0</v>
      </c>
      <c r="AV50" s="304" t="s">
        <v>894</v>
      </c>
    </row>
    <row r="51" spans="3:48" ht="15" thickTop="1">
      <c r="C51" s="506"/>
      <c r="D51" s="506"/>
      <c r="E51" s="508"/>
      <c r="F51" s="506"/>
      <c r="G51" s="506"/>
      <c r="H51" s="508">
        <f t="shared" si="0"/>
        <v>0</v>
      </c>
      <c r="I51" s="508"/>
      <c r="J51" s="506"/>
      <c r="K51" s="506"/>
      <c r="L51" s="506"/>
      <c r="M51" s="506"/>
      <c r="N51" s="506"/>
      <c r="O51" s="506"/>
      <c r="P51" s="506"/>
      <c r="Q51" s="506"/>
      <c r="R51" s="506"/>
      <c r="S51" s="509"/>
      <c r="T51" s="508"/>
      <c r="U51" s="506"/>
      <c r="V51" s="506"/>
      <c r="W51" s="509"/>
      <c r="X51" s="508"/>
      <c r="Y51" s="506"/>
      <c r="Z51" s="506"/>
      <c r="AA51" s="42" cm="1">
        <f t="array" ref="AA51">COUNTIFS($AT$101:$AT$118,Y51)+_xlfn.IFNA(_xlfn.IFS(AND(Y51="Retained Earnings",$AD$32="Retained Earnings"),1),0)</f>
        <v>0</v>
      </c>
      <c r="AD51" s="5" t="s">
        <v>901</v>
      </c>
    </row>
    <row r="52" spans="3:48" ht="15" thickBot="1">
      <c r="C52" s="506"/>
      <c r="D52" s="506"/>
      <c r="E52" s="508"/>
      <c r="F52" s="506"/>
      <c r="G52" s="506"/>
      <c r="H52" s="508">
        <f t="shared" si="0"/>
        <v>0</v>
      </c>
      <c r="I52" s="508"/>
      <c r="J52" s="506"/>
      <c r="K52" s="506"/>
      <c r="L52" s="506"/>
      <c r="M52" s="506"/>
      <c r="N52" s="506"/>
      <c r="O52" s="506"/>
      <c r="P52" s="506"/>
      <c r="Q52" s="506"/>
      <c r="R52" s="506"/>
      <c r="S52" s="509"/>
      <c r="T52" s="508"/>
      <c r="U52" s="506"/>
      <c r="V52" s="506"/>
      <c r="W52" s="509"/>
      <c r="X52" s="508"/>
      <c r="Y52" s="506"/>
      <c r="Z52" s="506"/>
      <c r="AA52" s="42" cm="1">
        <f t="array" ref="AA52">COUNTIFS($AT$101:$AT$118,Y52)+_xlfn.IFNA(_xlfn.IFS(AND(Y52="Retained Earnings",$AD$32="Retained Earnings"),1),0)</f>
        <v>0</v>
      </c>
      <c r="AC52" s="301"/>
      <c r="AD52" s="473" t="str" cm="1">
        <f t="array" ref="AD52">_xlfn.IFS($AR$101&gt;0,_xlfn._xlws.FILTER($AT$101:$AT$118,($AS$101:$AS$118="Expense")*($AU$101:$AU$118=0),"None"),$AR$101=0,"None")</f>
        <v>None</v>
      </c>
      <c r="AE52" s="473"/>
      <c r="AF52" s="301"/>
      <c r="AG52" s="301"/>
      <c r="AH52" s="473" t="str" cm="1">
        <f t="array" ref="AH52">_xlfn.IFS($AR$101&gt;0,_xlfn._xlws.FILTER($AT$101:$AT$118,($AS$101:$AS$118="Revenue")*($AU$101:$AU$118=1),"None"),$AR$101=0,"None")</f>
        <v>None</v>
      </c>
      <c r="AI52" s="473"/>
      <c r="AJ52" s="301"/>
      <c r="AK52" s="301"/>
      <c r="AL52" s="473" t="str" cm="1">
        <f t="array" ref="AL52">_xlfn.IFS($AR$101&gt;0,_xlfn._xlws.FILTER($AT$101:$AT$118,($AS$101:$AS$118="Revenue")*($AU$101:$AU$118=2),"None"),$AR$101=0,"None")</f>
        <v>None</v>
      </c>
      <c r="AM52" s="473"/>
      <c r="AN52" s="301"/>
      <c r="AO52" s="301"/>
      <c r="AP52" s="473" t="str" cm="1">
        <f t="array" ref="AP52">_xlfn.IFS($AR$101&gt;0,_xlfn._xlws.FILTER($AT$101:$AT$118,($AS$101:$AS$118="Revenue")*($AU$101:$AU$118=3),"None"),$AR$101=0,"None")</f>
        <v>None</v>
      </c>
      <c r="AQ52" s="473"/>
      <c r="AR52" s="301"/>
      <c r="AS52" s="301"/>
      <c r="AT52" s="473" t="str" cm="1">
        <f t="array" ref="AT52">_xlfn.IFS($AR$101&gt;0,_xlfn._xlws.FILTER($AT$101:$AT$118,($AS$101:$AS$118="Revenue")*($AU$101:$AU$118=3),"None"),$AR$101=0,"None")</f>
        <v>None</v>
      </c>
      <c r="AU52" s="473"/>
      <c r="AV52" s="301"/>
    </row>
    <row r="53" spans="3:48" ht="15" thickTop="1">
      <c r="C53" s="506"/>
      <c r="D53" s="506"/>
      <c r="E53" s="508"/>
      <c r="F53" s="506"/>
      <c r="G53" s="506"/>
      <c r="H53" s="508">
        <f t="shared" si="0"/>
        <v>0</v>
      </c>
      <c r="I53" s="508"/>
      <c r="J53" s="506"/>
      <c r="K53" s="506"/>
      <c r="L53" s="506"/>
      <c r="M53" s="506"/>
      <c r="N53" s="506"/>
      <c r="O53" s="506"/>
      <c r="P53" s="506"/>
      <c r="Q53" s="506"/>
      <c r="R53" s="506"/>
      <c r="S53" s="509"/>
      <c r="T53" s="508"/>
      <c r="U53" s="506"/>
      <c r="V53" s="506"/>
      <c r="W53" s="509"/>
      <c r="X53" s="508"/>
      <c r="Y53" s="506"/>
      <c r="Z53" s="506"/>
      <c r="AA53" s="42" cm="1">
        <f t="array" ref="AA53">COUNTIFS($AT$101:$AT$118,Y53)+_xlfn.IFNA(_xlfn.IFS(AND(Y53="Retained Earnings",$AD$32="Retained Earnings"),1),0)</f>
        <v>0</v>
      </c>
      <c r="AC53" s="304" t="str" cm="1">
        <f t="array" ref="AC53">_xlfn.IFNA(_xlfn._xlws.FILTER(Journal[Transaction '#],Journal[Debit Account]=AD52,""),0)</f>
        <v/>
      </c>
      <c r="AD53" s="447" cm="1">
        <f t="array" ref="AD53">_xlfn._xlws.FILTER(Journal[Dr Amt],Journal[Debit Account]=AD52,0)</f>
        <v>0</v>
      </c>
      <c r="AE53" s="448" cm="1">
        <f t="array" ref="AE53">_xlfn._xlws.FILTER(Journal[Cr Amt],Journal[Credit Account]=AD52,0)</f>
        <v>0</v>
      </c>
      <c r="AF53" s="304" t="str" cm="1">
        <f t="array" ref="AF53">_xlfn._xlws.FILTER(Journal[Transaction '#],Journal[Credit Account]=AD52,"")</f>
        <v/>
      </c>
      <c r="AG53" s="304" t="str" cm="1">
        <f t="array" ref="AG53">_xlfn.IFNA(_xlfn._xlws.FILTER(Journal[Transaction '#],Journal[Debit Account]=AH52,""),0)</f>
        <v/>
      </c>
      <c r="AH53" s="447" cm="1">
        <f t="array" ref="AH53">_xlfn._xlws.FILTER(Journal[Dr Amt],Journal[Debit Account]=AH52,0)</f>
        <v>0</v>
      </c>
      <c r="AI53" s="448" cm="1">
        <f t="array" ref="AI53">_xlfn._xlws.FILTER(Journal[Cr Amt],Journal[Credit Account]=AH52,0)</f>
        <v>0</v>
      </c>
      <c r="AJ53" s="304" t="str" cm="1">
        <f t="array" ref="AJ53">_xlfn._xlws.FILTER(Journal[Transaction '#],Journal[Credit Account]=AH52,"")</f>
        <v/>
      </c>
      <c r="AK53" s="304" t="str" cm="1">
        <f t="array" ref="AK53">_xlfn.IFNA(_xlfn._xlws.FILTER(Journal[Transaction '#],Journal[Debit Account]=AL52,""),0)</f>
        <v/>
      </c>
      <c r="AL53" s="447" cm="1">
        <f t="array" ref="AL53">_xlfn._xlws.FILTER(Journal[Dr Amt],Journal[Debit Account]=AL52,0)</f>
        <v>0</v>
      </c>
      <c r="AM53" s="448" cm="1">
        <f t="array" ref="AM53">_xlfn._xlws.FILTER(Journal[Cr Amt],Journal[Credit Account]=AL52,0)</f>
        <v>0</v>
      </c>
      <c r="AN53" s="304" t="str" cm="1">
        <f t="array" ref="AN53">_xlfn._xlws.FILTER(Journal[Transaction '#],Journal[Credit Account]=AL52,"")</f>
        <v/>
      </c>
      <c r="AO53" s="304" t="str" cm="1">
        <f t="array" ref="AO53">_xlfn.IFNA(_xlfn._xlws.FILTER(Journal[Transaction '#],Journal[Debit Account]=AP52,""),0)</f>
        <v/>
      </c>
      <c r="AP53" s="447" cm="1">
        <f t="array" ref="AP53">_xlfn._xlws.FILTER(Journal[Dr Amt],Journal[Debit Account]=AP52,0)</f>
        <v>0</v>
      </c>
      <c r="AQ53" s="448" cm="1">
        <f t="array" ref="AQ53">_xlfn._xlws.FILTER(Journal[Cr Amt],Journal[Credit Account]=AP52,0)</f>
        <v>0</v>
      </c>
      <c r="AR53" s="304" t="str" cm="1">
        <f t="array" ref="AR53">_xlfn._xlws.FILTER(Journal[Transaction '#],Journal[Credit Account]=AP52,"")</f>
        <v/>
      </c>
      <c r="AS53" s="304" t="str" cm="1">
        <f t="array" ref="AS53">_xlfn.IFNA(_xlfn._xlws.FILTER(Journal[Transaction '#],Journal[Debit Account]=AT52,""),0)</f>
        <v/>
      </c>
      <c r="AT53" s="447" cm="1">
        <f t="array" ref="AT53">_xlfn._xlws.FILTER(Journal[Dr Amt],Journal[Debit Account]=AT52,0)</f>
        <v>0</v>
      </c>
      <c r="AU53" s="448" cm="1">
        <f t="array" ref="AU53">_xlfn._xlws.FILTER(Journal[Cr Amt],Journal[Credit Account]=AT52,0)</f>
        <v>0</v>
      </c>
      <c r="AV53" s="304" t="str" cm="1">
        <f t="array" ref="AV53">_xlfn._xlws.FILTER(Journal[Transaction '#],Journal[Credit Account]=AT52,"")</f>
        <v/>
      </c>
    </row>
    <row r="54" spans="3:48">
      <c r="C54" s="506"/>
      <c r="D54" s="506"/>
      <c r="E54" s="508"/>
      <c r="F54" s="506"/>
      <c r="G54" s="506"/>
      <c r="H54" s="508">
        <f t="shared" si="0"/>
        <v>0</v>
      </c>
      <c r="I54" s="508"/>
      <c r="J54" s="506"/>
      <c r="K54" s="506"/>
      <c r="L54" s="506"/>
      <c r="M54" s="506"/>
      <c r="N54" s="506"/>
      <c r="O54" s="506"/>
      <c r="P54" s="506"/>
      <c r="Q54" s="506"/>
      <c r="R54" s="506"/>
      <c r="S54" s="509"/>
      <c r="T54" s="508"/>
      <c r="U54" s="506"/>
      <c r="V54" s="506"/>
      <c r="W54" s="509"/>
      <c r="X54" s="508"/>
      <c r="Y54" s="506"/>
      <c r="Z54" s="506"/>
      <c r="AA54" s="42" cm="1">
        <f t="array" ref="AA54">COUNTIFS($AT$101:$AT$118,Y54)+_xlfn.IFNA(_xlfn.IFS(AND(Y54="Retained Earnings",$AD$32="Retained Earnings"),1),0)</f>
        <v>0</v>
      </c>
      <c r="AD54" s="307"/>
      <c r="AE54" s="37"/>
      <c r="AH54" s="307"/>
      <c r="AI54" s="37"/>
      <c r="AL54" s="307"/>
      <c r="AM54" s="37"/>
      <c r="AP54" s="307"/>
      <c r="AQ54" s="37"/>
      <c r="AT54" s="307"/>
      <c r="AU54" s="37"/>
    </row>
    <row r="55" spans="3:48">
      <c r="C55" s="506"/>
      <c r="D55" s="506"/>
      <c r="E55" s="508"/>
      <c r="F55" s="506"/>
      <c r="G55" s="506"/>
      <c r="H55" s="508">
        <f t="shared" si="0"/>
        <v>0</v>
      </c>
      <c r="I55" s="508"/>
      <c r="J55" s="506"/>
      <c r="K55" s="506"/>
      <c r="L55" s="506"/>
      <c r="M55" s="506"/>
      <c r="N55" s="506"/>
      <c r="O55" s="506"/>
      <c r="P55" s="506"/>
      <c r="Q55" s="506"/>
      <c r="R55" s="506"/>
      <c r="S55" s="509"/>
      <c r="T55" s="508"/>
      <c r="U55" s="506"/>
      <c r="V55" s="506"/>
      <c r="W55" s="509"/>
      <c r="X55" s="508"/>
      <c r="Y55" s="506"/>
      <c r="Z55" s="506"/>
      <c r="AA55" s="42" cm="1">
        <f t="array" ref="AA55">COUNTIFS($AT$101:$AT$118,Y55)+_xlfn.IFNA(_xlfn.IFS(AND(Y55="Retained Earnings",$AD$32="Retained Earnings"),1),0)</f>
        <v>0</v>
      </c>
      <c r="AC55" s="304"/>
      <c r="AD55" s="307"/>
      <c r="AE55" s="37"/>
      <c r="AF55" s="304"/>
      <c r="AG55" s="304"/>
      <c r="AH55" s="307"/>
      <c r="AI55" s="37"/>
      <c r="AJ55" s="304"/>
      <c r="AK55" s="304"/>
      <c r="AL55" s="307"/>
      <c r="AM55" s="37"/>
      <c r="AN55" s="304"/>
      <c r="AO55" s="304"/>
      <c r="AP55" s="307"/>
      <c r="AQ55" s="37"/>
      <c r="AR55" s="304"/>
      <c r="AS55" s="304"/>
      <c r="AT55" s="307"/>
      <c r="AU55" s="37"/>
      <c r="AV55" s="304"/>
    </row>
    <row r="56" spans="3:48">
      <c r="C56" s="506"/>
      <c r="D56" s="506"/>
      <c r="E56" s="508"/>
      <c r="F56" s="506"/>
      <c r="G56" s="506"/>
      <c r="H56" s="508">
        <f t="shared" si="0"/>
        <v>0</v>
      </c>
      <c r="I56" s="508"/>
      <c r="J56" s="506"/>
      <c r="K56" s="506"/>
      <c r="L56" s="506"/>
      <c r="M56" s="506"/>
      <c r="N56" s="506"/>
      <c r="O56" s="506"/>
      <c r="P56" s="506"/>
      <c r="Q56" s="506"/>
      <c r="R56" s="506"/>
      <c r="S56" s="509"/>
      <c r="T56" s="508"/>
      <c r="U56" s="506"/>
      <c r="V56" s="506"/>
      <c r="W56" s="509"/>
      <c r="X56" s="508"/>
      <c r="Y56" s="506"/>
      <c r="Z56" s="506"/>
      <c r="AA56" s="42" cm="1">
        <f t="array" ref="AA56">COUNTIFS($AT$101:$AT$118,Y56)+_xlfn.IFNA(_xlfn.IFS(AND(Y56="Retained Earnings",$AD$32="Retained Earnings"),1),0)</f>
        <v>0</v>
      </c>
      <c r="AC56" s="304"/>
      <c r="AD56" s="307"/>
      <c r="AE56" s="37"/>
      <c r="AF56" s="304"/>
      <c r="AG56" s="304"/>
      <c r="AH56" s="307"/>
      <c r="AI56" s="37"/>
      <c r="AJ56" s="304"/>
      <c r="AK56" s="304"/>
      <c r="AL56" s="307"/>
      <c r="AM56" s="37"/>
      <c r="AN56" s="304"/>
      <c r="AO56" s="304"/>
      <c r="AP56" s="307"/>
      <c r="AQ56" s="37"/>
      <c r="AR56" s="304"/>
      <c r="AS56" s="304"/>
      <c r="AT56" s="307"/>
      <c r="AU56" s="37"/>
      <c r="AV56" s="304"/>
    </row>
    <row r="57" spans="3:48">
      <c r="C57" s="506"/>
      <c r="D57" s="506"/>
      <c r="E57" s="508"/>
      <c r="F57" s="506"/>
      <c r="G57" s="506"/>
      <c r="H57" s="508">
        <f t="shared" si="0"/>
        <v>0</v>
      </c>
      <c r="I57" s="508"/>
      <c r="J57" s="506"/>
      <c r="K57" s="506"/>
      <c r="L57" s="506"/>
      <c r="M57" s="506"/>
      <c r="N57" s="506"/>
      <c r="O57" s="506"/>
      <c r="P57" s="506"/>
      <c r="Q57" s="506"/>
      <c r="R57" s="506"/>
      <c r="S57" s="509"/>
      <c r="T57" s="508"/>
      <c r="U57" s="506"/>
      <c r="V57" s="506"/>
      <c r="W57" s="509"/>
      <c r="X57" s="508"/>
      <c r="Y57" s="506"/>
      <c r="Z57" s="506"/>
      <c r="AA57" s="42" cm="1">
        <f t="array" ref="AA57">COUNTIFS($AT$101:$AT$118,Y57)+_xlfn.IFNA(_xlfn.IFS(AND(Y57="Retained Earnings",$AD$32="Retained Earnings"),1),0)</f>
        <v>0</v>
      </c>
      <c r="AC57" s="304"/>
      <c r="AD57" s="307"/>
      <c r="AE57" s="37"/>
      <c r="AF57" s="304"/>
      <c r="AG57" s="304"/>
      <c r="AH57" s="307"/>
      <c r="AI57" s="37"/>
      <c r="AJ57" s="304"/>
      <c r="AK57" s="304"/>
      <c r="AL57" s="307"/>
      <c r="AM57" s="37"/>
      <c r="AN57" s="304"/>
      <c r="AO57" s="304"/>
      <c r="AP57" s="307"/>
      <c r="AQ57" s="37"/>
      <c r="AR57" s="304"/>
      <c r="AS57" s="304"/>
      <c r="AT57" s="307"/>
      <c r="AU57" s="37"/>
      <c r="AV57" s="304"/>
    </row>
    <row r="58" spans="3:48">
      <c r="C58" s="506"/>
      <c r="D58" s="506"/>
      <c r="E58" s="508"/>
      <c r="F58" s="506"/>
      <c r="G58" s="506"/>
      <c r="H58" s="508">
        <f t="shared" si="0"/>
        <v>0</v>
      </c>
      <c r="I58" s="508"/>
      <c r="J58" s="506"/>
      <c r="K58" s="506"/>
      <c r="L58" s="506"/>
      <c r="M58" s="506"/>
      <c r="N58" s="506"/>
      <c r="O58" s="506"/>
      <c r="P58" s="506"/>
      <c r="Q58" s="506"/>
      <c r="R58" s="506"/>
      <c r="S58" s="509"/>
      <c r="T58" s="508"/>
      <c r="U58" s="506"/>
      <c r="V58" s="506"/>
      <c r="W58" s="509"/>
      <c r="X58" s="508"/>
      <c r="Y58" s="506"/>
      <c r="Z58" s="506"/>
      <c r="AA58" s="42" cm="1">
        <f t="array" ref="AA58">COUNTIFS($AT$101:$AT$118,Y58)+_xlfn.IFNA(_xlfn.IFS(AND(Y58="Retained Earnings",$AD$32="Retained Earnings"),1),0)</f>
        <v>0</v>
      </c>
      <c r="AC58" s="304"/>
      <c r="AD58" s="307"/>
      <c r="AE58" s="37"/>
      <c r="AF58" s="304"/>
      <c r="AG58" s="304"/>
      <c r="AH58" s="307"/>
      <c r="AI58" s="37"/>
      <c r="AJ58" s="304"/>
      <c r="AK58" s="304"/>
      <c r="AL58" s="307"/>
      <c r="AM58" s="37"/>
      <c r="AN58" s="304"/>
      <c r="AO58" s="304"/>
      <c r="AP58" s="307"/>
      <c r="AQ58" s="37"/>
      <c r="AR58" s="304"/>
      <c r="AS58" s="304"/>
      <c r="AT58" s="307"/>
      <c r="AU58" s="37"/>
      <c r="AV58" s="304"/>
    </row>
    <row r="59" spans="3:48" ht="15" thickBot="1">
      <c r="C59" s="506"/>
      <c r="D59" s="506"/>
      <c r="E59" s="508"/>
      <c r="F59" s="506"/>
      <c r="G59" s="506"/>
      <c r="H59" s="508">
        <f t="shared" si="0"/>
        <v>0</v>
      </c>
      <c r="I59" s="508"/>
      <c r="J59" s="506"/>
      <c r="K59" s="506"/>
      <c r="L59" s="506"/>
      <c r="M59" s="506"/>
      <c r="N59" s="506"/>
      <c r="O59" s="506"/>
      <c r="P59" s="506"/>
      <c r="Q59" s="506"/>
      <c r="R59" s="506"/>
      <c r="S59" s="509"/>
      <c r="T59" s="508"/>
      <c r="U59" s="506"/>
      <c r="V59" s="506"/>
      <c r="W59" s="509"/>
      <c r="X59" s="508"/>
      <c r="Y59" s="506"/>
      <c r="Z59" s="506"/>
      <c r="AA59" s="42" cm="1">
        <f t="array" ref="AA59">COUNTIFS($AT$101:$AT$118,Y59)+_xlfn.IFNA(_xlfn.IFS(AND(Y59="Retained Earnings",$AD$32="Retained Earnings"),1),0)</f>
        <v>0</v>
      </c>
      <c r="AC59" s="310"/>
      <c r="AD59" s="311"/>
      <c r="AE59" s="312"/>
      <c r="AF59" s="310"/>
      <c r="AG59" s="310"/>
      <c r="AH59" s="311"/>
      <c r="AI59" s="312"/>
      <c r="AJ59" s="310"/>
      <c r="AK59" s="310"/>
      <c r="AL59" s="311"/>
      <c r="AM59" s="312"/>
      <c r="AN59" s="310"/>
      <c r="AO59" s="310"/>
      <c r="AP59" s="311"/>
      <c r="AQ59" s="312"/>
      <c r="AR59" s="310"/>
      <c r="AS59" s="310"/>
      <c r="AT59" s="311"/>
      <c r="AU59" s="312"/>
      <c r="AV59" s="310"/>
    </row>
    <row r="60" spans="3:48" ht="15.6" thickTop="1" thickBot="1">
      <c r="C60" s="506"/>
      <c r="D60" s="506"/>
      <c r="E60" s="508"/>
      <c r="F60" s="506"/>
      <c r="G60" s="506"/>
      <c r="H60" s="508">
        <f t="shared" si="0"/>
        <v>0</v>
      </c>
      <c r="I60" s="508"/>
      <c r="J60" s="506"/>
      <c r="K60" s="506"/>
      <c r="L60" s="506"/>
      <c r="M60" s="506"/>
      <c r="N60" s="506"/>
      <c r="O60" s="506"/>
      <c r="P60" s="506"/>
      <c r="Q60" s="506"/>
      <c r="R60" s="506"/>
      <c r="S60" s="509"/>
      <c r="T60" s="508"/>
      <c r="U60" s="506"/>
      <c r="V60" s="506"/>
      <c r="W60" s="509"/>
      <c r="X60" s="508"/>
      <c r="Y60" s="506"/>
      <c r="Z60" s="506"/>
      <c r="AA60" s="42" cm="1">
        <f t="array" ref="AA60">COUNTIFS($AT$101:$AT$118,Y60)+_xlfn.IFNA(_xlfn.IFS(AND(Y60="Retained Earnings",$AD$32="Retained Earnings"),1),0)</f>
        <v>0</v>
      </c>
      <c r="AC60" s="304" t="s">
        <v>894</v>
      </c>
      <c r="AD60" s="449">
        <f>MAX(SUM(AD53:AD59)-SUM(AE53:AE59),0)</f>
        <v>0</v>
      </c>
      <c r="AE60" s="450">
        <f>MAX(SUM(AE53:AE59)-SUM(AD53:AD59),0)</f>
        <v>0</v>
      </c>
      <c r="AF60" s="304" t="s">
        <v>894</v>
      </c>
      <c r="AG60" s="304" t="s">
        <v>894</v>
      </c>
      <c r="AH60" s="449">
        <f>MAX(SUM(AH53:AH59)-SUM(AI53:AI59),0)</f>
        <v>0</v>
      </c>
      <c r="AI60" s="450">
        <f>MAX(SUM(AI53:AI59)-SUM(AH53:AH59),0)</f>
        <v>0</v>
      </c>
      <c r="AJ60" s="304" t="s">
        <v>894</v>
      </c>
      <c r="AK60" s="304" t="s">
        <v>894</v>
      </c>
      <c r="AL60" s="449">
        <f>MAX(SUM(AL53:AL59)-SUM(AM53:AM59),0)</f>
        <v>0</v>
      </c>
      <c r="AM60" s="450">
        <f>MAX(SUM(AM53:AM59)-SUM(AL53:AL59),0)</f>
        <v>0</v>
      </c>
      <c r="AN60" s="304" t="s">
        <v>894</v>
      </c>
      <c r="AO60" s="304" t="s">
        <v>894</v>
      </c>
      <c r="AP60" s="449">
        <f>MAX(SUM(AP53:AP59)-SUM(AQ53:AQ59),0)</f>
        <v>0</v>
      </c>
      <c r="AQ60" s="450">
        <f>MAX(SUM(AQ53:AQ59)-SUM(AP53:AP59),0)</f>
        <v>0</v>
      </c>
      <c r="AR60" s="304" t="s">
        <v>894</v>
      </c>
      <c r="AS60" s="304" t="s">
        <v>894</v>
      </c>
      <c r="AT60" s="449">
        <f>MAX(SUM(AT53:AT59)-SUM(AU53:AU59),0)</f>
        <v>0</v>
      </c>
      <c r="AU60" s="450">
        <f>MAX(SUM(AU53:AU59)-SUM(AT53:AT59),0)</f>
        <v>0</v>
      </c>
      <c r="AV60" s="304" t="s">
        <v>894</v>
      </c>
    </row>
    <row r="61" spans="3:48" ht="15" thickTop="1">
      <c r="C61" s="506"/>
      <c r="D61" s="506"/>
      <c r="E61" s="508"/>
      <c r="F61" s="506"/>
      <c r="G61" s="506"/>
      <c r="H61" s="508"/>
      <c r="I61" s="508"/>
      <c r="J61" s="506"/>
      <c r="K61" s="506"/>
      <c r="L61" s="506"/>
      <c r="M61" s="506"/>
      <c r="N61" s="506"/>
      <c r="O61" s="506"/>
      <c r="P61" s="506"/>
      <c r="Q61" s="506"/>
      <c r="R61" s="506"/>
      <c r="S61" s="509"/>
      <c r="T61" s="508"/>
      <c r="U61" s="506"/>
      <c r="V61" s="506"/>
      <c r="W61" s="509"/>
      <c r="X61" s="508"/>
      <c r="Y61" s="506"/>
      <c r="Z61" s="506"/>
      <c r="AA61" s="42" cm="1">
        <f t="array" ref="AA61">COUNTIFS($AT$101:$AT$118,Y61)+_xlfn.IFNA(_xlfn.IFS(AND(Y61="Retained Earnings",$AD$32="Retained Earnings"),1),0)</f>
        <v>0</v>
      </c>
    </row>
    <row r="62" spans="3:48">
      <c r="C62" s="506"/>
      <c r="D62" s="506"/>
      <c r="E62" s="508"/>
      <c r="F62" s="506"/>
      <c r="G62" s="506"/>
      <c r="H62" s="508"/>
      <c r="I62" s="508"/>
      <c r="J62" s="506"/>
      <c r="K62" s="506"/>
      <c r="L62" s="506"/>
      <c r="M62" s="506"/>
      <c r="N62" s="506"/>
      <c r="O62" s="506"/>
      <c r="P62" s="506"/>
      <c r="Q62" s="506"/>
      <c r="R62" s="506"/>
      <c r="S62" s="509"/>
      <c r="T62" s="508"/>
      <c r="U62" s="506"/>
      <c r="V62" s="506"/>
      <c r="W62" s="509"/>
      <c r="X62" s="508"/>
      <c r="Y62" s="506"/>
      <c r="Z62" s="506"/>
      <c r="AA62" s="42" cm="1">
        <f t="array" ref="AA62">COUNTIFS($AT$101:$AT$118,Y62)+_xlfn.IFNA(_xlfn.IFS(AND(Y62="Retained Earnings",$AD$32="Retained Earnings"),1),0)</f>
        <v>0</v>
      </c>
    </row>
    <row r="63" spans="3:48">
      <c r="C63" s="506"/>
      <c r="D63" s="506"/>
      <c r="E63" s="508"/>
      <c r="F63" s="506"/>
      <c r="G63" s="506"/>
      <c r="H63" s="508"/>
      <c r="I63" s="508"/>
      <c r="J63" s="506"/>
      <c r="K63" s="506"/>
      <c r="L63" s="506"/>
      <c r="M63" s="506"/>
      <c r="N63" s="506"/>
      <c r="O63" s="506"/>
      <c r="P63" s="506"/>
      <c r="Q63" s="506"/>
      <c r="R63" s="506"/>
      <c r="S63" s="509"/>
      <c r="T63" s="508"/>
      <c r="U63" s="506"/>
      <c r="V63" s="506"/>
      <c r="W63" s="509"/>
      <c r="X63" s="508"/>
      <c r="Y63" s="506"/>
      <c r="Z63" s="506"/>
      <c r="AA63" s="42" cm="1">
        <f t="array" ref="AA63">COUNTIFS($AT$101:$AT$118,Y63)+_xlfn.IFNA(_xlfn.IFS(AND(Y63="Retained Earnings",$AD$32="Retained Earnings"),1),0)</f>
        <v>0</v>
      </c>
    </row>
    <row r="64" spans="3:48">
      <c r="C64" s="506"/>
      <c r="D64" s="506"/>
      <c r="E64" s="508"/>
      <c r="F64" s="506"/>
      <c r="G64" s="506"/>
      <c r="H64" s="508"/>
      <c r="I64" s="508"/>
      <c r="J64" s="506"/>
      <c r="K64" s="506"/>
      <c r="L64" s="506"/>
      <c r="M64" s="506"/>
      <c r="N64" s="506"/>
      <c r="O64" s="506"/>
      <c r="P64" s="506"/>
      <c r="Q64" s="506"/>
      <c r="R64" s="506"/>
      <c r="S64" s="509"/>
      <c r="T64" s="508"/>
      <c r="U64" s="506"/>
      <c r="V64" s="506"/>
      <c r="W64" s="509"/>
      <c r="X64" s="508"/>
      <c r="Y64" s="506"/>
      <c r="Z64" s="506"/>
      <c r="AA64" s="42" cm="1">
        <f t="array" ref="AA64">COUNTIFS($AT$101:$AT$118,Y64)+_xlfn.IFNA(_xlfn.IFS(AND(Y64="Retained Earnings",$AD$32="Retained Earnings"),1),0)</f>
        <v>0</v>
      </c>
    </row>
    <row r="65" spans="3:26">
      <c r="C65" s="506"/>
      <c r="D65" s="506"/>
      <c r="E65" s="508"/>
      <c r="F65" s="506"/>
      <c r="G65" s="506"/>
      <c r="H65" s="508"/>
      <c r="I65" s="508"/>
      <c r="J65" s="506"/>
      <c r="K65" s="506"/>
      <c r="L65" s="506"/>
      <c r="M65" s="506"/>
      <c r="N65" s="506"/>
      <c r="O65" s="506"/>
      <c r="P65" s="506"/>
      <c r="Q65" s="506"/>
      <c r="R65" s="506"/>
      <c r="S65" s="509"/>
      <c r="T65" s="508"/>
      <c r="U65" s="506"/>
      <c r="V65" s="506"/>
      <c r="W65" s="509"/>
      <c r="X65" s="508"/>
      <c r="Y65" s="506"/>
      <c r="Z65" s="506"/>
    </row>
    <row r="66" spans="3:26">
      <c r="C66" s="506"/>
      <c r="D66" s="506"/>
      <c r="E66" s="508"/>
      <c r="F66" s="506"/>
      <c r="G66" s="506"/>
      <c r="H66" s="508"/>
      <c r="I66" s="508"/>
      <c r="J66" s="506"/>
      <c r="K66" s="506"/>
      <c r="L66" s="506"/>
      <c r="M66" s="506"/>
      <c r="N66" s="506"/>
      <c r="O66" s="506"/>
      <c r="P66" s="506"/>
      <c r="Q66" s="506"/>
      <c r="R66" s="506"/>
      <c r="S66" s="509"/>
      <c r="T66" s="508"/>
      <c r="U66" s="506"/>
      <c r="V66" s="506"/>
      <c r="W66" s="509"/>
      <c r="X66" s="508"/>
      <c r="Y66" s="506"/>
      <c r="Z66" s="506"/>
    </row>
    <row r="67" spans="3:26">
      <c r="C67" s="506"/>
      <c r="D67" s="506"/>
      <c r="E67" s="508"/>
      <c r="F67" s="506"/>
      <c r="G67" s="506"/>
      <c r="H67" s="508"/>
      <c r="I67" s="508"/>
      <c r="J67" s="506"/>
      <c r="K67" s="506"/>
      <c r="L67" s="506"/>
      <c r="M67" s="506"/>
      <c r="N67" s="506"/>
      <c r="O67" s="506"/>
      <c r="P67" s="506"/>
      <c r="Q67" s="506"/>
      <c r="R67" s="506"/>
      <c r="S67" s="509"/>
      <c r="T67" s="508"/>
      <c r="U67" s="506"/>
      <c r="V67" s="506"/>
      <c r="W67" s="509"/>
      <c r="X67" s="508"/>
      <c r="Y67" s="506"/>
      <c r="Z67" s="506"/>
    </row>
    <row r="68" spans="3:26">
      <c r="C68" s="506"/>
      <c r="D68" s="506"/>
      <c r="E68" s="508"/>
      <c r="F68" s="506"/>
      <c r="G68" s="506"/>
      <c r="H68" s="508"/>
      <c r="I68" s="508"/>
      <c r="J68" s="506"/>
      <c r="K68" s="506"/>
      <c r="L68" s="506"/>
      <c r="M68" s="506"/>
      <c r="N68" s="506"/>
      <c r="O68" s="506"/>
      <c r="P68" s="506"/>
      <c r="Q68" s="506"/>
      <c r="R68" s="506"/>
      <c r="S68" s="509"/>
      <c r="T68" s="508"/>
      <c r="U68" s="506"/>
      <c r="V68" s="506"/>
      <c r="W68" s="509"/>
      <c r="X68" s="508"/>
      <c r="Y68" s="506"/>
      <c r="Z68" s="506"/>
    </row>
    <row r="69" spans="3:26">
      <c r="C69" s="506"/>
      <c r="D69" s="506"/>
      <c r="E69" s="508"/>
      <c r="F69" s="506"/>
      <c r="G69" s="506"/>
      <c r="H69" s="508"/>
      <c r="I69" s="508"/>
      <c r="J69" s="506"/>
      <c r="K69" s="506"/>
      <c r="L69" s="506"/>
      <c r="M69" s="506"/>
      <c r="N69" s="506"/>
      <c r="O69" s="506"/>
      <c r="P69" s="506"/>
      <c r="Q69" s="506"/>
      <c r="R69" s="506"/>
      <c r="S69" s="509"/>
      <c r="T69" s="508"/>
      <c r="U69" s="506"/>
      <c r="V69" s="506"/>
      <c r="W69" s="509"/>
      <c r="X69" s="508"/>
      <c r="Y69" s="506"/>
      <c r="Z69" s="506"/>
    </row>
    <row r="70" spans="3:26">
      <c r="C70" s="506"/>
      <c r="D70" s="506"/>
      <c r="E70" s="508"/>
      <c r="F70" s="506"/>
      <c r="G70" s="506"/>
      <c r="H70" s="508"/>
      <c r="I70" s="508"/>
      <c r="J70" s="506"/>
      <c r="K70" s="506"/>
      <c r="L70" s="506"/>
      <c r="M70" s="506"/>
      <c r="N70" s="506"/>
      <c r="O70" s="506"/>
      <c r="P70" s="506"/>
      <c r="Q70" s="506"/>
      <c r="R70" s="506"/>
      <c r="S70" s="509"/>
      <c r="T70" s="508"/>
      <c r="U70" s="506"/>
      <c r="V70" s="506"/>
      <c r="W70" s="509"/>
      <c r="X70" s="508"/>
      <c r="Y70" s="506"/>
      <c r="Z70" s="506"/>
    </row>
    <row r="71" spans="3:26">
      <c r="C71" s="506"/>
      <c r="D71" s="506"/>
      <c r="E71" s="508"/>
      <c r="F71" s="506"/>
      <c r="G71" s="506"/>
      <c r="H71" s="508"/>
      <c r="I71" s="508"/>
      <c r="J71" s="506"/>
      <c r="K71" s="506"/>
      <c r="L71" s="506"/>
      <c r="M71" s="506"/>
      <c r="N71" s="506"/>
      <c r="O71" s="506"/>
      <c r="P71" s="506"/>
      <c r="Q71" s="506"/>
      <c r="R71" s="506"/>
      <c r="S71" s="509"/>
      <c r="T71" s="508"/>
      <c r="U71" s="506"/>
      <c r="V71" s="506"/>
      <c r="W71" s="509"/>
      <c r="X71" s="508"/>
      <c r="Y71" s="506"/>
      <c r="Z71" s="506"/>
    </row>
    <row r="72" spans="3:26">
      <c r="C72" s="506"/>
      <c r="D72" s="506"/>
      <c r="E72" s="508"/>
      <c r="F72" s="506"/>
      <c r="G72" s="506"/>
      <c r="H72" s="508"/>
      <c r="I72" s="508"/>
      <c r="J72" s="506"/>
      <c r="K72" s="506"/>
      <c r="L72" s="506"/>
      <c r="M72" s="506"/>
      <c r="N72" s="506"/>
      <c r="O72" s="506"/>
      <c r="P72" s="506"/>
      <c r="Q72" s="506"/>
      <c r="R72" s="506"/>
      <c r="S72" s="509"/>
      <c r="T72" s="508"/>
      <c r="U72" s="506"/>
      <c r="V72" s="506"/>
      <c r="W72" s="509"/>
      <c r="X72" s="508"/>
      <c r="Y72" s="506"/>
      <c r="Z72" s="506"/>
    </row>
    <row r="73" spans="3:26">
      <c r="C73" s="506"/>
      <c r="D73" s="506"/>
      <c r="E73" s="508"/>
      <c r="F73" s="506"/>
      <c r="G73" s="506"/>
      <c r="H73" s="508"/>
      <c r="I73" s="508"/>
      <c r="J73" s="506"/>
      <c r="K73" s="506"/>
      <c r="L73" s="506"/>
      <c r="M73" s="506"/>
      <c r="N73" s="506"/>
      <c r="O73" s="506"/>
      <c r="P73" s="506"/>
      <c r="Q73" s="506"/>
      <c r="R73" s="506"/>
      <c r="S73" s="509"/>
      <c r="T73" s="508"/>
      <c r="U73" s="506"/>
      <c r="V73" s="506"/>
      <c r="W73" s="509"/>
      <c r="X73" s="508"/>
      <c r="Y73" s="506"/>
      <c r="Z73" s="506"/>
    </row>
    <row r="74" spans="3:26">
      <c r="C74" s="506"/>
      <c r="D74" s="506"/>
      <c r="E74" s="508"/>
      <c r="F74" s="506"/>
      <c r="G74" s="506"/>
      <c r="H74" s="508"/>
      <c r="I74" s="508"/>
      <c r="J74" s="506"/>
      <c r="K74" s="506"/>
      <c r="L74" s="506"/>
      <c r="M74" s="506"/>
      <c r="N74" s="506"/>
      <c r="O74" s="506"/>
      <c r="P74" s="506"/>
      <c r="Q74" s="506"/>
      <c r="R74" s="506"/>
      <c r="S74" s="509"/>
      <c r="T74" s="508"/>
      <c r="U74" s="506"/>
      <c r="V74" s="506"/>
      <c r="W74" s="509"/>
      <c r="X74" s="508"/>
      <c r="Y74" s="506"/>
      <c r="Z74" s="506"/>
    </row>
    <row r="75" spans="3:26">
      <c r="C75" s="506"/>
      <c r="D75" s="506"/>
      <c r="E75" s="508"/>
      <c r="F75" s="506"/>
      <c r="G75" s="506"/>
      <c r="H75" s="508"/>
      <c r="I75" s="508"/>
      <c r="J75" s="506"/>
      <c r="K75" s="506"/>
      <c r="L75" s="506"/>
      <c r="M75" s="506"/>
      <c r="N75" s="506"/>
      <c r="O75" s="506"/>
      <c r="P75" s="506"/>
      <c r="Q75" s="506"/>
      <c r="R75" s="506"/>
      <c r="S75" s="509"/>
      <c r="T75" s="508"/>
      <c r="U75" s="506"/>
      <c r="V75" s="506"/>
      <c r="W75" s="509"/>
      <c r="X75" s="508"/>
      <c r="Y75" s="506"/>
      <c r="Z75" s="506"/>
    </row>
    <row r="76" spans="3:26">
      <c r="C76" s="506"/>
      <c r="D76" s="506"/>
      <c r="E76" s="508"/>
      <c r="F76" s="506"/>
      <c r="G76" s="506"/>
      <c r="H76" s="508"/>
      <c r="I76" s="508"/>
      <c r="J76" s="506"/>
      <c r="K76" s="506"/>
      <c r="L76" s="506"/>
      <c r="M76" s="506"/>
      <c r="N76" s="506"/>
      <c r="O76" s="506"/>
      <c r="P76" s="506"/>
      <c r="Q76" s="506"/>
      <c r="R76" s="506"/>
      <c r="S76" s="509"/>
      <c r="T76" s="508"/>
      <c r="U76" s="506"/>
      <c r="V76" s="506"/>
      <c r="W76" s="509"/>
      <c r="X76" s="508"/>
      <c r="Y76" s="506"/>
      <c r="Z76" s="506"/>
    </row>
    <row r="77" spans="3:26">
      <c r="C77" s="506"/>
      <c r="D77" s="506"/>
      <c r="E77" s="508"/>
      <c r="F77" s="506"/>
      <c r="G77" s="506"/>
      <c r="H77" s="508"/>
      <c r="I77" s="508"/>
      <c r="J77" s="506"/>
      <c r="K77" s="506"/>
      <c r="L77" s="506"/>
      <c r="M77" s="506"/>
      <c r="N77" s="506"/>
      <c r="O77" s="506"/>
      <c r="P77" s="506"/>
      <c r="Q77" s="506"/>
      <c r="R77" s="506"/>
      <c r="S77" s="509"/>
      <c r="T77" s="508"/>
      <c r="U77" s="506"/>
      <c r="V77" s="506"/>
      <c r="W77" s="509"/>
      <c r="X77" s="508"/>
      <c r="Y77" s="506"/>
      <c r="Z77" s="506"/>
    </row>
    <row r="78" spans="3:26">
      <c r="C78" s="506"/>
      <c r="D78" s="506"/>
      <c r="E78" s="508"/>
      <c r="F78" s="506"/>
      <c r="G78" s="506"/>
      <c r="H78" s="508"/>
      <c r="I78" s="508"/>
      <c r="J78" s="506"/>
      <c r="K78" s="506"/>
      <c r="L78" s="506"/>
      <c r="M78" s="506"/>
      <c r="N78" s="506"/>
      <c r="O78" s="506"/>
      <c r="P78" s="506"/>
      <c r="Q78" s="506"/>
      <c r="R78" s="506"/>
      <c r="S78" s="509"/>
      <c r="T78" s="508"/>
      <c r="U78" s="506"/>
      <c r="V78" s="506"/>
      <c r="W78" s="509"/>
      <c r="X78" s="508"/>
      <c r="Y78" s="506"/>
      <c r="Z78" s="506"/>
    </row>
    <row r="79" spans="3:26">
      <c r="C79" s="506"/>
      <c r="D79" s="506"/>
      <c r="E79" s="508"/>
      <c r="F79" s="506"/>
      <c r="G79" s="506"/>
      <c r="H79" s="508"/>
      <c r="I79" s="508"/>
      <c r="J79" s="506"/>
      <c r="K79" s="506"/>
      <c r="L79" s="506"/>
      <c r="M79" s="506"/>
      <c r="N79" s="506"/>
      <c r="O79" s="506"/>
      <c r="P79" s="506"/>
      <c r="Q79" s="506"/>
      <c r="R79" s="506"/>
      <c r="S79" s="509"/>
      <c r="T79" s="508"/>
      <c r="U79" s="506"/>
      <c r="V79" s="506"/>
      <c r="W79" s="509"/>
      <c r="X79" s="508"/>
      <c r="Y79" s="506"/>
      <c r="Z79" s="506"/>
    </row>
    <row r="80" spans="3:26">
      <c r="C80" s="506"/>
      <c r="D80" s="506"/>
      <c r="E80" s="508"/>
      <c r="F80" s="506"/>
      <c r="G80" s="506"/>
      <c r="H80" s="508"/>
      <c r="I80" s="508"/>
      <c r="J80" s="506"/>
      <c r="K80" s="506"/>
      <c r="L80" s="506"/>
      <c r="M80" s="506"/>
      <c r="N80" s="506"/>
      <c r="O80" s="506"/>
      <c r="P80" s="506"/>
      <c r="Q80" s="506"/>
      <c r="R80" s="506"/>
      <c r="S80" s="509"/>
      <c r="T80" s="508"/>
      <c r="U80" s="506"/>
      <c r="V80" s="506"/>
      <c r="W80" s="509"/>
      <c r="X80" s="508"/>
      <c r="Y80" s="506"/>
      <c r="Z80" s="506"/>
    </row>
    <row r="100" spans="3:47">
      <c r="C100" s="405" t="str">
        <f>C7&amp;D7</f>
        <v>Assets</v>
      </c>
      <c r="F100" s="405" t="str">
        <f>F7&amp;G7</f>
        <v/>
      </c>
      <c r="G100" t="b">
        <f>_xlfn.IFNA(MATCH(F100,FSData!$F$100:$F$153,0)&lt;(COUNTA($E$7:$E$67)+1),"NotFound")</f>
        <v>0</v>
      </c>
      <c r="J100" s="405" t="str">
        <f>_xlfn.CONCAT(J7:R7)</f>
        <v/>
      </c>
      <c r="K100" t="str">
        <f>_xlfn.IFNA(MATCH(J100,FSData!$J$100:$J$153,0)&lt;(COUNTA($J$7:$J$67)+1),"NotFound")</f>
        <v>NotFound</v>
      </c>
      <c r="U100" s="405" t="str">
        <f>U7&amp;V7</f>
        <v>Operating</v>
      </c>
      <c r="V100" t="b">
        <f>_xlfn.IFNA(MATCH(U100,FSData!$U$100:$U$153,0)&lt;(COUNTA($U$7:$U$67)+1),"NotFound")</f>
        <v>1</v>
      </c>
      <c r="Y100" s="405" t="str">
        <f>Y7&amp;Z7</f>
        <v>Assets</v>
      </c>
      <c r="Z100" t="str">
        <f>_xlfn.IFNA(MATCH(Y100,FSData!$V$100:$V$153,0)&lt;(COUNTA($X$7:$X$67)+1),"NotFound")</f>
        <v>NotFound</v>
      </c>
      <c r="AL100" s="207" t="str">
        <f>_xlfn.TEXTJOIN("6",TRUE,Journal!$E$12:$E$170)</f>
        <v/>
      </c>
      <c r="AM100" s="206" t="str">
        <f>_xlfn.TEXTJOIN("6",TRUE,Journal!$F$12:$F$170)</f>
        <v/>
      </c>
      <c r="AS100" s="43" t="s">
        <v>631</v>
      </c>
      <c r="AT100" s="43" t="s">
        <v>779</v>
      </c>
      <c r="AU100" s="43" t="s">
        <v>904</v>
      </c>
    </row>
    <row r="101" spans="3:47">
      <c r="C101" s="194" t="str">
        <f t="shared" ref="C101:C154" si="1">C8&amp;D8</f>
        <v>Current Assets</v>
      </c>
      <c r="F101" s="194" t="str">
        <f>F8&amp;G8</f>
        <v/>
      </c>
      <c r="G101" t="b">
        <f>_xlfn.IFNA(MATCH(F101,FSData!$F$100:$F$153,0)&lt;(COUNTA($E$7:$E$67)+1),"NotFound")</f>
        <v>0</v>
      </c>
      <c r="J101" s="194" t="str">
        <f>_xlfn.CONCAT(J8:R8)</f>
        <v/>
      </c>
      <c r="K101" t="str">
        <f>_xlfn.IFNA(MATCH(J101,FSData!$J$100:$J$153,0)&lt;(COUNTA($J$7:$J$67)+1),"NotFound")</f>
        <v>NotFound</v>
      </c>
      <c r="U101" s="194" t="str">
        <f>U8&amp;V8</f>
        <v/>
      </c>
      <c r="V101" t="b">
        <f>_xlfn.IFNA(MATCH(U101,FSData!$U$100:$U$153,0)&lt;(COUNTA($U$7:$U$67)+1),"NotFound")</f>
        <v>0</v>
      </c>
      <c r="Y101" s="194" t="e">
        <f>Y8&amp;Z8</f>
        <v>#N/A</v>
      </c>
      <c r="Z101" t="str">
        <f>_xlfn.IFNA(MATCH(Y101,FSData!$V$100:$V$153,0)&lt;(COUNTA($X$7:$X$67)+1),"NotFound")</f>
        <v>NotFound</v>
      </c>
      <c r="AL101" s="107" t="str">
        <f>SUBSTITUTE(AL100,FSData!AL100,"")</f>
        <v/>
      </c>
      <c r="AM101" s="108" t="str">
        <f>SUBSTITUTE(AM100,FSData!AM100,"")</f>
        <v/>
      </c>
      <c r="AQ101" s="5" t="s">
        <v>906</v>
      </c>
      <c r="AR101" cm="1">
        <f t="array" ref="AR101">SUM(COUNTIFS($AS$101:$AS$118,$AQ$102:$AQ$106))</f>
        <v>0</v>
      </c>
      <c r="AS101" t="str" cm="1">
        <f t="array" ref="AS101">IF(AT101="","",_xlfn.IFNA(_xlfn.IFS(ISNUMBER(MATCH(AT101,AssetUsed,0)),"Asset",ISNUMBER(MATCH(AT101,LiabilityUsed,0)),"Liability",ISNUMBER(MATCH(AT101,EquityUsed,0)),"Equity",ISNUMBER(MATCH(AT101,RevenueUsed,0)),"Revenue",ISNUMBER(MATCH(AT101,ExpenseUsed,0)),"Expense",ISNUMBER(MATCH(AT101,GainUsed,0)),"Gain",ISNUMBER(MATCH(AT101,LossUsed,0)),"Loss"),""))</f>
        <v/>
      </c>
      <c r="AT101" t="str" cm="1">
        <f t="array" ref="AT101:AT102">_xlfn.VSTACK(_xlfn.ANCHORARRAY(AL102),_xlfn.ANCHORARRAY(AM102))</f>
        <v/>
      </c>
      <c r="AU101">
        <v>0</v>
      </c>
    </row>
    <row r="102" spans="3:47" ht="15" thickBot="1">
      <c r="C102" s="194" t="str">
        <f t="shared" si="1"/>
        <v>Cash0</v>
      </c>
      <c r="F102" s="194" t="str">
        <f>F9&amp;G9</f>
        <v/>
      </c>
      <c r="G102" t="b">
        <f>_xlfn.IFNA(MATCH(F102,FSData!$F$100:$F$153,0)&lt;(COUNTA($E$7:$E$67)+1),"NotFound")</f>
        <v>0</v>
      </c>
      <c r="J102" s="194" t="str">
        <f>_xlfn.CONCAT(J9:R9)</f>
        <v/>
      </c>
      <c r="K102" t="str">
        <f>_xlfn.IFNA(MATCH(J102,FSData!$J$100:$J$153,0)&lt;(COUNTA($J$7:$J$67)+1),"NotFound")</f>
        <v>NotFound</v>
      </c>
      <c r="U102" s="194" t="str">
        <f>U9&amp;V9</f>
        <v/>
      </c>
      <c r="V102" t="b">
        <f>_xlfn.IFNA(MATCH(U102,FSData!$U$100:$U$153,0)&lt;(COUNTA($U$7:$U$67)+1),"NotFound")</f>
        <v>0</v>
      </c>
      <c r="Y102" s="194" t="e">
        <f>Y9&amp;Z9</f>
        <v>#N/A</v>
      </c>
      <c r="Z102" t="str">
        <f>_xlfn.IFNA(MATCH(Y102,FSData!$V$100:$V$153,0)&lt;(COUNTA($X$7:$X$67)+1),"NotFound")</f>
        <v>NotFound</v>
      </c>
      <c r="AL102" s="109" t="str" cm="1">
        <f t="array" ref="AL102">IFERROR(TRANSPOSE(_xlfn.TEXTSPLIT($AL$101,"6",,TRUE)),"")</f>
        <v/>
      </c>
      <c r="AM102" s="110" t="str" cm="1">
        <f t="array" ref="AM102">IFERROR(TRANSPOSE(_xlfn.TEXTSPLIT($AM$101,"6",,TRUE)),"")</f>
        <v/>
      </c>
      <c r="AQ102" t="s">
        <v>80</v>
      </c>
      <c r="AS102" t="str" cm="1">
        <f t="array" ref="AS102">IF(AT102="","",_xlfn.IFNA(_xlfn.IFS(ISNUMBER(MATCH(AT102,AssetUsed,0)),"Asset",ISNUMBER(MATCH(AT102,LiabilityUsed,0)),"Liability",ISNUMBER(MATCH(AT102,EquityUsed,0)),"Equity",ISNUMBER(MATCH(AT102,RevenueUsed,0)),"Revenue",ISNUMBER(MATCH(AT102,ExpenseUsed,0)),"Expense",ISNUMBER(MATCH(AT102,GainUsed,0)),"Gain",ISNUMBER(MATCH(AT102,LossUsed,0)),"Loss"),""))</f>
        <v/>
      </c>
      <c r="AT102" t="str">
        <v/>
      </c>
      <c r="AU102">
        <f>COUNTIF(AS101,AS102)</f>
        <v>1</v>
      </c>
    </row>
    <row r="103" spans="3:47">
      <c r="C103" s="194" t="str">
        <f t="shared" si="1"/>
        <v>Accounts Receivable0</v>
      </c>
      <c r="F103" s="194" t="str">
        <f t="shared" ref="F103:F156" si="2">F10&amp;G10</f>
        <v/>
      </c>
      <c r="G103" t="b">
        <f>_xlfn.IFNA(MATCH(F103,FSData!$F$100:$F$153,0)&lt;(COUNTA($E$7:$E$67)+1),"NotFound")</f>
        <v>0</v>
      </c>
      <c r="J103" s="194" t="str">
        <f>_xlfn.CONCAT(J10:R10)</f>
        <v/>
      </c>
      <c r="K103" t="str">
        <f>_xlfn.IFNA(MATCH(J103,FSData!$J$100:$J$153,0)&lt;(COUNTA($J$7:$J$67)+1),"NotFound")</f>
        <v>NotFound</v>
      </c>
      <c r="U103" s="194" t="str">
        <f>U10&amp;V10</f>
        <v>Investing</v>
      </c>
      <c r="V103" t="b">
        <f>_xlfn.IFNA(MATCH(U103,FSData!$U$100:$U$153,0)&lt;(COUNTA($U$7:$U$67)+1),"NotFound")</f>
        <v>1</v>
      </c>
      <c r="Y103" s="194" t="str">
        <f>Y10&amp;Z10</f>
        <v>Liabilities</v>
      </c>
      <c r="Z103" t="str">
        <f>_xlfn.IFNA(MATCH(Y103,FSData!$V$100:$V$153,0)&lt;(COUNTA($X$7:$X$67)+1),"NotFound")</f>
        <v>NotFound</v>
      </c>
      <c r="AQ103" t="s">
        <v>81</v>
      </c>
      <c r="AS103" t="str" cm="1">
        <f t="array" ref="AS103">IF(AT103="","",_xlfn.IFNA(_xlfn.IFS(ISNUMBER(MATCH(AT103,AssetUsed,0)),"Asset",ISNUMBER(MATCH(AT103,LiabilityUsed,0)),"Liability",ISNUMBER(MATCH(AT103,EquityUsed,0)),"Equity",ISNUMBER(MATCH(AT103,RevenueUsed,0)),"Revenue",ISNUMBER(MATCH(AT103,ExpenseUsed,0)),"Expense",ISNUMBER(MATCH(AT103,GainUsed,0)),"Gain",ISNUMBER(MATCH(AT103,LossUsed,0)),"Loss"),""))</f>
        <v/>
      </c>
      <c r="AU103" t="str">
        <f>IF(AS103&lt;&gt;"",COUNTIF($AS$101:AS102,AS103),"")</f>
        <v/>
      </c>
    </row>
    <row r="104" spans="3:47">
      <c r="C104" s="194" t="str">
        <f t="shared" si="1"/>
        <v>Inventories0</v>
      </c>
      <c r="F104" s="194" t="str">
        <f t="shared" si="2"/>
        <v/>
      </c>
      <c r="G104" t="b">
        <f>_xlfn.IFNA(MATCH(F104,FSData!$F$100:$F$153,0)&lt;(COUNTA($E$7:$E$67)+1),"NotFound")</f>
        <v>0</v>
      </c>
      <c r="J104" s="194" t="str">
        <f>_xlfn.CONCAT(J11:R11)</f>
        <v/>
      </c>
      <c r="K104" t="str">
        <f>_xlfn.IFNA(MATCH(J104,FSData!$J$100:$J$153,0)&lt;(COUNTA($J$7:$J$67)+1),"NotFound")</f>
        <v>NotFound</v>
      </c>
      <c r="U104" s="194" t="str">
        <f>U11&amp;V11</f>
        <v/>
      </c>
      <c r="V104" t="b">
        <f>_xlfn.IFNA(MATCH(U104,FSData!$U$100:$U$153,0)&lt;(COUNTA($U$7:$U$67)+1),"NotFound")</f>
        <v>0</v>
      </c>
      <c r="Y104" s="194" t="e">
        <f>Y11&amp;Z11</f>
        <v>#N/A</v>
      </c>
      <c r="Z104" t="str">
        <f>_xlfn.IFNA(MATCH(Y104,FSData!$V$100:$V$153,0)&lt;(COUNTA($X$7:$X$67)+1),"NotFound")</f>
        <v>NotFound</v>
      </c>
      <c r="AQ104" t="s">
        <v>82</v>
      </c>
      <c r="AS104" t="str" cm="1">
        <f t="array" ref="AS104">IF(AT104="","",_xlfn.IFNA(_xlfn.IFS(ISNUMBER(MATCH(AT104,AssetUsed,0)),"Asset",ISNUMBER(MATCH(AT104,LiabilityUsed,0)),"Liability",ISNUMBER(MATCH(AT104,EquityUsed,0)),"Equity",ISNUMBER(MATCH(AT104,RevenueUsed,0)),"Revenue",ISNUMBER(MATCH(AT104,ExpenseUsed,0)),"Expense",ISNUMBER(MATCH(AT104,GainUsed,0)),"Gain",ISNUMBER(MATCH(AT104,LossUsed,0)),"Loss"),""))</f>
        <v/>
      </c>
      <c r="AU104" t="str">
        <f>IF(AS104&lt;&gt;"",COUNTIF($AS$101:AS103,AS104),"")</f>
        <v/>
      </c>
    </row>
    <row r="105" spans="3:47">
      <c r="C105" s="194" t="str">
        <f t="shared" si="1"/>
        <v>Noncurrent Assets</v>
      </c>
      <c r="F105" s="194" t="str">
        <f t="shared" si="2"/>
        <v/>
      </c>
      <c r="G105" t="b">
        <f>_xlfn.IFNA(MATCH(F105,FSData!$F$100:$F$153,0)&lt;(COUNTA($E$7:$E$67)+1),"NotFound")</f>
        <v>0</v>
      </c>
      <c r="J105" s="194" t="str">
        <f t="shared" ref="J105:J154" si="3">_xlfn.CONCAT(J12:R12)</f>
        <v/>
      </c>
      <c r="K105" t="str">
        <f>_xlfn.IFNA(MATCH(J105,FSData!$J$100:$J$153,0)&lt;(COUNTA($J$7:$J$67)+1),"NotFound")</f>
        <v>NotFound</v>
      </c>
      <c r="U105" s="194" t="str">
        <f t="shared" ref="U105:U154" si="4">U12&amp;V12</f>
        <v/>
      </c>
      <c r="V105" t="b">
        <f>_xlfn.IFNA(MATCH(U105,FSData!$U$100:$U$153,0)&lt;(COUNTA($U$7:$U$67)+1),"NotFound")</f>
        <v>0</v>
      </c>
      <c r="Y105" s="194" t="e">
        <f t="shared" ref="Y105:Y151" si="5">Y12&amp;Z12</f>
        <v>#N/A</v>
      </c>
      <c r="Z105" t="str">
        <f>_xlfn.IFNA(MATCH(Y105,FSData!$V$100:$V$153,0)&lt;(COUNTA($X$7:$X$67)+1),"NotFound")</f>
        <v>NotFound</v>
      </c>
      <c r="AQ105" t="s">
        <v>83</v>
      </c>
      <c r="AS105" t="str" cm="1">
        <f t="array" ref="AS105">IF(AT105="","",_xlfn.IFNA(_xlfn.IFS(ISNUMBER(MATCH(AT105,AssetUsed,0)),"Asset",ISNUMBER(MATCH(AT105,LiabilityUsed,0)),"Liability",ISNUMBER(MATCH(AT105,EquityUsed,0)),"Equity",ISNUMBER(MATCH(AT105,RevenueUsed,0)),"Revenue",ISNUMBER(MATCH(AT105,ExpenseUsed,0)),"Expense",ISNUMBER(MATCH(AT105,GainUsed,0)),"Gain",ISNUMBER(MATCH(AT105,LossUsed,0)),"Loss"),""))</f>
        <v/>
      </c>
      <c r="AU105" t="str">
        <f>IF(AS105&lt;&gt;"",COUNTIF($AS$101:AS104,AS105),"")</f>
        <v/>
      </c>
    </row>
    <row r="106" spans="3:47">
      <c r="C106" s="194" t="str">
        <f t="shared" si="1"/>
        <v>Property, Plant &amp; Equipment0</v>
      </c>
      <c r="F106" s="194" t="str">
        <f t="shared" si="2"/>
        <v/>
      </c>
      <c r="G106" t="b">
        <f>_xlfn.IFNA(MATCH(F106,FSData!$F$100:$F$153,0)&lt;(COUNTA($E$7:$E$67)+1),"NotFound")</f>
        <v>0</v>
      </c>
      <c r="J106" s="194" t="str">
        <f t="shared" si="3"/>
        <v/>
      </c>
      <c r="K106" t="str">
        <f>_xlfn.IFNA(MATCH(J106,FSData!$J$100:$J$153,0)&lt;(COUNTA($J$7:$J$67)+1),"NotFound")</f>
        <v>NotFound</v>
      </c>
      <c r="U106" s="194" t="str">
        <f t="shared" si="4"/>
        <v>Financing</v>
      </c>
      <c r="V106" t="b">
        <f>_xlfn.IFNA(MATCH(U106,FSData!$U$100:$U$153,0)&lt;(COUNTA($U$7:$U$67)+1),"NotFound")</f>
        <v>1</v>
      </c>
      <c r="Y106" s="194" t="str">
        <f t="shared" si="5"/>
        <v>Equities</v>
      </c>
      <c r="Z106" t="str">
        <f>_xlfn.IFNA(MATCH(Y106,FSData!$V$100:$V$153,0)&lt;(COUNTA($X$7:$X$67)+1),"NotFound")</f>
        <v>NotFound</v>
      </c>
      <c r="AS106" t="str" cm="1">
        <f t="array" ref="AS106">IF(AT106="","",_xlfn.IFNA(_xlfn.IFS(ISNUMBER(MATCH(AT106,AssetUsed,0)),"Asset",ISNUMBER(MATCH(AT106,LiabilityUsed,0)),"Liability",ISNUMBER(MATCH(AT106,EquityUsed,0)),"Equity",ISNUMBER(MATCH(AT106,RevenueUsed,0)),"Revenue",ISNUMBER(MATCH(AT106,ExpenseUsed,0)),"Expense",ISNUMBER(MATCH(AT106,GainUsed,0)),"Gain",ISNUMBER(MATCH(AT106,LossUsed,0)),"Loss"),""))</f>
        <v/>
      </c>
      <c r="AU106" t="str">
        <f>IF(AS106&lt;&gt;"",COUNTIF($AS$101:AS105,AS106),"")</f>
        <v/>
      </c>
    </row>
    <row r="107" spans="3:47">
      <c r="C107" s="194" t="str">
        <f t="shared" si="1"/>
        <v>Land0</v>
      </c>
      <c r="F107" s="194" t="str">
        <f t="shared" si="2"/>
        <v/>
      </c>
      <c r="G107" t="b">
        <f>_xlfn.IFNA(MATCH(F107,FSData!$F$100:$F$153,0)&lt;(COUNTA($E$7:$E$67)+1),"NotFound")</f>
        <v>0</v>
      </c>
      <c r="J107" s="194" t="str">
        <f t="shared" si="3"/>
        <v/>
      </c>
      <c r="K107" t="str">
        <f>_xlfn.IFNA(MATCH(J107,FSData!$J$100:$J$153,0)&lt;(COUNTA($J$7:$J$67)+1),"NotFound")</f>
        <v>NotFound</v>
      </c>
      <c r="U107" s="194" t="str">
        <f t="shared" si="4"/>
        <v/>
      </c>
      <c r="V107" t="b">
        <f>_xlfn.IFNA(MATCH(U107,FSData!$U$100:$U$153,0)&lt;(COUNTA($U$7:$U$67)+1),"NotFound")</f>
        <v>0</v>
      </c>
      <c r="Y107" s="194" t="e">
        <f t="shared" si="5"/>
        <v>#N/A</v>
      </c>
      <c r="Z107" t="str">
        <f>_xlfn.IFNA(MATCH(Y107,FSData!$V$100:$V$153,0)&lt;(COUNTA($X$7:$X$67)+1),"NotFound")</f>
        <v>NotFound</v>
      </c>
      <c r="AS107" t="str" cm="1">
        <f t="array" ref="AS107">IF(AT107="","",_xlfn.IFNA(_xlfn.IFS(ISNUMBER(MATCH(AT107,AssetUsed,0)),"Asset",ISNUMBER(MATCH(AT107,LiabilityUsed,0)),"Liability",ISNUMBER(MATCH(AT107,EquityUsed,0)),"Equity",ISNUMBER(MATCH(AT107,RevenueUsed,0)),"Revenue",ISNUMBER(MATCH(AT107,ExpenseUsed,0)),"Expense",ISNUMBER(MATCH(AT107,GainUsed,0)),"Gain",ISNUMBER(MATCH(AT107,LossUsed,0)),"Loss"),""))</f>
        <v/>
      </c>
      <c r="AU107" t="str">
        <f>IF(AS107&lt;&gt;"",COUNTIF($AS$101:AS106,AS107),"")</f>
        <v/>
      </c>
    </row>
    <row r="108" spans="3:47">
      <c r="C108" s="194" t="str">
        <f t="shared" si="1"/>
        <v>Liabilities</v>
      </c>
      <c r="F108" s="194" t="str">
        <f t="shared" si="2"/>
        <v/>
      </c>
      <c r="G108" t="b">
        <f>_xlfn.IFNA(MATCH(F108,FSData!$F$100:$F$153,0)&lt;(COUNTA($E$7:$E$67)+1),"NotFound")</f>
        <v>0</v>
      </c>
      <c r="J108" s="194" t="str">
        <f t="shared" si="3"/>
        <v/>
      </c>
      <c r="K108" t="str">
        <f>_xlfn.IFNA(MATCH(J108,FSData!$J$100:$J$153,0)&lt;(COUNTA($J$7:$J$67)+1),"NotFound")</f>
        <v>NotFound</v>
      </c>
      <c r="U108" s="194" t="str">
        <f t="shared" si="4"/>
        <v/>
      </c>
      <c r="V108" t="b">
        <f>_xlfn.IFNA(MATCH(U108,FSData!$U$100:$U$153,0)&lt;(COUNTA($U$7:$U$67)+1),"NotFound")</f>
        <v>0</v>
      </c>
      <c r="Y108" s="194" t="str">
        <f t="shared" si="5"/>
        <v/>
      </c>
      <c r="Z108" t="b">
        <f>_xlfn.IFNA(MATCH(Y108,FSData!$V$100:$V$153,0)&lt;(COUNTA($X$7:$X$67)+1),"NotFound")</f>
        <v>0</v>
      </c>
      <c r="AS108" t="str" cm="1">
        <f t="array" ref="AS108">IF(AT108="","",_xlfn.IFNA(_xlfn.IFS(ISNUMBER(MATCH(AT108,AssetUsed,0)),"Asset",ISNUMBER(MATCH(AT108,LiabilityUsed,0)),"Liability",ISNUMBER(MATCH(AT108,EquityUsed,0)),"Equity",ISNUMBER(MATCH(AT108,RevenueUsed,0)),"Revenue",ISNUMBER(MATCH(AT108,ExpenseUsed,0)),"Expense",ISNUMBER(MATCH(AT108,GainUsed,0)),"Gain",ISNUMBER(MATCH(AT108,LossUsed,0)),"Loss"),""))</f>
        <v/>
      </c>
      <c r="AU108" t="str">
        <f>IF(AS108&lt;&gt;"",COUNTIF($AS$101:AS107,AS108),"")</f>
        <v/>
      </c>
    </row>
    <row r="109" spans="3:47">
      <c r="C109" s="194" t="str">
        <f t="shared" si="1"/>
        <v>Current Liabilities</v>
      </c>
      <c r="F109" s="194" t="str">
        <f t="shared" si="2"/>
        <v/>
      </c>
      <c r="G109" t="b">
        <f>_xlfn.IFNA(MATCH(F109,FSData!$F$100:$F$153,0)&lt;(COUNTA($E$7:$E$67)+1),"NotFound")</f>
        <v>0</v>
      </c>
      <c r="J109" s="194" t="str">
        <f t="shared" si="3"/>
        <v/>
      </c>
      <c r="K109" t="str">
        <f>_xlfn.IFNA(MATCH(J109,FSData!$J$100:$J$153,0)&lt;(COUNTA($J$7:$J$67)+1),"NotFound")</f>
        <v>NotFound</v>
      </c>
      <c r="U109" s="194" t="str">
        <f t="shared" si="4"/>
        <v/>
      </c>
      <c r="V109" t="b">
        <f>_xlfn.IFNA(MATCH(U109,FSData!$U$100:$U$153,0)&lt;(COUNTA($U$7:$U$67)+1),"NotFound")</f>
        <v>0</v>
      </c>
      <c r="Y109" s="194" t="str">
        <f t="shared" si="5"/>
        <v/>
      </c>
      <c r="Z109" t="b">
        <f>_xlfn.IFNA(MATCH(Y109,FSData!$V$100:$V$153,0)&lt;(COUNTA($X$7:$X$67)+1),"NotFound")</f>
        <v>0</v>
      </c>
      <c r="AS109" t="str" cm="1">
        <f t="array" ref="AS109">IF(AT109="","",_xlfn.IFNA(_xlfn.IFS(ISNUMBER(MATCH(AT109,AssetUsed,0)),"Asset",ISNUMBER(MATCH(AT109,LiabilityUsed,0)),"Liability",ISNUMBER(MATCH(AT109,EquityUsed,0)),"Equity",ISNUMBER(MATCH(AT109,RevenueUsed,0)),"Revenue",ISNUMBER(MATCH(AT109,ExpenseUsed,0)),"Expense",ISNUMBER(MATCH(AT109,GainUsed,0)),"Gain",ISNUMBER(MATCH(AT109,LossUsed,0)),"Loss"),""))</f>
        <v/>
      </c>
      <c r="AU109" t="str">
        <f>IF(AS109&lt;&gt;"",COUNTIF($AS$101:AS108,AS109),"")</f>
        <v/>
      </c>
    </row>
    <row r="110" spans="3:47">
      <c r="C110" s="194" t="str">
        <f t="shared" si="1"/>
        <v>Accounts Payable0</v>
      </c>
      <c r="F110" s="194" t="str">
        <f t="shared" si="2"/>
        <v/>
      </c>
      <c r="G110" t="b">
        <f>_xlfn.IFNA(MATCH(F110,FSData!$F$100:$F$153,0)&lt;(COUNTA($E$7:$E$67)+1),"NotFound")</f>
        <v>0</v>
      </c>
      <c r="J110" s="194" t="str">
        <f t="shared" si="3"/>
        <v/>
      </c>
      <c r="K110" t="str">
        <f>_xlfn.IFNA(MATCH(J110,FSData!$J$100:$J$153,0)&lt;(COUNTA($J$7:$J$67)+1),"NotFound")</f>
        <v>NotFound</v>
      </c>
      <c r="U110" s="194" t="str">
        <f t="shared" si="4"/>
        <v/>
      </c>
      <c r="V110" t="b">
        <f>_xlfn.IFNA(MATCH(U110,FSData!$U$100:$U$153,0)&lt;(COUNTA($U$7:$U$67)+1),"NotFound")</f>
        <v>0</v>
      </c>
      <c r="Y110" s="194" t="str">
        <f t="shared" si="5"/>
        <v/>
      </c>
      <c r="Z110" t="b">
        <f>_xlfn.IFNA(MATCH(Y110,FSData!$V$100:$V$153,0)&lt;(COUNTA($X$7:$X$67)+1),"NotFound")</f>
        <v>0</v>
      </c>
      <c r="AS110" t="str" cm="1">
        <f t="array" ref="AS110">IF(AT110="","",_xlfn.IFNA(_xlfn.IFS(ISNUMBER(MATCH(AT110,AssetUsed,0)),"Asset",ISNUMBER(MATCH(AT110,LiabilityUsed,0)),"Liability",ISNUMBER(MATCH(AT110,EquityUsed,0)),"Equity",ISNUMBER(MATCH(AT110,RevenueUsed,0)),"Revenue",ISNUMBER(MATCH(AT110,ExpenseUsed,0)),"Expense",ISNUMBER(MATCH(AT110,GainUsed,0)),"Gain",ISNUMBER(MATCH(AT110,LossUsed,0)),"Loss"),""))</f>
        <v/>
      </c>
      <c r="AU110" t="str">
        <f>IF(AS110&lt;&gt;"",COUNTIF($AS$101:AS109,AS110),"")</f>
        <v/>
      </c>
    </row>
    <row r="111" spans="3:47">
      <c r="C111" s="194" t="str">
        <f t="shared" si="1"/>
        <v>Dividends Payable0</v>
      </c>
      <c r="F111" s="194" t="str">
        <f t="shared" si="2"/>
        <v/>
      </c>
      <c r="G111" t="b">
        <f>_xlfn.IFNA(MATCH(F111,FSData!$F$100:$F$153,0)&lt;(COUNTA($E$7:$E$67)+1),"NotFound")</f>
        <v>0</v>
      </c>
      <c r="J111" s="194" t="str">
        <f t="shared" si="3"/>
        <v/>
      </c>
      <c r="K111" t="str">
        <f>_xlfn.IFNA(MATCH(J111,FSData!$J$100:$J$153,0)&lt;(COUNTA($J$7:$J$67)+1),"NotFound")</f>
        <v>NotFound</v>
      </c>
      <c r="U111" s="194" t="str">
        <f t="shared" si="4"/>
        <v/>
      </c>
      <c r="V111" t="b">
        <f>_xlfn.IFNA(MATCH(U111,FSData!$U$100:$U$153,0)&lt;(COUNTA($U$7:$U$67)+1),"NotFound")</f>
        <v>0</v>
      </c>
      <c r="Y111" s="194" t="str">
        <f t="shared" si="5"/>
        <v/>
      </c>
      <c r="Z111" t="b">
        <f>_xlfn.IFNA(MATCH(Y111,FSData!$V$100:$V$153,0)&lt;(COUNTA($X$7:$X$67)+1),"NotFound")</f>
        <v>0</v>
      </c>
      <c r="AS111" t="str" cm="1">
        <f t="array" ref="AS111">IF(AT111="","",_xlfn.IFNA(_xlfn.IFS(ISNUMBER(MATCH(AT111,AssetUsed,0)),"Asset",ISNUMBER(MATCH(AT111,LiabilityUsed,0)),"Liability",ISNUMBER(MATCH(AT111,EquityUsed,0)),"Equity",ISNUMBER(MATCH(AT111,RevenueUsed,0)),"Revenue",ISNUMBER(MATCH(AT111,ExpenseUsed,0)),"Expense",ISNUMBER(MATCH(AT111,GainUsed,0)),"Gain",ISNUMBER(MATCH(AT111,LossUsed,0)),"Loss"),""))</f>
        <v/>
      </c>
      <c r="AU111" t="str">
        <f>IF(AS111&lt;&gt;"",COUNTIF($AS$101:AS110,AS111),"")</f>
        <v/>
      </c>
    </row>
    <row r="112" spans="3:47">
      <c r="C112" s="194" t="str">
        <f t="shared" si="1"/>
        <v>Unearned Revenue0</v>
      </c>
      <c r="F112" s="194" t="str">
        <f t="shared" si="2"/>
        <v/>
      </c>
      <c r="G112" t="b">
        <f>_xlfn.IFNA(MATCH(F112,FSData!$F$100:$F$153,0)&lt;(COUNTA($E$7:$E$67)+1),"NotFound")</f>
        <v>0</v>
      </c>
      <c r="J112" s="194" t="str">
        <f t="shared" si="3"/>
        <v/>
      </c>
      <c r="K112" t="str">
        <f>_xlfn.IFNA(MATCH(J112,FSData!$J$100:$J$153,0)&lt;(COUNTA($J$7:$J$67)+1),"NotFound")</f>
        <v>NotFound</v>
      </c>
      <c r="U112" s="194" t="str">
        <f t="shared" si="4"/>
        <v>Reconciliation of NI and CFO</v>
      </c>
      <c r="V112" t="b">
        <f>_xlfn.IFNA(MATCH(U112,FSData!$U$100:$U$153,0)&lt;(COUNTA($U$7:$U$67)+1),"NotFound")</f>
        <v>1</v>
      </c>
      <c r="Y112" s="194" t="str">
        <f t="shared" si="5"/>
        <v/>
      </c>
      <c r="Z112" t="b">
        <f>_xlfn.IFNA(MATCH(Y112,FSData!$V$100:$V$153,0)&lt;(COUNTA($X$7:$X$67)+1),"NotFound")</f>
        <v>0</v>
      </c>
      <c r="AS112" t="str" cm="1">
        <f t="array" ref="AS112">IF(AT112="","",_xlfn.IFNA(_xlfn.IFS(ISNUMBER(MATCH(AT112,AssetUsed,0)),"Asset",ISNUMBER(MATCH(AT112,LiabilityUsed,0)),"Liability",ISNUMBER(MATCH(AT112,EquityUsed,0)),"Equity",ISNUMBER(MATCH(AT112,RevenueUsed,0)),"Revenue",ISNUMBER(MATCH(AT112,ExpenseUsed,0)),"Expense",ISNUMBER(MATCH(AT112,GainUsed,0)),"Gain",ISNUMBER(MATCH(AT112,LossUsed,0)),"Loss"),""))</f>
        <v/>
      </c>
      <c r="AU112" t="str">
        <f>IF(AS112&lt;&gt;"",COUNTIF($AS$101:AS111,AS112),"")</f>
        <v/>
      </c>
    </row>
    <row r="113" spans="3:47">
      <c r="C113" s="194" t="str">
        <f t="shared" si="1"/>
        <v>Noncurrent Liabilities</v>
      </c>
      <c r="F113" s="194" t="str">
        <f t="shared" si="2"/>
        <v/>
      </c>
      <c r="G113" t="b">
        <f>_xlfn.IFNA(MATCH(F113,FSData!$F$100:$F$153,0)&lt;(COUNTA($E$7:$E$67)+1),"NotFound")</f>
        <v>0</v>
      </c>
      <c r="J113" s="194" t="str">
        <f t="shared" si="3"/>
        <v/>
      </c>
      <c r="K113" t="str">
        <f>_xlfn.IFNA(MATCH(J113,FSData!$J$100:$J$153,0)&lt;(COUNTA($J$7:$J$67)+1),"NotFound")</f>
        <v>NotFound</v>
      </c>
      <c r="U113" s="194" t="e">
        <f t="shared" si="4"/>
        <v>#N/A</v>
      </c>
      <c r="V113" t="str">
        <f>_xlfn.IFNA(MATCH(U113,FSData!$U$100:$U$153,0)&lt;(COUNTA($U$7:$U$67)+1),"NotFound")</f>
        <v>NotFound</v>
      </c>
      <c r="Y113" s="194" t="str">
        <f t="shared" si="5"/>
        <v/>
      </c>
      <c r="Z113" t="b">
        <f>_xlfn.IFNA(MATCH(Y113,FSData!$V$100:$V$153,0)&lt;(COUNTA($X$7:$X$67)+1),"NotFound")</f>
        <v>0</v>
      </c>
      <c r="AS113" t="str" cm="1">
        <f t="array" ref="AS113">IF(AT113="","",_xlfn.IFNA(_xlfn.IFS(ISNUMBER(MATCH(AT113,AssetUsed,0)),"Asset",ISNUMBER(MATCH(AT113,LiabilityUsed,0)),"Liability",ISNUMBER(MATCH(AT113,EquityUsed,0)),"Equity",ISNUMBER(MATCH(AT113,RevenueUsed,0)),"Revenue",ISNUMBER(MATCH(AT113,ExpenseUsed,0)),"Expense",ISNUMBER(MATCH(AT113,GainUsed,0)),"Gain",ISNUMBER(MATCH(AT113,LossUsed,0)),"Loss"),""))</f>
        <v/>
      </c>
      <c r="AU113" t="str">
        <f>IF(AS113&lt;&gt;"",COUNTIF($AS$101:AS112,AS113),"")</f>
        <v/>
      </c>
    </row>
    <row r="114" spans="3:47">
      <c r="C114" s="194" t="str">
        <f t="shared" si="1"/>
        <v>Loans Payable0</v>
      </c>
      <c r="F114" s="194" t="str">
        <f t="shared" si="2"/>
        <v/>
      </c>
      <c r="G114" t="b">
        <f>_xlfn.IFNA(MATCH(F114,FSData!$F$100:$F$153,0)&lt;(COUNTA($E$7:$E$67)+1),"NotFound")</f>
        <v>0</v>
      </c>
      <c r="J114" s="194" t="str">
        <f t="shared" si="3"/>
        <v/>
      </c>
      <c r="K114" t="str">
        <f>_xlfn.IFNA(MATCH(J114,FSData!$J$100:$J$153,0)&lt;(COUNTA($J$7:$J$67)+1),"NotFound")</f>
        <v>NotFound</v>
      </c>
      <c r="U114" s="194" t="e">
        <f t="shared" si="4"/>
        <v>#REF!</v>
      </c>
      <c r="V114" t="e">
        <f>_xlfn.IFNA(MATCH(U114,FSData!$U$100:$U$153,0)&lt;(COUNTA($U$7:$U$67)+1),"NotFound")</f>
        <v>#REF!</v>
      </c>
      <c r="Y114" s="194" t="str">
        <f t="shared" si="5"/>
        <v/>
      </c>
      <c r="Z114" t="b">
        <f>_xlfn.IFNA(MATCH(Y114,FSData!$V$100:$V$153,0)&lt;(COUNTA($X$7:$X$67)+1),"NotFound")</f>
        <v>0</v>
      </c>
      <c r="AS114" t="str" cm="1">
        <f t="array" ref="AS114">IF(AT114="","",_xlfn.IFNA(_xlfn.IFS(ISNUMBER(MATCH(AT114,AssetUsed,0)),"Asset",ISNUMBER(MATCH(AT114,LiabilityUsed,0)),"Liability",ISNUMBER(MATCH(AT114,EquityUsed,0)),"Equity",ISNUMBER(MATCH(AT114,RevenueUsed,0)),"Revenue",ISNUMBER(MATCH(AT114,ExpenseUsed,0)),"Expense",ISNUMBER(MATCH(AT114,GainUsed,0)),"Gain",ISNUMBER(MATCH(AT114,LossUsed,0)),"Loss"),""))</f>
        <v/>
      </c>
      <c r="AU114" t="str">
        <f>IF(AS114&lt;&gt;"",COUNTIF($AS$101:AS113,AS114),"")</f>
        <v/>
      </c>
    </row>
    <row r="115" spans="3:47">
      <c r="C115" s="194" t="str">
        <f t="shared" si="1"/>
        <v>Equities</v>
      </c>
      <c r="F115" s="194" t="str">
        <f t="shared" si="2"/>
        <v/>
      </c>
      <c r="G115" t="b">
        <f>_xlfn.IFNA(MATCH(F115,FSData!$F$100:$F$153,0)&lt;(COUNTA($E$7:$E$67)+1),"NotFound")</f>
        <v>0</v>
      </c>
      <c r="J115" s="194" t="str">
        <f t="shared" si="3"/>
        <v/>
      </c>
      <c r="K115" t="str">
        <f>_xlfn.IFNA(MATCH(J115,FSData!$J$100:$J$153,0)&lt;(COUNTA($J$7:$J$67)+1),"NotFound")</f>
        <v>NotFound</v>
      </c>
      <c r="U115" s="194" t="str">
        <f t="shared" si="4"/>
        <v/>
      </c>
      <c r="V115" t="b">
        <f>_xlfn.IFNA(MATCH(U115,FSData!$U$100:$U$153,0)&lt;(COUNTA($U$7:$U$67)+1),"NotFound")</f>
        <v>0</v>
      </c>
      <c r="Y115" s="194" t="str">
        <f t="shared" si="5"/>
        <v/>
      </c>
      <c r="Z115" t="b">
        <f>_xlfn.IFNA(MATCH(Y115,FSData!$V$100:$V$153,0)&lt;(COUNTA($X$7:$X$67)+1),"NotFound")</f>
        <v>0</v>
      </c>
      <c r="AS115" t="str" cm="1">
        <f t="array" ref="AS115">IF(AT115="","",_xlfn.IFNA(_xlfn.IFS(ISNUMBER(MATCH(AT115,AssetUsed,0)),"Asset",ISNUMBER(MATCH(AT115,LiabilityUsed,0)),"Liability",ISNUMBER(MATCH(AT115,EquityUsed,0)),"Equity",ISNUMBER(MATCH(AT115,RevenueUsed,0)),"Revenue",ISNUMBER(MATCH(AT115,ExpenseUsed,0)),"Expense",ISNUMBER(MATCH(AT115,GainUsed,0)),"Gain",ISNUMBER(MATCH(AT115,LossUsed,0)),"Loss"),""))</f>
        <v/>
      </c>
      <c r="AU115" t="str">
        <f>IF(AS115&lt;&gt;"",COUNTIF($AS$101:AS114,AS115),"")</f>
        <v/>
      </c>
    </row>
    <row r="116" spans="3:47">
      <c r="C116" s="194" t="str">
        <f t="shared" si="1"/>
        <v>Common Stock0</v>
      </c>
      <c r="F116" s="194" t="str">
        <f t="shared" si="2"/>
        <v/>
      </c>
      <c r="G116" t="b">
        <f>_xlfn.IFNA(MATCH(F116,FSData!$F$100:$F$153,0)&lt;(COUNTA($E$7:$E$67)+1),"NotFound")</f>
        <v>0</v>
      </c>
      <c r="J116" s="194" t="str">
        <f t="shared" si="3"/>
        <v/>
      </c>
      <c r="K116" t="str">
        <f>_xlfn.IFNA(MATCH(J116,FSData!$J$100:$J$153,0)&lt;(COUNTA($J$7:$J$67)+1),"NotFound")</f>
        <v>NotFound</v>
      </c>
      <c r="U116" s="194" t="str">
        <f t="shared" si="4"/>
        <v/>
      </c>
      <c r="V116" t="b">
        <f>_xlfn.IFNA(MATCH(U116,FSData!$U$100:$U$153,0)&lt;(COUNTA($U$7:$U$67)+1),"NotFound")</f>
        <v>0</v>
      </c>
      <c r="Y116" s="194" t="str">
        <f t="shared" si="5"/>
        <v/>
      </c>
      <c r="Z116" t="b">
        <f>_xlfn.IFNA(MATCH(Y116,FSData!$V$100:$V$153,0)&lt;(COUNTA($X$7:$X$67)+1),"NotFound")</f>
        <v>0</v>
      </c>
      <c r="AS116" t="str" cm="1">
        <f t="array" ref="AS116">IF(AT116="","",_xlfn.IFNA(_xlfn.IFS(ISNUMBER(MATCH(AT116,AssetUsed,0)),"Asset",ISNUMBER(MATCH(AT116,LiabilityUsed,0)),"Liability",ISNUMBER(MATCH(AT116,EquityUsed,0)),"Equity",ISNUMBER(MATCH(AT116,RevenueUsed,0)),"Revenue",ISNUMBER(MATCH(AT116,ExpenseUsed,0)),"Expense",ISNUMBER(MATCH(AT116,GainUsed,0)),"Gain",ISNUMBER(MATCH(AT116,LossUsed,0)),"Loss"),""))</f>
        <v/>
      </c>
      <c r="AU116" t="str">
        <f>IF(AS116&lt;&gt;"",COUNTIF($AS$101:AS115,AS116),"")</f>
        <v/>
      </c>
    </row>
    <row r="117" spans="3:47">
      <c r="C117" s="194" t="str">
        <f t="shared" si="1"/>
        <v>Retained Earnings0</v>
      </c>
      <c r="F117" s="194" t="str">
        <f t="shared" si="2"/>
        <v/>
      </c>
      <c r="G117" t="b">
        <f>_xlfn.IFNA(MATCH(F117,FSData!$F$100:$F$153,0)&lt;(COUNTA($E$7:$E$67)+1),"NotFound")</f>
        <v>0</v>
      </c>
      <c r="J117" s="194" t="str">
        <f t="shared" si="3"/>
        <v/>
      </c>
      <c r="K117" t="str">
        <f>_xlfn.IFNA(MATCH(J117,FSData!$J$100:$J$153,0)&lt;(COUNTA($J$7:$J$67)+1),"NotFound")</f>
        <v>NotFound</v>
      </c>
      <c r="U117" s="194" t="str">
        <f t="shared" si="4"/>
        <v/>
      </c>
      <c r="V117" t="b">
        <f>_xlfn.IFNA(MATCH(U117,FSData!$U$100:$U$153,0)&lt;(COUNTA($U$7:$U$67)+1),"NotFound")</f>
        <v>0</v>
      </c>
      <c r="Y117" s="194" t="str">
        <f t="shared" si="5"/>
        <v/>
      </c>
      <c r="Z117" t="b">
        <f>_xlfn.IFNA(MATCH(Y117,FSData!$V$100:$V$153,0)&lt;(COUNTA($X$7:$X$67)+1),"NotFound")</f>
        <v>0</v>
      </c>
      <c r="AS117" t="str" cm="1">
        <f t="array" ref="AS117">IF(AT117="","",_xlfn.IFNA(_xlfn.IFS(ISNUMBER(MATCH(AT117,AssetUsed,0)),"Asset",ISNUMBER(MATCH(AT117,LiabilityUsed,0)),"Liability",ISNUMBER(MATCH(AT117,EquityUsed,0)),"Equity",ISNUMBER(MATCH(AT117,RevenueUsed,0)),"Revenue",ISNUMBER(MATCH(AT117,ExpenseUsed,0)),"Expense",ISNUMBER(MATCH(AT117,GainUsed,0)),"Gain",ISNUMBER(MATCH(AT117,LossUsed,0)),"Loss"),""))</f>
        <v/>
      </c>
      <c r="AU117" t="str">
        <f>IF(AS117&lt;&gt;"",COUNTIF($AS$101:AS116,AS117),"")</f>
        <v/>
      </c>
    </row>
    <row r="118" spans="3:47">
      <c r="C118" s="194" t="str">
        <f t="shared" si="1"/>
        <v/>
      </c>
      <c r="F118" s="194" t="str">
        <f t="shared" si="2"/>
        <v/>
      </c>
      <c r="G118" t="b">
        <f>_xlfn.IFNA(MATCH(F118,FSData!$F$100:$F$153,0)&lt;(COUNTA($E$7:$E$67)+1),"NotFound")</f>
        <v>0</v>
      </c>
      <c r="J118" s="194" t="str">
        <f t="shared" si="3"/>
        <v/>
      </c>
      <c r="K118" t="str">
        <f>_xlfn.IFNA(MATCH(J118,FSData!$J$100:$J$153,0)&lt;(COUNTA($J$7:$J$67)+1),"NotFound")</f>
        <v>NotFound</v>
      </c>
      <c r="U118" s="194" t="str">
        <f t="shared" si="4"/>
        <v/>
      </c>
      <c r="V118" t="b">
        <f>_xlfn.IFNA(MATCH(U118,FSData!$U$100:$U$153,0)&lt;(COUNTA($U$7:$U$67)+1),"NotFound")</f>
        <v>0</v>
      </c>
      <c r="Y118" s="194" t="str">
        <f t="shared" si="5"/>
        <v/>
      </c>
      <c r="Z118" t="b">
        <f>_xlfn.IFNA(MATCH(Y118,FSData!$V$100:$V$153,0)&lt;(COUNTA($X$7:$X$67)+1),"NotFound")</f>
        <v>0</v>
      </c>
      <c r="AS118" t="str" cm="1">
        <f t="array" ref="AS118">IF(AT118="","",_xlfn.IFNA(_xlfn.IFS(ISNUMBER(MATCH(AT118,AssetUsed,0)),"Asset",ISNUMBER(MATCH(AT118,LiabilityUsed,0)),"Liability",ISNUMBER(MATCH(AT118,EquityUsed,0)),"Equity",ISNUMBER(MATCH(AT118,RevenueUsed,0)),"Revenue",ISNUMBER(MATCH(AT118,ExpenseUsed,0)),"Expense",ISNUMBER(MATCH(AT118,GainUsed,0)),"Gain",ISNUMBER(MATCH(AT118,LossUsed,0)),"Loss"),""))</f>
        <v/>
      </c>
      <c r="AU118" t="str">
        <f>IF(AS118&lt;&gt;"",COUNTIF($AS$101:AS117,AS118),"")</f>
        <v/>
      </c>
    </row>
    <row r="119" spans="3:47">
      <c r="C119" s="194" t="str">
        <f t="shared" si="1"/>
        <v/>
      </c>
      <c r="F119" s="194" t="str">
        <f t="shared" si="2"/>
        <v/>
      </c>
      <c r="G119" t="b">
        <f>_xlfn.IFNA(MATCH(F119,FSData!$F$100:$F$153,0)&lt;(COUNTA($E$7:$E$67)+1),"NotFound")</f>
        <v>0</v>
      </c>
      <c r="J119" s="194" t="str">
        <f t="shared" si="3"/>
        <v/>
      </c>
      <c r="K119" t="str">
        <f>_xlfn.IFNA(MATCH(J119,FSData!$J$100:$J$153,0)&lt;(COUNTA($J$7:$J$67)+1),"NotFound")</f>
        <v>NotFound</v>
      </c>
      <c r="U119" s="194" t="str">
        <f t="shared" si="4"/>
        <v/>
      </c>
      <c r="V119" t="b">
        <f>_xlfn.IFNA(MATCH(U119,FSData!$U$100:$U$153,0)&lt;(COUNTA($U$7:$U$67)+1),"NotFound")</f>
        <v>0</v>
      </c>
      <c r="Y119" s="194" t="str">
        <f t="shared" si="5"/>
        <v/>
      </c>
      <c r="Z119" t="b">
        <f>_xlfn.IFNA(MATCH(Y119,FSData!$V$100:$V$153,0)&lt;(COUNTA($X$7:$X$67)+1),"NotFound")</f>
        <v>0</v>
      </c>
      <c r="AS119" t="str" cm="1">
        <f t="array" ref="AS119">IF(AT119="","",_xlfn.IFNA(_xlfn.IFS(ISNUMBER(MATCH(AT119,AssetUsed,0)),"Asset",ISNUMBER(MATCH(AT119,LiabilityUsed,0)),"Liability",ISNUMBER(MATCH(AT119,EquityUsed,0)),"Equity",ISNUMBER(MATCH(AT119,RevenueUsed,0)),"Revenue",ISNUMBER(MATCH(AT119,ExpenseUsed,0)),"Expense",ISNUMBER(MATCH(AT119,GainUsed,0)),"Gain",ISNUMBER(MATCH(AT119,LossUsed,0)),"Loss"),""))</f>
        <v/>
      </c>
    </row>
    <row r="120" spans="3:47">
      <c r="C120" s="194" t="str">
        <f t="shared" si="1"/>
        <v/>
      </c>
      <c r="F120" s="194" t="str">
        <f t="shared" si="2"/>
        <v/>
      </c>
      <c r="G120" t="b">
        <f>_xlfn.IFNA(MATCH(F120,FSData!$F$100:$F$153,0)&lt;(COUNTA($E$7:$E$67)+1),"NotFound")</f>
        <v>0</v>
      </c>
      <c r="J120" s="194" t="str">
        <f t="shared" si="3"/>
        <v/>
      </c>
      <c r="K120" t="str">
        <f>_xlfn.IFNA(MATCH(J120,FSData!$J$100:$J$153,0)&lt;(COUNTA($J$7:$J$67)+1),"NotFound")</f>
        <v>NotFound</v>
      </c>
      <c r="U120" s="194" t="str">
        <f t="shared" si="4"/>
        <v/>
      </c>
      <c r="V120" t="b">
        <f>_xlfn.IFNA(MATCH(U120,FSData!$U$100:$U$153,0)&lt;(COUNTA($U$7:$U$67)+1),"NotFound")</f>
        <v>0</v>
      </c>
      <c r="Y120" s="194" t="str">
        <f t="shared" si="5"/>
        <v/>
      </c>
      <c r="Z120" t="b">
        <f>_xlfn.IFNA(MATCH(Y120,FSData!$V$100:$V$153,0)&lt;(COUNTA($X$7:$X$67)+1),"NotFound")</f>
        <v>0</v>
      </c>
      <c r="AS120" t="str" cm="1">
        <f t="array" ref="AS120">IF(AT120="","",_xlfn.IFNA(_xlfn.IFS(ISNUMBER(MATCH(AT120,AssetUsed,0)),"Asset",ISNUMBER(MATCH(AT120,LiabilityUsed,0)),"Liability",ISNUMBER(MATCH(AT120,EquityUsed,0)),"Equity",ISNUMBER(MATCH(AT120,RevenueUsed,0)),"Revenue",ISNUMBER(MATCH(AT120,ExpenseUsed,0)),"Expense",ISNUMBER(MATCH(AT120,GainUsed,0)),"Gain",ISNUMBER(MATCH(AT120,LossUsed,0)),"Loss"),""))</f>
        <v/>
      </c>
    </row>
    <row r="121" spans="3:47">
      <c r="C121" s="194" t="str">
        <f t="shared" si="1"/>
        <v/>
      </c>
      <c r="F121" s="194" t="str">
        <f t="shared" si="2"/>
        <v/>
      </c>
      <c r="G121" t="b">
        <f>_xlfn.IFNA(MATCH(F121,FSData!$F$100:$F$153,0)&lt;(COUNTA($E$7:$E$67)+1),"NotFound")</f>
        <v>0</v>
      </c>
      <c r="J121" s="194" t="str">
        <f t="shared" si="3"/>
        <v/>
      </c>
      <c r="K121" t="str">
        <f>_xlfn.IFNA(MATCH(J121,FSData!$J$100:$J$153,0)&lt;(COUNTA($J$7:$J$67)+1),"NotFound")</f>
        <v>NotFound</v>
      </c>
      <c r="U121" s="194" t="str">
        <f t="shared" si="4"/>
        <v/>
      </c>
      <c r="V121" t="b">
        <f>_xlfn.IFNA(MATCH(U121,FSData!$U$100:$U$153,0)&lt;(COUNTA($U$7:$U$67)+1),"NotFound")</f>
        <v>0</v>
      </c>
      <c r="Y121" s="194" t="str">
        <f t="shared" si="5"/>
        <v/>
      </c>
      <c r="Z121" t="b">
        <f>_xlfn.IFNA(MATCH(Y121,FSData!$V$100:$V$153,0)&lt;(COUNTA($X$7:$X$67)+1),"NotFound")</f>
        <v>0</v>
      </c>
      <c r="AS121" t="str" cm="1">
        <f t="array" ref="AS121">IF(AT121="","",_xlfn.IFNA(_xlfn.IFS(ISNUMBER(MATCH(AT121,AssetUsed,0)),"Asset",ISNUMBER(MATCH(AT121,LiabilityUsed,0)),"Liability",ISNUMBER(MATCH(AT121,EquityUsed,0)),"Equity",ISNUMBER(MATCH(AT121,RevenueUsed,0)),"Revenue",ISNUMBER(MATCH(AT121,ExpenseUsed,0)),"Expense",ISNUMBER(MATCH(AT121,GainUsed,0)),"Gain",ISNUMBER(MATCH(AT121,LossUsed,0)),"Loss"),""))</f>
        <v/>
      </c>
    </row>
    <row r="122" spans="3:47">
      <c r="C122" s="194" t="str">
        <f t="shared" si="1"/>
        <v/>
      </c>
      <c r="F122" s="194" t="str">
        <f t="shared" si="2"/>
        <v/>
      </c>
      <c r="G122" t="b">
        <f>_xlfn.IFNA(MATCH(F122,FSData!$F$100:$F$153,0)&lt;(COUNTA($E$7:$E$67)+1),"NotFound")</f>
        <v>0</v>
      </c>
      <c r="J122" s="194" t="str">
        <f t="shared" si="3"/>
        <v/>
      </c>
      <c r="K122" t="str">
        <f>_xlfn.IFNA(MATCH(J122,FSData!$J$100:$J$153,0)&lt;(COUNTA($J$7:$J$67)+1),"NotFound")</f>
        <v>NotFound</v>
      </c>
      <c r="U122" s="194" t="str">
        <f t="shared" si="4"/>
        <v/>
      </c>
      <c r="V122" t="b">
        <f>_xlfn.IFNA(MATCH(U122,FSData!$U$100:$U$153,0)&lt;(COUNTA($U$7:$U$67)+1),"NotFound")</f>
        <v>0</v>
      </c>
      <c r="Y122" s="194" t="str">
        <f t="shared" si="5"/>
        <v/>
      </c>
      <c r="Z122" t="b">
        <f>_xlfn.IFNA(MATCH(Y122,FSData!$V$100:$V$153,0)&lt;(COUNTA($X$7:$X$67)+1),"NotFound")</f>
        <v>0</v>
      </c>
      <c r="AS122" t="str" cm="1">
        <f t="array" ref="AS122">IF(AT122="","",_xlfn.IFNA(_xlfn.IFS(ISNUMBER(MATCH(AT122,AssetUsed,0)),"Asset",ISNUMBER(MATCH(AT122,LiabilityUsed,0)),"Liability",ISNUMBER(MATCH(AT122,EquityUsed,0)),"Equity",ISNUMBER(MATCH(AT122,RevenueUsed,0)),"Revenue",ISNUMBER(MATCH(AT122,ExpenseUsed,0)),"Expense",ISNUMBER(MATCH(AT122,GainUsed,0)),"Gain",ISNUMBER(MATCH(AT122,LossUsed,0)),"Loss"),""))</f>
        <v/>
      </c>
    </row>
    <row r="123" spans="3:47">
      <c r="C123" s="194" t="str">
        <f t="shared" si="1"/>
        <v/>
      </c>
      <c r="F123" s="194" t="str">
        <f t="shared" si="2"/>
        <v/>
      </c>
      <c r="G123" t="b">
        <f>_xlfn.IFNA(MATCH(F123,FSData!$F$100:$F$153,0)&lt;(COUNTA($E$7:$E$67)+1),"NotFound")</f>
        <v>0</v>
      </c>
      <c r="J123" s="194" t="str">
        <f t="shared" si="3"/>
        <v/>
      </c>
      <c r="K123" t="str">
        <f>_xlfn.IFNA(MATCH(J123,FSData!$J$100:$J$153,0)&lt;(COUNTA($J$7:$J$67)+1),"NotFound")</f>
        <v>NotFound</v>
      </c>
      <c r="U123" s="194" t="str">
        <f t="shared" si="4"/>
        <v/>
      </c>
      <c r="V123" t="b">
        <f>_xlfn.IFNA(MATCH(U123,FSData!$U$100:$U$153,0)&lt;(COUNTA($U$7:$U$67)+1),"NotFound")</f>
        <v>0</v>
      </c>
      <c r="Y123" s="194" t="str">
        <f t="shared" si="5"/>
        <v/>
      </c>
      <c r="Z123" t="b">
        <f>_xlfn.IFNA(MATCH(Y123,FSData!$V$100:$V$153,0)&lt;(COUNTA($X$7:$X$67)+1),"NotFound")</f>
        <v>0</v>
      </c>
      <c r="AS123" t="str" cm="1">
        <f t="array" ref="AS123">IF(AT123="","",_xlfn.IFNA(_xlfn.IFS(ISNUMBER(MATCH(AT123,AssetUsed,0)),"Asset",ISNUMBER(MATCH(AT123,LiabilityUsed,0)),"Liability",ISNUMBER(MATCH(AT123,EquityUsed,0)),"Equity",ISNUMBER(MATCH(AT123,RevenueUsed,0)),"Revenue",ISNUMBER(MATCH(AT123,ExpenseUsed,0)),"Expense",ISNUMBER(MATCH(AT123,GainUsed,0)),"Gain",ISNUMBER(MATCH(AT123,LossUsed,0)),"Loss"),""))</f>
        <v/>
      </c>
    </row>
    <row r="124" spans="3:47">
      <c r="C124" s="194" t="str">
        <f t="shared" si="1"/>
        <v/>
      </c>
      <c r="F124" s="194" t="str">
        <f t="shared" si="2"/>
        <v/>
      </c>
      <c r="G124" t="b">
        <f>_xlfn.IFNA(MATCH(F124,FSData!$F$100:$F$153,0)&lt;(COUNTA($E$7:$E$67)+1),"NotFound")</f>
        <v>0</v>
      </c>
      <c r="J124" s="194" t="str">
        <f t="shared" si="3"/>
        <v/>
      </c>
      <c r="K124" t="str">
        <f>_xlfn.IFNA(MATCH(J124,FSData!$J$100:$J$153,0)&lt;(COUNTA($J$7:$J$67)+1),"NotFound")</f>
        <v>NotFound</v>
      </c>
      <c r="U124" s="194" t="str">
        <f t="shared" si="4"/>
        <v/>
      </c>
      <c r="V124" t="b">
        <f>_xlfn.IFNA(MATCH(U124,FSData!$U$100:$U$153,0)&lt;(COUNTA($U$7:$U$67)+1),"NotFound")</f>
        <v>0</v>
      </c>
      <c r="Y124" s="194" t="str">
        <f t="shared" si="5"/>
        <v/>
      </c>
      <c r="Z124" t="b">
        <f>_xlfn.IFNA(MATCH(Y124,FSData!$V$100:$V$153,0)&lt;(COUNTA($X$7:$X$67)+1),"NotFound")</f>
        <v>0</v>
      </c>
      <c r="AS124" t="str" cm="1">
        <f t="array" ref="AS124">IF(AT124="","",_xlfn.IFNA(_xlfn.IFS(ISNUMBER(MATCH(AT124,AssetUsed,0)),"Asset",ISNUMBER(MATCH(AT124,LiabilityUsed,0)),"Liability",ISNUMBER(MATCH(AT124,EquityUsed,0)),"Equity",ISNUMBER(MATCH(AT124,RevenueUsed,0)),"Revenue",ISNUMBER(MATCH(AT124,ExpenseUsed,0)),"Expense",ISNUMBER(MATCH(AT124,GainUsed,0)),"Gain",ISNUMBER(MATCH(AT124,LossUsed,0)),"Loss"),""))</f>
        <v/>
      </c>
    </row>
    <row r="125" spans="3:47">
      <c r="C125" s="194" t="str">
        <f t="shared" si="1"/>
        <v/>
      </c>
      <c r="F125" s="194" t="str">
        <f t="shared" si="2"/>
        <v/>
      </c>
      <c r="G125" t="b">
        <f>_xlfn.IFNA(MATCH(F125,FSData!$F$100:$F$153,0)&lt;(COUNTA($E$7:$E$67)+1),"NotFound")</f>
        <v>0</v>
      </c>
      <c r="J125" s="194" t="str">
        <f t="shared" si="3"/>
        <v/>
      </c>
      <c r="K125" t="str">
        <f>_xlfn.IFNA(MATCH(J125,FSData!$J$100:$J$153,0)&lt;(COUNTA($J$7:$J$67)+1),"NotFound")</f>
        <v>NotFound</v>
      </c>
      <c r="U125" s="194" t="str">
        <f t="shared" si="4"/>
        <v/>
      </c>
      <c r="V125" t="b">
        <f>_xlfn.IFNA(MATCH(U125,FSData!$U$100:$U$153,0)&lt;(COUNTA($U$7:$U$67)+1),"NotFound")</f>
        <v>0</v>
      </c>
      <c r="Y125" s="194" t="str">
        <f t="shared" si="5"/>
        <v/>
      </c>
      <c r="Z125" t="b">
        <f>_xlfn.IFNA(MATCH(Y125,FSData!$V$100:$V$153,0)&lt;(COUNTA($X$7:$X$67)+1),"NotFound")</f>
        <v>0</v>
      </c>
      <c r="AS125" t="str" cm="1">
        <f t="array" ref="AS125">IF(AT125="","",_xlfn.IFNA(_xlfn.IFS(ISNUMBER(MATCH(AT125,AssetUsed,0)),"Asset",ISNUMBER(MATCH(AT125,LiabilityUsed,0)),"Liability",ISNUMBER(MATCH(AT125,EquityUsed,0)),"Equity",ISNUMBER(MATCH(AT125,RevenueUsed,0)),"Revenue",ISNUMBER(MATCH(AT125,ExpenseUsed,0)),"Expense",ISNUMBER(MATCH(AT125,GainUsed,0)),"Gain",ISNUMBER(MATCH(AT125,LossUsed,0)),"Loss"),""))</f>
        <v/>
      </c>
    </row>
    <row r="126" spans="3:47">
      <c r="C126" s="194" t="str">
        <f t="shared" si="1"/>
        <v/>
      </c>
      <c r="F126" s="194" t="str">
        <f t="shared" si="2"/>
        <v/>
      </c>
      <c r="G126" t="b">
        <f>_xlfn.IFNA(MATCH(F126,FSData!$F$100:$F$153,0)&lt;(COUNTA($E$7:$E$67)+1),"NotFound")</f>
        <v>0</v>
      </c>
      <c r="J126" s="194" t="str">
        <f t="shared" si="3"/>
        <v/>
      </c>
      <c r="K126" t="str">
        <f>_xlfn.IFNA(MATCH(J126,FSData!$J$100:$J$153,0)&lt;(COUNTA($J$7:$J$67)+1),"NotFound")</f>
        <v>NotFound</v>
      </c>
      <c r="U126" s="194" t="str">
        <f t="shared" si="4"/>
        <v/>
      </c>
      <c r="V126" t="b">
        <f>_xlfn.IFNA(MATCH(U126,FSData!$U$100:$U$153,0)&lt;(COUNTA($U$7:$U$67)+1),"NotFound")</f>
        <v>0</v>
      </c>
      <c r="Y126" s="194" t="str">
        <f t="shared" si="5"/>
        <v/>
      </c>
      <c r="Z126" t="b">
        <f>_xlfn.IFNA(MATCH(Y126,FSData!$V$100:$V$153,0)&lt;(COUNTA($X$7:$X$67)+1),"NotFound")</f>
        <v>0</v>
      </c>
      <c r="AS126" t="str" cm="1">
        <f t="array" ref="AS126">IF(AT126="","",_xlfn.IFNA(_xlfn.IFS(ISNUMBER(MATCH(AT126,AssetUsed,0)),"Asset",ISNUMBER(MATCH(AT126,LiabilityUsed,0)),"Liability",ISNUMBER(MATCH(AT126,EquityUsed,0)),"Equity",ISNUMBER(MATCH(AT126,RevenueUsed,0)),"Revenue",ISNUMBER(MATCH(AT126,ExpenseUsed,0)),"Expense",ISNUMBER(MATCH(AT126,GainUsed,0)),"Gain",ISNUMBER(MATCH(AT126,LossUsed,0)),"Loss"),""))</f>
        <v/>
      </c>
    </row>
    <row r="127" spans="3:47">
      <c r="C127" s="194" t="str">
        <f t="shared" si="1"/>
        <v/>
      </c>
      <c r="F127" s="194" t="str">
        <f t="shared" si="2"/>
        <v/>
      </c>
      <c r="G127" t="b">
        <f>_xlfn.IFNA(MATCH(F127,FSData!$F$100:$F$153,0)&lt;(COUNTA($E$7:$E$67)+1),"NotFound")</f>
        <v>0</v>
      </c>
      <c r="J127" s="194" t="str">
        <f t="shared" si="3"/>
        <v/>
      </c>
      <c r="K127" t="str">
        <f>_xlfn.IFNA(MATCH(J127,FSData!$J$100:$J$153,0)&lt;(COUNTA($J$7:$J$67)+1),"NotFound")</f>
        <v>NotFound</v>
      </c>
      <c r="U127" s="194" t="str">
        <f t="shared" si="4"/>
        <v/>
      </c>
      <c r="V127" t="b">
        <f>_xlfn.IFNA(MATCH(U127,FSData!$U$100:$U$153,0)&lt;(COUNTA($U$7:$U$67)+1),"NotFound")</f>
        <v>0</v>
      </c>
      <c r="Y127" s="194" t="str">
        <f t="shared" si="5"/>
        <v/>
      </c>
      <c r="Z127" t="b">
        <f>_xlfn.IFNA(MATCH(Y127,FSData!$V$100:$V$153,0)&lt;(COUNTA($X$7:$X$67)+1),"NotFound")</f>
        <v>0</v>
      </c>
      <c r="AS127" t="str" cm="1">
        <f t="array" ref="AS127">IF(AT127="","",_xlfn.IFNA(_xlfn.IFS(ISNUMBER(MATCH(AT127,AssetUsed,0)),"Asset",ISNUMBER(MATCH(AT127,LiabilityUsed,0)),"Liability",ISNUMBER(MATCH(AT127,EquityUsed,0)),"Equity",ISNUMBER(MATCH(AT127,RevenueUsed,0)),"Revenue",ISNUMBER(MATCH(AT127,ExpenseUsed,0)),"Expense",ISNUMBER(MATCH(AT127,GainUsed,0)),"Gain",ISNUMBER(MATCH(AT127,LossUsed,0)),"Loss"),""))</f>
        <v/>
      </c>
    </row>
    <row r="128" spans="3:47">
      <c r="C128" s="194" t="str">
        <f t="shared" si="1"/>
        <v/>
      </c>
      <c r="F128" s="194" t="str">
        <f t="shared" si="2"/>
        <v/>
      </c>
      <c r="G128" t="b">
        <f>_xlfn.IFNA(MATCH(F128,FSData!$F$100:$F$153,0)&lt;(COUNTA($E$7:$E$67)+1),"NotFound")</f>
        <v>0</v>
      </c>
      <c r="J128" s="194" t="str">
        <f t="shared" si="3"/>
        <v/>
      </c>
      <c r="K128" t="str">
        <f>_xlfn.IFNA(MATCH(J128,FSData!$J$100:$J$153,0)&lt;(COUNTA($J$7:$J$67)+1),"NotFound")</f>
        <v>NotFound</v>
      </c>
      <c r="U128" s="194" t="str">
        <f t="shared" si="4"/>
        <v/>
      </c>
      <c r="V128" t="b">
        <f>_xlfn.IFNA(MATCH(U128,FSData!$U$100:$U$153,0)&lt;(COUNTA($U$7:$U$67)+1),"NotFound")</f>
        <v>0</v>
      </c>
      <c r="Y128" s="194" t="str">
        <f t="shared" si="5"/>
        <v/>
      </c>
      <c r="Z128" t="b">
        <f>_xlfn.IFNA(MATCH(Y128,FSData!$V$100:$V$153,0)&lt;(COUNTA($X$7:$X$67)+1),"NotFound")</f>
        <v>0</v>
      </c>
      <c r="AS128" t="str" cm="1">
        <f t="array" ref="AS128">IF(AT128="","",_xlfn.IFNA(_xlfn.IFS(ISNUMBER(MATCH(AT128,AssetUsed,0)),"Asset",ISNUMBER(MATCH(AT128,LiabilityUsed,0)),"Liability",ISNUMBER(MATCH(AT128,EquityUsed,0)),"Equity",ISNUMBER(MATCH(AT128,RevenueUsed,0)),"Revenue",ISNUMBER(MATCH(AT128,ExpenseUsed,0)),"Expense",ISNUMBER(MATCH(AT128,GainUsed,0)),"Gain",ISNUMBER(MATCH(AT128,LossUsed,0)),"Loss"),""))</f>
        <v/>
      </c>
    </row>
    <row r="129" spans="3:45">
      <c r="C129" s="194" t="str">
        <f t="shared" si="1"/>
        <v/>
      </c>
      <c r="F129" s="194" t="str">
        <f t="shared" si="2"/>
        <v/>
      </c>
      <c r="G129" t="b">
        <f>_xlfn.IFNA(MATCH(F129,FSData!$F$100:$F$153,0)&lt;(COUNTA($E$7:$E$67)+1),"NotFound")</f>
        <v>0</v>
      </c>
      <c r="J129" s="194" t="str">
        <f t="shared" si="3"/>
        <v/>
      </c>
      <c r="K129" t="str">
        <f>_xlfn.IFNA(MATCH(J129,FSData!$J$100:$J$153,0)&lt;(COUNTA($J$7:$J$67)+1),"NotFound")</f>
        <v>NotFound</v>
      </c>
      <c r="U129" s="194" t="str">
        <f t="shared" si="4"/>
        <v/>
      </c>
      <c r="V129" t="b">
        <f>_xlfn.IFNA(MATCH(U129,FSData!$U$100:$U$153,0)&lt;(COUNTA($U$7:$U$67)+1),"NotFound")</f>
        <v>0</v>
      </c>
      <c r="Y129" s="194" t="str">
        <f t="shared" si="5"/>
        <v/>
      </c>
      <c r="Z129" t="b">
        <f>_xlfn.IFNA(MATCH(Y129,FSData!$V$100:$V$153,0)&lt;(COUNTA($X$7:$X$67)+1),"NotFound")</f>
        <v>0</v>
      </c>
      <c r="AS129" t="str" cm="1">
        <f t="array" ref="AS129">IF(AT129="","",_xlfn.IFNA(_xlfn.IFS(ISNUMBER(MATCH(AT129,AssetUsed,0)),"Asset",ISNUMBER(MATCH(AT129,LiabilityUsed,0)),"Liability",ISNUMBER(MATCH(AT129,EquityUsed,0)),"Equity",ISNUMBER(MATCH(AT129,RevenueUsed,0)),"Revenue",ISNUMBER(MATCH(AT129,ExpenseUsed,0)),"Expense",ISNUMBER(MATCH(AT129,GainUsed,0)),"Gain",ISNUMBER(MATCH(AT129,LossUsed,0)),"Loss"),""))</f>
        <v/>
      </c>
    </row>
    <row r="130" spans="3:45">
      <c r="C130" s="194" t="str">
        <f t="shared" si="1"/>
        <v/>
      </c>
      <c r="F130" s="194" t="str">
        <f t="shared" si="2"/>
        <v/>
      </c>
      <c r="G130" t="b">
        <f>_xlfn.IFNA(MATCH(F130,FSData!$F$100:$F$153,0)&lt;(COUNTA($E$7:$E$67)+1),"NotFound")</f>
        <v>0</v>
      </c>
      <c r="J130" s="194" t="str">
        <f t="shared" si="3"/>
        <v/>
      </c>
      <c r="K130" t="str">
        <f>_xlfn.IFNA(MATCH(J130,FSData!$J$100:$J$153,0)&lt;(COUNTA($J$7:$J$67)+1),"NotFound")</f>
        <v>NotFound</v>
      </c>
      <c r="U130" s="194" t="str">
        <f t="shared" si="4"/>
        <v/>
      </c>
      <c r="V130" t="b">
        <f>_xlfn.IFNA(MATCH(U130,FSData!$U$100:$U$153,0)&lt;(COUNTA($U$7:$U$67)+1),"NotFound")</f>
        <v>0</v>
      </c>
      <c r="Y130" s="194" t="str">
        <f t="shared" si="5"/>
        <v/>
      </c>
      <c r="Z130" t="b">
        <f>_xlfn.IFNA(MATCH(Y130,FSData!$V$100:$V$153,0)&lt;(COUNTA($X$7:$X$67)+1),"NotFound")</f>
        <v>0</v>
      </c>
      <c r="AS130" t="str" cm="1">
        <f t="array" ref="AS130">IF(AT130="","",_xlfn.IFNA(_xlfn.IFS(ISNUMBER(MATCH(AT130,AssetUsed,0)),"Asset",ISNUMBER(MATCH(AT130,LiabilityUsed,0)),"Liability",ISNUMBER(MATCH(AT130,EquityUsed,0)),"Equity",ISNUMBER(MATCH(AT130,RevenueUsed,0)),"Revenue",ISNUMBER(MATCH(AT130,ExpenseUsed,0)),"Expense",ISNUMBER(MATCH(AT130,GainUsed,0)),"Gain",ISNUMBER(MATCH(AT130,LossUsed,0)),"Loss"),""))</f>
        <v/>
      </c>
    </row>
    <row r="131" spans="3:45">
      <c r="C131" s="194" t="str">
        <f t="shared" si="1"/>
        <v/>
      </c>
      <c r="F131" s="194" t="str">
        <f t="shared" si="2"/>
        <v/>
      </c>
      <c r="G131" t="b">
        <f>_xlfn.IFNA(MATCH(F131,FSData!$F$100:$F$153,0)&lt;(COUNTA($E$7:$E$67)+1),"NotFound")</f>
        <v>0</v>
      </c>
      <c r="J131" s="194" t="str">
        <f t="shared" si="3"/>
        <v/>
      </c>
      <c r="K131" t="str">
        <f>_xlfn.IFNA(MATCH(J131,FSData!$J$100:$J$153,0)&lt;(COUNTA($J$7:$J$67)+1),"NotFound")</f>
        <v>NotFound</v>
      </c>
      <c r="U131" s="194" t="str">
        <f t="shared" si="4"/>
        <v/>
      </c>
      <c r="V131" t="b">
        <f>_xlfn.IFNA(MATCH(U131,FSData!$U$100:$U$153,0)&lt;(COUNTA($U$7:$U$67)+1),"NotFound")</f>
        <v>0</v>
      </c>
      <c r="Y131" s="194" t="str">
        <f t="shared" si="5"/>
        <v/>
      </c>
      <c r="Z131" t="b">
        <f>_xlfn.IFNA(MATCH(Y131,FSData!$V$100:$V$153,0)&lt;(COUNTA($X$7:$X$67)+1),"NotFound")</f>
        <v>0</v>
      </c>
      <c r="AS131" t="str" cm="1">
        <f t="array" ref="AS131">IF(AT131="","",_xlfn.IFNA(_xlfn.IFS(ISNUMBER(MATCH(AT131,AssetUsed,0)),"Asset",ISNUMBER(MATCH(AT131,LiabilityUsed,0)),"Liability",ISNUMBER(MATCH(AT131,EquityUsed,0)),"Equity",ISNUMBER(MATCH(AT131,RevenueUsed,0)),"Revenue",ISNUMBER(MATCH(AT131,ExpenseUsed,0)),"Expense",ISNUMBER(MATCH(AT131,GainUsed,0)),"Gain",ISNUMBER(MATCH(AT131,LossUsed,0)),"Loss"),""))</f>
        <v/>
      </c>
    </row>
    <row r="132" spans="3:45">
      <c r="C132" s="194" t="str">
        <f t="shared" si="1"/>
        <v/>
      </c>
      <c r="F132" s="194" t="str">
        <f t="shared" si="2"/>
        <v/>
      </c>
      <c r="G132" t="b">
        <f>_xlfn.IFNA(MATCH(F132,FSData!$F$100:$F$153,0)&lt;(COUNTA($E$7:$E$67)+1),"NotFound")</f>
        <v>0</v>
      </c>
      <c r="J132" s="194" t="str">
        <f t="shared" si="3"/>
        <v/>
      </c>
      <c r="K132" t="str">
        <f>_xlfn.IFNA(MATCH(J132,FSData!$J$100:$J$153,0)&lt;(COUNTA($J$7:$J$67)+1),"NotFound")</f>
        <v>NotFound</v>
      </c>
      <c r="U132" s="194" t="str">
        <f t="shared" si="4"/>
        <v/>
      </c>
      <c r="V132" t="b">
        <f>_xlfn.IFNA(MATCH(U132,FSData!$U$100:$U$153,0)&lt;(COUNTA($U$7:$U$67)+1),"NotFound")</f>
        <v>0</v>
      </c>
      <c r="Y132" s="194" t="str">
        <f t="shared" si="5"/>
        <v/>
      </c>
      <c r="Z132" t="b">
        <f>_xlfn.IFNA(MATCH(Y132,FSData!$V$100:$V$153,0)&lt;(COUNTA($X$7:$X$67)+1),"NotFound")</f>
        <v>0</v>
      </c>
      <c r="AS132" t="str" cm="1">
        <f t="array" ref="AS132">IF(AT132="","",_xlfn.IFNA(_xlfn.IFS(ISNUMBER(MATCH(AT132,AssetUsed,0)),"Asset",ISNUMBER(MATCH(AT132,LiabilityUsed,0)),"Liability",ISNUMBER(MATCH(AT132,EquityUsed,0)),"Equity",ISNUMBER(MATCH(AT132,RevenueUsed,0)),"Revenue",ISNUMBER(MATCH(AT132,ExpenseUsed,0)),"Expense",ISNUMBER(MATCH(AT132,GainUsed,0)),"Gain",ISNUMBER(MATCH(AT132,LossUsed,0)),"Loss"),""))</f>
        <v/>
      </c>
    </row>
    <row r="133" spans="3:45">
      <c r="C133" s="194" t="str">
        <f t="shared" si="1"/>
        <v/>
      </c>
      <c r="F133" s="194" t="str">
        <f t="shared" si="2"/>
        <v/>
      </c>
      <c r="G133" t="b">
        <f>_xlfn.IFNA(MATCH(F133,FSData!$F$100:$F$153,0)&lt;(COUNTA($E$7:$E$67)+1),"NotFound")</f>
        <v>0</v>
      </c>
      <c r="J133" s="194" t="str">
        <f t="shared" si="3"/>
        <v/>
      </c>
      <c r="K133" t="str">
        <f>_xlfn.IFNA(MATCH(J133,FSData!$J$100:$J$153,0)&lt;(COUNTA($J$7:$J$67)+1),"NotFound")</f>
        <v>NotFound</v>
      </c>
      <c r="U133" s="194" t="str">
        <f t="shared" si="4"/>
        <v/>
      </c>
      <c r="V133" t="b">
        <f>_xlfn.IFNA(MATCH(U133,FSData!$U$100:$U$153,0)&lt;(COUNTA($U$7:$U$67)+1),"NotFound")</f>
        <v>0</v>
      </c>
      <c r="Y133" s="194" t="str">
        <f t="shared" si="5"/>
        <v/>
      </c>
      <c r="Z133" t="b">
        <f>_xlfn.IFNA(MATCH(Y133,FSData!$V$100:$V$153,0)&lt;(COUNTA($X$7:$X$67)+1),"NotFound")</f>
        <v>0</v>
      </c>
      <c r="AS133" t="str" cm="1">
        <f t="array" ref="AS133">IF(AT133="","",_xlfn.IFNA(_xlfn.IFS(ISNUMBER(MATCH(AT133,AssetUsed,0)),"Asset",ISNUMBER(MATCH(AT133,LiabilityUsed,0)),"Liability",ISNUMBER(MATCH(AT133,EquityUsed,0)),"Equity",ISNUMBER(MATCH(AT133,RevenueUsed,0)),"Revenue",ISNUMBER(MATCH(AT133,ExpenseUsed,0)),"Expense",ISNUMBER(MATCH(AT133,GainUsed,0)),"Gain",ISNUMBER(MATCH(AT133,LossUsed,0)),"Loss"),""))</f>
        <v/>
      </c>
    </row>
    <row r="134" spans="3:45">
      <c r="C134" s="194" t="str">
        <f t="shared" si="1"/>
        <v/>
      </c>
      <c r="F134" s="194" t="str">
        <f t="shared" si="2"/>
        <v/>
      </c>
      <c r="G134" t="b">
        <f>_xlfn.IFNA(MATCH(F134,FSData!$F$100:$F$153,0)&lt;(COUNTA($E$7:$E$67)+1),"NotFound")</f>
        <v>0</v>
      </c>
      <c r="J134" s="194" t="str">
        <f t="shared" si="3"/>
        <v/>
      </c>
      <c r="K134" t="str">
        <f>_xlfn.IFNA(MATCH(J134,FSData!$J$100:$J$153,0)&lt;(COUNTA($J$7:$J$67)+1),"NotFound")</f>
        <v>NotFound</v>
      </c>
      <c r="U134" s="194" t="str">
        <f t="shared" si="4"/>
        <v/>
      </c>
      <c r="V134" t="b">
        <f>_xlfn.IFNA(MATCH(U134,FSData!$U$100:$U$153,0)&lt;(COUNTA($U$7:$U$67)+1),"NotFound")</f>
        <v>0</v>
      </c>
      <c r="Y134" s="194" t="str">
        <f t="shared" si="5"/>
        <v/>
      </c>
      <c r="Z134" t="b">
        <f>_xlfn.IFNA(MATCH(Y134,FSData!$V$100:$V$153,0)&lt;(COUNTA($X$7:$X$67)+1),"NotFound")</f>
        <v>0</v>
      </c>
      <c r="AS134" t="str" cm="1">
        <f t="array" ref="AS134">IF(AT134="","",_xlfn.IFNA(_xlfn.IFS(ISNUMBER(MATCH(AT134,AssetUsed,0)),"Asset",ISNUMBER(MATCH(AT134,LiabilityUsed,0)),"Liability",ISNUMBER(MATCH(AT134,EquityUsed,0)),"Equity",ISNUMBER(MATCH(AT134,RevenueUsed,0)),"Revenue",ISNUMBER(MATCH(AT134,ExpenseUsed,0)),"Expense",ISNUMBER(MATCH(AT134,GainUsed,0)),"Gain",ISNUMBER(MATCH(AT134,LossUsed,0)),"Loss"),""))</f>
        <v/>
      </c>
    </row>
    <row r="135" spans="3:45">
      <c r="C135" s="194" t="str">
        <f t="shared" si="1"/>
        <v/>
      </c>
      <c r="F135" s="194" t="str">
        <f t="shared" si="2"/>
        <v/>
      </c>
      <c r="G135" t="b">
        <f>_xlfn.IFNA(MATCH(F135,FSData!$F$100:$F$153,0)&lt;(COUNTA($E$7:$E$67)+1),"NotFound")</f>
        <v>0</v>
      </c>
      <c r="J135" s="194" t="str">
        <f t="shared" si="3"/>
        <v/>
      </c>
      <c r="K135" t="str">
        <f>_xlfn.IFNA(MATCH(J135,FSData!$J$100:$J$153,0)&lt;(COUNTA($J$7:$J$67)+1),"NotFound")</f>
        <v>NotFound</v>
      </c>
      <c r="U135" s="194" t="str">
        <f t="shared" si="4"/>
        <v/>
      </c>
      <c r="V135" t="b">
        <f>_xlfn.IFNA(MATCH(U135,FSData!$U$100:$U$153,0)&lt;(COUNTA($U$7:$U$67)+1),"NotFound")</f>
        <v>0</v>
      </c>
      <c r="Y135" s="194" t="str">
        <f t="shared" si="5"/>
        <v/>
      </c>
      <c r="Z135" t="b">
        <f>_xlfn.IFNA(MATCH(Y135,FSData!$V$100:$V$153,0)&lt;(COUNTA($X$7:$X$67)+1),"NotFound")</f>
        <v>0</v>
      </c>
      <c r="AS135" t="str" cm="1">
        <f t="array" ref="AS135">IF(AT135="","",_xlfn.IFNA(_xlfn.IFS(ISNUMBER(MATCH(AT135,AssetUsed,0)),"Asset",ISNUMBER(MATCH(AT135,LiabilityUsed,0)),"Liability",ISNUMBER(MATCH(AT135,EquityUsed,0)),"Equity",ISNUMBER(MATCH(AT135,RevenueUsed,0)),"Revenue",ISNUMBER(MATCH(AT135,ExpenseUsed,0)),"Expense",ISNUMBER(MATCH(AT135,GainUsed,0)),"Gain",ISNUMBER(MATCH(AT135,LossUsed,0)),"Loss"),""))</f>
        <v/>
      </c>
    </row>
    <row r="136" spans="3:45">
      <c r="C136" s="194" t="str">
        <f t="shared" si="1"/>
        <v/>
      </c>
      <c r="F136" s="194" t="str">
        <f t="shared" si="2"/>
        <v/>
      </c>
      <c r="G136" t="b">
        <f>_xlfn.IFNA(MATCH(F136,FSData!$F$100:$F$153,0)&lt;(COUNTA($E$7:$E$67)+1),"NotFound")</f>
        <v>0</v>
      </c>
      <c r="J136" s="194" t="str">
        <f t="shared" si="3"/>
        <v/>
      </c>
      <c r="K136" t="str">
        <f>_xlfn.IFNA(MATCH(J136,FSData!$J$100:$J$153,0)&lt;(COUNTA($J$7:$J$67)+1),"NotFound")</f>
        <v>NotFound</v>
      </c>
      <c r="U136" s="194" t="str">
        <f t="shared" si="4"/>
        <v/>
      </c>
      <c r="V136" t="b">
        <f>_xlfn.IFNA(MATCH(U136,FSData!$U$100:$U$153,0)&lt;(COUNTA($U$7:$U$67)+1),"NotFound")</f>
        <v>0</v>
      </c>
      <c r="Y136" s="194" t="str">
        <f t="shared" si="5"/>
        <v/>
      </c>
      <c r="Z136" t="b">
        <f>_xlfn.IFNA(MATCH(Y136,FSData!$V$100:$V$153,0)&lt;(COUNTA($X$7:$X$67)+1),"NotFound")</f>
        <v>0</v>
      </c>
      <c r="AS136" t="str" cm="1">
        <f t="array" ref="AS136">IF(AT136="","",_xlfn.IFNA(_xlfn.IFS(ISNUMBER(MATCH(AT136,AssetUsed,0)),"Asset",ISNUMBER(MATCH(AT136,LiabilityUsed,0)),"Liability",ISNUMBER(MATCH(AT136,EquityUsed,0)),"Equity",ISNUMBER(MATCH(AT136,RevenueUsed,0)),"Revenue",ISNUMBER(MATCH(AT136,ExpenseUsed,0)),"Expense",ISNUMBER(MATCH(AT136,GainUsed,0)),"Gain",ISNUMBER(MATCH(AT136,LossUsed,0)),"Loss"),""))</f>
        <v/>
      </c>
    </row>
    <row r="137" spans="3:45">
      <c r="C137" s="194" t="str">
        <f t="shared" si="1"/>
        <v/>
      </c>
      <c r="F137" s="194" t="str">
        <f t="shared" si="2"/>
        <v/>
      </c>
      <c r="G137" t="b">
        <f>_xlfn.IFNA(MATCH(F137,FSData!$F$100:$F$153,0)&lt;(COUNTA($E$7:$E$67)+1),"NotFound")</f>
        <v>0</v>
      </c>
      <c r="J137" s="194" t="str">
        <f t="shared" si="3"/>
        <v/>
      </c>
      <c r="K137" t="str">
        <f>_xlfn.IFNA(MATCH(J137,FSData!$J$100:$J$153,0)&lt;(COUNTA($J$7:$J$67)+1),"NotFound")</f>
        <v>NotFound</v>
      </c>
      <c r="U137" s="194" t="str">
        <f t="shared" si="4"/>
        <v/>
      </c>
      <c r="V137" t="b">
        <f>_xlfn.IFNA(MATCH(U137,FSData!$U$100:$U$153,0)&lt;(COUNTA($U$7:$U$67)+1),"NotFound")</f>
        <v>0</v>
      </c>
      <c r="Y137" s="194" t="str">
        <f t="shared" si="5"/>
        <v/>
      </c>
      <c r="Z137" t="b">
        <f>_xlfn.IFNA(MATCH(Y137,FSData!$V$100:$V$153,0)&lt;(COUNTA($X$7:$X$67)+1),"NotFound")</f>
        <v>0</v>
      </c>
      <c r="AS137" t="str" cm="1">
        <f t="array" ref="AS137">IF(AT137="","",_xlfn.IFNA(_xlfn.IFS(ISNUMBER(MATCH(AT137,AssetUsed,0)),"Asset",ISNUMBER(MATCH(AT137,LiabilityUsed,0)),"Liability",ISNUMBER(MATCH(AT137,EquityUsed,0)),"Equity",ISNUMBER(MATCH(AT137,RevenueUsed,0)),"Revenue",ISNUMBER(MATCH(AT137,ExpenseUsed,0)),"Expense",ISNUMBER(MATCH(AT137,GainUsed,0)),"Gain",ISNUMBER(MATCH(AT137,LossUsed,0)),"Loss"),""))</f>
        <v/>
      </c>
    </row>
    <row r="138" spans="3:45">
      <c r="C138" s="194" t="str">
        <f t="shared" si="1"/>
        <v/>
      </c>
      <c r="F138" s="194" t="str">
        <f t="shared" si="2"/>
        <v/>
      </c>
      <c r="G138" t="b">
        <f>_xlfn.IFNA(MATCH(F138,FSData!$F$100:$F$153,0)&lt;(COUNTA($E$7:$E$67)+1),"NotFound")</f>
        <v>0</v>
      </c>
      <c r="J138" s="194" t="str">
        <f t="shared" si="3"/>
        <v/>
      </c>
      <c r="K138" t="str">
        <f>_xlfn.IFNA(MATCH(J138,FSData!$J$100:$J$153,0)&lt;(COUNTA($J$7:$J$67)+1),"NotFound")</f>
        <v>NotFound</v>
      </c>
      <c r="U138" s="194" t="str">
        <f t="shared" si="4"/>
        <v/>
      </c>
      <c r="V138" t="b">
        <f>_xlfn.IFNA(MATCH(U138,FSData!$U$100:$U$153,0)&lt;(COUNTA($U$7:$U$67)+1),"NotFound")</f>
        <v>0</v>
      </c>
      <c r="Y138" s="194" t="str">
        <f t="shared" si="5"/>
        <v/>
      </c>
      <c r="Z138" t="b">
        <f>_xlfn.IFNA(MATCH(Y138,FSData!$V$100:$V$153,0)&lt;(COUNTA($X$7:$X$67)+1),"NotFound")</f>
        <v>0</v>
      </c>
      <c r="AS138" t="str" cm="1">
        <f t="array" ref="AS138">IF(AT138="","",_xlfn.IFNA(_xlfn.IFS(ISNUMBER(MATCH(AT138,AssetUsed,0)),"Asset",ISNUMBER(MATCH(AT138,LiabilityUsed,0)),"Liability",ISNUMBER(MATCH(AT138,EquityUsed,0)),"Equity",ISNUMBER(MATCH(AT138,RevenueUsed,0)),"Revenue",ISNUMBER(MATCH(AT138,ExpenseUsed,0)),"Expense",ISNUMBER(MATCH(AT138,GainUsed,0)),"Gain",ISNUMBER(MATCH(AT138,LossUsed,0)),"Loss"),""))</f>
        <v/>
      </c>
    </row>
    <row r="139" spans="3:45">
      <c r="C139" s="194" t="str">
        <f t="shared" si="1"/>
        <v/>
      </c>
      <c r="F139" s="194" t="str">
        <f t="shared" si="2"/>
        <v/>
      </c>
      <c r="G139" t="b">
        <f>_xlfn.IFNA(MATCH(F139,FSData!$F$100:$F$153,0)&lt;(COUNTA($E$7:$E$67)+1),"NotFound")</f>
        <v>0</v>
      </c>
      <c r="J139" s="194" t="str">
        <f t="shared" si="3"/>
        <v/>
      </c>
      <c r="K139" t="str">
        <f>_xlfn.IFNA(MATCH(J139,FSData!$J$100:$J$153,0)&lt;(COUNTA($J$7:$J$67)+1),"NotFound")</f>
        <v>NotFound</v>
      </c>
      <c r="U139" s="194" t="str">
        <f t="shared" si="4"/>
        <v/>
      </c>
      <c r="V139" t="b">
        <f>_xlfn.IFNA(MATCH(U139,FSData!$U$100:$U$153,0)&lt;(COUNTA($U$7:$U$67)+1),"NotFound")</f>
        <v>0</v>
      </c>
      <c r="Y139" s="194" t="str">
        <f t="shared" si="5"/>
        <v/>
      </c>
      <c r="Z139" t="b">
        <f>_xlfn.IFNA(MATCH(Y139,FSData!$V$100:$V$153,0)&lt;(COUNTA($X$7:$X$67)+1),"NotFound")</f>
        <v>0</v>
      </c>
      <c r="AS139" t="str" cm="1">
        <f t="array" ref="AS139">IF(AT139="","",_xlfn.IFNA(_xlfn.IFS(ISNUMBER(MATCH(AT139,AssetUsed,0)),"Asset",ISNUMBER(MATCH(AT139,LiabilityUsed,0)),"Liability",ISNUMBER(MATCH(AT139,EquityUsed,0)),"Equity",ISNUMBER(MATCH(AT139,RevenueUsed,0)),"Revenue",ISNUMBER(MATCH(AT139,ExpenseUsed,0)),"Expense",ISNUMBER(MATCH(AT139,GainUsed,0)),"Gain",ISNUMBER(MATCH(AT139,LossUsed,0)),"Loss"),""))</f>
        <v/>
      </c>
    </row>
    <row r="140" spans="3:45">
      <c r="C140" s="194" t="str">
        <f t="shared" si="1"/>
        <v/>
      </c>
      <c r="F140" s="194" t="str">
        <f t="shared" si="2"/>
        <v/>
      </c>
      <c r="G140" t="b">
        <f>_xlfn.IFNA(MATCH(F140,FSData!$F$100:$F$153,0)&lt;(COUNTA($E$7:$E$67)+1),"NotFound")</f>
        <v>0</v>
      </c>
      <c r="J140" s="194" t="str">
        <f t="shared" si="3"/>
        <v/>
      </c>
      <c r="K140" t="str">
        <f>_xlfn.IFNA(MATCH(J140,FSData!$J$100:$J$153,0)&lt;(COUNTA($J$7:$J$67)+1),"NotFound")</f>
        <v>NotFound</v>
      </c>
      <c r="U140" s="194" t="str">
        <f t="shared" si="4"/>
        <v/>
      </c>
      <c r="V140" t="b">
        <f>_xlfn.IFNA(MATCH(U140,FSData!$U$100:$U$153,0)&lt;(COUNTA($U$7:$U$67)+1),"NotFound")</f>
        <v>0</v>
      </c>
      <c r="Y140" s="194" t="str">
        <f t="shared" si="5"/>
        <v/>
      </c>
      <c r="Z140" t="b">
        <f>_xlfn.IFNA(MATCH(Y140,FSData!$V$100:$V$153,0)&lt;(COUNTA($X$7:$X$67)+1),"NotFound")</f>
        <v>0</v>
      </c>
    </row>
    <row r="141" spans="3:45">
      <c r="C141" s="194" t="str">
        <f>C48&amp;D48</f>
        <v/>
      </c>
      <c r="F141" s="194" t="str">
        <f t="shared" si="2"/>
        <v/>
      </c>
      <c r="G141" t="b">
        <f>_xlfn.IFNA(MATCH(F141,FSData!$F$100:$F$153,0)&lt;(COUNTA($E$7:$E$67)+1),"NotFound")</f>
        <v>0</v>
      </c>
      <c r="J141" s="194" t="str">
        <f t="shared" si="3"/>
        <v/>
      </c>
      <c r="K141" t="str">
        <f>_xlfn.IFNA(MATCH(J141,FSData!$J$100:$J$153,0)&lt;(COUNTA($J$7:$J$67)+1),"NotFound")</f>
        <v>NotFound</v>
      </c>
      <c r="U141" s="194" t="str">
        <f t="shared" si="4"/>
        <v/>
      </c>
      <c r="V141" t="b">
        <f>_xlfn.IFNA(MATCH(U141,FSData!$U$100:$U$153,0)&lt;(COUNTA($U$7:$U$67)+1),"NotFound")</f>
        <v>0</v>
      </c>
      <c r="Y141" s="194" t="str">
        <f t="shared" si="5"/>
        <v/>
      </c>
      <c r="Z141" t="b">
        <f>_xlfn.IFNA(MATCH(Y141,FSData!$V$100:$V$153,0)&lt;(COUNTA($X$7:$X$67)+1),"NotFound")</f>
        <v>0</v>
      </c>
    </row>
    <row r="142" spans="3:45">
      <c r="C142" s="194" t="str">
        <f t="shared" si="1"/>
        <v/>
      </c>
      <c r="F142" s="194" t="str">
        <f t="shared" si="2"/>
        <v/>
      </c>
      <c r="G142" t="b">
        <f>_xlfn.IFNA(MATCH(F142,FSData!$F$100:$F$153,0)&lt;(COUNTA($E$7:$E$67)+1),"NotFound")</f>
        <v>0</v>
      </c>
      <c r="J142" s="194" t="str">
        <f t="shared" si="3"/>
        <v/>
      </c>
      <c r="K142" t="str">
        <f>_xlfn.IFNA(MATCH(J142,FSData!$J$100:$J$153,0)&lt;(COUNTA($J$7:$J$67)+1),"NotFound")</f>
        <v>NotFound</v>
      </c>
      <c r="U142" s="194" t="str">
        <f t="shared" si="4"/>
        <v/>
      </c>
      <c r="V142" t="b">
        <f>_xlfn.IFNA(MATCH(U142,FSData!$U$100:$U$153,0)&lt;(COUNTA($U$7:$U$67)+1),"NotFound")</f>
        <v>0</v>
      </c>
      <c r="Y142" s="194" t="str">
        <f t="shared" si="5"/>
        <v/>
      </c>
      <c r="Z142" t="b">
        <f>_xlfn.IFNA(MATCH(Y142,FSData!$V$100:$V$153,0)&lt;(COUNTA($X$7:$X$67)+1),"NotFound")</f>
        <v>0</v>
      </c>
    </row>
    <row r="143" spans="3:45">
      <c r="C143" s="194" t="str">
        <f t="shared" si="1"/>
        <v/>
      </c>
      <c r="F143" s="194" t="str">
        <f t="shared" si="2"/>
        <v/>
      </c>
      <c r="G143" t="b">
        <f>_xlfn.IFNA(MATCH(F143,FSData!$F$100:$F$153,0)&lt;(COUNTA($E$7:$E$67)+1),"NotFound")</f>
        <v>0</v>
      </c>
      <c r="J143" s="194" t="str">
        <f t="shared" si="3"/>
        <v/>
      </c>
      <c r="K143" t="str">
        <f>_xlfn.IFNA(MATCH(J143,FSData!$J$100:$J$153,0)&lt;(COUNTA($J$7:$J$67)+1),"NotFound")</f>
        <v>NotFound</v>
      </c>
      <c r="U143" s="194" t="str">
        <f t="shared" si="4"/>
        <v/>
      </c>
      <c r="V143" t="b">
        <f>_xlfn.IFNA(MATCH(U143,FSData!$U$100:$U$153,0)&lt;(COUNTA($U$7:$U$67)+1),"NotFound")</f>
        <v>0</v>
      </c>
      <c r="Y143" s="194" t="str">
        <f t="shared" si="5"/>
        <v/>
      </c>
      <c r="Z143" t="b">
        <f>_xlfn.IFNA(MATCH(Y143,FSData!$V$100:$V$153,0)&lt;(COUNTA($X$7:$X$67)+1),"NotFound")</f>
        <v>0</v>
      </c>
    </row>
    <row r="144" spans="3:45">
      <c r="C144" s="194" t="str">
        <f t="shared" si="1"/>
        <v/>
      </c>
      <c r="F144" s="194" t="str">
        <f t="shared" si="2"/>
        <v/>
      </c>
      <c r="G144" t="b">
        <f>_xlfn.IFNA(MATCH(F144,FSData!$F$100:$F$153,0)&lt;(COUNTA($E$7:$E$67)+1),"NotFound")</f>
        <v>0</v>
      </c>
      <c r="J144" s="194" t="str">
        <f t="shared" si="3"/>
        <v/>
      </c>
      <c r="K144" t="str">
        <f>_xlfn.IFNA(MATCH(J144,FSData!$J$100:$J$153,0)&lt;(COUNTA($J$7:$J$67)+1),"NotFound")</f>
        <v>NotFound</v>
      </c>
      <c r="U144" s="194" t="str">
        <f t="shared" si="4"/>
        <v/>
      </c>
      <c r="V144" t="b">
        <f>_xlfn.IFNA(MATCH(U144,FSData!$U$100:$U$153,0)&lt;(COUNTA($U$7:$U$67)+1),"NotFound")</f>
        <v>0</v>
      </c>
      <c r="Y144" s="194" t="str">
        <f t="shared" si="5"/>
        <v/>
      </c>
      <c r="Z144" t="b">
        <f>_xlfn.IFNA(MATCH(Y144,FSData!$V$100:$V$153,0)&lt;(COUNTA($X$7:$X$67)+1),"NotFound")</f>
        <v>0</v>
      </c>
    </row>
    <row r="145" spans="1:26">
      <c r="C145" s="194" t="str">
        <f t="shared" si="1"/>
        <v/>
      </c>
      <c r="F145" s="194" t="str">
        <f t="shared" si="2"/>
        <v/>
      </c>
      <c r="G145" t="b">
        <f>_xlfn.IFNA(MATCH(F145,FSData!$F$100:$F$153,0)&lt;(COUNTA($E$7:$E$67)+1),"NotFound")</f>
        <v>0</v>
      </c>
      <c r="J145" s="194" t="str">
        <f t="shared" si="3"/>
        <v/>
      </c>
      <c r="K145" t="str">
        <f>_xlfn.IFNA(MATCH(J145,FSData!$J$100:$J$153,0)&lt;(COUNTA($J$7:$J$67)+1),"NotFound")</f>
        <v>NotFound</v>
      </c>
      <c r="U145" s="194" t="str">
        <f t="shared" si="4"/>
        <v/>
      </c>
      <c r="V145" t="b">
        <f>_xlfn.IFNA(MATCH(U145,FSData!$U$100:$U$153,0)&lt;(COUNTA($U$7:$U$67)+1),"NotFound")</f>
        <v>0</v>
      </c>
      <c r="Y145" s="194" t="str">
        <f t="shared" si="5"/>
        <v/>
      </c>
      <c r="Z145" t="b">
        <f>_xlfn.IFNA(MATCH(Y145,FSData!$V$100:$V$153,0)&lt;(COUNTA($X$7:$X$67)+1),"NotFound")</f>
        <v>0</v>
      </c>
    </row>
    <row r="146" spans="1:26">
      <c r="C146" s="194" t="str">
        <f t="shared" si="1"/>
        <v/>
      </c>
      <c r="F146" s="194" t="str">
        <f t="shared" si="2"/>
        <v/>
      </c>
      <c r="G146" t="b">
        <f>_xlfn.IFNA(MATCH(F146,FSData!$F$100:$F$153,0)&lt;(COUNTA($E$7:$E$67)+1),"NotFound")</f>
        <v>0</v>
      </c>
      <c r="J146" s="194" t="str">
        <f t="shared" si="3"/>
        <v/>
      </c>
      <c r="K146" t="str">
        <f>_xlfn.IFNA(MATCH(J146,FSData!$J$100:$J$153,0)&lt;(COUNTA($J$7:$J$67)+1),"NotFound")</f>
        <v>NotFound</v>
      </c>
      <c r="U146" s="194" t="str">
        <f t="shared" si="4"/>
        <v/>
      </c>
      <c r="V146" t="b">
        <f>_xlfn.IFNA(MATCH(U146,FSData!$U$100:$U$153,0)&lt;(COUNTA($U$7:$U$67)+1),"NotFound")</f>
        <v>0</v>
      </c>
      <c r="Y146" s="194" t="str">
        <f t="shared" si="5"/>
        <v/>
      </c>
      <c r="Z146" t="b">
        <f>_xlfn.IFNA(MATCH(Y146,FSData!$V$100:$V$153,0)&lt;(COUNTA($X$7:$X$67)+1),"NotFound")</f>
        <v>0</v>
      </c>
    </row>
    <row r="147" spans="1:26">
      <c r="C147" s="194" t="str">
        <f t="shared" si="1"/>
        <v/>
      </c>
      <c r="F147" s="194" t="str">
        <f t="shared" si="2"/>
        <v/>
      </c>
      <c r="G147" t="b">
        <f>_xlfn.IFNA(MATCH(F147,FSData!$F$100:$F$153,0)&lt;(COUNTA($E$7:$E$67)+1),"NotFound")</f>
        <v>0</v>
      </c>
      <c r="J147" s="194" t="str">
        <f t="shared" si="3"/>
        <v/>
      </c>
      <c r="K147" t="str">
        <f>_xlfn.IFNA(MATCH(J147,FSData!$J$100:$J$153,0)&lt;(COUNTA($J$7:$J$67)+1),"NotFound")</f>
        <v>NotFound</v>
      </c>
      <c r="U147" s="194" t="str">
        <f t="shared" si="4"/>
        <v/>
      </c>
      <c r="V147" t="b">
        <f>_xlfn.IFNA(MATCH(U147,FSData!$U$100:$U$153,0)&lt;(COUNTA($U$7:$U$67)+1),"NotFound")</f>
        <v>0</v>
      </c>
      <c r="Y147" s="194" t="str">
        <f t="shared" si="5"/>
        <v/>
      </c>
      <c r="Z147" t="b">
        <f>_xlfn.IFNA(MATCH(Y147,FSData!$V$100:$V$153,0)&lt;(COUNTA($X$7:$X$67)+1),"NotFound")</f>
        <v>0</v>
      </c>
    </row>
    <row r="148" spans="1:26">
      <c r="C148" s="194" t="str">
        <f t="shared" si="1"/>
        <v/>
      </c>
      <c r="F148" s="194" t="str">
        <f t="shared" si="2"/>
        <v/>
      </c>
      <c r="G148" t="b">
        <f>_xlfn.IFNA(MATCH(F148,FSData!$F$100:$F$153,0)&lt;(COUNTA($E$7:$E$67)+1),"NotFound")</f>
        <v>0</v>
      </c>
      <c r="J148" s="194" t="str">
        <f t="shared" si="3"/>
        <v/>
      </c>
      <c r="K148" t="str">
        <f>_xlfn.IFNA(MATCH(J148,FSData!$J$100:$J$153,0)&lt;(COUNTA($J$7:$J$67)+1),"NotFound")</f>
        <v>NotFound</v>
      </c>
      <c r="U148" s="194" t="str">
        <f t="shared" si="4"/>
        <v/>
      </c>
      <c r="V148" t="b">
        <f>_xlfn.IFNA(MATCH(U148,FSData!$U$100:$U$153,0)&lt;(COUNTA($U$7:$U$67)+1),"NotFound")</f>
        <v>0</v>
      </c>
      <c r="Y148" s="194" t="str">
        <f t="shared" si="5"/>
        <v/>
      </c>
      <c r="Z148" t="b">
        <f>_xlfn.IFNA(MATCH(Y148,FSData!$V$100:$V$153,0)&lt;(COUNTA($X$7:$X$67)+1),"NotFound")</f>
        <v>0</v>
      </c>
    </row>
    <row r="149" spans="1:26">
      <c r="C149" s="194" t="str">
        <f t="shared" si="1"/>
        <v/>
      </c>
      <c r="F149" s="194" t="str">
        <f t="shared" si="2"/>
        <v/>
      </c>
      <c r="G149" t="b">
        <f>_xlfn.IFNA(MATCH(F149,FSData!$F$100:$F$153,0)&lt;(COUNTA($E$7:$E$67)+1),"NotFound")</f>
        <v>0</v>
      </c>
      <c r="J149" s="194" t="str">
        <f t="shared" si="3"/>
        <v/>
      </c>
      <c r="K149" t="str">
        <f>_xlfn.IFNA(MATCH(J149,FSData!$J$100:$J$153,0)&lt;(COUNTA($J$7:$J$67)+1),"NotFound")</f>
        <v>NotFound</v>
      </c>
      <c r="U149" s="194" t="str">
        <f t="shared" si="4"/>
        <v/>
      </c>
      <c r="V149" t="b">
        <f>_xlfn.IFNA(MATCH(U149,FSData!$U$100:$U$153,0)&lt;(COUNTA($U$7:$U$67)+1),"NotFound")</f>
        <v>0</v>
      </c>
      <c r="Y149" s="194" t="str">
        <f t="shared" si="5"/>
        <v/>
      </c>
      <c r="Z149" t="b">
        <f>_xlfn.IFNA(MATCH(Y149,FSData!$V$100:$V$153,0)&lt;(COUNTA($X$7:$X$67)+1),"NotFound")</f>
        <v>0</v>
      </c>
    </row>
    <row r="150" spans="1:26">
      <c r="C150" s="194" t="str">
        <f t="shared" si="1"/>
        <v/>
      </c>
      <c r="F150" s="194" t="str">
        <f t="shared" si="2"/>
        <v/>
      </c>
      <c r="G150" t="b">
        <f>_xlfn.IFNA(MATCH(F150,FSData!$F$100:$F$153,0)&lt;(COUNTA($E$7:$E$67)+1),"NotFound")</f>
        <v>0</v>
      </c>
      <c r="J150" s="194" t="str">
        <f t="shared" si="3"/>
        <v/>
      </c>
      <c r="K150" t="str">
        <f>_xlfn.IFNA(MATCH(J150,FSData!$J$100:$J$153,0)&lt;(COUNTA($J$7:$J$67)+1),"NotFound")</f>
        <v>NotFound</v>
      </c>
      <c r="U150" s="194" t="str">
        <f t="shared" si="4"/>
        <v/>
      </c>
      <c r="V150" t="b">
        <f>_xlfn.IFNA(MATCH(U150,FSData!$U$100:$U$153,0)&lt;(COUNTA($U$7:$U$67)+1),"NotFound")</f>
        <v>0</v>
      </c>
      <c r="Y150" s="194" t="str">
        <f t="shared" si="5"/>
        <v/>
      </c>
      <c r="Z150" t="b">
        <f>_xlfn.IFNA(MATCH(Y150,FSData!$V$100:$V$153,0)&lt;(COUNTA($X$7:$X$67)+1),"NotFound")</f>
        <v>0</v>
      </c>
    </row>
    <row r="151" spans="1:26">
      <c r="C151" s="194" t="str">
        <f t="shared" si="1"/>
        <v/>
      </c>
      <c r="F151" s="194" t="str">
        <f t="shared" si="2"/>
        <v/>
      </c>
      <c r="G151" t="b">
        <f>_xlfn.IFNA(MATCH(F151,FSData!$F$100:$F$153,0)&lt;(COUNTA($E$7:$E$67)+1),"NotFound")</f>
        <v>0</v>
      </c>
      <c r="J151" s="194" t="str">
        <f t="shared" si="3"/>
        <v/>
      </c>
      <c r="K151" t="str">
        <f>_xlfn.IFNA(MATCH(J151,FSData!$J$100:$J$153,0)&lt;(COUNTA($J$7:$J$67)+1),"NotFound")</f>
        <v>NotFound</v>
      </c>
      <c r="U151" s="194" t="str">
        <f t="shared" si="4"/>
        <v/>
      </c>
      <c r="V151" t="b">
        <f>_xlfn.IFNA(MATCH(U151,FSData!$U$100:$U$153,0)&lt;(COUNTA($U$7:$U$67)+1),"NotFound")</f>
        <v>0</v>
      </c>
      <c r="Y151" s="194" t="str">
        <f t="shared" si="5"/>
        <v/>
      </c>
      <c r="Z151" t="b">
        <f>_xlfn.IFNA(MATCH(Y151,FSData!$V$100:$V$153,0)&lt;(COUNTA($X$7:$X$67)+1),"NotFound")</f>
        <v>0</v>
      </c>
    </row>
    <row r="152" spans="1:26">
      <c r="C152" s="194" t="str">
        <f t="shared" si="1"/>
        <v/>
      </c>
      <c r="F152" s="194" t="str">
        <f t="shared" si="2"/>
        <v/>
      </c>
      <c r="G152" t="b">
        <f>_xlfn.IFNA(MATCH(F152,FSData!$F$100:$F$153,0)&lt;(COUNTA($E$7:$E$67)+1),"NotFound")</f>
        <v>0</v>
      </c>
      <c r="J152" s="194" t="str">
        <f t="shared" si="3"/>
        <v/>
      </c>
      <c r="K152" t="str">
        <f>_xlfn.IFNA(MATCH(J152,FSData!$J$100:$J$153,0)&lt;(COUNTA($J$7:$J$67)+1),"NotFound")</f>
        <v>NotFound</v>
      </c>
      <c r="U152" s="194" t="str">
        <f t="shared" si="4"/>
        <v/>
      </c>
      <c r="V152" t="b">
        <f>_xlfn.IFNA(MATCH(U152,FSData!$U$100:$U$153,0)&lt;(COUNTA($U$7:$U$67)+1),"NotFound")</f>
        <v>0</v>
      </c>
      <c r="Y152" s="194" t="str">
        <f>Y59&amp;Z59</f>
        <v/>
      </c>
      <c r="Z152" t="b">
        <f>_xlfn.IFNA(MATCH(Y152,FSData!$V$100:$V$153,0)&lt;(COUNTA($X$7:$X$67)+1),"NotFound")</f>
        <v>0</v>
      </c>
    </row>
    <row r="153" spans="1:26">
      <c r="A153" s="224"/>
      <c r="C153" s="194" t="str">
        <f t="shared" si="1"/>
        <v/>
      </c>
      <c r="F153" s="194" t="str">
        <f t="shared" si="2"/>
        <v/>
      </c>
      <c r="G153" t="b">
        <f>_xlfn.IFNA(MATCH(F153,FSData!$F$100:$F$153,0)&lt;(COUNTA($E$7:$E$67)+1),"NotFound")</f>
        <v>0</v>
      </c>
      <c r="J153" s="194" t="str">
        <f t="shared" si="3"/>
        <v/>
      </c>
      <c r="K153" t="str">
        <f>_xlfn.IFNA(MATCH(J153,FSData!$J$100:$J$153,0)&lt;(COUNTA($J$7:$J$67)+1),"NotFound")</f>
        <v>NotFound</v>
      </c>
      <c r="U153" s="194" t="str">
        <f t="shared" si="4"/>
        <v/>
      </c>
      <c r="V153" t="b">
        <f>_xlfn.IFNA(MATCH(U153,FSData!$U$100:$U$153,0)&lt;(COUNTA($U$7:$U$67)+1),"NotFound")</f>
        <v>0</v>
      </c>
      <c r="Y153" s="194" t="str">
        <f>Y60&amp;Z60</f>
        <v/>
      </c>
      <c r="Z153" t="b">
        <f>_xlfn.IFNA(MATCH(Y153,FSData!$V$100:$V$153,0)&lt;(COUNTA($X$7:$X$67)+1),"NotFound")</f>
        <v>0</v>
      </c>
    </row>
    <row r="154" spans="1:26" ht="15" thickBot="1">
      <c r="C154" s="195" t="str">
        <f t="shared" si="1"/>
        <v/>
      </c>
      <c r="F154" s="195" t="str">
        <f t="shared" si="2"/>
        <v/>
      </c>
      <c r="G154" t="b">
        <f>_xlfn.IFNA(MATCH(F154,FSData!$F$100:$F$153,0)&lt;(COUNTA($E$7:$E$67)+1),"NotFound")</f>
        <v>0</v>
      </c>
      <c r="J154" s="195" t="str">
        <f t="shared" si="3"/>
        <v/>
      </c>
      <c r="K154" t="str">
        <f>_xlfn.IFNA(MATCH(J154,FSData!$J$100:$J$153,0)&lt;(COUNTA($J$7:$J$67)+1),"NotFound")</f>
        <v>NotFound</v>
      </c>
      <c r="U154" s="195" t="str">
        <f t="shared" si="4"/>
        <v/>
      </c>
      <c r="V154" t="b">
        <f>_xlfn.IFNA(MATCH(U154,FSData!$U$100:$U$153,0)&lt;(COUNTA($U$7:$U$67)+1),"NotFound")</f>
        <v>0</v>
      </c>
      <c r="Y154" s="195" t="str">
        <f>Y61&amp;Z61</f>
        <v/>
      </c>
      <c r="Z154" t="b">
        <f>_xlfn.IFNA(MATCH(Y154,FSData!$V$100:$V$153,0)&lt;(COUNTA($X$7:$X$67)+1),"NotFound")</f>
        <v>0</v>
      </c>
    </row>
    <row r="155" spans="1:26">
      <c r="F155" t="str">
        <f t="shared" si="2"/>
        <v/>
      </c>
    </row>
    <row r="156" spans="1:26">
      <c r="F156" t="str">
        <f t="shared" si="2"/>
        <v/>
      </c>
    </row>
    <row r="158" spans="1:26">
      <c r="F158" t="b">
        <f>COUNTIF(Journal!$D$7:$D$179,"Gain")&gt;0</f>
        <v>0</v>
      </c>
    </row>
    <row r="159" spans="1:26" ht="15" thickBot="1">
      <c r="T159" s="42" t="s">
        <v>837</v>
      </c>
    </row>
    <row r="160" spans="1:26">
      <c r="B160" s="452" cm="1">
        <f t="array" ref="B160:D163">_xlfn.VSTACK({4,"Current Assets",""},_xlfn._xlws.FILTER(CHOOSE({1,2,3},BCurrAssets[FC],BCurrAssets[Account],BCurrAssets[Amt]),BCurrAssets[Used]=1,""))</f>
        <v>4</v>
      </c>
      <c r="C160" s="416" t="str">
        <v>Current Assets</v>
      </c>
      <c r="D160" s="433" t="str">
        <v/>
      </c>
      <c r="E160" s="452" t="e" cm="1">
        <f t="array" ref="E160">_xlfn.VSTACK(IFERROR(_xlfn._xlws.FILTER(#REF!,(#REF!=1)*(#REF!&lt;&gt;0)),{"","",""}),IF(#REF!=0,{"","",""},#REF!),{"","",""})</f>
        <v>#REF!</v>
      </c>
      <c r="F160" s="416"/>
      <c r="G160" s="433"/>
      <c r="T160" s="452" t="str" cm="1">
        <f t="array" ref="T160:V160">IFERROR(_xlfn._xlws.FILTER(#REF!,(#REF!=1)*(#REF!&lt;&gt;0)),{"","",""})</f>
        <v/>
      </c>
      <c r="U160" s="416" t="str">
        <v/>
      </c>
      <c r="V160" s="206" t="str">
        <v/>
      </c>
      <c r="W160" s="451"/>
      <c r="X160" s="452" t="e" cm="1">
        <f t="array" ref="X160">_xlfn.VSTACK({4,"Current Assets",""},_xlfn._xlws.FILTER(#REF!,#REF!=1))</f>
        <v>#REF!</v>
      </c>
      <c r="Y160" s="416"/>
      <c r="Z160" s="433"/>
    </row>
    <row r="161" spans="2:26">
      <c r="B161" s="453">
        <v>6</v>
      </c>
      <c r="C161" t="str">
        <v>Cash</v>
      </c>
      <c r="D161" s="205">
        <v>0</v>
      </c>
      <c r="E161" s="453"/>
      <c r="G161" s="205"/>
      <c r="T161" s="453"/>
      <c r="V161" s="108"/>
      <c r="X161" s="453"/>
      <c r="Z161" s="205"/>
    </row>
    <row r="162" spans="2:26">
      <c r="B162" s="453">
        <v>7</v>
      </c>
      <c r="C162" t="str">
        <v>Accounts Receivable</v>
      </c>
      <c r="D162" s="205">
        <v>0</v>
      </c>
      <c r="E162" s="453"/>
      <c r="G162" s="205"/>
      <c r="T162" s="453"/>
      <c r="V162" s="108"/>
      <c r="X162" s="453"/>
      <c r="Z162" s="205"/>
    </row>
    <row r="163" spans="2:26">
      <c r="B163" s="453">
        <v>7</v>
      </c>
      <c r="C163" t="str">
        <v>Inventories</v>
      </c>
      <c r="D163" s="205">
        <v>0</v>
      </c>
      <c r="E163" s="453"/>
      <c r="G163" s="205"/>
      <c r="T163" s="453"/>
      <c r="V163" s="108"/>
      <c r="X163" s="453"/>
      <c r="Z163" s="205"/>
    </row>
    <row r="164" spans="2:26">
      <c r="B164" s="453"/>
      <c r="D164" s="205"/>
      <c r="E164" s="453"/>
      <c r="G164" s="205"/>
      <c r="T164" s="453"/>
      <c r="V164" s="108"/>
      <c r="X164" s="453"/>
      <c r="Z164" s="205"/>
    </row>
    <row r="165" spans="2:26">
      <c r="B165" s="453"/>
      <c r="D165" s="205"/>
      <c r="E165" s="453"/>
      <c r="G165" s="205"/>
      <c r="T165" s="453"/>
      <c r="V165" s="108"/>
      <c r="X165" s="453"/>
      <c r="Z165" s="205"/>
    </row>
    <row r="166" spans="2:26">
      <c r="B166" s="453"/>
      <c r="D166" s="205"/>
      <c r="E166" s="453"/>
      <c r="G166" s="205"/>
      <c r="T166" s="453"/>
      <c r="V166" s="108"/>
      <c r="X166" s="453"/>
      <c r="Z166" s="205"/>
    </row>
    <row r="167" spans="2:26">
      <c r="B167" s="453"/>
      <c r="D167" s="205"/>
      <c r="E167" s="453"/>
      <c r="G167" s="205"/>
      <c r="T167" s="453"/>
      <c r="V167" s="108"/>
      <c r="X167" s="453"/>
      <c r="Z167" s="205"/>
    </row>
    <row r="168" spans="2:26">
      <c r="B168" s="453"/>
      <c r="D168" s="205"/>
      <c r="E168" s="453"/>
      <c r="G168" s="205"/>
      <c r="T168" s="453"/>
      <c r="V168" s="108"/>
      <c r="X168" s="453"/>
      <c r="Z168" s="205"/>
    </row>
    <row r="169" spans="2:26" ht="15" thickBot="1">
      <c r="B169" s="454"/>
      <c r="C169" s="315"/>
      <c r="D169" s="317"/>
      <c r="E169" s="454"/>
      <c r="F169" s="315"/>
      <c r="G169" s="317"/>
      <c r="T169" s="453"/>
      <c r="V169" s="108"/>
      <c r="X169" s="454"/>
      <c r="Y169" s="315"/>
      <c r="Z169" s="317"/>
    </row>
    <row r="170" spans="2:26">
      <c r="B170" s="452" cm="1">
        <f t="array" ref="B170:D172">_xlfn.VSTACK({4,"Noncurrent Assets",""},_xlfn._xlws.FILTER(CHOOSE({1,2,3},BNonCurrAssets[FC],BNonCurrAssets[Account],BNonCurrAssets[Amt]),BNonCurrAssets[Used]=1,""))</f>
        <v>4</v>
      </c>
      <c r="C170" s="416" t="str">
        <v>Noncurrent Assets</v>
      </c>
      <c r="D170" s="433" t="str">
        <v/>
      </c>
      <c r="E170" s="452" t="e" cm="1">
        <f t="array" ref="E170">_xlfn.VSTACK(IFERROR(_xlfn._xlws.FILTER(#REF!,(#REF!=1)*(#REF!&lt;&gt;0)),{"","",""}),IF(#REF!=0,{"","",""},#REF!))</f>
        <v>#REF!</v>
      </c>
      <c r="F170" s="416"/>
      <c r="G170" s="433"/>
      <c r="J170" s="431"/>
      <c r="K170" s="431"/>
      <c r="T170" s="453"/>
      <c r="V170" s="108"/>
      <c r="X170" s="452" t="e" cm="1">
        <f t="array" ref="X170">_xlfn.VSTACK({4,"Noncurrent Assets",""},_xlfn._xlws.FILTER(#REF!,#REF!=1),#REF!)</f>
        <v>#REF!</v>
      </c>
      <c r="Y170" s="416"/>
      <c r="Z170" s="433"/>
    </row>
    <row r="171" spans="2:26">
      <c r="B171" s="453">
        <v>6</v>
      </c>
      <c r="C171" t="str">
        <v>Property, Plant &amp; Equipment</v>
      </c>
      <c r="D171" s="205">
        <v>0</v>
      </c>
      <c r="E171" s="453"/>
      <c r="G171" s="205"/>
      <c r="T171" s="453"/>
      <c r="V171" s="108"/>
      <c r="X171" s="453"/>
      <c r="Z171" s="205"/>
    </row>
    <row r="172" spans="2:26">
      <c r="B172" s="453">
        <v>7</v>
      </c>
      <c r="C172" t="str">
        <v>Land</v>
      </c>
      <c r="D172" s="205">
        <v>0</v>
      </c>
      <c r="E172" s="453"/>
      <c r="G172" s="205"/>
      <c r="T172" s="453"/>
      <c r="V172" s="108"/>
      <c r="X172" s="453"/>
      <c r="Z172" s="205"/>
    </row>
    <row r="173" spans="2:26">
      <c r="B173" s="453"/>
      <c r="D173" s="205"/>
      <c r="E173" s="453"/>
      <c r="G173" s="205"/>
      <c r="T173" s="453"/>
      <c r="V173" s="108"/>
      <c r="X173" s="453"/>
      <c r="Z173" s="205"/>
    </row>
    <row r="174" spans="2:26">
      <c r="B174" s="453"/>
      <c r="D174" s="205"/>
      <c r="E174" s="453"/>
      <c r="G174" s="205"/>
      <c r="T174" s="453"/>
      <c r="V174" s="108"/>
      <c r="X174" s="453"/>
      <c r="Z174" s="205"/>
    </row>
    <row r="175" spans="2:26">
      <c r="B175" s="453"/>
      <c r="D175" s="205"/>
      <c r="E175" s="453"/>
      <c r="G175" s="205"/>
      <c r="T175" s="453"/>
      <c r="V175" s="108"/>
      <c r="X175" s="453"/>
      <c r="Z175" s="205"/>
    </row>
    <row r="176" spans="2:26">
      <c r="B176" s="453"/>
      <c r="D176" s="205"/>
      <c r="E176" s="453"/>
      <c r="G176" s="205"/>
      <c r="T176" s="453"/>
      <c r="V176" s="108"/>
      <c r="X176" s="453"/>
      <c r="Z176" s="205"/>
    </row>
    <row r="177" spans="2:26">
      <c r="B177" s="453"/>
      <c r="D177" s="205"/>
      <c r="E177" s="453"/>
      <c r="G177" s="205"/>
      <c r="T177" s="453"/>
      <c r="V177" s="108"/>
      <c r="X177" s="453"/>
      <c r="Z177" s="205"/>
    </row>
    <row r="178" spans="2:26" ht="15" thickBot="1">
      <c r="B178" s="453"/>
      <c r="D178" s="205"/>
      <c r="E178" s="453"/>
      <c r="G178" s="205"/>
      <c r="T178" s="454"/>
      <c r="U178" s="315"/>
      <c r="V178" s="110"/>
      <c r="X178" s="453"/>
      <c r="Z178" s="205"/>
    </row>
    <row r="179" spans="2:26" ht="15" thickBot="1">
      <c r="B179" s="454"/>
      <c r="C179" s="315"/>
      <c r="D179" s="317"/>
      <c r="E179" s="453"/>
      <c r="G179" s="205"/>
      <c r="T179" s="42" t="s">
        <v>17</v>
      </c>
      <c r="X179" s="454"/>
      <c r="Y179" s="315"/>
      <c r="Z179" s="317"/>
    </row>
    <row r="180" spans="2:26">
      <c r="B180" s="452" cm="1">
        <f t="array" ref="B180:D183">_xlfn.VSTACK({4,"Current Liabilities",""},_xlfn._xlws.FILTER(CHOOSE({1,2,3},BCurrLiabs[FC],BCurrLiabs[Account],BCurrLiabs[Amt]),BCurrLiabs[Used]=1,""))</f>
        <v>4</v>
      </c>
      <c r="C180" s="416" t="str">
        <v>Current Liabilities</v>
      </c>
      <c r="D180" s="433" t="str">
        <v/>
      </c>
      <c r="E180" s="453"/>
      <c r="G180" s="205"/>
      <c r="T180" s="452" t="str" cm="1">
        <f t="array" ref="T180:V180">IFERROR(_xlfn._xlws.FILTER(#REF!,(#REF!=1)*(#REF!&lt;&gt;0)),{"","",""})</f>
        <v/>
      </c>
      <c r="U180" s="416" t="str">
        <v/>
      </c>
      <c r="V180" s="206" t="str">
        <v/>
      </c>
      <c r="W180" s="451"/>
      <c r="X180" s="452" t="e" cm="1">
        <f t="array" ref="X180">_xlfn.VSTACK({4,"Current Liabilities",""},_xlfn._xlws.FILTER(#REF!,#REF!=1))</f>
        <v>#REF!</v>
      </c>
      <c r="Y180" s="416"/>
      <c r="Z180" s="433"/>
    </row>
    <row r="181" spans="2:26">
      <c r="B181" s="453">
        <v>6</v>
      </c>
      <c r="C181" t="str">
        <v>Accounts Payable</v>
      </c>
      <c r="D181" s="205">
        <v>0</v>
      </c>
      <c r="E181" s="453"/>
      <c r="G181" s="205"/>
      <c r="T181" s="453"/>
      <c r="V181" s="108"/>
      <c r="X181" s="453"/>
      <c r="Z181" s="205"/>
    </row>
    <row r="182" spans="2:26">
      <c r="B182" s="453">
        <v>7</v>
      </c>
      <c r="C182" t="str">
        <v>Dividends Payable</v>
      </c>
      <c r="D182" s="205">
        <v>0</v>
      </c>
      <c r="E182" s="453"/>
      <c r="G182" s="205"/>
      <c r="T182" s="453"/>
      <c r="V182" s="108"/>
      <c r="X182" s="453"/>
      <c r="Z182" s="205"/>
    </row>
    <row r="183" spans="2:26">
      <c r="B183" s="453">
        <v>7</v>
      </c>
      <c r="C183" t="str">
        <v>Unearned Revenue</v>
      </c>
      <c r="D183" s="205">
        <v>0</v>
      </c>
      <c r="E183" s="453"/>
      <c r="G183" s="205"/>
      <c r="T183" s="453"/>
      <c r="V183" s="108"/>
      <c r="X183" s="453"/>
      <c r="Z183" s="205"/>
    </row>
    <row r="184" spans="2:26">
      <c r="B184" s="453"/>
      <c r="D184" s="205"/>
      <c r="E184" s="453"/>
      <c r="G184" s="205"/>
      <c r="T184" s="453"/>
      <c r="V184" s="108"/>
      <c r="X184" s="453"/>
      <c r="Z184" s="205"/>
    </row>
    <row r="185" spans="2:26">
      <c r="B185" s="453"/>
      <c r="D185" s="205"/>
      <c r="E185" s="453"/>
      <c r="G185" s="205"/>
      <c r="T185" s="453"/>
      <c r="V185" s="108"/>
      <c r="X185" s="453"/>
      <c r="Z185" s="205"/>
    </row>
    <row r="186" spans="2:26">
      <c r="B186" s="453"/>
      <c r="D186" s="205"/>
      <c r="E186" s="453"/>
      <c r="G186" s="205"/>
      <c r="T186" s="453"/>
      <c r="V186" s="108"/>
      <c r="X186" s="453"/>
      <c r="Z186" s="205"/>
    </row>
    <row r="187" spans="2:26">
      <c r="B187" s="453"/>
      <c r="D187" s="205"/>
      <c r="E187" s="453"/>
      <c r="G187" s="205"/>
      <c r="T187" s="453"/>
      <c r="V187" s="108"/>
      <c r="X187" s="453"/>
      <c r="Z187" s="205"/>
    </row>
    <row r="188" spans="2:26">
      <c r="B188" s="453"/>
      <c r="D188" s="205"/>
      <c r="E188" s="453"/>
      <c r="G188" s="205"/>
      <c r="T188" s="453"/>
      <c r="V188" s="108"/>
      <c r="X188" s="453"/>
      <c r="Z188" s="205"/>
    </row>
    <row r="189" spans="2:26" ht="15" thickBot="1">
      <c r="B189" s="454"/>
      <c r="C189" s="315"/>
      <c r="D189" s="317"/>
      <c r="E189" s="454"/>
      <c r="F189" s="315"/>
      <c r="G189" s="317"/>
      <c r="T189" s="453"/>
      <c r="V189" s="108"/>
      <c r="X189" s="454"/>
      <c r="Y189" s="315"/>
      <c r="Z189" s="317"/>
    </row>
    <row r="190" spans="2:26">
      <c r="B190" s="452" cm="1">
        <f t="array" ref="B190:D191">_xlfn.VSTACK({4,"Noncurrent Liabilities",""},_xlfn._xlws.FILTER(CHOOSE({1,2,3},BNonCurrLiabs[FC],BNonCurrLiabs[Account],BNonCurrLiabs[Amt]),BNonCurrLiabs[Used]=1,""))</f>
        <v>4</v>
      </c>
      <c r="C190" s="416" t="str">
        <v>Noncurrent Liabilities</v>
      </c>
      <c r="D190" s="433" t="str">
        <v/>
      </c>
      <c r="E190" s="452" t="str" cm="1">
        <f t="array" ref="E190:G190">IF(COUNTIF(Journal!$D$7:$D$179,"Gain")&gt;0,_xlfn.VSTACK({2,"Gains",""},IFERROR(_xlfn._xlws.FILTER(#REF!,(#REF!=1)*(#REF!&lt;&gt;0)),{"","",""}),IF(#REF!=0,{"","",""},#REF!)),{"","",""})</f>
        <v/>
      </c>
      <c r="F190" s="416" t="str">
        <v/>
      </c>
      <c r="G190" s="433" t="str">
        <v/>
      </c>
      <c r="T190" s="453"/>
      <c r="V190" s="108"/>
      <c r="X190" s="452" t="e" cm="1">
        <f t="array" ref="X190">_xlfn.VSTACK({4,"NonCurrent Liabilities",""},_xlfn._xlws.FILTER(#REF!,#REF!=1),#REF!)</f>
        <v>#REF!</v>
      </c>
      <c r="Y190" s="416"/>
      <c r="Z190" s="433"/>
    </row>
    <row r="191" spans="2:26">
      <c r="B191" s="453">
        <v>6</v>
      </c>
      <c r="C191" t="str">
        <v>Loans Payable</v>
      </c>
      <c r="D191" s="205">
        <v>0</v>
      </c>
      <c r="E191" s="453"/>
      <c r="G191" s="205"/>
      <c r="T191" s="453"/>
      <c r="V191" s="108"/>
      <c r="X191" s="453"/>
      <c r="Z191" s="205"/>
    </row>
    <row r="192" spans="2:26">
      <c r="B192" s="453"/>
      <c r="D192" s="205"/>
      <c r="E192" s="453"/>
      <c r="G192" s="205"/>
      <c r="T192" s="453"/>
      <c r="V192" s="108"/>
      <c r="X192" s="453"/>
      <c r="Z192" s="205"/>
    </row>
    <row r="193" spans="2:26">
      <c r="B193" s="453"/>
      <c r="D193" s="205"/>
      <c r="E193" s="453"/>
      <c r="G193" s="205"/>
      <c r="T193" s="453"/>
      <c r="V193" s="108"/>
      <c r="X193" s="453"/>
      <c r="Z193" s="205"/>
    </row>
    <row r="194" spans="2:26">
      <c r="B194" s="453"/>
      <c r="D194" s="205"/>
      <c r="E194" s="453"/>
      <c r="G194" s="205"/>
      <c r="T194" s="453"/>
      <c r="V194" s="108"/>
      <c r="X194" s="453"/>
      <c r="Z194" s="205"/>
    </row>
    <row r="195" spans="2:26">
      <c r="B195" s="453"/>
      <c r="D195" s="205"/>
      <c r="E195" s="453"/>
      <c r="G195" s="205"/>
      <c r="T195" s="453"/>
      <c r="V195" s="108"/>
      <c r="X195" s="453"/>
      <c r="Z195" s="205"/>
    </row>
    <row r="196" spans="2:26">
      <c r="B196" s="453"/>
      <c r="D196" s="205"/>
      <c r="E196" s="453"/>
      <c r="G196" s="205"/>
      <c r="T196" s="453"/>
      <c r="V196" s="108"/>
      <c r="X196" s="453"/>
      <c r="Z196" s="205"/>
    </row>
    <row r="197" spans="2:26">
      <c r="B197" s="453"/>
      <c r="D197" s="205"/>
      <c r="E197" s="453"/>
      <c r="G197" s="205"/>
      <c r="T197" s="453"/>
      <c r="V197" s="108"/>
      <c r="X197" s="453"/>
      <c r="Z197" s="205"/>
    </row>
    <row r="198" spans="2:26" ht="15" thickBot="1">
      <c r="B198" s="453"/>
      <c r="D198" s="205"/>
      <c r="E198" s="453"/>
      <c r="G198" s="205"/>
      <c r="T198" s="454"/>
      <c r="U198" s="315"/>
      <c r="V198" s="110"/>
      <c r="X198" s="453"/>
      <c r="Z198" s="205"/>
    </row>
    <row r="199" spans="2:26" ht="15" thickBot="1">
      <c r="B199" s="454"/>
      <c r="C199" s="315"/>
      <c r="D199" s="317"/>
      <c r="E199" s="454"/>
      <c r="F199" s="315"/>
      <c r="G199" s="317"/>
      <c r="T199" s="42" t="s">
        <v>19</v>
      </c>
      <c r="X199" s="454"/>
      <c r="Y199" s="315"/>
      <c r="Z199" s="317"/>
    </row>
    <row r="200" spans="2:26">
      <c r="B200" s="541" cm="1">
        <f t="array" ref="B200:D201">_xlfn._xlws.FILTER(CHOOSE({1,2,3},BEquities[FC],BEquities[Account],BEquities[Amt]),BEquities[Used]=1,"")</f>
        <v>6</v>
      </c>
      <c r="C200" s="451" t="str">
        <v>Common Stock</v>
      </c>
      <c r="D200" s="542">
        <v>0</v>
      </c>
      <c r="E200" s="452" t="str" cm="1">
        <f t="array" ref="E200:G200">IF(COUNTIF(Journal!$D$7:$D$179,"Loss")&gt;0,_xlfn.VSTACK({2,"Losses",""},IFERROR(_xlfn._xlws.FILTER(#REF!,(#REF!=1)*(#REF!&lt;&gt;0)),{"","",""}),IF(#REF!=0,{"","",""},#REF!)),{"","",""})</f>
        <v/>
      </c>
      <c r="F200" s="416" t="str">
        <v/>
      </c>
      <c r="G200" s="433" t="str">
        <v/>
      </c>
      <c r="J200" t="e" cm="1">
        <f t="array" ref="J200">_xlfn._xlws.FILTER(#REF!,(#REF!=1)*(#REF!&lt;&gt;0))</f>
        <v>#REF!</v>
      </c>
      <c r="T200" s="452" t="str" cm="1">
        <f t="array" ref="T200:V200">IFERROR(_xlfn._xlws.FILTER(#REF!,(#REF!=1)*(#REF!&lt;&gt;0)),{"","",""})</f>
        <v/>
      </c>
      <c r="U200" s="416" t="str">
        <v/>
      </c>
      <c r="V200" s="206" t="str">
        <v/>
      </c>
      <c r="W200" s="451"/>
      <c r="X200" s="452" t="e" cm="1">
        <f t="array" ref="X200">_xlfn.VSTACK(_xlfn._xlws.FILTER(#REF!,#REF!=1),#REF!,#REF!)</f>
        <v>#REF!</v>
      </c>
      <c r="Y200" s="416"/>
      <c r="Z200" s="433"/>
    </row>
    <row r="201" spans="2:26">
      <c r="B201" s="543">
        <v>7</v>
      </c>
      <c r="C201" s="224" t="str">
        <v>Retained Earnings</v>
      </c>
      <c r="D201" s="544">
        <v>0</v>
      </c>
      <c r="E201" s="453"/>
      <c r="G201" s="205"/>
      <c r="T201" s="453"/>
      <c r="V201" s="108"/>
      <c r="X201" s="453"/>
      <c r="Z201" s="205"/>
    </row>
    <row r="202" spans="2:26">
      <c r="B202" s="543"/>
      <c r="C202" s="224"/>
      <c r="D202" s="544"/>
      <c r="E202" s="453"/>
      <c r="G202" s="205"/>
      <c r="T202" s="453"/>
      <c r="V202" s="108"/>
      <c r="X202" s="453"/>
      <c r="Z202" s="205"/>
    </row>
    <row r="203" spans="2:26">
      <c r="B203" s="543"/>
      <c r="C203" s="224"/>
      <c r="D203" s="544"/>
      <c r="E203" s="453"/>
      <c r="G203" s="205"/>
      <c r="T203" s="453"/>
      <c r="V203" s="108"/>
      <c r="X203" s="453"/>
      <c r="Z203" s="205"/>
    </row>
    <row r="204" spans="2:26">
      <c r="B204" s="543"/>
      <c r="C204" s="224"/>
      <c r="D204" s="544"/>
      <c r="E204" s="453"/>
      <c r="G204" s="205"/>
      <c r="T204" s="453"/>
      <c r="V204" s="108"/>
      <c r="X204" s="453"/>
      <c r="Z204" s="205"/>
    </row>
    <row r="205" spans="2:26">
      <c r="B205" s="543"/>
      <c r="C205" s="224"/>
      <c r="D205" s="544"/>
      <c r="E205" s="453"/>
      <c r="G205" s="205"/>
      <c r="T205" s="453"/>
      <c r="V205" s="108"/>
      <c r="X205" s="453"/>
      <c r="Z205" s="205"/>
    </row>
    <row r="206" spans="2:26">
      <c r="B206" s="543"/>
      <c r="C206" s="224"/>
      <c r="D206" s="544"/>
      <c r="E206" s="453"/>
      <c r="G206" s="205"/>
      <c r="T206" s="453"/>
      <c r="V206" s="108"/>
      <c r="X206" s="453"/>
      <c r="Z206" s="205"/>
    </row>
    <row r="207" spans="2:26">
      <c r="B207" s="543"/>
      <c r="C207" s="224"/>
      <c r="D207" s="544"/>
      <c r="E207" s="453"/>
      <c r="G207" s="205"/>
      <c r="T207" s="453"/>
      <c r="V207" s="108"/>
      <c r="X207" s="453"/>
      <c r="Z207" s="205"/>
    </row>
    <row r="208" spans="2:26">
      <c r="B208" s="543"/>
      <c r="C208" s="224"/>
      <c r="D208" s="544"/>
      <c r="E208" s="453"/>
      <c r="G208" s="205"/>
      <c r="T208" s="453"/>
      <c r="V208" s="108"/>
      <c r="X208" s="453"/>
      <c r="Z208" s="205"/>
    </row>
    <row r="209" spans="1:26" ht="15" thickBot="1">
      <c r="B209" s="545"/>
      <c r="C209" s="546"/>
      <c r="D209" s="547"/>
      <c r="E209" s="454"/>
      <c r="F209" s="315"/>
      <c r="G209" s="317"/>
      <c r="T209" s="453"/>
      <c r="V209" s="108"/>
      <c r="X209" s="454"/>
      <c r="Y209" s="315"/>
      <c r="Z209" s="317"/>
    </row>
    <row r="210" spans="1:26" ht="15" thickBot="1">
      <c r="G210" s="37"/>
      <c r="T210" s="453"/>
      <c r="V210" s="108"/>
    </row>
    <row r="211" spans="1:26">
      <c r="B211" s="507"/>
      <c r="C211" s="507"/>
      <c r="E211" s="452" t="str" cm="1">
        <f t="array" ref="E211:G211">IF(COUNTIF(Journal[Debit Account],"Accumulated Other Comprehensive Income (Loss)")+COUNTIF(Journal[Credit Account],"Accumulated Other Comprehensive Income (Loss)")&gt;0,_xlfn.VSTACK({1,"Statement of Comprehensive Income (Loss)",""},{"","",""},#REF!,_xlfn._xlws.FILTER(#REF!,#REF!=1,{"","",""}),#REF!),{"","",""})</f>
        <v/>
      </c>
      <c r="F211" s="416" t="str">
        <v/>
      </c>
      <c r="G211" s="433" t="str">
        <v/>
      </c>
      <c r="T211" s="453"/>
      <c r="V211" s="108"/>
    </row>
    <row r="212" spans="1:26">
      <c r="B212" s="507"/>
      <c r="C212" s="507"/>
      <c r="E212" s="453"/>
      <c r="G212" s="205"/>
      <c r="T212" s="453"/>
      <c r="V212" s="108"/>
    </row>
    <row r="213" spans="1:26">
      <c r="B213" s="507"/>
      <c r="C213" s="507"/>
      <c r="E213" s="453"/>
      <c r="G213" s="205"/>
      <c r="T213" s="453"/>
      <c r="V213" s="108"/>
    </row>
    <row r="214" spans="1:26">
      <c r="B214" s="507"/>
      <c r="C214" s="507"/>
      <c r="E214" s="453"/>
      <c r="G214" s="205"/>
      <c r="T214" s="453"/>
      <c r="V214" s="108"/>
    </row>
    <row r="215" spans="1:26">
      <c r="B215" s="507"/>
      <c r="C215" s="507"/>
      <c r="E215" s="453"/>
      <c r="G215" s="205"/>
      <c r="T215" s="453"/>
      <c r="V215" s="108"/>
    </row>
    <row r="216" spans="1:26">
      <c r="B216" s="507"/>
      <c r="C216" s="507"/>
      <c r="E216" s="453"/>
      <c r="G216" s="205"/>
      <c r="T216" s="453"/>
      <c r="V216" s="108"/>
    </row>
    <row r="217" spans="1:26" ht="15" thickBot="1">
      <c r="B217" s="507"/>
      <c r="C217" s="507"/>
      <c r="E217" s="454"/>
      <c r="F217" s="315"/>
      <c r="G217" s="317"/>
      <c r="T217" s="453"/>
      <c r="V217" s="108"/>
    </row>
    <row r="218" spans="1:26" ht="15" thickBot="1">
      <c r="B218" s="507"/>
      <c r="C218" s="507"/>
      <c r="T218" s="454"/>
      <c r="U218" s="315"/>
      <c r="V218" s="110"/>
    </row>
    <row r="219" spans="1:26" ht="15" thickBot="1">
      <c r="A219" s="224"/>
      <c r="B219" s="224"/>
      <c r="C219" s="224"/>
      <c r="D219" s="224"/>
      <c r="E219" s="224"/>
      <c r="F219" s="224"/>
      <c r="G219" s="224"/>
      <c r="H219" s="224"/>
      <c r="I219" s="224"/>
      <c r="J219" s="224"/>
      <c r="T219" s="42" t="s">
        <v>861</v>
      </c>
    </row>
    <row r="220" spans="1:26">
      <c r="A220" s="224"/>
      <c r="B220" s="224"/>
      <c r="C220" s="224"/>
      <c r="D220" s="224"/>
      <c r="E220" s="224"/>
      <c r="F220" s="224"/>
      <c r="G220" s="224"/>
      <c r="H220" s="224"/>
      <c r="I220" s="224"/>
      <c r="J220" s="224"/>
      <c r="T220" s="452" t="str" cm="1">
        <f t="array" ref="T220:V220">IFERROR(_xlfn._xlws.FILTER(#REF!,(#REF!=1)*(#REF!&lt;&gt;0)),{"","",""})</f>
        <v/>
      </c>
      <c r="U220" s="416" t="str">
        <v/>
      </c>
      <c r="V220" s="206" t="str">
        <v/>
      </c>
    </row>
    <row r="221" spans="1:26">
      <c r="A221" s="224"/>
      <c r="B221" s="224"/>
      <c r="C221" s="224"/>
      <c r="D221" s="224"/>
      <c r="E221" s="224"/>
      <c r="F221" s="224"/>
      <c r="G221" s="224"/>
      <c r="H221" s="224"/>
      <c r="I221" s="224"/>
      <c r="J221" s="224"/>
      <c r="T221" s="453"/>
      <c r="V221" s="108"/>
    </row>
    <row r="222" spans="1:26">
      <c r="A222" s="224"/>
      <c r="B222" s="224"/>
      <c r="C222" s="224"/>
      <c r="D222" s="224"/>
      <c r="E222" s="224"/>
      <c r="F222" s="224"/>
      <c r="G222" s="224"/>
      <c r="H222" s="224"/>
      <c r="I222" s="224"/>
      <c r="J222" s="224"/>
      <c r="T222" s="453"/>
      <c r="V222" s="108"/>
    </row>
    <row r="223" spans="1:26">
      <c r="A223" s="224"/>
      <c r="B223" s="224"/>
      <c r="C223" s="224"/>
      <c r="D223" s="224"/>
      <c r="E223" s="224"/>
      <c r="F223" s="224"/>
      <c r="G223" s="224"/>
      <c r="H223" s="224"/>
      <c r="I223" s="224"/>
      <c r="J223" s="224"/>
      <c r="T223" s="453"/>
      <c r="V223" s="108"/>
    </row>
    <row r="224" spans="1:26">
      <c r="A224" s="224"/>
      <c r="B224" s="224"/>
      <c r="C224" s="224"/>
      <c r="D224" s="224"/>
      <c r="E224" s="224"/>
      <c r="F224" s="224"/>
      <c r="G224" s="224"/>
      <c r="H224" s="224"/>
      <c r="I224" s="224"/>
      <c r="J224" s="224"/>
      <c r="T224" s="453"/>
      <c r="V224" s="108"/>
    </row>
    <row r="225" spans="1:22">
      <c r="A225" s="224"/>
      <c r="B225" s="224"/>
      <c r="C225" s="224"/>
      <c r="D225" s="224"/>
      <c r="E225" s="224"/>
      <c r="F225" s="224"/>
      <c r="G225" s="224"/>
      <c r="H225" s="224"/>
      <c r="I225" s="224"/>
      <c r="J225" s="224"/>
      <c r="T225" s="453"/>
      <c r="V225" s="108"/>
    </row>
    <row r="226" spans="1:22">
      <c r="A226" s="224"/>
      <c r="B226" s="224"/>
      <c r="C226" s="224"/>
      <c r="D226" s="224"/>
      <c r="E226" s="224"/>
      <c r="F226" s="224"/>
      <c r="G226" s="224"/>
      <c r="H226" s="224"/>
      <c r="I226" s="224"/>
      <c r="J226" s="224"/>
      <c r="T226" s="453"/>
      <c r="V226" s="108"/>
    </row>
    <row r="227" spans="1:22">
      <c r="A227" s="224"/>
      <c r="B227" s="224"/>
      <c r="C227" s="224"/>
      <c r="D227" s="224"/>
      <c r="E227" s="224"/>
      <c r="F227" s="224"/>
      <c r="G227" s="224"/>
      <c r="H227" s="224"/>
      <c r="I227" s="224"/>
      <c r="J227" s="224"/>
      <c r="T227" s="453"/>
      <c r="V227" s="108"/>
    </row>
    <row r="228" spans="1:22">
      <c r="A228" s="224"/>
      <c r="B228" s="224"/>
      <c r="C228" s="224"/>
      <c r="D228" s="224"/>
      <c r="E228" s="224"/>
      <c r="F228" s="224"/>
      <c r="G228" s="224"/>
      <c r="H228" s="224"/>
      <c r="I228" s="224"/>
      <c r="J228" s="224"/>
      <c r="T228" s="453"/>
      <c r="V228" s="108"/>
    </row>
    <row r="229" spans="1:22">
      <c r="A229" s="224"/>
      <c r="B229" s="224"/>
      <c r="C229" s="224"/>
      <c r="D229" s="224"/>
      <c r="E229" s="224"/>
      <c r="F229" s="224"/>
      <c r="G229" s="224"/>
      <c r="H229" s="224"/>
      <c r="I229" s="224"/>
      <c r="J229" s="224"/>
      <c r="T229" s="453"/>
      <c r="V229" s="108"/>
    </row>
    <row r="230" spans="1:22">
      <c r="A230" s="224"/>
      <c r="B230" s="224"/>
      <c r="C230" s="224"/>
      <c r="D230" s="224"/>
      <c r="E230" s="224"/>
      <c r="F230" s="224"/>
      <c r="G230" s="224"/>
      <c r="H230" s="224"/>
      <c r="I230" s="224"/>
      <c r="J230" s="224"/>
      <c r="T230" s="453"/>
      <c r="V230" s="108"/>
    </row>
    <row r="231" spans="1:22">
      <c r="A231" s="224"/>
      <c r="B231" s="224"/>
      <c r="C231" s="224"/>
      <c r="D231" s="224"/>
      <c r="E231" s="224"/>
      <c r="F231" s="224"/>
      <c r="G231" s="224"/>
      <c r="H231" s="224"/>
      <c r="I231" s="224"/>
      <c r="J231" s="224"/>
      <c r="T231" s="453"/>
      <c r="V231" s="108"/>
    </row>
    <row r="232" spans="1:22">
      <c r="A232" s="224"/>
      <c r="B232" s="224"/>
      <c r="C232" s="224"/>
      <c r="D232" s="224"/>
      <c r="E232" s="224"/>
      <c r="F232" s="224"/>
      <c r="G232" s="224"/>
      <c r="H232" s="224"/>
      <c r="I232" s="224"/>
      <c r="J232" s="224"/>
      <c r="T232" s="453"/>
      <c r="V232" s="108"/>
    </row>
    <row r="233" spans="1:22">
      <c r="A233" s="224"/>
      <c r="B233" s="224"/>
      <c r="C233" s="224"/>
      <c r="D233" s="224"/>
      <c r="E233" s="224"/>
      <c r="F233" s="224"/>
      <c r="G233" s="224"/>
      <c r="H233" s="224"/>
      <c r="I233" s="224"/>
      <c r="J233" s="224"/>
      <c r="T233" s="453"/>
      <c r="V233" s="108"/>
    </row>
    <row r="234" spans="1:22">
      <c r="A234" s="224"/>
      <c r="B234" s="224"/>
      <c r="C234" s="224"/>
      <c r="D234" s="224"/>
      <c r="E234" s="224"/>
      <c r="F234" s="224"/>
      <c r="G234" s="224"/>
      <c r="H234" s="224"/>
      <c r="I234" s="224"/>
      <c r="J234" s="224"/>
      <c r="T234" s="453"/>
      <c r="V234" s="108"/>
    </row>
    <row r="235" spans="1:22">
      <c r="A235" s="224"/>
      <c r="B235" s="224"/>
      <c r="C235" s="224"/>
      <c r="D235" s="224"/>
      <c r="E235" s="224"/>
      <c r="F235" s="224"/>
      <c r="G235" s="224"/>
      <c r="H235" s="224"/>
      <c r="I235" s="224"/>
      <c r="J235" s="224"/>
      <c r="T235" s="453"/>
      <c r="V235" s="108"/>
    </row>
    <row r="236" spans="1:22">
      <c r="A236" s="224"/>
      <c r="B236" s="224"/>
      <c r="C236" s="224"/>
      <c r="D236" s="224"/>
      <c r="E236" s="224"/>
      <c r="F236" s="224"/>
      <c r="G236" s="224"/>
      <c r="H236" s="224"/>
      <c r="I236" s="224"/>
      <c r="J236" s="224"/>
      <c r="T236" s="453"/>
      <c r="V236" s="108"/>
    </row>
    <row r="237" spans="1:22">
      <c r="A237" s="224"/>
      <c r="B237" s="224"/>
      <c r="C237" s="224"/>
      <c r="D237" s="224"/>
      <c r="E237" s="224"/>
      <c r="F237" s="224"/>
      <c r="G237" s="224"/>
      <c r="H237" s="224"/>
      <c r="I237" s="224"/>
      <c r="J237" s="224"/>
      <c r="T237" s="453"/>
      <c r="V237" s="108"/>
    </row>
    <row r="238" spans="1:22" ht="15" thickBot="1">
      <c r="A238" s="224"/>
      <c r="B238" s="224"/>
      <c r="C238" s="224"/>
      <c r="D238" s="224"/>
      <c r="E238" s="224"/>
      <c r="F238" s="224"/>
      <c r="G238" s="224"/>
      <c r="H238" s="224"/>
      <c r="I238" s="224"/>
      <c r="J238" s="224"/>
      <c r="T238" s="454"/>
      <c r="U238" s="315"/>
      <c r="V238" s="110"/>
    </row>
    <row r="239" spans="1:22" ht="15" thickBot="1">
      <c r="A239" s="224"/>
      <c r="B239" s="224"/>
      <c r="C239" s="224"/>
      <c r="D239" s="224"/>
      <c r="E239" s="224"/>
      <c r="F239" s="224"/>
      <c r="G239" s="224"/>
      <c r="H239" s="224"/>
      <c r="I239" s="224"/>
      <c r="J239" s="224"/>
      <c r="T239" s="42" t="s">
        <v>698</v>
      </c>
    </row>
    <row r="240" spans="1:22">
      <c r="A240" s="224"/>
      <c r="B240" s="224"/>
      <c r="C240" s="224"/>
      <c r="D240" s="224"/>
      <c r="E240" s="224"/>
      <c r="F240" s="224"/>
      <c r="G240" s="224"/>
      <c r="H240" s="224"/>
      <c r="I240" s="224"/>
      <c r="J240" s="224"/>
      <c r="T240" s="452" t="e" cm="1">
        <f t="array" ref="T240">IF(#REF!&gt;0,_xlfn.VSTACK({1,"Noncash Investing/Financing Transactions",""},IFERROR(_xlfn._xlws.FILTER(#REF!,(#REF!=1)*(#REF!&lt;&gt;0)),{"","",""})),{"","",""})</f>
        <v>#REF!</v>
      </c>
      <c r="U240" s="416"/>
      <c r="V240" s="206"/>
    </row>
    <row r="241" spans="1:22">
      <c r="A241" s="224"/>
      <c r="B241" s="224"/>
      <c r="C241" s="224"/>
      <c r="D241" s="224"/>
      <c r="E241" s="224"/>
      <c r="F241" s="224"/>
      <c r="G241" s="224"/>
      <c r="H241" s="224"/>
      <c r="I241" s="224"/>
      <c r="J241" s="224"/>
      <c r="T241" s="453"/>
      <c r="V241" s="108"/>
    </row>
    <row r="242" spans="1:22">
      <c r="A242" s="224"/>
      <c r="B242" s="224"/>
      <c r="C242" s="224"/>
      <c r="D242" s="224"/>
      <c r="E242" s="224"/>
      <c r="F242" s="224"/>
      <c r="G242" s="224"/>
      <c r="H242" s="224"/>
      <c r="I242" s="224"/>
      <c r="J242" s="224"/>
      <c r="T242" s="453"/>
      <c r="V242" s="108"/>
    </row>
    <row r="243" spans="1:22">
      <c r="A243" s="224"/>
      <c r="B243" s="224"/>
      <c r="C243" s="224"/>
      <c r="D243" s="224"/>
      <c r="E243" s="224"/>
      <c r="F243" s="224"/>
      <c r="G243" s="224"/>
      <c r="H243" s="224"/>
      <c r="I243" s="224"/>
      <c r="J243" s="224"/>
      <c r="T243" s="453"/>
      <c r="V243" s="108"/>
    </row>
    <row r="244" spans="1:22">
      <c r="A244" s="224"/>
      <c r="B244" s="224"/>
      <c r="C244" s="224"/>
      <c r="D244" s="224"/>
      <c r="E244" s="224"/>
      <c r="F244" s="224"/>
      <c r="G244" s="224"/>
      <c r="H244" s="224"/>
      <c r="I244" s="224"/>
      <c r="J244" s="224"/>
      <c r="T244" s="453"/>
      <c r="V244" s="108"/>
    </row>
    <row r="245" spans="1:22">
      <c r="A245" s="224"/>
      <c r="B245" s="224"/>
      <c r="C245" s="224"/>
      <c r="D245" s="224"/>
      <c r="E245" s="224"/>
      <c r="F245" s="224"/>
      <c r="G245" s="224"/>
      <c r="H245" s="224"/>
      <c r="I245" s="224"/>
      <c r="J245" s="224"/>
      <c r="T245" s="453"/>
      <c r="V245" s="108"/>
    </row>
    <row r="246" spans="1:22">
      <c r="A246" s="224"/>
      <c r="B246" s="224"/>
      <c r="C246" s="224"/>
      <c r="D246" s="224"/>
      <c r="E246" s="224"/>
      <c r="F246" s="224"/>
      <c r="G246" s="224"/>
      <c r="H246" s="224"/>
      <c r="I246" s="224"/>
      <c r="J246" s="224"/>
      <c r="T246" s="453"/>
      <c r="V246" s="108"/>
    </row>
    <row r="247" spans="1:22">
      <c r="A247" s="224"/>
      <c r="B247" s="224"/>
      <c r="C247" s="224"/>
      <c r="D247" s="224"/>
      <c r="E247" s="224"/>
      <c r="F247" s="224"/>
      <c r="G247" s="224"/>
      <c r="H247" s="224"/>
      <c r="I247" s="224"/>
      <c r="J247" s="224"/>
      <c r="T247" s="453"/>
      <c r="V247" s="108"/>
    </row>
    <row r="248" spans="1:22">
      <c r="A248" s="224"/>
      <c r="B248" s="224"/>
      <c r="C248" s="224"/>
      <c r="D248" s="224"/>
      <c r="E248" s="224"/>
      <c r="F248" s="224"/>
      <c r="G248" s="224"/>
      <c r="H248" s="224"/>
      <c r="I248" s="224"/>
      <c r="J248" s="224"/>
      <c r="T248" s="453"/>
      <c r="V248" s="108"/>
    </row>
    <row r="249" spans="1:22">
      <c r="A249" s="224"/>
      <c r="B249" s="224"/>
      <c r="C249" s="224"/>
      <c r="D249" s="224"/>
      <c r="E249" s="224"/>
      <c r="F249" s="224"/>
      <c r="G249" s="224"/>
      <c r="H249" s="224"/>
      <c r="I249" s="224"/>
      <c r="J249" s="224"/>
      <c r="T249" s="453"/>
      <c r="V249" s="108"/>
    </row>
    <row r="250" spans="1:22">
      <c r="A250" s="224"/>
      <c r="B250" s="224"/>
      <c r="C250" s="224"/>
      <c r="D250" s="224"/>
      <c r="E250" s="224"/>
      <c r="F250" s="224"/>
      <c r="G250" s="224"/>
      <c r="H250" s="224"/>
      <c r="I250" s="224"/>
      <c r="J250" s="224"/>
      <c r="T250" s="453"/>
      <c r="V250" s="108"/>
    </row>
    <row r="251" spans="1:22">
      <c r="A251" s="224"/>
      <c r="B251" s="224"/>
      <c r="C251" s="224"/>
      <c r="D251" s="224"/>
      <c r="E251" s="224"/>
      <c r="F251" s="224"/>
      <c r="G251" s="224"/>
      <c r="H251" s="224"/>
      <c r="I251" s="224"/>
      <c r="J251" s="224"/>
      <c r="T251" s="453"/>
      <c r="V251" s="108"/>
    </row>
    <row r="252" spans="1:22">
      <c r="A252" s="224"/>
      <c r="B252" s="224"/>
      <c r="C252" s="224"/>
      <c r="D252" s="224"/>
      <c r="E252" s="224"/>
      <c r="F252" s="224"/>
      <c r="G252" s="224"/>
      <c r="H252" s="224"/>
      <c r="I252" s="224"/>
      <c r="J252" s="224"/>
      <c r="T252" s="453"/>
      <c r="V252" s="108"/>
    </row>
    <row r="253" spans="1:22">
      <c r="A253" s="224"/>
      <c r="B253" s="224"/>
      <c r="C253" s="224"/>
      <c r="D253" s="224"/>
      <c r="E253" s="224"/>
      <c r="F253" s="224"/>
      <c r="G253" s="224"/>
      <c r="H253" s="224"/>
      <c r="I253" s="224"/>
      <c r="J253" s="224"/>
      <c r="T253" s="453"/>
      <c r="V253" s="108"/>
    </row>
    <row r="254" spans="1:22">
      <c r="A254" s="224"/>
      <c r="B254" s="224"/>
      <c r="C254" s="224"/>
      <c r="D254" s="224"/>
      <c r="E254" s="224"/>
      <c r="F254" s="224"/>
      <c r="G254" s="224"/>
      <c r="H254" s="224"/>
      <c r="I254" s="224"/>
      <c r="J254" s="224"/>
      <c r="T254" s="453"/>
      <c r="V254" s="108"/>
    </row>
    <row r="255" spans="1:22">
      <c r="A255" s="224"/>
      <c r="B255" s="224"/>
      <c r="C255" s="224"/>
      <c r="D255" s="224"/>
      <c r="E255" s="224"/>
      <c r="F255" s="224"/>
      <c r="G255" s="224"/>
      <c r="H255" s="224"/>
      <c r="I255" s="224"/>
      <c r="J255" s="224"/>
      <c r="T255" s="453"/>
      <c r="V255" s="108"/>
    </row>
    <row r="256" spans="1:22">
      <c r="A256" s="224"/>
      <c r="B256" s="224"/>
      <c r="C256" s="224"/>
      <c r="D256" s="224"/>
      <c r="E256" s="224"/>
      <c r="F256" s="224"/>
      <c r="G256" s="224"/>
      <c r="H256" s="224"/>
      <c r="I256" s="224"/>
      <c r="J256" s="224"/>
      <c r="T256" s="453"/>
      <c r="V256" s="108"/>
    </row>
    <row r="257" spans="1:22">
      <c r="A257" s="224"/>
      <c r="B257" s="224"/>
      <c r="C257" s="224"/>
      <c r="D257" s="224"/>
      <c r="E257" s="224"/>
      <c r="F257" s="224"/>
      <c r="G257" s="224"/>
      <c r="H257" s="224"/>
      <c r="I257" s="224"/>
      <c r="J257" s="224"/>
      <c r="T257" s="453"/>
      <c r="V257" s="108"/>
    </row>
    <row r="258" spans="1:22" ht="15" thickBot="1">
      <c r="A258" s="224"/>
      <c r="B258" s="224"/>
      <c r="C258" s="224"/>
      <c r="D258" s="224"/>
      <c r="E258" s="224"/>
      <c r="F258" s="224"/>
      <c r="G258" s="224"/>
      <c r="H258" s="224"/>
      <c r="I258" s="224"/>
      <c r="J258" s="224"/>
      <c r="T258" s="454"/>
      <c r="U258" s="315"/>
      <c r="V258" s="110"/>
    </row>
    <row r="259" spans="1:22" ht="15" thickBot="1">
      <c r="A259" s="224"/>
      <c r="B259" s="224"/>
      <c r="C259" s="224"/>
      <c r="D259" s="224"/>
      <c r="E259" s="224"/>
      <c r="F259" s="224"/>
      <c r="G259" s="224"/>
      <c r="H259" s="224"/>
      <c r="I259" s="224"/>
      <c r="J259" s="224"/>
      <c r="T259" s="42" t="s">
        <v>872</v>
      </c>
    </row>
    <row r="260" spans="1:22">
      <c r="A260" s="224"/>
      <c r="B260" s="224"/>
      <c r="C260" s="224"/>
      <c r="D260" s="224"/>
      <c r="E260" s="224"/>
      <c r="F260" s="224"/>
      <c r="G260" s="224"/>
      <c r="H260" s="224"/>
      <c r="I260" s="224"/>
      <c r="J260" s="224"/>
      <c r="R260" t="s">
        <v>24</v>
      </c>
      <c r="T260" s="452" t="str" cm="1">
        <f t="array" ref="T260:V260">IFERROR(_xlfn._xlws.FILTER(#REF!,(#REF!=1)*(#REF!&lt;&gt;0)),{"","",""})</f>
        <v/>
      </c>
      <c r="U260" s="416" t="str">
        <v/>
      </c>
      <c r="V260" s="206" t="str">
        <v/>
      </c>
    </row>
    <row r="261" spans="1:22">
      <c r="A261" s="224"/>
      <c r="B261" s="224"/>
      <c r="C261" s="224"/>
      <c r="D261" s="224"/>
      <c r="E261" s="224"/>
      <c r="F261" s="224"/>
      <c r="G261" s="224"/>
      <c r="H261" s="224"/>
      <c r="I261" s="224"/>
      <c r="J261" s="224"/>
      <c r="T261" s="453"/>
      <c r="V261" s="108"/>
    </row>
    <row r="262" spans="1:22">
      <c r="A262" s="224"/>
      <c r="B262" s="224"/>
      <c r="C262" s="224"/>
      <c r="D262" s="224"/>
      <c r="E262" s="224"/>
      <c r="F262" s="224"/>
      <c r="G262" s="224"/>
      <c r="H262" s="224"/>
      <c r="I262" s="224"/>
      <c r="J262" s="224"/>
      <c r="T262" s="453"/>
      <c r="V262" s="108"/>
    </row>
    <row r="263" spans="1:22">
      <c r="A263" s="224"/>
      <c r="B263" s="224"/>
      <c r="C263" s="224"/>
      <c r="D263" s="224"/>
      <c r="E263" s="224"/>
      <c r="F263" s="224"/>
      <c r="G263" s="224"/>
      <c r="H263" s="224"/>
      <c r="I263" s="224"/>
      <c r="J263" s="224"/>
      <c r="T263" s="453"/>
      <c r="V263" s="108"/>
    </row>
    <row r="264" spans="1:22">
      <c r="A264" s="224"/>
      <c r="B264" s="224"/>
      <c r="C264" s="224"/>
      <c r="D264" s="224"/>
      <c r="E264" s="224"/>
      <c r="F264" s="224"/>
      <c r="G264" s="224"/>
      <c r="H264" s="224"/>
      <c r="I264" s="224"/>
      <c r="J264" s="224"/>
      <c r="T264" s="453"/>
      <c r="V264" s="108"/>
    </row>
    <row r="265" spans="1:22">
      <c r="A265" s="224"/>
      <c r="B265" s="224"/>
      <c r="C265" s="224"/>
      <c r="D265" s="224"/>
      <c r="E265" s="224"/>
      <c r="F265" s="224"/>
      <c r="G265" s="224"/>
      <c r="H265" s="224"/>
      <c r="I265" s="224"/>
      <c r="J265" s="224"/>
      <c r="T265" s="453"/>
      <c r="V265" s="108"/>
    </row>
    <row r="266" spans="1:22">
      <c r="A266" s="224"/>
      <c r="B266" s="224"/>
      <c r="C266" s="224"/>
      <c r="D266" s="224"/>
      <c r="E266" s="224"/>
      <c r="F266" s="224"/>
      <c r="G266" s="224"/>
      <c r="H266" s="224"/>
      <c r="I266" s="224"/>
      <c r="J266" s="224"/>
      <c r="T266" s="453"/>
      <c r="V266" s="108"/>
    </row>
    <row r="267" spans="1:22">
      <c r="A267" s="224"/>
      <c r="B267" s="224"/>
      <c r="C267" s="224"/>
      <c r="D267" s="224"/>
      <c r="E267" s="224"/>
      <c r="F267" s="224"/>
      <c r="G267" s="224"/>
      <c r="H267" s="224"/>
      <c r="I267" s="224"/>
      <c r="J267" s="224"/>
      <c r="T267" s="453"/>
      <c r="V267" s="108"/>
    </row>
    <row r="268" spans="1:22">
      <c r="A268" s="224"/>
      <c r="B268" s="224"/>
      <c r="C268" s="224"/>
      <c r="D268" s="224"/>
      <c r="E268" s="224"/>
      <c r="F268" s="224"/>
      <c r="G268" s="224"/>
      <c r="H268" s="224"/>
      <c r="I268" s="224"/>
      <c r="J268" s="224"/>
      <c r="T268" s="453"/>
      <c r="V268" s="108"/>
    </row>
    <row r="269" spans="1:22" ht="15" thickBot="1">
      <c r="A269" s="224"/>
      <c r="B269" s="224"/>
      <c r="C269" s="224"/>
      <c r="D269" s="224"/>
      <c r="E269" s="224"/>
      <c r="F269" s="224"/>
      <c r="G269" s="224"/>
      <c r="H269" s="224"/>
      <c r="I269" s="224"/>
      <c r="J269" s="224"/>
      <c r="T269" s="454"/>
      <c r="U269" s="315"/>
      <c r="V269" s="110"/>
    </row>
    <row r="270" spans="1:22">
      <c r="A270" s="224"/>
      <c r="B270" s="224"/>
      <c r="C270" s="224"/>
      <c r="D270" s="224"/>
      <c r="E270" s="224"/>
      <c r="F270" s="224"/>
      <c r="G270" s="224"/>
      <c r="H270" s="224"/>
      <c r="I270" s="224"/>
      <c r="J270" s="224"/>
      <c r="R270" t="s">
        <v>961</v>
      </c>
      <c r="T270" s="452" t="str" cm="1">
        <f t="array" ref="T270:V270">IFERROR(_xlfn._xlws.FILTER(#REF!,(#REF!=1)*(#REF!&lt;&gt;0)),{"","",""})</f>
        <v/>
      </c>
      <c r="U270" s="416" t="str">
        <v/>
      </c>
      <c r="V270" s="206" t="str">
        <v/>
      </c>
    </row>
    <row r="271" spans="1:22">
      <c r="A271" s="224"/>
      <c r="B271" s="224"/>
      <c r="C271" s="224"/>
      <c r="D271" s="224"/>
      <c r="E271" s="224"/>
      <c r="F271" s="224"/>
      <c r="G271" s="224"/>
      <c r="H271" s="224"/>
      <c r="I271" s="224"/>
      <c r="J271" s="224"/>
      <c r="T271" s="453"/>
      <c r="V271" s="108"/>
    </row>
    <row r="272" spans="1:22">
      <c r="A272" s="224"/>
      <c r="B272" s="224"/>
      <c r="C272" s="224"/>
      <c r="D272" s="224"/>
      <c r="E272" s="224"/>
      <c r="F272" s="224"/>
      <c r="G272" s="224"/>
      <c r="H272" s="224"/>
      <c r="I272" s="224"/>
      <c r="J272" s="224"/>
      <c r="T272" s="453"/>
      <c r="V272" s="108"/>
    </row>
    <row r="273" spans="1:22">
      <c r="A273" s="224"/>
      <c r="B273" s="224"/>
      <c r="C273" s="224"/>
      <c r="D273" s="224"/>
      <c r="E273" s="224"/>
      <c r="F273" s="224"/>
      <c r="G273" s="224"/>
      <c r="H273" s="224"/>
      <c r="I273" s="224"/>
      <c r="J273" s="224"/>
      <c r="T273" s="453"/>
      <c r="V273" s="108"/>
    </row>
    <row r="274" spans="1:22">
      <c r="A274" s="224"/>
      <c r="B274" s="224"/>
      <c r="C274" s="224"/>
      <c r="D274" s="224"/>
      <c r="E274" s="224"/>
      <c r="F274" s="224"/>
      <c r="G274" s="224"/>
      <c r="H274" s="224"/>
      <c r="I274" s="224"/>
      <c r="J274" s="224"/>
      <c r="T274" s="453"/>
      <c r="V274" s="108"/>
    </row>
    <row r="275" spans="1:22">
      <c r="A275" s="224"/>
      <c r="B275" s="224"/>
      <c r="C275" s="224"/>
      <c r="D275" s="224"/>
      <c r="E275" s="224"/>
      <c r="F275" s="224"/>
      <c r="G275" s="224"/>
      <c r="H275" s="224"/>
      <c r="I275" s="224"/>
      <c r="J275" s="224"/>
      <c r="T275" s="453"/>
      <c r="V275" s="108"/>
    </row>
    <row r="276" spans="1:22">
      <c r="A276" s="224"/>
      <c r="B276" s="224"/>
      <c r="C276" s="224"/>
      <c r="D276" s="224"/>
      <c r="E276" s="224"/>
      <c r="F276" s="224"/>
      <c r="G276" s="224"/>
      <c r="H276" s="224"/>
      <c r="I276" s="224"/>
      <c r="J276" s="224"/>
      <c r="T276" s="453"/>
      <c r="V276" s="108"/>
    </row>
    <row r="277" spans="1:22">
      <c r="A277" s="224"/>
      <c r="B277" s="224"/>
      <c r="C277" s="224"/>
      <c r="D277" s="224"/>
      <c r="E277" s="224"/>
      <c r="F277" s="224"/>
      <c r="G277" s="224"/>
      <c r="H277" s="224"/>
      <c r="I277" s="224"/>
      <c r="J277" s="224"/>
      <c r="T277" s="453"/>
      <c r="V277" s="108"/>
    </row>
    <row r="278" spans="1:22">
      <c r="A278" s="224"/>
      <c r="B278" s="224"/>
      <c r="C278" s="224"/>
      <c r="D278" s="224"/>
      <c r="E278" s="224"/>
      <c r="F278" s="224"/>
      <c r="G278" s="224"/>
      <c r="H278" s="224"/>
      <c r="I278" s="224"/>
      <c r="J278" s="224"/>
      <c r="T278" s="453"/>
      <c r="V278" s="108"/>
    </row>
    <row r="279" spans="1:22" ht="15" thickBot="1">
      <c r="A279" s="224"/>
      <c r="B279" s="224"/>
      <c r="C279" s="224"/>
      <c r="D279" s="224"/>
      <c r="E279" s="224"/>
      <c r="F279" s="224"/>
      <c r="G279" s="224"/>
      <c r="H279" s="224"/>
      <c r="I279" s="224"/>
      <c r="J279" s="224"/>
      <c r="T279" s="454"/>
      <c r="U279" s="315"/>
      <c r="V279" s="110"/>
    </row>
    <row r="280" spans="1:22">
      <c r="A280" s="224"/>
      <c r="B280" s="224"/>
      <c r="C280" s="224"/>
      <c r="D280" s="224"/>
      <c r="E280" s="224"/>
      <c r="F280" s="224"/>
      <c r="G280" s="224"/>
      <c r="H280" s="224"/>
      <c r="I280" s="224"/>
      <c r="J280" s="224"/>
      <c r="R280" t="s">
        <v>308</v>
      </c>
      <c r="T280" s="452" t="str" cm="1">
        <f t="array" ref="T280:V280">IFERROR(_xlfn._xlws.FILTER(#REF!,(#REF!=1)*(#REF!&lt;&gt;0)),{"","",""})</f>
        <v/>
      </c>
      <c r="U280" s="416" t="str">
        <v/>
      </c>
      <c r="V280" s="206" t="str">
        <v/>
      </c>
    </row>
    <row r="281" spans="1:22">
      <c r="A281" s="224"/>
      <c r="B281" s="224"/>
      <c r="C281" s="224"/>
      <c r="D281" s="224"/>
      <c r="E281" s="224"/>
      <c r="F281" s="224"/>
      <c r="G281" s="224"/>
      <c r="H281" s="224"/>
      <c r="I281" s="224"/>
      <c r="J281" s="224"/>
      <c r="S281" s="423"/>
      <c r="T281" s="455"/>
      <c r="U281" s="5"/>
      <c r="V281" s="443"/>
    </row>
    <row r="282" spans="1:22">
      <c r="A282" s="224"/>
      <c r="B282" s="224"/>
      <c r="C282" s="224"/>
      <c r="D282" s="224"/>
      <c r="E282" s="224"/>
      <c r="F282" s="224"/>
      <c r="G282" s="224"/>
      <c r="H282" s="224"/>
      <c r="I282" s="224"/>
      <c r="J282" s="224"/>
      <c r="S282" s="423"/>
      <c r="T282" s="455"/>
      <c r="U282" s="5"/>
      <c r="V282" s="443"/>
    </row>
    <row r="283" spans="1:22">
      <c r="A283" s="224"/>
      <c r="B283" s="224"/>
      <c r="C283" s="224"/>
      <c r="D283" s="224"/>
      <c r="E283" s="224"/>
      <c r="F283" s="224"/>
      <c r="G283" s="224"/>
      <c r="H283" s="224"/>
      <c r="I283" s="224"/>
      <c r="J283" s="224"/>
      <c r="S283" s="423"/>
      <c r="T283" s="455"/>
      <c r="U283" s="5"/>
      <c r="V283" s="443"/>
    </row>
    <row r="284" spans="1:22">
      <c r="A284" s="224"/>
      <c r="B284" s="224"/>
      <c r="C284" s="224"/>
      <c r="D284" s="224"/>
      <c r="E284" s="224"/>
      <c r="F284" s="224"/>
      <c r="G284" s="224"/>
      <c r="H284" s="224"/>
      <c r="I284" s="224"/>
      <c r="J284" s="224"/>
      <c r="S284" s="423"/>
      <c r="T284" s="455"/>
      <c r="U284" s="5"/>
      <c r="V284" s="443"/>
    </row>
    <row r="285" spans="1:22">
      <c r="A285" s="224"/>
      <c r="B285" s="224"/>
      <c r="C285" s="224"/>
      <c r="D285" s="224"/>
      <c r="E285" s="224"/>
      <c r="F285" s="224"/>
      <c r="G285" s="224"/>
      <c r="H285" s="224"/>
      <c r="I285" s="224"/>
      <c r="J285" s="224"/>
      <c r="S285" s="423"/>
      <c r="T285" s="455"/>
      <c r="U285" s="5"/>
      <c r="V285" s="443"/>
    </row>
    <row r="286" spans="1:22">
      <c r="A286" s="224"/>
      <c r="B286" s="224"/>
      <c r="C286" s="224"/>
      <c r="D286" s="224"/>
      <c r="E286" s="224"/>
      <c r="F286" s="224"/>
      <c r="G286" s="224"/>
      <c r="H286" s="224"/>
      <c r="I286" s="224"/>
      <c r="J286" s="224"/>
      <c r="S286" s="423"/>
      <c r="T286" s="455"/>
      <c r="U286" s="5"/>
      <c r="V286" s="443"/>
    </row>
    <row r="287" spans="1:22">
      <c r="A287" s="224"/>
      <c r="B287" s="224"/>
      <c r="C287" s="224"/>
      <c r="D287" s="224"/>
      <c r="E287" s="224"/>
      <c r="F287" s="224"/>
      <c r="G287" s="224"/>
      <c r="H287" s="224"/>
      <c r="I287" s="224"/>
      <c r="J287" s="224"/>
      <c r="S287" s="423"/>
      <c r="T287" s="455"/>
      <c r="U287" s="5"/>
      <c r="V287" s="443"/>
    </row>
    <row r="288" spans="1:22">
      <c r="A288" s="224"/>
      <c r="B288" s="224"/>
      <c r="C288" s="224"/>
      <c r="D288" s="224"/>
      <c r="E288" s="224"/>
      <c r="F288" s="224"/>
      <c r="G288" s="224"/>
      <c r="H288" s="224"/>
      <c r="I288" s="224"/>
      <c r="J288" s="224"/>
      <c r="S288" s="423"/>
      <c r="T288" s="455"/>
      <c r="U288" s="5"/>
      <c r="V288" s="443"/>
    </row>
    <row r="289" spans="1:22" ht="15" thickBot="1">
      <c r="A289" s="224"/>
      <c r="B289" s="224"/>
      <c r="C289" s="224"/>
      <c r="D289" s="224"/>
      <c r="E289" s="224"/>
      <c r="F289" s="224"/>
      <c r="G289" s="224"/>
      <c r="H289" s="224"/>
      <c r="I289" s="224"/>
      <c r="J289" s="224"/>
      <c r="S289" s="423"/>
      <c r="T289" s="455"/>
      <c r="U289" s="5"/>
      <c r="V289" s="443"/>
    </row>
    <row r="290" spans="1:22">
      <c r="A290" s="224"/>
      <c r="B290" s="224"/>
      <c r="C290" s="224"/>
      <c r="D290" s="224"/>
      <c r="E290" s="224"/>
      <c r="F290" s="224"/>
      <c r="G290" s="224"/>
      <c r="H290" s="224"/>
      <c r="I290" s="224"/>
      <c r="J290" s="224"/>
      <c r="R290" t="s">
        <v>65</v>
      </c>
      <c r="T290" s="452" t="str" cm="1">
        <f t="array" ref="T290:V290">IFERROR(_xlfn._xlws.FILTER(#REF!,(#REF!=1)*(#REF!&lt;&gt;0)),{"","",""})</f>
        <v/>
      </c>
      <c r="U290" s="416" t="str">
        <v/>
      </c>
      <c r="V290" s="206" t="str">
        <v/>
      </c>
    </row>
    <row r="291" spans="1:22">
      <c r="A291" s="224"/>
      <c r="B291" s="224"/>
      <c r="C291" s="224"/>
      <c r="D291" s="224"/>
      <c r="E291" s="224"/>
      <c r="F291" s="224"/>
      <c r="G291" s="224"/>
      <c r="H291" s="224"/>
      <c r="I291" s="224"/>
      <c r="J291" s="224"/>
      <c r="T291" s="453"/>
      <c r="V291" s="108"/>
    </row>
    <row r="292" spans="1:22">
      <c r="A292" s="224"/>
      <c r="B292" s="224"/>
      <c r="C292" s="224"/>
      <c r="D292" s="224"/>
      <c r="E292" s="224"/>
      <c r="F292" s="224"/>
      <c r="G292" s="224"/>
      <c r="H292" s="224"/>
      <c r="I292" s="224"/>
      <c r="J292" s="224"/>
      <c r="T292" s="453"/>
      <c r="V292" s="108"/>
    </row>
    <row r="293" spans="1:22">
      <c r="A293" s="224"/>
      <c r="B293" s="224"/>
      <c r="C293" s="224"/>
      <c r="D293" s="224"/>
      <c r="E293" s="224"/>
      <c r="F293" s="224"/>
      <c r="G293" s="224"/>
      <c r="H293" s="224"/>
      <c r="I293" s="224"/>
      <c r="J293" s="224"/>
      <c r="T293" s="453"/>
      <c r="V293" s="108"/>
    </row>
    <row r="294" spans="1:22">
      <c r="A294" s="224"/>
      <c r="B294" s="224"/>
      <c r="C294" s="224"/>
      <c r="D294" s="224"/>
      <c r="E294" s="224"/>
      <c r="F294" s="224"/>
      <c r="G294" s="224"/>
      <c r="H294" s="224"/>
      <c r="I294" s="224"/>
      <c r="J294" s="224"/>
      <c r="T294" s="453"/>
      <c r="V294" s="108"/>
    </row>
    <row r="295" spans="1:22">
      <c r="A295" s="224"/>
      <c r="B295" s="224"/>
      <c r="C295" s="224"/>
      <c r="D295" s="224"/>
      <c r="E295" s="224"/>
      <c r="F295" s="224"/>
      <c r="G295" s="224"/>
      <c r="H295" s="224"/>
      <c r="I295" s="224"/>
      <c r="J295" s="224"/>
      <c r="T295" s="453"/>
      <c r="V295" s="108"/>
    </row>
    <row r="296" spans="1:22">
      <c r="A296" s="224"/>
      <c r="B296" s="224"/>
      <c r="C296" s="224"/>
      <c r="D296" s="224"/>
      <c r="E296" s="224"/>
      <c r="F296" s="224"/>
      <c r="G296" s="224"/>
      <c r="H296" s="224"/>
      <c r="I296" s="224"/>
      <c r="J296" s="224"/>
      <c r="T296" s="453"/>
      <c r="V296" s="108"/>
    </row>
    <row r="297" spans="1:22">
      <c r="A297" s="224"/>
      <c r="B297" s="224"/>
      <c r="C297" s="224"/>
      <c r="D297" s="224"/>
      <c r="E297" s="224"/>
      <c r="F297" s="224"/>
      <c r="G297" s="224"/>
      <c r="H297" s="224"/>
      <c r="I297" s="224"/>
      <c r="J297" s="224"/>
      <c r="T297" s="453"/>
      <c r="V297" s="108"/>
    </row>
    <row r="298" spans="1:22">
      <c r="A298" s="224"/>
      <c r="B298" s="224"/>
      <c r="C298" s="224"/>
      <c r="D298" s="224"/>
      <c r="E298" s="224"/>
      <c r="F298" s="224"/>
      <c r="G298" s="224"/>
      <c r="H298" s="224"/>
      <c r="I298" s="224"/>
      <c r="J298" s="224"/>
      <c r="T298" s="453"/>
      <c r="V298" s="108"/>
    </row>
    <row r="299" spans="1:22" ht="15" thickBot="1">
      <c r="A299" s="224"/>
      <c r="B299" s="224"/>
      <c r="C299" s="224"/>
      <c r="D299" s="224"/>
      <c r="E299" s="224"/>
      <c r="F299" s="224"/>
      <c r="G299" s="224"/>
      <c r="H299" s="224"/>
      <c r="I299" s="224"/>
      <c r="J299" s="224"/>
      <c r="T299" s="454"/>
      <c r="U299" s="315"/>
      <c r="V299" s="110"/>
    </row>
    <row r="300" spans="1:22">
      <c r="A300" s="224"/>
      <c r="B300" s="224"/>
      <c r="C300" s="224"/>
      <c r="D300" s="224"/>
      <c r="E300" s="224"/>
      <c r="F300" s="224"/>
      <c r="G300" s="224"/>
      <c r="H300" s="224"/>
      <c r="I300" s="224"/>
      <c r="J300" s="224"/>
      <c r="R300" t="s">
        <v>66</v>
      </c>
      <c r="T300" s="452" t="str" cm="1">
        <f t="array" ref="T300:V300">IFERROR(_xlfn._xlws.FILTER(#REF!,(#REF!=1)*(#REF!&lt;&gt;0)),{"","",""})</f>
        <v/>
      </c>
      <c r="U300" s="416" t="str">
        <v/>
      </c>
      <c r="V300" s="206" t="str">
        <v/>
      </c>
    </row>
    <row r="301" spans="1:22">
      <c r="A301" s="224"/>
      <c r="B301" s="224"/>
      <c r="C301" s="224"/>
      <c r="D301" s="224"/>
      <c r="E301" s="224"/>
      <c r="F301" s="224"/>
      <c r="G301" s="224"/>
      <c r="H301" s="224"/>
      <c r="I301" s="224"/>
      <c r="J301" s="224"/>
      <c r="T301" s="453"/>
      <c r="V301" s="108"/>
    </row>
    <row r="302" spans="1:22">
      <c r="A302" s="224"/>
      <c r="B302" s="224"/>
      <c r="C302" s="224"/>
      <c r="D302" s="224"/>
      <c r="E302" s="224"/>
      <c r="F302" s="224"/>
      <c r="G302" s="224"/>
      <c r="H302" s="224"/>
      <c r="I302" s="224"/>
      <c r="J302" s="224"/>
      <c r="T302" s="453"/>
      <c r="V302" s="108"/>
    </row>
    <row r="303" spans="1:22">
      <c r="A303" s="224"/>
      <c r="B303" s="224"/>
      <c r="C303" s="224"/>
      <c r="D303" s="224"/>
      <c r="E303" s="224"/>
      <c r="F303" s="224"/>
      <c r="G303" s="224"/>
      <c r="H303" s="224"/>
      <c r="I303" s="224"/>
      <c r="J303" s="224"/>
      <c r="T303" s="453"/>
      <c r="V303" s="108"/>
    </row>
    <row r="304" spans="1:22">
      <c r="A304" s="224"/>
      <c r="B304" s="224"/>
      <c r="C304" s="224"/>
      <c r="D304" s="224"/>
      <c r="E304" s="224"/>
      <c r="F304" s="224"/>
      <c r="G304" s="224"/>
      <c r="H304" s="224"/>
      <c r="I304" s="224"/>
      <c r="J304" s="224"/>
      <c r="T304" s="453"/>
      <c r="V304" s="108"/>
    </row>
    <row r="305" spans="1:22">
      <c r="A305" s="224"/>
      <c r="B305" s="224"/>
      <c r="C305" s="224"/>
      <c r="D305" s="224"/>
      <c r="E305" s="224"/>
      <c r="F305" s="224"/>
      <c r="G305" s="224"/>
      <c r="H305" s="224"/>
      <c r="I305" s="224"/>
      <c r="J305" s="224"/>
      <c r="T305" s="453"/>
      <c r="V305" s="108"/>
    </row>
    <row r="306" spans="1:22">
      <c r="T306" s="453"/>
      <c r="V306" s="108"/>
    </row>
    <row r="307" spans="1:22">
      <c r="T307" s="453"/>
      <c r="V307" s="108"/>
    </row>
    <row r="308" spans="1:22">
      <c r="T308" s="453"/>
      <c r="V308" s="108"/>
    </row>
    <row r="309" spans="1:22" ht="15" thickBot="1">
      <c r="T309" s="454"/>
      <c r="U309" s="315"/>
      <c r="V309" s="110"/>
    </row>
    <row r="310" spans="1:22">
      <c r="T310" s="42">
        <v>3</v>
      </c>
      <c r="U310" s="224" t="s">
        <v>898</v>
      </c>
      <c r="V310" s="422" t="e">
        <f>#REF!</f>
        <v>#REF!</v>
      </c>
    </row>
    <row r="311" spans="1:22">
      <c r="U311" s="224"/>
      <c r="V311" s="422"/>
    </row>
    <row r="319" spans="1:22">
      <c r="T319" s="42" t="s">
        <v>1180</v>
      </c>
    </row>
    <row r="320" spans="1:22">
      <c r="T320" s="42" t="e" cm="1">
        <f t="array" ref="T320">_xlfn.VSTACK(CFO_NI_Recon_NIx,{4,"Adjustments",""},IFERROR(_xlfn._xlws.FILTER(#REF!,(#REF!=1)*(#REF!&lt;&gt;0)),{"","",""}),{4,"Changes in Assets and Liabilities Due to Operations",""},IFERROR(_xlfn._xlws.FILTER(#REF!,(#REF!=1)*(#REF!&lt;&gt;0)),{"","",""}))</f>
        <v>#NAME?</v>
      </c>
      <c r="V320" s="37"/>
    </row>
    <row r="321" spans="22:22">
      <c r="V321" s="37"/>
    </row>
    <row r="322" spans="22:22">
      <c r="V322" s="37"/>
    </row>
    <row r="323" spans="22:22">
      <c r="V323" s="37"/>
    </row>
    <row r="324" spans="22:22">
      <c r="V324" s="37"/>
    </row>
    <row r="325" spans="22:22">
      <c r="V325" s="37"/>
    </row>
    <row r="326" spans="22:22">
      <c r="V326" s="37"/>
    </row>
    <row r="327" spans="22:22">
      <c r="V327" s="37"/>
    </row>
    <row r="328" spans="22:22">
      <c r="V328" s="37"/>
    </row>
    <row r="329" spans="22:22">
      <c r="V329" s="37"/>
    </row>
    <row r="330" spans="22:22">
      <c r="V330" s="37"/>
    </row>
    <row r="331" spans="22:22">
      <c r="V331" s="37"/>
    </row>
    <row r="332" spans="22:22">
      <c r="V332" s="37"/>
    </row>
    <row r="333" spans="22:22">
      <c r="V333" s="37"/>
    </row>
    <row r="334" spans="22:22">
      <c r="V334" s="37"/>
    </row>
    <row r="335" spans="22:22">
      <c r="V335" s="37"/>
    </row>
    <row r="336" spans="22:22">
      <c r="V336" s="37"/>
    </row>
    <row r="337" spans="21:22">
      <c r="V337" s="37"/>
    </row>
    <row r="338" spans="21:22">
      <c r="V338" s="37"/>
    </row>
    <row r="339" spans="21:22">
      <c r="V339" s="37"/>
    </row>
    <row r="340" spans="21:22">
      <c r="V340" s="37"/>
    </row>
    <row r="341" spans="21:22">
      <c r="V341" s="37"/>
    </row>
    <row r="342" spans="21:22">
      <c r="V342" s="37"/>
    </row>
    <row r="343" spans="21:22">
      <c r="V343" s="37"/>
    </row>
    <row r="344" spans="21:22">
      <c r="V344" s="37"/>
    </row>
    <row r="346" spans="21:22">
      <c r="U346" s="5" t="s">
        <v>876</v>
      </c>
    </row>
    <row r="347" spans="21:22">
      <c r="U347" t="str">
        <f>A4</f>
        <v>Direct CFO</v>
      </c>
      <c r="V347">
        <f>IF(U347="Direct CFO",0,4)</f>
        <v>0</v>
      </c>
    </row>
    <row r="348" spans="21:22">
      <c r="U348" t="str">
        <f>A5</f>
        <v>Hide NCIF</v>
      </c>
      <c r="V348">
        <f>IF(U348="Hide NCIF",0,2)</f>
        <v>0</v>
      </c>
    </row>
    <row r="349" spans="21:22">
      <c r="U349" t="str">
        <f>A6</f>
        <v>Show NI CFO Recon</v>
      </c>
      <c r="V349">
        <f>IF(U349="Hide NI CFO Recon",0,1)</f>
        <v>1</v>
      </c>
    </row>
    <row r="350" spans="21:22">
      <c r="U350" s="5" t="s">
        <v>607</v>
      </c>
      <c r="V350" s="5">
        <f>SUM(V347:V349)</f>
        <v>1</v>
      </c>
    </row>
    <row r="357" spans="21:22">
      <c r="U357" t="s">
        <v>829</v>
      </c>
      <c r="V357">
        <v>0</v>
      </c>
    </row>
    <row r="358" spans="21:22">
      <c r="U358" t="s">
        <v>877</v>
      </c>
      <c r="V358">
        <v>2</v>
      </c>
    </row>
    <row r="359" spans="21:22">
      <c r="U359" t="s">
        <v>878</v>
      </c>
      <c r="V359">
        <v>3</v>
      </c>
    </row>
    <row r="360" spans="21:22">
      <c r="U360" t="s">
        <v>879</v>
      </c>
      <c r="V360">
        <v>4</v>
      </c>
    </row>
    <row r="361" spans="21:22">
      <c r="U361" t="s">
        <v>880</v>
      </c>
      <c r="V361">
        <v>6</v>
      </c>
    </row>
    <row r="389" spans="20:20">
      <c r="T389" s="42" t="s">
        <v>1180</v>
      </c>
    </row>
    <row r="390" spans="20:20">
      <c r="T390" s="42" t="e" cm="1">
        <f t="array" ref="T390">_xlfn.VSTACK({1,"Operating",""},CFO_NI_Recon_NIx,{2,"Adjustments",""},_xlfn.ANCHORARRAY(T260),_xlfn.ANCHORARRAY(T270),_xlfn.ANCHORARRAY(T280),{2,"Changes in Assets and Liabilities Due to Operations",""},_xlfn.ANCHORARRAY(T290),_xlfn.ANCHORARRAY(T300))</f>
        <v>#NAME?</v>
      </c>
    </row>
  </sheetData>
  <mergeCells count="1">
    <mergeCell ref="F4:V4"/>
  </mergeCells>
  <conditionalFormatting sqref="C7:C60 Y7:Y60">
    <cfRule type="expression" dxfId="303" priority="222">
      <formula>AND($B7=6,$B8=7)</formula>
    </cfRule>
    <cfRule type="expression" dxfId="302" priority="227">
      <formula>AND($B7=7,$B8=7)</formula>
    </cfRule>
  </conditionalFormatting>
  <conditionalFormatting sqref="C6:D6 J6:R6 Y6:Z6">
    <cfRule type="expression" dxfId="301" priority="3">
      <formula>$A$2=2</formula>
    </cfRule>
  </conditionalFormatting>
  <conditionalFormatting sqref="C6:D80">
    <cfRule type="expression" dxfId="300" priority="115">
      <formula>AND($A$2=2,$B6=1)</formula>
    </cfRule>
  </conditionalFormatting>
  <conditionalFormatting sqref="C7:D60 Y7:Z60">
    <cfRule type="expression" dxfId="299" priority="112">
      <formula>AND($A$2=2,$B7=4)</formula>
    </cfRule>
    <cfRule type="expression" dxfId="298" priority="232">
      <formula>OR($B7="",$B7=0)</formula>
    </cfRule>
  </conditionalFormatting>
  <conditionalFormatting sqref="D7:D60 Z7:Z60">
    <cfRule type="expression" dxfId="297" priority="219">
      <formula>AND($A$1=1,B7=7,B8&lt;&gt;7)</formula>
    </cfRule>
    <cfRule type="expression" dxfId="296" priority="220">
      <formula>AND($A$1=1,B7=6,B8=7)</formula>
    </cfRule>
    <cfRule type="expression" dxfId="295" priority="221">
      <formula>AND($A$1=1,OR(B7=3,B7=5,AND(B7=6,B8&lt;&gt;7)))</formula>
    </cfRule>
    <cfRule type="expression" dxfId="294" priority="193">
      <formula>AND($A$1=2,B7=7,B8=7)</formula>
    </cfRule>
    <cfRule type="expression" dxfId="293" priority="194">
      <formula>AND($A$1=2,B7=7,B8&lt;&gt;7)</formula>
    </cfRule>
    <cfRule type="expression" dxfId="292" priority="195">
      <formula>AND($A$1=2,B7=6,B8=7)</formula>
    </cfRule>
    <cfRule type="expression" dxfId="291" priority="196">
      <formula>AND($A$1=2,OR(B7=3,B7=5,AND(B7=6,B8&lt;&gt;7)))</formula>
    </cfRule>
    <cfRule type="expression" dxfId="290" priority="218">
      <formula>AND($A$1=1,B7=7,B8=7)</formula>
    </cfRule>
  </conditionalFormatting>
  <conditionalFormatting sqref="F7:F60">
    <cfRule type="expression" dxfId="289" priority="228">
      <formula>AND($E7=7,$E8=7)</formula>
    </cfRule>
    <cfRule type="expression" dxfId="288" priority="223">
      <formula>AND($E7=6,$E8=7)</formula>
    </cfRule>
  </conditionalFormatting>
  <conditionalFormatting sqref="F6:G60">
    <cfRule type="expression" dxfId="287" priority="110">
      <formula>AND($A$2=2,$E6=1)</formula>
    </cfRule>
  </conditionalFormatting>
  <conditionalFormatting sqref="F7:G60">
    <cfRule type="expression" dxfId="286" priority="134">
      <formula>AND(OR($E7=6,$E7=7),$H7=1,$G100="NotFound")</formula>
    </cfRule>
    <cfRule type="expression" dxfId="285" priority="233">
      <formula>OR($E7="",$E7=0)</formula>
    </cfRule>
    <cfRule type="expression" dxfId="284" priority="111">
      <formula>AND($A$2=2,$E7=2)</formula>
    </cfRule>
  </conditionalFormatting>
  <conditionalFormatting sqref="G7:G60">
    <cfRule type="expression" dxfId="283" priority="183">
      <formula>AND($A$1=2,E7=7,E8=7)</formula>
    </cfRule>
    <cfRule type="expression" dxfId="282" priority="182">
      <formula>AND($A$1=2,E7=3)</formula>
    </cfRule>
    <cfRule type="expression" dxfId="281" priority="216">
      <formula>OR(E7=5,AND($A$1=1,E7=6,E8&lt;&gt;7))</formula>
    </cfRule>
    <cfRule type="expression" dxfId="280" priority="215">
      <formula>AND($A$1=1,E7=6,E8=7)</formula>
    </cfRule>
    <cfRule type="expression" dxfId="279" priority="214">
      <formula>AND($A$1=1,E7=7,E8&lt;&gt;7)</formula>
    </cfRule>
    <cfRule type="expression" dxfId="278" priority="213">
      <formula>AND($A$1=1,E7=7,E8=7)</formula>
    </cfRule>
    <cfRule type="expression" dxfId="277" priority="191">
      <formula>AND($A$1=1,OR(E7=3,E7=5,AND(E7=6,E8&lt;&gt;7)))</formula>
    </cfRule>
    <cfRule type="expression" dxfId="276" priority="190">
      <formula>AND($A$1=1,E7=6,E8=7)</formula>
    </cfRule>
    <cfRule type="expression" dxfId="275" priority="189">
      <formula>AND($A$1=1,E7=7,E8&lt;&gt;7)</formula>
    </cfRule>
    <cfRule type="expression" dxfId="274" priority="188">
      <formula>AND($A$1=1,E7=7,E8=7)</formula>
    </cfRule>
    <cfRule type="expression" dxfId="273" priority="187">
      <formula>AND($A$1=1,E7=3)</formula>
    </cfRule>
    <cfRule type="expression" dxfId="272" priority="186">
      <formula>AND($A$1=2,OR(E7=3,E7=5,AND(E7=6,E8&lt;&gt;7)))</formula>
    </cfRule>
    <cfRule type="expression" dxfId="271" priority="185">
      <formula>AND($A$1=2,E7=6,E8=7)</formula>
    </cfRule>
    <cfRule type="expression" dxfId="270" priority="184">
      <formula>AND($A$1=2,E7=7,E8&lt;&gt;7)</formula>
    </cfRule>
  </conditionalFormatting>
  <conditionalFormatting sqref="J7:J21">
    <cfRule type="expression" dxfId="269" priority="229">
      <formula>AND($I7=7,$I8=7)</formula>
    </cfRule>
    <cfRule type="expression" dxfId="268" priority="224">
      <formula>AND($I7=6,$I8=7)</formula>
    </cfRule>
  </conditionalFormatting>
  <conditionalFormatting sqref="J7:Q21">
    <cfRule type="expression" dxfId="267" priority="135">
      <formula>AND(OR($I7=6,$I7=7),$J7&lt;&gt;"",$K100="NotFound")</formula>
    </cfRule>
  </conditionalFormatting>
  <conditionalFormatting sqref="J7:R21">
    <cfRule type="expression" dxfId="266" priority="234">
      <formula>OR($I7="",$I7=0)</formula>
    </cfRule>
    <cfRule type="expression" dxfId="265" priority="151">
      <formula>AND($A$2=2,$I7=2)</formula>
    </cfRule>
  </conditionalFormatting>
  <conditionalFormatting sqref="K7:R21">
    <cfRule type="expression" dxfId="264" priority="159">
      <formula>AND($A$1=1,$I7=3)</formula>
    </cfRule>
    <cfRule type="expression" dxfId="263" priority="153">
      <formula>AND($A$1=2,$I7=3)</formula>
    </cfRule>
    <cfRule type="expression" dxfId="262" priority="144">
      <formula>AND($A$1=1,$I7=7,$I8&lt;&gt;7)</formula>
    </cfRule>
    <cfRule type="expression" dxfId="261" priority="143">
      <formula>AND($A$1=1,$I7=7,$I8=7)</formula>
    </cfRule>
    <cfRule type="expression" dxfId="260" priority="142">
      <formula>AND($A$1=2,$I7=7,$I8&lt;&gt;7)</formula>
    </cfRule>
    <cfRule type="expression" dxfId="259" priority="141">
      <formula>AND($A$1=2,$I7=7,$I8=7)</formula>
    </cfRule>
    <cfRule type="expression" dxfId="258" priority="140">
      <formula>OR(K$7="",K$7=0)</formula>
    </cfRule>
    <cfRule type="expression" dxfId="257" priority="138">
      <formula>K$7&lt;&gt;""</formula>
    </cfRule>
  </conditionalFormatting>
  <conditionalFormatting sqref="U7:U37 U40:U51 U54:U60">
    <cfRule type="expression" dxfId="256" priority="225">
      <formula>AND($T7=6,$T8=7)</formula>
    </cfRule>
    <cfRule type="expression" dxfId="255" priority="230">
      <formula>AND($T7=7,$T8=7)</formula>
    </cfRule>
  </conditionalFormatting>
  <conditionalFormatting sqref="U7:U60">
    <cfRule type="expression" dxfId="254" priority="145">
      <formula>AND($A$2=2,T7=1)</formula>
    </cfRule>
  </conditionalFormatting>
  <conditionalFormatting sqref="U6:V38 U40:V52 U54:V60">
    <cfRule type="expression" dxfId="253" priority="114">
      <formula>AND($A$2=2,$T6=1)</formula>
    </cfRule>
  </conditionalFormatting>
  <conditionalFormatting sqref="U7:V38 U40:V52 U54:V60">
    <cfRule type="expression" dxfId="252" priority="235">
      <formula>OR($T7="",$T7=0)</formula>
    </cfRule>
    <cfRule type="expression" dxfId="251" priority="108">
      <formula>AND($A$2=2,$T7=4)</formula>
    </cfRule>
    <cfRule type="expression" dxfId="250" priority="244">
      <formula>AND($A$2=2,$T7=2)</formula>
    </cfRule>
  </conditionalFormatting>
  <conditionalFormatting sqref="U7:V60">
    <cfRule type="expression" dxfId="249" priority="132">
      <formula>AND(OR($T7=6,$T7=7),$U7&lt;&gt;"",$V100="NotFound")</formula>
    </cfRule>
  </conditionalFormatting>
  <conditionalFormatting sqref="V7:V60">
    <cfRule type="expression" dxfId="248" priority="210">
      <formula>AND($A$1=1,T7=6,T8=7)</formula>
    </cfRule>
    <cfRule type="expression" dxfId="247" priority="146">
      <formula>AND($A$1=2,T7=3)</formula>
    </cfRule>
    <cfRule type="expression" dxfId="246" priority="209">
      <formula>AND($A$1=1,T7=7,T8&lt;&gt;7)</formula>
    </cfRule>
    <cfRule type="expression" dxfId="245" priority="208">
      <formula>AND($A$1=1,T7=7,T8=7)</formula>
    </cfRule>
    <cfRule type="expression" dxfId="244" priority="207">
      <formula>T7=3</formula>
    </cfRule>
    <cfRule type="expression" dxfId="243" priority="181">
      <formula>AND($A$1=1,OR(T7=5,AND(T7=6,T8&lt;&gt;7)))</formula>
    </cfRule>
    <cfRule type="expression" dxfId="242" priority="177">
      <formula>AND($A$1=2,OR(T7=5,AND(T7=6,T8&lt;&gt;7)))</formula>
    </cfRule>
    <cfRule type="expression" dxfId="241" priority="180">
      <formula>AND($A$1=1,T7=6,T8=7)</formula>
    </cfRule>
    <cfRule type="expression" dxfId="240" priority="179">
      <formula>AND($A$1=1,T7=7,T8=7)</formula>
    </cfRule>
    <cfRule type="expression" dxfId="239" priority="176">
      <formula>AND($A$1=2,T7=6,T8=7)</formula>
    </cfRule>
    <cfRule type="expression" dxfId="238" priority="174">
      <formula>AND($A$1=2,T7=7,T8=7)</formula>
    </cfRule>
    <cfRule type="expression" dxfId="237" priority="175">
      <formula>AND($A$1=2,T7=7,T8&lt;&gt;7)</formula>
    </cfRule>
    <cfRule type="expression" dxfId="236" priority="178">
      <formula>AND($A$1=1,T7=3)</formula>
    </cfRule>
    <cfRule type="expression" dxfId="235" priority="211">
      <formula>OR(T7=5,AND($A$1=1,T7=6,T8&lt;&gt;7))</formula>
    </cfRule>
  </conditionalFormatting>
  <conditionalFormatting sqref="Y7:Z60 C7:D60">
    <cfRule type="expression" dxfId="234" priority="109">
      <formula>AND($A$2=2,$B7=2)</formula>
    </cfRule>
  </conditionalFormatting>
  <conditionalFormatting sqref="Y7:Z60">
    <cfRule type="expression" dxfId="233" priority="49">
      <formula>AND(OR($B7=6,$B7=7),$AA7=1)</formula>
    </cfRule>
  </conditionalFormatting>
  <conditionalFormatting sqref="Z7:Z60 D7:D60">
    <cfRule type="expression" dxfId="232" priority="192">
      <formula>AND($A$1=2,B7=3)</formula>
    </cfRule>
    <cfRule type="expression" dxfId="231" priority="217">
      <formula>AND($A$1=1,B7=3)</formula>
    </cfRule>
  </conditionalFormatting>
  <conditionalFormatting sqref="Z7:Z60">
    <cfRule type="expression" dxfId="230" priority="202">
      <formula>B7=3</formula>
    </cfRule>
    <cfRule type="expression" dxfId="229" priority="150">
      <formula>AND($A$1=2,B7=2)</formula>
    </cfRule>
    <cfRule type="expression" dxfId="228" priority="139">
      <formula>AND($A$2=2,B7=2)</formula>
    </cfRule>
    <cfRule type="expression" dxfId="227" priority="164">
      <formula>AND($A$1=2,B7=3)</formula>
    </cfRule>
    <cfRule type="expression" dxfId="226" priority="165">
      <formula>AND($A$1=2,B7=7,B8=7)</formula>
    </cfRule>
    <cfRule type="expression" dxfId="225" priority="166">
      <formula>AND($A$1=2,B7=7,B8&lt;&gt;7)</formula>
    </cfRule>
    <cfRule type="expression" dxfId="224" priority="167">
      <formula>AND($A$1=2,B7=6,B8=7)</formula>
    </cfRule>
    <cfRule type="expression" dxfId="223" priority="168">
      <formula>AND($A$1=2,OR(B7=3,B7=5,AND(B7=6,B8&lt;&gt;7)))</formula>
    </cfRule>
    <cfRule type="expression" dxfId="222" priority="206">
      <formula>OR(X7=5,AND($A$1=1,B7=6,B8&lt;&gt;7))</formula>
    </cfRule>
    <cfRule type="expression" dxfId="221" priority="170">
      <formula>AND($A$1=1,B7=7,B8=7)</formula>
    </cfRule>
    <cfRule type="expression" dxfId="220" priority="171">
      <formula>AND($A$1=1,B7=7,B8&lt;&gt;7)</formula>
    </cfRule>
    <cfRule type="expression" dxfId="219" priority="172">
      <formula>AND($A$1=1,B7=6,B8=7)</formula>
    </cfRule>
    <cfRule type="expression" dxfId="218" priority="173">
      <formula>AND($A$1=1,OR(B7=3,B7=5,AND(B7=6,B8&lt;&gt;7)))</formula>
    </cfRule>
    <cfRule type="expression" dxfId="217" priority="169">
      <formula>AND($A$1=1,B7=3)</formula>
    </cfRule>
    <cfRule type="expression" dxfId="216" priority="205">
      <formula>AND($A$1=1,B7=6,B8=7)</formula>
    </cfRule>
    <cfRule type="expression" dxfId="215" priority="204">
      <formula>AND($A$1=1,B7=7,B8&lt;&gt;7)</formula>
    </cfRule>
    <cfRule type="expression" dxfId="214" priority="203">
      <formula>AND($A$1=1,B7=7,B8=7)</formula>
    </cfRule>
  </conditionalFormatting>
  <conditionalFormatting sqref="AC6:AF20">
    <cfRule type="expression" dxfId="213" priority="95">
      <formula>$AD$6="None"</formula>
    </cfRule>
  </conditionalFormatting>
  <conditionalFormatting sqref="AC22:AF30">
    <cfRule type="expression" dxfId="212" priority="94">
      <formula>$AD$22="None"</formula>
    </cfRule>
  </conditionalFormatting>
  <conditionalFormatting sqref="AC32:AF40">
    <cfRule type="expression" dxfId="211" priority="93">
      <formula>$AD$32="None"</formula>
    </cfRule>
  </conditionalFormatting>
  <conditionalFormatting sqref="AC42:AF50">
    <cfRule type="expression" dxfId="210" priority="38">
      <formula>$AD$42="None"</formula>
    </cfRule>
  </conditionalFormatting>
  <conditionalFormatting sqref="AC52:AF60">
    <cfRule type="expression" dxfId="209" priority="33">
      <formula>$AD$52="None"</formula>
    </cfRule>
  </conditionalFormatting>
  <conditionalFormatting sqref="AC6:AV60">
    <cfRule type="expression" priority="4">
      <formula>"True"</formula>
    </cfRule>
  </conditionalFormatting>
  <conditionalFormatting sqref="AG6:AJ20">
    <cfRule type="expression" dxfId="208" priority="99">
      <formula>$AH$6="None"</formula>
    </cfRule>
  </conditionalFormatting>
  <conditionalFormatting sqref="AG22:AJ30">
    <cfRule type="expression" dxfId="207" priority="90">
      <formula>$AH$22="None"</formula>
    </cfRule>
  </conditionalFormatting>
  <conditionalFormatting sqref="AG32:AJ40">
    <cfRule type="expression" dxfId="206" priority="89">
      <formula>$AH$32="None"</formula>
    </cfRule>
  </conditionalFormatting>
  <conditionalFormatting sqref="AG42:AJ50">
    <cfRule type="expression" dxfId="205" priority="40">
      <formula>$AH$42="None"</formula>
    </cfRule>
  </conditionalFormatting>
  <conditionalFormatting sqref="AG52:AJ60">
    <cfRule type="expression" dxfId="204" priority="34">
      <formula>$AH$52="None"</formula>
    </cfRule>
  </conditionalFormatting>
  <conditionalFormatting sqref="AK6:AN20">
    <cfRule type="expression" dxfId="203" priority="98">
      <formula>$AL$6="None"</formula>
    </cfRule>
  </conditionalFormatting>
  <conditionalFormatting sqref="AK22:AN30">
    <cfRule type="expression" dxfId="202" priority="87">
      <formula>$AL$22="None"</formula>
    </cfRule>
  </conditionalFormatting>
  <conditionalFormatting sqref="AK32:AN40">
    <cfRule type="expression" dxfId="201" priority="88">
      <formula>$AL$32="None"</formula>
    </cfRule>
  </conditionalFormatting>
  <conditionalFormatting sqref="AK42:AN50">
    <cfRule type="expression" dxfId="200" priority="41">
      <formula>$AL$42="None"</formula>
    </cfRule>
  </conditionalFormatting>
  <conditionalFormatting sqref="AK52:AN60">
    <cfRule type="expression" dxfId="199" priority="35">
      <formula>$AL$52="None"</formula>
    </cfRule>
  </conditionalFormatting>
  <conditionalFormatting sqref="AO6:AR20">
    <cfRule type="expression" dxfId="198" priority="97">
      <formula>$AP$6="None"</formula>
    </cfRule>
  </conditionalFormatting>
  <conditionalFormatting sqref="AO22:AR30">
    <cfRule type="expression" dxfId="197" priority="85">
      <formula>$AP$22="None"</formula>
    </cfRule>
  </conditionalFormatting>
  <conditionalFormatting sqref="AO32:AR40">
    <cfRule type="expression" dxfId="196" priority="86">
      <formula>$AP$32="None"</formula>
    </cfRule>
  </conditionalFormatting>
  <conditionalFormatting sqref="AO42:AR50">
    <cfRule type="expression" dxfId="195" priority="44">
      <formula>$AP$42="None"</formula>
    </cfRule>
  </conditionalFormatting>
  <conditionalFormatting sqref="AO52:AR60">
    <cfRule type="expression" dxfId="194" priority="36">
      <formula>$AP$52="None"</formula>
    </cfRule>
  </conditionalFormatting>
  <conditionalFormatting sqref="AS6:AV20">
    <cfRule type="expression" dxfId="193" priority="96">
      <formula>$AT$6="None"</formula>
    </cfRule>
  </conditionalFormatting>
  <conditionalFormatting sqref="AS22:AV30">
    <cfRule type="expression" dxfId="192" priority="91">
      <formula>$AT$22="None"</formula>
    </cfRule>
  </conditionalFormatting>
  <conditionalFormatting sqref="AS32:AV40">
    <cfRule type="expression" dxfId="191" priority="43">
      <formula>$AT$32="None"</formula>
    </cfRule>
  </conditionalFormatting>
  <conditionalFormatting sqref="AS42:AV50">
    <cfRule type="expression" dxfId="190" priority="46">
      <formula>$AT$42="None"</formula>
    </cfRule>
  </conditionalFormatting>
  <conditionalFormatting sqref="AS52:AV60">
    <cfRule type="expression" dxfId="189" priority="37">
      <formula>$AT$52="None"</formula>
    </cfRule>
  </conditionalFormatting>
  <dataValidations count="7">
    <dataValidation type="list" allowBlank="1" showInputMessage="1" showErrorMessage="1" sqref="A2" xr:uid="{FC35D5EC-3D9A-4640-8051-279E0C1243EE}">
      <formula1>"1,2,3,4,5,None"</formula1>
    </dataValidation>
    <dataValidation type="list" allowBlank="1" showInputMessage="1" showErrorMessage="1" sqref="A1" xr:uid="{B79348E7-7E49-4236-9BD9-80FB764357F6}">
      <formula1>"1,2"</formula1>
    </dataValidation>
    <dataValidation type="list" showDropDown="1" showInputMessage="1" showErrorMessage="1" sqref="AB9" xr:uid="{918CE5DB-52B0-4D9A-86A3-FA6BB279C34C}">
      <formula1>",""Show T"","""""</formula1>
    </dataValidation>
    <dataValidation type="list" allowBlank="1" showInputMessage="1" showErrorMessage="1" sqref="A3" xr:uid="{4D92BA9C-ACFB-4759-89A0-CDCB7B045DF6}">
      <formula1>"Show OCI,Hide OCI"</formula1>
    </dataValidation>
    <dataValidation type="list" allowBlank="1" showInputMessage="1" showErrorMessage="1" sqref="A4" xr:uid="{38DA074E-47F7-4FE5-9303-E09C1CB233F7}">
      <formula1>"Direct CFO,Indirect CFO"</formula1>
    </dataValidation>
    <dataValidation type="list" allowBlank="1" showInputMessage="1" showErrorMessage="1" sqref="A5" xr:uid="{7D06E80B-6EC8-4B11-9775-2277336A1705}">
      <formula1>"Show NCIF,Hide NCIF"</formula1>
    </dataValidation>
    <dataValidation type="list" allowBlank="1" showInputMessage="1" showErrorMessage="1" sqref="A6" xr:uid="{D6CBB260-63D0-43DB-873B-107F3C934F69}">
      <formula1>"Show NI CFO Recon,Hide NI CFO Recon"</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0" id="{A1DB28C2-AEA3-4E50-BD5D-5A367FD27561}">
            <xm:f>AND(AC$32=FSData!AC$32,AD40&lt;&gt;FSData!$AD$40)</xm:f>
            <x14:dxf>
              <font>
                <b/>
                <i val="0"/>
                <color theme="0"/>
              </font>
              <fill>
                <patternFill>
                  <bgColor theme="5" tint="-0.24994659260841701"/>
                </patternFill>
              </fill>
            </x14:dxf>
          </x14:cfRule>
          <xm:sqref>AD40</xm:sqref>
        </x14:conditionalFormatting>
        <x14:conditionalFormatting xmlns:xm="http://schemas.microsoft.com/office/excel/2006/main">
          <x14:cfRule type="expression" priority="26" id="{E14B73ED-90FF-4EB8-B94F-BF84E465B958}">
            <xm:f>AND($AD$52=FSData!$AD$52,AD53&lt;&gt;FSData!AD53)</xm:f>
            <x14:dxf>
              <fill>
                <patternFill>
                  <bgColor theme="5" tint="0.79998168889431442"/>
                </patternFill>
              </fill>
            </x14:dxf>
          </x14:cfRule>
          <xm:sqref>AD53:AD59</xm:sqref>
        </x14:conditionalFormatting>
        <x14:conditionalFormatting xmlns:xm="http://schemas.microsoft.com/office/excel/2006/main">
          <x14:cfRule type="expression" priority="6" id="{0976E79E-789B-4582-84BD-0933613D5FA5}">
            <xm:f>AND(AD$6=FSData!AD$6,AD8&lt;&gt;FSData!AD8)</xm:f>
            <x14:dxf>
              <font>
                <b/>
                <i val="0"/>
              </font>
              <fill>
                <patternFill>
                  <bgColor theme="5" tint="0.59996337778862885"/>
                </patternFill>
              </fill>
            </x14:dxf>
          </x14:cfRule>
          <xm:sqref>AD8:AE19 AH8:AI19 AL8:AM19 AP8:AQ19 AT8:AU19</xm:sqref>
        </x14:conditionalFormatting>
        <x14:conditionalFormatting xmlns:xm="http://schemas.microsoft.com/office/excel/2006/main">
          <x14:cfRule type="expression" priority="10" id="{C8AB1347-FFF8-4F84-A49C-798C8EF43C0D}">
            <xm:f>AND($AD$6=FSData!$AD$6,$AD20&lt;&gt;FSData!$AD20)</xm:f>
            <x14:dxf>
              <font>
                <b/>
                <i val="0"/>
                <color theme="0"/>
              </font>
              <fill>
                <patternFill>
                  <bgColor theme="5" tint="-0.24994659260841701"/>
                </patternFill>
              </fill>
            </x14:dxf>
          </x14:cfRule>
          <xm:sqref>AD20:AE20</xm:sqref>
        </x14:conditionalFormatting>
        <x14:conditionalFormatting xmlns:xm="http://schemas.microsoft.com/office/excel/2006/main">
          <x14:cfRule type="expression" priority="71" id="{22540120-8192-42EA-95C6-D091B4B29944}">
            <xm:f>AND($AD$22=FSData!$AD$22,AD24&lt;&gt;FSData!AD24)</xm:f>
            <x14:dxf>
              <font>
                <b/>
                <i val="0"/>
              </font>
              <fill>
                <patternFill>
                  <bgColor theme="5" tint="0.59996337778862885"/>
                </patternFill>
              </fill>
            </x14:dxf>
          </x14:cfRule>
          <xm:sqref>AD24:AE29</xm:sqref>
        </x14:conditionalFormatting>
        <x14:conditionalFormatting xmlns:xm="http://schemas.microsoft.com/office/excel/2006/main">
          <x14:cfRule type="expression" priority="15" id="{1D272302-A766-4F89-A07D-B5D7D49A782F}">
            <xm:f>AND($AD$22=FSData!$AD$22,AD$30&lt;&gt;FSData!AD$30)</xm:f>
            <x14:dxf>
              <font>
                <b/>
                <i val="0"/>
                <color theme="0"/>
              </font>
              <fill>
                <patternFill>
                  <bgColor theme="5" tint="-0.24994659260841701"/>
                </patternFill>
              </fill>
            </x14:dxf>
          </x14:cfRule>
          <xm:sqref>AD30:AE30</xm:sqref>
        </x14:conditionalFormatting>
        <x14:conditionalFormatting xmlns:xm="http://schemas.microsoft.com/office/excel/2006/main">
          <x14:cfRule type="expression" priority="53" id="{E4055C10-33DB-49FD-B3B0-A40AD471B5DC}">
            <xm:f>AND($AD$32=FSData!$AD$32,AD34&lt;&gt;FSData!AD34)</xm:f>
            <x14:dxf>
              <font>
                <b/>
                <i val="0"/>
              </font>
              <fill>
                <patternFill>
                  <bgColor theme="5" tint="0.59996337778862885"/>
                </patternFill>
              </fill>
            </x14:dxf>
          </x14:cfRule>
          <xm:sqref>AD34:AE39</xm:sqref>
        </x14:conditionalFormatting>
        <x14:conditionalFormatting xmlns:xm="http://schemas.microsoft.com/office/excel/2006/main">
          <x14:cfRule type="expression" priority="32" id="{A830706E-FDB1-424B-AEA1-7CA7BA8046B7}">
            <xm:f>AND(AD$32=FSData!AD$32,AE40&lt;&gt;FSData!$AE$40)</xm:f>
            <x14:dxf>
              <font>
                <b/>
                <i val="0"/>
                <color theme="0"/>
              </font>
              <fill>
                <patternFill>
                  <bgColor theme="5" tint="-0.24994659260841701"/>
                </patternFill>
              </fill>
            </x14:dxf>
          </x14:cfRule>
          <xm:sqref>AE40</xm:sqref>
        </x14:conditionalFormatting>
        <x14:conditionalFormatting xmlns:xm="http://schemas.microsoft.com/office/excel/2006/main">
          <x14:cfRule type="expression" priority="20" id="{E6ACD5EC-66D5-4F27-AAAE-F71ED9A9F9C2}">
            <xm:f>AND($AD$42=FSData!$AD$42,AE43&lt;&gt;FSData!AE43)</xm:f>
            <x14:dxf>
              <fill>
                <patternFill>
                  <bgColor theme="5" tint="0.79998168889431442"/>
                </patternFill>
              </fill>
            </x14:dxf>
          </x14:cfRule>
          <xm:sqref>AE43:AE49</xm:sqref>
        </x14:conditionalFormatting>
        <x14:conditionalFormatting xmlns:xm="http://schemas.microsoft.com/office/excel/2006/main">
          <x14:cfRule type="expression" priority="27" id="{7BCF02CD-ADE3-4103-9643-F64D0064342D}">
            <xm:f>AND($AH$52=FSData!$AH$52,AI53&lt;&gt;FSData!AI53)</xm:f>
            <x14:dxf>
              <fill>
                <patternFill>
                  <bgColor theme="5" tint="0.79998168889431442"/>
                </patternFill>
              </fill>
            </x14:dxf>
          </x14:cfRule>
          <xm:sqref>AH53:AH59</xm:sqref>
        </x14:conditionalFormatting>
        <x14:conditionalFormatting xmlns:xm="http://schemas.microsoft.com/office/excel/2006/main">
          <x14:cfRule type="expression" priority="11" id="{0C3B8CFB-D67A-44A8-AAB2-36EB3F47B3DC}">
            <xm:f>AND($AH$6=FSData!$AH$6,$AH20&lt;&gt;FSData!$AH20)</xm:f>
            <x14:dxf>
              <font>
                <b/>
                <i val="0"/>
                <color theme="0"/>
              </font>
              <fill>
                <patternFill>
                  <bgColor theme="5" tint="-0.24994659260841701"/>
                </patternFill>
              </fill>
            </x14:dxf>
          </x14:cfRule>
          <xm:sqref>AH20:AI20</xm:sqref>
        </x14:conditionalFormatting>
        <x14:conditionalFormatting xmlns:xm="http://schemas.microsoft.com/office/excel/2006/main">
          <x14:cfRule type="expression" priority="19" id="{3B7A5BA0-ACC8-4A2B-AD9D-ACE592B2A3A4}">
            <xm:f>AND($AH$22=FSData!$AH$22,$AH30&lt;&gt;FSData!$AH30)</xm:f>
            <x14:dxf>
              <font>
                <b/>
                <i val="0"/>
                <color theme="0"/>
              </font>
              <fill>
                <patternFill>
                  <bgColor theme="5" tint="-0.24994659260841701"/>
                </patternFill>
              </fill>
            </x14:dxf>
          </x14:cfRule>
          <xm:sqref>AH30:AI30</xm:sqref>
        </x14:conditionalFormatting>
        <x14:conditionalFormatting xmlns:xm="http://schemas.microsoft.com/office/excel/2006/main">
          <x14:cfRule type="expression" priority="21" id="{14091B99-6D06-4A5B-ADB5-7722DF89F62D}">
            <xm:f>AND($AH$42=FSData!$AH$42,AM43&lt;&gt;FSData!AM43)</xm:f>
            <x14:dxf>
              <fill>
                <patternFill>
                  <bgColor theme="5" tint="0.79998168889431442"/>
                </patternFill>
              </fill>
            </x14:dxf>
          </x14:cfRule>
          <xm:sqref>AI43:AI49</xm:sqref>
        </x14:conditionalFormatting>
        <x14:conditionalFormatting xmlns:xm="http://schemas.microsoft.com/office/excel/2006/main">
          <x14:cfRule type="expression" priority="28" id="{62785615-CE61-4BFC-BA9F-39E3F042E2E8}">
            <xm:f>AND($AL$52=FSData!$AL$52,AL53&lt;&gt;FSData!AL53)</xm:f>
            <x14:dxf>
              <fill>
                <patternFill>
                  <bgColor theme="5" tint="0.79998168889431442"/>
                </patternFill>
              </fill>
            </x14:dxf>
          </x14:cfRule>
          <xm:sqref>AL53:AL59</xm:sqref>
        </x14:conditionalFormatting>
        <x14:conditionalFormatting xmlns:xm="http://schemas.microsoft.com/office/excel/2006/main">
          <x14:cfRule type="expression" priority="12" id="{F4A782A1-F640-4A22-AF68-3599B84293C0}">
            <xm:f>AND($AL$6=FSData!$AL$6,$AL20&lt;&gt;FSData!$AL20)</xm:f>
            <x14:dxf>
              <font>
                <b/>
                <i val="0"/>
                <color theme="0"/>
              </font>
              <fill>
                <patternFill>
                  <bgColor theme="5" tint="-0.24994659260841701"/>
                </patternFill>
              </fill>
            </x14:dxf>
          </x14:cfRule>
          <xm:sqref>AL20:AM20</xm:sqref>
        </x14:conditionalFormatting>
        <x14:conditionalFormatting xmlns:xm="http://schemas.microsoft.com/office/excel/2006/main">
          <x14:cfRule type="expression" priority="25" id="{E62AB043-A0A6-4823-BFB7-0477D6E10A7E}">
            <xm:f>AND($AL$22=FSData!$AL$22,$AL30&lt;&gt;FSData!$AL30)</xm:f>
            <x14:dxf>
              <font>
                <b/>
                <i val="0"/>
                <color theme="0"/>
              </font>
              <fill>
                <patternFill>
                  <bgColor theme="5" tint="-0.24994659260841701"/>
                </patternFill>
              </fill>
            </x14:dxf>
          </x14:cfRule>
          <xm:sqref>AL30:AM30</xm:sqref>
        </x14:conditionalFormatting>
        <x14:conditionalFormatting xmlns:xm="http://schemas.microsoft.com/office/excel/2006/main">
          <x14:cfRule type="expression" priority="22" id="{D36EE062-BCD3-4BF5-955A-472F98B6C8A0}">
            <xm:f>AND($AL$42=FSData!$AL$42,AM43&lt;&gt;FSData!AM43)</xm:f>
            <x14:dxf>
              <fill>
                <patternFill>
                  <bgColor theme="5" tint="0.79998168889431442"/>
                </patternFill>
              </fill>
            </x14:dxf>
          </x14:cfRule>
          <xm:sqref>AM43:AM49</xm:sqref>
        </x14:conditionalFormatting>
        <x14:conditionalFormatting xmlns:xm="http://schemas.microsoft.com/office/excel/2006/main">
          <x14:cfRule type="expression" priority="29" id="{60349871-B54A-44FA-9EB9-2B472F61EBA1}">
            <xm:f>AND($AP$52=FSData!$AP$52,AP53&lt;&gt;FSData!AP53)</xm:f>
            <x14:dxf>
              <fill>
                <patternFill>
                  <bgColor theme="5" tint="0.79998168889431442"/>
                </patternFill>
              </fill>
            </x14:dxf>
          </x14:cfRule>
          <xm:sqref>AP53:AP59</xm:sqref>
        </x14:conditionalFormatting>
        <x14:conditionalFormatting xmlns:xm="http://schemas.microsoft.com/office/excel/2006/main">
          <x14:cfRule type="expression" priority="13" id="{0D7C6E23-2D7F-4C09-9F67-A437140C621E}">
            <xm:f>AND($AP$6=FSData!$AP$6,$AP20&lt;&gt;FSData!$AP20)</xm:f>
            <x14:dxf>
              <font>
                <b/>
                <i val="0"/>
                <color theme="0"/>
              </font>
              <fill>
                <patternFill>
                  <bgColor theme="5" tint="-0.24994659260841701"/>
                </patternFill>
              </fill>
            </x14:dxf>
          </x14:cfRule>
          <xm:sqref>AP20:AQ20</xm:sqref>
        </x14:conditionalFormatting>
        <x14:conditionalFormatting xmlns:xm="http://schemas.microsoft.com/office/excel/2006/main">
          <x14:cfRule type="expression" priority="77" id="{96491C2E-F43F-49A4-84D9-92FDEBFBDB54}">
            <xm:f>AND($AP$22=FSData!$AP$22,$AP30&lt;&gt;FSData!$AP30)</xm:f>
            <x14:dxf>
              <font>
                <b/>
                <i val="0"/>
                <color theme="0"/>
              </font>
              <fill>
                <patternFill>
                  <bgColor theme="5" tint="-0.24994659260841701"/>
                </patternFill>
              </fill>
            </x14:dxf>
          </x14:cfRule>
          <xm:sqref>AP30:AQ30</xm:sqref>
        </x14:conditionalFormatting>
        <x14:conditionalFormatting xmlns:xm="http://schemas.microsoft.com/office/excel/2006/main">
          <x14:cfRule type="expression" priority="23" id="{5F5C18B7-956C-4A37-AFCA-FD3E19C625D3}">
            <xm:f>AND($AP$42=FSData!$AP$42,AQ43&lt;&gt;FSData!AQ43)</xm:f>
            <x14:dxf>
              <fill>
                <patternFill>
                  <bgColor theme="5" tint="0.79998168889431442"/>
                </patternFill>
              </fill>
            </x14:dxf>
          </x14:cfRule>
          <xm:sqref>AQ43:AQ49</xm:sqref>
        </x14:conditionalFormatting>
        <x14:conditionalFormatting xmlns:xm="http://schemas.microsoft.com/office/excel/2006/main">
          <x14:cfRule type="expression" priority="24" id="{C80837DB-F47E-4DF0-A9E1-868005225CFD}">
            <xm:f>AND($AT$42=FSData!$AT$42,T43&lt;&gt;FSData!T43)</xm:f>
            <x14:dxf>
              <fill>
                <patternFill>
                  <bgColor theme="5" tint="0.79998168889431442"/>
                </patternFill>
              </fill>
            </x14:dxf>
          </x14:cfRule>
          <xm:sqref>AS43:AS49</xm:sqref>
        </x14:conditionalFormatting>
        <x14:conditionalFormatting xmlns:xm="http://schemas.microsoft.com/office/excel/2006/main">
          <x14:cfRule type="expression" priority="30" id="{6ED21682-6B1C-42AE-830B-6E835FA14FE1}">
            <xm:f>AND($AT$52=FSData!$AT$52,T53&lt;&gt;FSData!T53)</xm:f>
            <x14:dxf>
              <fill>
                <patternFill>
                  <bgColor theme="5" tint="0.79998168889431442"/>
                </patternFill>
              </fill>
            </x14:dxf>
          </x14:cfRule>
          <xm:sqref>AT53:AT59</xm:sqref>
        </x14:conditionalFormatting>
        <x14:conditionalFormatting xmlns:xm="http://schemas.microsoft.com/office/excel/2006/main">
          <x14:cfRule type="expression" priority="14" id="{F5F8E131-B4F0-4F5C-AED3-6F3F7514DBED}">
            <xm:f>AND($AT$6=FSData!$AT$6,$AT20&lt;&gt;FSData!$AT20)</xm:f>
            <x14:dxf>
              <font>
                <b/>
                <i val="0"/>
                <color theme="0"/>
              </font>
              <fill>
                <patternFill>
                  <bgColor theme="5" tint="-0.24994659260841701"/>
                </patternFill>
              </fill>
            </x14:dxf>
          </x14:cfRule>
          <xm:sqref>AT20:AU20</xm:sqref>
        </x14:conditionalFormatting>
        <x14:conditionalFormatting xmlns:xm="http://schemas.microsoft.com/office/excel/2006/main">
          <x14:cfRule type="expression" priority="81" id="{D21D7147-2803-4600-8EB4-1198B0F1EA77}">
            <xm:f>AND($AT$22=FSData!$AT$22,$AT30&lt;&gt;FSData!$AT30)</xm:f>
            <x14:dxf>
              <font>
                <b/>
                <i val="0"/>
                <color theme="0"/>
              </font>
              <fill>
                <patternFill>
                  <bgColor theme="5" tint="-0.24994659260841701"/>
                </patternFill>
              </fill>
            </x14:dxf>
          </x14:cfRule>
          <xm:sqref>AT30:AU30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workbookViewId="0">
      <selection activeCell="M33" sqref="M33"/>
    </sheetView>
  </sheetViews>
  <sheetFormatPr defaultColWidth="9.140625" defaultRowHeight="14.45"/>
  <cols>
    <col min="1" max="1" width="4" style="506" customWidth="1"/>
    <col min="2" max="2" width="5.85546875" style="508" customWidth="1"/>
    <col min="3" max="3" width="103.7109375" style="506" customWidth="1"/>
    <col min="4" max="16384" width="9.140625" style="506"/>
  </cols>
  <sheetData>
    <row r="1" spans="2:3" ht="23.45">
      <c r="C1" s="414" t="str">
        <f>Entity</f>
        <v>Accounting Identity LLC</v>
      </c>
    </row>
    <row r="2" spans="2:3">
      <c r="C2" s="413" t="str">
        <f>Units</f>
        <v>Dollars in Thousands</v>
      </c>
    </row>
    <row r="4" spans="2:3">
      <c r="C4" s="518" t="s">
        <v>582</v>
      </c>
    </row>
    <row r="5" spans="2:3">
      <c r="B5" s="508" cm="1">
        <f t="array" ref="B5:C23">FSConstruction!B117:C135</f>
        <v>10</v>
      </c>
      <c r="C5" s="226" t="str">
        <v>BUSINESS OPERATIONS</v>
      </c>
    </row>
    <row r="6" spans="2:3">
      <c r="B6" s="508">
        <v>11</v>
      </c>
      <c r="C6" s="226" t="str">
        <v>Accounting Identity LLC (the 'Company', 'we', 'us', 'our') is a For-profit corporation whose activity is Service.</v>
      </c>
    </row>
    <row r="7" spans="2:3" ht="28.9">
      <c r="B7" s="508">
        <v>10</v>
      </c>
      <c r="C7" s="226" t="str">
        <v xml:space="preserve">
SUMMARY OF SIGNIFICANT ACCOUNTING POLICIES</v>
      </c>
    </row>
    <row r="8" spans="2:3" ht="28.9">
      <c r="B8" s="508">
        <v>10</v>
      </c>
      <c r="C8" s="226" t="str">
        <v xml:space="preserve">
Basis of Presentation and Use of Estimates</v>
      </c>
    </row>
    <row r="9" spans="2:3" ht="57.6">
      <c r="B9" s="508">
        <v>11</v>
      </c>
      <c r="C9" s="226"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9">
      <c r="B10" s="508">
        <v>10</v>
      </c>
      <c r="C10" s="226" t="str">
        <v xml:space="preserve">
Cash</v>
      </c>
    </row>
    <row r="11" spans="2:3">
      <c r="B11" s="508">
        <v>11</v>
      </c>
      <c r="C11" s="226" t="str">
        <v>Cash includes demand deposits, money market accounts, …</v>
      </c>
    </row>
    <row r="12" spans="2:3" ht="28.9">
      <c r="B12" s="508">
        <v>10</v>
      </c>
      <c r="C12" s="226" t="str">
        <v xml:space="preserve">
Inventories</v>
      </c>
    </row>
    <row r="13" spans="2:3">
      <c r="B13" s="508">
        <v>11</v>
      </c>
      <c r="C13" s="226" t="str">
        <v>Our inventories are exclusively goods held for resale and stated on a First-in, first-out (FIFO) basis.</v>
      </c>
    </row>
    <row r="14" spans="2:3" ht="28.9">
      <c r="B14" s="508">
        <v>10</v>
      </c>
      <c r="C14" s="226" t="str">
        <v xml:space="preserve">
Property, Plant &amp; Equipment</v>
      </c>
    </row>
    <row r="15" spans="2:3">
      <c r="B15" s="508">
        <v>11</v>
      </c>
      <c r="C15" s="226" t="str">
        <v>The Company calculates depreciation expense on a straight-line basis.</v>
      </c>
    </row>
    <row r="16" spans="2:3" ht="28.9">
      <c r="B16" s="508">
        <v>10</v>
      </c>
      <c r="C16" s="226" t="str">
        <v xml:space="preserve">
Revenue Recognition</v>
      </c>
    </row>
    <row r="17" spans="2:3">
      <c r="B17" s="508">
        <v>11</v>
      </c>
      <c r="C17" s="226"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28.9">
      <c r="B18" s="508">
        <v>10</v>
      </c>
      <c r="C18" s="226" t="str">
        <v xml:space="preserve">
New Accounting Pronouncements </v>
      </c>
    </row>
    <row r="19" spans="2:3" ht="28.9">
      <c r="B19" s="508">
        <v>11</v>
      </c>
      <c r="C19" s="226" t="str">
        <v>In May 20x1, the FASB issued Accounting Standards Update (ASU) No. 20x1-zz, Title, which requires …. We will adopt this ASU on …</v>
      </c>
    </row>
    <row r="20" spans="2:3" ht="28.9">
      <c r="B20" s="508">
        <v>10</v>
      </c>
      <c r="C20" s="226" t="str">
        <v xml:space="preserve">
Contingent Liabilities and Commitments</v>
      </c>
    </row>
    <row r="21" spans="2:3" ht="28.9">
      <c r="B21" s="508">
        <v>11</v>
      </c>
      <c r="C21" s="226" t="str">
        <v>Selling to consumers or providing services to clients entails an inherent risk that liability claims will be asserted against us in the normal course of business. We are aware of no such claims against us as of the date of this filing.</v>
      </c>
    </row>
    <row r="22" spans="2:3" ht="28.9">
      <c r="B22" s="508">
        <v>10</v>
      </c>
      <c r="C22" s="226" t="str">
        <v xml:space="preserve">
Subsequent Events</v>
      </c>
    </row>
    <row r="23" spans="2:3" ht="28.9">
      <c r="B23" s="508">
        <v>11</v>
      </c>
      <c r="C23" s="226" t="str">
        <v>We have evaluated subsequent events through 0, the date we have issued these financial statements. As of that date, there were no material, reportable subsequent events.</v>
      </c>
    </row>
    <row r="24" spans="2:3">
      <c r="C24" s="226"/>
    </row>
    <row r="25" spans="2:3">
      <c r="C25" s="226"/>
    </row>
    <row r="26" spans="2:3">
      <c r="C26" s="519"/>
    </row>
    <row r="27" spans="2:3">
      <c r="C27" s="519"/>
    </row>
    <row r="28" spans="2:3">
      <c r="C28" s="519"/>
    </row>
    <row r="29" spans="2:3">
      <c r="C29" s="519"/>
    </row>
    <row r="30" spans="2:3">
      <c r="C30" s="519"/>
    </row>
    <row r="31" spans="2:3">
      <c r="C31" s="519"/>
    </row>
    <row r="32" spans="2:3">
      <c r="C32" s="519"/>
    </row>
    <row r="33" spans="3:3">
      <c r="C33" s="519"/>
    </row>
    <row r="34" spans="3:3">
      <c r="C34" s="519"/>
    </row>
    <row r="35" spans="3:3">
      <c r="C35" s="519"/>
    </row>
    <row r="36" spans="3:3">
      <c r="C36" s="519"/>
    </row>
    <row r="37" spans="3:3">
      <c r="C37" s="519"/>
    </row>
    <row r="38" spans="3:3">
      <c r="C38" s="519"/>
    </row>
    <row r="39" spans="3:3">
      <c r="C39" s="519"/>
    </row>
    <row r="40" spans="3:3">
      <c r="C40" s="519"/>
    </row>
    <row r="41" spans="3:3">
      <c r="C41" s="519"/>
    </row>
    <row r="42" spans="3:3">
      <c r="C42" s="519"/>
    </row>
    <row r="43" spans="3:3">
      <c r="C43" s="519"/>
    </row>
    <row r="44" spans="3:3">
      <c r="C44" s="519"/>
    </row>
    <row r="45" spans="3:3">
      <c r="C45" s="519"/>
    </row>
    <row r="46" spans="3:3">
      <c r="C46" s="519"/>
    </row>
    <row r="47" spans="3:3">
      <c r="C47" s="519"/>
    </row>
    <row r="48" spans="3:3">
      <c r="C48" s="519"/>
    </row>
    <row r="49" spans="3:3">
      <c r="C49" s="519"/>
    </row>
    <row r="50" spans="3:3">
      <c r="C50" s="519"/>
    </row>
    <row r="51" spans="3:3">
      <c r="C51" s="519"/>
    </row>
    <row r="52" spans="3:3">
      <c r="C52" s="519"/>
    </row>
    <row r="53" spans="3:3">
      <c r="C53" s="519"/>
    </row>
    <row r="54" spans="3:3">
      <c r="C54" s="519"/>
    </row>
    <row r="55" spans="3:3">
      <c r="C55" s="519"/>
    </row>
    <row r="56" spans="3:3">
      <c r="C56" s="519"/>
    </row>
    <row r="57" spans="3:3">
      <c r="C57" s="519"/>
    </row>
    <row r="58" spans="3:3">
      <c r="C58" s="519"/>
    </row>
    <row r="59" spans="3:3">
      <c r="C59" s="519"/>
    </row>
    <row r="60" spans="3:3">
      <c r="C60" s="519"/>
    </row>
  </sheetData>
  <conditionalFormatting sqref="C5:C60">
    <cfRule type="expression" dxfId="163" priority="1">
      <formula>B5=8</formula>
    </cfRule>
    <cfRule type="expression" dxfId="162" priority="2">
      <formula>B5=10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33"/>
  <sheetViews>
    <sheetView workbookViewId="0">
      <selection activeCell="I127" sqref="I127"/>
    </sheetView>
  </sheetViews>
  <sheetFormatPr defaultRowHeight="14.4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208" t="s">
        <v>1181</v>
      </c>
      <c r="C2" s="208"/>
      <c r="D2" s="209"/>
      <c r="E2" s="209"/>
      <c r="F2" s="209"/>
      <c r="G2" s="209"/>
      <c r="H2" s="209"/>
      <c r="I2" s="209"/>
      <c r="J2" s="209"/>
      <c r="K2" s="209"/>
      <c r="L2" s="209"/>
      <c r="M2" s="209"/>
      <c r="N2" s="209"/>
    </row>
    <row r="3" spans="2:14" ht="15" thickBot="1">
      <c r="D3" s="210" t="s">
        <v>1182</v>
      </c>
    </row>
    <row r="4" spans="2:14" ht="15" thickBot="1">
      <c r="C4" s="211" t="s">
        <v>786</v>
      </c>
      <c r="D4" s="212"/>
      <c r="F4" s="213"/>
      <c r="H4" s="654"/>
      <c r="I4" s="654"/>
      <c r="J4" s="654"/>
      <c r="K4" s="654"/>
      <c r="L4" s="654"/>
      <c r="M4" s="654"/>
    </row>
    <row r="5" spans="2:14" ht="15" thickBot="1">
      <c r="H5" s="654"/>
      <c r="I5" s="654"/>
      <c r="J5" s="654"/>
      <c r="K5" s="654"/>
      <c r="L5" s="654"/>
      <c r="M5" s="654"/>
    </row>
    <row r="6" spans="2:14" ht="15" thickBot="1">
      <c r="C6" s="745" t="s">
        <v>1183</v>
      </c>
      <c r="D6" s="746"/>
      <c r="E6" s="747"/>
      <c r="H6" s="654"/>
      <c r="I6" s="654"/>
      <c r="J6" s="654"/>
      <c r="K6" s="654"/>
      <c r="L6" s="654"/>
      <c r="M6" s="654"/>
    </row>
    <row r="7" spans="2:14" ht="14.65" customHeight="1">
      <c r="C7" s="748" t="str" cm="1">
        <f t="array" ref="C7">INDEX(ProblemData!D78:AN79,2,D4+1)</f>
        <v>Transaction Info</v>
      </c>
      <c r="D7" s="749"/>
      <c r="E7" s="750"/>
      <c r="H7" s="654"/>
      <c r="I7" s="654"/>
      <c r="J7" s="654"/>
      <c r="K7" s="654"/>
      <c r="L7" s="654"/>
      <c r="M7" s="654"/>
    </row>
    <row r="8" spans="2:14">
      <c r="C8" s="726"/>
      <c r="D8" s="727"/>
      <c r="E8" s="751"/>
      <c r="H8" s="654"/>
      <c r="I8" s="654"/>
      <c r="J8" s="654"/>
      <c r="K8" s="654"/>
      <c r="L8" s="654"/>
      <c r="M8" s="654"/>
    </row>
    <row r="9" spans="2:14">
      <c r="C9" s="726"/>
      <c r="D9" s="727"/>
      <c r="E9" s="751"/>
      <c r="H9" s="654"/>
      <c r="I9" s="654"/>
      <c r="J9" s="654"/>
      <c r="K9" s="654"/>
      <c r="L9" s="654"/>
      <c r="M9" s="654"/>
    </row>
    <row r="10" spans="2:14">
      <c r="C10" s="726"/>
      <c r="D10" s="727"/>
      <c r="E10" s="751"/>
      <c r="H10" s="654"/>
      <c r="I10" s="654"/>
      <c r="J10" s="654"/>
      <c r="K10" s="654"/>
      <c r="L10" s="654"/>
      <c r="M10" s="654"/>
    </row>
    <row r="11" spans="2:14" ht="15" thickBot="1">
      <c r="C11" s="728"/>
      <c r="D11" s="729"/>
      <c r="E11" s="752"/>
    </row>
    <row r="13" spans="2:14">
      <c r="B13" s="208" t="s">
        <v>1184</v>
      </c>
      <c r="C13" s="208"/>
      <c r="D13" s="209"/>
      <c r="E13" s="209"/>
      <c r="F13" s="209"/>
      <c r="G13" s="209"/>
      <c r="H13" s="209"/>
      <c r="I13" s="209"/>
      <c r="J13" s="209"/>
      <c r="K13" s="209"/>
      <c r="L13" s="209"/>
      <c r="M13" s="209"/>
      <c r="N13" s="209"/>
    </row>
    <row r="14" spans="2:14" ht="15" hidden="1" outlineLevel="1" thickBot="1"/>
    <row r="15" spans="2:14" hidden="1" outlineLevel="1">
      <c r="C15" s="692" t="s">
        <v>1185</v>
      </c>
      <c r="D15" s="694"/>
    </row>
    <row r="16" spans="2:14" ht="15" hidden="1" outlineLevel="1" thickBot="1">
      <c r="C16" s="693"/>
      <c r="D16" s="695"/>
    </row>
    <row r="17" spans="2:14" ht="15" hidden="1" outlineLevel="1" thickBot="1">
      <c r="E17" s="1"/>
      <c r="I17" s="42" t="str">
        <f>_xlfn.IFNA(MATCH($D$4,ProblemData!E78:$AM$78,0),"")</f>
        <v/>
      </c>
    </row>
    <row r="18" spans="2:14" ht="15" hidden="1" outlineLevel="1" thickBot="1">
      <c r="C18" s="753" t="s">
        <v>1186</v>
      </c>
      <c r="D18" s="754"/>
      <c r="E18" s="755"/>
      <c r="I18" s="42" t="str" cm="1">
        <f t="array" ref="I18">IFERROR(D15&amp;INDEX(ProblemData!$E$78:$AM$83,3,I17),"")</f>
        <v/>
      </c>
    </row>
    <row r="19" spans="2:14" hidden="1" outlineLevel="1">
      <c r="C19" s="748" t="str">
        <f>IF(ISBLANK(D15),"",_xlfn.XLOOKUP(I18,MD_RecognitionFeedback[Student&amp;Answer],MD_RecognitionFeedback[Feedback],""))</f>
        <v/>
      </c>
      <c r="D19" s="749"/>
      <c r="E19" s="750"/>
      <c r="H19" s="1"/>
    </row>
    <row r="20" spans="2:14" hidden="1" outlineLevel="1">
      <c r="B20" s="1"/>
      <c r="C20" s="726"/>
      <c r="D20" s="727"/>
      <c r="E20" s="751"/>
      <c r="F20" s="213"/>
    </row>
    <row r="21" spans="2:14" ht="15" hidden="1" customHeight="1" outlineLevel="1">
      <c r="B21" s="1"/>
      <c r="C21" s="726" t="str" cm="1">
        <f t="array" ref="C21">IF(NOT(ISBLANK(D15)),INDEX(ProblemData!$E$78:$AM$83,4,I17),"")</f>
        <v/>
      </c>
      <c r="D21" s="727"/>
      <c r="E21" s="751"/>
    </row>
    <row r="22" spans="2:14" ht="15" hidden="1" customHeight="1" outlineLevel="1">
      <c r="B22" s="1"/>
      <c r="C22" s="726"/>
      <c r="D22" s="727"/>
      <c r="E22" s="751"/>
    </row>
    <row r="23" spans="2:14" ht="15" hidden="1" customHeight="1" outlineLevel="1">
      <c r="B23" s="1"/>
      <c r="C23" s="726"/>
      <c r="D23" s="727"/>
      <c r="E23" s="751"/>
    </row>
    <row r="24" spans="2:14" ht="18" hidden="1" outlineLevel="1">
      <c r="B24" s="1"/>
      <c r="C24" s="726"/>
      <c r="D24" s="727"/>
      <c r="E24" s="751"/>
      <c r="G24" s="215"/>
      <c r="H24" s="216"/>
    </row>
    <row r="25" spans="2:14" ht="15" hidden="1" outlineLevel="1" thickBot="1">
      <c r="B25" s="1"/>
      <c r="C25" s="728"/>
      <c r="D25" s="729"/>
      <c r="E25" s="752"/>
    </row>
    <row r="26" spans="2:14" ht="15" hidden="1" outlineLevel="1" thickBot="1">
      <c r="B26" s="1"/>
      <c r="C26" s="214"/>
      <c r="D26" s="214"/>
      <c r="E26" s="214"/>
    </row>
    <row r="27" spans="2:14" hidden="1" outlineLevel="1">
      <c r="B27" s="1"/>
      <c r="C27" s="705" t="s">
        <v>1187</v>
      </c>
      <c r="D27" s="756"/>
      <c r="E27" s="757"/>
    </row>
    <row r="28" spans="2:14" ht="14.1" hidden="1" customHeight="1" outlineLevel="1">
      <c r="B28" s="1"/>
      <c r="C28" s="758"/>
      <c r="D28" s="759"/>
      <c r="E28" s="760"/>
    </row>
    <row r="29" spans="2:14" ht="20.65" hidden="1" customHeight="1" outlineLevel="1">
      <c r="B29" s="1"/>
      <c r="C29" s="758"/>
      <c r="D29" s="759"/>
      <c r="E29" s="760"/>
    </row>
    <row r="30" spans="2:14" ht="20.65" hidden="1" customHeight="1" outlineLevel="1" thickBot="1">
      <c r="B30" s="1"/>
      <c r="C30" s="761"/>
      <c r="D30" s="762"/>
      <c r="E30" s="763"/>
    </row>
    <row r="31" spans="2:14" collapsed="1"/>
    <row r="32" spans="2:14">
      <c r="B32" s="208" t="s">
        <v>1188</v>
      </c>
      <c r="C32" s="208"/>
      <c r="D32" s="209"/>
      <c r="E32" s="209"/>
      <c r="F32" s="209"/>
      <c r="G32" s="209"/>
      <c r="H32" s="209"/>
      <c r="I32" s="209"/>
      <c r="J32" s="209"/>
      <c r="K32" s="209"/>
      <c r="L32" s="209"/>
      <c r="M32" s="209"/>
      <c r="N32" s="209"/>
    </row>
    <row r="33" spans="3:9" hidden="1" outlineLevel="1"/>
    <row r="34" spans="3:9" hidden="1" outlineLevel="1">
      <c r="C34" s="764" t="s">
        <v>1189</v>
      </c>
      <c r="D34" s="764"/>
      <c r="E34" s="764"/>
    </row>
    <row r="35" spans="3:9" ht="15" hidden="1" outlineLevel="1" thickBot="1"/>
    <row r="36" spans="3:9" ht="15" hidden="1" outlineLevel="1" thickBot="1">
      <c r="C36" s="765" t="s">
        <v>710</v>
      </c>
      <c r="D36" s="766"/>
      <c r="E36" s="767"/>
      <c r="G36" s="742" t="s">
        <v>1190</v>
      </c>
      <c r="H36" s="743"/>
      <c r="I36" s="744"/>
    </row>
    <row r="37" spans="3:9" ht="15" hidden="1" outlineLevel="1" thickBot="1">
      <c r="C37" s="489" t="s">
        <v>65</v>
      </c>
      <c r="D37" s="490" t="s">
        <v>66</v>
      </c>
      <c r="E37" s="217" t="s">
        <v>67</v>
      </c>
      <c r="G37" s="736" t="s">
        <v>1191</v>
      </c>
      <c r="H37" s="737"/>
      <c r="I37" s="738"/>
    </row>
    <row r="38" spans="3:9" hidden="1" outlineLevel="1">
      <c r="C38" s="483"/>
      <c r="D38" s="486"/>
      <c r="E38" s="218"/>
      <c r="G38" s="739" t="s">
        <v>1192</v>
      </c>
      <c r="H38" s="740"/>
      <c r="I38" s="741"/>
    </row>
    <row r="39" spans="3:9" ht="15" hidden="1" outlineLevel="1" thickBot="1">
      <c r="C39" s="484"/>
      <c r="D39" s="487"/>
      <c r="E39" s="219"/>
      <c r="G39" s="730" t="s">
        <v>1193</v>
      </c>
      <c r="H39" s="731"/>
      <c r="I39" s="732"/>
    </row>
    <row r="40" spans="3:9" hidden="1" outlineLevel="1">
      <c r="C40" s="484"/>
      <c r="D40" s="487"/>
      <c r="E40" s="219"/>
    </row>
    <row r="41" spans="3:9" ht="15" hidden="1" outlineLevel="1" thickBot="1">
      <c r="C41" s="484"/>
      <c r="D41" s="487"/>
      <c r="E41" s="219"/>
    </row>
    <row r="42" spans="3:9" ht="15" hidden="1" outlineLevel="1" thickBot="1">
      <c r="C42" s="484"/>
      <c r="D42" s="487"/>
      <c r="E42" s="219"/>
      <c r="G42" s="733" t="s">
        <v>1194</v>
      </c>
      <c r="H42" s="734"/>
      <c r="I42" s="735"/>
    </row>
    <row r="43" spans="3:9" hidden="1" outlineLevel="1">
      <c r="C43" s="484"/>
      <c r="D43" s="487"/>
      <c r="E43" s="219"/>
      <c r="G43" s="736" t="s">
        <v>1195</v>
      </c>
      <c r="H43" s="737"/>
      <c r="I43" s="738"/>
    </row>
    <row r="44" spans="3:9" hidden="1" outlineLevel="1">
      <c r="C44" s="484"/>
      <c r="D44" s="487"/>
      <c r="E44" s="219"/>
      <c r="G44" s="739" t="s">
        <v>1196</v>
      </c>
      <c r="H44" s="740"/>
      <c r="I44" s="741"/>
    </row>
    <row r="45" spans="3:9" ht="15" hidden="1" outlineLevel="1" thickBot="1">
      <c r="C45" s="485"/>
      <c r="D45" s="488"/>
      <c r="E45" s="219"/>
      <c r="G45" s="730" t="s">
        <v>1193</v>
      </c>
      <c r="H45" s="731"/>
      <c r="I45" s="732"/>
    </row>
    <row r="46" spans="3:9" ht="15" hidden="1" outlineLevel="1" thickBot="1">
      <c r="C46" s="220">
        <f>SUM(C38:C45)</f>
        <v>0</v>
      </c>
      <c r="D46" s="221">
        <f>SUM(D38:D45)</f>
        <v>0</v>
      </c>
      <c r="E46" s="222">
        <f>C46-D46</f>
        <v>0</v>
      </c>
    </row>
    <row r="47" spans="3:9" ht="15" hidden="1" outlineLevel="1" thickBot="1"/>
    <row r="48" spans="3:9" ht="19.149999999999999" hidden="1" customHeight="1" outlineLevel="1">
      <c r="C48" s="692" t="s">
        <v>1197</v>
      </c>
      <c r="D48" s="694"/>
    </row>
    <row r="49" spans="2:19" ht="19.149999999999999" hidden="1" customHeight="1" outlineLevel="1" thickBot="1">
      <c r="C49" s="693"/>
      <c r="D49" s="695"/>
    </row>
    <row r="50" spans="2:19" ht="19.149999999999999" hidden="1" customHeight="1" outlineLevel="1" thickBot="1">
      <c r="C50" s="223"/>
      <c r="D50" s="28"/>
    </row>
    <row r="51" spans="2:19" ht="19.149999999999999" hidden="1" customHeight="1" outlineLevel="1">
      <c r="C51" s="705" t="str" cm="1">
        <f t="array" ref="C51">_xlfn.IFS(AND(E46=0,D48="YES"),MasterData!C402,AND(E46&lt;&gt;0,D48="YES"),MasterData!C403,OR(D48="",D48="NO"),"")</f>
        <v/>
      </c>
      <c r="D51" s="706"/>
      <c r="E51" s="707"/>
      <c r="G51" s="42"/>
    </row>
    <row r="52" spans="2:19" ht="19.149999999999999" hidden="1" customHeight="1" outlineLevel="1">
      <c r="C52" s="708"/>
      <c r="D52" s="709"/>
      <c r="E52" s="710"/>
      <c r="G52" s="42"/>
    </row>
    <row r="53" spans="2:19" ht="19.149999999999999" hidden="1" customHeight="1" outlineLevel="1">
      <c r="C53" s="708"/>
      <c r="D53" s="709"/>
      <c r="E53" s="710"/>
    </row>
    <row r="54" spans="2:19" ht="19.149999999999999" hidden="1" customHeight="1" outlineLevel="1">
      <c r="C54" s="708"/>
      <c r="D54" s="709"/>
      <c r="E54" s="710"/>
    </row>
    <row r="55" spans="2:19" ht="19.149999999999999" hidden="1" customHeight="1" outlineLevel="1">
      <c r="C55" s="708"/>
      <c r="D55" s="709"/>
      <c r="E55" s="710"/>
    </row>
    <row r="56" spans="2:19" ht="19.149999999999999" hidden="1" customHeight="1" outlineLevel="1" thickBot="1">
      <c r="C56" s="711"/>
      <c r="D56" s="712"/>
      <c r="E56" s="713"/>
    </row>
    <row r="57" spans="2:19" collapsed="1"/>
    <row r="58" spans="2:19">
      <c r="B58" s="208" t="s">
        <v>1198</v>
      </c>
      <c r="C58" s="208"/>
      <c r="D58" s="208"/>
      <c r="E58" s="209"/>
      <c r="F58" s="209"/>
      <c r="G58" s="209"/>
      <c r="H58" s="209"/>
      <c r="I58" s="209"/>
      <c r="J58" s="209"/>
      <c r="K58" s="209"/>
      <c r="L58" s="209"/>
      <c r="M58" s="209"/>
      <c r="N58" s="209"/>
    </row>
    <row r="59" spans="2:19" ht="15" hidden="1" outlineLevel="1" thickBot="1">
      <c r="H59" t="s">
        <v>1199</v>
      </c>
      <c r="I59" s="224"/>
      <c r="J59" s="224"/>
      <c r="K59" s="224"/>
      <c r="L59" s="224"/>
    </row>
    <row r="60" spans="2:19" ht="15" hidden="1" outlineLevel="1" thickBot="1">
      <c r="C60" t="s">
        <v>1200</v>
      </c>
      <c r="D60" s="225"/>
      <c r="G60" s="469" t="s">
        <v>1201</v>
      </c>
      <c r="L60" s="224"/>
      <c r="Q60" s="224"/>
      <c r="R60" s="224"/>
      <c r="S60" s="224"/>
    </row>
    <row r="61" spans="2:19" ht="14.65" hidden="1" customHeight="1" outlineLevel="1">
      <c r="C61" t="s">
        <v>1202</v>
      </c>
      <c r="D61" s="714"/>
      <c r="E61" s="715"/>
      <c r="L61" s="224"/>
      <c r="Q61" s="42" t="str">
        <f>"MD_Equity"&amp;D60&amp;"[Reasons]"</f>
        <v>MD_Equity[Reasons]</v>
      </c>
      <c r="R61" s="224"/>
      <c r="S61" s="224"/>
    </row>
    <row r="62" spans="2:19" hidden="1" outlineLevel="1">
      <c r="D62" s="716"/>
      <c r="E62" s="717"/>
      <c r="L62" s="224"/>
      <c r="Q62" s="42" t="b">
        <f ca="1">ISNUMBER(MATCH(D61,INDIRECT(Q61),0))</f>
        <v>0</v>
      </c>
      <c r="R62" s="224"/>
      <c r="S62" s="224"/>
    </row>
    <row r="63" spans="2:19" ht="15" hidden="1" outlineLevel="1" thickBot="1">
      <c r="D63" s="718"/>
      <c r="E63" s="719"/>
      <c r="L63" s="224"/>
      <c r="Q63" s="224"/>
      <c r="R63" s="224"/>
      <c r="S63" s="224"/>
    </row>
    <row r="64" spans="2:19" hidden="1" outlineLevel="1">
      <c r="C64" t="s">
        <v>1203</v>
      </c>
      <c r="D64" s="722" t="str" cm="1">
        <f t="array" ref="D64">_xlfn.IFNA(_xlfn.IFS(ISBLANK(D60),"",D60="Increased",_xlfn.XLOOKUP(D61,MD_EquityIncreased[Reasons],MD_EquityIncreased[Response]),D60="Decreased",_xlfn.XLOOKUP(D61,MD_EquityDecreased[Reasons],MD_EquityDecreased[Response])),"")</f>
        <v/>
      </c>
      <c r="E64" s="723"/>
      <c r="L64" s="224"/>
      <c r="Q64" s="224"/>
      <c r="R64" s="224"/>
      <c r="S64" s="224"/>
    </row>
    <row r="65" spans="2:19" ht="15" hidden="1" outlineLevel="1" thickBot="1">
      <c r="D65" s="724"/>
      <c r="E65" s="725"/>
      <c r="L65" s="224"/>
      <c r="Q65" s="224"/>
      <c r="R65" s="224"/>
      <c r="S65" s="224"/>
    </row>
    <row r="66" spans="2:19" collapsed="1">
      <c r="E66" s="226"/>
      <c r="I66" s="224"/>
      <c r="J66" s="224"/>
      <c r="K66" s="224"/>
      <c r="L66" s="224"/>
    </row>
    <row r="67" spans="2:19">
      <c r="B67" s="208" t="s">
        <v>1204</v>
      </c>
      <c r="C67" s="208"/>
      <c r="D67" s="209"/>
      <c r="E67" s="209"/>
      <c r="F67" s="209"/>
      <c r="G67" s="209"/>
      <c r="H67" s="209"/>
      <c r="I67" s="209"/>
      <c r="J67" s="209"/>
      <c r="K67" s="209"/>
      <c r="L67" s="209"/>
      <c r="M67" s="209"/>
      <c r="N67" s="209"/>
    </row>
    <row r="68" spans="2:19" ht="18.600000000000001" hidden="1" customHeight="1" outlineLevel="1" thickBot="1">
      <c r="E68" s="42"/>
    </row>
    <row r="69" spans="2:19" ht="15.6" hidden="1" customHeight="1" outlineLevel="1" thickBot="1">
      <c r="C69" s="227" t="s">
        <v>563</v>
      </c>
      <c r="D69" s="228" t="s">
        <v>105</v>
      </c>
      <c r="E69" s="42"/>
    </row>
    <row r="70" spans="2:19" ht="16.350000000000001" hidden="1" customHeight="1" outlineLevel="1" thickBot="1">
      <c r="C70" s="229"/>
      <c r="D70" s="230"/>
      <c r="E70" s="42" t="str">
        <f>C70&amp;"Used"</f>
        <v>Used</v>
      </c>
    </row>
    <row r="71" spans="2:19" ht="14.65" hidden="1" customHeight="1" outlineLevel="1" thickBot="1">
      <c r="E71" s="231"/>
    </row>
    <row r="72" spans="2:19" ht="16.5" hidden="1" customHeight="1" outlineLevel="1" thickBot="1">
      <c r="C72" s="720" t="s">
        <v>110</v>
      </c>
      <c r="D72" s="721"/>
      <c r="E72" s="771"/>
    </row>
    <row r="73" spans="2:19" ht="16.149999999999999" hidden="1" customHeight="1" outlineLevel="1">
      <c r="C73" s="726" t="str" cm="1">
        <f t="array" aca="1" ref="C73" ca="1">IFERROR(_xlfn.XLOOKUP(D70,INDIRECT(I74),INDIRECT(I75)),"")</f>
        <v/>
      </c>
      <c r="D73" s="727"/>
      <c r="E73" s="710"/>
    </row>
    <row r="74" spans="2:19" ht="16.149999999999999" hidden="1" customHeight="1" outlineLevel="1">
      <c r="C74" s="726"/>
      <c r="D74" s="727"/>
      <c r="E74" s="710"/>
      <c r="I74" s="42" t="str">
        <f>"MD_"&amp;C70&amp;"[Account Name]"</f>
        <v>MD_[Account Name]</v>
      </c>
    </row>
    <row r="75" spans="2:19" ht="16.149999999999999" hidden="1" customHeight="1" outlineLevel="1">
      <c r="C75" s="726"/>
      <c r="D75" s="727"/>
      <c r="E75" s="710"/>
      <c r="I75" s="42" t="str">
        <f>"MD_"&amp;C70&amp;"[Definition]"</f>
        <v>MD_[Definition]</v>
      </c>
    </row>
    <row r="76" spans="2:19" ht="16.149999999999999" hidden="1" customHeight="1" outlineLevel="1">
      <c r="C76" s="726"/>
      <c r="D76" s="727"/>
      <c r="E76" s="710"/>
      <c r="I76" s="42" t="e" cm="1">
        <f t="array" aca="1" ref="I76" ca="1">_xlfn.IFNA(_xlfn.XLOOKUP(D70,INDIRECT(I74),INDIRECT(I75)),"Not Found")</f>
        <v>#REF!</v>
      </c>
    </row>
    <row r="77" spans="2:19" ht="16.149999999999999" hidden="1" customHeight="1" outlineLevel="1" thickBot="1">
      <c r="C77" s="728"/>
      <c r="D77" s="729"/>
      <c r="E77" s="713"/>
    </row>
    <row r="78" spans="2:19" ht="16.149999999999999" customHeight="1" collapsed="1">
      <c r="C78" s="214"/>
      <c r="D78" s="214"/>
    </row>
    <row r="79" spans="2:19">
      <c r="B79" s="208" t="s">
        <v>1205</v>
      </c>
      <c r="C79" s="208"/>
      <c r="D79" s="208"/>
      <c r="E79" s="209"/>
      <c r="F79" s="209"/>
      <c r="G79" s="209"/>
      <c r="H79" s="209"/>
      <c r="I79" s="209"/>
      <c r="J79" s="209"/>
      <c r="K79" s="209"/>
      <c r="L79" s="209"/>
      <c r="M79" s="209"/>
      <c r="N79" s="209"/>
    </row>
    <row r="80" spans="2:19" ht="15" hidden="1" outlineLevel="1" thickBot="1"/>
    <row r="81" spans="3:12" ht="16.5" hidden="1" customHeight="1" outlineLevel="1">
      <c r="C81" s="232" t="s">
        <v>65</v>
      </c>
      <c r="D81" s="233"/>
      <c r="E81" s="234"/>
      <c r="F81" s="42"/>
    </row>
    <row r="82" spans="3:12" ht="14.65" hidden="1" customHeight="1" outlineLevel="1">
      <c r="C82" s="235" t="s">
        <v>1206</v>
      </c>
      <c r="D82" s="236" t="s">
        <v>774</v>
      </c>
      <c r="E82" s="237" t="s">
        <v>1207</v>
      </c>
    </row>
    <row r="83" spans="3:12" hidden="1" outlineLevel="1">
      <c r="C83" s="238"/>
      <c r="D83" s="239">
        <f t="shared" ref="D83:D90" si="0">C38</f>
        <v>0</v>
      </c>
      <c r="E83" s="240" t="str" cm="1">
        <f t="array" ref="E83">IFERROR(_xlfn.IFS(D83&gt;0,"Debit",D83&lt;0,"Credit",D83=0,""),"")</f>
        <v/>
      </c>
    </row>
    <row r="84" spans="3:12" hidden="1" outlineLevel="1">
      <c r="C84" s="238"/>
      <c r="D84" s="239">
        <f t="shared" si="0"/>
        <v>0</v>
      </c>
      <c r="E84" s="240" t="str" cm="1">
        <f t="array" ref="E84">IFERROR(_xlfn.IFS(D84&gt;0,"Debit",D84&lt;0,"Credit",D84=0,""),"")</f>
        <v/>
      </c>
    </row>
    <row r="85" spans="3:12" hidden="1" outlineLevel="1">
      <c r="C85" s="238"/>
      <c r="D85" s="239">
        <f t="shared" si="0"/>
        <v>0</v>
      </c>
      <c r="E85" s="240"/>
      <c r="G85" s="226"/>
      <c r="H85" s="226"/>
      <c r="I85" s="226"/>
    </row>
    <row r="86" spans="3:12" hidden="1" outlineLevel="1">
      <c r="C86" s="238"/>
      <c r="D86" s="239">
        <f t="shared" si="0"/>
        <v>0</v>
      </c>
      <c r="E86" s="240"/>
    </row>
    <row r="87" spans="3:12" hidden="1" outlineLevel="1">
      <c r="C87" s="238"/>
      <c r="D87" s="239">
        <f t="shared" si="0"/>
        <v>0</v>
      </c>
      <c r="E87" s="240"/>
    </row>
    <row r="88" spans="3:12" hidden="1" outlineLevel="1">
      <c r="C88" s="238"/>
      <c r="D88" s="239">
        <f t="shared" si="0"/>
        <v>0</v>
      </c>
      <c r="E88" s="240"/>
    </row>
    <row r="89" spans="3:12" hidden="1" outlineLevel="1">
      <c r="C89" s="238"/>
      <c r="D89" s="239">
        <f t="shared" si="0"/>
        <v>0</v>
      </c>
      <c r="E89" s="240"/>
      <c r="L89" t="s">
        <v>1208</v>
      </c>
    </row>
    <row r="90" spans="3:12" ht="15" hidden="1" outlineLevel="1" thickBot="1">
      <c r="C90" s="241"/>
      <c r="D90" s="242">
        <f t="shared" si="0"/>
        <v>0</v>
      </c>
      <c r="E90" s="243"/>
    </row>
    <row r="91" spans="3:12" ht="15" hidden="1" outlineLevel="1" thickBot="1"/>
    <row r="92" spans="3:12" hidden="1" outlineLevel="1">
      <c r="C92" s="686" t="s">
        <v>66</v>
      </c>
      <c r="D92" s="687"/>
      <c r="E92" s="688"/>
      <c r="F92" s="42"/>
    </row>
    <row r="93" spans="3:12" hidden="1" outlineLevel="1">
      <c r="C93" s="235" t="s">
        <v>1206</v>
      </c>
      <c r="D93" s="236" t="s">
        <v>774</v>
      </c>
      <c r="E93" s="237" t="s">
        <v>1207</v>
      </c>
    </row>
    <row r="94" spans="3:12" hidden="1" outlineLevel="1">
      <c r="C94" s="238"/>
      <c r="D94" s="244">
        <f>D38</f>
        <v>0</v>
      </c>
      <c r="E94" s="240" t="str" cm="1">
        <f t="array" ref="E94">IFERROR(_xlfn.IFS(D94&gt;0,"Credit",D94&lt;0,"Debit",D94=0,""),"")</f>
        <v/>
      </c>
    </row>
    <row r="95" spans="3:12" hidden="1" outlineLevel="1">
      <c r="C95" s="238"/>
      <c r="D95" s="244">
        <f t="shared" ref="D95:D101" si="1">D39</f>
        <v>0</v>
      </c>
      <c r="E95" s="240" t="str" cm="1">
        <f t="array" ref="E95">IFERROR(_xlfn.IFS(D95&gt;0,"Credit",D95&lt;0,"Debit",D95=0,""),"")</f>
        <v/>
      </c>
    </row>
    <row r="96" spans="3:12" hidden="1" outlineLevel="1">
      <c r="C96" s="238"/>
      <c r="D96" s="244">
        <f t="shared" si="1"/>
        <v>0</v>
      </c>
      <c r="E96" s="240" t="str" cm="1">
        <f t="array" ref="E96">IFERROR(_xlfn.IFS(D96&gt;0,"Credit",D96&lt;0,"Debit",D96=0,""),"")</f>
        <v/>
      </c>
    </row>
    <row r="97" spans="3:6" hidden="1" outlineLevel="1">
      <c r="C97" s="238"/>
      <c r="D97" s="244">
        <f t="shared" si="1"/>
        <v>0</v>
      </c>
      <c r="E97" s="240" t="str" cm="1">
        <f t="array" ref="E97">IFERROR(_xlfn.IFS(D97&gt;0,"Credit",D97&lt;0,"Debit",D97=0,""),"")</f>
        <v/>
      </c>
    </row>
    <row r="98" spans="3:6" hidden="1" outlineLevel="1">
      <c r="C98" s="238"/>
      <c r="D98" s="244">
        <f t="shared" si="1"/>
        <v>0</v>
      </c>
      <c r="E98" s="240" t="str" cm="1">
        <f t="array" ref="E98">IFERROR(_xlfn.IFS(D98&gt;0,"Credit",D98&lt;0,"Debit",D98=0,""),"")</f>
        <v/>
      </c>
    </row>
    <row r="99" spans="3:6" hidden="1" outlineLevel="1">
      <c r="C99" s="238"/>
      <c r="D99" s="244">
        <f t="shared" si="1"/>
        <v>0</v>
      </c>
      <c r="E99" s="240" t="str" cm="1">
        <f t="array" ref="E99">IFERROR(_xlfn.IFS(D99&gt;0,"Credit",D99&lt;0,"Debit",D99=0,""),"")</f>
        <v/>
      </c>
    </row>
    <row r="100" spans="3:6" hidden="1" outlineLevel="1">
      <c r="C100" s="238"/>
      <c r="D100" s="244">
        <f t="shared" si="1"/>
        <v>0</v>
      </c>
      <c r="E100" s="240" t="str" cm="1">
        <f t="array" ref="E100">IFERROR(_xlfn.IFS(D100&gt;0,"Credit",D100&lt;0,"Debit",D100=0,""),"")</f>
        <v/>
      </c>
    </row>
    <row r="101" spans="3:6" ht="15" hidden="1" outlineLevel="1" thickBot="1">
      <c r="C101" s="241"/>
      <c r="D101" s="245">
        <f t="shared" si="1"/>
        <v>0</v>
      </c>
      <c r="E101" s="243" t="str" cm="1">
        <f t="array" ref="E101">IFERROR(_xlfn.IFS(D101&gt;0,"Credit",D101&lt;0,"Debit",D101=0,""),"")</f>
        <v/>
      </c>
    </row>
    <row r="102" spans="3:6" ht="17.649999999999999" hidden="1" customHeight="1" outlineLevel="1" thickBot="1"/>
    <row r="103" spans="3:6" ht="17.649999999999999" hidden="1" customHeight="1" outlineLevel="1">
      <c r="C103" s="689" t="s">
        <v>67</v>
      </c>
      <c r="D103" s="690"/>
      <c r="E103" s="691"/>
      <c r="F103" s="42"/>
    </row>
    <row r="104" spans="3:6" ht="17.649999999999999" hidden="1" customHeight="1" outlineLevel="1">
      <c r="C104" s="235" t="s">
        <v>1206</v>
      </c>
      <c r="D104" s="236" t="s">
        <v>774</v>
      </c>
      <c r="E104" s="237" t="s">
        <v>1207</v>
      </c>
    </row>
    <row r="105" spans="3:6" ht="17.649999999999999" hidden="1" customHeight="1" outlineLevel="1">
      <c r="C105" s="238"/>
      <c r="D105" s="246"/>
      <c r="E105" s="240" t="str" cm="1">
        <f t="array" ref="E105">IFERROR(_xlfn.IFS(D105&gt;0,"Credit",D105&lt;0,"Debit",D105=0,""),"")</f>
        <v/>
      </c>
    </row>
    <row r="106" spans="3:6" ht="17.649999999999999" hidden="1" customHeight="1" outlineLevel="1">
      <c r="C106" s="238"/>
      <c r="D106" s="246"/>
      <c r="E106" s="240" t="str" cm="1">
        <f t="array" ref="E106">IFERROR(_xlfn.IFS(D106&gt;0,"Credit",D106&lt;0,"Debit",D106=0,""),"")</f>
        <v/>
      </c>
    </row>
    <row r="107" spans="3:6" ht="17.649999999999999" hidden="1" customHeight="1" outlineLevel="1">
      <c r="C107" s="238"/>
      <c r="D107" s="246"/>
      <c r="E107" s="240" t="str" cm="1">
        <f t="array" ref="E107">IFERROR(_xlfn.IFS(D107&gt;0,"Credit",D107&lt;0,"Debit",D107=0,""),"")</f>
        <v/>
      </c>
    </row>
    <row r="108" spans="3:6" ht="17.649999999999999" hidden="1" customHeight="1" outlineLevel="1">
      <c r="C108" s="238"/>
      <c r="D108" s="246"/>
      <c r="E108" s="240" t="str" cm="1">
        <f t="array" ref="E108">IFERROR(_xlfn.IFS(D108&gt;0,"Credit",D108&lt;0,"Debit",D108=0,""),"")</f>
        <v/>
      </c>
    </row>
    <row r="109" spans="3:6" ht="17.649999999999999" hidden="1" customHeight="1" outlineLevel="1">
      <c r="C109" s="238"/>
      <c r="D109" s="246"/>
      <c r="E109" s="240" t="str" cm="1">
        <f t="array" ref="E109">IFERROR(_xlfn.IFS(D109&gt;0,"Credit",D109&lt;0,"Debit",D109=0,""),"")</f>
        <v/>
      </c>
    </row>
    <row r="110" spans="3:6" ht="17.649999999999999" hidden="1" customHeight="1" outlineLevel="1">
      <c r="C110" s="238"/>
      <c r="D110" s="246"/>
      <c r="E110" s="240" t="str" cm="1">
        <f t="array" ref="E110">IFERROR(_xlfn.IFS(D110&gt;0,"Credit",D110&lt;0,"Debit",D110=0,""),"")</f>
        <v/>
      </c>
    </row>
    <row r="111" spans="3:6" ht="17.649999999999999" hidden="1" customHeight="1" outlineLevel="1">
      <c r="C111" s="238"/>
      <c r="D111" s="246"/>
      <c r="E111" s="240" t="str" cm="1">
        <f t="array" ref="E111">IFERROR(_xlfn.IFS(D111&gt;0,"Credit",D111&lt;0,"Debit",D111=0,""),"")</f>
        <v/>
      </c>
    </row>
    <row r="112" spans="3:6" ht="17.649999999999999" hidden="1" customHeight="1" outlineLevel="1" thickBot="1">
      <c r="C112" s="241"/>
      <c r="D112" s="247"/>
      <c r="E112" s="243" t="str" cm="1">
        <f t="array" ref="E112">IFERROR(_xlfn.IFS(D112&gt;0,"Credit",D112&lt;0,"Debit",D112=0,""),"")</f>
        <v/>
      </c>
    </row>
    <row r="113" spans="3:5" ht="17.649999999999999" hidden="1" customHeight="1" outlineLevel="1">
      <c r="C113" t="s">
        <v>883</v>
      </c>
      <c r="D113" s="248">
        <f>SUM(D105:D112)</f>
        <v>0</v>
      </c>
    </row>
    <row r="114" spans="3:5" ht="17.649999999999999" hidden="1" customHeight="1" outlineLevel="1">
      <c r="C114" t="s">
        <v>1209</v>
      </c>
      <c r="D114" s="248">
        <f>E46</f>
        <v>0</v>
      </c>
    </row>
    <row r="115" spans="3:5" ht="17.649999999999999" hidden="1" customHeight="1" outlineLevel="1" thickBot="1">
      <c r="C115" t="s">
        <v>1210</v>
      </c>
      <c r="D115" s="249">
        <f>D114-D113</f>
        <v>0</v>
      </c>
    </row>
    <row r="116" spans="3:5" ht="17.649999999999999" hidden="1" customHeight="1" outlineLevel="1" thickTop="1" thickBot="1"/>
    <row r="117" spans="3:5" ht="17.649999999999999" hidden="1" customHeight="1" outlineLevel="1">
      <c r="C117" s="692" t="s">
        <v>1211</v>
      </c>
      <c r="D117" s="694"/>
    </row>
    <row r="118" spans="3:5" ht="17.649999999999999" hidden="1" customHeight="1" outlineLevel="1" thickBot="1">
      <c r="C118" s="693"/>
      <c r="D118" s="695"/>
    </row>
    <row r="119" spans="3:5" ht="17.649999999999999" hidden="1" customHeight="1" outlineLevel="1" thickBot="1">
      <c r="C119" s="42">
        <f>COUNTIF(C105:C112,"Retained Earnings")</f>
        <v>0</v>
      </c>
    </row>
    <row r="120" spans="3:5" ht="17.649999999999999" hidden="1" customHeight="1" outlineLevel="1">
      <c r="C120" s="699" t="s">
        <v>1212</v>
      </c>
      <c r="D120" s="700"/>
      <c r="E120" s="701"/>
    </row>
    <row r="121" spans="3:5" ht="17.649999999999999" hidden="1" customHeight="1" outlineLevel="1">
      <c r="C121" s="702"/>
      <c r="D121" s="703"/>
      <c r="E121" s="704"/>
    </row>
    <row r="122" spans="3:5" ht="17.649999999999999" hidden="1" customHeight="1" outlineLevel="1">
      <c r="C122" s="702"/>
      <c r="D122" s="703"/>
      <c r="E122" s="704"/>
    </row>
    <row r="123" spans="3:5" ht="17.649999999999999" hidden="1" customHeight="1" outlineLevel="1">
      <c r="C123" s="702"/>
      <c r="D123" s="703"/>
      <c r="E123" s="704"/>
    </row>
    <row r="124" spans="3:5" ht="17.649999999999999" hidden="1" customHeight="1" outlineLevel="1">
      <c r="C124" s="702"/>
      <c r="D124" s="703"/>
      <c r="E124" s="704"/>
    </row>
    <row r="125" spans="3:5" ht="17.649999999999999" hidden="1" customHeight="1" outlineLevel="1" thickBot="1">
      <c r="C125" s="696"/>
      <c r="D125" s="697"/>
      <c r="E125" s="698"/>
    </row>
    <row r="126" spans="3:5" ht="17.649999999999999" hidden="1" customHeight="1" outlineLevel="1" thickBot="1"/>
    <row r="127" spans="3:5" ht="17.649999999999999" hidden="1" customHeight="1" outlineLevel="1">
      <c r="C127" s="692" t="s">
        <v>1213</v>
      </c>
      <c r="D127" s="694"/>
    </row>
    <row r="128" spans="3:5" ht="17.649999999999999" hidden="1" customHeight="1" outlineLevel="1" thickBot="1">
      <c r="C128" s="693"/>
      <c r="D128" s="695"/>
    </row>
    <row r="129" spans="2:14" ht="17.649999999999999" hidden="1" customHeight="1" outlineLevel="1" thickBot="1"/>
    <row r="130" spans="2:14" ht="33.6" hidden="1" customHeight="1" outlineLevel="1">
      <c r="C130" s="699" t="s">
        <v>1214</v>
      </c>
      <c r="D130" s="700"/>
      <c r="E130" s="701"/>
    </row>
    <row r="131" spans="2:14" ht="43.35" hidden="1" customHeight="1" outlineLevel="1">
      <c r="C131" s="702" t="s">
        <v>1215</v>
      </c>
      <c r="D131" s="703"/>
      <c r="E131" s="704"/>
    </row>
    <row r="132" spans="2:14" ht="54" hidden="1" customHeight="1" outlineLevel="1">
      <c r="C132" s="702" t="s">
        <v>1216</v>
      </c>
      <c r="D132" s="703"/>
      <c r="E132" s="704"/>
    </row>
    <row r="133" spans="2:14" ht="57" hidden="1" customHeight="1" outlineLevel="1" thickBot="1">
      <c r="C133" s="696" t="s">
        <v>1217</v>
      </c>
      <c r="D133" s="697"/>
      <c r="E133" s="698"/>
    </row>
    <row r="134" spans="2:14" ht="17.649999999999999" customHeight="1" collapsed="1"/>
    <row r="135" spans="2:14">
      <c r="B135" s="208" t="s">
        <v>1218</v>
      </c>
      <c r="C135" s="208"/>
      <c r="D135" s="208"/>
      <c r="E135" s="209"/>
      <c r="F135" s="209"/>
      <c r="G135" s="209"/>
      <c r="H135" s="209"/>
      <c r="I135" s="209"/>
      <c r="J135" s="209"/>
      <c r="K135" s="209"/>
      <c r="L135" s="209"/>
      <c r="M135" s="209"/>
      <c r="N135" s="209"/>
    </row>
    <row r="136" spans="2:14" ht="17.649999999999999" hidden="1" customHeight="1" outlineLevel="1" thickBot="1"/>
    <row r="137" spans="2:14" ht="17.649999999999999" hidden="1" customHeight="1" outlineLevel="1" thickBot="1">
      <c r="B137" s="491"/>
      <c r="C137" s="251" t="s">
        <v>1219</v>
      </c>
      <c r="D137" s="251" t="s">
        <v>1220</v>
      </c>
      <c r="E137" s="251" t="s">
        <v>1221</v>
      </c>
      <c r="F137" s="251" t="s">
        <v>1222</v>
      </c>
      <c r="G137" s="252" t="s">
        <v>1223</v>
      </c>
      <c r="I137" s="253" t="s">
        <v>1224</v>
      </c>
      <c r="J137" s="224"/>
      <c r="K137" s="224"/>
      <c r="L137" s="224"/>
      <c r="M137" s="42"/>
    </row>
    <row r="138" spans="2:14" ht="17.649999999999999" hidden="1" customHeight="1" outlineLevel="1" thickBot="1">
      <c r="B138" s="492" t="str" cm="1">
        <f t="array" aca="1" ref="B138" ca="1">_xlfn.IFS(C138="","",AND(C138&lt;&gt;"",$J138),"OK",AND(C138&lt;&gt;"",NOT($J138)),"?")</f>
        <v/>
      </c>
      <c r="C138" s="615"/>
      <c r="D138" s="618"/>
      <c r="E138" s="619"/>
      <c r="F138" s="620"/>
      <c r="G138" s="621"/>
      <c r="I138" s="259">
        <f>SUM(F138:F153)-SUM(G138:G153)</f>
        <v>0</v>
      </c>
      <c r="J138" s="42" t="str" cm="1">
        <f t="array" aca="1" ref="J138" ca="1">_xlfn.IFNA(_xlfn.IFS(K138="----","",K138&lt;&gt;"----",ISNUMBER(MATCH(K138,MasterData!$AI$491:$AI$506,0))),"FALSE")</f>
        <v/>
      </c>
      <c r="K138" s="42" t="str">
        <f t="shared" ref="K138:K153" si="2">_xlfn.TEXTJOIN("-",FALSE,C138:G138)</f>
        <v>----</v>
      </c>
      <c r="L138" s="224"/>
      <c r="M138" s="42" t="str">
        <f>C138&amp;"Used"</f>
        <v>Used</v>
      </c>
      <c r="N138" s="224"/>
    </row>
    <row r="139" spans="2:14" ht="17.649999999999999" hidden="1" customHeight="1" outlineLevel="1">
      <c r="B139" s="492" t="str" cm="1">
        <f t="array" aca="1" ref="B139" ca="1">_xlfn.IFS(C139="","",AND(C139&lt;&gt;"",$J139),"OK",AND(C139&lt;&gt;"",NOT($J139)),"?")</f>
        <v/>
      </c>
      <c r="C139" s="616"/>
      <c r="D139" s="622"/>
      <c r="E139" s="623"/>
      <c r="F139" s="624"/>
      <c r="G139" s="625"/>
      <c r="J139" s="42" t="str" cm="1">
        <f t="array" aca="1" ref="J139" ca="1">_xlfn.IFNA(_xlfn.IFS(K139="----","",K139&lt;&gt;"----",ISNUMBER(MATCH(K139,MasterData!$AI$491:$AI$506,0))),"FALSE")</f>
        <v/>
      </c>
      <c r="K139" s="42" t="str">
        <f t="shared" si="2"/>
        <v>----</v>
      </c>
      <c r="L139" s="224"/>
      <c r="M139" s="42" t="str">
        <f t="shared" ref="M139:M152" si="3">C139&amp;"Used"</f>
        <v>Used</v>
      </c>
      <c r="N139" s="224"/>
    </row>
    <row r="140" spans="2:14" ht="17.649999999999999" hidden="1" customHeight="1" outlineLevel="1">
      <c r="B140" s="492" t="str" cm="1">
        <f t="array" aca="1" ref="B140" ca="1">_xlfn.IFS(C140="","",AND(C140&lt;&gt;"",$J140),"OK",AND(C140&lt;&gt;"",NOT($J140)),"?")</f>
        <v/>
      </c>
      <c r="C140" s="616"/>
      <c r="D140" s="622"/>
      <c r="E140" s="623"/>
      <c r="F140" s="624"/>
      <c r="G140" s="625"/>
      <c r="J140" s="42" t="str" cm="1">
        <f t="array" aca="1" ref="J140" ca="1">_xlfn.IFNA(_xlfn.IFS(K140="----","",K140&lt;&gt;"----",ISNUMBER(MATCH(K140,MasterData!$AI$491:$AI$506,0))),"FALSE")</f>
        <v/>
      </c>
      <c r="K140" s="42" t="str">
        <f t="shared" si="2"/>
        <v>----</v>
      </c>
      <c r="L140" s="224"/>
      <c r="M140" s="42" t="str">
        <f t="shared" si="3"/>
        <v>Used</v>
      </c>
      <c r="N140" s="224"/>
    </row>
    <row r="141" spans="2:14" ht="17.649999999999999" hidden="1" customHeight="1" outlineLevel="1">
      <c r="B141" s="492" t="str" cm="1">
        <f t="array" aca="1" ref="B141" ca="1">_xlfn.IFS(C141="","",AND(C141&lt;&gt;"",$J141),"OK",AND(C141&lt;&gt;"",NOT($J141)),"?")</f>
        <v/>
      </c>
      <c r="C141" s="616"/>
      <c r="D141" s="622"/>
      <c r="E141" s="623"/>
      <c r="F141" s="624"/>
      <c r="G141" s="625"/>
      <c r="J141" s="42" t="str" cm="1">
        <f t="array" aca="1" ref="J141" ca="1">_xlfn.IFNA(_xlfn.IFS(K141="----","",K141&lt;&gt;"----",ISNUMBER(MATCH(K141,MasterData!$AI$491:$AI$506,0))),"FALSE")</f>
        <v/>
      </c>
      <c r="K141" s="42" t="str">
        <f t="shared" si="2"/>
        <v>----</v>
      </c>
      <c r="L141" s="224"/>
      <c r="M141" s="42" t="str">
        <f t="shared" si="3"/>
        <v>Used</v>
      </c>
      <c r="N141" s="224"/>
    </row>
    <row r="142" spans="2:14" ht="17.649999999999999" hidden="1" customHeight="1" outlineLevel="1">
      <c r="B142" s="492" t="str" cm="1">
        <f t="array" aca="1" ref="B142" ca="1">_xlfn.IFS(C142="","",AND(C142&lt;&gt;"",$J142),"OK",AND(C142&lt;&gt;"",NOT($J142)),"?")</f>
        <v/>
      </c>
      <c r="C142" s="616"/>
      <c r="D142" s="622"/>
      <c r="E142" s="623"/>
      <c r="F142" s="624"/>
      <c r="G142" s="625"/>
      <c r="J142" s="42" t="str" cm="1">
        <f t="array" aca="1" ref="J142" ca="1">_xlfn.IFNA(_xlfn.IFS(K142="----","",K142&lt;&gt;"----",ISNUMBER(MATCH(K142,MasterData!$AI$491:$AI$506,0))),"FALSE")</f>
        <v/>
      </c>
      <c r="K142" s="42" t="str">
        <f t="shared" si="2"/>
        <v>----</v>
      </c>
      <c r="L142" s="224"/>
      <c r="M142" s="42" t="str">
        <f t="shared" si="3"/>
        <v>Used</v>
      </c>
      <c r="N142" s="224"/>
    </row>
    <row r="143" spans="2:14" ht="17.649999999999999" hidden="1" customHeight="1" outlineLevel="1">
      <c r="B143" s="492" t="str" cm="1">
        <f t="array" aca="1" ref="B143" ca="1">_xlfn.IFS(C143="","",AND(C143&lt;&gt;"",$J143),"OK",AND(C143&lt;&gt;"",NOT($J143)),"?")</f>
        <v/>
      </c>
      <c r="C143" s="616"/>
      <c r="D143" s="622"/>
      <c r="E143" s="623"/>
      <c r="F143" s="624"/>
      <c r="G143" s="625"/>
      <c r="J143" s="42" t="str" cm="1">
        <f t="array" aca="1" ref="J143" ca="1">_xlfn.IFNA(_xlfn.IFS(K143="----","",K143&lt;&gt;"----",ISNUMBER(MATCH(K143,MasterData!$AI$491:$AI$506,0))),"FALSE")</f>
        <v/>
      </c>
      <c r="K143" s="42" t="str">
        <f t="shared" si="2"/>
        <v>----</v>
      </c>
      <c r="L143" s="224"/>
      <c r="M143" s="42" t="str">
        <f t="shared" si="3"/>
        <v>Used</v>
      </c>
      <c r="N143" s="224"/>
    </row>
    <row r="144" spans="2:14" hidden="1" outlineLevel="1">
      <c r="B144" s="492" t="str" cm="1">
        <f t="array" aca="1" ref="B144" ca="1">_xlfn.IFS(C144="","",AND(C144&lt;&gt;"",$J144),"OK",AND(C144&lt;&gt;"",NOT($J144)),"?")</f>
        <v/>
      </c>
      <c r="C144" s="616"/>
      <c r="D144" s="622"/>
      <c r="E144" s="623"/>
      <c r="F144" s="624"/>
      <c r="G144" s="625"/>
      <c r="J144" s="42" t="str" cm="1">
        <f t="array" aca="1" ref="J144" ca="1">_xlfn.IFNA(_xlfn.IFS(K144="----","",K144&lt;&gt;"----",ISNUMBER(MATCH(K144,MasterData!$AI$491:$AI$506,0))),"FALSE")</f>
        <v/>
      </c>
      <c r="K144" s="42" t="str">
        <f t="shared" si="2"/>
        <v>----</v>
      </c>
      <c r="L144" s="224"/>
      <c r="M144" s="42" t="str">
        <f t="shared" si="3"/>
        <v>Used</v>
      </c>
      <c r="N144" s="224"/>
    </row>
    <row r="145" spans="2:36" hidden="1" outlineLevel="1">
      <c r="B145" s="492" t="str" cm="1">
        <f t="array" aca="1" ref="B145" ca="1">_xlfn.IFS(C145="","",AND(C145&lt;&gt;"",$J145),"OK",AND(C145&lt;&gt;"",NOT($J145)),"?")</f>
        <v/>
      </c>
      <c r="C145" s="616"/>
      <c r="D145" s="622"/>
      <c r="E145" s="623"/>
      <c r="F145" s="624"/>
      <c r="G145" s="625"/>
      <c r="J145" s="42" t="str" cm="1">
        <f t="array" aca="1" ref="J145" ca="1">_xlfn.IFNA(_xlfn.IFS(K145="----","",K145&lt;&gt;"----",ISNUMBER(MATCH(K145,MasterData!$AI$491:$AI$506,0))),"FALSE")</f>
        <v/>
      </c>
      <c r="K145" s="42" t="str">
        <f t="shared" si="2"/>
        <v>----</v>
      </c>
      <c r="L145" s="224"/>
      <c r="M145" s="42" t="str">
        <f t="shared" si="3"/>
        <v>Used</v>
      </c>
      <c r="N145" s="42"/>
    </row>
    <row r="146" spans="2:36" hidden="1" outlineLevel="1">
      <c r="B146" s="492" t="str" cm="1">
        <f t="array" aca="1" ref="B146" ca="1">_xlfn.IFS(C146="","",AND(C146&lt;&gt;"",$J146),"OK",AND(C146&lt;&gt;"",NOT($J146)),"?")</f>
        <v/>
      </c>
      <c r="C146" s="616"/>
      <c r="D146" s="622"/>
      <c r="E146" s="623"/>
      <c r="F146" s="624"/>
      <c r="G146" s="625"/>
      <c r="J146" s="42" t="str" cm="1">
        <f t="array" aca="1" ref="J146" ca="1">_xlfn.IFNA(_xlfn.IFS(K146="----","",K146&lt;&gt;"----",ISNUMBER(MATCH(K146,MasterData!$AI$491:$AI$506,0))),"FALSE")</f>
        <v/>
      </c>
      <c r="K146" s="42" t="str">
        <f t="shared" si="2"/>
        <v>----</v>
      </c>
      <c r="L146" s="224"/>
      <c r="M146" s="42" t="str">
        <f t="shared" si="3"/>
        <v>Used</v>
      </c>
      <c r="N146" s="42"/>
    </row>
    <row r="147" spans="2:36" hidden="1" outlineLevel="1">
      <c r="B147" s="492" t="str" cm="1">
        <f t="array" aca="1" ref="B147" ca="1">_xlfn.IFS(C147="","",AND(C147&lt;&gt;"",$J147),"OK",AND(C147&lt;&gt;"",NOT($J147)),"?")</f>
        <v/>
      </c>
      <c r="C147" s="616"/>
      <c r="D147" s="622"/>
      <c r="E147" s="623"/>
      <c r="F147" s="624"/>
      <c r="G147" s="625"/>
      <c r="J147" s="42" t="str" cm="1">
        <f t="array" aca="1" ref="J147" ca="1">_xlfn.IFNA(_xlfn.IFS(K147="----","",K147&lt;&gt;"----",ISNUMBER(MATCH(K147,MasterData!$AI$491:$AI$506,0))),"FALSE")</f>
        <v/>
      </c>
      <c r="K147" s="42" t="str">
        <f t="shared" si="2"/>
        <v>----</v>
      </c>
      <c r="L147" s="224"/>
      <c r="M147" s="42" t="str">
        <f t="shared" si="3"/>
        <v>Used</v>
      </c>
      <c r="N147" s="42"/>
    </row>
    <row r="148" spans="2:36" hidden="1" outlineLevel="1">
      <c r="B148" s="492" t="str" cm="1">
        <f t="array" aca="1" ref="B148" ca="1">_xlfn.IFS(C148="","",AND(C148&lt;&gt;"",$J148),"OK",AND(C148&lt;&gt;"",NOT($J148)),"?")</f>
        <v/>
      </c>
      <c r="C148" s="616"/>
      <c r="D148" s="622"/>
      <c r="E148" s="623"/>
      <c r="F148" s="624"/>
      <c r="G148" s="625"/>
      <c r="J148" s="42" t="str" cm="1">
        <f t="array" aca="1" ref="J148" ca="1">_xlfn.IFNA(_xlfn.IFS(K148="----","",K148&lt;&gt;"----",ISNUMBER(MATCH(K148,MasterData!$AI$491:$AI$506,0))),"FALSE")</f>
        <v/>
      </c>
      <c r="K148" s="42" t="str">
        <f t="shared" si="2"/>
        <v>----</v>
      </c>
      <c r="L148" s="224"/>
      <c r="M148" s="42" t="str">
        <f t="shared" si="3"/>
        <v>Used</v>
      </c>
      <c r="N148" s="42"/>
    </row>
    <row r="149" spans="2:36" hidden="1" outlineLevel="1">
      <c r="B149" s="492" t="str" cm="1">
        <f t="array" aca="1" ref="B149" ca="1">_xlfn.IFS(C149="","",AND(C149&lt;&gt;"",$J149),"OK",AND(C149&lt;&gt;"",NOT($J149)),"?")</f>
        <v/>
      </c>
      <c r="C149" s="616"/>
      <c r="D149" s="622"/>
      <c r="E149" s="623"/>
      <c r="F149" s="624"/>
      <c r="G149" s="625"/>
      <c r="J149" s="42" t="str" cm="1">
        <f t="array" aca="1" ref="J149" ca="1">_xlfn.IFNA(_xlfn.IFS(K149="----","",K149&lt;&gt;"----",ISNUMBER(MATCH(K149,MasterData!$AI$491:$AI$506,0))),"FALSE")</f>
        <v/>
      </c>
      <c r="K149" s="42" t="str">
        <f t="shared" si="2"/>
        <v>----</v>
      </c>
      <c r="L149" s="224"/>
      <c r="M149" s="42" t="str">
        <f t="shared" si="3"/>
        <v>Used</v>
      </c>
      <c r="N149" s="42"/>
    </row>
    <row r="150" spans="2:36" hidden="1" outlineLevel="1">
      <c r="B150" s="492" t="str" cm="1">
        <f t="array" aca="1" ref="B150" ca="1">_xlfn.IFS(C150="","",AND(C150&lt;&gt;"",$J150),"OK",AND(C150&lt;&gt;"",NOT($J150)),"?")</f>
        <v/>
      </c>
      <c r="C150" s="616"/>
      <c r="D150" s="622"/>
      <c r="E150" s="623"/>
      <c r="F150" s="624"/>
      <c r="G150" s="625"/>
      <c r="J150" s="42" t="str" cm="1">
        <f t="array" aca="1" ref="J150" ca="1">_xlfn.IFNA(_xlfn.IFS(K150="----","",K150&lt;&gt;"----",ISNUMBER(MATCH(K150,MasterData!$AI$491:$AI$506,0))),"FALSE")</f>
        <v/>
      </c>
      <c r="K150" s="42" t="str">
        <f t="shared" si="2"/>
        <v>----</v>
      </c>
      <c r="L150" s="224"/>
      <c r="M150" s="42" t="str">
        <f t="shared" si="3"/>
        <v>Used</v>
      </c>
      <c r="N150" s="42"/>
    </row>
    <row r="151" spans="2:36" ht="15" hidden="1" outlineLevel="1" thickBot="1">
      <c r="B151" s="492" t="str" cm="1">
        <f t="array" aca="1" ref="B151" ca="1">_xlfn.IFS(C151="","",AND(C151&lt;&gt;"",$J151),"OK",AND(C151&lt;&gt;"",NOT($J151)),"?")</f>
        <v/>
      </c>
      <c r="C151" s="616"/>
      <c r="D151" s="622"/>
      <c r="E151" s="623"/>
      <c r="F151" s="624"/>
      <c r="G151" s="625"/>
      <c r="J151" s="42" t="str" cm="1">
        <f t="array" aca="1" ref="J151" ca="1">_xlfn.IFNA(_xlfn.IFS(K151="----","",K151&lt;&gt;"----",ISNUMBER(MATCH(K151,MasterData!$AI$491:$AI$506,0))),"FALSE")</f>
        <v/>
      </c>
      <c r="K151" s="42" t="str">
        <f t="shared" si="2"/>
        <v>----</v>
      </c>
      <c r="L151" s="224"/>
      <c r="M151" s="42" t="str">
        <f t="shared" si="3"/>
        <v>Used</v>
      </c>
      <c r="N151" s="42"/>
    </row>
    <row r="152" spans="2:36" ht="15" hidden="1" outlineLevel="1" thickBot="1">
      <c r="B152" s="492" t="str" cm="1">
        <f t="array" aca="1" ref="B152" ca="1">_xlfn.IFS(C152="","",AND(C152&lt;&gt;"",$J152),"OK",AND(C152&lt;&gt;"",NOT($J152)),"?")</f>
        <v/>
      </c>
      <c r="C152" s="616"/>
      <c r="D152" s="622"/>
      <c r="E152" s="623"/>
      <c r="F152" s="624"/>
      <c r="G152" s="625"/>
      <c r="I152" s="493" t="s">
        <v>1225</v>
      </c>
      <c r="J152" s="42" t="str" cm="1">
        <f t="array" aca="1" ref="J152" ca="1">_xlfn.IFNA(_xlfn.IFS(K152="----","",K152&lt;&gt;"----",ISNUMBER(MATCH(K152,MasterData!$AI$491:$AI$506,0))),"FALSE")</f>
        <v/>
      </c>
      <c r="K152" s="42" t="str">
        <f t="shared" si="2"/>
        <v>----</v>
      </c>
      <c r="L152" s="224"/>
      <c r="M152" s="42" t="str">
        <f t="shared" si="3"/>
        <v>Used</v>
      </c>
      <c r="N152" s="42"/>
    </row>
    <row r="153" spans="2:36" ht="15" hidden="1" outlineLevel="1" thickBot="1">
      <c r="B153" s="492" t="str" cm="1">
        <f t="array" aca="1" ref="B153" ca="1">_xlfn.IFS(C153="","",AND(C153&lt;&gt;"",$J153),"OK",AND(C153&lt;&gt;"",NOT($J153)),"?")</f>
        <v/>
      </c>
      <c r="C153" s="617"/>
      <c r="D153" s="626"/>
      <c r="E153" s="627"/>
      <c r="F153" s="628"/>
      <c r="G153" s="629"/>
      <c r="I153" s="630"/>
      <c r="J153" s="42" t="str" cm="1">
        <f t="array" aca="1" ref="J153" ca="1">_xlfn.IFNA(_xlfn.IFS(K153="----","",K153&lt;&gt;"----",ISNUMBER(MATCH(K153,MasterData!$AI$491:$AI$506,0))),"FALSE")</f>
        <v/>
      </c>
      <c r="K153" s="42" t="str">
        <f t="shared" si="2"/>
        <v>----</v>
      </c>
      <c r="L153" s="224"/>
      <c r="M153" s="42"/>
      <c r="N153" s="42"/>
    </row>
    <row r="154" spans="2:36" ht="15" hidden="1" outlineLevel="1" thickBot="1">
      <c r="G154" s="224"/>
      <c r="I154" s="224"/>
      <c r="J154" s="224"/>
      <c r="K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c r="AH154" s="224"/>
      <c r="AI154" s="224"/>
      <c r="AJ154" s="224"/>
    </row>
    <row r="155" spans="2:36" ht="15" hidden="1" outlineLevel="1" thickBot="1">
      <c r="C155" s="268"/>
      <c r="D155" s="269" t="s">
        <v>1226</v>
      </c>
      <c r="E155" s="269" t="s">
        <v>1227</v>
      </c>
      <c r="F155" s="269" t="s">
        <v>1228</v>
      </c>
      <c r="G155" s="270" t="s">
        <v>1229</v>
      </c>
      <c r="H155" s="224"/>
      <c r="I155" s="224"/>
      <c r="J155" s="224"/>
      <c r="K155" s="224"/>
      <c r="L155" s="224"/>
      <c r="M155" s="224"/>
      <c r="N155" s="224"/>
      <c r="O155" s="224"/>
      <c r="P155" s="224"/>
      <c r="Q155" s="224"/>
      <c r="R155" s="224"/>
      <c r="S155" s="224"/>
      <c r="T155" s="224"/>
      <c r="U155" s="224"/>
      <c r="V155" s="224"/>
      <c r="W155" s="224"/>
      <c r="X155" s="224"/>
      <c r="Y155" s="224"/>
      <c r="Z155" s="224"/>
      <c r="AA155" s="224"/>
      <c r="AB155" s="224"/>
      <c r="AC155" s="224"/>
      <c r="AD155" s="224"/>
      <c r="AE155" s="224"/>
      <c r="AF155" s="224"/>
      <c r="AG155" s="224"/>
      <c r="AH155" s="224"/>
    </row>
    <row r="156" spans="2:36" hidden="1" outlineLevel="1">
      <c r="C156" s="271" t="s">
        <v>1230</v>
      </c>
      <c r="D156" s="272">
        <f>COUNTA(D138:D153)-COUNTIF(D138:D153,0)</f>
        <v>0</v>
      </c>
      <c r="E156" s="272">
        <f>COUNTA(E138:E153)-COUNTIF(E138:E153,0)</f>
        <v>0</v>
      </c>
      <c r="F156" s="273">
        <f>SUM(F138:F153)</f>
        <v>0</v>
      </c>
      <c r="G156" s="274">
        <f>SUM(G138:G153)</f>
        <v>0</v>
      </c>
      <c r="H156" s="224"/>
      <c r="I156" s="224"/>
      <c r="J156" s="224"/>
      <c r="K156" s="224"/>
      <c r="L156" s="224"/>
      <c r="M156" s="224"/>
      <c r="U156" s="224"/>
      <c r="V156" s="224"/>
      <c r="W156" s="224"/>
      <c r="X156" s="224"/>
      <c r="Y156" s="224"/>
      <c r="Z156" s="224"/>
      <c r="AA156" s="224"/>
      <c r="AB156" s="224"/>
      <c r="AC156" s="224"/>
      <c r="AD156" s="224"/>
      <c r="AE156" s="224"/>
      <c r="AF156" s="224"/>
      <c r="AG156" s="224"/>
      <c r="AH156" s="224"/>
    </row>
    <row r="157" spans="2:36" ht="15" hidden="1" outlineLevel="1" thickBot="1">
      <c r="C157" s="275" t="s">
        <v>1231</v>
      </c>
      <c r="D157" s="276">
        <f>MasterData!AD508</f>
        <v>0</v>
      </c>
      <c r="E157" s="276">
        <f>MasterData!AE508</f>
        <v>0</v>
      </c>
      <c r="F157" s="273">
        <f>MasterData!AF508</f>
        <v>0</v>
      </c>
      <c r="G157" s="277">
        <f>MasterData!AG508</f>
        <v>0</v>
      </c>
      <c r="H157" s="224"/>
      <c r="I157" s="224"/>
      <c r="J157" s="224"/>
      <c r="K157" s="224"/>
      <c r="L157" s="224"/>
      <c r="M157" s="224"/>
      <c r="U157" s="224"/>
      <c r="V157" s="224"/>
      <c r="W157" s="224"/>
      <c r="X157" s="224"/>
      <c r="Y157" s="224"/>
      <c r="Z157" s="224"/>
      <c r="AA157" s="224"/>
      <c r="AB157" s="224"/>
      <c r="AC157" s="224"/>
      <c r="AD157" s="224"/>
      <c r="AE157" s="224"/>
      <c r="AF157" s="224"/>
      <c r="AG157" s="224"/>
      <c r="AH157" s="224"/>
    </row>
    <row r="158" spans="2:36" ht="15" hidden="1" outlineLevel="1" thickBot="1">
      <c r="C158" s="268" t="s">
        <v>1210</v>
      </c>
      <c r="D158" s="278">
        <f>D156-D157</f>
        <v>0</v>
      </c>
      <c r="E158" s="278">
        <f t="shared" ref="E158" si="4">E156-E157</f>
        <v>0</v>
      </c>
      <c r="F158" s="279">
        <f>F156-F157</f>
        <v>0</v>
      </c>
      <c r="G158" s="280">
        <f>G156-G157</f>
        <v>0</v>
      </c>
      <c r="H158" s="224"/>
      <c r="I158" s="224"/>
      <c r="J158" s="224"/>
      <c r="K158" s="224"/>
      <c r="L158" s="224"/>
      <c r="M158" s="224"/>
      <c r="U158" s="224"/>
      <c r="V158" s="224"/>
      <c r="W158" s="224"/>
      <c r="X158" s="224"/>
      <c r="Y158" s="224"/>
      <c r="Z158" s="224"/>
      <c r="AA158" s="224"/>
      <c r="AB158" s="224"/>
      <c r="AC158" s="224"/>
      <c r="AD158" s="224"/>
      <c r="AE158" s="224"/>
      <c r="AF158" s="224"/>
      <c r="AG158" s="224"/>
      <c r="AH158" s="224"/>
    </row>
    <row r="159" spans="2:36" hidden="1" outlineLevel="1">
      <c r="B159" s="224"/>
      <c r="C159" s="224"/>
      <c r="D159" s="224"/>
      <c r="E159" s="224"/>
      <c r="F159" s="224"/>
      <c r="G159" s="224"/>
      <c r="I159" s="224"/>
      <c r="J159" s="224"/>
      <c r="K159" s="224"/>
      <c r="L159" s="224"/>
      <c r="M159" s="224"/>
      <c r="N159" s="224"/>
      <c r="O159" s="224"/>
      <c r="W159" s="224"/>
      <c r="X159" s="224"/>
      <c r="Y159" s="224"/>
      <c r="Z159" s="224"/>
      <c r="AA159" s="224"/>
      <c r="AB159" s="224"/>
      <c r="AC159" s="224"/>
      <c r="AD159" s="224"/>
      <c r="AE159" s="224"/>
      <c r="AF159" s="224"/>
      <c r="AG159" s="224"/>
      <c r="AH159" s="224"/>
      <c r="AI159" s="224"/>
      <c r="AJ159" s="224"/>
    </row>
    <row r="160" spans="2:36" ht="15" hidden="1" outlineLevel="1" thickBot="1">
      <c r="B160" s="224"/>
      <c r="C160" s="5"/>
      <c r="I160" s="224"/>
      <c r="J160" s="224"/>
      <c r="K160" s="224"/>
      <c r="L160" s="224"/>
      <c r="M160" s="224"/>
      <c r="N160" s="224"/>
      <c r="O160" s="224"/>
      <c r="W160" s="224"/>
      <c r="X160" s="224"/>
      <c r="Y160" s="224"/>
      <c r="Z160" s="224"/>
      <c r="AA160" s="224"/>
      <c r="AB160" s="224"/>
      <c r="AC160" s="224"/>
      <c r="AD160" s="224"/>
      <c r="AE160" s="224"/>
      <c r="AF160" s="224"/>
      <c r="AG160" s="224"/>
      <c r="AH160" s="224"/>
      <c r="AI160" s="224"/>
      <c r="AJ160" s="224"/>
    </row>
    <row r="161" spans="1:36" ht="15" hidden="1" outlineLevel="1" thickBot="1">
      <c r="C161" s="281" t="s">
        <v>1232</v>
      </c>
      <c r="D161" s="282"/>
      <c r="E161" s="283"/>
      <c r="F161" s="283"/>
      <c r="I161" s="224"/>
      <c r="J161" s="224"/>
      <c r="K161" s="224"/>
      <c r="L161" s="224"/>
      <c r="M161" s="224"/>
      <c r="N161" s="224"/>
      <c r="O161" s="224"/>
      <c r="W161" s="224"/>
      <c r="X161" s="224"/>
      <c r="Y161" s="224"/>
      <c r="Z161" s="224"/>
      <c r="AA161" s="224"/>
      <c r="AB161" s="224"/>
      <c r="AC161" s="224"/>
      <c r="AD161" s="224"/>
      <c r="AE161" s="224"/>
      <c r="AF161" s="224"/>
      <c r="AG161" s="224"/>
      <c r="AH161" s="224"/>
      <c r="AI161" s="224"/>
      <c r="AJ161" s="224"/>
    </row>
    <row r="162" spans="1:36" hidden="1" outlineLevel="1">
      <c r="B162" s="224"/>
      <c r="C162" s="284"/>
      <c r="D162" s="206"/>
      <c r="E162" s="1"/>
      <c r="F162" s="224"/>
      <c r="I162" s="224"/>
      <c r="J162" s="224"/>
      <c r="K162" s="224"/>
      <c r="L162" s="224"/>
      <c r="M162" s="224"/>
      <c r="N162" s="224"/>
      <c r="O162" s="224"/>
      <c r="W162" s="224"/>
      <c r="X162" s="224"/>
      <c r="Y162" s="224"/>
      <c r="Z162" s="224"/>
      <c r="AA162" s="224"/>
      <c r="AB162" s="224"/>
      <c r="AC162" s="224"/>
      <c r="AD162" s="224"/>
      <c r="AE162" s="224"/>
      <c r="AF162" s="224"/>
      <c r="AG162" s="224"/>
      <c r="AH162" s="224"/>
      <c r="AI162" s="224"/>
      <c r="AJ162" s="224"/>
    </row>
    <row r="163" spans="1:36" hidden="1" outlineLevel="1">
      <c r="B163" s="224"/>
      <c r="C163" s="285"/>
      <c r="D163" s="286"/>
      <c r="E163" s="283"/>
      <c r="F163" s="224"/>
      <c r="I163" s="224"/>
      <c r="J163" s="224"/>
      <c r="K163" s="224"/>
      <c r="L163" s="224"/>
      <c r="M163" s="224"/>
      <c r="N163" s="224"/>
      <c r="O163" s="224"/>
      <c r="W163" s="224"/>
      <c r="X163" s="224"/>
      <c r="Y163" s="224"/>
      <c r="Z163" s="224"/>
      <c r="AA163" s="224"/>
      <c r="AB163" s="224"/>
      <c r="AC163" s="224"/>
      <c r="AD163" s="224"/>
      <c r="AE163" s="224"/>
      <c r="AF163" s="224"/>
      <c r="AG163" s="224"/>
      <c r="AH163" s="224"/>
      <c r="AI163" s="224"/>
      <c r="AJ163" s="224"/>
    </row>
    <row r="164" spans="1:36" ht="15" hidden="1" outlineLevel="1" thickBot="1">
      <c r="B164" s="224"/>
      <c r="C164" s="287" t="s">
        <v>1233</v>
      </c>
      <c r="D164" s="286"/>
      <c r="E164" s="283"/>
      <c r="F164" s="224"/>
      <c r="I164" s="224"/>
      <c r="J164" s="224"/>
      <c r="K164" s="224"/>
      <c r="L164" s="224"/>
      <c r="M164" s="224"/>
      <c r="N164" s="224"/>
      <c r="O164" s="224"/>
      <c r="W164" s="224"/>
      <c r="X164" s="224"/>
      <c r="Y164" s="224"/>
      <c r="Z164" s="224"/>
      <c r="AA164" s="224"/>
      <c r="AB164" s="224"/>
      <c r="AC164" s="224"/>
      <c r="AD164" s="224"/>
      <c r="AE164" s="224"/>
      <c r="AF164" s="224"/>
      <c r="AG164" s="224"/>
      <c r="AH164" s="224"/>
      <c r="AI164" s="224"/>
      <c r="AJ164" s="224"/>
    </row>
    <row r="165" spans="1:36" ht="15" hidden="1" outlineLevel="1" thickBot="1">
      <c r="B165" s="224"/>
      <c r="C165" s="285"/>
      <c r="D165" s="288" t="str" cm="1">
        <f t="array" ref="D165">_xlfn.IFS(C165="","",AND(C163="Debit",MasterData!AB514),"YES",AND(C163="Debit",NOT(MasterData!AB514)),"NO",AND(C163="Credit",MasterData!AB515),"YES",AND(C163="Credit",NOT(MasterData!AB515)),"NO")</f>
        <v/>
      </c>
      <c r="E165" s="42" t="str">
        <f>C165&amp;"Used"</f>
        <v>Used</v>
      </c>
      <c r="F165" s="224"/>
      <c r="I165" s="224"/>
      <c r="J165" s="224"/>
      <c r="K165" s="224"/>
      <c r="L165" s="224"/>
      <c r="M165" s="224"/>
      <c r="N165" s="224"/>
      <c r="O165" s="224"/>
      <c r="W165" s="224"/>
      <c r="X165" s="224"/>
      <c r="Y165" s="224"/>
      <c r="Z165" s="224"/>
      <c r="AA165" s="224"/>
      <c r="AB165" s="224"/>
      <c r="AC165" s="224"/>
      <c r="AD165" s="224"/>
      <c r="AE165" s="224"/>
      <c r="AF165" s="224"/>
      <c r="AG165" s="224"/>
      <c r="AH165" s="224"/>
      <c r="AI165" s="224"/>
      <c r="AJ165" s="224"/>
    </row>
    <row r="166" spans="1:36" ht="15" hidden="1" outlineLevel="1" thickBot="1">
      <c r="B166" s="224"/>
      <c r="C166" s="287" t="s">
        <v>1234</v>
      </c>
      <c r="D166" s="289"/>
      <c r="E166" s="224"/>
      <c r="F166" s="224"/>
      <c r="I166" s="224"/>
      <c r="J166" s="224"/>
      <c r="K166" s="224"/>
      <c r="L166" s="224"/>
      <c r="M166" s="224"/>
      <c r="N166" s="224"/>
      <c r="O166" s="224"/>
      <c r="W166" s="224"/>
      <c r="X166" s="224"/>
      <c r="Y166" s="224"/>
      <c r="Z166" s="224"/>
      <c r="AA166" s="224"/>
      <c r="AB166" s="224"/>
      <c r="AC166" s="224"/>
      <c r="AD166" s="224"/>
      <c r="AE166" s="224"/>
      <c r="AF166" s="224"/>
      <c r="AG166" s="224"/>
      <c r="AH166" s="224"/>
      <c r="AI166" s="224"/>
      <c r="AJ166" s="224"/>
    </row>
    <row r="167" spans="1:36" ht="15" hidden="1" outlineLevel="1" thickBot="1">
      <c r="B167" s="224"/>
      <c r="C167" s="290"/>
      <c r="D167" s="291" t="str" cm="1">
        <f t="array" ref="D167">_xlfn.IFS(OR(C165="",C167=""),"",AND(C163="Debit",MasterData!AB518),"YES",AND(C163="Debit",NOT(MasterData!AB518)),"NO",AND(C163="Credit",MasterData!AB519),"YES",AND(C163="Credit",NOT(MasterData!AB519)),"NO")</f>
        <v/>
      </c>
      <c r="F167" s="224"/>
      <c r="G167" s="224"/>
      <c r="H167" s="224"/>
      <c r="I167" s="224"/>
      <c r="J167" s="224"/>
      <c r="K167" s="224"/>
      <c r="L167" s="224"/>
      <c r="M167" s="224"/>
      <c r="N167" s="224"/>
      <c r="O167" s="224"/>
      <c r="W167" s="224"/>
      <c r="X167" s="224"/>
      <c r="Y167" s="224"/>
      <c r="Z167" s="224"/>
      <c r="AA167" s="224"/>
      <c r="AB167" s="224"/>
      <c r="AC167" s="224"/>
      <c r="AD167" s="224"/>
      <c r="AE167" s="224"/>
      <c r="AF167" s="224"/>
      <c r="AG167" s="224"/>
      <c r="AH167" s="224"/>
      <c r="AI167" s="224"/>
      <c r="AJ167" s="224"/>
    </row>
    <row r="168" spans="1:36" collapsed="1">
      <c r="A168" s="224"/>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c r="AA168" s="224"/>
      <c r="AB168" s="224"/>
      <c r="AC168" s="224"/>
      <c r="AD168" s="224"/>
      <c r="AE168" s="224"/>
      <c r="AF168" s="224"/>
      <c r="AG168" s="224"/>
      <c r="AH168" s="224"/>
      <c r="AI168" s="224"/>
      <c r="AJ168" s="224"/>
    </row>
    <row r="169" spans="1:36">
      <c r="A169" s="224"/>
      <c r="B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c r="AA169" s="224"/>
      <c r="AB169" s="224"/>
      <c r="AC169" s="224"/>
      <c r="AD169" s="224"/>
      <c r="AE169" s="224"/>
      <c r="AF169" s="224"/>
      <c r="AG169" s="224"/>
      <c r="AH169" s="224"/>
      <c r="AI169" s="224"/>
      <c r="AJ169" s="224"/>
    </row>
    <row r="170" spans="1:36">
      <c r="A170" s="224"/>
      <c r="B170" s="224"/>
      <c r="C170" s="224"/>
      <c r="E170" s="224"/>
      <c r="F170" s="224"/>
      <c r="G170" s="224"/>
      <c r="H170" s="224"/>
      <c r="I170" s="224"/>
      <c r="J170" s="224"/>
      <c r="K170" s="224"/>
      <c r="L170" s="224"/>
      <c r="M170" s="224"/>
      <c r="N170" s="224"/>
      <c r="O170" s="224"/>
      <c r="P170" s="224"/>
      <c r="Q170" s="224"/>
      <c r="R170" s="224"/>
      <c r="S170" s="224"/>
      <c r="T170" s="224"/>
      <c r="U170" s="224"/>
      <c r="V170" s="224"/>
      <c r="W170" s="224"/>
      <c r="X170" s="224"/>
      <c r="Y170" s="224"/>
      <c r="Z170" s="224"/>
      <c r="AA170" s="224"/>
      <c r="AB170" s="224"/>
      <c r="AC170" s="224"/>
      <c r="AD170" s="224"/>
      <c r="AE170" s="224"/>
      <c r="AF170" s="224"/>
      <c r="AG170" s="224"/>
      <c r="AH170" s="224"/>
      <c r="AI170" s="224"/>
      <c r="AJ170" s="224"/>
    </row>
    <row r="171" spans="1:36">
      <c r="A171" s="224"/>
      <c r="B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c r="AA171" s="224"/>
      <c r="AB171" s="224"/>
      <c r="AC171" s="224"/>
      <c r="AD171" s="224"/>
      <c r="AE171" s="224"/>
      <c r="AF171" s="224"/>
      <c r="AG171" s="224"/>
      <c r="AH171" s="224"/>
      <c r="AI171" s="224"/>
      <c r="AJ171" s="224"/>
    </row>
    <row r="172" spans="1:36">
      <c r="A172" s="224"/>
      <c r="B172" s="224"/>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c r="Y172" s="224"/>
      <c r="Z172" s="224"/>
      <c r="AA172" s="224"/>
      <c r="AB172" s="224"/>
      <c r="AC172" s="224"/>
      <c r="AD172" s="224"/>
      <c r="AE172" s="224"/>
      <c r="AF172" s="224"/>
      <c r="AG172" s="224"/>
      <c r="AH172" s="224"/>
      <c r="AI172" s="224"/>
      <c r="AJ172" s="224"/>
    </row>
    <row r="173" spans="1:36">
      <c r="A173" s="224"/>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c r="AA173" s="224"/>
      <c r="AB173" s="224"/>
      <c r="AC173" s="224"/>
      <c r="AD173" s="224"/>
      <c r="AE173" s="224"/>
      <c r="AF173" s="224"/>
      <c r="AG173" s="224"/>
      <c r="AH173" s="224"/>
      <c r="AI173" s="224"/>
      <c r="AJ173" s="224"/>
    </row>
    <row r="178" spans="14:18">
      <c r="N178" s="42"/>
      <c r="O178" s="42"/>
      <c r="P178" s="42"/>
      <c r="Q178" s="42"/>
      <c r="R178" s="42"/>
    </row>
    <row r="179" spans="14:18">
      <c r="N179" s="42"/>
      <c r="O179" s="42"/>
      <c r="P179" s="42"/>
      <c r="Q179" s="42"/>
      <c r="R179" s="42"/>
    </row>
    <row r="180" spans="14:18">
      <c r="N180" s="42"/>
      <c r="O180" s="42"/>
      <c r="P180" s="42"/>
      <c r="Q180" s="42"/>
      <c r="R180" s="42"/>
    </row>
    <row r="181" spans="14:18">
      <c r="N181" s="42"/>
      <c r="O181" s="42"/>
      <c r="P181" s="42"/>
      <c r="Q181" s="42"/>
      <c r="R181" s="42"/>
    </row>
    <row r="182" spans="14:18">
      <c r="N182" s="42"/>
      <c r="O182" s="42"/>
      <c r="P182" s="42"/>
      <c r="Q182" s="42"/>
      <c r="R182" s="42"/>
    </row>
    <row r="183" spans="14:18">
      <c r="N183" s="42"/>
      <c r="O183" s="42"/>
      <c r="P183" s="42"/>
      <c r="Q183" s="42"/>
      <c r="R183" s="42"/>
    </row>
    <row r="184" spans="14:18">
      <c r="N184" s="42"/>
      <c r="O184" s="42"/>
      <c r="P184" s="42"/>
      <c r="Q184" s="42"/>
      <c r="R184" s="42"/>
    </row>
    <row r="185" spans="14:18">
      <c r="N185" s="42"/>
      <c r="O185" s="42"/>
      <c r="P185" s="42"/>
      <c r="Q185" s="42"/>
      <c r="R185" s="42"/>
    </row>
    <row r="186" spans="14:18">
      <c r="N186" s="42"/>
      <c r="O186" s="42"/>
      <c r="P186" s="42"/>
      <c r="Q186" s="42"/>
      <c r="R186" s="42"/>
    </row>
    <row r="187" spans="14:18">
      <c r="N187" s="42"/>
      <c r="O187" s="42"/>
      <c r="P187" s="42"/>
      <c r="Q187" s="42"/>
      <c r="R187" s="42"/>
    </row>
    <row r="188" spans="14:18">
      <c r="N188" s="42"/>
      <c r="O188" s="42"/>
      <c r="P188" s="42"/>
      <c r="Q188" s="42"/>
      <c r="R188" s="42"/>
    </row>
    <row r="189" spans="14:18">
      <c r="N189" s="42"/>
      <c r="O189" s="42"/>
      <c r="P189" s="42"/>
      <c r="Q189" s="42"/>
      <c r="R189" s="42"/>
    </row>
    <row r="190" spans="14:18">
      <c r="N190" s="42"/>
      <c r="O190" s="42"/>
      <c r="P190" s="42"/>
      <c r="Q190" s="42"/>
      <c r="R190" s="42"/>
    </row>
    <row r="191" spans="14:18">
      <c r="N191" s="42"/>
      <c r="O191" s="42"/>
      <c r="P191" s="42"/>
      <c r="Q191" s="42"/>
      <c r="R191" s="42"/>
    </row>
    <row r="192" spans="14:18">
      <c r="N192" s="42"/>
      <c r="O192" s="42"/>
      <c r="P192" s="42"/>
      <c r="Q192" s="42"/>
      <c r="R192" s="42"/>
    </row>
    <row r="193" spans="14:18">
      <c r="N193" s="42"/>
      <c r="O193" s="42"/>
      <c r="P193" s="42"/>
      <c r="Q193" s="42"/>
      <c r="R193" s="42"/>
    </row>
    <row r="194" spans="14:18">
      <c r="N194" s="42"/>
      <c r="O194" s="42"/>
      <c r="P194" s="42"/>
      <c r="Q194" s="42"/>
      <c r="R194" s="42"/>
    </row>
    <row r="195" spans="14:18">
      <c r="N195" s="42"/>
      <c r="O195" s="42"/>
      <c r="P195" s="42"/>
      <c r="Q195" s="42"/>
      <c r="R195" s="42"/>
    </row>
    <row r="196" spans="14:18">
      <c r="N196" s="42"/>
      <c r="O196" s="42"/>
      <c r="P196" s="42"/>
      <c r="Q196" s="42"/>
      <c r="R196" s="42"/>
    </row>
    <row r="197" spans="14:18">
      <c r="N197" s="42"/>
      <c r="O197" s="42"/>
      <c r="P197" s="42"/>
      <c r="Q197" s="42"/>
      <c r="R197" s="42"/>
    </row>
    <row r="198" spans="14:18">
      <c r="N198" s="42"/>
      <c r="O198" s="42"/>
      <c r="P198" s="42"/>
      <c r="Q198" s="42"/>
      <c r="R198" s="42"/>
    </row>
    <row r="199" spans="14:18">
      <c r="N199" s="42"/>
      <c r="O199" s="42"/>
      <c r="P199" s="42"/>
      <c r="Q199" s="42"/>
      <c r="R199" s="42"/>
    </row>
    <row r="200" spans="14:18">
      <c r="N200" s="42"/>
      <c r="O200" s="42"/>
      <c r="P200" s="42"/>
      <c r="Q200" s="42"/>
      <c r="R200" s="42"/>
    </row>
    <row r="201" spans="14:18">
      <c r="N201" s="42"/>
      <c r="O201" s="42"/>
      <c r="P201" s="42"/>
      <c r="Q201" s="42"/>
      <c r="R201" s="42"/>
    </row>
    <row r="202" spans="14:18">
      <c r="N202" s="42"/>
      <c r="O202" s="42"/>
      <c r="P202" s="42"/>
      <c r="Q202" s="42"/>
      <c r="R202" s="42"/>
    </row>
    <row r="203" spans="14:18">
      <c r="N203" s="42"/>
      <c r="O203" s="42"/>
      <c r="P203" s="42"/>
      <c r="Q203" s="42"/>
      <c r="R203" s="42"/>
    </row>
    <row r="204" spans="14:18">
      <c r="N204" s="42"/>
      <c r="O204" s="42"/>
      <c r="P204" s="42"/>
      <c r="Q204" s="42"/>
      <c r="R204" s="42"/>
    </row>
    <row r="205" spans="14:18">
      <c r="N205" s="42"/>
      <c r="O205" s="42"/>
      <c r="P205" s="42"/>
      <c r="Q205" s="42"/>
      <c r="R205" s="42"/>
    </row>
    <row r="206" spans="14:18">
      <c r="N206" s="42"/>
      <c r="O206" s="42"/>
      <c r="P206" s="42"/>
      <c r="Q206" s="42"/>
      <c r="R206" s="42"/>
    </row>
    <row r="207" spans="14:18">
      <c r="N207" s="42"/>
      <c r="O207" s="42"/>
      <c r="P207" s="42"/>
      <c r="Q207" s="42"/>
      <c r="R207" s="42"/>
    </row>
    <row r="208" spans="14:18">
      <c r="N208" s="42"/>
      <c r="O208" s="42"/>
      <c r="P208" s="42"/>
      <c r="Q208" s="42"/>
      <c r="R208" s="42"/>
    </row>
    <row r="209" spans="14:18">
      <c r="N209" s="42"/>
      <c r="O209" s="42"/>
      <c r="P209" s="42"/>
      <c r="Q209" s="42"/>
      <c r="R209" s="42"/>
    </row>
    <row r="210" spans="14:18">
      <c r="N210" s="42"/>
      <c r="O210" s="42"/>
      <c r="P210" s="42"/>
      <c r="Q210" s="42"/>
      <c r="R210" s="42"/>
    </row>
    <row r="211" spans="14:18">
      <c r="N211" s="42"/>
      <c r="O211" s="42"/>
      <c r="P211" s="42"/>
      <c r="Q211" s="42"/>
      <c r="R211" s="42"/>
    </row>
    <row r="212" spans="14:18">
      <c r="N212" s="42"/>
      <c r="O212" s="42"/>
      <c r="P212" s="42"/>
      <c r="Q212" s="42"/>
      <c r="R212" s="42"/>
    </row>
    <row r="213" spans="14:18">
      <c r="N213" s="42"/>
      <c r="O213" s="42"/>
      <c r="P213" s="42"/>
      <c r="Q213" s="42"/>
      <c r="R213" s="42"/>
    </row>
    <row r="214" spans="14:18">
      <c r="N214" s="42"/>
      <c r="O214" s="42"/>
      <c r="P214" s="42"/>
      <c r="Q214" s="42"/>
      <c r="R214" s="42"/>
    </row>
    <row r="215" spans="14:18">
      <c r="N215" s="42"/>
      <c r="O215" s="42"/>
      <c r="P215" s="42"/>
      <c r="Q215" s="42"/>
      <c r="R215" s="42"/>
    </row>
    <row r="216" spans="14:18">
      <c r="N216" s="42"/>
      <c r="O216" s="42"/>
      <c r="P216" s="42"/>
      <c r="Q216" s="42"/>
      <c r="R216" s="42"/>
    </row>
    <row r="217" spans="14:18">
      <c r="N217" s="42"/>
      <c r="O217" s="42"/>
      <c r="P217" s="42"/>
      <c r="Q217" s="42"/>
      <c r="R217" s="42"/>
    </row>
    <row r="218" spans="14:18">
      <c r="N218" s="42"/>
      <c r="O218" s="42"/>
      <c r="P218" s="42"/>
      <c r="Q218" s="42"/>
      <c r="R218" s="42"/>
    </row>
    <row r="219" spans="14:18">
      <c r="N219" s="42"/>
      <c r="O219" s="42"/>
      <c r="P219" s="42"/>
      <c r="Q219" s="42"/>
      <c r="R219" s="42"/>
    </row>
    <row r="220" spans="14:18">
      <c r="N220" s="42"/>
      <c r="O220" s="42"/>
      <c r="P220" s="42"/>
      <c r="Q220" s="42"/>
      <c r="R220" s="42"/>
    </row>
    <row r="221" spans="14:18">
      <c r="N221" s="42"/>
      <c r="O221" s="42"/>
      <c r="P221" s="42"/>
      <c r="Q221" s="42"/>
      <c r="R221" s="42"/>
    </row>
    <row r="222" spans="14:18">
      <c r="N222" s="42"/>
      <c r="O222" s="42"/>
      <c r="P222" s="42"/>
      <c r="Q222" s="42"/>
      <c r="R222" s="42"/>
    </row>
    <row r="223" spans="14:18">
      <c r="N223" s="42"/>
      <c r="O223" s="42"/>
      <c r="P223" s="42"/>
      <c r="Q223" s="42"/>
      <c r="R223" s="42"/>
    </row>
    <row r="224" spans="14:18">
      <c r="N224" s="42"/>
      <c r="O224" s="42"/>
      <c r="P224" s="42"/>
      <c r="Q224" s="42"/>
      <c r="R224" s="42"/>
    </row>
    <row r="225" spans="14:18">
      <c r="N225" s="42"/>
      <c r="O225" s="42"/>
      <c r="P225" s="42"/>
      <c r="Q225" s="42"/>
      <c r="R225" s="42"/>
    </row>
    <row r="226" spans="14:18">
      <c r="N226" s="42"/>
      <c r="O226" s="42"/>
      <c r="P226" s="42"/>
      <c r="Q226" s="42"/>
      <c r="R226" s="42"/>
    </row>
    <row r="227" spans="14:18">
      <c r="N227" s="42"/>
      <c r="O227" s="42"/>
      <c r="P227" s="42"/>
      <c r="Q227" s="42"/>
      <c r="R227" s="42"/>
    </row>
    <row r="228" spans="14:18">
      <c r="N228" s="42"/>
      <c r="O228" s="42"/>
      <c r="P228" s="42"/>
      <c r="Q228" s="42"/>
      <c r="R228" s="42"/>
    </row>
    <row r="229" spans="14:18">
      <c r="N229" s="42"/>
      <c r="O229" s="42"/>
      <c r="P229" s="42"/>
      <c r="Q229" s="42"/>
      <c r="R229" s="42"/>
    </row>
    <row r="230" spans="14:18">
      <c r="N230" s="42"/>
      <c r="O230" s="42"/>
      <c r="P230" s="42"/>
      <c r="Q230" s="42"/>
      <c r="R230" s="42"/>
    </row>
    <row r="231" spans="14:18">
      <c r="N231" s="42"/>
      <c r="O231" s="42"/>
      <c r="P231" s="42"/>
      <c r="Q231" s="42"/>
      <c r="R231" s="42"/>
    </row>
    <row r="232" spans="14:18">
      <c r="N232" s="42"/>
      <c r="O232" s="42"/>
      <c r="P232" s="42"/>
      <c r="Q232" s="42"/>
      <c r="R232" s="42"/>
    </row>
    <row r="233" spans="14:18">
      <c r="N233" s="42"/>
      <c r="O233" s="42"/>
      <c r="P233" s="42"/>
      <c r="Q233" s="42"/>
      <c r="R233" s="42"/>
    </row>
    <row r="234" spans="14:18">
      <c r="N234" s="42"/>
      <c r="O234" s="42"/>
      <c r="P234" s="42"/>
      <c r="Q234" s="42"/>
      <c r="R234" s="42"/>
    </row>
    <row r="235" spans="14:18">
      <c r="N235" s="42"/>
      <c r="O235" s="42"/>
      <c r="P235" s="42"/>
      <c r="Q235" s="42"/>
      <c r="R235" s="42"/>
    </row>
    <row r="236" spans="14:18">
      <c r="N236" s="42"/>
      <c r="O236" s="42"/>
      <c r="P236" s="42"/>
      <c r="Q236" s="42"/>
      <c r="R236" s="42"/>
    </row>
    <row r="237" spans="14:18">
      <c r="N237" s="42"/>
      <c r="O237" s="42"/>
      <c r="P237" s="42"/>
      <c r="Q237" s="42"/>
      <c r="R237" s="42"/>
    </row>
    <row r="238" spans="14:18">
      <c r="N238" s="42"/>
      <c r="O238" s="42"/>
      <c r="P238" s="42"/>
      <c r="Q238" s="42"/>
      <c r="R238" s="42"/>
    </row>
    <row r="239" spans="14:18">
      <c r="N239" s="42"/>
      <c r="O239" s="42"/>
      <c r="P239" s="42"/>
      <c r="Q239" s="42"/>
      <c r="R239" s="42"/>
    </row>
    <row r="240" spans="14:18">
      <c r="N240" s="42"/>
      <c r="O240" s="42"/>
      <c r="P240" s="42"/>
      <c r="Q240" s="42"/>
      <c r="R240" s="42"/>
    </row>
    <row r="241" spans="14:18">
      <c r="N241" s="42"/>
      <c r="O241" s="42"/>
      <c r="P241" s="42"/>
      <c r="Q241" s="42"/>
      <c r="R241" s="42"/>
    </row>
    <row r="242" spans="14:18">
      <c r="N242" s="42"/>
      <c r="O242" s="42"/>
      <c r="P242" s="42"/>
      <c r="Q242" s="42"/>
      <c r="R242" s="42"/>
    </row>
    <row r="243" spans="14:18">
      <c r="N243" s="42"/>
      <c r="O243" s="42"/>
      <c r="P243" s="42"/>
      <c r="Q243" s="42"/>
      <c r="R243" s="42"/>
    </row>
    <row r="244" spans="14:18">
      <c r="N244" s="42"/>
      <c r="O244" s="42"/>
      <c r="P244" s="42"/>
      <c r="Q244" s="42"/>
      <c r="R244" s="42"/>
    </row>
    <row r="245" spans="14:18">
      <c r="N245" s="42"/>
      <c r="O245" s="42"/>
      <c r="P245" s="42"/>
      <c r="Q245" s="42"/>
      <c r="R245" s="42"/>
    </row>
    <row r="246" spans="14:18">
      <c r="N246" s="42"/>
      <c r="O246" s="42"/>
      <c r="P246" s="42"/>
      <c r="Q246" s="42"/>
      <c r="R246" s="42"/>
    </row>
    <row r="247" spans="14:18">
      <c r="N247" s="42"/>
      <c r="O247" s="42"/>
      <c r="P247" s="42"/>
      <c r="Q247" s="42"/>
      <c r="R247" s="42"/>
    </row>
    <row r="248" spans="14:18">
      <c r="N248" s="42"/>
      <c r="O248" s="42"/>
      <c r="P248" s="42"/>
      <c r="Q248" s="42"/>
      <c r="R248" s="42"/>
    </row>
    <row r="249" spans="14:18">
      <c r="N249" s="42"/>
      <c r="O249" s="42"/>
      <c r="P249" s="42"/>
      <c r="Q249" s="42"/>
      <c r="R249" s="42"/>
    </row>
    <row r="250" spans="14:18">
      <c r="N250" s="42"/>
      <c r="O250" s="42"/>
      <c r="P250" s="42"/>
      <c r="Q250" s="42"/>
      <c r="R250" s="42"/>
    </row>
    <row r="251" spans="14:18">
      <c r="N251" s="42"/>
      <c r="O251" s="42"/>
      <c r="P251" s="42"/>
      <c r="Q251" s="42"/>
      <c r="R251" s="42"/>
    </row>
    <row r="252" spans="14:18">
      <c r="N252" s="42"/>
      <c r="O252" s="42"/>
      <c r="P252" s="42"/>
      <c r="Q252" s="42"/>
      <c r="R252" s="42"/>
    </row>
    <row r="253" spans="14:18">
      <c r="N253" s="42"/>
      <c r="O253" s="42"/>
      <c r="P253" s="42"/>
      <c r="Q253" s="42"/>
      <c r="R253" s="42"/>
    </row>
    <row r="254" spans="14:18">
      <c r="N254" s="42"/>
      <c r="O254" s="42"/>
      <c r="P254" s="42"/>
      <c r="Q254" s="42"/>
      <c r="R254" s="42"/>
    </row>
    <row r="255" spans="14:18">
      <c r="N255" s="42"/>
      <c r="O255" s="42"/>
      <c r="P255" s="42"/>
      <c r="Q255" s="42"/>
      <c r="R255" s="42"/>
    </row>
    <row r="256" spans="14:18">
      <c r="N256" s="42"/>
      <c r="O256" s="42"/>
      <c r="P256" s="42"/>
      <c r="Q256" s="42"/>
      <c r="R256" s="42"/>
    </row>
    <row r="257" spans="14:18">
      <c r="N257" s="42"/>
      <c r="O257" s="42"/>
      <c r="P257" s="42"/>
      <c r="Q257" s="42"/>
      <c r="R257" s="42"/>
    </row>
    <row r="258" spans="14:18">
      <c r="N258" s="42"/>
      <c r="O258" s="42"/>
      <c r="P258" s="42"/>
      <c r="Q258" s="42"/>
      <c r="R258" s="42"/>
    </row>
    <row r="259" spans="14:18">
      <c r="N259" s="42"/>
      <c r="O259" s="42"/>
      <c r="P259" s="42"/>
      <c r="Q259" s="42"/>
      <c r="R259" s="42"/>
    </row>
    <row r="260" spans="14:18">
      <c r="N260" s="42"/>
      <c r="O260" s="42"/>
      <c r="P260" s="42"/>
      <c r="Q260" s="42"/>
      <c r="R260" s="42"/>
    </row>
    <row r="261" spans="14:18">
      <c r="N261" s="42"/>
      <c r="O261" s="42"/>
      <c r="P261" s="42"/>
      <c r="Q261" s="42"/>
      <c r="R261" s="42"/>
    </row>
    <row r="262" spans="14:18">
      <c r="N262" s="42"/>
      <c r="O262" s="42"/>
      <c r="P262" s="42"/>
      <c r="Q262" s="42"/>
      <c r="R262" s="42"/>
    </row>
    <row r="263" spans="14:18">
      <c r="N263" s="42"/>
      <c r="O263" s="42"/>
      <c r="P263" s="42"/>
      <c r="Q263" s="42"/>
      <c r="R263" s="42"/>
    </row>
    <row r="264" spans="14:18">
      <c r="N264" s="42"/>
      <c r="O264" s="42"/>
      <c r="P264" s="42"/>
      <c r="Q264" s="42"/>
      <c r="R264" s="42"/>
    </row>
    <row r="265" spans="14:18">
      <c r="N265" s="42"/>
      <c r="O265" s="42"/>
      <c r="P265" s="42"/>
      <c r="Q265" s="42"/>
      <c r="R265" s="42"/>
    </row>
    <row r="266" spans="14:18">
      <c r="N266" s="42"/>
      <c r="O266" s="42"/>
      <c r="P266" s="42"/>
      <c r="Q266" s="42"/>
      <c r="R266" s="42"/>
    </row>
    <row r="267" spans="14:18">
      <c r="N267" s="42"/>
      <c r="O267" s="42"/>
      <c r="P267" s="42"/>
      <c r="Q267" s="42"/>
      <c r="R267" s="42"/>
    </row>
    <row r="268" spans="14:18">
      <c r="N268" s="42"/>
      <c r="O268" s="42"/>
      <c r="P268" s="42"/>
      <c r="Q268" s="42"/>
      <c r="R268" s="42"/>
    </row>
    <row r="269" spans="14:18">
      <c r="N269" s="42"/>
      <c r="O269" s="42"/>
      <c r="P269" s="42"/>
      <c r="Q269" s="42"/>
      <c r="R269" s="42"/>
    </row>
    <row r="270" spans="14:18">
      <c r="N270" s="42"/>
      <c r="O270" s="42"/>
      <c r="P270" s="42"/>
      <c r="Q270" s="42"/>
      <c r="R270" s="42"/>
    </row>
    <row r="271" spans="14:18">
      <c r="N271" s="42"/>
      <c r="O271" s="42"/>
      <c r="P271" s="42"/>
      <c r="Q271" s="42"/>
      <c r="R271" s="42"/>
    </row>
    <row r="272" spans="14:18">
      <c r="N272" s="42"/>
      <c r="O272" s="42"/>
      <c r="P272" s="42"/>
      <c r="Q272" s="42"/>
      <c r="R272" s="42"/>
    </row>
    <row r="273" spans="3:18">
      <c r="N273" s="42"/>
      <c r="O273" s="42"/>
      <c r="P273" s="42"/>
      <c r="Q273" s="42"/>
      <c r="R273" s="42"/>
    </row>
    <row r="274" spans="3:18">
      <c r="N274" s="42"/>
      <c r="O274" s="42"/>
      <c r="P274" s="42"/>
      <c r="Q274" s="42"/>
      <c r="R274" s="42"/>
    </row>
    <row r="275" spans="3:18">
      <c r="N275" s="42"/>
      <c r="O275" s="42"/>
      <c r="P275" s="42"/>
      <c r="Q275" s="42"/>
      <c r="R275" s="42"/>
    </row>
    <row r="276" spans="3:18">
      <c r="N276" s="42"/>
      <c r="O276" s="42"/>
      <c r="P276" s="42"/>
      <c r="Q276" s="42"/>
      <c r="R276" s="42"/>
    </row>
    <row r="277" spans="3:18">
      <c r="N277" s="42"/>
      <c r="O277" s="42"/>
      <c r="P277" s="42"/>
      <c r="Q277" s="42"/>
      <c r="R277" s="42"/>
    </row>
    <row r="278" spans="3:18">
      <c r="N278" s="42"/>
      <c r="O278" s="42"/>
      <c r="P278" s="42"/>
      <c r="Q278" s="42"/>
      <c r="R278" s="42"/>
    </row>
    <row r="279" spans="3:18">
      <c r="N279" s="42"/>
      <c r="O279" s="42"/>
      <c r="P279" s="42"/>
      <c r="Q279" s="42"/>
      <c r="R279" s="42"/>
    </row>
    <row r="280" spans="3:18">
      <c r="N280" s="42"/>
      <c r="O280" s="42"/>
      <c r="P280" s="42"/>
      <c r="Q280" s="42"/>
      <c r="R280" s="42"/>
    </row>
    <row r="281" spans="3:18">
      <c r="N281" s="42"/>
      <c r="O281" s="42"/>
      <c r="P281" s="42"/>
      <c r="Q281" s="42"/>
      <c r="R281" s="42"/>
    </row>
    <row r="282" spans="3:18">
      <c r="N282" s="42"/>
      <c r="O282" s="42"/>
      <c r="P282" s="42"/>
      <c r="Q282" s="42"/>
      <c r="R282" s="42"/>
    </row>
    <row r="283" spans="3:18">
      <c r="C283" t="str" cm="1">
        <f t="array" aca="1" ref="C283:G433" ca="1">IFERROR(_xlfn._xlws.FILTER(JournalAnswer[Accnt Type]:JournalAnswer[Cr Amt],JournalAnswer[Transaction '#]=$D$4,"No Entry Found"),"")</f>
        <v/>
      </c>
      <c r="D283" t="str">
        <f ca="1"/>
        <v/>
      </c>
      <c r="E283" t="str">
        <f ca="1"/>
        <v/>
      </c>
      <c r="F283" t="str">
        <f ca="1"/>
        <v/>
      </c>
      <c r="G283" t="str">
        <f ca="1"/>
        <v/>
      </c>
      <c r="N283" s="42"/>
      <c r="O283" s="42"/>
      <c r="P283" s="42"/>
      <c r="Q283" s="42"/>
      <c r="R283" s="42"/>
    </row>
    <row r="284" spans="3:18">
      <c r="C284" t="str">
        <f ca="1"/>
        <v/>
      </c>
      <c r="D284" t="str">
        <f ca="1"/>
        <v/>
      </c>
      <c r="E284" t="str">
        <f ca="1"/>
        <v/>
      </c>
      <c r="F284" t="str">
        <f ca="1"/>
        <v/>
      </c>
      <c r="G284" t="str">
        <f ca="1"/>
        <v/>
      </c>
      <c r="N284" s="42"/>
      <c r="O284" s="42"/>
      <c r="P284" s="42"/>
      <c r="Q284" s="42"/>
      <c r="R284" s="42"/>
    </row>
    <row r="285" spans="3:18">
      <c r="C285" t="str">
        <f ca="1"/>
        <v/>
      </c>
      <c r="D285" t="str">
        <f ca="1"/>
        <v/>
      </c>
      <c r="E285" t="str">
        <f ca="1"/>
        <v/>
      </c>
      <c r="F285" t="str">
        <f ca="1"/>
        <v/>
      </c>
      <c r="G285" t="str">
        <f ca="1"/>
        <v/>
      </c>
      <c r="N285" s="42"/>
      <c r="O285" s="42"/>
      <c r="P285" s="42"/>
      <c r="Q285" s="42"/>
      <c r="R285" s="42"/>
    </row>
    <row r="286" spans="3:18">
      <c r="C286" t="str">
        <f ca="1"/>
        <v/>
      </c>
      <c r="D286" t="str">
        <f ca="1"/>
        <v/>
      </c>
      <c r="E286" t="str">
        <f ca="1"/>
        <v/>
      </c>
      <c r="F286" t="str">
        <f ca="1"/>
        <v/>
      </c>
      <c r="G286" t="str">
        <f ca="1"/>
        <v/>
      </c>
      <c r="N286" s="42"/>
      <c r="O286" s="42"/>
      <c r="P286" s="42"/>
      <c r="Q286" s="42"/>
      <c r="R286" s="42"/>
    </row>
    <row r="287" spans="3:18">
      <c r="C287" t="str">
        <f ca="1"/>
        <v/>
      </c>
      <c r="D287" t="str">
        <f ca="1"/>
        <v/>
      </c>
      <c r="E287" t="str">
        <f ca="1"/>
        <v/>
      </c>
      <c r="F287" t="str">
        <f ca="1"/>
        <v/>
      </c>
      <c r="G287" t="str">
        <f ca="1"/>
        <v/>
      </c>
      <c r="N287" s="42"/>
      <c r="O287" s="42"/>
      <c r="P287" s="42"/>
      <c r="Q287" s="42"/>
      <c r="R287" s="42"/>
    </row>
    <row r="288" spans="3:18">
      <c r="C288" t="str">
        <f ca="1"/>
        <v/>
      </c>
      <c r="D288" t="str">
        <f ca="1"/>
        <v/>
      </c>
      <c r="E288" t="str">
        <f ca="1"/>
        <v/>
      </c>
      <c r="F288" t="str">
        <f ca="1"/>
        <v/>
      </c>
      <c r="G288" t="str">
        <f ca="1"/>
        <v/>
      </c>
      <c r="N288" s="42"/>
      <c r="O288" s="42"/>
      <c r="P288" s="42"/>
      <c r="Q288" s="42"/>
      <c r="R288" s="42"/>
    </row>
    <row r="289" spans="3:18">
      <c r="C289" t="str">
        <f ca="1"/>
        <v/>
      </c>
      <c r="D289" t="str">
        <f ca="1"/>
        <v/>
      </c>
      <c r="E289" t="str">
        <f ca="1"/>
        <v/>
      </c>
      <c r="F289" t="str">
        <f ca="1"/>
        <v/>
      </c>
      <c r="G289" t="str">
        <f ca="1"/>
        <v/>
      </c>
      <c r="N289" s="42"/>
      <c r="O289" s="42"/>
      <c r="P289" s="42"/>
      <c r="Q289" s="42"/>
      <c r="R289" s="42"/>
    </row>
    <row r="290" spans="3:18">
      <c r="C290" t="str">
        <f ca="1"/>
        <v/>
      </c>
      <c r="D290" t="str">
        <f ca="1"/>
        <v/>
      </c>
      <c r="E290" t="str">
        <f ca="1"/>
        <v/>
      </c>
      <c r="F290" t="str">
        <f ca="1"/>
        <v/>
      </c>
      <c r="G290" t="str">
        <f ca="1"/>
        <v/>
      </c>
      <c r="N290" s="42"/>
      <c r="O290" s="42"/>
      <c r="P290" s="42"/>
      <c r="Q290" s="42"/>
      <c r="R290" s="42"/>
    </row>
    <row r="291" spans="3:18">
      <c r="C291" t="str">
        <f ca="1"/>
        <v/>
      </c>
      <c r="D291" t="str">
        <f ca="1"/>
        <v/>
      </c>
      <c r="E291" t="str">
        <f ca="1"/>
        <v/>
      </c>
      <c r="F291" t="str">
        <f ca="1"/>
        <v/>
      </c>
      <c r="G291" t="str">
        <f ca="1"/>
        <v/>
      </c>
      <c r="N291" s="42"/>
      <c r="O291" s="42"/>
      <c r="P291" s="42"/>
      <c r="Q291" s="42"/>
      <c r="R291" s="42"/>
    </row>
    <row r="292" spans="3:18">
      <c r="C292" t="str">
        <f ca="1"/>
        <v/>
      </c>
      <c r="D292" t="str">
        <f ca="1"/>
        <v/>
      </c>
      <c r="E292" t="str">
        <f ca="1"/>
        <v/>
      </c>
      <c r="F292" t="str">
        <f ca="1"/>
        <v/>
      </c>
      <c r="G292" t="str">
        <f ca="1"/>
        <v/>
      </c>
      <c r="N292" s="42"/>
      <c r="O292" s="42"/>
      <c r="P292" s="42"/>
      <c r="Q292" s="42"/>
      <c r="R292" s="42"/>
    </row>
    <row r="293" spans="3:18">
      <c r="C293" t="str">
        <f ca="1"/>
        <v/>
      </c>
      <c r="D293" t="str">
        <f ca="1"/>
        <v/>
      </c>
      <c r="E293" t="str">
        <f ca="1"/>
        <v/>
      </c>
      <c r="F293" t="str">
        <f ca="1"/>
        <v/>
      </c>
      <c r="G293" t="str">
        <f ca="1"/>
        <v/>
      </c>
      <c r="N293" s="42"/>
      <c r="O293" s="42"/>
      <c r="P293" s="42"/>
      <c r="Q293" s="42"/>
      <c r="R293" s="42"/>
    </row>
    <row r="294" spans="3:18">
      <c r="C294" t="str">
        <f ca="1"/>
        <v/>
      </c>
      <c r="D294" t="str">
        <f ca="1"/>
        <v/>
      </c>
      <c r="E294" t="str">
        <f ca="1"/>
        <v/>
      </c>
      <c r="F294" t="str">
        <f ca="1"/>
        <v/>
      </c>
      <c r="G294" t="str">
        <f ca="1"/>
        <v/>
      </c>
      <c r="N294" s="42"/>
      <c r="O294" s="42"/>
      <c r="P294" s="42"/>
      <c r="Q294" s="42"/>
      <c r="R294" s="42"/>
    </row>
    <row r="295" spans="3:18">
      <c r="C295" t="str">
        <f ca="1"/>
        <v/>
      </c>
      <c r="D295" t="str">
        <f ca="1"/>
        <v/>
      </c>
      <c r="E295" t="str">
        <f ca="1"/>
        <v/>
      </c>
      <c r="F295" t="str">
        <f ca="1"/>
        <v/>
      </c>
      <c r="G295" t="str">
        <f ca="1"/>
        <v/>
      </c>
      <c r="N295" s="42"/>
      <c r="O295" s="42"/>
      <c r="P295" s="42"/>
      <c r="Q295" s="42"/>
      <c r="R295" s="42"/>
    </row>
    <row r="296" spans="3:18">
      <c r="C296" t="str">
        <f ca="1"/>
        <v/>
      </c>
      <c r="D296" t="str">
        <f ca="1"/>
        <v/>
      </c>
      <c r="E296" t="str">
        <f ca="1"/>
        <v/>
      </c>
      <c r="F296" t="str">
        <f ca="1"/>
        <v/>
      </c>
      <c r="G296" t="str">
        <f ca="1"/>
        <v/>
      </c>
      <c r="N296" s="42"/>
      <c r="O296" s="42"/>
      <c r="P296" s="42"/>
      <c r="Q296" s="42"/>
      <c r="R296" s="42"/>
    </row>
    <row r="297" spans="3:18">
      <c r="C297" t="str">
        <f ca="1"/>
        <v/>
      </c>
      <c r="D297" t="str">
        <f ca="1"/>
        <v/>
      </c>
      <c r="E297" t="str">
        <f ca="1"/>
        <v/>
      </c>
      <c r="F297" t="str">
        <f ca="1"/>
        <v/>
      </c>
      <c r="G297" t="str">
        <f ca="1"/>
        <v/>
      </c>
      <c r="N297" s="42"/>
      <c r="O297" s="42"/>
      <c r="P297" s="42"/>
      <c r="Q297" s="42"/>
      <c r="R297" s="42"/>
    </row>
    <row r="298" spans="3:18">
      <c r="C298" t="str">
        <f ca="1"/>
        <v/>
      </c>
      <c r="D298" t="str">
        <f ca="1"/>
        <v/>
      </c>
      <c r="E298" t="str">
        <f ca="1"/>
        <v/>
      </c>
      <c r="F298" t="str">
        <f ca="1"/>
        <v/>
      </c>
      <c r="G298" t="str">
        <f ca="1"/>
        <v/>
      </c>
      <c r="N298" s="42"/>
      <c r="O298" s="42"/>
      <c r="P298" s="42"/>
      <c r="Q298" s="42"/>
      <c r="R298" s="42"/>
    </row>
    <row r="299" spans="3:18">
      <c r="C299" t="str">
        <f ca="1"/>
        <v/>
      </c>
      <c r="D299" t="str">
        <f ca="1"/>
        <v/>
      </c>
      <c r="E299" t="str">
        <f ca="1"/>
        <v/>
      </c>
      <c r="F299" t="str">
        <f ca="1"/>
        <v/>
      </c>
      <c r="G299" t="str">
        <f ca="1"/>
        <v/>
      </c>
      <c r="N299" s="42"/>
      <c r="O299" s="42"/>
      <c r="P299" s="42"/>
      <c r="Q299" s="42"/>
      <c r="R299" s="42"/>
    </row>
    <row r="300" spans="3:18">
      <c r="C300" t="str">
        <f ca="1"/>
        <v/>
      </c>
      <c r="D300" t="str">
        <f ca="1"/>
        <v/>
      </c>
      <c r="E300" t="str">
        <f ca="1"/>
        <v/>
      </c>
      <c r="F300" t="str">
        <f ca="1"/>
        <v/>
      </c>
      <c r="G300" t="str">
        <f ca="1"/>
        <v/>
      </c>
      <c r="N300" s="42"/>
      <c r="O300" s="42"/>
      <c r="P300" s="42"/>
      <c r="Q300" s="42"/>
      <c r="R300" s="42"/>
    </row>
    <row r="301" spans="3:18">
      <c r="C301" t="str">
        <f ca="1"/>
        <v/>
      </c>
      <c r="D301" t="str">
        <f ca="1"/>
        <v/>
      </c>
      <c r="E301" t="str">
        <f ca="1"/>
        <v/>
      </c>
      <c r="F301" t="str">
        <f ca="1"/>
        <v/>
      </c>
      <c r="G301" t="str">
        <f ca="1"/>
        <v/>
      </c>
      <c r="N301" s="42"/>
      <c r="O301" s="42"/>
      <c r="P301" s="42"/>
      <c r="Q301" s="42"/>
      <c r="R301" s="42"/>
    </row>
    <row r="302" spans="3:18">
      <c r="C302" t="str">
        <f ca="1"/>
        <v/>
      </c>
      <c r="D302" t="str">
        <f ca="1"/>
        <v/>
      </c>
      <c r="E302" t="str">
        <f ca="1"/>
        <v/>
      </c>
      <c r="F302" t="str">
        <f ca="1"/>
        <v/>
      </c>
      <c r="G302" t="str">
        <f ca="1"/>
        <v/>
      </c>
      <c r="N302" s="42"/>
      <c r="O302" s="42"/>
      <c r="P302" s="42"/>
      <c r="Q302" s="42"/>
      <c r="R302" s="42"/>
    </row>
    <row r="303" spans="3:18">
      <c r="C303" t="str">
        <f ca="1"/>
        <v/>
      </c>
      <c r="D303" t="str">
        <f ca="1"/>
        <v/>
      </c>
      <c r="E303" t="str">
        <f ca="1"/>
        <v/>
      </c>
      <c r="F303" t="str">
        <f ca="1"/>
        <v/>
      </c>
      <c r="G303" t="str">
        <f ca="1"/>
        <v/>
      </c>
      <c r="N303" s="42"/>
      <c r="O303" s="42"/>
      <c r="P303" s="42"/>
      <c r="Q303" s="42"/>
      <c r="R303" s="42"/>
    </row>
    <row r="304" spans="3:18">
      <c r="C304" t="str">
        <f ca="1"/>
        <v/>
      </c>
      <c r="D304" t="str">
        <f ca="1"/>
        <v/>
      </c>
      <c r="E304" t="str">
        <f ca="1"/>
        <v/>
      </c>
      <c r="F304" t="str">
        <f ca="1"/>
        <v/>
      </c>
      <c r="G304" t="str">
        <f ca="1"/>
        <v/>
      </c>
      <c r="N304" s="42"/>
      <c r="O304" s="42"/>
      <c r="P304" s="42"/>
      <c r="Q304" s="42"/>
      <c r="R304" s="42"/>
    </row>
    <row r="305" spans="3:18">
      <c r="C305" t="str">
        <f ca="1"/>
        <v/>
      </c>
      <c r="D305" t="str">
        <f ca="1"/>
        <v/>
      </c>
      <c r="E305" t="str">
        <f ca="1"/>
        <v/>
      </c>
      <c r="F305" t="str">
        <f ca="1"/>
        <v/>
      </c>
      <c r="G305" t="str">
        <f ca="1"/>
        <v/>
      </c>
      <c r="N305" s="42"/>
      <c r="O305" s="42"/>
      <c r="P305" s="42"/>
      <c r="Q305" s="42"/>
      <c r="R305" s="42"/>
    </row>
    <row r="306" spans="3:18">
      <c r="C306" t="str">
        <f ca="1"/>
        <v/>
      </c>
      <c r="D306" t="str">
        <f ca="1"/>
        <v/>
      </c>
      <c r="E306" t="str">
        <f ca="1"/>
        <v/>
      </c>
      <c r="F306" t="str">
        <f ca="1"/>
        <v/>
      </c>
      <c r="G306" t="str">
        <f ca="1"/>
        <v/>
      </c>
      <c r="N306" s="42"/>
      <c r="O306" s="42"/>
      <c r="P306" s="42"/>
      <c r="Q306" s="42"/>
      <c r="R306" s="42"/>
    </row>
    <row r="307" spans="3:18">
      <c r="C307" t="str">
        <f ca="1"/>
        <v/>
      </c>
      <c r="D307" t="str">
        <f ca="1"/>
        <v/>
      </c>
      <c r="E307" t="str">
        <f ca="1"/>
        <v/>
      </c>
      <c r="F307" t="str">
        <f ca="1"/>
        <v/>
      </c>
      <c r="G307" t="str">
        <f ca="1"/>
        <v/>
      </c>
      <c r="N307" s="42"/>
      <c r="O307" s="42"/>
      <c r="P307" s="42"/>
      <c r="Q307" s="42"/>
      <c r="R307" s="42"/>
    </row>
    <row r="308" spans="3:18">
      <c r="C308" t="str">
        <f ca="1"/>
        <v/>
      </c>
      <c r="D308" t="str">
        <f ca="1"/>
        <v/>
      </c>
      <c r="E308" t="str">
        <f ca="1"/>
        <v/>
      </c>
      <c r="F308" t="str">
        <f ca="1"/>
        <v/>
      </c>
      <c r="G308" t="str">
        <f ca="1"/>
        <v/>
      </c>
      <c r="N308" s="42"/>
      <c r="O308" s="42"/>
      <c r="P308" s="42"/>
      <c r="Q308" s="42"/>
      <c r="R308" s="42"/>
    </row>
    <row r="309" spans="3:18">
      <c r="C309" t="str">
        <f ca="1"/>
        <v/>
      </c>
      <c r="D309" t="str">
        <f ca="1"/>
        <v/>
      </c>
      <c r="E309" t="str">
        <f ca="1"/>
        <v/>
      </c>
      <c r="F309" t="str">
        <f ca="1"/>
        <v/>
      </c>
      <c r="G309" t="str">
        <f ca="1"/>
        <v/>
      </c>
      <c r="N309" s="42"/>
      <c r="O309" s="42"/>
      <c r="P309" s="42"/>
      <c r="Q309" s="42"/>
      <c r="R309" s="42"/>
    </row>
    <row r="310" spans="3:18">
      <c r="C310" t="str">
        <f ca="1"/>
        <v/>
      </c>
      <c r="D310" t="str">
        <f ca="1"/>
        <v/>
      </c>
      <c r="E310" t="str">
        <f ca="1"/>
        <v/>
      </c>
      <c r="F310" t="str">
        <f ca="1"/>
        <v/>
      </c>
      <c r="G310" t="str">
        <f ca="1"/>
        <v/>
      </c>
      <c r="N310" s="42"/>
      <c r="O310" s="42"/>
      <c r="P310" s="42"/>
      <c r="Q310" s="42"/>
      <c r="R310" s="42"/>
    </row>
    <row r="311" spans="3:18">
      <c r="C311" t="str">
        <f ca="1"/>
        <v/>
      </c>
      <c r="D311" t="str">
        <f ca="1"/>
        <v/>
      </c>
      <c r="E311" t="str">
        <f ca="1"/>
        <v/>
      </c>
      <c r="F311" t="str">
        <f ca="1"/>
        <v/>
      </c>
      <c r="G311" t="str">
        <f ca="1"/>
        <v/>
      </c>
      <c r="N311" s="42"/>
      <c r="O311" s="42"/>
      <c r="P311" s="42"/>
      <c r="Q311" s="42"/>
      <c r="R311" s="42"/>
    </row>
    <row r="312" spans="3:18">
      <c r="C312" t="str">
        <f ca="1"/>
        <v/>
      </c>
      <c r="D312" t="str">
        <f ca="1"/>
        <v/>
      </c>
      <c r="E312" t="str">
        <f ca="1"/>
        <v/>
      </c>
      <c r="F312" t="str">
        <f ca="1"/>
        <v/>
      </c>
      <c r="G312" t="str">
        <f ca="1"/>
        <v/>
      </c>
      <c r="N312" s="42"/>
      <c r="O312" s="42"/>
      <c r="P312" s="42"/>
      <c r="Q312" s="42"/>
      <c r="R312" s="42"/>
    </row>
    <row r="313" spans="3:18">
      <c r="C313" t="str">
        <f ca="1"/>
        <v/>
      </c>
      <c r="D313" t="str">
        <f ca="1"/>
        <v/>
      </c>
      <c r="E313" t="str">
        <f ca="1"/>
        <v/>
      </c>
      <c r="F313" t="str">
        <f ca="1"/>
        <v/>
      </c>
      <c r="G313" t="str">
        <f ca="1"/>
        <v/>
      </c>
      <c r="N313" s="42"/>
      <c r="O313" s="42"/>
      <c r="P313" s="42"/>
      <c r="Q313" s="42"/>
      <c r="R313" s="42"/>
    </row>
    <row r="314" spans="3:18">
      <c r="C314" t="str">
        <f ca="1"/>
        <v/>
      </c>
      <c r="D314" t="str">
        <f ca="1"/>
        <v/>
      </c>
      <c r="E314" t="str">
        <f ca="1"/>
        <v/>
      </c>
      <c r="F314" t="str">
        <f ca="1"/>
        <v/>
      </c>
      <c r="G314" t="str">
        <f ca="1"/>
        <v/>
      </c>
      <c r="N314" s="42"/>
      <c r="O314" s="42"/>
      <c r="P314" s="42"/>
      <c r="Q314" s="42"/>
      <c r="R314" s="42"/>
    </row>
    <row r="315" spans="3:18">
      <c r="C315" t="str">
        <f ca="1"/>
        <v/>
      </c>
      <c r="D315" t="str">
        <f ca="1"/>
        <v/>
      </c>
      <c r="E315" t="str">
        <f ca="1"/>
        <v/>
      </c>
      <c r="F315" t="str">
        <f ca="1"/>
        <v/>
      </c>
      <c r="G315" t="str">
        <f ca="1"/>
        <v/>
      </c>
      <c r="N315" s="42"/>
      <c r="O315" s="42"/>
      <c r="P315" s="42"/>
      <c r="Q315" s="42"/>
      <c r="R315" s="42"/>
    </row>
    <row r="316" spans="3:18">
      <c r="C316" t="str">
        <f ca="1"/>
        <v/>
      </c>
      <c r="D316" t="str">
        <f ca="1"/>
        <v/>
      </c>
      <c r="E316" t="str">
        <f ca="1"/>
        <v/>
      </c>
      <c r="F316" t="str">
        <f ca="1"/>
        <v/>
      </c>
      <c r="G316" t="str">
        <f ca="1"/>
        <v/>
      </c>
      <c r="N316" s="42"/>
      <c r="O316" s="42"/>
      <c r="P316" s="42"/>
      <c r="Q316" s="42"/>
      <c r="R316" s="42"/>
    </row>
    <row r="317" spans="3:18">
      <c r="C317" t="str">
        <f ca="1"/>
        <v/>
      </c>
      <c r="D317" t="str">
        <f ca="1"/>
        <v/>
      </c>
      <c r="E317" t="str">
        <f ca="1"/>
        <v/>
      </c>
      <c r="F317" t="str">
        <f ca="1"/>
        <v/>
      </c>
      <c r="G317" t="str">
        <f ca="1"/>
        <v/>
      </c>
      <c r="N317" s="42"/>
      <c r="O317" s="42"/>
      <c r="P317" s="42"/>
      <c r="Q317" s="42"/>
      <c r="R317" s="42"/>
    </row>
    <row r="318" spans="3:18">
      <c r="C318" t="str">
        <f ca="1"/>
        <v/>
      </c>
      <c r="D318" t="str">
        <f ca="1"/>
        <v/>
      </c>
      <c r="E318" t="str">
        <f ca="1"/>
        <v/>
      </c>
      <c r="F318" t="str">
        <f ca="1"/>
        <v/>
      </c>
      <c r="G318" t="str">
        <f ca="1"/>
        <v/>
      </c>
      <c r="N318" s="42"/>
      <c r="O318" s="42"/>
      <c r="P318" s="42"/>
      <c r="Q318" s="42"/>
      <c r="R318" s="42"/>
    </row>
    <row r="319" spans="3:18">
      <c r="C319" t="str">
        <f ca="1"/>
        <v/>
      </c>
      <c r="D319" t="str">
        <f ca="1"/>
        <v/>
      </c>
      <c r="E319" t="str">
        <f ca="1"/>
        <v/>
      </c>
      <c r="F319" t="str">
        <f ca="1"/>
        <v/>
      </c>
      <c r="G319" t="str">
        <f ca="1"/>
        <v/>
      </c>
      <c r="N319" s="42"/>
      <c r="O319" s="42"/>
      <c r="P319" s="42"/>
      <c r="Q319" s="42"/>
      <c r="R319" s="42"/>
    </row>
    <row r="320" spans="3:18">
      <c r="C320" t="str">
        <f ca="1"/>
        <v/>
      </c>
      <c r="D320" t="str">
        <f ca="1"/>
        <v/>
      </c>
      <c r="E320" t="str">
        <f ca="1"/>
        <v/>
      </c>
      <c r="F320" t="str">
        <f ca="1"/>
        <v/>
      </c>
      <c r="G320" t="str">
        <f ca="1"/>
        <v/>
      </c>
      <c r="N320" s="42"/>
      <c r="O320" s="42"/>
      <c r="P320" s="42"/>
      <c r="Q320" s="42"/>
      <c r="R320" s="42"/>
    </row>
    <row r="321" spans="3:18">
      <c r="C321" t="str">
        <f ca="1"/>
        <v/>
      </c>
      <c r="D321" t="str">
        <f ca="1"/>
        <v/>
      </c>
      <c r="E321" t="str">
        <f ca="1"/>
        <v/>
      </c>
      <c r="F321" t="str">
        <f ca="1"/>
        <v/>
      </c>
      <c r="G321" t="str">
        <f ca="1"/>
        <v/>
      </c>
      <c r="N321" s="42"/>
      <c r="O321" s="42"/>
      <c r="P321" s="42"/>
      <c r="Q321" s="42"/>
      <c r="R321" s="42"/>
    </row>
    <row r="322" spans="3:18">
      <c r="C322" t="str">
        <f ca="1"/>
        <v/>
      </c>
      <c r="D322" t="str">
        <f ca="1"/>
        <v/>
      </c>
      <c r="E322" t="str">
        <f ca="1"/>
        <v/>
      </c>
      <c r="F322" t="str">
        <f ca="1"/>
        <v/>
      </c>
      <c r="G322" t="str">
        <f ca="1"/>
        <v/>
      </c>
      <c r="N322" s="42"/>
      <c r="O322" s="42"/>
      <c r="P322" s="42"/>
      <c r="Q322" s="42"/>
      <c r="R322" s="42"/>
    </row>
    <row r="323" spans="3:18">
      <c r="C323" t="str">
        <f ca="1"/>
        <v/>
      </c>
      <c r="D323" t="str">
        <f ca="1"/>
        <v/>
      </c>
      <c r="E323" t="str">
        <f ca="1"/>
        <v/>
      </c>
      <c r="F323" t="str">
        <f ca="1"/>
        <v/>
      </c>
      <c r="G323" t="str">
        <f ca="1"/>
        <v/>
      </c>
      <c r="N323" s="42"/>
      <c r="O323" s="42"/>
      <c r="P323" s="42"/>
      <c r="Q323" s="42"/>
      <c r="R323" s="42"/>
    </row>
    <row r="324" spans="3:18">
      <c r="C324" t="str">
        <f ca="1"/>
        <v/>
      </c>
      <c r="D324" t="str">
        <f ca="1"/>
        <v/>
      </c>
      <c r="E324" t="str">
        <f ca="1"/>
        <v/>
      </c>
      <c r="F324" t="str">
        <f ca="1"/>
        <v/>
      </c>
      <c r="G324" t="str">
        <f ca="1"/>
        <v/>
      </c>
      <c r="N324" s="42"/>
      <c r="O324" s="42"/>
      <c r="P324" s="42"/>
      <c r="Q324" s="42"/>
      <c r="R324" s="42"/>
    </row>
    <row r="325" spans="3:18">
      <c r="C325" t="str">
        <f ca="1"/>
        <v/>
      </c>
      <c r="D325" t="str">
        <f ca="1"/>
        <v/>
      </c>
      <c r="E325" t="str">
        <f ca="1"/>
        <v/>
      </c>
      <c r="F325" t="str">
        <f ca="1"/>
        <v/>
      </c>
      <c r="G325" t="str">
        <f ca="1"/>
        <v/>
      </c>
      <c r="N325" s="42"/>
      <c r="O325" s="42"/>
      <c r="P325" s="42"/>
      <c r="Q325" s="42"/>
      <c r="R325" s="42"/>
    </row>
    <row r="326" spans="3:18">
      <c r="C326" t="str">
        <f ca="1"/>
        <v/>
      </c>
      <c r="D326" t="str">
        <f ca="1"/>
        <v/>
      </c>
      <c r="E326" t="str">
        <f ca="1"/>
        <v/>
      </c>
      <c r="F326" t="str">
        <f ca="1"/>
        <v/>
      </c>
      <c r="G326" t="str">
        <f ca="1"/>
        <v/>
      </c>
      <c r="N326" s="42"/>
      <c r="O326" s="42"/>
      <c r="P326" s="42"/>
      <c r="Q326" s="42"/>
      <c r="R326" s="42"/>
    </row>
    <row r="327" spans="3:18">
      <c r="C327" t="str">
        <f ca="1"/>
        <v/>
      </c>
      <c r="D327" t="str">
        <f ca="1"/>
        <v/>
      </c>
      <c r="E327" t="str">
        <f ca="1"/>
        <v/>
      </c>
      <c r="F327" t="str">
        <f ca="1"/>
        <v/>
      </c>
      <c r="G327" t="str">
        <f ca="1"/>
        <v/>
      </c>
      <c r="N327" s="42"/>
      <c r="O327" s="42"/>
      <c r="P327" s="42"/>
      <c r="Q327" s="42"/>
      <c r="R327" s="42"/>
    </row>
    <row r="328" spans="3:18">
      <c r="C328" t="str">
        <f ca="1"/>
        <v/>
      </c>
      <c r="D328" t="str">
        <f ca="1"/>
        <v/>
      </c>
      <c r="E328" t="str">
        <f ca="1"/>
        <v/>
      </c>
      <c r="F328" t="str">
        <f ca="1"/>
        <v/>
      </c>
      <c r="G328" t="str">
        <f ca="1"/>
        <v/>
      </c>
      <c r="N328" s="42"/>
      <c r="O328" s="42"/>
      <c r="P328" s="42"/>
      <c r="Q328" s="42"/>
      <c r="R328" s="42"/>
    </row>
    <row r="329" spans="3:18">
      <c r="C329" t="str">
        <f ca="1"/>
        <v/>
      </c>
      <c r="D329" t="str">
        <f ca="1"/>
        <v/>
      </c>
      <c r="E329" t="str">
        <f ca="1"/>
        <v/>
      </c>
      <c r="F329" t="str">
        <f ca="1"/>
        <v/>
      </c>
      <c r="G329" t="str">
        <f ca="1"/>
        <v/>
      </c>
      <c r="N329" s="42"/>
      <c r="O329" s="42"/>
      <c r="P329" s="42"/>
      <c r="Q329" s="42"/>
      <c r="R329" s="42"/>
    </row>
    <row r="330" spans="3:18">
      <c r="C330" t="str">
        <f ca="1"/>
        <v/>
      </c>
      <c r="D330" t="str">
        <f ca="1"/>
        <v/>
      </c>
      <c r="E330" t="str">
        <f ca="1"/>
        <v/>
      </c>
      <c r="F330" t="str">
        <f ca="1"/>
        <v/>
      </c>
      <c r="G330" t="str">
        <f ca="1"/>
        <v/>
      </c>
      <c r="N330" s="42"/>
      <c r="O330" s="42"/>
      <c r="P330" s="42"/>
      <c r="Q330" s="42"/>
      <c r="R330" s="42"/>
    </row>
    <row r="331" spans="3:18">
      <c r="C331" t="str">
        <f ca="1"/>
        <v/>
      </c>
      <c r="D331" t="str">
        <f ca="1"/>
        <v/>
      </c>
      <c r="E331" t="str">
        <f ca="1"/>
        <v/>
      </c>
      <c r="F331" t="str">
        <f ca="1"/>
        <v/>
      </c>
      <c r="G331" t="str">
        <f ca="1"/>
        <v/>
      </c>
      <c r="N331" s="42"/>
      <c r="O331" s="42"/>
      <c r="P331" s="42"/>
      <c r="Q331" s="42"/>
      <c r="R331" s="42"/>
    </row>
    <row r="332" spans="3:18">
      <c r="C332" t="str">
        <f ca="1"/>
        <v/>
      </c>
      <c r="D332" t="str">
        <f ca="1"/>
        <v/>
      </c>
      <c r="E332" t="str">
        <f ca="1"/>
        <v/>
      </c>
      <c r="F332" t="str">
        <f ca="1"/>
        <v/>
      </c>
      <c r="G332" t="str">
        <f ca="1"/>
        <v/>
      </c>
      <c r="N332" s="42"/>
      <c r="O332" s="42"/>
      <c r="P332" s="42"/>
      <c r="Q332" s="42"/>
      <c r="R332" s="42"/>
    </row>
    <row r="333" spans="3:18">
      <c r="C333" t="str">
        <f ca="1"/>
        <v/>
      </c>
      <c r="D333" t="str">
        <f ca="1"/>
        <v/>
      </c>
      <c r="E333" t="str">
        <f ca="1"/>
        <v/>
      </c>
      <c r="F333" t="str">
        <f ca="1"/>
        <v/>
      </c>
      <c r="G333" t="str">
        <f ca="1"/>
        <v/>
      </c>
      <c r="N333" s="42"/>
      <c r="O333" s="42"/>
      <c r="P333" s="42"/>
      <c r="Q333" s="42"/>
      <c r="R333" s="42"/>
    </row>
    <row r="334" spans="3:18">
      <c r="C334" t="str">
        <f ca="1"/>
        <v/>
      </c>
      <c r="D334" t="str">
        <f ca="1"/>
        <v/>
      </c>
      <c r="E334" t="str">
        <f ca="1"/>
        <v/>
      </c>
      <c r="F334" t="str">
        <f ca="1"/>
        <v/>
      </c>
      <c r="G334" t="str">
        <f ca="1"/>
        <v/>
      </c>
      <c r="N334" s="42"/>
      <c r="O334" s="42"/>
      <c r="P334" s="42"/>
      <c r="Q334" s="42"/>
      <c r="R334" s="42"/>
    </row>
    <row r="335" spans="3:18">
      <c r="C335" t="str">
        <f ca="1"/>
        <v/>
      </c>
      <c r="D335" t="str">
        <f ca="1"/>
        <v/>
      </c>
      <c r="E335" t="str">
        <f ca="1"/>
        <v/>
      </c>
      <c r="F335" t="str">
        <f ca="1"/>
        <v/>
      </c>
      <c r="G335" t="str">
        <f ca="1"/>
        <v/>
      </c>
      <c r="N335" s="42"/>
      <c r="O335" s="42"/>
      <c r="P335" s="42"/>
      <c r="Q335" s="42"/>
      <c r="R335" s="42"/>
    </row>
    <row r="336" spans="3:18">
      <c r="C336" t="str">
        <f ca="1"/>
        <v/>
      </c>
      <c r="D336" t="str">
        <f ca="1"/>
        <v/>
      </c>
      <c r="E336" t="str">
        <f ca="1"/>
        <v/>
      </c>
      <c r="F336" t="str">
        <f ca="1"/>
        <v/>
      </c>
      <c r="G336" t="str">
        <f ca="1"/>
        <v/>
      </c>
      <c r="N336" s="42"/>
      <c r="O336" s="42"/>
      <c r="P336" s="42"/>
      <c r="Q336" s="42"/>
      <c r="R336" s="42"/>
    </row>
    <row r="337" spans="3:18">
      <c r="C337" t="str">
        <f ca="1"/>
        <v/>
      </c>
      <c r="D337" t="str">
        <f ca="1"/>
        <v/>
      </c>
      <c r="E337" t="str">
        <f ca="1"/>
        <v/>
      </c>
      <c r="F337" t="str">
        <f ca="1"/>
        <v/>
      </c>
      <c r="G337" t="str">
        <f ca="1"/>
        <v/>
      </c>
      <c r="N337" s="42"/>
      <c r="O337" s="42"/>
      <c r="P337" s="42"/>
      <c r="Q337" s="42"/>
      <c r="R337" s="42"/>
    </row>
    <row r="338" spans="3:18">
      <c r="C338" t="str">
        <f ca="1"/>
        <v/>
      </c>
      <c r="D338" t="str">
        <f ca="1"/>
        <v/>
      </c>
      <c r="E338" t="str">
        <f ca="1"/>
        <v/>
      </c>
      <c r="F338" t="str">
        <f ca="1"/>
        <v/>
      </c>
      <c r="G338" t="str">
        <f ca="1"/>
        <v/>
      </c>
      <c r="N338" s="42"/>
      <c r="O338" s="42"/>
      <c r="P338" s="42"/>
      <c r="Q338" s="42"/>
      <c r="R338" s="42"/>
    </row>
    <row r="339" spans="3:18">
      <c r="C339" t="str">
        <f ca="1"/>
        <v/>
      </c>
      <c r="D339" t="str">
        <f ca="1"/>
        <v/>
      </c>
      <c r="E339" t="str">
        <f ca="1"/>
        <v/>
      </c>
      <c r="F339" t="str">
        <f ca="1"/>
        <v/>
      </c>
      <c r="G339" t="str">
        <f ca="1"/>
        <v/>
      </c>
      <c r="N339" s="42"/>
      <c r="O339" s="42"/>
      <c r="P339" s="42"/>
      <c r="Q339" s="42"/>
      <c r="R339" s="42"/>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row r="413" spans="3:7">
      <c r="C413" t="str">
        <f ca="1"/>
        <v/>
      </c>
      <c r="D413" t="str">
        <f ca="1"/>
        <v/>
      </c>
      <c r="E413" t="str">
        <f ca="1"/>
        <v/>
      </c>
      <c r="F413" t="str">
        <f ca="1"/>
        <v/>
      </c>
      <c r="G413" t="str">
        <f ca="1"/>
        <v/>
      </c>
    </row>
    <row r="414" spans="3:7">
      <c r="C414" t="str">
        <f ca="1"/>
        <v/>
      </c>
      <c r="D414" t="str">
        <f ca="1"/>
        <v/>
      </c>
      <c r="E414" t="str">
        <f ca="1"/>
        <v/>
      </c>
      <c r="F414" t="str">
        <f ca="1"/>
        <v/>
      </c>
      <c r="G414" t="str">
        <f ca="1"/>
        <v/>
      </c>
    </row>
    <row r="415" spans="3:7">
      <c r="C415" t="str">
        <f ca="1"/>
        <v/>
      </c>
      <c r="D415" t="str">
        <f ca="1"/>
        <v/>
      </c>
      <c r="E415" t="str">
        <f ca="1"/>
        <v/>
      </c>
      <c r="F415" t="str">
        <f ca="1"/>
        <v/>
      </c>
      <c r="G415" t="str">
        <f ca="1"/>
        <v/>
      </c>
    </row>
    <row r="416" spans="3:7">
      <c r="C416" t="str">
        <f ca="1"/>
        <v/>
      </c>
      <c r="D416" t="str">
        <f ca="1"/>
        <v/>
      </c>
      <c r="E416" t="str">
        <f ca="1"/>
        <v/>
      </c>
      <c r="F416" t="str">
        <f ca="1"/>
        <v/>
      </c>
      <c r="G416" t="str">
        <f ca="1"/>
        <v/>
      </c>
    </row>
    <row r="417" spans="3:7">
      <c r="C417" t="str">
        <f ca="1"/>
        <v/>
      </c>
      <c r="D417" t="str">
        <f ca="1"/>
        <v/>
      </c>
      <c r="E417" t="str">
        <f ca="1"/>
        <v/>
      </c>
      <c r="F417" t="str">
        <f ca="1"/>
        <v/>
      </c>
      <c r="G417" t="str">
        <f ca="1"/>
        <v/>
      </c>
    </row>
    <row r="418" spans="3:7">
      <c r="C418" t="str">
        <f ca="1"/>
        <v/>
      </c>
      <c r="D418" t="str">
        <f ca="1"/>
        <v/>
      </c>
      <c r="E418" t="str">
        <f ca="1"/>
        <v/>
      </c>
      <c r="F418" t="str">
        <f ca="1"/>
        <v/>
      </c>
      <c r="G418" t="str">
        <f ca="1"/>
        <v/>
      </c>
    </row>
    <row r="419" spans="3:7">
      <c r="C419" t="str">
        <f ca="1"/>
        <v/>
      </c>
      <c r="D419" t="str">
        <f ca="1"/>
        <v/>
      </c>
      <c r="E419" t="str">
        <f ca="1"/>
        <v/>
      </c>
      <c r="F419" t="str">
        <f ca="1"/>
        <v/>
      </c>
      <c r="G419" t="str">
        <f ca="1"/>
        <v/>
      </c>
    </row>
    <row r="420" spans="3:7">
      <c r="C420" t="str">
        <f ca="1"/>
        <v/>
      </c>
      <c r="D420" t="str">
        <f ca="1"/>
        <v/>
      </c>
      <c r="E420" t="str">
        <f ca="1"/>
        <v/>
      </c>
      <c r="F420" t="str">
        <f ca="1"/>
        <v/>
      </c>
      <c r="G420" t="str">
        <f ca="1"/>
        <v/>
      </c>
    </row>
    <row r="421" spans="3:7">
      <c r="C421" t="str">
        <f ca="1"/>
        <v/>
      </c>
      <c r="D421" t="str">
        <f ca="1"/>
        <v/>
      </c>
      <c r="E421" t="str">
        <f ca="1"/>
        <v/>
      </c>
      <c r="F421" t="str">
        <f ca="1"/>
        <v/>
      </c>
      <c r="G421" t="str">
        <f ca="1"/>
        <v/>
      </c>
    </row>
    <row r="422" spans="3:7">
      <c r="C422" t="str">
        <f ca="1"/>
        <v/>
      </c>
      <c r="D422" t="str">
        <f ca="1"/>
        <v/>
      </c>
      <c r="E422" t="str">
        <f ca="1"/>
        <v/>
      </c>
      <c r="F422" t="str">
        <f ca="1"/>
        <v/>
      </c>
      <c r="G422" t="str">
        <f ca="1"/>
        <v/>
      </c>
    </row>
    <row r="423" spans="3:7">
      <c r="C423" t="str">
        <f ca="1"/>
        <v/>
      </c>
      <c r="D423" t="str">
        <f ca="1"/>
        <v/>
      </c>
      <c r="E423" t="str">
        <f ca="1"/>
        <v/>
      </c>
      <c r="F423" t="str">
        <f ca="1"/>
        <v/>
      </c>
      <c r="G423" t="str">
        <f ca="1"/>
        <v/>
      </c>
    </row>
    <row r="424" spans="3:7">
      <c r="C424" t="str">
        <f ca="1"/>
        <v/>
      </c>
      <c r="D424" t="str">
        <f ca="1"/>
        <v/>
      </c>
      <c r="E424" t="str">
        <f ca="1"/>
        <v/>
      </c>
      <c r="F424" t="str">
        <f ca="1"/>
        <v/>
      </c>
      <c r="G424" t="str">
        <f ca="1"/>
        <v/>
      </c>
    </row>
    <row r="425" spans="3:7">
      <c r="C425" t="str">
        <f ca="1"/>
        <v/>
      </c>
      <c r="D425" t="str">
        <f ca="1"/>
        <v/>
      </c>
      <c r="E425" t="str">
        <f ca="1"/>
        <v/>
      </c>
      <c r="F425" t="str">
        <f ca="1"/>
        <v/>
      </c>
      <c r="G425" t="str">
        <f ca="1"/>
        <v/>
      </c>
    </row>
    <row r="426" spans="3:7">
      <c r="C426" t="str">
        <f ca="1"/>
        <v/>
      </c>
      <c r="D426" t="str">
        <f ca="1"/>
        <v/>
      </c>
      <c r="E426" t="str">
        <f ca="1"/>
        <v/>
      </c>
      <c r="F426" t="str">
        <f ca="1"/>
        <v/>
      </c>
      <c r="G426" t="str">
        <f ca="1"/>
        <v/>
      </c>
    </row>
    <row r="427" spans="3:7">
      <c r="C427" t="str">
        <f ca="1"/>
        <v/>
      </c>
      <c r="D427" t="str">
        <f ca="1"/>
        <v/>
      </c>
      <c r="E427" t="str">
        <f ca="1"/>
        <v/>
      </c>
      <c r="F427" t="str">
        <f ca="1"/>
        <v/>
      </c>
      <c r="G427" t="str">
        <f ca="1"/>
        <v/>
      </c>
    </row>
    <row r="428" spans="3:7">
      <c r="C428" t="str">
        <f ca="1"/>
        <v/>
      </c>
      <c r="D428" t="str">
        <f ca="1"/>
        <v/>
      </c>
      <c r="E428" t="str">
        <f ca="1"/>
        <v/>
      </c>
      <c r="F428" t="str">
        <f ca="1"/>
        <v/>
      </c>
      <c r="G428" t="str">
        <f ca="1"/>
        <v/>
      </c>
    </row>
    <row r="429" spans="3:7">
      <c r="C429" t="str">
        <f ca="1"/>
        <v/>
      </c>
      <c r="D429" t="str">
        <f ca="1"/>
        <v/>
      </c>
      <c r="E429" t="str">
        <f ca="1"/>
        <v/>
      </c>
      <c r="F429" t="str">
        <f ca="1"/>
        <v/>
      </c>
      <c r="G429" t="str">
        <f ca="1"/>
        <v/>
      </c>
    </row>
    <row r="430" spans="3:7">
      <c r="C430" t="str">
        <f ca="1"/>
        <v/>
      </c>
      <c r="D430" t="str">
        <f ca="1"/>
        <v/>
      </c>
      <c r="E430" t="str">
        <f ca="1"/>
        <v/>
      </c>
      <c r="F430" t="str">
        <f ca="1"/>
        <v/>
      </c>
      <c r="G430" t="str">
        <f ca="1"/>
        <v/>
      </c>
    </row>
    <row r="431" spans="3:7">
      <c r="C431" t="str">
        <f ca="1"/>
        <v/>
      </c>
      <c r="D431" t="str">
        <f ca="1"/>
        <v/>
      </c>
      <c r="E431" t="str">
        <f ca="1"/>
        <v/>
      </c>
      <c r="F431" t="str">
        <f ca="1"/>
        <v/>
      </c>
      <c r="G431" t="str">
        <f ca="1"/>
        <v/>
      </c>
    </row>
    <row r="432" spans="3:7">
      <c r="C432" t="str">
        <f ca="1"/>
        <v/>
      </c>
      <c r="D432" t="str">
        <f ca="1"/>
        <v/>
      </c>
      <c r="E432" t="str">
        <f ca="1"/>
        <v/>
      </c>
      <c r="F432" t="str">
        <f ca="1"/>
        <v/>
      </c>
      <c r="G432" t="str">
        <f ca="1"/>
        <v/>
      </c>
    </row>
    <row r="433" spans="3:7">
      <c r="C433" t="str">
        <f ca="1"/>
        <v/>
      </c>
      <c r="D433" t="str">
        <f ca="1"/>
        <v/>
      </c>
      <c r="E433" t="str">
        <f ca="1"/>
        <v/>
      </c>
      <c r="F433" t="str">
        <f ca="1"/>
        <v/>
      </c>
      <c r="G433" t="str">
        <f ca="1"/>
        <v/>
      </c>
    </row>
  </sheetData>
  <sheetProtection sheet="1"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161" priority="1" stopIfTrue="1">
      <formula>OR($I$153="",$I$153="NO")</formula>
    </cfRule>
    <cfRule type="expression" dxfId="160" priority="380">
      <formula>AND($C138&lt;&gt;"",$I$153="YES",NOT($J138))</formula>
    </cfRule>
    <cfRule type="expression" dxfId="159" priority="378">
      <formula>AND($C138&lt;&gt;"",$I$153="YES",$J138)</formula>
    </cfRule>
  </conditionalFormatting>
  <conditionalFormatting sqref="B154:F154">
    <cfRule type="cellIs" dxfId="158" priority="20" operator="between">
      <formula>-0.000001</formula>
      <formula>0.000001</formula>
    </cfRule>
  </conditionalFormatting>
  <conditionalFormatting sqref="C37 C46">
    <cfRule type="expression" dxfId="157" priority="36">
      <formula>ROUND($B$25,2)&lt;&gt;0</formula>
    </cfRule>
  </conditionalFormatting>
  <conditionalFormatting sqref="C82">
    <cfRule type="expression" dxfId="156" priority="35">
      <formula>ROUND($B$23,2)&lt;&gt;0</formula>
    </cfRule>
  </conditionalFormatting>
  <conditionalFormatting sqref="C93">
    <cfRule type="expression" dxfId="155" priority="34">
      <formula>ROUND($B$23,2)&lt;&gt;0</formula>
    </cfRule>
  </conditionalFormatting>
  <conditionalFormatting sqref="C104">
    <cfRule type="expression" dxfId="154" priority="29">
      <formula>ROUND($B$23,2)&lt;&gt;0</formula>
    </cfRule>
  </conditionalFormatting>
  <conditionalFormatting sqref="C138:C153">
    <cfRule type="expression" dxfId="153" priority="24">
      <formula>NOT(ISBLANK($C138))</formula>
    </cfRule>
  </conditionalFormatting>
  <conditionalFormatting sqref="C167">
    <cfRule type="expression" dxfId="152" priority="3">
      <formula>$C$165=""</formula>
    </cfRule>
  </conditionalFormatting>
  <conditionalFormatting sqref="C19:E20">
    <cfRule type="beginsWith" dxfId="151" priority="2" operator="beginsWith" text="Correct">
      <formula>LEFT(C19,LEN("Correct"))="Correct"</formula>
    </cfRule>
    <cfRule type="beginsWith" dxfId="150" priority="6" operator="beginsWith" text="Incorrect">
      <formula>LEFT(C19,LEN("Incorrect"))="Incorrect"</formula>
    </cfRule>
  </conditionalFormatting>
  <conditionalFormatting sqref="C27:E30">
    <cfRule type="expression" dxfId="149" priority="33">
      <formula>$I$18&lt;&gt;"YESYES"</formula>
    </cfRule>
  </conditionalFormatting>
  <conditionalFormatting sqref="C51:E56">
    <cfRule type="expression" dxfId="148" priority="32">
      <formula>OR($D$48="No",ISBLANK($D$48))</formula>
    </cfRule>
  </conditionalFormatting>
  <conditionalFormatting sqref="C73:E77">
    <cfRule type="cellIs" dxfId="147" priority="4" operator="between">
      <formula>-0.000001</formula>
      <formula>0.00001</formula>
    </cfRule>
  </conditionalFormatting>
  <conditionalFormatting sqref="C120:E128">
    <cfRule type="expression" dxfId="146" priority="26">
      <formula>OR($C$119=0,OR($D$117="",$D$117="No"))</formula>
    </cfRule>
  </conditionalFormatting>
  <conditionalFormatting sqref="C130:E133">
    <cfRule type="expression" dxfId="145" priority="27">
      <formula>OR($C$119=0,OR($D$127="",$D$127="No"))</formula>
    </cfRule>
  </conditionalFormatting>
  <conditionalFormatting sqref="D37 D46">
    <cfRule type="expression" dxfId="144" priority="37">
      <formula>ROUND(#REF!,2)&lt;&gt;0</formula>
    </cfRule>
  </conditionalFormatting>
  <conditionalFormatting sqref="D70">
    <cfRule type="expression" dxfId="143" priority="7">
      <formula>$I$76="Not Found"</formula>
    </cfRule>
  </conditionalFormatting>
  <conditionalFormatting sqref="D115">
    <cfRule type="cellIs" dxfId="142" priority="28" operator="notEqual">
      <formula>0</formula>
    </cfRule>
  </conditionalFormatting>
  <conditionalFormatting sqref="D165">
    <cfRule type="containsText" dxfId="141" priority="14" operator="containsText" text="NO">
      <formula>NOT(ISERROR(SEARCH("NO",D165)))</formula>
    </cfRule>
    <cfRule type="containsText" dxfId="140" priority="15" operator="containsText" text="YES">
      <formula>NOT(ISERROR(SEARCH("YES",D165)))</formula>
    </cfRule>
  </conditionalFormatting>
  <conditionalFormatting sqref="D167">
    <cfRule type="containsText" dxfId="139" priority="18" operator="containsText" text="NO">
      <formula>NOT(ISERROR(SEARCH("NO",D167)))</formula>
    </cfRule>
    <cfRule type="containsText" dxfId="138" priority="19" operator="containsText" text="YES">
      <formula>NOT(ISERROR(SEARCH("YES",D167)))</formula>
    </cfRule>
  </conditionalFormatting>
  <conditionalFormatting sqref="D61:E63">
    <cfRule type="expression" dxfId="137" priority="290">
      <formula>NOT($Q$62)</formula>
    </cfRule>
  </conditionalFormatting>
  <conditionalFormatting sqref="D157:E158">
    <cfRule type="cellIs" dxfId="136" priority="8" operator="equal">
      <formula>-16</formula>
    </cfRule>
    <cfRule type="cellIs" dxfId="135" priority="9" operator="equal">
      <formula>16</formula>
    </cfRule>
  </conditionalFormatting>
  <conditionalFormatting sqref="D138:G153 E155">
    <cfRule type="expression" dxfId="134" priority="25">
      <formula>NOT(ISBLANK($C138))</formula>
    </cfRule>
  </conditionalFormatting>
  <conditionalFormatting sqref="D158:G158">
    <cfRule type="cellIs" dxfId="133" priority="10" operator="between">
      <formula>-0.000001</formula>
      <formula>0.000001</formula>
    </cfRule>
    <cfRule type="expression" dxfId="132" priority="21">
      <formula>D158&lt;&gt;0</formula>
    </cfRule>
  </conditionalFormatting>
  <conditionalFormatting sqref="E37 E46">
    <cfRule type="expression" dxfId="131" priority="38">
      <formula>ROUND(#REF!,2)&lt;&gt;0</formula>
    </cfRule>
  </conditionalFormatting>
  <conditionalFormatting sqref="G36:I39">
    <cfRule type="expression" dxfId="130" priority="31">
      <formula>COUNTA($C$38:$C$45)=0</formula>
    </cfRule>
  </conditionalFormatting>
  <conditionalFormatting sqref="G42:I45">
    <cfRule type="expression" dxfId="129" priority="30">
      <formula>COUNTA($D$38:$D$45)=0</formula>
    </cfRule>
  </conditionalFormatting>
  <conditionalFormatting sqref="I137">
    <cfRule type="expression" dxfId="128" priority="22">
      <formula>ROUND($I$138,2)&lt;&gt;0</formula>
    </cfRule>
  </conditionalFormatting>
  <conditionalFormatting sqref="I138">
    <cfRule type="expression" dxfId="127" priority="23">
      <formula>ROUND($I$138,2)&lt;&gt;0</formula>
    </cfRule>
  </conditionalFormatting>
  <dataValidations count="16">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106:C112" xr:uid="{C17ED1B9-A2D0-4029-8417-E3923DFF88A6}">
      <formula1>INDIRECT($F$103)</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_xlfn.ANCHORARRAY(ProblemData!$E$853)</xm:f>
          </x14:formula1>
          <xm:sqref>D4</xm:sqref>
        </x14:dataValidation>
        <x14:dataValidation type="list" allowBlank="1" showInputMessage="1" showErrorMessage="1" xr:uid="{7FDD3ED6-4124-4C90-80AD-289531D8AF92}">
          <x14:formula1>
            <xm:f>_xlfn.ANCHORARRAY(MasterData!H417)</xm:f>
          </x14:formula1>
          <xm:sqref>G60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T142"/>
  <sheetViews>
    <sheetView workbookViewId="0">
      <selection activeCell="V29" sqref="V29"/>
    </sheetView>
  </sheetViews>
  <sheetFormatPr defaultRowHeight="14.45" outlineLevelCol="1"/>
  <cols>
    <col min="1" max="1" width="12.140625" customWidth="1"/>
    <col min="2" max="2" width="16.5703125" hidden="1" customWidth="1" outlineLevel="1"/>
    <col min="3" max="3" width="22.85546875" hidden="1" customWidth="1" outlineLevel="1"/>
    <col min="4" max="4" width="22.42578125" hidden="1" customWidth="1" outlineLevel="1"/>
    <col min="5" max="5" width="16.5703125" hidden="1" customWidth="1" outlineLevel="1"/>
    <col min="6" max="6" width="9.140625" customWidth="1" collapsed="1"/>
    <col min="7" max="7" width="14.140625" customWidth="1"/>
    <col min="8" max="8" width="5.7109375" style="224"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28515625" hidden="1" customWidth="1" outlineLevel="1"/>
    <col min="17" max="17" width="8.85546875" hidden="1" customWidth="1" outlineLevel="1"/>
    <col min="18" max="18" width="11.7109375" style="1" hidden="1" customWidth="1" outlineLevel="1"/>
    <col min="19" max="19" width="9.140625" collapsed="1"/>
  </cols>
  <sheetData>
    <row r="1" spans="2:20">
      <c r="N1" s="224"/>
      <c r="O1" s="224"/>
    </row>
    <row r="2" spans="2:20">
      <c r="B2" s="292"/>
      <c r="C2" s="292"/>
      <c r="D2" s="292"/>
      <c r="E2" s="292"/>
      <c r="F2" s="292"/>
      <c r="N2" s="224"/>
      <c r="O2" s="224"/>
    </row>
    <row r="3" spans="2:20">
      <c r="C3" s="293" t="s">
        <v>1235</v>
      </c>
      <c r="D3" s="293"/>
      <c r="I3" s="294">
        <v>1</v>
      </c>
      <c r="J3" s="5" t="s">
        <v>1236</v>
      </c>
      <c r="N3" s="224"/>
      <c r="O3" s="224"/>
      <c r="P3" s="38" t="s">
        <v>1237</v>
      </c>
    </row>
    <row r="4" spans="2:20" ht="15" thickBot="1">
      <c r="C4" t="s">
        <v>1238</v>
      </c>
      <c r="D4" s="295" t="s">
        <v>77</v>
      </c>
      <c r="I4" s="5" t="s">
        <v>1239</v>
      </c>
      <c r="N4" s="224"/>
      <c r="O4" s="224"/>
      <c r="P4" s="42" t="str">
        <f>IF(Q132&lt;0.00001,"Closing Entry Balances","Closing Entry Doesn't Balance")</f>
        <v>Closing Entry Balances</v>
      </c>
    </row>
    <row r="5" spans="2:20">
      <c r="C5" t="s">
        <v>1240</v>
      </c>
      <c r="D5" s="295" t="s">
        <v>130</v>
      </c>
      <c r="I5" s="296" t="s">
        <v>1219</v>
      </c>
      <c r="J5" s="297" t="s">
        <v>1220</v>
      </c>
      <c r="K5" s="297" t="s">
        <v>1221</v>
      </c>
      <c r="L5" s="297" t="s">
        <v>1222</v>
      </c>
      <c r="M5" s="298" t="s">
        <v>1223</v>
      </c>
      <c r="N5" s="299"/>
      <c r="O5" s="224"/>
      <c r="P5" t="str" cm="1">
        <f t="array" ref="P5:P8">_xlfn.VSTACK("REVENUES:",_xlfn._xlws.FILTER(MD_Revenue[Account Name],MD_Revenue[Used]=1),"EXPENSES:",_xlfn._xlws.FILTER(MD_Expense[Account Name],MD_Expense[Used]=1))</f>
        <v>REVENUES:</v>
      </c>
      <c r="Q5" s="349" t="s">
        <v>774</v>
      </c>
      <c r="R5" s="43" t="s">
        <v>1241</v>
      </c>
    </row>
    <row r="6" spans="2:20">
      <c r="H6" s="318" t="str" cm="1">
        <f t="array" aca="1" ref="H6" ca="1">_xlfn.IFS(I6="","",AND(I6&lt;&gt;"",N101),"OK",AND(I6&lt;&gt;"",NOT(N101)),"?")</f>
        <v>?</v>
      </c>
      <c r="I6" s="107" t="str" cm="1">
        <f t="array" aca="1" ref="I6" ca="1">IFERROR(_xlfn._xlws.FILTER(Journal[Accnt Type]:Journal[Cr Amt],Journal[Transaction '#]=$I$3,"No Entry Found"),"")</f>
        <v>No Entry Found</v>
      </c>
      <c r="L6" s="37"/>
      <c r="M6" s="205"/>
      <c r="N6" s="224"/>
      <c r="O6" s="224"/>
      <c r="P6" t="str">
        <v>Sales</v>
      </c>
      <c r="Q6" s="37">
        <f t="shared" ref="Q6:Q50" si="0">_xlfn.XLOOKUP(P6,P101:P130,Q101:Q130,0)</f>
        <v>0</v>
      </c>
      <c r="R6" s="283" t="str" cm="1">
        <f t="array" ref="R6">IF(P6&lt;&gt;"",_xlfn.XLOOKUP(P6,P101:P130,R101:R130&amp;"s",""),"")</f>
        <v>Credits</v>
      </c>
    </row>
    <row r="7" spans="2:20" ht="14.25" customHeight="1" thickBot="1">
      <c r="B7" s="301" t="s">
        <v>1242</v>
      </c>
      <c r="C7" s="302" t="str">
        <f>D5</f>
        <v>Inventories</v>
      </c>
      <c r="D7" s="302"/>
      <c r="E7" s="301" t="s">
        <v>1242</v>
      </c>
      <c r="H7" s="318" t="str" cm="1">
        <f t="array" aca="1" ref="H7" ca="1">_xlfn.IFS(I7="","",AND(I7&lt;&gt;"",N102),"OK",AND(I7&lt;&gt;"",NOT(N102)),"?")</f>
        <v/>
      </c>
      <c r="I7" s="107"/>
      <c r="L7" s="37"/>
      <c r="M7" s="300"/>
      <c r="N7" s="224"/>
      <c r="O7" s="224"/>
      <c r="P7" t="str">
        <v>EXPENSES:</v>
      </c>
      <c r="Q7" s="37">
        <f t="shared" si="0"/>
        <v>0</v>
      </c>
      <c r="R7" s="283" t="str" cm="1">
        <f t="array" ref="R7">IF(P7&lt;&gt;"",_xlfn.XLOOKUP(P7,P102:P131,R102:R131&amp;"s",""),"")</f>
        <v/>
      </c>
    </row>
    <row r="8" spans="2:20" ht="15" thickTop="1">
      <c r="B8" s="304" t="str">
        <f>BegDate</f>
        <v>12/31/20x0</v>
      </c>
      <c r="C8" s="305">
        <f ca="1">IF(C108="Debit",ABS(D108),0)</f>
        <v>0</v>
      </c>
      <c r="D8" s="306">
        <f ca="1">IF(C108="Credit",ABS(D108),0)</f>
        <v>0</v>
      </c>
      <c r="E8" s="304" t="str">
        <f>BegDate</f>
        <v>12/31/20x0</v>
      </c>
      <c r="H8" s="318" t="str" cm="1">
        <f t="array" aca="1" ref="H8" ca="1">_xlfn.IFS(I8="","",AND(I8&lt;&gt;"",N103),"OK",AND(I8&lt;&gt;"",NOT(N103)),"?")</f>
        <v/>
      </c>
      <c r="I8" s="107"/>
      <c r="L8" s="308"/>
      <c r="M8" s="309"/>
      <c r="N8" s="224"/>
      <c r="O8" s="224"/>
      <c r="P8" t="str">
        <v>Cost of Goods Sold</v>
      </c>
      <c r="Q8" s="37">
        <f t="shared" si="0"/>
        <v>0</v>
      </c>
      <c r="R8" s="283" t="str" cm="1">
        <f t="array" ref="R8">IF(P8&lt;&gt;"",_xlfn.XLOOKUP(P8,P103:P132,R103:R132&amp;"s",""),"")</f>
        <v>Debits</v>
      </c>
    </row>
    <row r="9" spans="2:20">
      <c r="B9" s="304" t="str" cm="1">
        <f t="array" ref="B9">_xlfn._xlws.FILTER(Journal[Transaction '#],Journal[Debit Account]=D5,"")</f>
        <v/>
      </c>
      <c r="C9" s="307" cm="1">
        <f t="array" ref="C9">_xlfn._xlws.FILTER(Journal[Dr Amt],Journal[Debit Account]=D5,0)</f>
        <v>0</v>
      </c>
      <c r="D9" s="37" cm="1">
        <f t="array" ref="D9">_xlfn._xlws.FILTER(Journal[Cr Amt],Journal[Credit Account]=D5,0)</f>
        <v>0</v>
      </c>
      <c r="E9" s="304" t="str" cm="1">
        <f t="array" ref="E9">_xlfn._xlws.FILTER(Journal[Transaction '#],Journal[Credit Account]=D5,"")</f>
        <v/>
      </c>
      <c r="H9" s="318" t="str" cm="1">
        <f t="array" aca="1" ref="H9" ca="1">_xlfn.IFS(I9="","",AND(I9&lt;&gt;"",N104),"OK",AND(I9&lt;&gt;"",NOT(N104)),"?")</f>
        <v/>
      </c>
      <c r="I9" s="107"/>
      <c r="L9" s="303"/>
      <c r="M9" s="300"/>
      <c r="N9" s="224"/>
      <c r="O9" s="224"/>
      <c r="Q9" s="37">
        <f t="shared" si="0"/>
        <v>0</v>
      </c>
      <c r="R9" s="283" t="str" cm="1">
        <f t="array" ref="R9">IF(P9&lt;&gt;"",_xlfn.XLOOKUP(P9,P104:P133,R104:R133&amp;"s",""),"")</f>
        <v/>
      </c>
    </row>
    <row r="10" spans="2:20">
      <c r="B10" s="304"/>
      <c r="C10" s="307"/>
      <c r="D10" s="37"/>
      <c r="E10" s="304"/>
      <c r="H10" s="318" t="str" cm="1">
        <f t="array" aca="1" ref="H10" ca="1">_xlfn.IFS(I10="","",AND(I10&lt;&gt;"",N105),"OK",AND(I10&lt;&gt;"",NOT(N105)),"?")</f>
        <v/>
      </c>
      <c r="I10" s="107"/>
      <c r="L10" s="303"/>
      <c r="M10" s="205"/>
      <c r="N10" s="224"/>
      <c r="O10" s="224"/>
      <c r="Q10" s="37">
        <f t="shared" si="0"/>
        <v>0</v>
      </c>
      <c r="R10" s="283" t="str" cm="1">
        <f t="array" ref="R10">IF(P10&lt;&gt;"",_xlfn.XLOOKUP(P10,P105:P134,R105:R134&amp;"s",""),"")</f>
        <v/>
      </c>
      <c r="T10" t="s">
        <v>929</v>
      </c>
    </row>
    <row r="11" spans="2:20">
      <c r="B11" s="304"/>
      <c r="C11" s="307"/>
      <c r="D11" s="37"/>
      <c r="E11" s="304"/>
      <c r="H11" s="318" t="str" cm="1">
        <f t="array" aca="1" ref="H11" ca="1">_xlfn.IFS(I11="","",AND(I11&lt;&gt;"",N106),"OK",AND(I11&lt;&gt;"",NOT(N106)),"?")</f>
        <v/>
      </c>
      <c r="I11" s="107"/>
      <c r="L11" s="37"/>
      <c r="M11" s="205"/>
      <c r="N11" s="224"/>
      <c r="O11" s="224"/>
      <c r="Q11" s="37">
        <f t="shared" si="0"/>
        <v>0</v>
      </c>
      <c r="R11" s="283" t="str" cm="1">
        <f t="array" ref="R11">IF(P11&lt;&gt;"",_xlfn.XLOOKUP(P11,P106:P135,R106:R135&amp;"s",""),"")</f>
        <v/>
      </c>
    </row>
    <row r="12" spans="2:20">
      <c r="B12" s="304"/>
      <c r="C12" s="307"/>
      <c r="D12" s="37"/>
      <c r="E12" s="304"/>
      <c r="H12" s="318" t="str" cm="1">
        <f t="array" aca="1" ref="H12" ca="1">_xlfn.IFS(I12="","",AND(I12&lt;&gt;"",N107),"OK",AND(I12&lt;&gt;"",NOT(N107)),"?")</f>
        <v/>
      </c>
      <c r="I12" s="107"/>
      <c r="L12" s="303"/>
      <c r="M12" s="300"/>
      <c r="N12" s="224"/>
      <c r="O12" s="224"/>
      <c r="Q12" s="37">
        <f t="shared" si="0"/>
        <v>0</v>
      </c>
      <c r="R12" s="283" t="str" cm="1">
        <f t="array" ref="R12">IF(P12&lt;&gt;"",_xlfn.XLOOKUP(P12,P107:P136,R107:R136&amp;"s",""),"")</f>
        <v/>
      </c>
    </row>
    <row r="13" spans="2:20">
      <c r="B13" s="304"/>
      <c r="C13" s="307"/>
      <c r="D13" s="37"/>
      <c r="E13" s="304"/>
      <c r="H13" s="318" t="str" cm="1">
        <f t="array" aca="1" ref="H13" ca="1">_xlfn.IFS(I13="","",AND(I13&lt;&gt;"",N108),"OK",AND(I13&lt;&gt;"",NOT(N108)),"?")</f>
        <v/>
      </c>
      <c r="I13" s="107"/>
      <c r="L13" s="37"/>
      <c r="M13" s="300"/>
      <c r="N13" s="224"/>
      <c r="O13" s="224"/>
      <c r="Q13" s="37">
        <f t="shared" si="0"/>
        <v>0</v>
      </c>
      <c r="R13" s="283" t="str" cm="1">
        <f t="array" ref="R13">IF(P13&lt;&gt;"",_xlfn.XLOOKUP(P13,P108:P137,R108:R137&amp;"s",""),"")</f>
        <v/>
      </c>
    </row>
    <row r="14" spans="2:20">
      <c r="B14" s="304"/>
      <c r="C14" s="307"/>
      <c r="D14" s="37"/>
      <c r="E14" s="304"/>
      <c r="H14" s="318" t="str" cm="1">
        <f t="array" aca="1" ref="H14" ca="1">_xlfn.IFS(I14="","",AND(I14&lt;&gt;"",N109),"OK",AND(I14&lt;&gt;"",NOT(N109)),"?")</f>
        <v/>
      </c>
      <c r="I14" s="107"/>
      <c r="L14" s="303"/>
      <c r="M14" s="205"/>
      <c r="N14" s="224"/>
      <c r="O14" s="224"/>
      <c r="Q14" s="37">
        <f t="shared" si="0"/>
        <v>0</v>
      </c>
      <c r="R14" s="283" t="str" cm="1">
        <f t="array" ref="R14">IF(P14&lt;&gt;"",_xlfn.XLOOKUP(P14,P109:P138,R109:R138&amp;"s",""),"")</f>
        <v/>
      </c>
    </row>
    <row r="15" spans="2:20">
      <c r="B15" s="304"/>
      <c r="C15" s="307"/>
      <c r="D15" s="37"/>
      <c r="E15" s="304"/>
      <c r="H15" s="318" t="str" cm="1">
        <f t="array" aca="1" ref="H15" ca="1">_xlfn.IFS(I15="","",AND(I15&lt;&gt;"",N110),"OK",AND(I15&lt;&gt;"",NOT(N110)),"?")</f>
        <v/>
      </c>
      <c r="I15" s="107"/>
      <c r="L15" s="303"/>
      <c r="M15" s="300"/>
      <c r="N15" s="224"/>
      <c r="O15" s="224"/>
      <c r="Q15" s="37">
        <f t="shared" si="0"/>
        <v>0</v>
      </c>
      <c r="R15" s="283" t="str" cm="1">
        <f t="array" ref="R15">IF(P15&lt;&gt;"",_xlfn.XLOOKUP(P15,P110:P139,R110:R139&amp;"s",""),"")</f>
        <v/>
      </c>
    </row>
    <row r="16" spans="2:20">
      <c r="B16" s="304"/>
      <c r="C16" s="307"/>
      <c r="D16" s="37"/>
      <c r="E16" s="304"/>
      <c r="H16" s="318" t="str" cm="1">
        <f t="array" aca="1" ref="H16" ca="1">_xlfn.IFS(I16="","",AND(I16&lt;&gt;"",N111),"OK",AND(I16&lt;&gt;"",NOT(N111)),"?")</f>
        <v/>
      </c>
      <c r="I16" s="107"/>
      <c r="L16" s="303"/>
      <c r="M16" s="205"/>
      <c r="N16" s="283"/>
      <c r="O16" s="224"/>
      <c r="Q16" s="37">
        <f t="shared" si="0"/>
        <v>0</v>
      </c>
      <c r="R16" s="283" t="str" cm="1">
        <f t="array" ref="R16">IF(P16&lt;&gt;"",_xlfn.XLOOKUP(P16,P111:P140,R111:R140&amp;"s",""),"")</f>
        <v/>
      </c>
    </row>
    <row r="17" spans="2:18">
      <c r="B17" s="304"/>
      <c r="C17" s="307"/>
      <c r="D17" s="37"/>
      <c r="E17" s="304"/>
      <c r="H17" s="318" t="str" cm="1">
        <f t="array" aca="1" ref="H17" ca="1">_xlfn.IFS(I17="","",AND(I17&lt;&gt;"",N112),"OK",AND(I17&lt;&gt;"",NOT(N112)),"?")</f>
        <v/>
      </c>
      <c r="I17" s="107"/>
      <c r="L17" s="303"/>
      <c r="M17" s="300"/>
      <c r="N17" s="224"/>
      <c r="O17" s="224"/>
      <c r="Q17" s="37">
        <f t="shared" si="0"/>
        <v>0</v>
      </c>
      <c r="R17" s="283" t="str" cm="1">
        <f t="array" ref="R17">IF(P17&lt;&gt;"",_xlfn.XLOOKUP(P17,P112:P141,R112:R141&amp;"s",""),"")</f>
        <v/>
      </c>
    </row>
    <row r="18" spans="2:18">
      <c r="B18" s="304"/>
      <c r="C18" s="307"/>
      <c r="D18" s="37"/>
      <c r="E18" s="304"/>
      <c r="H18" s="318" t="str" cm="1">
        <f t="array" aca="1" ref="H18" ca="1">_xlfn.IFS(I18="","",AND(I18&lt;&gt;"",N113),"OK",AND(I18&lt;&gt;"",NOT(N113)),"?")</f>
        <v/>
      </c>
      <c r="I18" s="107"/>
      <c r="L18" s="308"/>
      <c r="M18" s="309"/>
      <c r="N18" s="224"/>
      <c r="O18" s="224"/>
      <c r="Q18" s="37">
        <f t="shared" si="0"/>
        <v>0</v>
      </c>
      <c r="R18" s="283" t="str" cm="1">
        <f t="array" ref="R18">IF(P18&lt;&gt;"",_xlfn.XLOOKUP(P18,P113:P142,R113:R142&amp;"s",""),"")</f>
        <v/>
      </c>
    </row>
    <row r="19" spans="2:18">
      <c r="B19" s="304"/>
      <c r="C19" s="307"/>
      <c r="D19" s="37"/>
      <c r="E19" s="304"/>
      <c r="H19" s="318" t="str" cm="1">
        <f t="array" aca="1" ref="H19" ca="1">_xlfn.IFS(I19="","",AND(I19&lt;&gt;"",N114),"OK",AND(I19&lt;&gt;"",NOT(N114)),"?")</f>
        <v/>
      </c>
      <c r="I19" s="113"/>
      <c r="J19" s="6"/>
      <c r="K19" s="6"/>
      <c r="L19" s="308"/>
      <c r="M19" s="309"/>
      <c r="N19" s="224"/>
      <c r="O19" s="224"/>
      <c r="Q19" s="37">
        <f t="shared" si="0"/>
        <v>0</v>
      </c>
      <c r="R19" s="283" t="str" cm="1">
        <f t="array" ref="R19">IF(P19&lt;&gt;"",_xlfn.XLOOKUP(P19,P114:P143,R114:R143&amp;"s",""),"")</f>
        <v/>
      </c>
    </row>
    <row r="20" spans="2:18" ht="15" thickBot="1">
      <c r="B20" s="310"/>
      <c r="C20" s="311"/>
      <c r="D20" s="312"/>
      <c r="E20" s="310"/>
      <c r="H20" s="318" t="str" cm="1">
        <f t="array" aca="1" ref="H20" ca="1">_xlfn.IFS(I20="","",AND(I20&lt;&gt;"",N115),"OK",AND(I20&lt;&gt;"",NOT(N115)),"?")</f>
        <v/>
      </c>
      <c r="I20" s="107"/>
      <c r="L20" s="303"/>
      <c r="M20" s="300"/>
      <c r="N20" s="224"/>
      <c r="O20" s="224"/>
      <c r="Q20" s="37">
        <f t="shared" si="0"/>
        <v>0</v>
      </c>
      <c r="R20" s="283" t="str" cm="1">
        <f t="array" ref="R20">IF(P20&lt;&gt;"",_xlfn.XLOOKUP(P20,P115:P144,R115:R144&amp;"s",""),"")</f>
        <v/>
      </c>
    </row>
    <row r="21" spans="2:18" ht="15.6" thickTop="1" thickBot="1">
      <c r="B21" s="304" t="str">
        <f>EndDate</f>
        <v>12/31/20x1</v>
      </c>
      <c r="C21" s="313">
        <f ca="1">MAX(SUM(C8:C20)-SUM(D8:D20),0)</f>
        <v>0</v>
      </c>
      <c r="D21" s="314">
        <f ca="1">MAX(SUM(D8:D20)-SUM(C8:C20),0)</f>
        <v>0</v>
      </c>
      <c r="E21" s="304" t="str">
        <f>EndDate</f>
        <v>12/31/20x1</v>
      </c>
      <c r="H21" s="318" t="str" cm="1">
        <f t="array" aca="1" ref="H21" ca="1">_xlfn.IFS(I21="","",AND(I21&lt;&gt;"",N116),"OK",AND(I21&lt;&gt;"",NOT(N116)),"?")</f>
        <v/>
      </c>
      <c r="I21" s="107"/>
      <c r="L21" s="37"/>
      <c r="M21" s="205"/>
      <c r="N21" s="224"/>
      <c r="O21" s="224"/>
      <c r="Q21" s="37">
        <f t="shared" si="0"/>
        <v>0</v>
      </c>
      <c r="R21" s="283" t="str" cm="1">
        <f t="array" ref="R21">IF(P21&lt;&gt;"",_xlfn.XLOOKUP(P21,P116:P145,R116:R145&amp;"s",""),"")</f>
        <v/>
      </c>
    </row>
    <row r="22" spans="2:18" ht="15" thickTop="1">
      <c r="H22" s="318" t="str" cm="1">
        <f t="array" aca="1" ref="H22" ca="1">_xlfn.IFS(I22="","",AND(I22&lt;&gt;"",N117),"OK",AND(I22&lt;&gt;"",NOT(N117)),"?")</f>
        <v/>
      </c>
      <c r="I22" s="107"/>
      <c r="L22" s="37"/>
      <c r="M22" s="205"/>
      <c r="N22" s="224"/>
      <c r="O22" s="224"/>
      <c r="Q22" s="37">
        <f t="shared" si="0"/>
        <v>0</v>
      </c>
      <c r="R22" s="283" t="str" cm="1">
        <f t="array" ref="R22">IF(P22&lt;&gt;"",_xlfn.XLOOKUP(P22,P117:P146,R117:R146&amp;"s",""),"")</f>
        <v/>
      </c>
    </row>
    <row r="23" spans="2:18">
      <c r="H23" s="318" t="str" cm="1">
        <f t="array" aca="1" ref="H23" ca="1">_xlfn.IFS(I23="","",AND(I23&lt;&gt;"",N118),"OK",AND(I23&lt;&gt;"",NOT(N118)),"?")</f>
        <v/>
      </c>
      <c r="I23" s="107"/>
      <c r="L23" s="37"/>
      <c r="M23" s="205"/>
      <c r="N23" s="224"/>
      <c r="O23" s="224"/>
      <c r="Q23" s="37">
        <f t="shared" si="0"/>
        <v>0</v>
      </c>
      <c r="R23" s="283" t="str" cm="1">
        <f t="array" ref="R23">IF(P23&lt;&gt;"",_xlfn.XLOOKUP(P23,P118:P147,R118:R147&amp;"s",""),"")</f>
        <v/>
      </c>
    </row>
    <row r="24" spans="2:18">
      <c r="C24" s="293" t="s">
        <v>1243</v>
      </c>
      <c r="D24" s="293"/>
      <c r="H24" s="318" t="str" cm="1">
        <f t="array" aca="1" ref="H24" ca="1">_xlfn.IFS(I24="","",AND(I24&lt;&gt;"",N119),"OK",AND(I24&lt;&gt;"",NOT(N119)),"?")</f>
        <v/>
      </c>
      <c r="I24" s="107"/>
      <c r="L24" s="37"/>
      <c r="M24" s="205"/>
      <c r="N24" s="224"/>
      <c r="O24" s="224"/>
      <c r="Q24" s="37">
        <f t="shared" si="0"/>
        <v>0</v>
      </c>
      <c r="R24" s="283" t="str" cm="1">
        <f t="array" ref="R24">IF(P24&lt;&gt;"",_xlfn.XLOOKUP(P24,P119:P148,R119:R148&amp;"s",""),"")</f>
        <v/>
      </c>
    </row>
    <row r="25" spans="2:18" ht="15" thickBot="1">
      <c r="C25" t="s">
        <v>1238</v>
      </c>
      <c r="D25" s="295" t="s">
        <v>80</v>
      </c>
      <c r="H25" s="318" t="str" cm="1">
        <f t="array" aca="1" ref="H25" ca="1">_xlfn.IFS(I25="","",AND(I25&lt;&gt;"",N120),"OK",AND(I25&lt;&gt;"",NOT(N120)),"?")</f>
        <v/>
      </c>
      <c r="I25" s="109"/>
      <c r="J25" s="315"/>
      <c r="K25" s="315"/>
      <c r="L25" s="316"/>
      <c r="M25" s="317"/>
      <c r="N25" s="224"/>
      <c r="O25" s="224"/>
      <c r="Q25" s="37">
        <f t="shared" si="0"/>
        <v>0</v>
      </c>
      <c r="R25" s="283" t="str" cm="1">
        <f t="array" ref="R25">IF(P25&lt;&gt;"",_xlfn.XLOOKUP(P25,P120:P149,R120:R149&amp;"s",""),"")</f>
        <v/>
      </c>
    </row>
    <row r="26" spans="2:18">
      <c r="C26" t="s">
        <v>1240</v>
      </c>
      <c r="D26" s="295" t="s">
        <v>262</v>
      </c>
      <c r="N26" s="224"/>
      <c r="O26" s="224"/>
      <c r="Q26" s="37">
        <f t="shared" si="0"/>
        <v>0</v>
      </c>
      <c r="R26" s="283" t="str" cm="1">
        <f t="array" ref="R26">IF(P26&lt;&gt;"",_xlfn.XLOOKUP(P26,P121:P150,R121:R150&amp;"s",""),"")</f>
        <v/>
      </c>
    </row>
    <row r="27" spans="2:18">
      <c r="N27" s="224"/>
      <c r="O27" s="224"/>
      <c r="Q27" s="37">
        <f t="shared" si="0"/>
        <v>0</v>
      </c>
      <c r="R27" s="283" t="str" cm="1">
        <f t="array" ref="R27">IF(P27&lt;&gt;"",_xlfn.XLOOKUP(P27,P122:P151,R122:R151&amp;"s",""),"")</f>
        <v/>
      </c>
    </row>
    <row r="28" spans="2:18" ht="15" thickBot="1">
      <c r="B28" s="301" t="s">
        <v>1242</v>
      </c>
      <c r="C28" s="302" t="str">
        <f>D26</f>
        <v>Sales</v>
      </c>
      <c r="D28" s="302"/>
      <c r="E28" s="301" t="s">
        <v>1242</v>
      </c>
      <c r="N28" s="224"/>
      <c r="O28" s="318"/>
      <c r="Q28" s="37">
        <f t="shared" si="0"/>
        <v>0</v>
      </c>
      <c r="R28" s="283" t="str" cm="1">
        <f t="array" ref="R28">IF(P28&lt;&gt;"",_xlfn.XLOOKUP(P28,P123:P152,R123:R152&amp;"s",""),"")</f>
        <v/>
      </c>
    </row>
    <row r="29" spans="2:18" ht="15" thickTop="1">
      <c r="B29" s="304" t="str" cm="1">
        <f t="array" ref="B29">_xlfn._xlws.FILTER(Journal[Transaction '#],Journal[Debit Account]=D26,"")</f>
        <v/>
      </c>
      <c r="C29" s="307" cm="1">
        <f t="array" ref="C29">_xlfn._xlws.FILTER(Journal[Dr Amt],Journal[Debit Account]=D26,0)</f>
        <v>0</v>
      </c>
      <c r="D29" s="37" cm="1">
        <f t="array" ref="D29">_xlfn._xlws.FILTER(Journal[Cr Amt],Journal[Credit Account]=D26,0)</f>
        <v>0</v>
      </c>
      <c r="E29" s="304" t="str" cm="1">
        <f t="array" ref="E29">_xlfn._xlws.FILTER(Journal[Transaction '#],Journal[Credit Account]=D26,"")</f>
        <v/>
      </c>
      <c r="N29" s="224"/>
      <c r="O29" s="224"/>
      <c r="Q29" s="37">
        <f t="shared" si="0"/>
        <v>0</v>
      </c>
      <c r="R29" s="283" t="str" cm="1">
        <f t="array" ref="R29">IF(P29&lt;&gt;"",_xlfn.XLOOKUP(P29,P124:P153,R124:R153&amp;"s",""),"")</f>
        <v/>
      </c>
    </row>
    <row r="30" spans="2:18">
      <c r="B30" s="304"/>
      <c r="C30" s="307"/>
      <c r="D30" s="37"/>
      <c r="E30" s="304"/>
      <c r="N30" s="224"/>
      <c r="O30" s="224"/>
      <c r="Q30" s="37">
        <f t="shared" si="0"/>
        <v>0</v>
      </c>
      <c r="R30" s="283" t="str" cm="1">
        <f t="array" ref="R30">IF(P30&lt;&gt;"",_xlfn.XLOOKUP(P30,P125:P154,R125:R154&amp;"s",""),"")</f>
        <v/>
      </c>
    </row>
    <row r="31" spans="2:18">
      <c r="B31" s="304"/>
      <c r="C31" s="307"/>
      <c r="D31" s="37"/>
      <c r="E31" s="304"/>
      <c r="N31" s="224"/>
      <c r="O31" s="224"/>
      <c r="Q31" s="37">
        <f t="shared" si="0"/>
        <v>0</v>
      </c>
      <c r="R31" s="283" t="str" cm="1">
        <f t="array" ref="R31">IF(P31&lt;&gt;"",_xlfn.XLOOKUP(P31,P126:P155,R126:R155&amp;"s",""),"")</f>
        <v/>
      </c>
    </row>
    <row r="32" spans="2:18">
      <c r="B32" s="304"/>
      <c r="C32" s="307"/>
      <c r="D32" s="37"/>
      <c r="E32" s="304"/>
      <c r="N32" s="224"/>
      <c r="O32" s="224"/>
      <c r="Q32" s="37">
        <f t="shared" si="0"/>
        <v>0</v>
      </c>
      <c r="R32" s="283" t="str" cm="1">
        <f t="array" ref="R32">IF(P32&lt;&gt;"",_xlfn.XLOOKUP(P32,P127:P156,R127:R156&amp;"s",""),"")</f>
        <v/>
      </c>
    </row>
    <row r="33" spans="2:18">
      <c r="B33" s="304"/>
      <c r="C33" s="307"/>
      <c r="D33" s="37"/>
      <c r="E33" s="304"/>
      <c r="N33" s="224"/>
      <c r="O33" s="224"/>
      <c r="Q33" s="37">
        <f t="shared" si="0"/>
        <v>0</v>
      </c>
      <c r="R33" s="283" t="str" cm="1">
        <f t="array" ref="R33">IF(P33&lt;&gt;"",_xlfn.XLOOKUP(P33,P128:P157,R128:R157&amp;"s",""),"")</f>
        <v/>
      </c>
    </row>
    <row r="34" spans="2:18">
      <c r="B34" s="304"/>
      <c r="C34" s="307"/>
      <c r="D34" s="37"/>
      <c r="E34" s="304"/>
      <c r="N34" s="224"/>
      <c r="O34" s="224"/>
      <c r="Q34" s="37">
        <f t="shared" si="0"/>
        <v>0</v>
      </c>
      <c r="R34" s="283" t="str" cm="1">
        <f t="array" ref="R34">IF(P34&lt;&gt;"",_xlfn.XLOOKUP(P34,P129:P158,R129:R158&amp;"s",""),"")</f>
        <v/>
      </c>
    </row>
    <row r="35" spans="2:18">
      <c r="B35" s="304"/>
      <c r="C35" s="307"/>
      <c r="D35" s="37"/>
      <c r="E35" s="304"/>
      <c r="N35" s="224"/>
      <c r="O35" s="224"/>
      <c r="Q35" s="37">
        <f t="shared" si="0"/>
        <v>0</v>
      </c>
      <c r="R35" s="283" t="str" cm="1">
        <f t="array" ref="R35">IF(P35&lt;&gt;"",_xlfn.XLOOKUP(P35,P130:P159,R130:R159&amp;"s",""),"")</f>
        <v/>
      </c>
    </row>
    <row r="36" spans="2:18">
      <c r="B36" s="304"/>
      <c r="C36" s="307"/>
      <c r="D36" s="37"/>
      <c r="E36" s="304"/>
      <c r="N36" s="224"/>
      <c r="O36" s="224"/>
      <c r="Q36" s="37">
        <f t="shared" si="0"/>
        <v>0</v>
      </c>
      <c r="R36" s="283" t="str" cm="1">
        <f t="array" ref="R36">IF(P36&lt;&gt;"",_xlfn.XLOOKUP(P36,P131:P160,R131:R160&amp;"s",""),"")</f>
        <v/>
      </c>
    </row>
    <row r="37" spans="2:18" ht="15" thickBot="1">
      <c r="B37" s="310"/>
      <c r="C37" s="311"/>
      <c r="D37" s="312"/>
      <c r="E37" s="310"/>
      <c r="N37" s="224"/>
      <c r="O37" s="224"/>
      <c r="Q37" s="37">
        <f t="shared" si="0"/>
        <v>0</v>
      </c>
      <c r="R37" s="283" t="str" cm="1">
        <f t="array" ref="R37">IF(P37&lt;&gt;"",_xlfn.XLOOKUP(P37,P132:P161,R132:R161&amp;"s",""),"")</f>
        <v/>
      </c>
    </row>
    <row r="38" spans="2:18" ht="15.6" thickTop="1" thickBot="1">
      <c r="B38" s="304" t="str">
        <f>EndDate</f>
        <v>12/31/20x1</v>
      </c>
      <c r="C38" s="319">
        <f>MAX(SUM(C29:C37)-SUM(D29:D37),0)</f>
        <v>0</v>
      </c>
      <c r="D38" s="320">
        <f>MAX(SUM(D29:D37)-SUM(C29:C37),0)</f>
        <v>0</v>
      </c>
      <c r="E38" s="304" t="str">
        <f>EndDate</f>
        <v>12/31/20x1</v>
      </c>
      <c r="N38" s="224"/>
      <c r="O38" s="224"/>
      <c r="Q38" s="37">
        <f t="shared" si="0"/>
        <v>0</v>
      </c>
      <c r="R38" s="283" t="str" cm="1">
        <f t="array" ref="R38">IF(P38&lt;&gt;"",_xlfn.XLOOKUP(P38,P133:P162,R133:R162&amp;"s",""),"")</f>
        <v/>
      </c>
    </row>
    <row r="39" spans="2:18" ht="15" thickTop="1">
      <c r="C39" s="5" t="str">
        <f>IF(MAX(C38,D38)&gt;0,"Balance must be brought to zero by "&amp;EndDate,"")</f>
        <v/>
      </c>
      <c r="D39" s="5"/>
      <c r="N39" s="224"/>
      <c r="O39" s="224"/>
      <c r="Q39" s="37">
        <f t="shared" si="0"/>
        <v>0</v>
      </c>
      <c r="R39" s="283" t="str" cm="1">
        <f t="array" ref="R39">IF(P39&lt;&gt;"",_xlfn.XLOOKUP(P39,P134:P163,R134:R163&amp;"s",""),"")</f>
        <v/>
      </c>
    </row>
    <row r="40" spans="2:18">
      <c r="N40" s="224"/>
      <c r="O40" s="224"/>
      <c r="Q40" s="37">
        <f t="shared" si="0"/>
        <v>0</v>
      </c>
      <c r="R40" s="283" t="str" cm="1">
        <f t="array" ref="R40">IF(P40&lt;&gt;"",_xlfn.XLOOKUP(P40,P135:P164,R135:R164&amp;"s",""),"")</f>
        <v/>
      </c>
    </row>
    <row r="41" spans="2:18">
      <c r="N41" s="224"/>
      <c r="O41" s="224"/>
      <c r="Q41" s="37">
        <f t="shared" si="0"/>
        <v>0</v>
      </c>
      <c r="R41" s="283" t="str" cm="1">
        <f t="array" ref="R41">IF(P41&lt;&gt;"",_xlfn.XLOOKUP(P41,P136:P165,R136:R165&amp;"s",""),"")</f>
        <v/>
      </c>
    </row>
    <row r="42" spans="2:18">
      <c r="N42" s="224"/>
      <c r="O42" s="224"/>
      <c r="Q42" s="37">
        <f t="shared" si="0"/>
        <v>0</v>
      </c>
      <c r="R42" s="283" t="str" cm="1">
        <f t="array" ref="R42">IF(P42&lt;&gt;"",_xlfn.XLOOKUP(P42,P137:P166,R137:R166&amp;"s",""),"")</f>
        <v/>
      </c>
    </row>
    <row r="43" spans="2:18">
      <c r="N43" s="224"/>
      <c r="O43" s="224"/>
      <c r="Q43" s="37">
        <f t="shared" si="0"/>
        <v>0</v>
      </c>
      <c r="R43" s="283" t="str" cm="1">
        <f t="array" ref="R43">IF(P43&lt;&gt;"",_xlfn.XLOOKUP(P43,P138:P167,R138:R167&amp;"s",""),"")</f>
        <v/>
      </c>
    </row>
    <row r="44" spans="2:18">
      <c r="N44" s="224"/>
      <c r="O44" s="224"/>
      <c r="Q44" s="37">
        <f t="shared" si="0"/>
        <v>0</v>
      </c>
      <c r="R44" s="283" t="str" cm="1">
        <f t="array" ref="R44">IF(P44&lt;&gt;"",_xlfn.XLOOKUP(P44,P139:P168,R139:R168&amp;"s",""),"")</f>
        <v/>
      </c>
    </row>
    <row r="45" spans="2:18">
      <c r="N45" s="224"/>
      <c r="O45" s="224"/>
      <c r="Q45" s="37">
        <f t="shared" si="0"/>
        <v>0</v>
      </c>
      <c r="R45" s="283" t="str" cm="1">
        <f t="array" ref="R45">IF(P45&lt;&gt;"",_xlfn.XLOOKUP(P45,P140:P169,R140:R169&amp;"s",""),"")</f>
        <v/>
      </c>
    </row>
    <row r="46" spans="2:18">
      <c r="N46" s="224"/>
      <c r="O46" s="224"/>
      <c r="Q46" s="37">
        <f t="shared" si="0"/>
        <v>0</v>
      </c>
      <c r="R46" s="283" t="str" cm="1">
        <f t="array" ref="R46">IF(P46&lt;&gt;"",_xlfn.XLOOKUP(P46,P141:P170,R141:R170&amp;"s",""),"")</f>
        <v/>
      </c>
    </row>
    <row r="47" spans="2:18">
      <c r="N47" s="224"/>
      <c r="O47" s="224"/>
      <c r="Q47" s="37">
        <f t="shared" si="0"/>
        <v>0</v>
      </c>
      <c r="R47" s="283" t="str" cm="1">
        <f t="array" ref="R47">IF(P47&lt;&gt;"",_xlfn.XLOOKUP(P47,P142:P171,R142:R171&amp;"s",""),"")</f>
        <v/>
      </c>
    </row>
    <row r="48" spans="2:18">
      <c r="N48" s="224"/>
      <c r="O48" s="224"/>
      <c r="Q48" s="37">
        <f t="shared" si="0"/>
        <v>0</v>
      </c>
      <c r="R48" s="283" t="str" cm="1">
        <f t="array" ref="R48">IF(P48&lt;&gt;"",_xlfn.XLOOKUP(P48,P143:P172,R143:R172&amp;"s",""),"")</f>
        <v/>
      </c>
    </row>
    <row r="49" spans="14:18">
      <c r="N49" s="224"/>
      <c r="O49" s="224"/>
      <c r="Q49" s="37">
        <f t="shared" si="0"/>
        <v>0</v>
      </c>
      <c r="R49" s="283" t="str" cm="1">
        <f t="array" ref="R49">IF(P49&lt;&gt;"",_xlfn.XLOOKUP(P49,P144:P173,R144:R173&amp;"s",""),"")</f>
        <v/>
      </c>
    </row>
    <row r="50" spans="14:18">
      <c r="N50" s="224"/>
      <c r="O50" s="224"/>
      <c r="Q50" s="37">
        <f t="shared" si="0"/>
        <v>0</v>
      </c>
      <c r="R50" s="283" t="str" cm="1">
        <f t="array" ref="R50">IF(P50&lt;&gt;"",_xlfn.XLOOKUP(P50,P145:P174,R145:R174&amp;"s",""),"")</f>
        <v/>
      </c>
    </row>
    <row r="51" spans="14:18">
      <c r="N51" s="224"/>
      <c r="O51" s="224"/>
    </row>
    <row r="52" spans="14:18">
      <c r="N52" s="224"/>
      <c r="O52" s="224"/>
    </row>
    <row r="53" spans="14:18">
      <c r="N53" s="224"/>
      <c r="O53" s="224"/>
    </row>
    <row r="54" spans="14:18">
      <c r="N54" s="224"/>
      <c r="O54" s="224"/>
    </row>
    <row r="55" spans="14:18">
      <c r="N55" s="224"/>
      <c r="O55" s="224"/>
    </row>
    <row r="56" spans="14:18">
      <c r="N56" s="224"/>
      <c r="O56" s="224"/>
    </row>
    <row r="57" spans="14:18">
      <c r="N57" s="224"/>
      <c r="O57" s="224"/>
    </row>
    <row r="58" spans="14:18">
      <c r="N58" s="224"/>
      <c r="O58" s="224"/>
    </row>
    <row r="59" spans="14:18">
      <c r="N59" s="224"/>
      <c r="O59" s="224"/>
    </row>
    <row r="60" spans="14:18">
      <c r="N60" s="224"/>
      <c r="O60" s="224"/>
    </row>
    <row r="61" spans="14:18">
      <c r="N61" s="224"/>
      <c r="O61" s="224"/>
    </row>
    <row r="62" spans="14:18">
      <c r="N62" s="224"/>
      <c r="O62" s="224"/>
    </row>
    <row r="63" spans="14:18">
      <c r="N63" s="224"/>
      <c r="O63" s="224"/>
    </row>
    <row r="64" spans="14:18">
      <c r="N64" s="224"/>
      <c r="O64" s="224"/>
    </row>
    <row r="65" spans="14:15">
      <c r="N65" s="224"/>
      <c r="O65" s="224"/>
    </row>
    <row r="66" spans="14:15">
      <c r="N66" s="224"/>
      <c r="O66" s="224"/>
    </row>
    <row r="67" spans="14:15">
      <c r="N67" s="224"/>
      <c r="O67" s="224"/>
    </row>
    <row r="68" spans="14:15">
      <c r="N68" s="224"/>
      <c r="O68" s="224"/>
    </row>
    <row r="69" spans="14:15">
      <c r="N69" s="224"/>
      <c r="O69" s="224"/>
    </row>
    <row r="70" spans="14:15">
      <c r="N70" s="224"/>
      <c r="O70" s="224"/>
    </row>
    <row r="71" spans="14:15">
      <c r="N71" s="224"/>
      <c r="O71" s="224"/>
    </row>
    <row r="72" spans="14:15">
      <c r="N72" s="224"/>
      <c r="O72" s="224"/>
    </row>
    <row r="73" spans="14:15">
      <c r="N73" s="224"/>
      <c r="O73" s="224"/>
    </row>
    <row r="74" spans="14:15">
      <c r="N74" s="224"/>
      <c r="O74" s="224"/>
    </row>
    <row r="75" spans="14:15">
      <c r="N75" s="224"/>
      <c r="O75" s="224"/>
    </row>
    <row r="76" spans="14:15">
      <c r="N76" s="224"/>
      <c r="O76" s="224"/>
    </row>
    <row r="77" spans="14:15">
      <c r="N77" s="224"/>
      <c r="O77" s="224"/>
    </row>
    <row r="78" spans="14:15">
      <c r="N78" s="224"/>
      <c r="O78" s="224"/>
    </row>
    <row r="79" spans="14:15">
      <c r="N79" s="224"/>
      <c r="O79" s="224"/>
    </row>
    <row r="80" spans="14:15">
      <c r="N80" s="224"/>
      <c r="O80" s="224"/>
    </row>
    <row r="81" spans="14:15">
      <c r="N81" s="224"/>
      <c r="O81" s="224"/>
    </row>
    <row r="82" spans="14:15">
      <c r="N82" s="224"/>
      <c r="O82" s="224"/>
    </row>
    <row r="83" spans="14:15">
      <c r="N83" s="224"/>
      <c r="O83" s="224"/>
    </row>
    <row r="84" spans="14:15">
      <c r="N84" s="224"/>
      <c r="O84" s="224"/>
    </row>
    <row r="85" spans="14:15">
      <c r="N85" s="224"/>
      <c r="O85" s="224"/>
    </row>
    <row r="86" spans="14:15">
      <c r="N86" s="224"/>
      <c r="O86" s="224"/>
    </row>
    <row r="87" spans="14:15">
      <c r="N87" s="224"/>
      <c r="O87" s="224"/>
    </row>
    <row r="88" spans="14:15">
      <c r="N88" s="224"/>
      <c r="O88" s="224"/>
    </row>
    <row r="89" spans="14:15">
      <c r="N89" s="224"/>
      <c r="O89" s="224"/>
    </row>
    <row r="90" spans="14:15">
      <c r="N90" s="224"/>
      <c r="O90" s="224"/>
    </row>
    <row r="91" spans="14:15">
      <c r="N91" s="224"/>
      <c r="O91" s="224"/>
    </row>
    <row r="92" spans="14:15">
      <c r="N92" s="224"/>
      <c r="O92" s="224"/>
    </row>
    <row r="93" spans="14:15">
      <c r="N93" s="224"/>
      <c r="O93" s="224"/>
    </row>
    <row r="94" spans="14:15">
      <c r="N94" s="224"/>
      <c r="O94" s="224"/>
    </row>
    <row r="95" spans="14:15">
      <c r="N95" s="224"/>
      <c r="O95" s="224"/>
    </row>
    <row r="96" spans="14:15">
      <c r="N96" s="224"/>
      <c r="O96" s="224"/>
    </row>
    <row r="97" spans="2:18">
      <c r="N97" s="224"/>
      <c r="O97" s="224"/>
    </row>
    <row r="98" spans="2:18">
      <c r="N98" s="224"/>
      <c r="O98" s="224"/>
    </row>
    <row r="99" spans="2:18" ht="15" thickBot="1"/>
    <row r="100" spans="2:18">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96" t="s">
        <v>1219</v>
      </c>
      <c r="J100" s="297" t="s">
        <v>1220</v>
      </c>
      <c r="K100" s="297" t="s">
        <v>1221</v>
      </c>
      <c r="L100" s="297" t="s">
        <v>1222</v>
      </c>
      <c r="M100" s="298" t="s">
        <v>1223</v>
      </c>
      <c r="P100" s="43" t="s">
        <v>69</v>
      </c>
      <c r="Q100" s="43" t="s">
        <v>1244</v>
      </c>
    </row>
    <row r="101" spans="2:18">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107" t="str" cm="1">
        <f t="array" aca="1" ref="I101" ca="1">_xlfn.IFS(OR(I6=0,I6=""),"",OR(I6&lt;&gt;"",I6&gt;0),I6)</f>
        <v>No Entry Found</v>
      </c>
      <c r="J101" t="str" cm="1">
        <f t="array" ref="J101">_xlfn.IFS(OR(J6=0,J6=""),"",OR(J6&lt;&gt;"",J6&gt;0),J6)</f>
        <v/>
      </c>
      <c r="K101" t="str" cm="1">
        <f t="array" ref="K101">_xlfn.IFS(OR(K6=0,K6=""),"",OR(K6&lt;&gt;"",K6&gt;0),K6)</f>
        <v/>
      </c>
      <c r="L101" s="37" t="str" cm="1">
        <f t="array" ref="L101">_xlfn.IFS(OR(L6=0,L6=""),"",OR(L6&lt;&gt;"",L6&gt;0),L6)</f>
        <v/>
      </c>
      <c r="M101" s="205" t="str" cm="1">
        <f t="array" ref="M101">_xlfn.IFS(OR(M6=0,M6=""),"",OR(M6&lt;&gt;"",M6&gt;0),M6)</f>
        <v/>
      </c>
      <c r="N101" t="b" cm="1">
        <f t="array" aca="1" ref="N101" ca="1">_xlfn.IFNA(_xlfn.IFS(O101="----","",O101&lt;&gt;"----",ISNUMBER(MATCH(O101,$O$123:$O$142,0))),"FALSE")</f>
        <v>0</v>
      </c>
      <c r="O101" t="str">
        <f ca="1">_xlfn.TEXTJOIN("-",FALSE,I101:M101)</f>
        <v>No Entry Found----</v>
      </c>
      <c r="P101" t="str" cm="1">
        <f t="array" ref="P101">_xlfn._xlws.FILTER(MD_Revenue[Account Name],MD_Revenue[Used]=1,"")</f>
        <v>Sales</v>
      </c>
      <c r="Q101" s="321">
        <f>SUMIF(Journal[Credit Account],P101,Journal[Cr Amt])-SUMIF(Journal[Debit Account],P101,Journal[Dr Amt])</f>
        <v>0</v>
      </c>
      <c r="R101" s="1" t="s">
        <v>125</v>
      </c>
    </row>
    <row r="102" spans="2:18">
      <c r="C102" t="str">
        <f>"MD_"&amp;D25</f>
        <v>MD_Revenue</v>
      </c>
      <c r="I102" s="107" t="str" cm="1">
        <f t="array" ref="I102">_xlfn.IFS(OR(I7=0,I7=""),"",OR(I7&lt;&gt;"",I7&gt;0),I7)</f>
        <v/>
      </c>
      <c r="J102" t="str" cm="1">
        <f t="array" ref="J102">_xlfn.IFS(OR(J7=0,J7=""),"",OR(J7&lt;&gt;"",J7&gt;0),J7)</f>
        <v/>
      </c>
      <c r="K102" t="str" cm="1">
        <f t="array" ref="K102">_xlfn.IFS(OR(K7=0,K7=""),"",OR(K7&lt;&gt;"",K7&gt;0),K7)</f>
        <v/>
      </c>
      <c r="L102" s="37" t="str" cm="1">
        <f t="array" ref="L102">_xlfn.IFS(OR(L7=0,L7=""),"",OR(L7&lt;&gt;"",L7&gt;0),L7)</f>
        <v/>
      </c>
      <c r="M102" s="300" t="str" cm="1">
        <f t="array" ref="M102">_xlfn.IFS(OR(M7=0,M7=""),"",OR(M7&lt;&gt;"",M7&gt;0),M7)</f>
        <v/>
      </c>
      <c r="N102" t="str" cm="1">
        <f t="array" aca="1" ref="N102" ca="1">_xlfn.IFNA(_xlfn.IFS(O102="----","",O102&lt;&gt;"----",ISNUMBER(MATCH(O102,$O$123:$O$142,0))),"FALSE")</f>
        <v/>
      </c>
      <c r="O102" t="str">
        <f t="shared" ref="O102:O120" si="1">_xlfn.TEXTJOIN("-",FALSE,I102:M102)</f>
        <v>----</v>
      </c>
      <c r="Q102" s="321">
        <f>SUMIF(Journal[Credit Account],P102,Journal[Cr Amt])-SUMIF(Journal[Debit Account],P102,Journal[Dr Amt])</f>
        <v>0</v>
      </c>
      <c r="R102" s="1" t="s">
        <v>125</v>
      </c>
    </row>
    <row r="103" spans="2:18">
      <c r="C103" t="str">
        <f>C102&amp;"[Account Name]"</f>
        <v>MD_Revenue[Account Name]</v>
      </c>
      <c r="I103" s="107" t="str" cm="1">
        <f t="array" ref="I103">_xlfn.IFS(OR(I8=0,I8=""),"",OR(I8&lt;&gt;"",I8&gt;0),I8)</f>
        <v/>
      </c>
      <c r="J103" t="str" cm="1">
        <f t="array" ref="J103">_xlfn.IFS(OR(J8=0,J8=""),"",OR(J8&lt;&gt;"",J8&gt;0),J8)</f>
        <v/>
      </c>
      <c r="K103" t="str" cm="1">
        <f t="array" ref="K103">_xlfn.IFS(OR(K8=0,K8=""),"",OR(K8&lt;&gt;"",K8&gt;0),K8)</f>
        <v/>
      </c>
      <c r="L103" s="308" t="str" cm="1">
        <f t="array" ref="L103">_xlfn.IFS(OR(L8=0,L8=""),"",OR(L8&lt;&gt;"",L8&gt;0),L8)</f>
        <v/>
      </c>
      <c r="M103" s="309" t="str" cm="1">
        <f t="array" ref="M103">_xlfn.IFS(OR(M8=0,M8=""),"",OR(M8&lt;&gt;"",M8&gt;0),M8)</f>
        <v/>
      </c>
      <c r="N103" t="str" cm="1">
        <f t="array" aca="1" ref="N103" ca="1">_xlfn.IFNA(_xlfn.IFS(O103="----","",O103&lt;&gt;"----",ISNUMBER(MATCH(O103,$O$123:$O$142,0))),"FALSE")</f>
        <v/>
      </c>
      <c r="O103" t="str">
        <f t="shared" si="1"/>
        <v>----</v>
      </c>
      <c r="Q103" s="321">
        <f>SUMIF(Journal[Credit Account],P103,Journal[Cr Amt])-SUMIF(Journal[Debit Account],P103,Journal[Dr Amt])</f>
        <v>0</v>
      </c>
      <c r="R103" s="1" t="s">
        <v>125</v>
      </c>
    </row>
    <row r="104" spans="2:18">
      <c r="C104" t="str">
        <f>C102&amp;"[Used]"</f>
        <v>MD_Revenue[Used]</v>
      </c>
      <c r="I104" s="107" t="str" cm="1">
        <f t="array" ref="I104">_xlfn.IFS(OR(I9=0,I9=""),"",OR(I9&lt;&gt;"",I9&gt;0),I9)</f>
        <v/>
      </c>
      <c r="J104" t="str" cm="1">
        <f t="array" ref="J104">_xlfn.IFS(OR(J9=0,J9=""),"",OR(J9&lt;&gt;"",J9&gt;0),J9)</f>
        <v/>
      </c>
      <c r="K104" t="str" cm="1">
        <f t="array" ref="K104">_xlfn.IFS(OR(K9=0,K9=""),"",OR(K9&lt;&gt;"",K9&gt;0),K9)</f>
        <v/>
      </c>
      <c r="L104" s="303" t="str" cm="1">
        <f t="array" ref="L104">_xlfn.IFS(OR(L9=0,L9=""),"",OR(L9&lt;&gt;"",L9&gt;0),L9)</f>
        <v/>
      </c>
      <c r="M104" s="300" t="str" cm="1">
        <f t="array" ref="M104">_xlfn.IFS(OR(M9=0,M9=""),"",OR(M9&lt;&gt;"",M9&gt;0),M9)</f>
        <v/>
      </c>
      <c r="N104" t="str" cm="1">
        <f t="array" aca="1" ref="N104" ca="1">_xlfn.IFNA(_xlfn.IFS(O104="----","",O104&lt;&gt;"----",ISNUMBER(MATCH(O104,$O$123:$O$142,0))),"FALSE")</f>
        <v/>
      </c>
      <c r="O104" t="str">
        <f t="shared" si="1"/>
        <v>----</v>
      </c>
      <c r="Q104" s="321">
        <f>SUMIF(Journal[Credit Account],P104,Journal[Cr Amt])-SUMIF(Journal[Debit Account],P104,Journal[Dr Amt])</f>
        <v>0</v>
      </c>
      <c r="R104" s="1" t="s">
        <v>125</v>
      </c>
    </row>
    <row r="105" spans="2:18">
      <c r="I105" s="107" t="str" cm="1">
        <f t="array" ref="I105">_xlfn.IFS(OR(I10=0,I10=""),"",OR(I10&lt;&gt;"",I10&gt;0),I10)</f>
        <v/>
      </c>
      <c r="J105" t="str" cm="1">
        <f t="array" ref="J105">_xlfn.IFS(OR(J10=0,J10=""),"",OR(J10&lt;&gt;"",J10&gt;0),J10)</f>
        <v/>
      </c>
      <c r="K105" t="str" cm="1">
        <f t="array" ref="K105">_xlfn.IFS(OR(K10=0,K10=""),"",OR(K10&lt;&gt;"",K10&gt;0),K10)</f>
        <v/>
      </c>
      <c r="L105" s="303" t="str" cm="1">
        <f t="array" ref="L105">_xlfn.IFS(OR(L10=0,L10=""),"",OR(L10&lt;&gt;"",L10&gt;0),L10)</f>
        <v/>
      </c>
      <c r="M105" s="205" t="str" cm="1">
        <f t="array" ref="M105">_xlfn.IFS(OR(M10=0,M10=""),"",OR(M10&lt;&gt;"",M10&gt;0),M10)</f>
        <v/>
      </c>
      <c r="N105" t="str" cm="1">
        <f t="array" aca="1" ref="N105" ca="1">_xlfn.IFNA(_xlfn.IFS(O105="----","",O105&lt;&gt;"----",ISNUMBER(MATCH(O105,$O$123:$O$142,0))),"FALSE")</f>
        <v/>
      </c>
      <c r="O105" t="str">
        <f t="shared" si="1"/>
        <v>----</v>
      </c>
    </row>
    <row r="106" spans="2:18">
      <c r="C106" t="str">
        <f>C100&amp;"[Account Name]"</f>
        <v>MD_Asset[Account Name]</v>
      </c>
      <c r="D106" t="str">
        <f>D100&amp;"[Amount]"</f>
        <v>BegBalanceSheet_Assets[Amount]</v>
      </c>
      <c r="I106" s="107" t="str" cm="1">
        <f t="array" ref="I106">_xlfn.IFS(OR(I11=0,I11=""),"",OR(I11&lt;&gt;"",I11&gt;0),I11)</f>
        <v/>
      </c>
      <c r="J106" t="str" cm="1">
        <f t="array" ref="J106">_xlfn.IFS(OR(J11=0,J11=""),"",OR(J11&lt;&gt;"",J11&gt;0),J11)</f>
        <v/>
      </c>
      <c r="K106" t="str" cm="1">
        <f t="array" ref="K106">_xlfn.IFS(OR(K11=0,K11=""),"",OR(K11&lt;&gt;"",K11&gt;0),K11)</f>
        <v/>
      </c>
      <c r="L106" s="37" t="str" cm="1">
        <f t="array" ref="L106">_xlfn.IFS(OR(L11=0,L11=""),"",OR(L11&lt;&gt;"",L11&gt;0),L11)</f>
        <v/>
      </c>
      <c r="M106" s="205" t="str" cm="1">
        <f t="array" ref="M106">_xlfn.IFS(OR(M11=0,M11=""),"",OR(M11&lt;&gt;"",M11&gt;0),M11)</f>
        <v/>
      </c>
      <c r="N106" t="str" cm="1">
        <f t="array" aca="1" ref="N106" ca="1">_xlfn.IFNA(_xlfn.IFS(O106="----","",O106&lt;&gt;"----",ISNUMBER(MATCH(O106,$O$123:$O$142,0))),"FALSE")</f>
        <v/>
      </c>
      <c r="O106" t="str">
        <f t="shared" si="1"/>
        <v>----</v>
      </c>
      <c r="P106" s="43" t="s">
        <v>70</v>
      </c>
    </row>
    <row r="107" spans="2:18">
      <c r="C107" t="str">
        <f>C100&amp;"[Used]"</f>
        <v>MD_Asset[Used]</v>
      </c>
      <c r="D107" t="str">
        <f>D100&amp;"[IncreasedBy]"</f>
        <v>BegBalanceSheet_Assets[IncreasedBy]</v>
      </c>
      <c r="I107" s="107" t="str" cm="1">
        <f t="array" ref="I107">_xlfn.IFS(OR(I12=0,I12=""),"",OR(I12&lt;&gt;"",I12&gt;0),I12)</f>
        <v/>
      </c>
      <c r="J107" t="str" cm="1">
        <f t="array" ref="J107">_xlfn.IFS(OR(J12=0,J12=""),"",OR(J12&lt;&gt;"",J12&gt;0),J12)</f>
        <v/>
      </c>
      <c r="K107" t="str" cm="1">
        <f t="array" ref="K107">_xlfn.IFS(OR(K12=0,K12=""),"",OR(K12&lt;&gt;"",K12&gt;0),K12)</f>
        <v/>
      </c>
      <c r="L107" s="303" t="str" cm="1">
        <f t="array" ref="L107">_xlfn.IFS(OR(L12=0,L12=""),"",OR(L12&lt;&gt;"",L12&gt;0),L12)</f>
        <v/>
      </c>
      <c r="M107" s="300" t="str" cm="1">
        <f t="array" ref="M107">_xlfn.IFS(OR(M12=0,M12=""),"",OR(M12&lt;&gt;"",M12&gt;0),M12)</f>
        <v/>
      </c>
      <c r="N107" t="str" cm="1">
        <f t="array" aca="1" ref="N107" ca="1">_xlfn.IFNA(_xlfn.IFS(O107="----","",O107&lt;&gt;"----",ISNUMBER(MATCH(O107,$O$123:$O$142,0))),"FALSE")</f>
        <v/>
      </c>
      <c r="O107" t="str">
        <f t="shared" si="1"/>
        <v>----</v>
      </c>
      <c r="P107" t="str" cm="1">
        <f t="array" ref="P107">_xlfn._xlws.FILTER(MD_Expense[Account Name],MD_Expense[Used]=1,"")</f>
        <v>Cost of Goods Sold</v>
      </c>
      <c r="Q107" s="321">
        <f>SUMIF(Journal[Debit Account],P107,Journal[Dr Amt])-SUMIF(Journal[Credit Account],P107,Journal[Cr Amt])</f>
        <v>0</v>
      </c>
      <c r="R107" s="1" t="s">
        <v>117</v>
      </c>
    </row>
    <row r="108" spans="2:18">
      <c r="C108" t="str">
        <f ca="1">_xlfn.XLOOKUP($D$5,$C$109:$C$133,$E$109:$E$133)</f>
        <v>Debit</v>
      </c>
      <c r="D108">
        <f ca="1">_xlfn.XLOOKUP($D$5,$C$109:$C$133,$D$109:$D$133)</f>
        <v>0</v>
      </c>
      <c r="I108" s="107" t="str" cm="1">
        <f t="array" ref="I108">_xlfn.IFS(OR(I13=0,I13=""),"",OR(I13&lt;&gt;"",I13&gt;0),I13)</f>
        <v/>
      </c>
      <c r="J108" t="str" cm="1">
        <f t="array" ref="J108">_xlfn.IFS(OR(J13=0,J13=""),"",OR(J13&lt;&gt;"",J13&gt;0),J13)</f>
        <v/>
      </c>
      <c r="K108" t="str" cm="1">
        <f t="array" ref="K108">_xlfn.IFS(OR(K13=0,K13=""),"",OR(K13&lt;&gt;"",K13&gt;0),K13)</f>
        <v/>
      </c>
      <c r="L108" s="37" t="str" cm="1">
        <f t="array" ref="L108">_xlfn.IFS(OR(L13=0,L13=""),"",OR(L13&lt;&gt;"",L13&gt;0),L13)</f>
        <v/>
      </c>
      <c r="M108" s="300" t="str" cm="1">
        <f t="array" ref="M108">_xlfn.IFS(OR(M13=0,M13=""),"",OR(M13&lt;&gt;"",M13&gt;0),M13)</f>
        <v/>
      </c>
      <c r="N108" t="str" cm="1">
        <f t="array" aca="1" ref="N108" ca="1">_xlfn.IFNA(_xlfn.IFS(O108="----","",O108&lt;&gt;"----",ISNUMBER(MATCH(O108,$O$123:$O$142,0))),"FALSE")</f>
        <v/>
      </c>
      <c r="O108" t="str">
        <f t="shared" si="1"/>
        <v>----</v>
      </c>
      <c r="Q108" s="321">
        <f>SUMIF(Journal[Debit Account],P108,Journal[Dr Amt])-SUMIF(Journal[Credit Account],P108,Journal[Cr Amt])</f>
        <v>0</v>
      </c>
      <c r="R108" s="1" t="s">
        <v>117</v>
      </c>
    </row>
    <row r="109" spans="2:18">
      <c r="B109">
        <f ca="1">COUNTIF(_xlfn.ANCHORARRAY(C109),D5)</f>
        <v>1</v>
      </c>
      <c r="C109" t="str" cm="1">
        <f t="array" aca="1" ref="C109:C113" ca="1">_xlfn._xlws.FILTER(INDIRECT(C106),INDIRECT(C107)=1,"")</f>
        <v>Cash</v>
      </c>
      <c r="D109" cm="1">
        <f t="array" aca="1" ref="D109:D130" ca="1">INDIRECT(D106)</f>
        <v>0</v>
      </c>
      <c r="E109" t="str" cm="1">
        <f t="array" aca="1" ref="E109:E130" ca="1">INDIRECT(D107)</f>
        <v>Debit</v>
      </c>
      <c r="I109" s="107" t="str" cm="1">
        <f t="array" ref="I109">_xlfn.IFS(OR(I14=0,I14=""),"",OR(I14&lt;&gt;"",I14&gt;0),I14)</f>
        <v/>
      </c>
      <c r="J109" t="str" cm="1">
        <f t="array" ref="J109">_xlfn.IFS(OR(J14=0,J14=""),"",OR(J14&lt;&gt;"",J14&gt;0),J14)</f>
        <v/>
      </c>
      <c r="K109" t="str" cm="1">
        <f t="array" ref="K109">_xlfn.IFS(OR(K14=0,K14=""),"",OR(K14&lt;&gt;"",K14&gt;0),K14)</f>
        <v/>
      </c>
      <c r="L109" s="303" t="str" cm="1">
        <f t="array" ref="L109">_xlfn.IFS(OR(L14=0,L14=""),"",OR(L14&lt;&gt;"",L14&gt;0),L14)</f>
        <v/>
      </c>
      <c r="M109" s="205" t="str" cm="1">
        <f t="array" ref="M109">_xlfn.IFS(OR(M14=0,M14=""),"",OR(M14&lt;&gt;"",M14&gt;0),M14)</f>
        <v/>
      </c>
      <c r="N109" t="str" cm="1">
        <f t="array" aca="1" ref="N109" ca="1">_xlfn.IFNA(_xlfn.IFS(O109="----","",O109&lt;&gt;"----",ISNUMBER(MATCH(O109,$O$123:$O$142,0))),"FALSE")</f>
        <v/>
      </c>
      <c r="O109" t="str">
        <f t="shared" si="1"/>
        <v>----</v>
      </c>
      <c r="Q109" s="321">
        <f>SUMIF(Journal[Debit Account],P109,Journal[Dr Amt])-SUMIF(Journal[Credit Account],P109,Journal[Cr Amt])</f>
        <v>0</v>
      </c>
      <c r="R109" s="1" t="s">
        <v>117</v>
      </c>
    </row>
    <row r="110" spans="2:18">
      <c r="C110" t="str">
        <f ca="1"/>
        <v>Accounts Receivable</v>
      </c>
      <c r="D110">
        <f ca="1"/>
        <v>0</v>
      </c>
      <c r="E110" t="str">
        <f ca="1"/>
        <v>Debit</v>
      </c>
      <c r="I110" s="107" t="str" cm="1">
        <f t="array" ref="I110">_xlfn.IFS(OR(I15=0,I15=""),"",OR(I15&lt;&gt;"",I15&gt;0),I15)</f>
        <v/>
      </c>
      <c r="J110" t="str" cm="1">
        <f t="array" ref="J110">_xlfn.IFS(OR(J15=0,J15=""),"",OR(J15&lt;&gt;"",J15&gt;0),J15)</f>
        <v/>
      </c>
      <c r="K110" t="str" cm="1">
        <f t="array" ref="K110">_xlfn.IFS(OR(K15=0,K15=""),"",OR(K15&lt;&gt;"",K15&gt;0),K15)</f>
        <v/>
      </c>
      <c r="L110" s="303" t="str" cm="1">
        <f t="array" ref="L110">_xlfn.IFS(OR(L15=0,L15=""),"",OR(L15&lt;&gt;"",L15&gt;0),L15)</f>
        <v/>
      </c>
      <c r="M110" s="300" t="str" cm="1">
        <f t="array" ref="M110">_xlfn.IFS(OR(M15=0,M15=""),"",OR(M15&lt;&gt;"",M15&gt;0),M15)</f>
        <v/>
      </c>
      <c r="N110" t="str" cm="1">
        <f t="array" aca="1" ref="N110" ca="1">_xlfn.IFNA(_xlfn.IFS(O110="----","",O110&lt;&gt;"----",ISNUMBER(MATCH(O110,$O$123:$O$142,0))),"FALSE")</f>
        <v/>
      </c>
      <c r="O110" t="str">
        <f t="shared" si="1"/>
        <v>----</v>
      </c>
      <c r="Q110" s="321">
        <f>SUMIF(Journal[Debit Account],P110,Journal[Dr Amt])-SUMIF(Journal[Credit Account],P110,Journal[Cr Amt])</f>
        <v>0</v>
      </c>
      <c r="R110" s="1" t="s">
        <v>117</v>
      </c>
    </row>
    <row r="111" spans="2:18">
      <c r="C111" t="str">
        <f ca="1"/>
        <v>Inventories</v>
      </c>
      <c r="D111">
        <f ca="1"/>
        <v>0</v>
      </c>
      <c r="E111" t="str">
        <f ca="1"/>
        <v>Debit</v>
      </c>
      <c r="I111" s="107" t="str" cm="1">
        <f t="array" ref="I111">_xlfn.IFS(OR(I16=0,I16=""),"",OR(I16&lt;&gt;"",I16&gt;0),I16)</f>
        <v/>
      </c>
      <c r="J111" t="str" cm="1">
        <f t="array" ref="J111">_xlfn.IFS(OR(J16=0,J16=""),"",OR(J16&lt;&gt;"",J16&gt;0),J16)</f>
        <v/>
      </c>
      <c r="K111" t="str" cm="1">
        <f t="array" ref="K111">_xlfn.IFS(OR(K16=0,K16=""),"",OR(K16&lt;&gt;"",K16&gt;0),K16)</f>
        <v/>
      </c>
      <c r="L111" s="303" t="str" cm="1">
        <f t="array" ref="L111">_xlfn.IFS(OR(L16=0,L16=""),"",OR(L16&lt;&gt;"",L16&gt;0),L16)</f>
        <v/>
      </c>
      <c r="M111" s="205" t="str" cm="1">
        <f t="array" ref="M111">_xlfn.IFS(OR(M16=0,M16=""),"",OR(M16&lt;&gt;"",M16&gt;0),M16)</f>
        <v/>
      </c>
      <c r="N111" t="str" cm="1">
        <f t="array" aca="1" ref="N111" ca="1">_xlfn.IFNA(_xlfn.IFS(O111="----","",O111&lt;&gt;"----",ISNUMBER(MATCH(O111,$O$123:$O$142,0))),"FALSE")</f>
        <v/>
      </c>
      <c r="O111" t="str">
        <f t="shared" si="1"/>
        <v>----</v>
      </c>
      <c r="Q111" s="321">
        <f>SUMIF(Journal[Debit Account],P111,Journal[Dr Amt])-SUMIF(Journal[Credit Account],P111,Journal[Cr Amt])</f>
        <v>0</v>
      </c>
      <c r="R111" s="1" t="s">
        <v>117</v>
      </c>
    </row>
    <row r="112" spans="2:18">
      <c r="C112" t="str">
        <f ca="1"/>
        <v>Property, Plant &amp; Equipment</v>
      </c>
      <c r="D112">
        <f ca="1"/>
        <v>0</v>
      </c>
      <c r="E112" t="str">
        <f ca="1"/>
        <v>Debit</v>
      </c>
      <c r="I112" s="107" t="str" cm="1">
        <f t="array" ref="I112">_xlfn.IFS(OR(I17=0,I17=""),"",OR(I17&lt;&gt;"",I17&gt;0),I17)</f>
        <v/>
      </c>
      <c r="J112" t="str" cm="1">
        <f t="array" ref="J112">_xlfn.IFS(OR(J17=0,J17=""),"",OR(J17&lt;&gt;"",J17&gt;0),J17)</f>
        <v/>
      </c>
      <c r="K112" t="str" cm="1">
        <f t="array" ref="K112">_xlfn.IFS(OR(K17=0,K17=""),"",OR(K17&lt;&gt;"",K17&gt;0),K17)</f>
        <v/>
      </c>
      <c r="L112" s="303" t="str" cm="1">
        <f t="array" ref="L112">_xlfn.IFS(OR(L17=0,L17=""),"",OR(L17&lt;&gt;"",L17&gt;0),L17)</f>
        <v/>
      </c>
      <c r="M112" s="300" t="str" cm="1">
        <f t="array" ref="M112">_xlfn.IFS(OR(M17=0,M17=""),"",OR(M17&lt;&gt;"",M17&gt;0),M17)</f>
        <v/>
      </c>
      <c r="N112" t="str" cm="1">
        <f t="array" aca="1" ref="N112" ca="1">_xlfn.IFNA(_xlfn.IFS(O112="----","",O112&lt;&gt;"----",ISNUMBER(MATCH(O112,$O$123:$O$142,0))),"FALSE")</f>
        <v/>
      </c>
      <c r="O112" t="str">
        <f t="shared" si="1"/>
        <v>----</v>
      </c>
      <c r="Q112" s="321">
        <f>SUMIF(Journal[Debit Account],P112,Journal[Dr Amt])-SUMIF(Journal[Credit Account],P112,Journal[Cr Amt])</f>
        <v>0</v>
      </c>
      <c r="R112" s="1" t="s">
        <v>117</v>
      </c>
    </row>
    <row r="113" spans="3:18">
      <c r="C113" t="str">
        <f ca="1"/>
        <v>Land</v>
      </c>
      <c r="D113">
        <f ca="1"/>
        <v>0</v>
      </c>
      <c r="E113" t="str">
        <f ca="1"/>
        <v>Debit</v>
      </c>
      <c r="I113" s="107" t="str" cm="1">
        <f t="array" ref="I113">_xlfn.IFS(OR(I18=0,I18=""),"",OR(I18&lt;&gt;"",I18&gt;0),I18)</f>
        <v/>
      </c>
      <c r="J113" t="str" cm="1">
        <f t="array" ref="J113">_xlfn.IFS(OR(J18=0,J18=""),"",OR(J18&lt;&gt;"",J18&gt;0),J18)</f>
        <v/>
      </c>
      <c r="K113" t="str" cm="1">
        <f t="array" ref="K113">_xlfn.IFS(OR(K18=0,K18=""),"",OR(K18&lt;&gt;"",K18&gt;0),K18)</f>
        <v/>
      </c>
      <c r="L113" s="308" t="str" cm="1">
        <f t="array" ref="L113">_xlfn.IFS(OR(L18=0,L18=""),"",OR(L18&lt;&gt;"",L18&gt;0),L18)</f>
        <v/>
      </c>
      <c r="M113" s="309" t="str" cm="1">
        <f t="array" ref="M113">_xlfn.IFS(OR(M18=0,M18=""),"",OR(M18&lt;&gt;"",M18&gt;0),M18)</f>
        <v/>
      </c>
      <c r="N113" t="str" cm="1">
        <f t="array" aca="1" ref="N113" ca="1">_xlfn.IFNA(_xlfn.IFS(O113="----","",O113&lt;&gt;"----",ISNUMBER(MATCH(O113,$O$123:$O$142,0))),"FALSE")</f>
        <v/>
      </c>
      <c r="O113" t="str">
        <f t="shared" si="1"/>
        <v>----</v>
      </c>
      <c r="Q113" s="321">
        <f>SUMIF(Journal[Debit Account],P113,Journal[Dr Amt])-SUMIF(Journal[Credit Account],P113,Journal[Cr Amt])</f>
        <v>0</v>
      </c>
      <c r="R113" s="1" t="s">
        <v>117</v>
      </c>
    </row>
    <row r="114" spans="3:18">
      <c r="D114">
        <f ca="1"/>
        <v>0</v>
      </c>
      <c r="E114" t="str">
        <f ca="1"/>
        <v/>
      </c>
      <c r="I114" s="113" t="str" cm="1">
        <f t="array" ref="I114">_xlfn.IFS(OR(I19=0,I19=""),"",OR(I19&lt;&gt;"",I19&gt;0),I19)</f>
        <v/>
      </c>
      <c r="J114" s="6" t="str" cm="1">
        <f t="array" ref="J114">_xlfn.IFS(OR(J19=0,J19=""),"",OR(J19&lt;&gt;"",J19&gt;0),J19)</f>
        <v/>
      </c>
      <c r="K114" s="6" t="str" cm="1">
        <f t="array" ref="K114">_xlfn.IFS(OR(K19=0,K19=""),"",OR(K19&lt;&gt;"",K19&gt;0),K19)</f>
        <v/>
      </c>
      <c r="L114" s="308" t="str" cm="1">
        <f t="array" ref="L114">_xlfn.IFS(OR(L19=0,L19=""),"",OR(L19&lt;&gt;"",L19&gt;0),L19)</f>
        <v/>
      </c>
      <c r="M114" s="309" t="str" cm="1">
        <f t="array" ref="M114">_xlfn.IFS(OR(M19=0,M19=""),"",OR(M19&lt;&gt;"",M19&gt;0),M19)</f>
        <v/>
      </c>
      <c r="N114" t="str" cm="1">
        <f t="array" aca="1" ref="N114" ca="1">_xlfn.IFNA(_xlfn.IFS(O114="----","",O114&lt;&gt;"----",ISNUMBER(MATCH(O114,$O$123:$O$142,0))),"FALSE")</f>
        <v/>
      </c>
      <c r="O114" t="str">
        <f t="shared" si="1"/>
        <v>----</v>
      </c>
      <c r="Q114" s="321">
        <f>SUMIF(Journal[Debit Account],P114,Journal[Dr Amt])-SUMIF(Journal[Credit Account],P114,Journal[Cr Amt])</f>
        <v>0</v>
      </c>
      <c r="R114" s="1" t="s">
        <v>117</v>
      </c>
    </row>
    <row r="115" spans="3:18">
      <c r="D115">
        <f ca="1"/>
        <v>0</v>
      </c>
      <c r="E115" t="str">
        <f ca="1"/>
        <v/>
      </c>
      <c r="I115" s="107" t="str" cm="1">
        <f t="array" ref="I115">_xlfn.IFS(OR(I20=0,I20=""),"",OR(I20&lt;&gt;"",I20&gt;0),I20)</f>
        <v/>
      </c>
      <c r="J115" t="str" cm="1">
        <f t="array" ref="J115">_xlfn.IFS(OR(J20=0,J20=""),"",OR(J20&lt;&gt;"",J20&gt;0),J20)</f>
        <v/>
      </c>
      <c r="K115" t="str" cm="1">
        <f t="array" ref="K115">_xlfn.IFS(OR(K20=0,K20=""),"",OR(K20&lt;&gt;"",K20&gt;0),K20)</f>
        <v/>
      </c>
      <c r="L115" s="303" t="str" cm="1">
        <f t="array" ref="L115">_xlfn.IFS(OR(L20=0,L20=""),"",OR(L20&lt;&gt;"",L20&gt;0),L20)</f>
        <v/>
      </c>
      <c r="M115" s="300" t="str" cm="1">
        <f t="array" ref="M115">_xlfn.IFS(OR(M20=0,M20=""),"",OR(M20&lt;&gt;"",M20&gt;0),M20)</f>
        <v/>
      </c>
      <c r="N115" t="str" cm="1">
        <f t="array" aca="1" ref="N115" ca="1">_xlfn.IFNA(_xlfn.IFS(O115="----","",O115&lt;&gt;"----",ISNUMBER(MATCH(O115,$O$123:$O$142,0))),"FALSE")</f>
        <v/>
      </c>
      <c r="O115" t="str">
        <f t="shared" si="1"/>
        <v>----</v>
      </c>
      <c r="Q115" s="321">
        <f>SUMIF(Journal[Debit Account],P115,Journal[Dr Amt])-SUMIF(Journal[Credit Account],P115,Journal[Cr Amt])</f>
        <v>0</v>
      </c>
      <c r="R115" s="1" t="s">
        <v>117</v>
      </c>
    </row>
    <row r="116" spans="3:18">
      <c r="D116">
        <f ca="1"/>
        <v>0</v>
      </c>
      <c r="E116" t="str">
        <f ca="1"/>
        <v/>
      </c>
      <c r="I116" s="107" t="str" cm="1">
        <f t="array" ref="I116">_xlfn.IFS(OR(I21=0,I21=""),"",OR(I21&lt;&gt;"",I21&gt;0),I21)</f>
        <v/>
      </c>
      <c r="J116" t="str" cm="1">
        <f t="array" ref="J116">_xlfn.IFS(OR(J21=0,J21=""),"",OR(J21&lt;&gt;"",J21&gt;0),J21)</f>
        <v/>
      </c>
      <c r="K116" t="str" cm="1">
        <f t="array" ref="K116">_xlfn.IFS(OR(K21=0,K21=""),"",OR(K21&lt;&gt;"",K21&gt;0),K21)</f>
        <v/>
      </c>
      <c r="L116" s="37" t="str" cm="1">
        <f t="array" ref="L116">_xlfn.IFS(OR(L21=0,L21=""),"",OR(L21&lt;&gt;"",L21&gt;0),L21)</f>
        <v/>
      </c>
      <c r="M116" s="205" t="str" cm="1">
        <f t="array" ref="M116">_xlfn.IFS(OR(M21=0,M21=""),"",OR(M21&lt;&gt;"",M21&gt;0),M21)</f>
        <v/>
      </c>
      <c r="N116" t="str" cm="1">
        <f t="array" aca="1" ref="N116" ca="1">_xlfn.IFNA(_xlfn.IFS(O116="----","",O116&lt;&gt;"----",ISNUMBER(MATCH(O116,$O$123:$O$142,0))),"FALSE")</f>
        <v/>
      </c>
      <c r="O116" t="str">
        <f t="shared" si="1"/>
        <v>----</v>
      </c>
      <c r="Q116" s="321">
        <f>SUMIF(Journal[Debit Account],P116,Journal[Dr Amt])-SUMIF(Journal[Credit Account],P116,Journal[Cr Amt])</f>
        <v>0</v>
      </c>
      <c r="R116" s="1" t="s">
        <v>117</v>
      </c>
    </row>
    <row r="117" spans="3:18">
      <c r="D117">
        <f ca="1"/>
        <v>0</v>
      </c>
      <c r="E117" t="str">
        <f ca="1"/>
        <v/>
      </c>
      <c r="I117" s="107" t="str" cm="1">
        <f t="array" ref="I117">_xlfn.IFS(OR(I22=0,I22=""),"",OR(I22&lt;&gt;"",I22&gt;0),I22)</f>
        <v/>
      </c>
      <c r="J117" t="str" cm="1">
        <f t="array" ref="J117">_xlfn.IFS(OR(J22=0,J22=""),"",OR(J22&lt;&gt;"",J22&gt;0),J22)</f>
        <v/>
      </c>
      <c r="K117" t="str" cm="1">
        <f t="array" ref="K117">_xlfn.IFS(OR(K22=0,K22=""),"",OR(K22&lt;&gt;"",K22&gt;0),K22)</f>
        <v/>
      </c>
      <c r="L117" s="37" t="str" cm="1">
        <f t="array" ref="L117">_xlfn.IFS(OR(L22=0,L22=""),"",OR(L22&lt;&gt;"",L22&gt;0),L22)</f>
        <v/>
      </c>
      <c r="M117" s="205" t="str" cm="1">
        <f t="array" ref="M117">_xlfn.IFS(OR(M22=0,M22=""),"",OR(M22&lt;&gt;"",M22&gt;0),M22)</f>
        <v/>
      </c>
      <c r="N117" t="str" cm="1">
        <f t="array" aca="1" ref="N117" ca="1">_xlfn.IFNA(_xlfn.IFS(O117="----","",O117&lt;&gt;"----",ISNUMBER(MATCH(O117,$O$123:$O$142,0))),"FALSE")</f>
        <v/>
      </c>
      <c r="O117" t="str">
        <f t="shared" si="1"/>
        <v>----</v>
      </c>
    </row>
    <row r="118" spans="3:18">
      <c r="D118">
        <f ca="1"/>
        <v>0</v>
      </c>
      <c r="E118" t="str">
        <f ca="1"/>
        <v/>
      </c>
      <c r="I118" s="107" t="str" cm="1">
        <f t="array" ref="I118">_xlfn.IFS(OR(I23=0,I23=""),"",OR(I23&lt;&gt;"",I23&gt;0),I23)</f>
        <v/>
      </c>
      <c r="J118" t="str" cm="1">
        <f t="array" ref="J118">_xlfn.IFS(OR(J23=0,J23=""),"",OR(J23&lt;&gt;"",J23&gt;0),J23)</f>
        <v/>
      </c>
      <c r="K118" t="str" cm="1">
        <f t="array" ref="K118">_xlfn.IFS(OR(K23=0,K23=""),"",OR(K23&lt;&gt;"",K23&gt;0),K23)</f>
        <v/>
      </c>
      <c r="L118" s="37" t="str" cm="1">
        <f t="array" ref="L118">_xlfn.IFS(OR(L23=0,L23=""),"",OR(L23&lt;&gt;"",L23&gt;0),L23)</f>
        <v/>
      </c>
      <c r="M118" s="205" t="str" cm="1">
        <f t="array" ref="M118">_xlfn.IFS(OR(M23=0,M23=""),"",OR(M23&lt;&gt;"",M23&gt;0),M23)</f>
        <v/>
      </c>
      <c r="N118" t="str" cm="1">
        <f t="array" aca="1" ref="N118" ca="1">_xlfn.IFNA(_xlfn.IFS(O118="----","",O118&lt;&gt;"----",ISNUMBER(MATCH(O118,$O$123:$O$142,0))),"FALSE")</f>
        <v/>
      </c>
      <c r="O118" t="str">
        <f t="shared" si="1"/>
        <v>----</v>
      </c>
      <c r="P118" s="43" t="s">
        <v>308</v>
      </c>
    </row>
    <row r="119" spans="3:18">
      <c r="D119">
        <f ca="1"/>
        <v>0</v>
      </c>
      <c r="E119" t="str">
        <f ca="1"/>
        <v/>
      </c>
      <c r="I119" s="107" t="str" cm="1">
        <f t="array" ref="I119">_xlfn.IFS(OR(I24=0,I24=""),"",OR(I24&lt;&gt;"",I24&gt;0),I24)</f>
        <v/>
      </c>
      <c r="J119" t="str" cm="1">
        <f t="array" ref="J119">_xlfn.IFS(OR(J24=0,J24=""),"",OR(J24&lt;&gt;"",J24&gt;0),J24)</f>
        <v/>
      </c>
      <c r="K119" t="str" cm="1">
        <f t="array" ref="K119">_xlfn.IFS(OR(K24=0,K24=""),"",OR(K24&lt;&gt;"",K24&gt;0),K24)</f>
        <v/>
      </c>
      <c r="L119" s="37" t="str" cm="1">
        <f t="array" ref="L119">_xlfn.IFS(OR(L24=0,L24=""),"",OR(L24&lt;&gt;"",L24&gt;0),L24)</f>
        <v/>
      </c>
      <c r="M119" s="205"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321">
        <f>SUMIF(Journal[Credit Account],P119,Journal[Cr Amt])-SUMIF(Journal[Debit Account],P119,Journal[Dr Amt])</f>
        <v>0</v>
      </c>
      <c r="R119" s="1" t="s">
        <v>125</v>
      </c>
    </row>
    <row r="120" spans="3:18" ht="15" thickBot="1">
      <c r="D120">
        <f ca="1"/>
        <v>0</v>
      </c>
      <c r="E120" t="str">
        <f ca="1"/>
        <v/>
      </c>
      <c r="I120" s="109" t="str" cm="1">
        <f t="array" ref="I120">_xlfn.IFS(OR(I25=0,I25=""),"",OR(I25&lt;&gt;"",I25&gt;0),I25)</f>
        <v/>
      </c>
      <c r="J120" s="315" t="str" cm="1">
        <f t="array" ref="J120">_xlfn.IFS(OR(J25=0,J25=""),"",OR(J25&lt;&gt;"",J25&gt;0),J25)</f>
        <v/>
      </c>
      <c r="K120" s="315" t="str" cm="1">
        <f t="array" ref="K120">_xlfn.IFS(OR(K25=0,K25=""),"",OR(K25&lt;&gt;"",K25&gt;0),K25)</f>
        <v/>
      </c>
      <c r="L120" s="316" t="str" cm="1">
        <f t="array" ref="L120">_xlfn.IFS(OR(L25=0,L25=""),"",OR(L25&lt;&gt;"",L25&gt;0),L25)</f>
        <v/>
      </c>
      <c r="M120" s="317" t="str" cm="1">
        <f t="array" ref="M120">_xlfn.IFS(OR(M25=0,M25=""),"",OR(M25&lt;&gt;"",M25&gt;0),M25)</f>
        <v/>
      </c>
      <c r="N120" t="str" cm="1">
        <f t="array" aca="1" ref="N120" ca="1">_xlfn.IFNA(_xlfn.IFS(O120="----","",O120&lt;&gt;"----",ISNUMBER(MATCH(O120,$O$123:$O$142,0))),"FALSE")</f>
        <v/>
      </c>
      <c r="O120" t="str">
        <f t="shared" si="1"/>
        <v>----</v>
      </c>
      <c r="Q120" s="321">
        <f>SUMIF(Journal[Credit Account],P120,Journal[Cr Amt])-SUMIF(Journal[Debit Account],P120,Journal[Dr Amt])</f>
        <v>0</v>
      </c>
      <c r="R120" s="1" t="s">
        <v>125</v>
      </c>
    </row>
    <row r="121" spans="3:18" ht="15" thickBot="1">
      <c r="D121">
        <f ca="1"/>
        <v>0</v>
      </c>
      <c r="E121" t="str">
        <f ca="1"/>
        <v/>
      </c>
      <c r="Q121" s="321">
        <f>SUMIF(Journal[Credit Account],P121,Journal[Cr Amt])-SUMIF(Journal[Debit Account],P121,Journal[Dr Amt])</f>
        <v>0</v>
      </c>
      <c r="R121" s="1" t="s">
        <v>125</v>
      </c>
    </row>
    <row r="122" spans="3:18">
      <c r="D122">
        <f ca="1"/>
        <v>0</v>
      </c>
      <c r="E122" t="str">
        <f ca="1"/>
        <v/>
      </c>
      <c r="I122" s="296"/>
      <c r="J122" s="297"/>
      <c r="K122" s="297"/>
      <c r="L122" s="297"/>
      <c r="M122" s="298"/>
      <c r="Q122" s="321">
        <f>SUMIF(Journal[Credit Account],P122,Journal[Cr Amt])-SUMIF(Journal[Debit Account],P122,Journal[Dr Amt])</f>
        <v>0</v>
      </c>
      <c r="R122" s="1" t="s">
        <v>125</v>
      </c>
    </row>
    <row r="123" spans="3:18">
      <c r="D123">
        <f ca="1"/>
        <v>0</v>
      </c>
      <c r="E123" t="str">
        <f ca="1"/>
        <v/>
      </c>
      <c r="I123" s="107" t="str" cm="1">
        <f t="array" aca="1" ref="I123:M124" ca="1">IFERROR(_xlfn._xlws.FILTER(JournalAnswer[Accnt Type]:JournalAnswer[Cr Amt],JournalAnswer[Transaction '#]=I3,"No Entry Found"),"")</f>
        <v>Asset</v>
      </c>
      <c r="J123" t="str">
        <f ca="1"/>
        <v>Cash</v>
      </c>
      <c r="K123" t="str">
        <f ca="1"/>
        <v/>
      </c>
      <c r="L123" s="37">
        <f ca="1"/>
        <v>50</v>
      </c>
      <c r="M123" s="205" t="str">
        <f ca="1"/>
        <v/>
      </c>
      <c r="O123" t="str">
        <f t="shared" ref="O123:O142" ca="1" si="2">_xlfn.TEXTJOIN("-",FALSE,I123:M123)</f>
        <v>Asset-Cash--50-</v>
      </c>
      <c r="Q123" s="321">
        <f>SUMIF(Journal[Credit Account],P123,Journal[Cr Amt])-SUMIF(Journal[Debit Account],P123,Journal[Dr Amt])</f>
        <v>0</v>
      </c>
      <c r="R123" s="1" t="s">
        <v>125</v>
      </c>
    </row>
    <row r="124" spans="3:18">
      <c r="D124">
        <f ca="1"/>
        <v>0</v>
      </c>
      <c r="E124" t="str">
        <f ca="1"/>
        <v/>
      </c>
      <c r="I124" s="107" t="str">
        <f ca="1"/>
        <v>Equity</v>
      </c>
      <c r="J124" t="str">
        <f ca="1"/>
        <v/>
      </c>
      <c r="K124" t="str">
        <f ca="1"/>
        <v>Common Stock</v>
      </c>
      <c r="L124" s="37" t="str">
        <f ca="1"/>
        <v/>
      </c>
      <c r="M124" s="300">
        <f ca="1"/>
        <v>50</v>
      </c>
      <c r="O124" t="str">
        <f t="shared" ca="1" si="2"/>
        <v>Equity--Common Stock--50</v>
      </c>
    </row>
    <row r="125" spans="3:18">
      <c r="D125">
        <f ca="1"/>
        <v>0</v>
      </c>
      <c r="E125" t="str">
        <f ca="1"/>
        <v/>
      </c>
      <c r="I125" s="107"/>
      <c r="L125" s="308"/>
      <c r="M125" s="309"/>
      <c r="O125" t="str">
        <f t="shared" si="2"/>
        <v>----</v>
      </c>
      <c r="P125" s="43" t="s">
        <v>961</v>
      </c>
    </row>
    <row r="126" spans="3:18">
      <c r="D126">
        <f ca="1"/>
        <v>0</v>
      </c>
      <c r="E126" t="str">
        <f ca="1"/>
        <v/>
      </c>
      <c r="I126" s="107"/>
      <c r="L126" s="303"/>
      <c r="M126" s="300"/>
      <c r="O126" t="str">
        <f t="shared" si="2"/>
        <v>----</v>
      </c>
      <c r="P126" t="str" cm="1">
        <f t="array" ref="P126">_xlfn._xlws.FILTER(MD_Loss[Account Name],MD_Loss[Used]=1,"")</f>
        <v/>
      </c>
      <c r="Q126" s="321">
        <f>SUMIF(Journal[Debit Account],P126,Journal[Dr Amt])-SUMIF(Journal[Credit Account],P126,Journal[Cr Amt])</f>
        <v>0</v>
      </c>
      <c r="R126" s="1" t="s">
        <v>117</v>
      </c>
    </row>
    <row r="127" spans="3:18">
      <c r="D127">
        <f ca="1"/>
        <v>0</v>
      </c>
      <c r="E127" t="str">
        <f ca="1"/>
        <v/>
      </c>
      <c r="I127" s="107"/>
      <c r="L127" s="303"/>
      <c r="M127" s="205"/>
      <c r="O127" t="str">
        <f t="shared" si="2"/>
        <v>----</v>
      </c>
      <c r="Q127" s="321">
        <f>SUMIF(Journal[Debit Account],P127,Journal[Dr Amt])-SUMIF(Journal[Credit Account],P127,Journal[Cr Amt])</f>
        <v>0</v>
      </c>
      <c r="R127" s="1" t="s">
        <v>117</v>
      </c>
    </row>
    <row r="128" spans="3:18">
      <c r="D128">
        <f ca="1"/>
        <v>0</v>
      </c>
      <c r="E128" t="str">
        <f ca="1"/>
        <v/>
      </c>
      <c r="I128" s="107"/>
      <c r="L128" s="37"/>
      <c r="M128" s="205"/>
      <c r="O128" t="str">
        <f t="shared" si="2"/>
        <v>----</v>
      </c>
      <c r="Q128" s="321">
        <f>SUMIF(Journal[Debit Account],P128,Journal[Dr Amt])-SUMIF(Journal[Credit Account],P128,Journal[Cr Amt])</f>
        <v>0</v>
      </c>
      <c r="R128" s="1" t="s">
        <v>117</v>
      </c>
    </row>
    <row r="129" spans="2:18">
      <c r="D129">
        <f ca="1"/>
        <v>0</v>
      </c>
      <c r="E129" t="str">
        <f ca="1"/>
        <v/>
      </c>
      <c r="I129" s="107"/>
      <c r="L129" s="303"/>
      <c r="M129" s="300"/>
      <c r="O129" t="str">
        <f t="shared" si="2"/>
        <v>----</v>
      </c>
      <c r="Q129" s="321">
        <f>SUMIF(Journal[Debit Account],P129,Journal[Dr Amt])-SUMIF(Journal[Credit Account],P129,Journal[Cr Amt])</f>
        <v>0</v>
      </c>
      <c r="R129" s="1" t="s">
        <v>117</v>
      </c>
    </row>
    <row r="130" spans="2:18">
      <c r="D130">
        <f ca="1"/>
        <v>0</v>
      </c>
      <c r="E130" t="str">
        <f ca="1"/>
        <v/>
      </c>
      <c r="I130" s="107"/>
      <c r="L130" s="37"/>
      <c r="M130" s="300"/>
      <c r="O130" t="str">
        <f t="shared" si="2"/>
        <v>----</v>
      </c>
      <c r="Q130" s="321">
        <f>SUMIF(Journal[Debit Account],P130,Journal[Dr Amt])-SUMIF(Journal[Credit Account],P130,Journal[Cr Amt])</f>
        <v>0</v>
      </c>
      <c r="R130" s="1" t="s">
        <v>117</v>
      </c>
    </row>
    <row r="131" spans="2:18">
      <c r="I131" s="107"/>
      <c r="L131" s="303"/>
      <c r="M131" s="205"/>
      <c r="O131" t="str">
        <f t="shared" si="2"/>
        <v>----</v>
      </c>
    </row>
    <row r="132" spans="2:18">
      <c r="I132" s="107"/>
      <c r="L132" s="303"/>
      <c r="M132" s="300"/>
      <c r="O132" t="str">
        <f t="shared" si="2"/>
        <v>----</v>
      </c>
      <c r="P132" t="s">
        <v>1245</v>
      </c>
      <c r="Q132" s="321">
        <f>SUMIF(Journal[ref1],"CL",Journal[Dr Amt])-SUMIF(Journal[ref1],"CL",Journal[Cr Amt])</f>
        <v>0</v>
      </c>
    </row>
    <row r="133" spans="2:18">
      <c r="I133" s="107"/>
      <c r="L133" s="303"/>
      <c r="M133" s="205"/>
      <c r="O133" t="str">
        <f t="shared" si="2"/>
        <v>----</v>
      </c>
    </row>
    <row r="134" spans="2:18">
      <c r="B134">
        <f ca="1">COUNTIF(_xlfn.ANCHORARRAY(C134),D26)</f>
        <v>1</v>
      </c>
      <c r="C134" t="str" cm="1">
        <f t="array" aca="1" ref="C134" ca="1">_xlfn._xlws.FILTER(INDIRECT(C103),INDIRECT(C104)=1,"")</f>
        <v>Sales</v>
      </c>
      <c r="I134" s="107"/>
      <c r="L134" s="303"/>
      <c r="M134" s="300"/>
      <c r="O134" t="str">
        <f t="shared" si="2"/>
        <v>----</v>
      </c>
    </row>
    <row r="135" spans="2:18">
      <c r="I135" s="107"/>
      <c r="L135" s="308"/>
      <c r="M135" s="309"/>
      <c r="O135" t="str">
        <f t="shared" si="2"/>
        <v>----</v>
      </c>
    </row>
    <row r="136" spans="2:18">
      <c r="I136" s="113"/>
      <c r="J136" s="6"/>
      <c r="K136" s="6"/>
      <c r="L136" s="308"/>
      <c r="M136" s="309"/>
      <c r="O136" t="str">
        <f t="shared" si="2"/>
        <v>----</v>
      </c>
    </row>
    <row r="137" spans="2:18">
      <c r="I137" s="107"/>
      <c r="L137" s="303"/>
      <c r="M137" s="300"/>
      <c r="O137" t="str">
        <f t="shared" si="2"/>
        <v>----</v>
      </c>
    </row>
    <row r="138" spans="2:18">
      <c r="I138" s="107"/>
      <c r="L138" s="37"/>
      <c r="M138" s="205"/>
      <c r="O138" t="str">
        <f t="shared" si="2"/>
        <v>----</v>
      </c>
    </row>
    <row r="139" spans="2:18">
      <c r="I139" s="107"/>
      <c r="L139" s="37"/>
      <c r="M139" s="205"/>
      <c r="O139" t="str">
        <f t="shared" si="2"/>
        <v>----</v>
      </c>
    </row>
    <row r="140" spans="2:18">
      <c r="I140" s="107"/>
      <c r="L140" s="37"/>
      <c r="M140" s="205"/>
      <c r="O140" t="str">
        <f t="shared" si="2"/>
        <v>----</v>
      </c>
    </row>
    <row r="141" spans="2:18">
      <c r="I141" s="107"/>
      <c r="L141" s="37"/>
      <c r="M141" s="205"/>
      <c r="O141" t="str">
        <f t="shared" si="2"/>
        <v>----</v>
      </c>
    </row>
    <row r="142" spans="2:18" ht="15" thickBot="1">
      <c r="I142" s="109"/>
      <c r="J142" s="315"/>
      <c r="K142" s="315"/>
      <c r="L142" s="316"/>
      <c r="M142" s="317"/>
      <c r="O142" t="str">
        <f t="shared" si="2"/>
        <v>----</v>
      </c>
    </row>
  </sheetData>
  <conditionalFormatting sqref="B8 E8 B21 E21">
    <cfRule type="expression" dxfId="126" priority="14">
      <formula>$B$109=0</formula>
    </cfRule>
  </conditionalFormatting>
  <conditionalFormatting sqref="B8">
    <cfRule type="expression" dxfId="125" priority="19">
      <formula>ROUND($C$8,2)=0</formula>
    </cfRule>
  </conditionalFormatting>
  <conditionalFormatting sqref="B21">
    <cfRule type="expression" dxfId="124" priority="21">
      <formula>ROUND($C$21,2)=0</formula>
    </cfRule>
  </conditionalFormatting>
  <conditionalFormatting sqref="B38">
    <cfRule type="expression" dxfId="123" priority="1">
      <formula>$B$109=0</formula>
    </cfRule>
    <cfRule type="expression" dxfId="122" priority="2">
      <formula>ROUND($D$21,2)=0</formula>
    </cfRule>
  </conditionalFormatting>
  <conditionalFormatting sqref="B9:E20">
    <cfRule type="expression" dxfId="121" priority="16">
      <formula>$B$109=0</formula>
    </cfRule>
  </conditionalFormatting>
  <conditionalFormatting sqref="B28:E37 C38:D38">
    <cfRule type="expression" dxfId="120" priority="13">
      <formula>$B$134=0</formula>
    </cfRule>
  </conditionalFormatting>
  <conditionalFormatting sqref="C7:D7">
    <cfRule type="expression" dxfId="119" priority="22">
      <formula>$B$109=0</formula>
    </cfRule>
  </conditionalFormatting>
  <conditionalFormatting sqref="C8:D8 C21:D21">
    <cfRule type="expression" dxfId="118" priority="17">
      <formula>$B$109=0</formula>
    </cfRule>
  </conditionalFormatting>
  <conditionalFormatting sqref="D5">
    <cfRule type="expression" dxfId="117" priority="23">
      <formula>$B$109=0</formula>
    </cfRule>
  </conditionalFormatting>
  <conditionalFormatting sqref="D26">
    <cfRule type="expression" dxfId="116" priority="12">
      <formula>$B$134=0</formula>
    </cfRule>
  </conditionalFormatting>
  <conditionalFormatting sqref="E8">
    <cfRule type="expression" dxfId="115" priority="18">
      <formula>ROUND($D$8,2)=0</formula>
    </cfRule>
  </conditionalFormatting>
  <conditionalFormatting sqref="E21">
    <cfRule type="expression" dxfId="114" priority="20">
      <formula>ROUND($D$21,2)=0</formula>
    </cfRule>
  </conditionalFormatting>
  <conditionalFormatting sqref="E38">
    <cfRule type="expression" dxfId="113" priority="3">
      <formula>$B$109=0</formula>
    </cfRule>
    <cfRule type="expression" dxfId="112" priority="4">
      <formula>ROUND($D$21,2)=0</formula>
    </cfRule>
  </conditionalFormatting>
  <conditionalFormatting sqref="H6:H25">
    <cfRule type="expression" dxfId="111" priority="5">
      <formula>$H6="?"</formula>
    </cfRule>
    <cfRule type="containsText" dxfId="110" priority="6" operator="containsText" text="OK">
      <formula>NOT(ISERROR(SEARCH("OK",H6)))</formula>
    </cfRule>
  </conditionalFormatting>
  <conditionalFormatting sqref="I6:M25">
    <cfRule type="expression" dxfId="109" priority="27">
      <formula>$I6&lt;&gt;""</formula>
    </cfRule>
  </conditionalFormatting>
  <conditionalFormatting sqref="I6:M26">
    <cfRule type="cellIs" dxfId="108" priority="28" operator="between">
      <formula>-0.000001</formula>
      <formula>0.000001</formula>
    </cfRule>
  </conditionalFormatting>
  <conditionalFormatting sqref="P3">
    <cfRule type="expression" dxfId="107" priority="11">
      <formula>MAX($Q$6:$Q$50)&lt;0.00001</formula>
    </cfRule>
    <cfRule type="expression" dxfId="106" priority="35">
      <formula>ROUND(SUM(#REF!),2)=0</formula>
    </cfRule>
  </conditionalFormatting>
  <conditionalFormatting sqref="P4">
    <cfRule type="notContainsText" dxfId="105" priority="9" operator="notContains" text="Doesn't">
      <formula>ISERROR(SEARCH("Doesn't",P4))</formula>
    </cfRule>
    <cfRule type="containsText" dxfId="104" priority="10" operator="containsText" text="Doesn't">
      <formula>NOT(ISERROR(SEARCH("Doesn't",P4)))</formula>
    </cfRule>
  </conditionalFormatting>
  <conditionalFormatting sqref="P4:P28">
    <cfRule type="endsWith" dxfId="103" priority="26" operator="endsWith" text="S:">
      <formula>RIGHT(P4,LEN("S:"))="S:"</formula>
    </cfRule>
  </conditionalFormatting>
  <conditionalFormatting sqref="Q5:Q50">
    <cfRule type="expression" dxfId="102" priority="24">
      <formula>AND(NOT(ISBLANK($Q5)),ROUND($Q5,2)&lt;&gt;0)</formula>
    </cfRule>
  </conditionalFormatting>
  <conditionalFormatting sqref="R6:R50">
    <cfRule type="expression" dxfId="101" priority="25">
      <formula>AND(NOT(ISBLANK($Q6)),ROUND($Q6,2)&lt;&gt;0)</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_xlfn.ANCHORARRAY(ProblemData!$F$812)</xm:f>
          </x14:formula1>
          <xm:sqref>I3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AQ216"/>
  <sheetViews>
    <sheetView workbookViewId="0"/>
  </sheetViews>
  <sheetFormatPr defaultColWidth="8.5703125" defaultRowHeight="14.45" outlineLevelRow="1" outlineLevelCol="1"/>
  <cols>
    <col min="1" max="1" width="3.7109375" style="182" customWidth="1"/>
    <col min="2" max="2" width="24.28515625" style="130" bestFit="1" customWidth="1"/>
    <col min="3" max="4" width="9.5703125" style="130" bestFit="1" customWidth="1"/>
    <col min="5" max="5" width="4.28515625" style="130" customWidth="1"/>
    <col min="6" max="6" width="4.28515625" style="130" customWidth="1" outlineLevel="1"/>
    <col min="7" max="8" width="10.7109375" style="130" customWidth="1" outlineLevel="1"/>
    <col min="9" max="9" width="3.42578125" style="130" customWidth="1" outlineLevel="1"/>
    <col min="10" max="10" width="3.42578125" style="130" customWidth="1"/>
    <col min="11" max="11" width="4" style="130" customWidth="1" outlineLevel="1"/>
    <col min="12" max="13" width="11.42578125" style="130" customWidth="1" outlineLevel="1"/>
    <col min="14" max="14" width="3.42578125" style="130" customWidth="1" outlineLevel="1"/>
    <col min="15" max="15" width="3.42578125" style="130" customWidth="1"/>
    <col min="16" max="16" width="10.42578125" style="130" customWidth="1" outlineLevel="1"/>
    <col min="17" max="18" width="10.7109375" style="130" customWidth="1" outlineLevel="1"/>
    <col min="19" max="19" width="10.42578125" style="130" customWidth="1" outlineLevel="1"/>
    <col min="20" max="20" width="4.7109375" style="179" bestFit="1" customWidth="1"/>
    <col min="21" max="22" width="8.5703125" style="130"/>
    <col min="23" max="26" width="8.5703125" style="384" customWidth="1"/>
    <col min="27" max="30" width="8.5703125" style="182" customWidth="1"/>
    <col min="31" max="31" width="8.5703125" style="384" customWidth="1"/>
    <col min="32" max="32" width="24.140625" style="130" customWidth="1"/>
    <col min="33" max="33" width="8.5703125" style="130" customWidth="1"/>
    <col min="34" max="34" width="24" style="130" customWidth="1"/>
    <col min="35" max="35" width="32.42578125" style="130" customWidth="1"/>
    <col min="36" max="36" width="35.85546875" style="130" customWidth="1"/>
    <col min="37" max="37" width="7.42578125" style="130" customWidth="1"/>
    <col min="38" max="38" width="31.85546875" style="130" customWidth="1"/>
    <col min="39" max="39" width="8.5703125" style="130" customWidth="1"/>
    <col min="40" max="40" width="12.140625" style="130" customWidth="1"/>
    <col min="41" max="41" width="12.85546875" style="130" customWidth="1"/>
    <col min="42" max="42" width="26.7109375" style="130" customWidth="1"/>
    <col min="43" max="43" width="8.5703125" style="130" customWidth="1"/>
    <col min="44" max="16384" width="8.5703125" style="130"/>
  </cols>
  <sheetData>
    <row r="1" spans="2:31" ht="15" thickBot="1">
      <c r="B1" s="141"/>
      <c r="C1" s="142" t="s">
        <v>1246</v>
      </c>
      <c r="D1" s="142"/>
      <c r="E1" s="143"/>
      <c r="F1" s="142" t="s">
        <v>1247</v>
      </c>
      <c r="G1" s="142"/>
      <c r="H1" s="142"/>
      <c r="I1" s="142"/>
      <c r="J1" s="143"/>
      <c r="K1" s="142" t="s">
        <v>1248</v>
      </c>
      <c r="L1" s="142"/>
      <c r="M1" s="142"/>
      <c r="N1" s="142"/>
      <c r="O1" s="143"/>
      <c r="P1" s="142" t="s">
        <v>697</v>
      </c>
      <c r="Q1" s="142"/>
      <c r="R1" s="142"/>
      <c r="S1" s="142"/>
      <c r="T1" s="178"/>
      <c r="U1" s="142" t="s">
        <v>1249</v>
      </c>
      <c r="V1" s="142"/>
      <c r="W1" s="384" t="s">
        <v>1250</v>
      </c>
      <c r="AE1" s="389"/>
    </row>
    <row r="2" spans="2:31" ht="15" thickBot="1">
      <c r="B2" s="144"/>
      <c r="C2" s="145" t="s">
        <v>1251</v>
      </c>
      <c r="D2" s="145" t="s">
        <v>1252</v>
      </c>
      <c r="E2" s="143"/>
      <c r="F2" s="146" t="s">
        <v>1253</v>
      </c>
      <c r="G2" s="145" t="s">
        <v>1251</v>
      </c>
      <c r="H2" s="145" t="s">
        <v>1252</v>
      </c>
      <c r="I2" s="146" t="s">
        <v>1253</v>
      </c>
      <c r="J2" s="143"/>
      <c r="K2" s="146" t="s">
        <v>1253</v>
      </c>
      <c r="L2" s="145" t="s">
        <v>1251</v>
      </c>
      <c r="M2" s="145" t="s">
        <v>1252</v>
      </c>
      <c r="N2" s="146" t="s">
        <v>1253</v>
      </c>
      <c r="O2" s="146"/>
      <c r="P2" s="147" t="s">
        <v>1186</v>
      </c>
      <c r="Q2" s="145" t="s">
        <v>1251</v>
      </c>
      <c r="R2" s="145" t="s">
        <v>1252</v>
      </c>
      <c r="S2" s="147" t="s">
        <v>1186</v>
      </c>
      <c r="T2" s="180"/>
      <c r="U2" s="145" t="s">
        <v>1251</v>
      </c>
      <c r="V2" s="145" t="s">
        <v>1252</v>
      </c>
    </row>
    <row r="3" spans="2:31" ht="18.600000000000001" thickBot="1">
      <c r="B3" s="398" t="s">
        <v>1254</v>
      </c>
      <c r="C3" s="396">
        <f>_xlfn.IFNA(IF(_xlfn.XLOOKUP(B3,BegBalanceSheet_Assets[Account],BegBalanceSheet_Assets[IncreasedBy])="Debit",_xlfn.XLOOKUP(B3,BegBalanceSheet_Assets[Account],BegBalanceSheet_Assets[Amount]),0),0)</f>
        <v>0</v>
      </c>
      <c r="D3" s="382"/>
      <c r="G3" s="373"/>
      <c r="L3" s="373"/>
      <c r="O3" s="363"/>
      <c r="P3" s="131"/>
      <c r="Q3" s="376"/>
      <c r="R3" s="375"/>
      <c r="S3" s="131"/>
      <c r="T3" s="364"/>
      <c r="U3" s="397">
        <f>IF(AC3&gt;0,AC3,0)</f>
        <v>0</v>
      </c>
      <c r="V3" s="377">
        <f>IF(AD3&gt;0,AD3,0)</f>
        <v>0</v>
      </c>
      <c r="AA3" s="182">
        <f>SUMIF(Journal[Debit Account],B3,Journal[Dr Amt])</f>
        <v>0</v>
      </c>
      <c r="AB3" s="184">
        <f>SUMIF(Journal[Credit Account],B3,Journal[Cr Amt])</f>
        <v>0</v>
      </c>
      <c r="AC3" s="183">
        <f>C3-D3+AA3-AB3</f>
        <v>0</v>
      </c>
      <c r="AD3" s="183">
        <f>D3-C3+AB3-AA3</f>
        <v>0</v>
      </c>
    </row>
    <row r="4" spans="2:31" hidden="1" outlineLevel="1">
      <c r="G4" s="361"/>
      <c r="H4" s="360"/>
      <c r="L4" s="361"/>
      <c r="M4" s="360"/>
      <c r="O4" s="363"/>
      <c r="P4" s="131" t="s">
        <v>862</v>
      </c>
      <c r="Q4" s="366" t="e">
        <f>IF(Net_Income&gt;0,Net_Income,0)</f>
        <v>#NAME?</v>
      </c>
      <c r="R4" s="365" t="e">
        <f>IF(Net_Income&gt;0,0,-Net_Income)</f>
        <v>#NAME?</v>
      </c>
      <c r="S4" s="131" t="s">
        <v>1255</v>
      </c>
      <c r="T4" s="364"/>
      <c r="AA4" s="182" t="s">
        <v>1256</v>
      </c>
      <c r="AB4" s="182" t="s">
        <v>1257</v>
      </c>
    </row>
    <row r="5" spans="2:31" hidden="1" outlineLevel="1">
      <c r="B5" s="131"/>
      <c r="G5" s="361"/>
      <c r="H5" s="360"/>
      <c r="L5" s="361"/>
      <c r="M5" s="360"/>
      <c r="P5" s="148"/>
      <c r="Q5" s="177" t="s">
        <v>896</v>
      </c>
      <c r="R5" s="177"/>
      <c r="S5" s="148"/>
    </row>
    <row r="6" spans="2:31" hidden="1" outlineLevel="1">
      <c r="B6" s="131"/>
      <c r="G6" s="361"/>
      <c r="H6" s="360"/>
      <c r="L6" s="361"/>
      <c r="M6" s="360"/>
      <c r="P6" s="360"/>
      <c r="Q6" s="361"/>
      <c r="R6" s="360"/>
      <c r="S6" s="362"/>
    </row>
    <row r="7" spans="2:31" ht="18" hidden="1" outlineLevel="1">
      <c r="B7" s="355"/>
      <c r="G7" s="361"/>
      <c r="H7" s="360"/>
      <c r="L7" s="361"/>
      <c r="M7" s="360"/>
      <c r="P7" s="360"/>
      <c r="Q7" s="361"/>
      <c r="R7" s="360"/>
      <c r="S7" s="362"/>
    </row>
    <row r="8" spans="2:31" hidden="1" outlineLevel="1">
      <c r="B8" s="131"/>
      <c r="G8" s="361"/>
      <c r="H8" s="360"/>
      <c r="L8" s="361"/>
      <c r="M8" s="360"/>
      <c r="P8" s="360"/>
      <c r="Q8" s="361"/>
      <c r="R8" s="360"/>
      <c r="S8" s="362"/>
    </row>
    <row r="9" spans="2:31" hidden="1" outlineLevel="1">
      <c r="B9" s="131"/>
      <c r="G9" s="361"/>
      <c r="H9" s="360"/>
      <c r="L9" s="361"/>
      <c r="M9" s="360"/>
      <c r="P9" s="360"/>
      <c r="Q9" s="361"/>
      <c r="R9" s="360"/>
      <c r="S9" s="362"/>
    </row>
    <row r="10" spans="2:31" hidden="1" outlineLevel="1">
      <c r="B10" s="131"/>
      <c r="G10" s="361"/>
      <c r="H10" s="360"/>
      <c r="L10" s="361"/>
      <c r="M10" s="360"/>
      <c r="P10" s="148"/>
      <c r="Q10" s="177" t="s">
        <v>1258</v>
      </c>
      <c r="R10" s="177"/>
      <c r="S10" s="148"/>
    </row>
    <row r="11" spans="2:31" hidden="1" outlineLevel="1">
      <c r="B11" s="131"/>
      <c r="G11" s="361"/>
      <c r="H11" s="360"/>
      <c r="L11" s="361"/>
      <c r="M11" s="360"/>
      <c r="P11" s="130" t="str" cm="1">
        <f t="array" aca="1" ref="P11" ca="1">_xlfn._xlws.FILTER(P28:Q28:Q215,Q28:Q215&gt;0,"")</f>
        <v/>
      </c>
      <c r="Q11" s="379"/>
      <c r="R11" s="380" t="str" cm="1">
        <f t="array" aca="1" ref="R11" ca="1">_xlfn._xlws.FILTER(R28:S215,R28:R215&gt;0,"")</f>
        <v/>
      </c>
      <c r="S11" s="135"/>
    </row>
    <row r="12" spans="2:31" hidden="1" outlineLevel="1">
      <c r="B12" s="131"/>
      <c r="G12" s="361"/>
      <c r="H12" s="360"/>
      <c r="L12" s="361"/>
      <c r="M12" s="360"/>
      <c r="Q12" s="379"/>
      <c r="R12" s="380"/>
      <c r="S12" s="135"/>
    </row>
    <row r="13" spans="2:31" hidden="1" outlineLevel="1">
      <c r="B13" s="131"/>
      <c r="G13" s="361"/>
      <c r="H13" s="360"/>
      <c r="L13" s="361"/>
      <c r="M13" s="360"/>
      <c r="Q13" s="379"/>
      <c r="R13" s="380"/>
      <c r="S13" s="135"/>
    </row>
    <row r="14" spans="2:31" hidden="1" outlineLevel="1">
      <c r="B14" s="131"/>
      <c r="G14" s="361"/>
      <c r="H14" s="360"/>
      <c r="L14" s="361"/>
      <c r="M14" s="360"/>
      <c r="Q14" s="379"/>
      <c r="R14" s="380"/>
      <c r="S14" s="135"/>
    </row>
    <row r="15" spans="2:31" hidden="1" outlineLevel="1">
      <c r="B15" s="131"/>
      <c r="G15" s="361"/>
      <c r="H15" s="360"/>
      <c r="L15" s="361"/>
      <c r="M15" s="360"/>
      <c r="Q15" s="379"/>
      <c r="R15" s="380"/>
      <c r="S15" s="135"/>
    </row>
    <row r="16" spans="2:31" hidden="1" outlineLevel="1">
      <c r="B16" s="131"/>
      <c r="G16" s="361"/>
      <c r="H16" s="360"/>
      <c r="L16" s="361"/>
      <c r="M16" s="360"/>
      <c r="Q16" s="379"/>
      <c r="R16" s="380"/>
      <c r="S16" s="135"/>
    </row>
    <row r="17" spans="1:43" hidden="1" outlineLevel="1">
      <c r="B17" s="131"/>
      <c r="G17" s="361"/>
      <c r="H17" s="360"/>
      <c r="L17" s="361"/>
      <c r="M17" s="360"/>
      <c r="Q17" s="379"/>
      <c r="R17" s="380"/>
      <c r="S17" s="135"/>
    </row>
    <row r="18" spans="1:43" hidden="1" outlineLevel="1">
      <c r="B18" s="131"/>
      <c r="G18" s="361"/>
      <c r="H18" s="360"/>
      <c r="L18" s="361"/>
      <c r="M18" s="360"/>
      <c r="Q18" s="379"/>
      <c r="R18" s="380"/>
      <c r="S18" s="135"/>
    </row>
    <row r="19" spans="1:43" hidden="1" outlineLevel="1">
      <c r="B19" s="131"/>
      <c r="G19" s="361"/>
      <c r="H19" s="360"/>
      <c r="L19" s="361"/>
      <c r="M19" s="360"/>
      <c r="Q19" s="379"/>
      <c r="R19" s="380"/>
      <c r="S19" s="135"/>
    </row>
    <row r="20" spans="1:43" hidden="1" outlineLevel="1">
      <c r="B20" s="131"/>
      <c r="G20" s="361"/>
      <c r="H20" s="360"/>
      <c r="L20" s="361"/>
      <c r="M20" s="360"/>
      <c r="Q20" s="379"/>
      <c r="R20" s="380"/>
      <c r="S20" s="135"/>
    </row>
    <row r="21" spans="1:43" hidden="1" outlineLevel="1">
      <c r="B21" s="131"/>
      <c r="G21" s="361"/>
      <c r="H21" s="360"/>
      <c r="L21" s="361"/>
      <c r="M21" s="360"/>
      <c r="Q21" s="379"/>
      <c r="R21" s="380"/>
      <c r="S21" s="135"/>
      <c r="U21" s="381"/>
    </row>
    <row r="22" spans="1:43" hidden="1" outlineLevel="1">
      <c r="B22" s="131" t="s">
        <v>1259</v>
      </c>
      <c r="F22" s="358"/>
      <c r="G22" s="356" cm="1">
        <f t="array" ref="G22">_xlfn.IFNA(_xlfn.IFS((G23&gt;0)*(SUM(G4:G21)-SUM(H4:H21)-G23&lt;0),-(SUM(G4:G21)-SUM(H4:H21)-G23),(H23&gt;0)*(SUM(H4:H21)-SUM(G4:G21)-H23)&gt;0,SUM(H4:H21)-SUM(G4:G21)-H23),0)</f>
        <v>0</v>
      </c>
      <c r="H22" s="357" cm="1">
        <f t="array" ref="H22">_xlfn.IFNA(_xlfn.IFS((G23&gt;0)*(SUM(G4:G21)-SUM(H4:H21)-G23&gt;0),SUM(G4:G21)-SUM(H4:H21)-G23,(H23&gt;0)*(SUM(H4:H21)-SUM(G4:G21)-H23)&lt;0,-(SUM(H4:H21)-SUM(G4:G21)-H23)),0)</f>
        <v>0</v>
      </c>
      <c r="I22" s="132"/>
      <c r="J22" s="371"/>
      <c r="K22" s="371"/>
      <c r="L22" s="356" cm="1">
        <f t="array" ref="L22">_xlfn.IFNA(_xlfn.IFS((L23&gt;0)*(SUM(L4:L21)-SUM(M4:M21)-L23&lt;0),-(SUM(L4:L21)-SUM(M4:M21)-L23),(M23&gt;0)*(SUM(M4:M21)-SUM(L4:L21)-M23)&gt;0,SUM(M4:M21)-SUM(L4:L21)-M23),0)</f>
        <v>0</v>
      </c>
      <c r="M22" s="357" cm="1">
        <f t="array" ref="M22">_xlfn.IFNA(_xlfn.IFS((L23&gt;0)*(SUM(L4:L21)-SUM(M4:M21)-L23&gt;0),SUM(L4:L21)-SUM(M4:M21)-L23,(M23&gt;0)*(SUM(M4:M21)-SUM(L4:L21)-M23)&lt;0,-(SUM(M4:M21)-SUM(L4:L21)-M23)),0)</f>
        <v>0</v>
      </c>
      <c r="N22" s="371"/>
      <c r="O22" s="371"/>
      <c r="P22" s="378"/>
      <c r="Q22" s="356" t="e" cm="1">
        <f t="array" ref="Q22">_xlfn.IFNA(_xlfn.IFS((Q23&gt;0)*(SUM(Q4:Q21)-SUM(R4:R21)-Q23&lt;0),-(SUM(Q4:Q21)-SUM(R4:R21)-Q23),(R23&gt;0)*(SUM(R4:R21)-SUM(Q4:Q21)-R23)&gt;0,SUM(R4:R21)-SUM(Q4:Q21)-R23),0)</f>
        <v>#NAME?</v>
      </c>
      <c r="R22" s="357" t="e" cm="1">
        <f t="array" ref="R22">_xlfn.IFNA(_xlfn.IFS((Q23&gt;0)*(SUM(Q4:Q21)-SUM(R4:R21)-Q23&gt;0),SUM(Q4:Q21)-SUM(R4:R21)-Q23,(R23&gt;0)*(SUM(R4:R21)-SUM(Q4:Q21)-R23)&lt;0,-(SUM(R4:R21)-SUM(Q4:Q21)-R23)),0)</f>
        <v>#NAME?</v>
      </c>
      <c r="S22" s="358"/>
    </row>
    <row r="23" spans="1:43" hidden="1" outlineLevel="1">
      <c r="B23" s="131" t="s">
        <v>1260</v>
      </c>
      <c r="F23" s="358" t="s">
        <v>1051</v>
      </c>
      <c r="G23" s="367">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23" s="368">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23" s="358" t="s">
        <v>1051</v>
      </c>
      <c r="K23" s="358" t="s">
        <v>1052</v>
      </c>
      <c r="L23" s="367">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M23" s="368">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N23" s="358" t="s">
        <v>1052</v>
      </c>
      <c r="P23" s="369" t="s">
        <v>1050</v>
      </c>
      <c r="Q23" s="367">
        <f>IF(SUMIFS(Journal[Dr Amt],Journal[Debit Account],"Cash",Journal[Cash Flow],"Operating")-(SUMIFS(Journal[Cr Amt],Journal[Credit Account],"Cash",Journal[Cash Flow],"Operating"))&gt;0,SUMIFS(Journal[Dr Amt],Journal[Debit Account],"Cash",Journal[Cash Flow],"Operating")-(SUMIFS(Journal[Cr Amt],Journal[Credit Account],"Cash",Journal[Cash Flow],"Operating")),0)</f>
        <v>0</v>
      </c>
      <c r="R23" s="368">
        <f>IF(SUMIFS(Journal[Dr Amt],Journal[Debit Account],"Cash",Journal[Cash Flow],"Operating")-(SUMIFS(Journal[Cr Amt],Journal[Credit Account],"Cash",Journal[Cash Flow],"Operating"))&gt;0,0,-SUMIFS(Journal[Dr Amt],Journal[Debit Account],"Cash",Journal[Cash Flow],"Operating")+(SUMIFS(Journal[Cr Amt],Journal[Credit Account],"Cash",Journal[Cash Flow],"Operating")))</f>
        <v>0</v>
      </c>
      <c r="S23" s="358" t="s">
        <v>1050</v>
      </c>
      <c r="U23" s="381"/>
    </row>
    <row r="24" spans="1:43" hidden="1" outlineLevel="1">
      <c r="B24" s="131"/>
      <c r="F24" s="358"/>
      <c r="G24" s="372"/>
      <c r="H24" s="372"/>
      <c r="I24" s="370"/>
      <c r="J24" s="371"/>
      <c r="K24" s="370"/>
      <c r="L24" s="372"/>
      <c r="M24" s="372"/>
      <c r="N24" s="370"/>
      <c r="O24" s="371"/>
      <c r="P24" s="370"/>
      <c r="Q24" s="372"/>
      <c r="R24" s="372"/>
      <c r="S24" s="359"/>
      <c r="AE24" s="384">
        <f>COUNTA(AF28:AF100)+27</f>
        <v>39</v>
      </c>
    </row>
    <row r="25" spans="1:43" ht="15" hidden="1" outlineLevel="1" thickBot="1">
      <c r="B25" s="141"/>
      <c r="C25" s="142" t="s">
        <v>1246</v>
      </c>
      <c r="D25" s="142"/>
      <c r="E25" s="143"/>
      <c r="F25" s="142" t="s">
        <v>1261</v>
      </c>
      <c r="G25" s="142"/>
      <c r="H25" s="142"/>
      <c r="I25" s="142"/>
      <c r="J25" s="143"/>
      <c r="K25" s="142" t="s">
        <v>1262</v>
      </c>
      <c r="L25" s="142"/>
      <c r="M25" s="142"/>
      <c r="N25" s="142"/>
      <c r="O25" s="143"/>
      <c r="P25" s="142" t="s">
        <v>1263</v>
      </c>
      <c r="Q25" s="142"/>
      <c r="R25" s="142"/>
      <c r="S25" s="142"/>
      <c r="T25" s="178"/>
      <c r="U25" s="142" t="s">
        <v>1249</v>
      </c>
      <c r="V25" s="142"/>
      <c r="AE25" s="384" t="str">
        <f>"AC28:AC"&amp;AE24</f>
        <v>AC28:AC39</v>
      </c>
    </row>
    <row r="26" spans="1:43" ht="15" hidden="1" outlineLevel="1" thickBot="1">
      <c r="B26" s="144"/>
      <c r="C26" s="145" t="s">
        <v>1251</v>
      </c>
      <c r="D26" s="145" t="s">
        <v>1252</v>
      </c>
      <c r="E26" s="143"/>
      <c r="F26" s="146" t="s">
        <v>1253</v>
      </c>
      <c r="G26" s="145" t="s">
        <v>1251</v>
      </c>
      <c r="H26" s="145" t="s">
        <v>1252</v>
      </c>
      <c r="I26" s="146" t="s">
        <v>1253</v>
      </c>
      <c r="J26" s="143"/>
      <c r="K26" s="146" t="s">
        <v>1253</v>
      </c>
      <c r="L26" s="145" t="s">
        <v>1251</v>
      </c>
      <c r="M26" s="145" t="s">
        <v>1252</v>
      </c>
      <c r="N26" s="146" t="s">
        <v>1253</v>
      </c>
      <c r="O26" s="146"/>
      <c r="P26" s="147" t="s">
        <v>1186</v>
      </c>
      <c r="Q26" s="145" t="s">
        <v>1251</v>
      </c>
      <c r="R26" s="145" t="s">
        <v>1252</v>
      </c>
      <c r="S26" s="147" t="s">
        <v>1186</v>
      </c>
      <c r="T26" s="180"/>
      <c r="U26" s="145" t="s">
        <v>1251</v>
      </c>
      <c r="V26" s="145" t="s">
        <v>1252</v>
      </c>
      <c r="AF26" s="384"/>
    </row>
    <row r="27" spans="1:43" ht="15" hidden="1" outlineLevel="1" thickBot="1">
      <c r="B27" s="385" t="s">
        <v>65</v>
      </c>
      <c r="C27" s="386"/>
      <c r="D27" s="386"/>
      <c r="E27" s="386"/>
      <c r="F27" s="386"/>
      <c r="G27" s="386"/>
      <c r="H27" s="386"/>
      <c r="I27" s="386"/>
      <c r="J27" s="386"/>
      <c r="K27" s="386"/>
      <c r="L27" s="386"/>
      <c r="M27" s="386"/>
      <c r="N27" s="386"/>
      <c r="O27" s="386"/>
      <c r="P27" s="386"/>
      <c r="Q27" s="386"/>
      <c r="R27" s="386"/>
      <c r="S27" s="387"/>
      <c r="T27" s="388"/>
      <c r="U27" s="386"/>
      <c r="V27" s="386"/>
      <c r="AE27" s="384">
        <v>0</v>
      </c>
      <c r="AF27" s="130" t="str" cm="1">
        <f t="array" ref="AF27:AF39">_xlfn.VSTACK("Assets",_xlfn._xlws.FILTER(MD_Asset[Account Name],(MD_Asset[Used]=1)*(MD_Asset[Abbr]&lt;&gt;"CSH"),""),"Liabilities",_xlfn._xlws.FILTER(MD_Liability[Account Name],MD_Liability[Used]=1,""),"Equities",_xlfn._xlws.FILTER(MD_Equity[Account Name],MD_Equity[Used]=1))</f>
        <v>Assets</v>
      </c>
      <c r="AK27" s="391"/>
      <c r="AL27" s="391"/>
      <c r="AN27" s="130" t="s">
        <v>1264</v>
      </c>
      <c r="AO27" s="130" t="s">
        <v>1265</v>
      </c>
      <c r="AQ27" s="130" t="s">
        <v>106</v>
      </c>
    </row>
    <row r="28" spans="1:43" collapsed="1">
      <c r="A28" s="182">
        <v>1</v>
      </c>
      <c r="B28" s="181" t="str">
        <f ca="1">_xlfn.IFNA(_xlfn.XLOOKUP(A28,$AE$28:$AE$108,$AF$28:$AF$108,""),"")</f>
        <v>Accounts Receivable</v>
      </c>
      <c r="C28" s="159">
        <f ca="1">_xlfn.IFNA(_xlfn.XLOOKUP(B28,$AF$28:$AF$108,$AN$28:$AN$108,0),0)</f>
        <v>0</v>
      </c>
      <c r="D28" s="160">
        <f ca="1">_xlfn.IFNA(_xlfn.XLOOKUP(B28,$AF$28:$AF$108,$AO$28:$AO$108,0),0)</f>
        <v>0</v>
      </c>
      <c r="F28" s="152"/>
      <c r="G28" s="161"/>
      <c r="H28" s="162"/>
      <c r="I28" s="152"/>
      <c r="K28" s="152"/>
      <c r="L28" s="161"/>
      <c r="M28" s="162"/>
      <c r="N28" s="152"/>
      <c r="P28" s="155" t="str" cm="1">
        <f t="array" aca="1" ref="P28" ca="1">$W$1&amp;_xlfn.XLOOKUP(B28,AF$28:$AF$108,$AQ$28:$AQ$108,"")</f>
        <v>ΔAR</v>
      </c>
      <c r="Q28" s="383">
        <f ca="1">IF((U28-V28)-(C28-D28)-SUM(G28:G31)+SUM(H28:H31)-SUM(L28:L31)+SUM(M28:M31)&gt;0,(U28-V28)-(C28-D28)-SUM(G28:G31)+SUM(H28:H31)-SUM(L28:L31)+SUM(M28:M31),0)</f>
        <v>0</v>
      </c>
      <c r="R28" s="374">
        <f ca="1">IF((U28-V28)-(C28-D28)-SUM(G28:G31)+SUM(H28:H31)-SUM(L28:L31)+SUM(M28:M31)&lt;0,-((U28-V28)-(C28-D28)-SUM(G28:G31)+SUM(H28:H31)-SUM(L28:L31)+SUM(M28:M31)),0)</f>
        <v>0</v>
      </c>
      <c r="S28" s="187" t="str">
        <f ca="1">P28</f>
        <v>ΔAR</v>
      </c>
      <c r="U28" s="159">
        <f ca="1">IF(AC28&gt;0,AC28,0)</f>
        <v>0</v>
      </c>
      <c r="V28" s="160">
        <f ca="1">IF(AD28&gt;0,AD28,0)</f>
        <v>0</v>
      </c>
      <c r="W28" s="390">
        <f ca="1">IF(B28&lt;&gt;"",1,0)</f>
        <v>1</v>
      </c>
      <c r="X28" s="390"/>
      <c r="Y28" s="390"/>
      <c r="Z28" s="390"/>
      <c r="AA28" s="394">
        <f ca="1">SUMIF(Journal[Debit Account],B28,Journal[Dr Amt])</f>
        <v>0</v>
      </c>
      <c r="AB28" s="394">
        <f ca="1">SUMIF(Journal[Credit Account],B28,Journal[Cr Amt])</f>
        <v>0</v>
      </c>
      <c r="AC28" s="389">
        <f ca="1">C28-D28+AA28-AB28</f>
        <v>0</v>
      </c>
      <c r="AD28" s="389">
        <f ca="1">D28-C28+AB28-AA28</f>
        <v>0</v>
      </c>
      <c r="AE28" s="384" cm="1">
        <f t="array" aca="1" ref="AE28:AE39" ca="1">_xlfn.SEQUENCE(ROWS(INDIRECT(AE25)),1,1,4)</f>
        <v>1</v>
      </c>
      <c r="AF28" s="138" t="str">
        <v>Accounts Receivable</v>
      </c>
      <c r="AG28" s="392" t="str" cm="1">
        <f t="array" ref="AG28">_xlfn.IFNA(_xlfn.IFS(ISNUMBER(MATCH(AF28,MD_Asset[Account Name],0)),"Assets",ISNUMBER(MATCH(AF28,MD_Liability[Account Name],0)),"Liabilities",ISNUMBER(MATCH(AF28,MD_Equity[Account Name],0)),"Equities"),"")</f>
        <v>Assets</v>
      </c>
      <c r="AH28" s="392" t="str">
        <f>IF(AG28&lt;&gt;"","BegBalanceSheet_"&amp;AG28,"")</f>
        <v>BegBalanceSheet_Assets</v>
      </c>
      <c r="AI28" s="392" t="str">
        <f>IF(AG28&lt;&gt;"",AH28&amp;"[Account]","")</f>
        <v>BegBalanceSheet_Assets[Account]</v>
      </c>
      <c r="AJ28" s="392" t="str">
        <f>IF(AG28&lt;&gt;"",AH28&amp;"[IncreasedBy]","")</f>
        <v>BegBalanceSheet_Assets[IncreasedBy]</v>
      </c>
      <c r="AK28" s="392" t="str" cm="1">
        <f t="array" aca="1" ref="AK28" ca="1">IFERROR(_xlfn.XLOOKUP(AF28,INDIRECT(AI28),INDIRECT(AJ28),""),"")</f>
        <v>Debit</v>
      </c>
      <c r="AL28" s="392" t="str">
        <f>IF(AG28&lt;&gt;"",AH28&amp;"[Amount]","")</f>
        <v>BegBalanceSheet_Assets[Amount]</v>
      </c>
      <c r="AM28" s="392" cm="1">
        <f t="array" aca="1" ref="AM28" ca="1">IF(AG28&lt;&gt;"",_xlfn.XLOOKUP(AF28,INDIRECT(AI28),INDIRECT(AL28)),"")</f>
        <v>0</v>
      </c>
      <c r="AN28" s="392" cm="1">
        <f t="array" aca="1" ref="AN28" ca="1">_xlfn.IFNA(_xlfn.IFS(AND(AG28="Assets",AK28="Debit",AM28&gt;0),AM28,AND(AG28="Equities",AM28&lt;0),-AM28),0)</f>
        <v>0</v>
      </c>
      <c r="AO28" s="139" cm="1">
        <f t="array" aca="1" ref="AO28" ca="1">_xlfn.IFNA(_xlfn.IFS(AND(AG28="Assets",AK28="Credit",AM28&lt;0),-AM28,AND(AG28="Equities",AM28&gt;0),AM28,AG28="Liabilities",AM28),0)</f>
        <v>0</v>
      </c>
      <c r="AP28" s="130" t="str">
        <f>IF(AG28&lt;&gt;"",AH28&amp;"[Abbr]","")</f>
        <v>BegBalanceSheet_Assets[Abbr]</v>
      </c>
      <c r="AQ28" s="130" t="str" cm="1">
        <f t="array" aca="1" ref="AQ28" ca="1">IF(AP28&lt;&gt;"",_xlfn.XLOOKUP(AF28,INDIRECT(AI28),INDIRECT(AP28),""),"")</f>
        <v>AR</v>
      </c>
    </row>
    <row r="29" spans="1:43" outlineLevel="1">
      <c r="A29" s="182">
        <v>2</v>
      </c>
      <c r="B29" s="158" t="str">
        <f t="shared" ref="B29:B92" ca="1" si="0">_xlfn.IFNA(_xlfn.XLOOKUP(A29,$AE$28:$AE$108,$AF$28:$AF$108,""),"")</f>
        <v/>
      </c>
      <c r="C29" s="159"/>
      <c r="D29" s="160"/>
      <c r="F29" s="152"/>
      <c r="G29" s="161"/>
      <c r="H29" s="162"/>
      <c r="I29" s="152"/>
      <c r="K29" s="152"/>
      <c r="L29" s="161"/>
      <c r="M29" s="162"/>
      <c r="N29" s="152"/>
      <c r="P29" s="135"/>
      <c r="Q29" s="163"/>
      <c r="S29" s="135"/>
      <c r="U29" s="164"/>
      <c r="V29" s="158"/>
      <c r="W29" s="390">
        <f ca="1">IF(B28&lt;&gt;"",1,0)</f>
        <v>1</v>
      </c>
      <c r="X29" s="390"/>
      <c r="Y29" s="390"/>
      <c r="Z29" s="390"/>
      <c r="AA29" s="394"/>
      <c r="AB29" s="394"/>
      <c r="AC29" s="389"/>
      <c r="AD29" s="389"/>
      <c r="AE29" s="384">
        <f ca="1"/>
        <v>5</v>
      </c>
      <c r="AF29" s="133" t="str">
        <v>Inventories</v>
      </c>
      <c r="AG29" s="130" t="str" cm="1">
        <f t="array" ref="AG29">_xlfn.IFNA(_xlfn.IFS(ISNUMBER(MATCH(AF29,MD_Asset[Account Name],0)),"Assets",ISNUMBER(MATCH(AF29,MD_Liability[Account Name],0)),"Liabilities",ISNUMBER(MATCH(AF29,MD_Equity[Account Name],0)),"Equities"),"")</f>
        <v>Assets</v>
      </c>
      <c r="AH29" s="130" t="str">
        <f t="shared" ref="AH29:AH92" si="1">IF(AG29&lt;&gt;"","BegBalanceSheet_"&amp;AG29,"")</f>
        <v>BegBalanceSheet_Assets</v>
      </c>
      <c r="AI29" s="130" t="str">
        <f t="shared" ref="AI29:AI92" si="2">IF(AG29&lt;&gt;"",AH29&amp;"[Account]","")</f>
        <v>BegBalanceSheet_Assets[Account]</v>
      </c>
      <c r="AJ29" s="130" t="str">
        <f t="shared" ref="AJ29:AJ92" si="3">IF(AG29&lt;&gt;"",AH29&amp;"[IncreasedBy]","")</f>
        <v>BegBalanceSheet_Assets[IncreasedBy]</v>
      </c>
      <c r="AK29" s="130" t="str" cm="1">
        <f t="array" aca="1" ref="AK29" ca="1">IFERROR(_xlfn.XLOOKUP(AF29,INDIRECT(AI29),INDIRECT(AJ29),""),"")</f>
        <v>Debit</v>
      </c>
      <c r="AL29" s="130" t="str">
        <f t="shared" ref="AL29:AL92" si="4">IF(AG29&lt;&gt;"",AH29&amp;"[Amount]","")</f>
        <v>BegBalanceSheet_Assets[Amount]</v>
      </c>
      <c r="AM29" s="130" cm="1">
        <f t="array" aca="1" ref="AM29" ca="1">IF(AG29&lt;&gt;"",_xlfn.XLOOKUP(AF29,INDIRECT(AI29),INDIRECT(AL29)),"")</f>
        <v>0</v>
      </c>
      <c r="AN29" s="130" cm="1">
        <f t="array" aca="1" ref="AN29" ca="1">_xlfn.IFNA(_xlfn.IFS(AND(AG29="Assets",AK29="Debit",AM29&gt;0),AM29,AND(AG29="Equities",AM29&lt;0),-AM29),0)</f>
        <v>0</v>
      </c>
      <c r="AO29" s="134" cm="1">
        <f t="array" aca="1" ref="AO29" ca="1">_xlfn.IFNA(_xlfn.IFS(AND(AG29="Assets",AK29="Credit",AM29&lt;0),-AM29,AND(AG29="Equities",AM29&gt;0),AM29,AG29="Liabilities",AM29),0)</f>
        <v>0</v>
      </c>
      <c r="AP29" s="130" t="str">
        <f t="shared" ref="AP29:AP92" si="5">IF(AG29&lt;&gt;"",AH29&amp;"[Abbr]","")</f>
        <v>BegBalanceSheet_Assets[Abbr]</v>
      </c>
      <c r="AQ29" s="130" t="str" cm="1">
        <f t="array" aca="1" ref="AQ29" ca="1">IF(AP29&lt;&gt;"",_xlfn.XLOOKUP(AF29,INDIRECT(AI29),INDIRECT(AP29),""),"")</f>
        <v>Inv</v>
      </c>
    </row>
    <row r="30" spans="1:43" outlineLevel="1">
      <c r="A30" s="182">
        <v>3</v>
      </c>
      <c r="B30" s="158" t="str">
        <f t="shared" ca="1" si="0"/>
        <v/>
      </c>
      <c r="C30" s="159"/>
      <c r="D30" s="160"/>
      <c r="F30" s="152"/>
      <c r="G30" s="161"/>
      <c r="H30" s="162"/>
      <c r="I30" s="152"/>
      <c r="K30" s="152"/>
      <c r="L30" s="161"/>
      <c r="M30" s="162"/>
      <c r="N30" s="152"/>
      <c r="P30" s="135"/>
      <c r="Q30" s="163"/>
      <c r="S30" s="135"/>
      <c r="U30" s="164"/>
      <c r="V30" s="158"/>
      <c r="W30" s="390">
        <f ca="1">IF(B28&lt;&gt;"",1,0)</f>
        <v>1</v>
      </c>
      <c r="X30" s="390"/>
      <c r="Y30" s="390"/>
      <c r="Z30" s="390"/>
      <c r="AA30" s="394"/>
      <c r="AB30" s="394"/>
      <c r="AC30" s="389"/>
      <c r="AD30" s="389"/>
      <c r="AE30" s="384">
        <f ca="1"/>
        <v>9</v>
      </c>
      <c r="AF30" s="133" t="str">
        <v>Property, Plant &amp; Equipment</v>
      </c>
      <c r="AG30" s="130" t="str" cm="1">
        <f t="array" ref="AG30">_xlfn.IFNA(_xlfn.IFS(ISNUMBER(MATCH(AF30,MD_Asset[Account Name],0)),"Assets",ISNUMBER(MATCH(AF30,MD_Liability[Account Name],0)),"Liabilities",ISNUMBER(MATCH(AF30,MD_Equity[Account Name],0)),"Equities"),"")</f>
        <v>Assets</v>
      </c>
      <c r="AH30" s="130" t="str">
        <f t="shared" si="1"/>
        <v>BegBalanceSheet_Assets</v>
      </c>
      <c r="AI30" s="130" t="str">
        <f t="shared" si="2"/>
        <v>BegBalanceSheet_Assets[Account]</v>
      </c>
      <c r="AJ30" s="130" t="str">
        <f t="shared" si="3"/>
        <v>BegBalanceSheet_Assets[IncreasedBy]</v>
      </c>
      <c r="AK30" s="130" t="str" cm="1">
        <f t="array" aca="1" ref="AK30" ca="1">IFERROR(_xlfn.XLOOKUP(AF30,INDIRECT(AI30),INDIRECT(AJ30),""),"")</f>
        <v>Debit</v>
      </c>
      <c r="AL30" s="130" t="str">
        <f t="shared" si="4"/>
        <v>BegBalanceSheet_Assets[Amount]</v>
      </c>
      <c r="AM30" s="130" cm="1">
        <f t="array" aca="1" ref="AM30" ca="1">IF(AG30&lt;&gt;"",_xlfn.XLOOKUP(AF30,INDIRECT(AI30),INDIRECT(AL30)),"")</f>
        <v>0</v>
      </c>
      <c r="AN30" s="130" cm="1">
        <f t="array" aca="1" ref="AN30" ca="1">_xlfn.IFNA(_xlfn.IFS(AND(AG30="Assets",AK30="Debit",AM30&gt;0),AM30,AND(AG30="Equities",AM30&lt;0),-AM30),0)</f>
        <v>0</v>
      </c>
      <c r="AO30" s="134" cm="1">
        <f t="array" aca="1" ref="AO30" ca="1">_xlfn.IFNA(_xlfn.IFS(AND(AG30="Assets",AK30="Credit",AM30&lt;0),-AM30,AND(AG30="Equities",AM30&gt;0),AM30,AG30="Liabilities",AM30),0)</f>
        <v>0</v>
      </c>
      <c r="AP30" s="130" t="str">
        <f t="shared" si="5"/>
        <v>BegBalanceSheet_Assets[Abbr]</v>
      </c>
      <c r="AQ30" s="130" t="str" cm="1">
        <f t="array" aca="1" ref="AQ30" ca="1">IF(AP30&lt;&gt;"",_xlfn.XLOOKUP(AF30,INDIRECT(AI30),INDIRECT(AP30),""),"")</f>
        <v>PPE</v>
      </c>
    </row>
    <row r="31" spans="1:43" outlineLevel="1">
      <c r="A31" s="182">
        <v>4</v>
      </c>
      <c r="B31" s="165" t="str">
        <f t="shared" ca="1" si="0"/>
        <v/>
      </c>
      <c r="C31" s="166"/>
      <c r="D31" s="167"/>
      <c r="F31" s="152"/>
      <c r="G31" s="168"/>
      <c r="H31" s="169"/>
      <c r="I31" s="152"/>
      <c r="K31" s="152"/>
      <c r="L31" s="168"/>
      <c r="M31" s="169"/>
      <c r="N31" s="152"/>
      <c r="P31" s="135"/>
      <c r="Q31" s="170"/>
      <c r="R31" s="171"/>
      <c r="S31" s="135"/>
      <c r="U31" s="172"/>
      <c r="V31" s="165"/>
      <c r="W31" s="390">
        <f ca="1">IF(B28&lt;&gt;"",1,0)</f>
        <v>1</v>
      </c>
      <c r="X31" s="390"/>
      <c r="Y31" s="390"/>
      <c r="Z31" s="390"/>
      <c r="AA31" s="394"/>
      <c r="AB31" s="394"/>
      <c r="AC31" s="389"/>
      <c r="AD31" s="389"/>
      <c r="AE31" s="384">
        <f ca="1"/>
        <v>13</v>
      </c>
      <c r="AF31" s="133" t="str">
        <v>Land</v>
      </c>
      <c r="AG31" s="130" t="str" cm="1">
        <f t="array" ref="AG31">_xlfn.IFNA(_xlfn.IFS(ISNUMBER(MATCH(AF31,MD_Asset[Account Name],0)),"Assets",ISNUMBER(MATCH(AF31,MD_Liability[Account Name],0)),"Liabilities",ISNUMBER(MATCH(AF31,MD_Equity[Account Name],0)),"Equities"),"")</f>
        <v>Assets</v>
      </c>
      <c r="AH31" s="130" t="str">
        <f t="shared" si="1"/>
        <v>BegBalanceSheet_Assets</v>
      </c>
      <c r="AI31" s="130" t="str">
        <f t="shared" si="2"/>
        <v>BegBalanceSheet_Assets[Account]</v>
      </c>
      <c r="AJ31" s="130" t="str">
        <f t="shared" si="3"/>
        <v>BegBalanceSheet_Assets[IncreasedBy]</v>
      </c>
      <c r="AK31" s="130" t="str" cm="1">
        <f t="array" aca="1" ref="AK31" ca="1">IFERROR(_xlfn.XLOOKUP(AF31,INDIRECT(AI31),INDIRECT(AJ31),""),"")</f>
        <v>Debit</v>
      </c>
      <c r="AL31" s="130" t="str">
        <f t="shared" si="4"/>
        <v>BegBalanceSheet_Assets[Amount]</v>
      </c>
      <c r="AM31" s="130" cm="1">
        <f t="array" aca="1" ref="AM31" ca="1">IF(AG31&lt;&gt;"",_xlfn.XLOOKUP(AF31,INDIRECT(AI31),INDIRECT(AL31)),"")</f>
        <v>0</v>
      </c>
      <c r="AN31" s="130" cm="1">
        <f t="array" aca="1" ref="AN31" ca="1">_xlfn.IFNA(_xlfn.IFS(AND(AG31="Assets",AK31="Debit",AM31&gt;0),AM31,AND(AG31="Equities",AM31&lt;0),-AM31),0)</f>
        <v>0</v>
      </c>
      <c r="AO31" s="134" cm="1">
        <f t="array" aca="1" ref="AO31" ca="1">_xlfn.IFNA(_xlfn.IFS(AND(AG31="Assets",AK31="Credit",AM31&lt;0),-AM31,AND(AG31="Equities",AM31&gt;0),AM31,AG31="Liabilities",AM31),0)</f>
        <v>0</v>
      </c>
      <c r="AP31" s="130" t="str">
        <f t="shared" si="5"/>
        <v>BegBalanceSheet_Assets[Abbr]</v>
      </c>
      <c r="AQ31" s="130" t="str" cm="1">
        <f t="array" aca="1" ref="AQ31" ca="1">IF(AP31&lt;&gt;"",_xlfn.XLOOKUP(AF31,INDIRECT(AI31),INDIRECT(AP31),""),"")</f>
        <v>LND</v>
      </c>
    </row>
    <row r="32" spans="1:43">
      <c r="A32" s="182">
        <v>5</v>
      </c>
      <c r="B32" s="149" t="str">
        <f t="shared" ca="1" si="0"/>
        <v>Inventories</v>
      </c>
      <c r="C32" s="150">
        <f t="shared" ref="C32" ca="1" si="6">_xlfn.IFNA(_xlfn.XLOOKUP(B32,$AF$28:$AF$108,$AN$28:$AN$108,0),0)</f>
        <v>0</v>
      </c>
      <c r="D32" s="151">
        <f t="shared" ref="D32" ca="1" si="7">_xlfn.IFNA(_xlfn.XLOOKUP(B32,$AF$28:$AF$108,$AO$28:$AO$108,0),"")</f>
        <v>0</v>
      </c>
      <c r="F32" s="152"/>
      <c r="G32" s="153"/>
      <c r="H32" s="154"/>
      <c r="I32" s="152"/>
      <c r="K32" s="152"/>
      <c r="L32" s="153"/>
      <c r="M32" s="154"/>
      <c r="N32" s="152"/>
      <c r="P32" s="187" t="str" cm="1">
        <f t="array" aca="1" ref="P32" ca="1">$W$1&amp;_xlfn.XLOOKUP(B32,AF$28:$AF$108,$AQ$28:$AQ$108,"")</f>
        <v>ΔInv</v>
      </c>
      <c r="Q32" s="156">
        <f ca="1">IF((U32-V32)-(C32-D32)-SUM(G32:G35)+SUM(H32:H35)-SUM(L32:L35)+SUM(M32:M35)&gt;0,(U32-V32)-(C32-D32)-SUM(G32:G35)+SUM(H32:H35)-SUM(L32:L35)+SUM(M32:M35),0)</f>
        <v>0</v>
      </c>
      <c r="R32" s="157">
        <f ca="1">IF((U32-V32)-(C32-D32)-SUM(G32:G35)+SUM(H32:H35)-SUM(L32:L35)+SUM(M32:M35)&lt;0,-((U32-V32)-(C32-D32)-SUM(G32:G35)+SUM(H32:H35)-SUM(L32:L35)+SUM(M32:M35)),0)</f>
        <v>0</v>
      </c>
      <c r="S32" s="155" t="str">
        <f ca="1">P32</f>
        <v>ΔInv</v>
      </c>
      <c r="U32" s="150">
        <f ca="1">IF(AC32&gt;0,AC32,0)</f>
        <v>0</v>
      </c>
      <c r="V32" s="151">
        <f ca="1">IF(AD32&gt;0,AD32,0)</f>
        <v>0</v>
      </c>
      <c r="W32" s="390">
        <f t="shared" ref="W32" ca="1" si="8">IF(B32&lt;&gt;"",1,0)</f>
        <v>1</v>
      </c>
      <c r="X32" s="390"/>
      <c r="Y32" s="390"/>
      <c r="Z32" s="390"/>
      <c r="AA32" s="394">
        <f ca="1">SUMIF(Journal[Debit Account],B32,Journal[Dr Amt])</f>
        <v>0</v>
      </c>
      <c r="AB32" s="394">
        <f ca="1">SUMIF(Journal[Credit Account],B32,Journal[Cr Amt])</f>
        <v>0</v>
      </c>
      <c r="AC32" s="389">
        <f ca="1">C32-D32+AA32-AB32</f>
        <v>0</v>
      </c>
      <c r="AD32" s="389">
        <f ca="1">D32-C32+AB32-AA32</f>
        <v>0</v>
      </c>
      <c r="AE32" s="384">
        <f ca="1"/>
        <v>17</v>
      </c>
      <c r="AF32" s="133" t="str">
        <v>Liabilities</v>
      </c>
      <c r="AG32" s="130" t="str" cm="1">
        <f t="array" ref="AG32">_xlfn.IFNA(_xlfn.IFS(ISNUMBER(MATCH(AF32,MD_Asset[Account Name],0)),"Assets",ISNUMBER(MATCH(AF32,MD_Liability[Account Name],0)),"Liabilities",ISNUMBER(MATCH(AF32,MD_Equity[Account Name],0)),"Equities"),"")</f>
        <v/>
      </c>
      <c r="AH32" s="130" t="str">
        <f t="shared" si="1"/>
        <v/>
      </c>
      <c r="AI32" s="130" t="str">
        <f t="shared" si="2"/>
        <v/>
      </c>
      <c r="AJ32" s="130" t="str">
        <f t="shared" si="3"/>
        <v/>
      </c>
      <c r="AK32" s="130" t="str" cm="1">
        <f t="array" aca="1" ref="AK32" ca="1">IFERROR(_xlfn.XLOOKUP(AF32,INDIRECT(AI32),INDIRECT(AJ32),""),"")</f>
        <v/>
      </c>
      <c r="AL32" s="130" t="str">
        <f t="shared" si="4"/>
        <v/>
      </c>
      <c r="AM32" s="130" t="str" cm="1">
        <f t="array" aca="1" ref="AM32" ca="1">IF(AG32&lt;&gt;"",_xlfn.XLOOKUP(AF32,INDIRECT(AI32),INDIRECT(AL32)),"")</f>
        <v/>
      </c>
      <c r="AN32" s="130" cm="1">
        <f t="array" aca="1" ref="AN32" ca="1">_xlfn.IFNA(_xlfn.IFS(AND(AG32="Assets",AK32="Debit",AM32&gt;0),AM32,AND(AG32="Equities",AM32&lt;0),-AM32),0)</f>
        <v>0</v>
      </c>
      <c r="AO32" s="134" cm="1">
        <f t="array" aca="1" ref="AO32" ca="1">_xlfn.IFNA(_xlfn.IFS(AND(AG32="Assets",AK32="Credit",AM32&lt;0),-AM32,AND(AG32="Equities",AM32&gt;0),AM32,AG32="Liabilities",AM32),0)</f>
        <v>0</v>
      </c>
      <c r="AP32" s="130" t="str">
        <f t="shared" si="5"/>
        <v/>
      </c>
      <c r="AQ32" s="130" t="str" cm="1">
        <f t="array" aca="1" ref="AQ32" ca="1">IF(AP32&lt;&gt;"",_xlfn.XLOOKUP(AF32,INDIRECT(AI32),INDIRECT(AP32),""),"")</f>
        <v/>
      </c>
    </row>
    <row r="33" spans="1:43" hidden="1" outlineLevel="1">
      <c r="A33" s="182">
        <v>6</v>
      </c>
      <c r="B33" s="158" t="str">
        <f t="shared" ca="1" si="0"/>
        <v/>
      </c>
      <c r="C33" s="159"/>
      <c r="D33" s="160"/>
      <c r="F33" s="152"/>
      <c r="G33" s="161"/>
      <c r="H33" s="162"/>
      <c r="I33" s="152"/>
      <c r="K33" s="152"/>
      <c r="L33" s="161"/>
      <c r="M33" s="162"/>
      <c r="N33" s="152"/>
      <c r="P33" s="135"/>
      <c r="Q33" s="163"/>
      <c r="S33" s="135"/>
      <c r="U33" s="164"/>
      <c r="V33" s="158"/>
      <c r="W33" s="390">
        <f t="shared" ref="W33" ca="1" si="9">IF(B32&lt;&gt;"",1,0)</f>
        <v>1</v>
      </c>
      <c r="X33" s="390"/>
      <c r="Y33" s="390"/>
      <c r="Z33" s="390"/>
      <c r="AA33" s="394"/>
      <c r="AB33" s="394"/>
      <c r="AC33" s="389"/>
      <c r="AD33" s="389"/>
      <c r="AE33" s="384">
        <f ca="1"/>
        <v>21</v>
      </c>
      <c r="AF33" s="133" t="str">
        <v>Accounts Payable</v>
      </c>
      <c r="AG33" s="130" t="str" cm="1">
        <f t="array" ref="AG33">_xlfn.IFNA(_xlfn.IFS(ISNUMBER(MATCH(AF33,MD_Asset[Account Name],0)),"Assets",ISNUMBER(MATCH(AF33,MD_Liability[Account Name],0)),"Liabilities",ISNUMBER(MATCH(AF33,MD_Equity[Account Name],0)),"Equities"),"")</f>
        <v>Liabilities</v>
      </c>
      <c r="AH33" s="130" t="str">
        <f t="shared" si="1"/>
        <v>BegBalanceSheet_Liabilities</v>
      </c>
      <c r="AI33" s="130" t="str">
        <f t="shared" si="2"/>
        <v>BegBalanceSheet_Liabilities[Account]</v>
      </c>
      <c r="AJ33" s="130" t="str">
        <f t="shared" si="3"/>
        <v>BegBalanceSheet_Liabilities[IncreasedBy]</v>
      </c>
      <c r="AK33" s="130" t="str" cm="1">
        <f t="array" aca="1" ref="AK33" ca="1">IFERROR(_xlfn.XLOOKUP(AF33,INDIRECT(AI33),INDIRECT(AJ33),""),"")</f>
        <v>Credit</v>
      </c>
      <c r="AL33" s="130" t="str">
        <f t="shared" si="4"/>
        <v>BegBalanceSheet_Liabilities[Amount]</v>
      </c>
      <c r="AM33" s="130" cm="1">
        <f t="array" aca="1" ref="AM33" ca="1">IF(AG33&lt;&gt;"",_xlfn.XLOOKUP(AF33,INDIRECT(AI33),INDIRECT(AL33)),"")</f>
        <v>0</v>
      </c>
      <c r="AN33" s="130" cm="1">
        <f t="array" aca="1" ref="AN33" ca="1">_xlfn.IFNA(_xlfn.IFS(AND(AG33="Assets",AK33="Debit",AM33&gt;0),AM33,AND(AG33="Equities",AM33&lt;0),-AM33),0)</f>
        <v>0</v>
      </c>
      <c r="AO33" s="134" cm="1">
        <f t="array" aca="1" ref="AO33" ca="1">_xlfn.IFNA(_xlfn.IFS(AND(AG33="Assets",AK33="Credit",AM33&lt;0),-AM33,AND(AG33="Equities",AM33&gt;0),AM33,AG33="Liabilities",AM33),0)</f>
        <v>0</v>
      </c>
      <c r="AP33" s="130" t="str">
        <f t="shared" si="5"/>
        <v>BegBalanceSheet_Liabilities[Abbr]</v>
      </c>
      <c r="AQ33" s="130" t="str" cm="1">
        <f t="array" aca="1" ref="AQ33" ca="1">IF(AP33&lt;&gt;"",_xlfn.XLOOKUP(AF33,INDIRECT(AI33),INDIRECT(AP33),""),"")</f>
        <v>AP</v>
      </c>
    </row>
    <row r="34" spans="1:43" hidden="1" outlineLevel="1">
      <c r="A34" s="182">
        <v>7</v>
      </c>
      <c r="B34" s="158" t="str">
        <f t="shared" ca="1" si="0"/>
        <v/>
      </c>
      <c r="C34" s="159"/>
      <c r="D34" s="160"/>
      <c r="F34" s="152"/>
      <c r="G34" s="161"/>
      <c r="H34" s="162"/>
      <c r="I34" s="152"/>
      <c r="K34" s="152"/>
      <c r="L34" s="161"/>
      <c r="M34" s="162"/>
      <c r="N34" s="152"/>
      <c r="P34" s="135"/>
      <c r="Q34" s="163"/>
      <c r="S34" s="135"/>
      <c r="U34" s="164"/>
      <c r="V34" s="158"/>
      <c r="W34" s="390">
        <f t="shared" ref="W34" ca="1" si="10">IF(B32&lt;&gt;"",1,0)</f>
        <v>1</v>
      </c>
      <c r="X34" s="390"/>
      <c r="Y34" s="390"/>
      <c r="Z34" s="390"/>
      <c r="AA34" s="394"/>
      <c r="AB34" s="394"/>
      <c r="AC34" s="389"/>
      <c r="AD34" s="389"/>
      <c r="AE34" s="384">
        <f ca="1"/>
        <v>25</v>
      </c>
      <c r="AF34" s="133" t="str">
        <v>Dividends Payable</v>
      </c>
      <c r="AG34" s="130" t="str" cm="1">
        <f t="array" ref="AG34">_xlfn.IFNA(_xlfn.IFS(ISNUMBER(MATCH(AF34,MD_Asset[Account Name],0)),"Assets",ISNUMBER(MATCH(AF34,MD_Liability[Account Name],0)),"Liabilities",ISNUMBER(MATCH(AF34,MD_Equity[Account Name],0)),"Equities"),"")</f>
        <v>Liabilities</v>
      </c>
      <c r="AH34" s="130" t="str">
        <f t="shared" si="1"/>
        <v>BegBalanceSheet_Liabilities</v>
      </c>
      <c r="AI34" s="130" t="str">
        <f t="shared" si="2"/>
        <v>BegBalanceSheet_Liabilities[Account]</v>
      </c>
      <c r="AJ34" s="130" t="str">
        <f t="shared" si="3"/>
        <v>BegBalanceSheet_Liabilities[IncreasedBy]</v>
      </c>
      <c r="AK34" s="130" t="str" cm="1">
        <f t="array" aca="1" ref="AK34" ca="1">IFERROR(_xlfn.XLOOKUP(AF34,INDIRECT(AI34),INDIRECT(AJ34),""),"")</f>
        <v>Credit</v>
      </c>
      <c r="AL34" s="130" t="str">
        <f t="shared" si="4"/>
        <v>BegBalanceSheet_Liabilities[Amount]</v>
      </c>
      <c r="AM34" s="130" cm="1">
        <f t="array" aca="1" ref="AM34" ca="1">IF(AG34&lt;&gt;"",_xlfn.XLOOKUP(AF34,INDIRECT(AI34),INDIRECT(AL34)),"")</f>
        <v>0</v>
      </c>
      <c r="AN34" s="130" cm="1">
        <f t="array" aca="1" ref="AN34" ca="1">_xlfn.IFNA(_xlfn.IFS(AND(AG34="Assets",AK34="Debit",AM34&gt;0),AM34,AND(AG34="Equities",AM34&lt;0),-AM34),0)</f>
        <v>0</v>
      </c>
      <c r="AO34" s="134" cm="1">
        <f t="array" aca="1" ref="AO34" ca="1">_xlfn.IFNA(_xlfn.IFS(AND(AG34="Assets",AK34="Credit",AM34&lt;0),-AM34,AND(AG34="Equities",AM34&gt;0),AM34,AG34="Liabilities",AM34),0)</f>
        <v>0</v>
      </c>
      <c r="AP34" s="130" t="str">
        <f t="shared" si="5"/>
        <v>BegBalanceSheet_Liabilities[Abbr]</v>
      </c>
      <c r="AQ34" s="130" t="str" cm="1">
        <f t="array" aca="1" ref="AQ34" ca="1">IF(AP34&lt;&gt;"",_xlfn.XLOOKUP(AF34,INDIRECT(AI34),INDIRECT(AP34),""),"")</f>
        <v>DP</v>
      </c>
    </row>
    <row r="35" spans="1:43" hidden="1" outlineLevel="1">
      <c r="A35" s="182">
        <v>8</v>
      </c>
      <c r="B35" s="165" t="str">
        <f t="shared" ca="1" si="0"/>
        <v/>
      </c>
      <c r="C35" s="166"/>
      <c r="D35" s="167"/>
      <c r="F35" s="152"/>
      <c r="G35" s="168"/>
      <c r="H35" s="169"/>
      <c r="I35" s="152"/>
      <c r="K35" s="152"/>
      <c r="L35" s="168"/>
      <c r="M35" s="169"/>
      <c r="N35" s="152"/>
      <c r="P35" s="135"/>
      <c r="Q35" s="170"/>
      <c r="R35" s="171"/>
      <c r="S35" s="135"/>
      <c r="U35" s="172"/>
      <c r="V35" s="165"/>
      <c r="W35" s="390">
        <f t="shared" ref="W35" ca="1" si="11">IF(B32&lt;&gt;"",1,0)</f>
        <v>1</v>
      </c>
      <c r="X35" s="390"/>
      <c r="Y35" s="390"/>
      <c r="Z35" s="390"/>
      <c r="AA35" s="394"/>
      <c r="AB35" s="394"/>
      <c r="AC35" s="389"/>
      <c r="AD35" s="389"/>
      <c r="AE35" s="384">
        <f ca="1"/>
        <v>29</v>
      </c>
      <c r="AF35" s="133" t="str">
        <v>Unearned Revenue</v>
      </c>
      <c r="AG35" s="130" t="str" cm="1">
        <f t="array" ref="AG35">_xlfn.IFNA(_xlfn.IFS(ISNUMBER(MATCH(AF35,MD_Asset[Account Name],0)),"Assets",ISNUMBER(MATCH(AF35,MD_Liability[Account Name],0)),"Liabilities",ISNUMBER(MATCH(AF35,MD_Equity[Account Name],0)),"Equities"),"")</f>
        <v>Liabilities</v>
      </c>
      <c r="AH35" s="130" t="str">
        <f t="shared" si="1"/>
        <v>BegBalanceSheet_Liabilities</v>
      </c>
      <c r="AI35" s="130" t="str">
        <f t="shared" si="2"/>
        <v>BegBalanceSheet_Liabilities[Account]</v>
      </c>
      <c r="AJ35" s="130" t="str">
        <f t="shared" si="3"/>
        <v>BegBalanceSheet_Liabilities[IncreasedBy]</v>
      </c>
      <c r="AK35" s="130" t="str" cm="1">
        <f t="array" aca="1" ref="AK35" ca="1">IFERROR(_xlfn.XLOOKUP(AF35,INDIRECT(AI35),INDIRECT(AJ35),""),"")</f>
        <v>Credit</v>
      </c>
      <c r="AL35" s="130" t="str">
        <f t="shared" si="4"/>
        <v>BegBalanceSheet_Liabilities[Amount]</v>
      </c>
      <c r="AM35" s="130" cm="1">
        <f t="array" aca="1" ref="AM35" ca="1">IF(AG35&lt;&gt;"",_xlfn.XLOOKUP(AF35,INDIRECT(AI35),INDIRECT(AL35)),"")</f>
        <v>0</v>
      </c>
      <c r="AN35" s="130" cm="1">
        <f t="array" aca="1" ref="AN35" ca="1">_xlfn.IFNA(_xlfn.IFS(AND(AG35="Assets",AK35="Debit",AM35&gt;0),AM35,AND(AG35="Equities",AM35&lt;0),-AM35),0)</f>
        <v>0</v>
      </c>
      <c r="AO35" s="134" cm="1">
        <f t="array" aca="1" ref="AO35" ca="1">_xlfn.IFNA(_xlfn.IFS(AND(AG35="Assets",AK35="Credit",AM35&lt;0),-AM35,AND(AG35="Equities",AM35&gt;0),AM35,AG35="Liabilities",AM35),0)</f>
        <v>0</v>
      </c>
      <c r="AP35" s="130" t="str">
        <f t="shared" si="5"/>
        <v>BegBalanceSheet_Liabilities[Abbr]</v>
      </c>
      <c r="AQ35" s="130" t="str" cm="1">
        <f t="array" aca="1" ref="AQ35" ca="1">IF(AP35&lt;&gt;"",_xlfn.XLOOKUP(AF35,INDIRECT(AI35),INDIRECT(AP35),""),"")</f>
        <v>UR</v>
      </c>
    </row>
    <row r="36" spans="1:43" collapsed="1">
      <c r="A36" s="182">
        <v>9</v>
      </c>
      <c r="B36" s="149" t="str">
        <f t="shared" ca="1" si="0"/>
        <v>Property, Plant &amp; Equipment</v>
      </c>
      <c r="C36" s="150">
        <f t="shared" ref="C36" ca="1" si="12">_xlfn.IFNA(_xlfn.XLOOKUP(B36,$AF$28:$AF$108,$AN$28:$AN$108,0),0)</f>
        <v>0</v>
      </c>
      <c r="D36" s="151">
        <f t="shared" ref="D36" ca="1" si="13">_xlfn.IFNA(_xlfn.XLOOKUP(B36,$AF$28:$AF$108,$AO$28:$AO$108,0),"")</f>
        <v>0</v>
      </c>
      <c r="F36" s="152"/>
      <c r="G36" s="153"/>
      <c r="H36" s="154"/>
      <c r="I36" s="152"/>
      <c r="K36" s="152"/>
      <c r="L36" s="153"/>
      <c r="M36" s="154"/>
      <c r="N36" s="152"/>
      <c r="P36" s="187" t="str" cm="1">
        <f t="array" aca="1" ref="P36" ca="1">$W$1&amp;_xlfn.XLOOKUP(B36,AF$28:$AF$108,$AQ$28:$AQ$108,"")</f>
        <v>ΔPPE</v>
      </c>
      <c r="Q36" s="156">
        <f ca="1">IF((U36-V36)-(C36-D36)-SUM(G36:G39)+SUM(H36:H39)-SUM(L36:L39)+SUM(M36:M39)&gt;0,(U36-V36)-(C36-D36)-SUM(G36:G39)+SUM(H36:H39)-SUM(L36:L39)+SUM(M36:M39),0)</f>
        <v>0</v>
      </c>
      <c r="R36" s="157">
        <f ca="1">IF((U36-V36)-(C36-D36)-SUM(G36:G39)+SUM(H36:H39)-SUM(L36:L39)+SUM(M36:M39)&lt;0,-((U36-V36)-(C36-D36)-SUM(G36:G39)+SUM(H36:H39)-SUM(L36:L39)+SUM(M36:M39)),0)</f>
        <v>0</v>
      </c>
      <c r="S36" s="155" t="str">
        <f ca="1">P36</f>
        <v>ΔPPE</v>
      </c>
      <c r="U36" s="150">
        <f ca="1">IF(AC36&gt;0,AC36,0)</f>
        <v>0</v>
      </c>
      <c r="V36" s="151">
        <f ca="1">IF(AD36&gt;0,AD36,0)</f>
        <v>0</v>
      </c>
      <c r="W36" s="390">
        <f t="shared" ref="W36" ca="1" si="14">IF(B36&lt;&gt;"",1,0)</f>
        <v>1</v>
      </c>
      <c r="X36" s="390"/>
      <c r="Y36" s="390"/>
      <c r="Z36" s="390"/>
      <c r="AA36" s="394">
        <f ca="1">SUMIF(Journal[Debit Account],B36,Journal[Dr Amt])</f>
        <v>0</v>
      </c>
      <c r="AB36" s="394">
        <f ca="1">SUMIF(Journal[Credit Account],B36,Journal[Cr Amt])</f>
        <v>0</v>
      </c>
      <c r="AC36" s="389">
        <f ca="1">C36-D36+AA36-AB36</f>
        <v>0</v>
      </c>
      <c r="AD36" s="389">
        <f ca="1">D36-C36+AB36-AA36</f>
        <v>0</v>
      </c>
      <c r="AE36" s="384">
        <f ca="1"/>
        <v>33</v>
      </c>
      <c r="AF36" s="133" t="str">
        <v>Loans Payable</v>
      </c>
      <c r="AG36" s="130" t="str" cm="1">
        <f t="array" ref="AG36">_xlfn.IFNA(_xlfn.IFS(ISNUMBER(MATCH(AF36,MD_Asset[Account Name],0)),"Assets",ISNUMBER(MATCH(AF36,MD_Liability[Account Name],0)),"Liabilities",ISNUMBER(MATCH(AF36,MD_Equity[Account Name],0)),"Equities"),"")</f>
        <v>Liabilities</v>
      </c>
      <c r="AH36" s="130" t="str">
        <f t="shared" si="1"/>
        <v>BegBalanceSheet_Liabilities</v>
      </c>
      <c r="AI36" s="130" t="str">
        <f t="shared" si="2"/>
        <v>BegBalanceSheet_Liabilities[Account]</v>
      </c>
      <c r="AJ36" s="130" t="str">
        <f t="shared" si="3"/>
        <v>BegBalanceSheet_Liabilities[IncreasedBy]</v>
      </c>
      <c r="AK36" s="130" t="str" cm="1">
        <f t="array" aca="1" ref="AK36" ca="1">IFERROR(_xlfn.XLOOKUP(AF36,INDIRECT(AI36),INDIRECT(AJ36),""),"")</f>
        <v>Credit</v>
      </c>
      <c r="AL36" s="130" t="str">
        <f t="shared" si="4"/>
        <v>BegBalanceSheet_Liabilities[Amount]</v>
      </c>
      <c r="AM36" s="130" cm="1">
        <f t="array" aca="1" ref="AM36" ca="1">IF(AG36&lt;&gt;"",_xlfn.XLOOKUP(AF36,INDIRECT(AI36),INDIRECT(AL36)),"")</f>
        <v>0</v>
      </c>
      <c r="AN36" s="130" cm="1">
        <f t="array" aca="1" ref="AN36" ca="1">_xlfn.IFNA(_xlfn.IFS(AND(AG36="Assets",AK36="Debit",AM36&gt;0),AM36,AND(AG36="Equities",AM36&lt;0),-AM36),0)</f>
        <v>0</v>
      </c>
      <c r="AO36" s="134" cm="1">
        <f t="array" aca="1" ref="AO36" ca="1">_xlfn.IFNA(_xlfn.IFS(AND(AG36="Assets",AK36="Credit",AM36&lt;0),-AM36,AND(AG36="Equities",AM36&gt;0),AM36,AG36="Liabilities",AM36),0)</f>
        <v>0</v>
      </c>
      <c r="AP36" s="130" t="str">
        <f t="shared" si="5"/>
        <v>BegBalanceSheet_Liabilities[Abbr]</v>
      </c>
      <c r="AQ36" s="130" t="str" cm="1">
        <f t="array" aca="1" ref="AQ36" ca="1">IF(AP36&lt;&gt;"",_xlfn.XLOOKUP(AF36,INDIRECT(AI36),INDIRECT(AP36),""),"")</f>
        <v>LP</v>
      </c>
    </row>
    <row r="37" spans="1:43" hidden="1" outlineLevel="1">
      <c r="A37" s="182">
        <v>10</v>
      </c>
      <c r="B37" s="158" t="str">
        <f t="shared" ca="1" si="0"/>
        <v/>
      </c>
      <c r="C37" s="159"/>
      <c r="D37" s="160"/>
      <c r="F37" s="152"/>
      <c r="G37" s="161"/>
      <c r="H37" s="162"/>
      <c r="I37" s="152"/>
      <c r="K37" s="152"/>
      <c r="L37" s="161"/>
      <c r="M37" s="162"/>
      <c r="N37" s="152"/>
      <c r="P37" s="135"/>
      <c r="Q37" s="163"/>
      <c r="S37" s="135"/>
      <c r="U37" s="164"/>
      <c r="V37" s="158"/>
      <c r="W37" s="390">
        <f t="shared" ref="W37" ca="1" si="15">IF(B36&lt;&gt;"",1,0)</f>
        <v>1</v>
      </c>
      <c r="X37" s="390"/>
      <c r="Y37" s="390"/>
      <c r="Z37" s="390"/>
      <c r="AA37" s="394"/>
      <c r="AB37" s="394"/>
      <c r="AC37" s="389"/>
      <c r="AD37" s="389"/>
      <c r="AE37" s="384">
        <f ca="1"/>
        <v>37</v>
      </c>
      <c r="AF37" s="133" t="str">
        <v>Equities</v>
      </c>
      <c r="AG37" s="130" t="str" cm="1">
        <f t="array" ref="AG37">_xlfn.IFNA(_xlfn.IFS(ISNUMBER(MATCH(AF37,MD_Asset[Account Name],0)),"Assets",ISNUMBER(MATCH(AF37,MD_Liability[Account Name],0)),"Liabilities",ISNUMBER(MATCH(AF37,MD_Equity[Account Name],0)),"Equities"),"")</f>
        <v/>
      </c>
      <c r="AH37" s="130" t="str">
        <f t="shared" si="1"/>
        <v/>
      </c>
      <c r="AI37" s="130" t="str">
        <f t="shared" si="2"/>
        <v/>
      </c>
      <c r="AJ37" s="130" t="str">
        <f t="shared" si="3"/>
        <v/>
      </c>
      <c r="AK37" s="130" t="str" cm="1">
        <f t="array" aca="1" ref="AK37" ca="1">IFERROR(_xlfn.XLOOKUP(AF37,INDIRECT(AI37),INDIRECT(AJ37),""),"")</f>
        <v/>
      </c>
      <c r="AL37" s="130" t="str">
        <f t="shared" si="4"/>
        <v/>
      </c>
      <c r="AM37" s="130" t="str" cm="1">
        <f t="array" aca="1" ref="AM37" ca="1">IF(AG37&lt;&gt;"",_xlfn.XLOOKUP(AF37,INDIRECT(AI37),INDIRECT(AL37)),"")</f>
        <v/>
      </c>
      <c r="AN37" s="130" cm="1">
        <f t="array" aca="1" ref="AN37" ca="1">_xlfn.IFNA(_xlfn.IFS(AND(AG37="Assets",AK37="Debit",AM37&gt;0),AM37,AND(AG37="Equities",AM37&lt;0),-AM37),0)</f>
        <v>0</v>
      </c>
      <c r="AO37" s="134" cm="1">
        <f t="array" aca="1" ref="AO37" ca="1">_xlfn.IFNA(_xlfn.IFS(AND(AG37="Assets",AK37="Credit",AM37&lt;0),-AM37,AND(AG37="Equities",AM37&gt;0),AM37,AG37="Liabilities",AM37),0)</f>
        <v>0</v>
      </c>
      <c r="AP37" s="130" t="str">
        <f t="shared" si="5"/>
        <v/>
      </c>
      <c r="AQ37" s="130" t="str" cm="1">
        <f t="array" aca="1" ref="AQ37" ca="1">IF(AP37&lt;&gt;"",_xlfn.XLOOKUP(AF37,INDIRECT(AI37),INDIRECT(AP37),""),"")</f>
        <v/>
      </c>
    </row>
    <row r="38" spans="1:43" hidden="1" outlineLevel="1">
      <c r="A38" s="182">
        <v>11</v>
      </c>
      <c r="B38" s="158" t="str">
        <f t="shared" ca="1" si="0"/>
        <v/>
      </c>
      <c r="C38" s="159"/>
      <c r="D38" s="160"/>
      <c r="F38" s="152"/>
      <c r="G38" s="161"/>
      <c r="H38" s="162"/>
      <c r="I38" s="152"/>
      <c r="K38" s="152"/>
      <c r="L38" s="161"/>
      <c r="M38" s="162"/>
      <c r="N38" s="152"/>
      <c r="P38" s="135"/>
      <c r="Q38" s="163"/>
      <c r="S38" s="135"/>
      <c r="U38" s="164"/>
      <c r="V38" s="158"/>
      <c r="W38" s="390">
        <f t="shared" ref="W38" ca="1" si="16">IF(B36&lt;&gt;"",1,0)</f>
        <v>1</v>
      </c>
      <c r="X38" s="390"/>
      <c r="Y38" s="390"/>
      <c r="Z38" s="390"/>
      <c r="AA38" s="394"/>
      <c r="AB38" s="394"/>
      <c r="AC38" s="389"/>
      <c r="AD38" s="389"/>
      <c r="AE38" s="384">
        <f ca="1"/>
        <v>41</v>
      </c>
      <c r="AF38" s="133" t="str">
        <v>Common Stock</v>
      </c>
      <c r="AG38" s="130" t="str" cm="1">
        <f t="array" ref="AG38">_xlfn.IFNA(_xlfn.IFS(ISNUMBER(MATCH(AF38,MD_Asset[Account Name],0)),"Assets",ISNUMBER(MATCH(AF38,MD_Liability[Account Name],0)),"Liabilities",ISNUMBER(MATCH(AF38,MD_Equity[Account Name],0)),"Equities"),"")</f>
        <v>Equities</v>
      </c>
      <c r="AH38" s="130" t="str">
        <f t="shared" si="1"/>
        <v>BegBalanceSheet_Equities</v>
      </c>
      <c r="AI38" s="130" t="str">
        <f t="shared" si="2"/>
        <v>BegBalanceSheet_Equities[Account]</v>
      </c>
      <c r="AJ38" s="130" t="str">
        <f t="shared" si="3"/>
        <v>BegBalanceSheet_Equities[IncreasedBy]</v>
      </c>
      <c r="AK38" s="130" t="str" cm="1">
        <f t="array" aca="1" ref="AK38" ca="1">IFERROR(_xlfn.XLOOKUP(AF38,INDIRECT(AI38),INDIRECT(AJ38),""),"")</f>
        <v>Credit</v>
      </c>
      <c r="AL38" s="130" t="str">
        <f t="shared" si="4"/>
        <v>BegBalanceSheet_Equities[Amount]</v>
      </c>
      <c r="AM38" s="130" cm="1">
        <f t="array" aca="1" ref="AM38" ca="1">IF(AG38&lt;&gt;"",_xlfn.XLOOKUP(AF38,INDIRECT(AI38),INDIRECT(AL38)),"")</f>
        <v>0</v>
      </c>
      <c r="AN38" s="130" cm="1">
        <f t="array" aca="1" ref="AN38" ca="1">_xlfn.IFNA(_xlfn.IFS(AND(AG38="Assets",AK38="Debit",AM38&gt;0),AM38,AND(AG38="Equities",AM38&lt;0),-AM38),0)</f>
        <v>0</v>
      </c>
      <c r="AO38" s="134" cm="1">
        <f t="array" aca="1" ref="AO38" ca="1">_xlfn.IFNA(_xlfn.IFS(AND(AG38="Assets",AK38="Credit",AM38&lt;0),-AM38,AND(AG38="Equities",AM38&gt;0),AM38,AG38="Liabilities",AM38),0)</f>
        <v>0</v>
      </c>
      <c r="AP38" s="130" t="str">
        <f t="shared" si="5"/>
        <v>BegBalanceSheet_Equities[Abbr]</v>
      </c>
      <c r="AQ38" s="130" t="str" cm="1">
        <f t="array" aca="1" ref="AQ38" ca="1">IF(AP38&lt;&gt;"",_xlfn.XLOOKUP(AF38,INDIRECT(AI38),INDIRECT(AP38),""),"")</f>
        <v>CS</v>
      </c>
    </row>
    <row r="39" spans="1:43" hidden="1" outlineLevel="1">
      <c r="A39" s="182">
        <v>12</v>
      </c>
      <c r="B39" s="165" t="str">
        <f t="shared" ca="1" si="0"/>
        <v/>
      </c>
      <c r="C39" s="166"/>
      <c r="D39" s="167"/>
      <c r="F39" s="152"/>
      <c r="G39" s="168"/>
      <c r="H39" s="169"/>
      <c r="I39" s="152"/>
      <c r="K39" s="152"/>
      <c r="L39" s="168"/>
      <c r="M39" s="169"/>
      <c r="N39" s="152"/>
      <c r="P39" s="135"/>
      <c r="Q39" s="170"/>
      <c r="R39" s="171"/>
      <c r="S39" s="135"/>
      <c r="U39" s="172"/>
      <c r="V39" s="165"/>
      <c r="W39" s="390">
        <f t="shared" ref="W39" ca="1" si="17">IF(B36&lt;&gt;"",1,0)</f>
        <v>1</v>
      </c>
      <c r="X39" s="390"/>
      <c r="Y39" s="390"/>
      <c r="Z39" s="390"/>
      <c r="AA39" s="394"/>
      <c r="AB39" s="394"/>
      <c r="AC39" s="389"/>
      <c r="AD39" s="389"/>
      <c r="AE39" s="384">
        <f ca="1"/>
        <v>45</v>
      </c>
      <c r="AF39" s="133" t="str">
        <v>Retained Earnings</v>
      </c>
      <c r="AG39" s="130" t="str" cm="1">
        <f t="array" ref="AG39">_xlfn.IFNA(_xlfn.IFS(ISNUMBER(MATCH(AF39,MD_Asset[Account Name],0)),"Assets",ISNUMBER(MATCH(AF39,MD_Liability[Account Name],0)),"Liabilities",ISNUMBER(MATCH(AF39,MD_Equity[Account Name],0)),"Equities"),"")</f>
        <v>Equities</v>
      </c>
      <c r="AH39" s="130" t="str">
        <f t="shared" si="1"/>
        <v>BegBalanceSheet_Equities</v>
      </c>
      <c r="AI39" s="130" t="str">
        <f t="shared" si="2"/>
        <v>BegBalanceSheet_Equities[Account]</v>
      </c>
      <c r="AJ39" s="130" t="str">
        <f t="shared" si="3"/>
        <v>BegBalanceSheet_Equities[IncreasedBy]</v>
      </c>
      <c r="AK39" s="130" t="str" cm="1">
        <f t="array" aca="1" ref="AK39" ca="1">IFERROR(_xlfn.XLOOKUP(AF39,INDIRECT(AI39),INDIRECT(AJ39),""),"")</f>
        <v>Credit</v>
      </c>
      <c r="AL39" s="130" t="str">
        <f t="shared" si="4"/>
        <v>BegBalanceSheet_Equities[Amount]</v>
      </c>
      <c r="AM39" s="130" cm="1">
        <f t="array" aca="1" ref="AM39" ca="1">IF(AG39&lt;&gt;"",_xlfn.XLOOKUP(AF39,INDIRECT(AI39),INDIRECT(AL39)),"")</f>
        <v>0</v>
      </c>
      <c r="AN39" s="130" cm="1">
        <f t="array" aca="1" ref="AN39" ca="1">_xlfn.IFNA(_xlfn.IFS(AND(AG39="Assets",AK39="Debit",AM39&gt;0),AM39,AND(AG39="Equities",AM39&lt;0),-AM39),0)</f>
        <v>0</v>
      </c>
      <c r="AO39" s="134" cm="1">
        <f t="array" aca="1" ref="AO39" ca="1">_xlfn.IFNA(_xlfn.IFS(AND(AG39="Assets",AK39="Credit",AM39&lt;0),-AM39,AND(AG39="Equities",AM39&gt;0),AM39,AG39="Liabilities",AM39),0)</f>
        <v>0</v>
      </c>
      <c r="AP39" s="130" t="str">
        <f t="shared" si="5"/>
        <v>BegBalanceSheet_Equities[Abbr]</v>
      </c>
      <c r="AQ39" s="130" t="str" cm="1">
        <f t="array" aca="1" ref="AQ39" ca="1">IF(AP39&lt;&gt;"",_xlfn.XLOOKUP(AF39,INDIRECT(AI39),INDIRECT(AP39),""),"")</f>
        <v>RE</v>
      </c>
    </row>
    <row r="40" spans="1:43" collapsed="1">
      <c r="A40" s="182">
        <v>13</v>
      </c>
      <c r="B40" s="149" t="str">
        <f ca="1">_xlfn.IFNA(_xlfn.XLOOKUP(A40,$AE$28:$AE$108,$AF$28:$AF$108,""),"")</f>
        <v>Land</v>
      </c>
      <c r="C40" s="150">
        <f t="shared" ref="C40" ca="1" si="18">_xlfn.IFNA(_xlfn.XLOOKUP(B40,$AF$28:$AF$108,$AN$28:$AN$108,0),0)</f>
        <v>0</v>
      </c>
      <c r="D40" s="151">
        <f t="shared" ref="D40" ca="1" si="19">_xlfn.IFNA(_xlfn.XLOOKUP(B40,$AF$28:$AF$108,$AO$28:$AO$108,0),"")</f>
        <v>0</v>
      </c>
      <c r="F40" s="152"/>
      <c r="G40" s="153"/>
      <c r="H40" s="154"/>
      <c r="I40" s="152"/>
      <c r="K40" s="152"/>
      <c r="L40" s="153"/>
      <c r="M40" s="154"/>
      <c r="N40" s="152"/>
      <c r="P40" s="155" t="str" cm="1">
        <f t="array" aca="1" ref="P40" ca="1">$W$1&amp;_xlfn.XLOOKUP(B40,AF$28:$AF$108,$AQ$28:$AQ$108,"")</f>
        <v>ΔLND</v>
      </c>
      <c r="Q40" s="156">
        <f ca="1">IF((U40-V40)-(C40-D40)-SUM(G40:G43)+SUM(H40:H43)-SUM(L40:L43)+SUM(M40:M43)&gt;0,(U40-V40)-(C40-D40)-SUM(G40:G43)+SUM(H40:H43)-SUM(L40:L43)+SUM(M40:M43),0)</f>
        <v>0</v>
      </c>
      <c r="R40" s="157">
        <f ca="1">IF((U40-V40)-(C40-D40)-SUM(G40:G43)+SUM(H40:H43)-SUM(L40:L43)+SUM(M40:M43)&lt;0,-((U40-V40)-(C40-D40)-SUM(G40:G43)+SUM(H40:H43)-SUM(L40:L43)+SUM(M40:M43)),0)</f>
        <v>0</v>
      </c>
      <c r="S40" s="155" t="str">
        <f ca="1">P40</f>
        <v>ΔLND</v>
      </c>
      <c r="U40" s="150">
        <f ca="1">IF(AC40&gt;0,AC40,0)</f>
        <v>0</v>
      </c>
      <c r="V40" s="151">
        <f ca="1">IF(AD40&gt;0,AD40,0)</f>
        <v>0</v>
      </c>
      <c r="W40" s="390">
        <f t="shared" ref="W40" ca="1" si="20">IF(B40&lt;&gt;"",1,0)</f>
        <v>1</v>
      </c>
      <c r="X40" s="390"/>
      <c r="Y40" s="390"/>
      <c r="Z40" s="390"/>
      <c r="AA40" s="394">
        <f ca="1">SUMIF(Journal[Debit Account],B40,Journal[Dr Amt])</f>
        <v>0</v>
      </c>
      <c r="AB40" s="394">
        <f ca="1">SUMIF(Journal[Credit Account],B40,Journal[Cr Amt])</f>
        <v>0</v>
      </c>
      <c r="AC40" s="389">
        <f ca="1">C40-D40+AA40-AB40</f>
        <v>0</v>
      </c>
      <c r="AD40" s="389">
        <f ca="1">D40-C40+AB40-AA40</f>
        <v>0</v>
      </c>
      <c r="AF40" s="133"/>
      <c r="AG40" s="130" t="str" cm="1">
        <f t="array" ref="AG40">_xlfn.IFNA(_xlfn.IFS(ISNUMBER(MATCH(AF40,MD_Asset[Account Name],0)),"Assets",ISNUMBER(MATCH(AF40,MD_Liability[Account Name],0)),"Liabilities",ISNUMBER(MATCH(AF40,MD_Equity[Account Name],0)),"Equities"),"")</f>
        <v/>
      </c>
      <c r="AH40" s="130" t="str">
        <f t="shared" si="1"/>
        <v/>
      </c>
      <c r="AI40" s="130" t="str">
        <f t="shared" si="2"/>
        <v/>
      </c>
      <c r="AJ40" s="130" t="str">
        <f t="shared" si="3"/>
        <v/>
      </c>
      <c r="AK40" s="130" t="str" cm="1">
        <f t="array" aca="1" ref="AK40" ca="1">IFERROR(_xlfn.XLOOKUP(AF40,INDIRECT(AI40),INDIRECT(AJ40),""),"")</f>
        <v/>
      </c>
      <c r="AL40" s="130" t="str">
        <f t="shared" si="4"/>
        <v/>
      </c>
      <c r="AM40" s="130" t="str" cm="1">
        <f t="array" aca="1" ref="AM40" ca="1">IF(AG40&lt;&gt;"",_xlfn.XLOOKUP(AF40,INDIRECT(AI40),INDIRECT(AL40)),"")</f>
        <v/>
      </c>
      <c r="AN40" s="130" cm="1">
        <f t="array" aca="1" ref="AN40" ca="1">_xlfn.IFNA(_xlfn.IFS(AND(AG40="Assets",AK40="Debit",AM40&gt;0),AM40,AND(AG40="Equities",AM40&lt;0),-AM40),0)</f>
        <v>0</v>
      </c>
      <c r="AO40" s="134" cm="1">
        <f t="array" aca="1" ref="AO40" ca="1">_xlfn.IFNA(_xlfn.IFS(AND(AG40="Assets",AK40="Credit",AM40&lt;0),-AM40,AND(AG40="Equities",AM40&gt;0),AM40,AG40="Liabilities",AM40),0)</f>
        <v>0</v>
      </c>
      <c r="AP40" s="130" t="str">
        <f t="shared" si="5"/>
        <v/>
      </c>
      <c r="AQ40" s="130" t="str" cm="1">
        <f t="array" aca="1" ref="AQ40" ca="1">IF(AP40&lt;&gt;"",_xlfn.XLOOKUP(AF40,INDIRECT(AI40),INDIRECT(AP40),""),"")</f>
        <v/>
      </c>
    </row>
    <row r="41" spans="1:43" hidden="1" outlineLevel="1">
      <c r="A41" s="182">
        <v>14</v>
      </c>
      <c r="B41" s="158" t="str">
        <f t="shared" ca="1" si="0"/>
        <v/>
      </c>
      <c r="C41" s="159"/>
      <c r="D41" s="160"/>
      <c r="F41" s="152"/>
      <c r="G41" s="161"/>
      <c r="H41" s="162"/>
      <c r="I41" s="152"/>
      <c r="K41" s="152"/>
      <c r="L41" s="161"/>
      <c r="M41" s="162"/>
      <c r="N41" s="152"/>
      <c r="P41" s="135"/>
      <c r="Q41" s="163"/>
      <c r="S41" s="135"/>
      <c r="U41" s="164"/>
      <c r="V41" s="158"/>
      <c r="W41" s="390">
        <f t="shared" ref="W41" ca="1" si="21">IF(B40&lt;&gt;"",1,0)</f>
        <v>1</v>
      </c>
      <c r="X41" s="390"/>
      <c r="Y41" s="390"/>
      <c r="Z41" s="390"/>
      <c r="AA41" s="394"/>
      <c r="AB41" s="394"/>
      <c r="AC41" s="389"/>
      <c r="AD41" s="389"/>
      <c r="AF41" s="133"/>
      <c r="AG41" s="130" t="str" cm="1">
        <f t="array" ref="AG41">_xlfn.IFNA(_xlfn.IFS(ISNUMBER(MATCH(AF41,MD_Asset[Account Name],0)),"Assets",ISNUMBER(MATCH(AF41,MD_Liability[Account Name],0)),"Liabilities",ISNUMBER(MATCH(AF41,MD_Equity[Account Name],0)),"Equities"),"")</f>
        <v/>
      </c>
      <c r="AH41" s="130" t="str">
        <f t="shared" si="1"/>
        <v/>
      </c>
      <c r="AI41" s="130" t="str">
        <f t="shared" si="2"/>
        <v/>
      </c>
      <c r="AJ41" s="130" t="str">
        <f t="shared" si="3"/>
        <v/>
      </c>
      <c r="AK41" s="130" t="str" cm="1">
        <f t="array" aca="1" ref="AK41" ca="1">IFERROR(_xlfn.XLOOKUP(AF41,INDIRECT(AI41),INDIRECT(AJ41),""),"")</f>
        <v/>
      </c>
      <c r="AL41" s="130" t="str">
        <f t="shared" si="4"/>
        <v/>
      </c>
      <c r="AM41" s="130" t="str" cm="1">
        <f t="array" aca="1" ref="AM41" ca="1">IF(AG41&lt;&gt;"",_xlfn.XLOOKUP(AF41,INDIRECT(AI41),INDIRECT(AL41)),"")</f>
        <v/>
      </c>
      <c r="AN41" s="130" cm="1">
        <f t="array" aca="1" ref="AN41" ca="1">_xlfn.IFNA(_xlfn.IFS(AND(AG41="Assets",AK41="Debit",AM41&gt;0),AM41,AND(AG41="Equities",AM41&lt;0),-AM41),0)</f>
        <v>0</v>
      </c>
      <c r="AO41" s="134" cm="1">
        <f t="array" aca="1" ref="AO41" ca="1">_xlfn.IFNA(_xlfn.IFS(AND(AG41="Assets",AK41="Credit",AM41&lt;0),-AM41,AND(AG41="Equities",AM41&gt;0),AM41,AG41="Liabilities",AM41),0)</f>
        <v>0</v>
      </c>
      <c r="AP41" s="130" t="str">
        <f t="shared" si="5"/>
        <v/>
      </c>
      <c r="AQ41" s="130" t="str" cm="1">
        <f t="array" aca="1" ref="AQ41" ca="1">IF(AP41&lt;&gt;"",_xlfn.XLOOKUP(AF41,INDIRECT(AI41),INDIRECT(AP41),""),"")</f>
        <v/>
      </c>
    </row>
    <row r="42" spans="1:43" hidden="1" outlineLevel="1">
      <c r="A42" s="182">
        <v>15</v>
      </c>
      <c r="B42" s="158" t="str">
        <f t="shared" ca="1" si="0"/>
        <v/>
      </c>
      <c r="C42" s="159"/>
      <c r="D42" s="160"/>
      <c r="F42" s="152"/>
      <c r="G42" s="161"/>
      <c r="H42" s="162"/>
      <c r="I42" s="152"/>
      <c r="K42" s="152"/>
      <c r="L42" s="161"/>
      <c r="M42" s="162"/>
      <c r="N42" s="152"/>
      <c r="P42" s="135"/>
      <c r="Q42" s="163"/>
      <c r="S42" s="135"/>
      <c r="U42" s="164"/>
      <c r="V42" s="158"/>
      <c r="W42" s="390">
        <f t="shared" ref="W42" ca="1" si="22">IF(B40&lt;&gt;"",1,0)</f>
        <v>1</v>
      </c>
      <c r="X42" s="390"/>
      <c r="Y42" s="390"/>
      <c r="Z42" s="390"/>
      <c r="AA42" s="394"/>
      <c r="AB42" s="394"/>
      <c r="AC42" s="389"/>
      <c r="AD42" s="389"/>
      <c r="AF42" s="133"/>
      <c r="AG42" s="130" t="str" cm="1">
        <f t="array" ref="AG42">_xlfn.IFNA(_xlfn.IFS(ISNUMBER(MATCH(AF42,MD_Asset[Account Name],0)),"Assets",ISNUMBER(MATCH(AF42,MD_Liability[Account Name],0)),"Liabilities",ISNUMBER(MATCH(AF42,MD_Equity[Account Name],0)),"Equities"),"")</f>
        <v/>
      </c>
      <c r="AH42" s="130" t="str">
        <f t="shared" si="1"/>
        <v/>
      </c>
      <c r="AI42" s="130" t="str">
        <f t="shared" si="2"/>
        <v/>
      </c>
      <c r="AJ42" s="130" t="str">
        <f t="shared" si="3"/>
        <v/>
      </c>
      <c r="AK42" s="130" t="str" cm="1">
        <f t="array" aca="1" ref="AK42" ca="1">IFERROR(_xlfn.XLOOKUP(AF42,INDIRECT(AI42),INDIRECT(AJ42),""),"")</f>
        <v/>
      </c>
      <c r="AL42" s="130" t="str">
        <f t="shared" si="4"/>
        <v/>
      </c>
      <c r="AM42" s="130" t="str" cm="1">
        <f t="array" aca="1" ref="AM42" ca="1">IF(AG42&lt;&gt;"",_xlfn.XLOOKUP(AF42,INDIRECT(AI42),INDIRECT(AL42)),"")</f>
        <v/>
      </c>
      <c r="AN42" s="130" cm="1">
        <f t="array" aca="1" ref="AN42" ca="1">_xlfn.IFNA(_xlfn.IFS(AND(AG42="Assets",AK42="Debit",AM42&gt;0),AM42,AND(AG42="Equities",AM42&lt;0),-AM42),0)</f>
        <v>0</v>
      </c>
      <c r="AO42" s="134" cm="1">
        <f t="array" aca="1" ref="AO42" ca="1">_xlfn.IFNA(_xlfn.IFS(AND(AG42="Assets",AK42="Credit",AM42&lt;0),-AM42,AND(AG42="Equities",AM42&gt;0),AM42,AG42="Liabilities",AM42),0)</f>
        <v>0</v>
      </c>
      <c r="AP42" s="130" t="str">
        <f t="shared" si="5"/>
        <v/>
      </c>
      <c r="AQ42" s="130" t="str" cm="1">
        <f t="array" aca="1" ref="AQ42" ca="1">IF(AP42&lt;&gt;"",_xlfn.XLOOKUP(AF42,INDIRECT(AI42),INDIRECT(AP42),""),"")</f>
        <v/>
      </c>
    </row>
    <row r="43" spans="1:43" hidden="1" outlineLevel="1">
      <c r="A43" s="182">
        <v>16</v>
      </c>
      <c r="B43" s="165" t="str">
        <f t="shared" ca="1" si="0"/>
        <v/>
      </c>
      <c r="C43" s="166"/>
      <c r="D43" s="167"/>
      <c r="F43" s="152"/>
      <c r="G43" s="168"/>
      <c r="H43" s="169"/>
      <c r="I43" s="152"/>
      <c r="K43" s="152"/>
      <c r="L43" s="168"/>
      <c r="M43" s="169"/>
      <c r="N43" s="152"/>
      <c r="P43" s="135"/>
      <c r="Q43" s="170"/>
      <c r="R43" s="171"/>
      <c r="S43" s="135"/>
      <c r="U43" s="172"/>
      <c r="V43" s="165"/>
      <c r="W43" s="390">
        <f t="shared" ref="W43" ca="1" si="23">IF(B40&lt;&gt;"",1,0)</f>
        <v>1</v>
      </c>
      <c r="X43" s="390"/>
      <c r="Y43" s="390"/>
      <c r="Z43" s="390"/>
      <c r="AA43" s="394"/>
      <c r="AB43" s="394"/>
      <c r="AC43" s="389"/>
      <c r="AD43" s="389"/>
      <c r="AF43" s="133"/>
      <c r="AG43" s="130" t="str" cm="1">
        <f t="array" ref="AG43">_xlfn.IFNA(_xlfn.IFS(ISNUMBER(MATCH(AF43,MD_Asset[Account Name],0)),"Assets",ISNUMBER(MATCH(AF43,MD_Liability[Account Name],0)),"Liabilities",ISNUMBER(MATCH(AF43,MD_Equity[Account Name],0)),"Equities"),"")</f>
        <v/>
      </c>
      <c r="AH43" s="130" t="str">
        <f t="shared" si="1"/>
        <v/>
      </c>
      <c r="AI43" s="130" t="str">
        <f t="shared" si="2"/>
        <v/>
      </c>
      <c r="AJ43" s="130" t="str">
        <f t="shared" si="3"/>
        <v/>
      </c>
      <c r="AK43" s="130" t="str" cm="1">
        <f t="array" aca="1" ref="AK43" ca="1">IFERROR(_xlfn.XLOOKUP(AF43,INDIRECT(AI43),INDIRECT(AJ43),""),"")</f>
        <v/>
      </c>
      <c r="AL43" s="130" t="str">
        <f t="shared" si="4"/>
        <v/>
      </c>
      <c r="AM43" s="130" t="str" cm="1">
        <f t="array" aca="1" ref="AM43" ca="1">IF(AG43&lt;&gt;"",_xlfn.XLOOKUP(AF43,INDIRECT(AI43),INDIRECT(AL43)),"")</f>
        <v/>
      </c>
      <c r="AN43" s="130" cm="1">
        <f t="array" aca="1" ref="AN43" ca="1">_xlfn.IFNA(_xlfn.IFS(AND(AG43="Assets",AK43="Debit",AM43&gt;0),AM43,AND(AG43="Equities",AM43&lt;0),-AM43),0)</f>
        <v>0</v>
      </c>
      <c r="AO43" s="134" cm="1">
        <f t="array" aca="1" ref="AO43" ca="1">_xlfn.IFNA(_xlfn.IFS(AND(AG43="Assets",AK43="Credit",AM43&lt;0),-AM43,AND(AG43="Equities",AM43&gt;0),AM43,AG43="Liabilities",AM43),0)</f>
        <v>0</v>
      </c>
      <c r="AP43" s="130" t="str">
        <f t="shared" si="5"/>
        <v/>
      </c>
      <c r="AQ43" s="130" t="str" cm="1">
        <f t="array" aca="1" ref="AQ43" ca="1">IF(AP43&lt;&gt;"",_xlfn.XLOOKUP(AF43,INDIRECT(AI43),INDIRECT(AP43),""),"")</f>
        <v/>
      </c>
    </row>
    <row r="44" spans="1:43" collapsed="1">
      <c r="A44" s="182">
        <v>17</v>
      </c>
      <c r="B44" s="149" t="str">
        <f t="shared" ca="1" si="0"/>
        <v>Liabilities</v>
      </c>
      <c r="C44" s="150">
        <f t="shared" ref="C44" ca="1" si="24">_xlfn.IFNA(_xlfn.XLOOKUP(B44,$AF$28:$AF$108,$AN$28:$AN$108,0),0)</f>
        <v>0</v>
      </c>
      <c r="D44" s="151">
        <f t="shared" ref="D44" ca="1" si="25">_xlfn.IFNA(_xlfn.XLOOKUP(B44,$AF$28:$AF$108,$AO$28:$AO$108,0),"")</f>
        <v>0</v>
      </c>
      <c r="F44" s="152"/>
      <c r="G44" s="153"/>
      <c r="H44" s="154"/>
      <c r="I44" s="152"/>
      <c r="K44" s="152"/>
      <c r="L44" s="153"/>
      <c r="M44" s="154"/>
      <c r="N44" s="152"/>
      <c r="P44" s="155" t="str" cm="1">
        <f t="array" aca="1" ref="P44" ca="1">$W$1&amp;_xlfn.XLOOKUP(B44,AF$28:$AF$108,$AQ$28:$AQ$108,"")</f>
        <v>Δ</v>
      </c>
      <c r="Q44" s="156">
        <f ca="1">IF((U44-V44)-(C44-D44)-SUM(G44:G47)+SUM(H44:H47)-SUM(L44:L47)+SUM(M44:M47)&gt;0,(U44-V44)-(C44-D44)-SUM(G44:G47)+SUM(H44:H47)-SUM(L44:L47)+SUM(M44:M47),0)</f>
        <v>0</v>
      </c>
      <c r="R44" s="157">
        <f ca="1">IF((U44-V44)-(C44-D44)-SUM(G44:G47)+SUM(H44:H47)-SUM(L44:L47)+SUM(M44:M47)&lt;0,-((U44-V44)-(C44-D44)-SUM(G44:G47)+SUM(H44:H47)-SUM(L44:L47)+SUM(M44:M47)),0)</f>
        <v>0</v>
      </c>
      <c r="S44" s="155" t="str">
        <f ca="1">P44</f>
        <v>Δ</v>
      </c>
      <c r="U44" s="150">
        <f>IF(AC44&gt;0,AC44,0)</f>
        <v>0</v>
      </c>
      <c r="V44" s="151">
        <f>IF(AD44&gt;0,AD44,0)</f>
        <v>0</v>
      </c>
      <c r="W44" s="390">
        <f t="shared" ref="W44" ca="1" si="26">IF(B44&lt;&gt;"",1,0)</f>
        <v>1</v>
      </c>
      <c r="X44" s="390"/>
      <c r="Y44" s="390"/>
      <c r="Z44" s="390"/>
      <c r="AA44" s="394"/>
      <c r="AB44" s="394"/>
      <c r="AC44" s="389"/>
      <c r="AD44" s="389"/>
      <c r="AF44" s="133"/>
      <c r="AG44" s="130" t="str" cm="1">
        <f t="array" ref="AG44">_xlfn.IFNA(_xlfn.IFS(ISNUMBER(MATCH(AF44,MD_Asset[Account Name],0)),"Assets",ISNUMBER(MATCH(AF44,MD_Liability[Account Name],0)),"Liabilities",ISNUMBER(MATCH(AF44,MD_Equity[Account Name],0)),"Equities"),"")</f>
        <v/>
      </c>
      <c r="AH44" s="130" t="str">
        <f t="shared" si="1"/>
        <v/>
      </c>
      <c r="AI44" s="130" t="str">
        <f t="shared" si="2"/>
        <v/>
      </c>
      <c r="AJ44" s="130" t="str">
        <f t="shared" si="3"/>
        <v/>
      </c>
      <c r="AK44" s="130" t="str" cm="1">
        <f t="array" aca="1" ref="AK44" ca="1">IFERROR(_xlfn.XLOOKUP(AF44,INDIRECT(AI44),INDIRECT(AJ44),""),"")</f>
        <v/>
      </c>
      <c r="AL44" s="130" t="str">
        <f t="shared" si="4"/>
        <v/>
      </c>
      <c r="AM44" s="130" t="str" cm="1">
        <f t="array" aca="1" ref="AM44" ca="1">IF(AG44&lt;&gt;"",_xlfn.XLOOKUP(AF44,INDIRECT(AI44),INDIRECT(AL44)),"")</f>
        <v/>
      </c>
      <c r="AN44" s="130" cm="1">
        <f t="array" aca="1" ref="AN44" ca="1">_xlfn.IFNA(_xlfn.IFS(AND(AG44="Assets",AK44="Debit",AM44&gt;0),AM44,AND(AG44="Equities",AM44&lt;0),-AM44),0)</f>
        <v>0</v>
      </c>
      <c r="AO44" s="134" cm="1">
        <f t="array" aca="1" ref="AO44" ca="1">_xlfn.IFNA(_xlfn.IFS(AND(AG44="Assets",AK44="Credit",AM44&lt;0),-AM44,AND(AG44="Equities",AM44&gt;0),AM44,AG44="Liabilities",AM44),0)</f>
        <v>0</v>
      </c>
      <c r="AP44" s="130" t="str">
        <f t="shared" si="5"/>
        <v/>
      </c>
      <c r="AQ44" s="130" t="str" cm="1">
        <f t="array" aca="1" ref="AQ44" ca="1">IF(AP44&lt;&gt;"",_xlfn.XLOOKUP(AF44,INDIRECT(AI44),INDIRECT(AP44),""),"")</f>
        <v/>
      </c>
    </row>
    <row r="45" spans="1:43" hidden="1" outlineLevel="1" collapsed="1">
      <c r="A45" s="182">
        <v>18</v>
      </c>
      <c r="B45" s="158" t="str">
        <f t="shared" ca="1" si="0"/>
        <v/>
      </c>
      <c r="C45" s="159"/>
      <c r="D45" s="160"/>
      <c r="F45" s="152"/>
      <c r="G45" s="161"/>
      <c r="H45" s="162"/>
      <c r="I45" s="152"/>
      <c r="K45" s="152"/>
      <c r="L45" s="161"/>
      <c r="M45" s="162"/>
      <c r="N45" s="152"/>
      <c r="P45" s="135"/>
      <c r="Q45" s="163"/>
      <c r="S45" s="135"/>
      <c r="U45" s="164"/>
      <c r="V45" s="158"/>
      <c r="W45" s="390">
        <f t="shared" ref="W45" ca="1" si="27">IF(B44&lt;&gt;"",1,0)</f>
        <v>1</v>
      </c>
      <c r="X45" s="390"/>
      <c r="Y45" s="390"/>
      <c r="Z45" s="390"/>
      <c r="AA45" s="394"/>
      <c r="AB45" s="394"/>
      <c r="AC45" s="389"/>
      <c r="AD45" s="389"/>
      <c r="AF45" s="133"/>
      <c r="AG45" s="130" t="str" cm="1">
        <f t="array" ref="AG45">_xlfn.IFNA(_xlfn.IFS(ISNUMBER(MATCH(AF45,MD_Asset[Account Name],0)),"Assets",ISNUMBER(MATCH(AF45,MD_Liability[Account Name],0)),"Liabilities",ISNUMBER(MATCH(AF45,MD_Equity[Account Name],0)),"Equities"),"")</f>
        <v/>
      </c>
      <c r="AH45" s="130" t="str">
        <f t="shared" si="1"/>
        <v/>
      </c>
      <c r="AI45" s="130" t="str">
        <f t="shared" si="2"/>
        <v/>
      </c>
      <c r="AJ45" s="130" t="str">
        <f t="shared" si="3"/>
        <v/>
      </c>
      <c r="AK45" s="130" t="str" cm="1">
        <f t="array" aca="1" ref="AK45" ca="1">IFERROR(_xlfn.XLOOKUP(AF45,INDIRECT(AI45),INDIRECT(AJ45),""),"")</f>
        <v/>
      </c>
      <c r="AL45" s="130" t="str">
        <f t="shared" si="4"/>
        <v/>
      </c>
      <c r="AM45" s="130" t="str" cm="1">
        <f t="array" aca="1" ref="AM45" ca="1">IF(AG45&lt;&gt;"",_xlfn.XLOOKUP(AF45,INDIRECT(AI45),INDIRECT(AL45)),"")</f>
        <v/>
      </c>
      <c r="AN45" s="130" cm="1">
        <f t="array" aca="1" ref="AN45" ca="1">_xlfn.IFNA(_xlfn.IFS(AND(AG45="Assets",AK45="Debit",AM45&gt;0),AM45,AND(AG45="Equities",AM45&lt;0),-AM45),0)</f>
        <v>0</v>
      </c>
      <c r="AO45" s="134" cm="1">
        <f t="array" aca="1" ref="AO45" ca="1">_xlfn.IFNA(_xlfn.IFS(AND(AG45="Assets",AK45="Credit",AM45&lt;0),-AM45,AND(AG45="Equities",AM45&gt;0),AM45,AG45="Liabilities",AM45),0)</f>
        <v>0</v>
      </c>
      <c r="AP45" s="130" t="str">
        <f t="shared" si="5"/>
        <v/>
      </c>
      <c r="AQ45" s="130" t="str" cm="1">
        <f t="array" aca="1" ref="AQ45" ca="1">IF(AP45&lt;&gt;"",_xlfn.XLOOKUP(AF45,INDIRECT(AI45),INDIRECT(AP45),""),"")</f>
        <v/>
      </c>
    </row>
    <row r="46" spans="1:43" hidden="1" outlineLevel="1">
      <c r="A46" s="182">
        <v>19</v>
      </c>
      <c r="B46" s="158" t="str">
        <f t="shared" ca="1" si="0"/>
        <v/>
      </c>
      <c r="C46" s="159"/>
      <c r="D46" s="160"/>
      <c r="F46" s="152"/>
      <c r="G46" s="161"/>
      <c r="H46" s="162"/>
      <c r="I46" s="152"/>
      <c r="K46" s="152"/>
      <c r="L46" s="161"/>
      <c r="M46" s="162"/>
      <c r="N46" s="152"/>
      <c r="P46" s="135"/>
      <c r="Q46" s="163"/>
      <c r="S46" s="135"/>
      <c r="U46" s="164"/>
      <c r="V46" s="158"/>
      <c r="W46" s="390">
        <f t="shared" ref="W46" ca="1" si="28">IF(B44&lt;&gt;"",1,0)</f>
        <v>1</v>
      </c>
      <c r="X46" s="390"/>
      <c r="Y46" s="390"/>
      <c r="Z46" s="390"/>
      <c r="AA46" s="394"/>
      <c r="AB46" s="394"/>
      <c r="AC46" s="389"/>
      <c r="AD46" s="389"/>
      <c r="AF46" s="133"/>
      <c r="AG46" s="130" t="str" cm="1">
        <f t="array" ref="AG46">_xlfn.IFNA(_xlfn.IFS(ISNUMBER(MATCH(AF46,MD_Asset[Account Name],0)),"Assets",ISNUMBER(MATCH(AF46,MD_Liability[Account Name],0)),"Liabilities",ISNUMBER(MATCH(AF46,MD_Equity[Account Name],0)),"Equities"),"")</f>
        <v/>
      </c>
      <c r="AH46" s="130" t="str">
        <f t="shared" si="1"/>
        <v/>
      </c>
      <c r="AI46" s="130" t="str">
        <f t="shared" si="2"/>
        <v/>
      </c>
      <c r="AJ46" s="130" t="str">
        <f t="shared" si="3"/>
        <v/>
      </c>
      <c r="AK46" s="130" t="str" cm="1">
        <f t="array" aca="1" ref="AK46" ca="1">IFERROR(_xlfn.XLOOKUP(AF46,INDIRECT(AI46),INDIRECT(AJ46),""),"")</f>
        <v/>
      </c>
      <c r="AL46" s="130" t="str">
        <f t="shared" si="4"/>
        <v/>
      </c>
      <c r="AM46" s="130" t="str" cm="1">
        <f t="array" aca="1" ref="AM46" ca="1">IF(AG46&lt;&gt;"",_xlfn.XLOOKUP(AF46,INDIRECT(AI46),INDIRECT(AL46)),"")</f>
        <v/>
      </c>
      <c r="AN46" s="130" cm="1">
        <f t="array" aca="1" ref="AN46" ca="1">_xlfn.IFNA(_xlfn.IFS(AND(AG46="Assets",AK46="Debit",AM46&gt;0),AM46,AND(AG46="Equities",AM46&lt;0),-AM46),0)</f>
        <v>0</v>
      </c>
      <c r="AO46" s="134" cm="1">
        <f t="array" aca="1" ref="AO46" ca="1">_xlfn.IFNA(_xlfn.IFS(AND(AG46="Assets",AK46="Credit",AM46&lt;0),-AM46,AND(AG46="Equities",AM46&gt;0),AM46,AG46="Liabilities",AM46),0)</f>
        <v>0</v>
      </c>
      <c r="AP46" s="130" t="str">
        <f t="shared" si="5"/>
        <v/>
      </c>
      <c r="AQ46" s="130" t="str" cm="1">
        <f t="array" aca="1" ref="AQ46" ca="1">IF(AP46&lt;&gt;"",_xlfn.XLOOKUP(AF46,INDIRECT(AI46),INDIRECT(AP46),""),"")</f>
        <v/>
      </c>
    </row>
    <row r="47" spans="1:43" hidden="1" outlineLevel="1">
      <c r="A47" s="182">
        <v>20</v>
      </c>
      <c r="B47" s="165" t="str">
        <f t="shared" ca="1" si="0"/>
        <v/>
      </c>
      <c r="C47" s="166"/>
      <c r="D47" s="167"/>
      <c r="F47" s="152"/>
      <c r="G47" s="168"/>
      <c r="H47" s="169"/>
      <c r="I47" s="152"/>
      <c r="K47" s="152"/>
      <c r="L47" s="168"/>
      <c r="M47" s="169"/>
      <c r="N47" s="152"/>
      <c r="P47" s="135"/>
      <c r="Q47" s="170"/>
      <c r="R47" s="171"/>
      <c r="S47" s="135"/>
      <c r="U47" s="172"/>
      <c r="V47" s="165"/>
      <c r="W47" s="390">
        <f t="shared" ref="W47" ca="1" si="29">IF(B44&lt;&gt;"",1,0)</f>
        <v>1</v>
      </c>
      <c r="X47" s="390"/>
      <c r="Y47" s="390"/>
      <c r="Z47" s="390"/>
      <c r="AA47" s="394"/>
      <c r="AB47" s="394"/>
      <c r="AC47" s="389"/>
      <c r="AD47" s="389"/>
      <c r="AF47" s="133"/>
      <c r="AG47" s="130" t="str" cm="1">
        <f t="array" ref="AG47">_xlfn.IFNA(_xlfn.IFS(ISNUMBER(MATCH(AF47,MD_Asset[Account Name],0)),"Assets",ISNUMBER(MATCH(AF47,MD_Liability[Account Name],0)),"Liabilities",ISNUMBER(MATCH(AF47,MD_Equity[Account Name],0)),"Equities"),"")</f>
        <v/>
      </c>
      <c r="AH47" s="130" t="str">
        <f t="shared" si="1"/>
        <v/>
      </c>
      <c r="AI47" s="130" t="str">
        <f t="shared" si="2"/>
        <v/>
      </c>
      <c r="AJ47" s="130" t="str">
        <f t="shared" si="3"/>
        <v/>
      </c>
      <c r="AK47" s="130" t="str" cm="1">
        <f t="array" aca="1" ref="AK47" ca="1">IFERROR(_xlfn.XLOOKUP(AF47,INDIRECT(AI47),INDIRECT(AJ47),""),"")</f>
        <v/>
      </c>
      <c r="AL47" s="130" t="str">
        <f t="shared" si="4"/>
        <v/>
      </c>
      <c r="AM47" s="130" t="str" cm="1">
        <f t="array" aca="1" ref="AM47" ca="1">IF(AG47&lt;&gt;"",_xlfn.XLOOKUP(AF47,INDIRECT(AI47),INDIRECT(AL47)),"")</f>
        <v/>
      </c>
      <c r="AN47" s="130" cm="1">
        <f t="array" aca="1" ref="AN47" ca="1">_xlfn.IFNA(_xlfn.IFS(AND(AG47="Assets",AK47="Debit",AM47&gt;0),AM47,AND(AG47="Equities",AM47&lt;0),-AM47),0)</f>
        <v>0</v>
      </c>
      <c r="AO47" s="134" cm="1">
        <f t="array" aca="1" ref="AO47" ca="1">_xlfn.IFNA(_xlfn.IFS(AND(AG47="Assets",AK47="Credit",AM47&lt;0),-AM47,AND(AG47="Equities",AM47&gt;0),AM47,AG47="Liabilities",AM47),0)</f>
        <v>0</v>
      </c>
      <c r="AP47" s="130" t="str">
        <f t="shared" si="5"/>
        <v/>
      </c>
      <c r="AQ47" s="130" t="str" cm="1">
        <f t="array" aca="1" ref="AQ47" ca="1">IF(AP47&lt;&gt;"",_xlfn.XLOOKUP(AF47,INDIRECT(AI47),INDIRECT(AP47),""),"")</f>
        <v/>
      </c>
    </row>
    <row r="48" spans="1:43" collapsed="1">
      <c r="A48" s="182">
        <v>21</v>
      </c>
      <c r="B48" s="149" t="str">
        <f t="shared" ca="1" si="0"/>
        <v>Accounts Payable</v>
      </c>
      <c r="C48" s="150">
        <f t="shared" ref="C48" ca="1" si="30">_xlfn.IFNA(_xlfn.XLOOKUP(B48,$AF$28:$AF$108,$AN$28:$AN$108,0),0)</f>
        <v>0</v>
      </c>
      <c r="D48" s="151">
        <f t="shared" ref="D48" ca="1" si="31">_xlfn.IFNA(_xlfn.XLOOKUP(B48,$AF$28:$AF$108,$AO$28:$AO$108,0),"")</f>
        <v>0</v>
      </c>
      <c r="F48" s="152"/>
      <c r="G48" s="153"/>
      <c r="H48" s="154"/>
      <c r="I48" s="152"/>
      <c r="K48" s="152"/>
      <c r="L48" s="153"/>
      <c r="M48" s="154"/>
      <c r="N48" s="152"/>
      <c r="P48" s="155" t="str" cm="1">
        <f t="array" aca="1" ref="P48" ca="1">$W$1&amp;_xlfn.XLOOKUP(B48,AF$28:$AF$108,$AQ$28:$AQ$108,"")</f>
        <v>ΔAP</v>
      </c>
      <c r="Q48" s="156">
        <f ca="1">IF((U48-V48)-(C48-D48)-SUM(G48:G51)+SUM(H48:H51)-SUM(L48:L51)+SUM(M48:M51)&gt;0,(U48-V48)-(C48-D48)-SUM(G48:G51)+SUM(H48:H51)-SUM(L48:L51)+SUM(M48:M51),0)</f>
        <v>0</v>
      </c>
      <c r="R48" s="157">
        <f ca="1">IF((U48-V48)-(C48-D48)-SUM(G48:G51)+SUM(H48:H51)-SUM(L48:L51)+SUM(M48:M51)&lt;0,-((U48-V48)-(C48-D48)-SUM(G48:G51)+SUM(H48:H51)-SUM(L48:L51)+SUM(M48:M51)),0)</f>
        <v>0</v>
      </c>
      <c r="S48" s="155" t="str">
        <f ca="1">P48</f>
        <v>ΔAP</v>
      </c>
      <c r="U48" s="150">
        <f ca="1">IF(AC48&gt;0,AC48,0)</f>
        <v>0</v>
      </c>
      <c r="V48" s="151">
        <f ca="1">IF(AD48&gt;0,AD48,0)</f>
        <v>0</v>
      </c>
      <c r="W48" s="390">
        <f t="shared" ref="W48" ca="1" si="32">IF(B48&lt;&gt;"",1,0)</f>
        <v>1</v>
      </c>
      <c r="X48" s="390"/>
      <c r="Y48" s="390"/>
      <c r="Z48" s="390"/>
      <c r="AA48" s="394">
        <f ca="1">SUMIF(Journal[Debit Account],B48,Journal[Dr Amt])</f>
        <v>0</v>
      </c>
      <c r="AB48" s="394">
        <f ca="1">SUMIF(Journal[Credit Account],B48,Journal[Cr Amt])</f>
        <v>0</v>
      </c>
      <c r="AC48" s="389">
        <f ca="1">C48-D48+AA48-AB48</f>
        <v>0</v>
      </c>
      <c r="AD48" s="389">
        <f ca="1">D48-C48+AB48-AA48</f>
        <v>0</v>
      </c>
      <c r="AF48" s="133"/>
      <c r="AG48" s="130" t="str" cm="1">
        <f t="array" ref="AG48">_xlfn.IFNA(_xlfn.IFS(ISNUMBER(MATCH(AF48,MD_Asset[Account Name],0)),"Assets",ISNUMBER(MATCH(AF48,MD_Liability[Account Name],0)),"Liabilities",ISNUMBER(MATCH(AF48,MD_Equity[Account Name],0)),"Equities"),"")</f>
        <v/>
      </c>
      <c r="AH48" s="130" t="str">
        <f t="shared" si="1"/>
        <v/>
      </c>
      <c r="AI48" s="130" t="str">
        <f t="shared" si="2"/>
        <v/>
      </c>
      <c r="AJ48" s="130" t="str">
        <f t="shared" si="3"/>
        <v/>
      </c>
      <c r="AK48" s="130" t="str" cm="1">
        <f t="array" aca="1" ref="AK48" ca="1">IFERROR(_xlfn.XLOOKUP(AF48,INDIRECT(AI48),INDIRECT(AJ48),""),"")</f>
        <v/>
      </c>
      <c r="AL48" s="130" t="str">
        <f t="shared" si="4"/>
        <v/>
      </c>
      <c r="AM48" s="130" t="str" cm="1">
        <f t="array" aca="1" ref="AM48" ca="1">IF(AG48&lt;&gt;"",_xlfn.XLOOKUP(AF48,INDIRECT(AI48),INDIRECT(AL48)),"")</f>
        <v/>
      </c>
      <c r="AN48" s="130" cm="1">
        <f t="array" aca="1" ref="AN48" ca="1">_xlfn.IFNA(_xlfn.IFS(AND(AG48="Assets",AK48="Debit",AM48&gt;0),AM48,AND(AG48="Equities",AM48&lt;0),-AM48),0)</f>
        <v>0</v>
      </c>
      <c r="AO48" s="134" cm="1">
        <f t="array" aca="1" ref="AO48" ca="1">_xlfn.IFNA(_xlfn.IFS(AND(AG48="Assets",AK48="Credit",AM48&lt;0),-AM48,AND(AG48="Equities",AM48&gt;0),AM48,AG48="Liabilities",AM48),0)</f>
        <v>0</v>
      </c>
      <c r="AP48" s="130" t="str">
        <f t="shared" si="5"/>
        <v/>
      </c>
      <c r="AQ48" s="130" t="str" cm="1">
        <f t="array" aca="1" ref="AQ48" ca="1">IF(AP48&lt;&gt;"",_xlfn.XLOOKUP(AF48,INDIRECT(AI48),INDIRECT(AP48),""),"")</f>
        <v/>
      </c>
    </row>
    <row r="49" spans="1:43" hidden="1" outlineLevel="1">
      <c r="A49" s="182">
        <v>22</v>
      </c>
      <c r="B49" s="158" t="str">
        <f t="shared" ca="1" si="0"/>
        <v/>
      </c>
      <c r="C49" s="159"/>
      <c r="D49" s="160"/>
      <c r="F49" s="152"/>
      <c r="G49" s="161"/>
      <c r="H49" s="162"/>
      <c r="I49" s="152"/>
      <c r="K49" s="152"/>
      <c r="L49" s="161"/>
      <c r="M49" s="162"/>
      <c r="N49" s="152"/>
      <c r="P49" s="135"/>
      <c r="Q49" s="163"/>
      <c r="S49" s="135"/>
      <c r="U49" s="164"/>
      <c r="V49" s="158"/>
      <c r="W49" s="390">
        <f t="shared" ref="W49" ca="1" si="33">IF(B48&lt;&gt;"",1,0)</f>
        <v>1</v>
      </c>
      <c r="X49" s="390"/>
      <c r="Y49" s="390"/>
      <c r="Z49" s="390"/>
      <c r="AA49" s="394"/>
      <c r="AB49" s="394"/>
      <c r="AC49" s="389"/>
      <c r="AD49" s="389"/>
      <c r="AF49" s="133"/>
      <c r="AG49" s="130" t="str" cm="1">
        <f t="array" ref="AG49">_xlfn.IFNA(_xlfn.IFS(ISNUMBER(MATCH(AF49,MD_Asset[Account Name],0)),"Assets",ISNUMBER(MATCH(AF49,MD_Liability[Account Name],0)),"Liabilities",ISNUMBER(MATCH(AF49,MD_Equity[Account Name],0)),"Equities"),"")</f>
        <v/>
      </c>
      <c r="AH49" s="130" t="str">
        <f t="shared" si="1"/>
        <v/>
      </c>
      <c r="AI49" s="130" t="str">
        <f t="shared" si="2"/>
        <v/>
      </c>
      <c r="AJ49" s="130" t="str">
        <f t="shared" si="3"/>
        <v/>
      </c>
      <c r="AK49" s="130" t="str" cm="1">
        <f t="array" aca="1" ref="AK49" ca="1">IFERROR(_xlfn.XLOOKUP(AF49,INDIRECT(AI49),INDIRECT(AJ49),""),"")</f>
        <v/>
      </c>
      <c r="AL49" s="130" t="str">
        <f t="shared" si="4"/>
        <v/>
      </c>
      <c r="AM49" s="130" t="str" cm="1">
        <f t="array" aca="1" ref="AM49" ca="1">IF(AG49&lt;&gt;"",_xlfn.XLOOKUP(AF49,INDIRECT(AI49),INDIRECT(AL49)),"")</f>
        <v/>
      </c>
      <c r="AN49" s="130" cm="1">
        <f t="array" aca="1" ref="AN49" ca="1">_xlfn.IFNA(_xlfn.IFS(AND(AG49="Assets",AK49="Debit",AM49&gt;0),AM49,AND(AG49="Equities",AM49&lt;0),-AM49),0)</f>
        <v>0</v>
      </c>
      <c r="AO49" s="134" cm="1">
        <f t="array" aca="1" ref="AO49" ca="1">_xlfn.IFNA(_xlfn.IFS(AND(AG49="Assets",AK49="Credit",AM49&lt;0),-AM49,AND(AG49="Equities",AM49&gt;0),AM49,AG49="Liabilities",AM49),0)</f>
        <v>0</v>
      </c>
      <c r="AP49" s="130" t="str">
        <f t="shared" si="5"/>
        <v/>
      </c>
      <c r="AQ49" s="130" t="str" cm="1">
        <f t="array" aca="1" ref="AQ49" ca="1">IF(AP49&lt;&gt;"",_xlfn.XLOOKUP(AF49,INDIRECT(AI49),INDIRECT(AP49),""),"")</f>
        <v/>
      </c>
    </row>
    <row r="50" spans="1:43" hidden="1" outlineLevel="1">
      <c r="A50" s="182">
        <v>23</v>
      </c>
      <c r="B50" s="158" t="str">
        <f t="shared" ca="1" si="0"/>
        <v/>
      </c>
      <c r="C50" s="159"/>
      <c r="D50" s="160"/>
      <c r="F50" s="152"/>
      <c r="G50" s="161"/>
      <c r="H50" s="162"/>
      <c r="I50" s="152"/>
      <c r="K50" s="152"/>
      <c r="L50" s="161"/>
      <c r="M50" s="162"/>
      <c r="N50" s="152"/>
      <c r="P50" s="135"/>
      <c r="Q50" s="163"/>
      <c r="S50" s="135"/>
      <c r="U50" s="164"/>
      <c r="V50" s="158"/>
      <c r="W50" s="390">
        <f t="shared" ref="W50" ca="1" si="34">IF(B48&lt;&gt;"",1,0)</f>
        <v>1</v>
      </c>
      <c r="X50" s="390"/>
      <c r="Y50" s="390"/>
      <c r="Z50" s="390"/>
      <c r="AA50" s="394"/>
      <c r="AB50" s="394"/>
      <c r="AC50" s="389"/>
      <c r="AD50" s="389"/>
      <c r="AF50" s="133"/>
      <c r="AG50" s="130" t="str" cm="1">
        <f t="array" ref="AG50">_xlfn.IFNA(_xlfn.IFS(ISNUMBER(MATCH(AF50,MD_Asset[Account Name],0)),"Assets",ISNUMBER(MATCH(AF50,MD_Liability[Account Name],0)),"Liabilities",ISNUMBER(MATCH(AF50,MD_Equity[Account Name],0)),"Equities"),"")</f>
        <v/>
      </c>
      <c r="AH50" s="130" t="str">
        <f t="shared" si="1"/>
        <v/>
      </c>
      <c r="AI50" s="130" t="str">
        <f t="shared" si="2"/>
        <v/>
      </c>
      <c r="AJ50" s="130" t="str">
        <f t="shared" si="3"/>
        <v/>
      </c>
      <c r="AK50" s="130" t="str" cm="1">
        <f t="array" aca="1" ref="AK50" ca="1">IFERROR(_xlfn.XLOOKUP(AF50,INDIRECT(AI50),INDIRECT(AJ50),""),"")</f>
        <v/>
      </c>
      <c r="AL50" s="130" t="str">
        <f t="shared" si="4"/>
        <v/>
      </c>
      <c r="AM50" s="130" t="str" cm="1">
        <f t="array" aca="1" ref="AM50" ca="1">IF(AG50&lt;&gt;"",_xlfn.XLOOKUP(AF50,INDIRECT(AI50),INDIRECT(AL50)),"")</f>
        <v/>
      </c>
      <c r="AN50" s="130" cm="1">
        <f t="array" aca="1" ref="AN50" ca="1">_xlfn.IFNA(_xlfn.IFS(AND(AG50="Assets",AK50="Debit",AM50&gt;0),AM50,AND(AG50="Equities",AM50&lt;0),-AM50),0)</f>
        <v>0</v>
      </c>
      <c r="AO50" s="134" cm="1">
        <f t="array" aca="1" ref="AO50" ca="1">_xlfn.IFNA(_xlfn.IFS(AND(AG50="Assets",AK50="Credit",AM50&lt;0),-AM50,AND(AG50="Equities",AM50&gt;0),AM50,AG50="Liabilities",AM50),0)</f>
        <v>0</v>
      </c>
      <c r="AP50" s="130" t="str">
        <f t="shared" si="5"/>
        <v/>
      </c>
      <c r="AQ50" s="130" t="str" cm="1">
        <f t="array" aca="1" ref="AQ50" ca="1">IF(AP50&lt;&gt;"",_xlfn.XLOOKUP(AF50,INDIRECT(AI50),INDIRECT(AP50),""),"")</f>
        <v/>
      </c>
    </row>
    <row r="51" spans="1:43" hidden="1" outlineLevel="1">
      <c r="A51" s="182">
        <v>24</v>
      </c>
      <c r="B51" s="165" t="str">
        <f t="shared" ca="1" si="0"/>
        <v/>
      </c>
      <c r="C51" s="166"/>
      <c r="D51" s="167"/>
      <c r="F51" s="152"/>
      <c r="G51" s="168"/>
      <c r="H51" s="169"/>
      <c r="I51" s="152"/>
      <c r="K51" s="152"/>
      <c r="L51" s="168"/>
      <c r="M51" s="169"/>
      <c r="N51" s="152"/>
      <c r="P51" s="135"/>
      <c r="Q51" s="170"/>
      <c r="R51" s="171"/>
      <c r="S51" s="135"/>
      <c r="U51" s="172"/>
      <c r="V51" s="165"/>
      <c r="W51" s="390">
        <f t="shared" ref="W51" ca="1" si="35">IF(B48&lt;&gt;"",1,0)</f>
        <v>1</v>
      </c>
      <c r="X51" s="390"/>
      <c r="Y51" s="390"/>
      <c r="Z51" s="390"/>
      <c r="AA51" s="394"/>
      <c r="AB51" s="394"/>
      <c r="AC51" s="389"/>
      <c r="AD51" s="389"/>
      <c r="AF51" s="133"/>
      <c r="AG51" s="130" t="str" cm="1">
        <f t="array" ref="AG51">_xlfn.IFNA(_xlfn.IFS(ISNUMBER(MATCH(AF51,MD_Asset[Account Name],0)),"Assets",ISNUMBER(MATCH(AF51,MD_Liability[Account Name],0)),"Liabilities",ISNUMBER(MATCH(AF51,MD_Equity[Account Name],0)),"Equities"),"")</f>
        <v/>
      </c>
      <c r="AH51" s="130" t="str">
        <f t="shared" si="1"/>
        <v/>
      </c>
      <c r="AI51" s="130" t="str">
        <f t="shared" si="2"/>
        <v/>
      </c>
      <c r="AJ51" s="130" t="str">
        <f t="shared" si="3"/>
        <v/>
      </c>
      <c r="AK51" s="130" t="str" cm="1">
        <f t="array" aca="1" ref="AK51" ca="1">IFERROR(_xlfn.XLOOKUP(AF51,INDIRECT(AI51),INDIRECT(AJ51),""),"")</f>
        <v/>
      </c>
      <c r="AL51" s="130" t="str">
        <f t="shared" si="4"/>
        <v/>
      </c>
      <c r="AM51" s="130" t="str" cm="1">
        <f t="array" aca="1" ref="AM51" ca="1">IF(AG51&lt;&gt;"",_xlfn.XLOOKUP(AF51,INDIRECT(AI51),INDIRECT(AL51)),"")</f>
        <v/>
      </c>
      <c r="AN51" s="130" cm="1">
        <f t="array" aca="1" ref="AN51" ca="1">_xlfn.IFNA(_xlfn.IFS(AND(AG51="Assets",AK51="Debit",AM51&gt;0),AM51,AND(AG51="Equities",AM51&lt;0),-AM51),0)</f>
        <v>0</v>
      </c>
      <c r="AO51" s="134" cm="1">
        <f t="array" aca="1" ref="AO51" ca="1">_xlfn.IFNA(_xlfn.IFS(AND(AG51="Assets",AK51="Credit",AM51&lt;0),-AM51,AND(AG51="Equities",AM51&gt;0),AM51,AG51="Liabilities",AM51),0)</f>
        <v>0</v>
      </c>
      <c r="AP51" s="130" t="str">
        <f t="shared" si="5"/>
        <v/>
      </c>
      <c r="AQ51" s="130" t="str" cm="1">
        <f t="array" aca="1" ref="AQ51" ca="1">IF(AP51&lt;&gt;"",_xlfn.XLOOKUP(AF51,INDIRECT(AI51),INDIRECT(AP51),""),"")</f>
        <v/>
      </c>
    </row>
    <row r="52" spans="1:43" collapsed="1">
      <c r="A52" s="182">
        <v>25</v>
      </c>
      <c r="B52" s="149" t="str">
        <f t="shared" ca="1" si="0"/>
        <v>Dividends Payable</v>
      </c>
      <c r="C52" s="150">
        <f t="shared" ref="C52" ca="1" si="36">_xlfn.IFNA(_xlfn.XLOOKUP(B52,$AF$28:$AF$108,$AN$28:$AN$108,0),0)</f>
        <v>0</v>
      </c>
      <c r="D52" s="151">
        <f t="shared" ref="D52" ca="1" si="37">_xlfn.IFNA(_xlfn.XLOOKUP(B52,$AF$28:$AF$108,$AO$28:$AO$108,0),"")</f>
        <v>0</v>
      </c>
      <c r="F52" s="152"/>
      <c r="G52" s="153"/>
      <c r="H52" s="154"/>
      <c r="I52" s="152"/>
      <c r="K52" s="152"/>
      <c r="L52" s="153"/>
      <c r="M52" s="154"/>
      <c r="N52" s="152"/>
      <c r="P52" s="155" t="str" cm="1">
        <f t="array" aca="1" ref="P52" ca="1">$W$1&amp;_xlfn.XLOOKUP(B52,AF$28:$AF$108,$AQ$28:$AQ$108,"")</f>
        <v>ΔDP</v>
      </c>
      <c r="Q52" s="156">
        <f ca="1">IF((U52-V52)-(C52-D52)-SUM(G52:G55)+SUM(H52:H55)-SUM(L52:L55)+SUM(M52:M55)&gt;0,(U52-V52)-(C52-D52)-SUM(G52:G55)+SUM(H52:H55)-SUM(L52:L55)+SUM(M52:M55),0)</f>
        <v>0</v>
      </c>
      <c r="R52" s="157">
        <f ca="1">IF((U52-V52)-(C52-D52)-SUM(G52:G55)+SUM(H52:H55)-SUM(L52:L55)+SUM(M52:M55)&lt;0,-((U52-V52)-(C52-D52)-SUM(G52:G55)+SUM(H52:H55)-SUM(L52:L55)+SUM(M52:M55)),0)</f>
        <v>0</v>
      </c>
      <c r="S52" s="155" t="str">
        <f ca="1">P52</f>
        <v>ΔDP</v>
      </c>
      <c r="U52" s="150">
        <f ca="1">IF(AC52&gt;0,AC52,0)</f>
        <v>0</v>
      </c>
      <c r="V52" s="151">
        <f ca="1">IF(AD52&gt;0,AD52,0)</f>
        <v>0</v>
      </c>
      <c r="W52" s="390">
        <f t="shared" ref="W52" ca="1" si="38">IF(B52&lt;&gt;"",1,0)</f>
        <v>1</v>
      </c>
      <c r="X52" s="390"/>
      <c r="Y52" s="390"/>
      <c r="Z52" s="390"/>
      <c r="AA52" s="394">
        <f ca="1">SUMIF(Journal[Debit Account],B52,Journal[Dr Amt])</f>
        <v>0</v>
      </c>
      <c r="AB52" s="394">
        <f ca="1">SUMIF(Journal[Credit Account],B52,Journal[Cr Amt])</f>
        <v>0</v>
      </c>
      <c r="AC52" s="389">
        <f ca="1">C52-D52+AA52-AB52</f>
        <v>0</v>
      </c>
      <c r="AD52" s="389">
        <f ca="1">D52-C52+AB52-AA52</f>
        <v>0</v>
      </c>
      <c r="AF52" s="133"/>
      <c r="AG52" s="130" t="str" cm="1">
        <f t="array" ref="AG52">_xlfn.IFNA(_xlfn.IFS(ISNUMBER(MATCH(AF52,MD_Asset[Account Name],0)),"Assets",ISNUMBER(MATCH(AF52,MD_Liability[Account Name],0)),"Liabilities",ISNUMBER(MATCH(AF52,MD_Equity[Account Name],0)),"Equities"),"")</f>
        <v/>
      </c>
      <c r="AH52" s="130" t="str">
        <f t="shared" si="1"/>
        <v/>
      </c>
      <c r="AI52" s="130" t="str">
        <f t="shared" si="2"/>
        <v/>
      </c>
      <c r="AJ52" s="130" t="str">
        <f t="shared" si="3"/>
        <v/>
      </c>
      <c r="AK52" s="130" t="str" cm="1">
        <f t="array" aca="1" ref="AK52" ca="1">IFERROR(_xlfn.XLOOKUP(AF52,INDIRECT(AI52),INDIRECT(AJ52),""),"")</f>
        <v/>
      </c>
      <c r="AL52" s="130" t="str">
        <f t="shared" si="4"/>
        <v/>
      </c>
      <c r="AM52" s="130" t="str" cm="1">
        <f t="array" aca="1" ref="AM52" ca="1">IF(AG52&lt;&gt;"",_xlfn.XLOOKUP(AF52,INDIRECT(AI52),INDIRECT(AL52)),"")</f>
        <v/>
      </c>
      <c r="AN52" s="130" cm="1">
        <f t="array" aca="1" ref="AN52" ca="1">_xlfn.IFNA(_xlfn.IFS(AND(AG52="Assets",AK52="Debit",AM52&gt;0),AM52,AND(AG52="Equities",AM52&lt;0),-AM52),0)</f>
        <v>0</v>
      </c>
      <c r="AO52" s="134" cm="1">
        <f t="array" aca="1" ref="AO52" ca="1">_xlfn.IFNA(_xlfn.IFS(AND(AG52="Assets",AK52="Credit",AM52&lt;0),-AM52,AND(AG52="Equities",AM52&gt;0),AM52,AG52="Liabilities",AM52),0)</f>
        <v>0</v>
      </c>
      <c r="AP52" s="130" t="str">
        <f t="shared" si="5"/>
        <v/>
      </c>
      <c r="AQ52" s="130" t="str" cm="1">
        <f t="array" aca="1" ref="AQ52" ca="1">IF(AP52&lt;&gt;"",_xlfn.XLOOKUP(AF52,INDIRECT(AI52),INDIRECT(AP52),""),"")</f>
        <v/>
      </c>
    </row>
    <row r="53" spans="1:43" hidden="1" outlineLevel="1">
      <c r="A53" s="182">
        <v>26</v>
      </c>
      <c r="B53" s="158" t="str">
        <f t="shared" ca="1" si="0"/>
        <v/>
      </c>
      <c r="C53" s="159"/>
      <c r="D53" s="160"/>
      <c r="F53" s="152"/>
      <c r="G53" s="161"/>
      <c r="H53" s="162"/>
      <c r="I53" s="152"/>
      <c r="K53" s="152"/>
      <c r="L53" s="161"/>
      <c r="M53" s="162"/>
      <c r="N53" s="152"/>
      <c r="P53" s="135"/>
      <c r="Q53" s="163"/>
      <c r="S53" s="135"/>
      <c r="U53" s="164"/>
      <c r="V53" s="158"/>
      <c r="W53" s="390">
        <f t="shared" ref="W53" ca="1" si="39">IF(B52&lt;&gt;"",1,0)</f>
        <v>1</v>
      </c>
      <c r="X53" s="390"/>
      <c r="Y53" s="390"/>
      <c r="Z53" s="390"/>
      <c r="AA53" s="394"/>
      <c r="AB53" s="394"/>
      <c r="AC53" s="389"/>
      <c r="AD53" s="389"/>
      <c r="AF53" s="133"/>
      <c r="AG53" s="130" t="str" cm="1">
        <f t="array" ref="AG53">_xlfn.IFNA(_xlfn.IFS(ISNUMBER(MATCH(AF53,MD_Asset[Account Name],0)),"Assets",ISNUMBER(MATCH(AF53,MD_Liability[Account Name],0)),"Liabilities",ISNUMBER(MATCH(AF53,MD_Equity[Account Name],0)),"Equities"),"")</f>
        <v/>
      </c>
      <c r="AH53" s="130" t="str">
        <f t="shared" si="1"/>
        <v/>
      </c>
      <c r="AI53" s="130" t="str">
        <f t="shared" si="2"/>
        <v/>
      </c>
      <c r="AJ53" s="130" t="str">
        <f t="shared" si="3"/>
        <v/>
      </c>
      <c r="AK53" s="130" t="str" cm="1">
        <f t="array" aca="1" ref="AK53" ca="1">IFERROR(_xlfn.XLOOKUP(AF53,INDIRECT(AI53),INDIRECT(AJ53),""),"")</f>
        <v/>
      </c>
      <c r="AL53" s="130" t="str">
        <f t="shared" si="4"/>
        <v/>
      </c>
      <c r="AM53" s="130" t="str" cm="1">
        <f t="array" aca="1" ref="AM53" ca="1">IF(AG53&lt;&gt;"",_xlfn.XLOOKUP(AF53,INDIRECT(AI53),INDIRECT(AL53)),"")</f>
        <v/>
      </c>
      <c r="AN53" s="130" cm="1">
        <f t="array" aca="1" ref="AN53" ca="1">_xlfn.IFNA(_xlfn.IFS(AND(AG53="Assets",AK53="Debit",AM53&gt;0),AM53,AND(AG53="Equities",AM53&lt;0),-AM53),0)</f>
        <v>0</v>
      </c>
      <c r="AO53" s="134" cm="1">
        <f t="array" aca="1" ref="AO53" ca="1">_xlfn.IFNA(_xlfn.IFS(AND(AG53="Assets",AK53="Credit",AM53&lt;0),-AM53,AND(AG53="Equities",AM53&gt;0),AM53,AG53="Liabilities",AM53),0)</f>
        <v>0</v>
      </c>
      <c r="AP53" s="130" t="str">
        <f t="shared" si="5"/>
        <v/>
      </c>
      <c r="AQ53" s="130" t="str" cm="1">
        <f t="array" aca="1" ref="AQ53" ca="1">IF(AP53&lt;&gt;"",_xlfn.XLOOKUP(AF53,INDIRECT(AI53),INDIRECT(AP53),""),"")</f>
        <v/>
      </c>
    </row>
    <row r="54" spans="1:43" hidden="1" outlineLevel="1">
      <c r="A54" s="182">
        <v>27</v>
      </c>
      <c r="B54" s="158" t="str">
        <f t="shared" ca="1" si="0"/>
        <v/>
      </c>
      <c r="C54" s="159"/>
      <c r="D54" s="160"/>
      <c r="F54" s="152"/>
      <c r="G54" s="161"/>
      <c r="H54" s="162"/>
      <c r="I54" s="152"/>
      <c r="K54" s="152"/>
      <c r="L54" s="161"/>
      <c r="M54" s="162"/>
      <c r="N54" s="152"/>
      <c r="P54" s="135"/>
      <c r="Q54" s="163"/>
      <c r="S54" s="135"/>
      <c r="U54" s="164"/>
      <c r="V54" s="158"/>
      <c r="W54" s="390">
        <f t="shared" ref="W54" ca="1" si="40">IF(B52&lt;&gt;"",1,0)</f>
        <v>1</v>
      </c>
      <c r="X54" s="390"/>
      <c r="Y54" s="390"/>
      <c r="Z54" s="390"/>
      <c r="AA54" s="394"/>
      <c r="AB54" s="394"/>
      <c r="AC54" s="389"/>
      <c r="AD54" s="389"/>
      <c r="AF54" s="133"/>
      <c r="AG54" s="130" t="str" cm="1">
        <f t="array" ref="AG54">_xlfn.IFNA(_xlfn.IFS(ISNUMBER(MATCH(AF54,MD_Asset[Account Name],0)),"Assets",ISNUMBER(MATCH(AF54,MD_Liability[Account Name],0)),"Liabilities",ISNUMBER(MATCH(AF54,MD_Equity[Account Name],0)),"Equities"),"")</f>
        <v/>
      </c>
      <c r="AH54" s="130" t="str">
        <f t="shared" si="1"/>
        <v/>
      </c>
      <c r="AI54" s="130" t="str">
        <f t="shared" si="2"/>
        <v/>
      </c>
      <c r="AJ54" s="130" t="str">
        <f t="shared" si="3"/>
        <v/>
      </c>
      <c r="AK54" s="130" t="str" cm="1">
        <f t="array" aca="1" ref="AK54" ca="1">IFERROR(_xlfn.XLOOKUP(AF54,INDIRECT(AI54),INDIRECT(AJ54),""),"")</f>
        <v/>
      </c>
      <c r="AL54" s="130" t="str">
        <f t="shared" si="4"/>
        <v/>
      </c>
      <c r="AM54" s="130" t="str" cm="1">
        <f t="array" aca="1" ref="AM54" ca="1">IF(AG54&lt;&gt;"",_xlfn.XLOOKUP(AF54,INDIRECT(AI54),INDIRECT(AL54)),"")</f>
        <v/>
      </c>
      <c r="AN54" s="130" cm="1">
        <f t="array" aca="1" ref="AN54" ca="1">_xlfn.IFNA(_xlfn.IFS(AND(AG54="Assets",AK54="Debit",AM54&gt;0),AM54,AND(AG54="Equities",AM54&lt;0),-AM54),0)</f>
        <v>0</v>
      </c>
      <c r="AO54" s="134" cm="1">
        <f t="array" aca="1" ref="AO54" ca="1">_xlfn.IFNA(_xlfn.IFS(AND(AG54="Assets",AK54="Credit",AM54&lt;0),-AM54,AND(AG54="Equities",AM54&gt;0),AM54,AG54="Liabilities",AM54),0)</f>
        <v>0</v>
      </c>
      <c r="AP54" s="130" t="str">
        <f t="shared" si="5"/>
        <v/>
      </c>
      <c r="AQ54" s="130" t="str" cm="1">
        <f t="array" aca="1" ref="AQ54" ca="1">IF(AP54&lt;&gt;"",_xlfn.XLOOKUP(AF54,INDIRECT(AI54),INDIRECT(AP54),""),"")</f>
        <v/>
      </c>
    </row>
    <row r="55" spans="1:43" hidden="1" outlineLevel="1">
      <c r="A55" s="182">
        <v>28</v>
      </c>
      <c r="B55" s="165" t="str">
        <f t="shared" ca="1" si="0"/>
        <v/>
      </c>
      <c r="C55" s="166"/>
      <c r="D55" s="167"/>
      <c r="F55" s="152"/>
      <c r="G55" s="168"/>
      <c r="H55" s="169"/>
      <c r="I55" s="152"/>
      <c r="K55" s="152"/>
      <c r="L55" s="168"/>
      <c r="M55" s="169"/>
      <c r="N55" s="152"/>
      <c r="P55" s="135"/>
      <c r="Q55" s="170"/>
      <c r="R55" s="171"/>
      <c r="S55" s="135"/>
      <c r="U55" s="172"/>
      <c r="V55" s="165"/>
      <c r="W55" s="390">
        <f t="shared" ref="W55" ca="1" si="41">IF(B52&lt;&gt;"",1,0)</f>
        <v>1</v>
      </c>
      <c r="X55" s="390"/>
      <c r="Y55" s="390"/>
      <c r="Z55" s="390"/>
      <c r="AA55" s="394"/>
      <c r="AB55" s="394"/>
      <c r="AC55" s="389"/>
      <c r="AD55" s="389"/>
      <c r="AF55" s="133"/>
      <c r="AG55" s="130" t="str" cm="1">
        <f t="array" ref="AG55">_xlfn.IFNA(_xlfn.IFS(ISNUMBER(MATCH(AF55,MD_Asset[Account Name],0)),"Assets",ISNUMBER(MATCH(AF55,MD_Liability[Account Name],0)),"Liabilities",ISNUMBER(MATCH(AF55,MD_Equity[Account Name],0)),"Equities"),"")</f>
        <v/>
      </c>
      <c r="AH55" s="130" t="str">
        <f t="shared" si="1"/>
        <v/>
      </c>
      <c r="AI55" s="130" t="str">
        <f t="shared" si="2"/>
        <v/>
      </c>
      <c r="AJ55" s="130" t="str">
        <f t="shared" si="3"/>
        <v/>
      </c>
      <c r="AK55" s="130" t="str" cm="1">
        <f t="array" aca="1" ref="AK55" ca="1">IFERROR(_xlfn.XLOOKUP(AF55,INDIRECT(AI55),INDIRECT(AJ55),""),"")</f>
        <v/>
      </c>
      <c r="AL55" s="130" t="str">
        <f t="shared" si="4"/>
        <v/>
      </c>
      <c r="AM55" s="130" t="str" cm="1">
        <f t="array" aca="1" ref="AM55" ca="1">IF(AG55&lt;&gt;"",_xlfn.XLOOKUP(AF55,INDIRECT(AI55),INDIRECT(AL55)),"")</f>
        <v/>
      </c>
      <c r="AN55" s="130" cm="1">
        <f t="array" aca="1" ref="AN55" ca="1">_xlfn.IFNA(_xlfn.IFS(AND(AG55="Assets",AK55="Debit",AM55&gt;0),AM55,AND(AG55="Equities",AM55&lt;0),-AM55),0)</f>
        <v>0</v>
      </c>
      <c r="AO55" s="134" cm="1">
        <f t="array" aca="1" ref="AO55" ca="1">_xlfn.IFNA(_xlfn.IFS(AND(AG55="Assets",AK55="Credit",AM55&lt;0),-AM55,AND(AG55="Equities",AM55&gt;0),AM55,AG55="Liabilities",AM55),0)</f>
        <v>0</v>
      </c>
      <c r="AP55" s="130" t="str">
        <f t="shared" si="5"/>
        <v/>
      </c>
      <c r="AQ55" s="130" t="str" cm="1">
        <f t="array" aca="1" ref="AQ55" ca="1">IF(AP55&lt;&gt;"",_xlfn.XLOOKUP(AF55,INDIRECT(AI55),INDIRECT(AP55),""),"")</f>
        <v/>
      </c>
    </row>
    <row r="56" spans="1:43" collapsed="1">
      <c r="A56" s="182">
        <v>29</v>
      </c>
      <c r="B56" s="149" t="str">
        <f t="shared" ca="1" si="0"/>
        <v>Unearned Revenue</v>
      </c>
      <c r="C56" s="150">
        <f t="shared" ref="C56" ca="1" si="42">_xlfn.IFNA(_xlfn.XLOOKUP(B56,$AF$28:$AF$108,$AN$28:$AN$108,0),0)</f>
        <v>0</v>
      </c>
      <c r="D56" s="151">
        <f t="shared" ref="D56" ca="1" si="43">_xlfn.IFNA(_xlfn.XLOOKUP(B56,$AF$28:$AF$108,$AO$28:$AO$108,0),"")</f>
        <v>0</v>
      </c>
      <c r="F56" s="152"/>
      <c r="G56" s="153"/>
      <c r="H56" s="154"/>
      <c r="I56" s="152"/>
      <c r="K56" s="152"/>
      <c r="L56" s="153"/>
      <c r="M56" s="154"/>
      <c r="N56" s="152"/>
      <c r="P56" s="155" t="str" cm="1">
        <f t="array" aca="1" ref="P56" ca="1">$W$1&amp;_xlfn.XLOOKUP(B56,AF$28:$AF$108,$AQ$28:$AQ$108,"")</f>
        <v>ΔUR</v>
      </c>
      <c r="Q56" s="156">
        <f ca="1">IF((U56-V56)-(C56-D56)-SUM(G56:G59)+SUM(H56:H59)-SUM(L56:L59)+SUM(M56:M59)&gt;0,(U56-V56)-(C56-D56)-SUM(G56:G59)+SUM(H56:H59)-SUM(L56:L59)+SUM(M56:M59),0)</f>
        <v>0</v>
      </c>
      <c r="R56" s="157">
        <f ca="1">IF((U56-V56)-(C56-D56)-SUM(G56:G59)+SUM(H56:H59)-SUM(L56:L59)+SUM(M56:M59)&lt;0,-((U56-V56)-(C56-D56)-SUM(G56:G59)+SUM(H56:H59)-SUM(L56:L59)+SUM(M56:M59)),0)</f>
        <v>0</v>
      </c>
      <c r="S56" s="155" t="str">
        <f ca="1">P56</f>
        <v>ΔUR</v>
      </c>
      <c r="U56" s="150">
        <f ca="1">IF(AC56&gt;0,AC56,0)</f>
        <v>0</v>
      </c>
      <c r="V56" s="151">
        <f ca="1">IF(AD56&gt;0,AD56,0)</f>
        <v>0</v>
      </c>
      <c r="W56" s="390">
        <f t="shared" ref="W56" ca="1" si="44">IF(B56&lt;&gt;"",1,0)</f>
        <v>1</v>
      </c>
      <c r="X56" s="390"/>
      <c r="Y56" s="390"/>
      <c r="Z56" s="390"/>
      <c r="AA56" s="394">
        <f ca="1">SUMIF(Journal[Debit Account],B56,Journal[Dr Amt])</f>
        <v>0</v>
      </c>
      <c r="AB56" s="394">
        <f ca="1">SUMIF(Journal[Credit Account],B56,Journal[Cr Amt])</f>
        <v>0</v>
      </c>
      <c r="AC56" s="389">
        <f ca="1">C56-D56+AA56-AB56</f>
        <v>0</v>
      </c>
      <c r="AD56" s="389">
        <f ca="1">D56-C56+AB56-AA56</f>
        <v>0</v>
      </c>
      <c r="AF56" s="133"/>
      <c r="AG56" s="130" t="str" cm="1">
        <f t="array" ref="AG56">_xlfn.IFNA(_xlfn.IFS(ISNUMBER(MATCH(AF56,MD_Asset[Account Name],0)),"Assets",ISNUMBER(MATCH(AF56,MD_Liability[Account Name],0)),"Liabilities",ISNUMBER(MATCH(AF56,MD_Equity[Account Name],0)),"Equities"),"")</f>
        <v/>
      </c>
      <c r="AH56" s="130" t="str">
        <f t="shared" si="1"/>
        <v/>
      </c>
      <c r="AI56" s="130" t="str">
        <f t="shared" si="2"/>
        <v/>
      </c>
      <c r="AJ56" s="130" t="str">
        <f t="shared" si="3"/>
        <v/>
      </c>
      <c r="AK56" s="130" t="str" cm="1">
        <f t="array" aca="1" ref="AK56" ca="1">IFERROR(_xlfn.XLOOKUP(AF56,INDIRECT(AI56),INDIRECT(AJ56),""),"")</f>
        <v/>
      </c>
      <c r="AL56" s="130" t="str">
        <f t="shared" si="4"/>
        <v/>
      </c>
      <c r="AM56" s="130" t="str" cm="1">
        <f t="array" aca="1" ref="AM56" ca="1">IF(AG56&lt;&gt;"",_xlfn.XLOOKUP(AF56,INDIRECT(AI56),INDIRECT(AL56)),"")</f>
        <v/>
      </c>
      <c r="AN56" s="130" cm="1">
        <f t="array" aca="1" ref="AN56" ca="1">_xlfn.IFNA(_xlfn.IFS(AND(AG56="Assets",AK56="Debit",AM56&gt;0),AM56,AND(AG56="Equities",AM56&lt;0),-AM56),0)</f>
        <v>0</v>
      </c>
      <c r="AO56" s="134" cm="1">
        <f t="array" aca="1" ref="AO56" ca="1">_xlfn.IFNA(_xlfn.IFS(AND(AG56="Assets",AK56="Credit",AM56&lt;0),-AM56,AND(AG56="Equities",AM56&gt;0),AM56,AG56="Liabilities",AM56),0)</f>
        <v>0</v>
      </c>
      <c r="AP56" s="130" t="str">
        <f t="shared" si="5"/>
        <v/>
      </c>
      <c r="AQ56" s="130" t="str" cm="1">
        <f t="array" aca="1" ref="AQ56" ca="1">IF(AP56&lt;&gt;"",_xlfn.XLOOKUP(AF56,INDIRECT(AI56),INDIRECT(AP56),""),"")</f>
        <v/>
      </c>
    </row>
    <row r="57" spans="1:43" hidden="1" outlineLevel="1">
      <c r="A57" s="182">
        <v>30</v>
      </c>
      <c r="B57" s="158" t="str">
        <f t="shared" ca="1" si="0"/>
        <v/>
      </c>
      <c r="C57" s="159"/>
      <c r="D57" s="160"/>
      <c r="F57" s="152"/>
      <c r="G57" s="161"/>
      <c r="H57" s="162"/>
      <c r="I57" s="152"/>
      <c r="K57" s="152"/>
      <c r="L57" s="161"/>
      <c r="M57" s="162"/>
      <c r="N57" s="152"/>
      <c r="P57" s="135"/>
      <c r="Q57" s="163"/>
      <c r="S57" s="135"/>
      <c r="U57" s="164"/>
      <c r="V57" s="158"/>
      <c r="W57" s="390">
        <f t="shared" ref="W57" ca="1" si="45">IF(B56&lt;&gt;"",1,0)</f>
        <v>1</v>
      </c>
      <c r="X57" s="390"/>
      <c r="Y57" s="390"/>
      <c r="Z57" s="390"/>
      <c r="AA57" s="394"/>
      <c r="AB57" s="394"/>
      <c r="AC57" s="389"/>
      <c r="AD57" s="389"/>
      <c r="AF57" s="133"/>
      <c r="AG57" s="130" t="str" cm="1">
        <f t="array" ref="AG57">_xlfn.IFNA(_xlfn.IFS(ISNUMBER(MATCH(AF57,MD_Asset[Account Name],0)),"Assets",ISNUMBER(MATCH(AF57,MD_Liability[Account Name],0)),"Liabilities",ISNUMBER(MATCH(AF57,MD_Equity[Account Name],0)),"Equities"),"")</f>
        <v/>
      </c>
      <c r="AH57" s="130" t="str">
        <f t="shared" si="1"/>
        <v/>
      </c>
      <c r="AI57" s="130" t="str">
        <f t="shared" si="2"/>
        <v/>
      </c>
      <c r="AJ57" s="130" t="str">
        <f t="shared" si="3"/>
        <v/>
      </c>
      <c r="AK57" s="130" t="str" cm="1">
        <f t="array" aca="1" ref="AK57" ca="1">IFERROR(_xlfn.XLOOKUP(AF57,INDIRECT(AI57),INDIRECT(AJ57),""),"")</f>
        <v/>
      </c>
      <c r="AL57" s="130" t="str">
        <f t="shared" si="4"/>
        <v/>
      </c>
      <c r="AM57" s="130" t="str" cm="1">
        <f t="array" aca="1" ref="AM57" ca="1">IF(AG57&lt;&gt;"",_xlfn.XLOOKUP(AF57,INDIRECT(AI57),INDIRECT(AL57)),"")</f>
        <v/>
      </c>
      <c r="AN57" s="130" cm="1">
        <f t="array" aca="1" ref="AN57" ca="1">_xlfn.IFNA(_xlfn.IFS(AND(AG57="Assets",AK57="Debit",AM57&gt;0),AM57,AND(AG57="Equities",AM57&lt;0),-AM57),0)</f>
        <v>0</v>
      </c>
      <c r="AO57" s="134" cm="1">
        <f t="array" aca="1" ref="AO57" ca="1">_xlfn.IFNA(_xlfn.IFS(AND(AG57="Assets",AK57="Credit",AM57&lt;0),-AM57,AND(AG57="Equities",AM57&gt;0),AM57,AG57="Liabilities",AM57),0)</f>
        <v>0</v>
      </c>
      <c r="AP57" s="130" t="str">
        <f t="shared" si="5"/>
        <v/>
      </c>
      <c r="AQ57" s="130" t="str" cm="1">
        <f t="array" aca="1" ref="AQ57" ca="1">IF(AP57&lt;&gt;"",_xlfn.XLOOKUP(AF57,INDIRECT(AI57),INDIRECT(AP57),""),"")</f>
        <v/>
      </c>
    </row>
    <row r="58" spans="1:43" hidden="1" outlineLevel="1">
      <c r="A58" s="182">
        <v>31</v>
      </c>
      <c r="B58" s="158" t="str">
        <f t="shared" ca="1" si="0"/>
        <v/>
      </c>
      <c r="C58" s="159"/>
      <c r="D58" s="160"/>
      <c r="F58" s="152"/>
      <c r="G58" s="161"/>
      <c r="H58" s="162"/>
      <c r="I58" s="152"/>
      <c r="K58" s="152"/>
      <c r="L58" s="161"/>
      <c r="M58" s="162"/>
      <c r="N58" s="152"/>
      <c r="P58" s="135"/>
      <c r="Q58" s="163"/>
      <c r="S58" s="135"/>
      <c r="U58" s="164"/>
      <c r="V58" s="158"/>
      <c r="W58" s="390">
        <f t="shared" ref="W58" ca="1" si="46">IF(B56&lt;&gt;"",1,0)</f>
        <v>1</v>
      </c>
      <c r="X58" s="390"/>
      <c r="Y58" s="390"/>
      <c r="Z58" s="390"/>
      <c r="AA58" s="394"/>
      <c r="AB58" s="394"/>
      <c r="AC58" s="389"/>
      <c r="AD58" s="389"/>
      <c r="AF58" s="133"/>
      <c r="AG58" s="130" t="str" cm="1">
        <f t="array" ref="AG58">_xlfn.IFNA(_xlfn.IFS(ISNUMBER(MATCH(AF58,MD_Asset[Account Name],0)),"Assets",ISNUMBER(MATCH(AF58,MD_Liability[Account Name],0)),"Liabilities",ISNUMBER(MATCH(AF58,MD_Equity[Account Name],0)),"Equities"),"")</f>
        <v/>
      </c>
      <c r="AH58" s="130" t="str">
        <f t="shared" si="1"/>
        <v/>
      </c>
      <c r="AI58" s="130" t="str">
        <f t="shared" si="2"/>
        <v/>
      </c>
      <c r="AJ58" s="130" t="str">
        <f t="shared" si="3"/>
        <v/>
      </c>
      <c r="AK58" s="130" t="str" cm="1">
        <f t="array" aca="1" ref="AK58" ca="1">IFERROR(_xlfn.XLOOKUP(AF58,INDIRECT(AI58),INDIRECT(AJ58),""),"")</f>
        <v/>
      </c>
      <c r="AL58" s="130" t="str">
        <f t="shared" si="4"/>
        <v/>
      </c>
      <c r="AM58" s="130" t="str" cm="1">
        <f t="array" aca="1" ref="AM58" ca="1">IF(AG58&lt;&gt;"",_xlfn.XLOOKUP(AF58,INDIRECT(AI58),INDIRECT(AL58)),"")</f>
        <v/>
      </c>
      <c r="AN58" s="130" cm="1">
        <f t="array" aca="1" ref="AN58" ca="1">_xlfn.IFNA(_xlfn.IFS(AND(AG58="Assets",AK58="Debit",AM58&gt;0),AM58,AND(AG58="Equities",AM58&lt;0),-AM58),0)</f>
        <v>0</v>
      </c>
      <c r="AO58" s="134" cm="1">
        <f t="array" aca="1" ref="AO58" ca="1">_xlfn.IFNA(_xlfn.IFS(AND(AG58="Assets",AK58="Credit",AM58&lt;0),-AM58,AND(AG58="Equities",AM58&gt;0),AM58,AG58="Liabilities",AM58),0)</f>
        <v>0</v>
      </c>
      <c r="AP58" s="130" t="str">
        <f t="shared" si="5"/>
        <v/>
      </c>
      <c r="AQ58" s="130" t="str" cm="1">
        <f t="array" aca="1" ref="AQ58" ca="1">IF(AP58&lt;&gt;"",_xlfn.XLOOKUP(AF58,INDIRECT(AI58),INDIRECT(AP58),""),"")</f>
        <v/>
      </c>
    </row>
    <row r="59" spans="1:43" hidden="1" outlineLevel="1">
      <c r="A59" s="182">
        <v>32</v>
      </c>
      <c r="B59" s="165" t="str">
        <f t="shared" ca="1" si="0"/>
        <v/>
      </c>
      <c r="C59" s="166"/>
      <c r="D59" s="167"/>
      <c r="F59" s="152"/>
      <c r="G59" s="168"/>
      <c r="H59" s="169"/>
      <c r="I59" s="152"/>
      <c r="K59" s="152"/>
      <c r="L59" s="168"/>
      <c r="M59" s="169"/>
      <c r="N59" s="152"/>
      <c r="P59" s="135"/>
      <c r="Q59" s="170"/>
      <c r="R59" s="171"/>
      <c r="S59" s="135"/>
      <c r="U59" s="172"/>
      <c r="V59" s="165"/>
      <c r="W59" s="390">
        <f t="shared" ref="W59" ca="1" si="47">IF(B56&lt;&gt;"",1,0)</f>
        <v>1</v>
      </c>
      <c r="X59" s="390"/>
      <c r="Y59" s="390"/>
      <c r="Z59" s="390"/>
      <c r="AA59" s="394"/>
      <c r="AB59" s="394"/>
      <c r="AC59" s="389"/>
      <c r="AD59" s="389"/>
      <c r="AF59" s="133"/>
      <c r="AG59" s="130" t="str" cm="1">
        <f t="array" ref="AG59">_xlfn.IFNA(_xlfn.IFS(ISNUMBER(MATCH(AF59,MD_Asset[Account Name],0)),"Assets",ISNUMBER(MATCH(AF59,MD_Liability[Account Name],0)),"Liabilities",ISNUMBER(MATCH(AF59,MD_Equity[Account Name],0)),"Equities"),"")</f>
        <v/>
      </c>
      <c r="AH59" s="130" t="str">
        <f t="shared" si="1"/>
        <v/>
      </c>
      <c r="AI59" s="130" t="str">
        <f t="shared" si="2"/>
        <v/>
      </c>
      <c r="AJ59" s="130" t="str">
        <f t="shared" si="3"/>
        <v/>
      </c>
      <c r="AK59" s="130" t="str" cm="1">
        <f t="array" aca="1" ref="AK59" ca="1">IFERROR(_xlfn.XLOOKUP(AF59,INDIRECT(AI59),INDIRECT(AJ59),""),"")</f>
        <v/>
      </c>
      <c r="AL59" s="130" t="str">
        <f t="shared" si="4"/>
        <v/>
      </c>
      <c r="AM59" s="130" t="str" cm="1">
        <f t="array" aca="1" ref="AM59" ca="1">IF(AG59&lt;&gt;"",_xlfn.XLOOKUP(AF59,INDIRECT(AI59),INDIRECT(AL59)),"")</f>
        <v/>
      </c>
      <c r="AN59" s="130" cm="1">
        <f t="array" aca="1" ref="AN59" ca="1">_xlfn.IFNA(_xlfn.IFS(AND(AG59="Assets",AK59="Debit",AM59&gt;0),AM59,AND(AG59="Equities",AM59&lt;0),-AM59),0)</f>
        <v>0</v>
      </c>
      <c r="AO59" s="134" cm="1">
        <f t="array" aca="1" ref="AO59" ca="1">_xlfn.IFNA(_xlfn.IFS(AND(AG59="Assets",AK59="Credit",AM59&lt;0),-AM59,AND(AG59="Equities",AM59&gt;0),AM59,AG59="Liabilities",AM59),0)</f>
        <v>0</v>
      </c>
      <c r="AP59" s="130" t="str">
        <f t="shared" si="5"/>
        <v/>
      </c>
      <c r="AQ59" s="130" t="str" cm="1">
        <f t="array" aca="1" ref="AQ59" ca="1">IF(AP59&lt;&gt;"",_xlfn.XLOOKUP(AF59,INDIRECT(AI59),INDIRECT(AP59),""),"")</f>
        <v/>
      </c>
    </row>
    <row r="60" spans="1:43" collapsed="1">
      <c r="A60" s="182">
        <v>33</v>
      </c>
      <c r="B60" s="149" t="str">
        <f t="shared" ca="1" si="0"/>
        <v>Loans Payable</v>
      </c>
      <c r="C60" s="150">
        <f t="shared" ref="C60" ca="1" si="48">_xlfn.IFNA(_xlfn.XLOOKUP(B60,$AF$28:$AF$108,$AN$28:$AN$108,0),0)</f>
        <v>0</v>
      </c>
      <c r="D60" s="151">
        <f t="shared" ref="D60" ca="1" si="49">_xlfn.IFNA(_xlfn.XLOOKUP(B60,$AF$28:$AF$108,$AO$28:$AO$108,0),"")</f>
        <v>0</v>
      </c>
      <c r="F60" s="152"/>
      <c r="G60" s="153"/>
      <c r="H60" s="154"/>
      <c r="I60" s="152"/>
      <c r="K60" s="152"/>
      <c r="L60" s="153"/>
      <c r="M60" s="154"/>
      <c r="N60" s="152"/>
      <c r="P60" s="155" t="str" cm="1">
        <f t="array" aca="1" ref="P60" ca="1">$W$1&amp;_xlfn.XLOOKUP(B60,AF$28:$AF$108,$AQ$28:$AQ$108,"")</f>
        <v>ΔLP</v>
      </c>
      <c r="Q60" s="156">
        <f ca="1">IF((U60-V60)-(C60-D60)-SUM(G60:G63)+SUM(H60:H63)-SUM(L60:L63)+SUM(M60:M63)&gt;0,(U60-V60)-(C60-D60)-SUM(G60:G63)+SUM(H60:H63)-SUM(L60:L63)+SUM(M60:M63),0)</f>
        <v>0</v>
      </c>
      <c r="R60" s="157">
        <f ca="1">IF((U60-V60)-(C60-D60)-SUM(G60:G63)+SUM(H60:H63)-SUM(L60:L63)+SUM(M60:M63)&lt;0,-((U60-V60)-(C60-D60)-SUM(G60:G63)+SUM(H60:H63)-SUM(L60:L63)+SUM(M60:M63)),0)</f>
        <v>0</v>
      </c>
      <c r="S60" s="155" t="str">
        <f ca="1">P60</f>
        <v>ΔLP</v>
      </c>
      <c r="U60" s="150">
        <f ca="1">IF(AC60&gt;0,AC60,0)</f>
        <v>0</v>
      </c>
      <c r="V60" s="151">
        <f ca="1">IF(AD60&gt;0,AD60,0)</f>
        <v>0</v>
      </c>
      <c r="W60" s="390">
        <f t="shared" ref="W60" ca="1" si="50">IF(B60&lt;&gt;"",1,0)</f>
        <v>1</v>
      </c>
      <c r="X60" s="390"/>
      <c r="Y60" s="390"/>
      <c r="Z60" s="390"/>
      <c r="AA60" s="394">
        <f ca="1">SUMIF(Journal[Debit Account],B60,Journal[Dr Amt])</f>
        <v>0</v>
      </c>
      <c r="AB60" s="394">
        <f ca="1">SUMIF(Journal[Credit Account],B60,Journal[Cr Amt])</f>
        <v>0</v>
      </c>
      <c r="AC60" s="389">
        <f ca="1">C60-D60+AA60-AB60</f>
        <v>0</v>
      </c>
      <c r="AD60" s="389">
        <f ca="1">D60-C60+AB60-AA60</f>
        <v>0</v>
      </c>
      <c r="AF60" s="133"/>
      <c r="AG60" s="130" t="str" cm="1">
        <f t="array" ref="AG60">_xlfn.IFNA(_xlfn.IFS(ISNUMBER(MATCH(AF60,MD_Asset[Account Name],0)),"Assets",ISNUMBER(MATCH(AF60,MD_Liability[Account Name],0)),"Liabilities",ISNUMBER(MATCH(AF60,MD_Equity[Account Name],0)),"Equities"),"")</f>
        <v/>
      </c>
      <c r="AH60" s="130" t="str">
        <f t="shared" si="1"/>
        <v/>
      </c>
      <c r="AI60" s="130" t="str">
        <f t="shared" si="2"/>
        <v/>
      </c>
      <c r="AJ60" s="130" t="str">
        <f t="shared" si="3"/>
        <v/>
      </c>
      <c r="AK60" s="130" t="str" cm="1">
        <f t="array" aca="1" ref="AK60" ca="1">IFERROR(_xlfn.XLOOKUP(AF60,INDIRECT(AI60),INDIRECT(AJ60),""),"")</f>
        <v/>
      </c>
      <c r="AL60" s="130" t="str">
        <f t="shared" si="4"/>
        <v/>
      </c>
      <c r="AM60" s="130" t="str" cm="1">
        <f t="array" aca="1" ref="AM60" ca="1">IF(AG60&lt;&gt;"",_xlfn.XLOOKUP(AF60,INDIRECT(AI60),INDIRECT(AL60)),"")</f>
        <v/>
      </c>
      <c r="AN60" s="130" cm="1">
        <f t="array" aca="1" ref="AN60" ca="1">_xlfn.IFNA(_xlfn.IFS(AND(AG60="Assets",AK60="Debit",AM60&gt;0),AM60,AND(AG60="Equities",AM60&lt;0),-AM60),0)</f>
        <v>0</v>
      </c>
      <c r="AO60" s="134" cm="1">
        <f t="array" aca="1" ref="AO60" ca="1">_xlfn.IFNA(_xlfn.IFS(AND(AG60="Assets",AK60="Credit",AM60&lt;0),-AM60,AND(AG60="Equities",AM60&gt;0),AM60,AG60="Liabilities",AM60),0)</f>
        <v>0</v>
      </c>
      <c r="AP60" s="130" t="str">
        <f t="shared" si="5"/>
        <v/>
      </c>
      <c r="AQ60" s="130" t="str" cm="1">
        <f t="array" aca="1" ref="AQ60" ca="1">IF(AP60&lt;&gt;"",_xlfn.XLOOKUP(AF60,INDIRECT(AI60),INDIRECT(AP60),""),"")</f>
        <v/>
      </c>
    </row>
    <row r="61" spans="1:43" hidden="1" outlineLevel="1">
      <c r="A61" s="182">
        <v>34</v>
      </c>
      <c r="B61" s="158" t="str">
        <f t="shared" ca="1" si="0"/>
        <v/>
      </c>
      <c r="C61" s="159"/>
      <c r="D61" s="160"/>
      <c r="F61" s="152"/>
      <c r="G61" s="161"/>
      <c r="H61" s="162"/>
      <c r="I61" s="152"/>
      <c r="K61" s="152"/>
      <c r="L61" s="161"/>
      <c r="M61" s="162"/>
      <c r="N61" s="152"/>
      <c r="P61" s="135"/>
      <c r="Q61" s="163"/>
      <c r="S61" s="135"/>
      <c r="U61" s="164"/>
      <c r="V61" s="158"/>
      <c r="W61" s="390">
        <f t="shared" ref="W61" ca="1" si="51">IF(B60&lt;&gt;"",1,0)</f>
        <v>1</v>
      </c>
      <c r="X61" s="390"/>
      <c r="Y61" s="390"/>
      <c r="Z61" s="390"/>
      <c r="AA61" s="394"/>
      <c r="AB61" s="394"/>
      <c r="AC61" s="389"/>
      <c r="AD61" s="389"/>
      <c r="AF61" s="133"/>
      <c r="AG61" s="130" t="str" cm="1">
        <f t="array" ref="AG61">_xlfn.IFNA(_xlfn.IFS(ISNUMBER(MATCH(AF61,MD_Asset[Account Name],0)),"Assets",ISNUMBER(MATCH(AF61,MD_Liability[Account Name],0)),"Liabilities",ISNUMBER(MATCH(AF61,MD_Equity[Account Name],0)),"Equities"),"")</f>
        <v/>
      </c>
      <c r="AH61" s="130" t="str">
        <f t="shared" si="1"/>
        <v/>
      </c>
      <c r="AI61" s="130" t="str">
        <f t="shared" si="2"/>
        <v/>
      </c>
      <c r="AJ61" s="130" t="str">
        <f t="shared" si="3"/>
        <v/>
      </c>
      <c r="AK61" s="130" t="str" cm="1">
        <f t="array" aca="1" ref="AK61" ca="1">IFERROR(_xlfn.XLOOKUP(AF61,INDIRECT(AI61),INDIRECT(AJ61),""),"")</f>
        <v/>
      </c>
      <c r="AL61" s="130" t="str">
        <f t="shared" si="4"/>
        <v/>
      </c>
      <c r="AM61" s="130" t="str" cm="1">
        <f t="array" aca="1" ref="AM61" ca="1">IF(AG61&lt;&gt;"",_xlfn.XLOOKUP(AF61,INDIRECT(AI61),INDIRECT(AL61)),"")</f>
        <v/>
      </c>
      <c r="AN61" s="130" cm="1">
        <f t="array" aca="1" ref="AN61" ca="1">_xlfn.IFNA(_xlfn.IFS(AND(AG61="Assets",AK61="Debit",AM61&gt;0),AM61,AND(AG61="Equities",AM61&lt;0),-AM61),0)</f>
        <v>0</v>
      </c>
      <c r="AO61" s="134" cm="1">
        <f t="array" aca="1" ref="AO61" ca="1">_xlfn.IFNA(_xlfn.IFS(AND(AG61="Assets",AK61="Credit",AM61&lt;0),-AM61,AND(AG61="Equities",AM61&gt;0),AM61,AG61="Liabilities",AM61),0)</f>
        <v>0</v>
      </c>
      <c r="AP61" s="130" t="str">
        <f t="shared" si="5"/>
        <v/>
      </c>
      <c r="AQ61" s="130" t="str" cm="1">
        <f t="array" aca="1" ref="AQ61" ca="1">IF(AP61&lt;&gt;"",_xlfn.XLOOKUP(AF61,INDIRECT(AI61),INDIRECT(AP61),""),"")</f>
        <v/>
      </c>
    </row>
    <row r="62" spans="1:43" hidden="1" outlineLevel="1">
      <c r="A62" s="182">
        <v>35</v>
      </c>
      <c r="B62" s="158" t="str">
        <f t="shared" ca="1" si="0"/>
        <v/>
      </c>
      <c r="C62" s="159"/>
      <c r="D62" s="160"/>
      <c r="F62" s="152"/>
      <c r="G62" s="161"/>
      <c r="H62" s="162"/>
      <c r="I62" s="152"/>
      <c r="K62" s="152"/>
      <c r="L62" s="161"/>
      <c r="M62" s="162"/>
      <c r="N62" s="152"/>
      <c r="P62" s="135"/>
      <c r="Q62" s="163"/>
      <c r="S62" s="135"/>
      <c r="U62" s="164"/>
      <c r="V62" s="158"/>
      <c r="W62" s="390">
        <f t="shared" ref="W62" ca="1" si="52">IF(B60&lt;&gt;"",1,0)</f>
        <v>1</v>
      </c>
      <c r="X62" s="390"/>
      <c r="Y62" s="390"/>
      <c r="Z62" s="390"/>
      <c r="AA62" s="394"/>
      <c r="AB62" s="394"/>
      <c r="AC62" s="389"/>
      <c r="AD62" s="389"/>
      <c r="AF62" s="133"/>
      <c r="AG62" s="130" t="str" cm="1">
        <f t="array" ref="AG62">_xlfn.IFNA(_xlfn.IFS(ISNUMBER(MATCH(AF62,MD_Asset[Account Name],0)),"Assets",ISNUMBER(MATCH(AF62,MD_Liability[Account Name],0)),"Liabilities",ISNUMBER(MATCH(AF62,MD_Equity[Account Name],0)),"Equities"),"")</f>
        <v/>
      </c>
      <c r="AH62" s="130" t="str">
        <f t="shared" si="1"/>
        <v/>
      </c>
      <c r="AI62" s="130" t="str">
        <f t="shared" si="2"/>
        <v/>
      </c>
      <c r="AJ62" s="130" t="str">
        <f t="shared" si="3"/>
        <v/>
      </c>
      <c r="AK62" s="130" t="str" cm="1">
        <f t="array" aca="1" ref="AK62" ca="1">IFERROR(_xlfn.XLOOKUP(AF62,INDIRECT(AI62),INDIRECT(AJ62),""),"")</f>
        <v/>
      </c>
      <c r="AL62" s="130" t="str">
        <f t="shared" si="4"/>
        <v/>
      </c>
      <c r="AM62" s="130" t="str" cm="1">
        <f t="array" aca="1" ref="AM62" ca="1">IF(AG62&lt;&gt;"",_xlfn.XLOOKUP(AF62,INDIRECT(AI62),INDIRECT(AL62)),"")</f>
        <v/>
      </c>
      <c r="AN62" s="130" cm="1">
        <f t="array" aca="1" ref="AN62" ca="1">_xlfn.IFNA(_xlfn.IFS(AND(AG62="Assets",AK62="Debit",AM62&gt;0),AM62,AND(AG62="Equities",AM62&lt;0),-AM62),0)</f>
        <v>0</v>
      </c>
      <c r="AO62" s="134" cm="1">
        <f t="array" aca="1" ref="AO62" ca="1">_xlfn.IFNA(_xlfn.IFS(AND(AG62="Assets",AK62="Credit",AM62&lt;0),-AM62,AND(AG62="Equities",AM62&gt;0),AM62,AG62="Liabilities",AM62),0)</f>
        <v>0</v>
      </c>
      <c r="AP62" s="130" t="str">
        <f t="shared" si="5"/>
        <v/>
      </c>
      <c r="AQ62" s="130" t="str" cm="1">
        <f t="array" aca="1" ref="AQ62" ca="1">IF(AP62&lt;&gt;"",_xlfn.XLOOKUP(AF62,INDIRECT(AI62),INDIRECT(AP62),""),"")</f>
        <v/>
      </c>
    </row>
    <row r="63" spans="1:43" hidden="1" outlineLevel="1">
      <c r="A63" s="182">
        <v>36</v>
      </c>
      <c r="B63" s="165" t="str">
        <f t="shared" ca="1" si="0"/>
        <v/>
      </c>
      <c r="C63" s="166"/>
      <c r="D63" s="167"/>
      <c r="F63" s="152"/>
      <c r="G63" s="168"/>
      <c r="H63" s="169"/>
      <c r="I63" s="152"/>
      <c r="K63" s="152"/>
      <c r="L63" s="168"/>
      <c r="M63" s="169"/>
      <c r="N63" s="152"/>
      <c r="P63" s="135"/>
      <c r="Q63" s="170"/>
      <c r="R63" s="171"/>
      <c r="S63" s="135"/>
      <c r="U63" s="172"/>
      <c r="V63" s="165"/>
      <c r="W63" s="390">
        <f t="shared" ref="W63" ca="1" si="53">IF(B60&lt;&gt;"",1,0)</f>
        <v>1</v>
      </c>
      <c r="X63" s="390"/>
      <c r="Y63" s="390"/>
      <c r="Z63" s="390"/>
      <c r="AA63" s="394"/>
      <c r="AB63" s="394"/>
      <c r="AC63" s="389"/>
      <c r="AD63" s="389"/>
      <c r="AF63" s="133"/>
      <c r="AG63" s="130" t="str" cm="1">
        <f t="array" ref="AG63">_xlfn.IFNA(_xlfn.IFS(ISNUMBER(MATCH(AF63,MD_Asset[Account Name],0)),"Assets",ISNUMBER(MATCH(AF63,MD_Liability[Account Name],0)),"Liabilities",ISNUMBER(MATCH(AF63,MD_Equity[Account Name],0)),"Equities"),"")</f>
        <v/>
      </c>
      <c r="AH63" s="130" t="str">
        <f t="shared" si="1"/>
        <v/>
      </c>
      <c r="AI63" s="130" t="str">
        <f t="shared" si="2"/>
        <v/>
      </c>
      <c r="AJ63" s="130" t="str">
        <f t="shared" si="3"/>
        <v/>
      </c>
      <c r="AK63" s="130" t="str" cm="1">
        <f t="array" aca="1" ref="AK63" ca="1">IFERROR(_xlfn.XLOOKUP(AF63,INDIRECT(AI63),INDIRECT(AJ63),""),"")</f>
        <v/>
      </c>
      <c r="AL63" s="130" t="str">
        <f t="shared" si="4"/>
        <v/>
      </c>
      <c r="AM63" s="130" t="str" cm="1">
        <f t="array" aca="1" ref="AM63" ca="1">IF(AG63&lt;&gt;"",_xlfn.XLOOKUP(AF63,INDIRECT(AI63),INDIRECT(AL63)),"")</f>
        <v/>
      </c>
      <c r="AN63" s="130" cm="1">
        <f t="array" aca="1" ref="AN63" ca="1">_xlfn.IFNA(_xlfn.IFS(AND(AG63="Assets",AK63="Debit",AM63&gt;0),AM63,AND(AG63="Equities",AM63&lt;0),-AM63),0)</f>
        <v>0</v>
      </c>
      <c r="AO63" s="134" cm="1">
        <f t="array" aca="1" ref="AO63" ca="1">_xlfn.IFNA(_xlfn.IFS(AND(AG63="Assets",AK63="Credit",AM63&lt;0),-AM63,AND(AG63="Equities",AM63&gt;0),AM63,AG63="Liabilities",AM63),0)</f>
        <v>0</v>
      </c>
      <c r="AP63" s="130" t="str">
        <f t="shared" si="5"/>
        <v/>
      </c>
      <c r="AQ63" s="130" t="str" cm="1">
        <f t="array" aca="1" ref="AQ63" ca="1">IF(AP63&lt;&gt;"",_xlfn.XLOOKUP(AF63,INDIRECT(AI63),INDIRECT(AP63),""),"")</f>
        <v/>
      </c>
    </row>
    <row r="64" spans="1:43" collapsed="1">
      <c r="A64" s="182">
        <v>37</v>
      </c>
      <c r="B64" s="149" t="str">
        <f t="shared" ca="1" si="0"/>
        <v>Equities</v>
      </c>
      <c r="C64" s="150">
        <f t="shared" ref="C64" ca="1" si="54">_xlfn.IFNA(_xlfn.XLOOKUP(B64,$AF$28:$AF$108,$AN$28:$AN$108,0),0)</f>
        <v>0</v>
      </c>
      <c r="D64" s="151">
        <f t="shared" ref="D64" ca="1" si="55">_xlfn.IFNA(_xlfn.XLOOKUP(B64,$AF$28:$AF$108,$AO$28:$AO$108,0),"")</f>
        <v>0</v>
      </c>
      <c r="F64" s="152"/>
      <c r="G64" s="153"/>
      <c r="H64" s="154"/>
      <c r="I64" s="152"/>
      <c r="K64" s="152"/>
      <c r="L64" s="153"/>
      <c r="M64" s="154"/>
      <c r="N64" s="152"/>
      <c r="P64" s="155" t="str" cm="1">
        <f t="array" aca="1" ref="P64" ca="1">$W$1&amp;_xlfn.XLOOKUP(B64,AF$28:$AF$108,$AQ$28:$AQ$108,"")</f>
        <v>Δ</v>
      </c>
      <c r="Q64" s="156">
        <f ca="1">IF((U64-V64)-(C64-D64)-SUM(G64:G67)+SUM(H64:H67)-SUM(L64:L67)+SUM(M64:M67)&gt;0,(U64-V64)-(C64-D64)-SUM(G64:G67)+SUM(H64:H67)-SUM(L64:L67)+SUM(M64:M67),0)</f>
        <v>0</v>
      </c>
      <c r="R64" s="157">
        <f ca="1">IF((U64-V64)-(C64-D64)-SUM(G64:G67)+SUM(H64:H67)-SUM(L64:L67)+SUM(M64:M67)&lt;0,-((U64-V64)-(C64-D64)-SUM(G64:G67)+SUM(H64:H67)-SUM(L64:L67)+SUM(M64:M67)),0)</f>
        <v>0</v>
      </c>
      <c r="S64" s="155" t="str">
        <f ca="1">P64</f>
        <v>Δ</v>
      </c>
      <c r="U64" s="150">
        <f ca="1">IF(AC64&gt;0,AC64,0)</f>
        <v>0</v>
      </c>
      <c r="V64" s="151">
        <f ca="1">IF(AD64&gt;0,AD64,0)</f>
        <v>0</v>
      </c>
      <c r="W64" s="390">
        <f t="shared" ref="W64" ca="1" si="56">IF(B64&lt;&gt;"",1,0)</f>
        <v>1</v>
      </c>
      <c r="X64" s="390"/>
      <c r="Y64" s="390"/>
      <c r="Z64" s="390"/>
      <c r="AA64" s="394">
        <f ca="1">SUMIF(Journal[Debit Account],B64,Journal[Dr Amt])</f>
        <v>0</v>
      </c>
      <c r="AB64" s="394">
        <f ca="1">SUMIF(Journal[Credit Account],B64,Journal[Cr Amt])</f>
        <v>0</v>
      </c>
      <c r="AC64" s="389">
        <f ca="1">C64-D64+AA64-AB64</f>
        <v>0</v>
      </c>
      <c r="AD64" s="389">
        <f ca="1">D64-C64+AB64-AA64</f>
        <v>0</v>
      </c>
      <c r="AF64" s="133"/>
      <c r="AG64" s="130" t="str" cm="1">
        <f t="array" ref="AG64">_xlfn.IFNA(_xlfn.IFS(ISNUMBER(MATCH(AF64,MD_Asset[Account Name],0)),"Assets",ISNUMBER(MATCH(AF64,MD_Liability[Account Name],0)),"Liabilities",ISNUMBER(MATCH(AF64,MD_Equity[Account Name],0)),"Equities"),"")</f>
        <v/>
      </c>
      <c r="AH64" s="130" t="str">
        <f t="shared" si="1"/>
        <v/>
      </c>
      <c r="AI64" s="130" t="str">
        <f t="shared" si="2"/>
        <v/>
      </c>
      <c r="AJ64" s="130" t="str">
        <f t="shared" si="3"/>
        <v/>
      </c>
      <c r="AK64" s="130" t="str" cm="1">
        <f t="array" aca="1" ref="AK64" ca="1">IFERROR(_xlfn.XLOOKUP(AF64,INDIRECT(AI64),INDIRECT(AJ64),""),"")</f>
        <v/>
      </c>
      <c r="AL64" s="130" t="str">
        <f t="shared" si="4"/>
        <v/>
      </c>
      <c r="AM64" s="130" t="str" cm="1">
        <f t="array" aca="1" ref="AM64" ca="1">IF(AG64&lt;&gt;"",_xlfn.XLOOKUP(AF64,INDIRECT(AI64),INDIRECT(AL64)),"")</f>
        <v/>
      </c>
      <c r="AN64" s="130" cm="1">
        <f t="array" aca="1" ref="AN64" ca="1">_xlfn.IFNA(_xlfn.IFS(AND(AG64="Assets",AK64="Debit",AM64&gt;0),AM64,AND(AG64="Equities",AM64&lt;0),-AM64),0)</f>
        <v>0</v>
      </c>
      <c r="AO64" s="134" cm="1">
        <f t="array" aca="1" ref="AO64" ca="1">_xlfn.IFNA(_xlfn.IFS(AND(AG64="Assets",AK64="Credit",AM64&lt;0),-AM64,AND(AG64="Equities",AM64&gt;0),AM64,AG64="Liabilities",AM64),0)</f>
        <v>0</v>
      </c>
      <c r="AP64" s="130" t="str">
        <f t="shared" si="5"/>
        <v/>
      </c>
      <c r="AQ64" s="130" t="str" cm="1">
        <f t="array" aca="1" ref="AQ64" ca="1">IF(AP64&lt;&gt;"",_xlfn.XLOOKUP(AF64,INDIRECT(AI64),INDIRECT(AP64),""),"")</f>
        <v/>
      </c>
    </row>
    <row r="65" spans="1:43" hidden="1" outlineLevel="1">
      <c r="A65" s="182">
        <v>38</v>
      </c>
      <c r="B65" s="158" t="str">
        <f t="shared" ca="1" si="0"/>
        <v/>
      </c>
      <c r="C65" s="159"/>
      <c r="D65" s="160"/>
      <c r="F65" s="152"/>
      <c r="G65" s="161"/>
      <c r="H65" s="162"/>
      <c r="I65" s="152"/>
      <c r="K65" s="152"/>
      <c r="L65" s="161"/>
      <c r="M65" s="162"/>
      <c r="N65" s="152"/>
      <c r="P65" s="135"/>
      <c r="Q65" s="163"/>
      <c r="S65" s="135"/>
      <c r="U65" s="164"/>
      <c r="V65" s="158"/>
      <c r="W65" s="390">
        <f t="shared" ref="W65" ca="1" si="57">IF(B64&lt;&gt;"",1,0)</f>
        <v>1</v>
      </c>
      <c r="X65" s="390"/>
      <c r="Y65" s="390"/>
      <c r="Z65" s="390"/>
      <c r="AA65" s="394"/>
      <c r="AB65" s="394"/>
      <c r="AC65" s="389"/>
      <c r="AD65" s="389"/>
      <c r="AF65" s="133"/>
      <c r="AG65" s="130" t="str" cm="1">
        <f t="array" ref="AG65">_xlfn.IFNA(_xlfn.IFS(ISNUMBER(MATCH(AF65,MD_Asset[Account Name],0)),"Assets",ISNUMBER(MATCH(AF65,MD_Liability[Account Name],0)),"Liabilities",ISNUMBER(MATCH(AF65,MD_Equity[Account Name],0)),"Equities"),"")</f>
        <v/>
      </c>
      <c r="AH65" s="130" t="str">
        <f t="shared" si="1"/>
        <v/>
      </c>
      <c r="AI65" s="130" t="str">
        <f t="shared" si="2"/>
        <v/>
      </c>
      <c r="AJ65" s="130" t="str">
        <f t="shared" si="3"/>
        <v/>
      </c>
      <c r="AK65" s="130" t="str" cm="1">
        <f t="array" aca="1" ref="AK65" ca="1">IFERROR(_xlfn.XLOOKUP(AF65,INDIRECT(AI65),INDIRECT(AJ65),""),"")</f>
        <v/>
      </c>
      <c r="AL65" s="130" t="str">
        <f t="shared" si="4"/>
        <v/>
      </c>
      <c r="AM65" s="130" t="str" cm="1">
        <f t="array" aca="1" ref="AM65" ca="1">IF(AG65&lt;&gt;"",_xlfn.XLOOKUP(AF65,INDIRECT(AI65),INDIRECT(AL65)),"")</f>
        <v/>
      </c>
      <c r="AN65" s="130" cm="1">
        <f t="array" aca="1" ref="AN65" ca="1">_xlfn.IFNA(_xlfn.IFS(AND(AG65="Assets",AK65="Debit",AM65&gt;0),AM65,AND(AG65="Equities",AM65&lt;0),-AM65),0)</f>
        <v>0</v>
      </c>
      <c r="AO65" s="134" cm="1">
        <f t="array" aca="1" ref="AO65" ca="1">_xlfn.IFNA(_xlfn.IFS(AND(AG65="Assets",AK65="Credit",AM65&lt;0),-AM65,AND(AG65="Equities",AM65&gt;0),AM65,AG65="Liabilities",AM65),0)</f>
        <v>0</v>
      </c>
      <c r="AP65" s="130" t="str">
        <f t="shared" si="5"/>
        <v/>
      </c>
      <c r="AQ65" s="130" t="str" cm="1">
        <f t="array" aca="1" ref="AQ65" ca="1">IF(AP65&lt;&gt;"",_xlfn.XLOOKUP(AF65,INDIRECT(AI65),INDIRECT(AP65),""),"")</f>
        <v/>
      </c>
    </row>
    <row r="66" spans="1:43" hidden="1" outlineLevel="1">
      <c r="A66" s="182">
        <v>39</v>
      </c>
      <c r="B66" s="158" t="str">
        <f t="shared" ca="1" si="0"/>
        <v/>
      </c>
      <c r="C66" s="159"/>
      <c r="D66" s="160"/>
      <c r="F66" s="152"/>
      <c r="G66" s="161"/>
      <c r="H66" s="162"/>
      <c r="I66" s="152"/>
      <c r="K66" s="152"/>
      <c r="L66" s="161"/>
      <c r="M66" s="162"/>
      <c r="N66" s="152"/>
      <c r="P66" s="135"/>
      <c r="Q66" s="163"/>
      <c r="S66" s="135"/>
      <c r="U66" s="164"/>
      <c r="V66" s="158"/>
      <c r="W66" s="390">
        <f t="shared" ref="W66" ca="1" si="58">IF(B64&lt;&gt;"",1,0)</f>
        <v>1</v>
      </c>
      <c r="X66" s="390"/>
      <c r="Y66" s="390"/>
      <c r="Z66" s="390"/>
      <c r="AA66" s="394"/>
      <c r="AB66" s="394"/>
      <c r="AC66" s="389"/>
      <c r="AD66" s="389"/>
      <c r="AF66" s="133"/>
      <c r="AG66" s="130" t="str" cm="1">
        <f t="array" ref="AG66">_xlfn.IFNA(_xlfn.IFS(ISNUMBER(MATCH(AF66,MD_Asset[Account Name],0)),"Assets",ISNUMBER(MATCH(AF66,MD_Liability[Account Name],0)),"Liabilities",ISNUMBER(MATCH(AF66,MD_Equity[Account Name],0)),"Equities"),"")</f>
        <v/>
      </c>
      <c r="AH66" s="130" t="str">
        <f t="shared" si="1"/>
        <v/>
      </c>
      <c r="AI66" s="130" t="str">
        <f t="shared" si="2"/>
        <v/>
      </c>
      <c r="AJ66" s="130" t="str">
        <f t="shared" si="3"/>
        <v/>
      </c>
      <c r="AK66" s="130" t="str" cm="1">
        <f t="array" aca="1" ref="AK66" ca="1">IFERROR(_xlfn.XLOOKUP(AF66,INDIRECT(AI66),INDIRECT(AJ66),""),"")</f>
        <v/>
      </c>
      <c r="AL66" s="130" t="str">
        <f t="shared" si="4"/>
        <v/>
      </c>
      <c r="AM66" s="130" t="str" cm="1">
        <f t="array" aca="1" ref="AM66" ca="1">IF(AG66&lt;&gt;"",_xlfn.XLOOKUP(AF66,INDIRECT(AI66),INDIRECT(AL66)),"")</f>
        <v/>
      </c>
      <c r="AN66" s="130" cm="1">
        <f t="array" aca="1" ref="AN66" ca="1">_xlfn.IFNA(_xlfn.IFS(AND(AG66="Assets",AK66="Debit",AM66&gt;0),AM66,AND(AG66="Equities",AM66&lt;0),-AM66),0)</f>
        <v>0</v>
      </c>
      <c r="AO66" s="134" cm="1">
        <f t="array" aca="1" ref="AO66" ca="1">_xlfn.IFNA(_xlfn.IFS(AND(AG66="Assets",AK66="Credit",AM66&lt;0),-AM66,AND(AG66="Equities",AM66&gt;0),AM66,AG66="Liabilities",AM66),0)</f>
        <v>0</v>
      </c>
      <c r="AP66" s="130" t="str">
        <f t="shared" si="5"/>
        <v/>
      </c>
      <c r="AQ66" s="130" t="str" cm="1">
        <f t="array" aca="1" ref="AQ66" ca="1">IF(AP66&lt;&gt;"",_xlfn.XLOOKUP(AF66,INDIRECT(AI66),INDIRECT(AP66),""),"")</f>
        <v/>
      </c>
    </row>
    <row r="67" spans="1:43" hidden="1" outlineLevel="1">
      <c r="A67" s="182">
        <v>40</v>
      </c>
      <c r="B67" s="165" t="str">
        <f t="shared" ca="1" si="0"/>
        <v/>
      </c>
      <c r="C67" s="166"/>
      <c r="D67" s="167"/>
      <c r="F67" s="152"/>
      <c r="G67" s="168"/>
      <c r="H67" s="169"/>
      <c r="I67" s="152"/>
      <c r="K67" s="152"/>
      <c r="L67" s="168"/>
      <c r="M67" s="169"/>
      <c r="N67" s="152"/>
      <c r="P67" s="135"/>
      <c r="Q67" s="170"/>
      <c r="R67" s="171"/>
      <c r="S67" s="135"/>
      <c r="U67" s="172"/>
      <c r="V67" s="165"/>
      <c r="W67" s="390">
        <f t="shared" ref="W67" ca="1" si="59">IF(B64&lt;&gt;"",1,0)</f>
        <v>1</v>
      </c>
      <c r="X67" s="390"/>
      <c r="Y67" s="390"/>
      <c r="Z67" s="390"/>
      <c r="AA67" s="394"/>
      <c r="AB67" s="394"/>
      <c r="AC67" s="389"/>
      <c r="AD67" s="389"/>
      <c r="AF67" s="133"/>
      <c r="AG67" s="130" t="str" cm="1">
        <f t="array" ref="AG67">_xlfn.IFNA(_xlfn.IFS(ISNUMBER(MATCH(AF67,MD_Asset[Account Name],0)),"Assets",ISNUMBER(MATCH(AF67,MD_Liability[Account Name],0)),"Liabilities",ISNUMBER(MATCH(AF67,MD_Equity[Account Name],0)),"Equities"),"")</f>
        <v/>
      </c>
      <c r="AH67" s="130" t="str">
        <f t="shared" si="1"/>
        <v/>
      </c>
      <c r="AI67" s="130" t="str">
        <f t="shared" si="2"/>
        <v/>
      </c>
      <c r="AJ67" s="130" t="str">
        <f t="shared" si="3"/>
        <v/>
      </c>
      <c r="AK67" s="130" t="str" cm="1">
        <f t="array" aca="1" ref="AK67" ca="1">IFERROR(_xlfn.XLOOKUP(AF67,INDIRECT(AI67),INDIRECT(AJ67),""),"")</f>
        <v/>
      </c>
      <c r="AL67" s="130" t="str">
        <f t="shared" si="4"/>
        <v/>
      </c>
      <c r="AM67" s="130" t="str" cm="1">
        <f t="array" aca="1" ref="AM67" ca="1">IF(AG67&lt;&gt;"",_xlfn.XLOOKUP(AF67,INDIRECT(AI67),INDIRECT(AL67)),"")</f>
        <v/>
      </c>
      <c r="AN67" s="130" cm="1">
        <f t="array" aca="1" ref="AN67" ca="1">_xlfn.IFNA(_xlfn.IFS(AND(AG67="Assets",AK67="Debit",AM67&gt;0),AM67,AND(AG67="Equities",AM67&lt;0),-AM67),0)</f>
        <v>0</v>
      </c>
      <c r="AO67" s="134" cm="1">
        <f t="array" aca="1" ref="AO67" ca="1">_xlfn.IFNA(_xlfn.IFS(AND(AG67="Assets",AK67="Credit",AM67&lt;0),-AM67,AND(AG67="Equities",AM67&gt;0),AM67,AG67="Liabilities",AM67),0)</f>
        <v>0</v>
      </c>
      <c r="AP67" s="130" t="str">
        <f t="shared" si="5"/>
        <v/>
      </c>
      <c r="AQ67" s="130" t="str" cm="1">
        <f t="array" aca="1" ref="AQ67" ca="1">IF(AP67&lt;&gt;"",_xlfn.XLOOKUP(AF67,INDIRECT(AI67),INDIRECT(AP67),""),"")</f>
        <v/>
      </c>
    </row>
    <row r="68" spans="1:43" collapsed="1">
      <c r="A68" s="182">
        <v>41</v>
      </c>
      <c r="B68" s="149" t="str">
        <f t="shared" ca="1" si="0"/>
        <v>Common Stock</v>
      </c>
      <c r="C68" s="150">
        <f t="shared" ref="C68" ca="1" si="60">_xlfn.IFNA(_xlfn.XLOOKUP(B68,$AF$28:$AF$108,$AN$28:$AN$108,0),0)</f>
        <v>0</v>
      </c>
      <c r="D68" s="151">
        <f t="shared" ref="D68" ca="1" si="61">_xlfn.IFNA(_xlfn.XLOOKUP(B68,$AF$28:$AF$108,$AO$28:$AO$108,0),"")</f>
        <v>0</v>
      </c>
      <c r="F68" s="152"/>
      <c r="G68" s="153"/>
      <c r="H68" s="154"/>
      <c r="I68" s="152"/>
      <c r="K68" s="152"/>
      <c r="L68" s="153"/>
      <c r="M68" s="154"/>
      <c r="N68" s="152"/>
      <c r="P68" s="155" t="str" cm="1">
        <f t="array" aca="1" ref="P68" ca="1">$W$1&amp;_xlfn.XLOOKUP(B68,AF$28:$AF$108,$AQ$28:$AQ$108,"")</f>
        <v>ΔCS</v>
      </c>
      <c r="Q68" s="156">
        <f ca="1">IF((U68-V68)-(C68-D68)-SUM(G68:G71)+SUM(H68:H71)-SUM(L68:L71)+SUM(M68:M71)&gt;0,(U68-V68)-(C68-D68)-SUM(G68:G71)+SUM(H68:H71)-SUM(L68:L71)+SUM(M68:M71),0)</f>
        <v>0</v>
      </c>
      <c r="R68" s="157">
        <f ca="1">IF((U68-V68)-(C68-D68)-SUM(G68:G71)+SUM(H68:H71)-SUM(L68:L71)+SUM(M68:M71)&lt;0,-((U68-V68)-(C68-D68)-SUM(G68:G71)+SUM(H68:H71)-SUM(L68:L71)+SUM(M68:M71)),0)</f>
        <v>0</v>
      </c>
      <c r="S68" s="155" t="str">
        <f ca="1">P68</f>
        <v>ΔCS</v>
      </c>
      <c r="U68" s="150">
        <f ca="1">IF(AC68&gt;0,AC68,0)</f>
        <v>0</v>
      </c>
      <c r="V68" s="151">
        <f ca="1">IF(AD68&gt;0,AD68,0)</f>
        <v>0</v>
      </c>
      <c r="W68" s="390">
        <f t="shared" ref="W68" ca="1" si="62">IF(B68&lt;&gt;"",1,0)</f>
        <v>1</v>
      </c>
      <c r="X68" s="390"/>
      <c r="Y68" s="390"/>
      <c r="Z68" s="390"/>
      <c r="AA68" s="394">
        <f ca="1">SUMIF(Journal[Debit Account],B68,Journal[Dr Amt])</f>
        <v>0</v>
      </c>
      <c r="AB68" s="394">
        <f ca="1">SUMIF(Journal[Credit Account],B68,Journal[Cr Amt])</f>
        <v>0</v>
      </c>
      <c r="AC68" s="389">
        <f ca="1">C68-D68+AA68-AB68</f>
        <v>0</v>
      </c>
      <c r="AD68" s="389">
        <f ca="1">D68-C68+AB68-AA68</f>
        <v>0</v>
      </c>
      <c r="AF68" s="133"/>
      <c r="AG68" s="130" t="str" cm="1">
        <f t="array" ref="AG68">_xlfn.IFNA(_xlfn.IFS(ISNUMBER(MATCH(AF68,MD_Asset[Account Name],0)),"Assets",ISNUMBER(MATCH(AF68,MD_Liability[Account Name],0)),"Liabilities",ISNUMBER(MATCH(AF68,MD_Equity[Account Name],0)),"Equities"),"")</f>
        <v/>
      </c>
      <c r="AH68" s="130" t="str">
        <f t="shared" si="1"/>
        <v/>
      </c>
      <c r="AI68" s="130" t="str">
        <f t="shared" si="2"/>
        <v/>
      </c>
      <c r="AJ68" s="130" t="str">
        <f t="shared" si="3"/>
        <v/>
      </c>
      <c r="AK68" s="130" t="str" cm="1">
        <f t="array" aca="1" ref="AK68" ca="1">IFERROR(_xlfn.XLOOKUP(AF68,INDIRECT(AI68),INDIRECT(AJ68),""),"")</f>
        <v/>
      </c>
      <c r="AL68" s="130" t="str">
        <f t="shared" si="4"/>
        <v/>
      </c>
      <c r="AM68" s="130" t="str" cm="1">
        <f t="array" aca="1" ref="AM68" ca="1">IF(AG68&lt;&gt;"",_xlfn.XLOOKUP(AF68,INDIRECT(AI68),INDIRECT(AL68)),"")</f>
        <v/>
      </c>
      <c r="AN68" s="130" cm="1">
        <f t="array" aca="1" ref="AN68" ca="1">_xlfn.IFNA(_xlfn.IFS(AND(AG68="Assets",AK68="Debit",AM68&gt;0),AM68,AND(AG68="Equities",AM68&lt;0),-AM68),0)</f>
        <v>0</v>
      </c>
      <c r="AO68" s="134" cm="1">
        <f t="array" aca="1" ref="AO68" ca="1">_xlfn.IFNA(_xlfn.IFS(AND(AG68="Assets",AK68="Credit",AM68&lt;0),-AM68,AND(AG68="Equities",AM68&gt;0),AM68,AG68="Liabilities",AM68),0)</f>
        <v>0</v>
      </c>
      <c r="AP68" s="130" t="str">
        <f t="shared" si="5"/>
        <v/>
      </c>
      <c r="AQ68" s="130" t="str" cm="1">
        <f t="array" aca="1" ref="AQ68" ca="1">IF(AP68&lt;&gt;"",_xlfn.XLOOKUP(AF68,INDIRECT(AI68),INDIRECT(AP68),""),"")</f>
        <v/>
      </c>
    </row>
    <row r="69" spans="1:43" hidden="1" outlineLevel="1">
      <c r="A69" s="182">
        <v>42</v>
      </c>
      <c r="B69" s="158" t="str">
        <f t="shared" ca="1" si="0"/>
        <v/>
      </c>
      <c r="C69" s="159"/>
      <c r="D69" s="160"/>
      <c r="F69" s="152"/>
      <c r="G69" s="161"/>
      <c r="H69" s="162"/>
      <c r="I69" s="152"/>
      <c r="K69" s="152"/>
      <c r="L69" s="161"/>
      <c r="M69" s="162"/>
      <c r="N69" s="152"/>
      <c r="P69" s="135"/>
      <c r="Q69" s="163"/>
      <c r="S69" s="135"/>
      <c r="U69" s="164"/>
      <c r="V69" s="158"/>
      <c r="W69" s="390">
        <f t="shared" ref="W69" ca="1" si="63">IF(B68&lt;&gt;"",1,0)</f>
        <v>1</v>
      </c>
      <c r="X69" s="390"/>
      <c r="Y69" s="390"/>
      <c r="Z69" s="390"/>
      <c r="AA69" s="394"/>
      <c r="AB69" s="394"/>
      <c r="AC69" s="389"/>
      <c r="AD69" s="389"/>
      <c r="AF69" s="133"/>
      <c r="AG69" s="130" t="str" cm="1">
        <f t="array" ref="AG69">_xlfn.IFNA(_xlfn.IFS(ISNUMBER(MATCH(AF69,MD_Asset[Account Name],0)),"Assets",ISNUMBER(MATCH(AF69,MD_Liability[Account Name],0)),"Liabilities",ISNUMBER(MATCH(AF69,MD_Equity[Account Name],0)),"Equities"),"")</f>
        <v/>
      </c>
      <c r="AH69" s="130" t="str">
        <f t="shared" si="1"/>
        <v/>
      </c>
      <c r="AI69" s="130" t="str">
        <f t="shared" si="2"/>
        <v/>
      </c>
      <c r="AJ69" s="130" t="str">
        <f t="shared" si="3"/>
        <v/>
      </c>
      <c r="AK69" s="130" t="str" cm="1">
        <f t="array" aca="1" ref="AK69" ca="1">IFERROR(_xlfn.XLOOKUP(AF69,INDIRECT(AI69),INDIRECT(AJ69),""),"")</f>
        <v/>
      </c>
      <c r="AL69" s="130" t="str">
        <f t="shared" si="4"/>
        <v/>
      </c>
      <c r="AM69" s="130" t="str" cm="1">
        <f t="array" aca="1" ref="AM69" ca="1">IF(AG69&lt;&gt;"",_xlfn.XLOOKUP(AF69,INDIRECT(AI69),INDIRECT(AL69)),"")</f>
        <v/>
      </c>
      <c r="AN69" s="130" cm="1">
        <f t="array" aca="1" ref="AN69" ca="1">_xlfn.IFNA(_xlfn.IFS(AND(AG69="Assets",AK69="Debit",AM69&gt;0),AM69,AND(AG69="Equities",AM69&lt;0),-AM69),0)</f>
        <v>0</v>
      </c>
      <c r="AO69" s="134" cm="1">
        <f t="array" aca="1" ref="AO69" ca="1">_xlfn.IFNA(_xlfn.IFS(AND(AG69="Assets",AK69="Credit",AM69&lt;0),-AM69,AND(AG69="Equities",AM69&gt;0),AM69,AG69="Liabilities",AM69),0)</f>
        <v>0</v>
      </c>
      <c r="AP69" s="130" t="str">
        <f t="shared" si="5"/>
        <v/>
      </c>
      <c r="AQ69" s="130" t="str" cm="1">
        <f t="array" aca="1" ref="AQ69" ca="1">IF(AP69&lt;&gt;"",_xlfn.XLOOKUP(AF69,INDIRECT(AI69),INDIRECT(AP69),""),"")</f>
        <v/>
      </c>
    </row>
    <row r="70" spans="1:43" hidden="1" outlineLevel="1">
      <c r="A70" s="182">
        <v>43</v>
      </c>
      <c r="B70" s="158" t="str">
        <f t="shared" ca="1" si="0"/>
        <v/>
      </c>
      <c r="C70" s="159"/>
      <c r="D70" s="160"/>
      <c r="F70" s="152"/>
      <c r="G70" s="161"/>
      <c r="H70" s="162"/>
      <c r="I70" s="152"/>
      <c r="K70" s="152"/>
      <c r="L70" s="161"/>
      <c r="M70" s="162"/>
      <c r="N70" s="152"/>
      <c r="P70" s="135"/>
      <c r="Q70" s="163"/>
      <c r="S70" s="135"/>
      <c r="U70" s="164"/>
      <c r="V70" s="158"/>
      <c r="W70" s="390">
        <f t="shared" ref="W70" ca="1" si="64">IF(B68&lt;&gt;"",1,0)</f>
        <v>1</v>
      </c>
      <c r="X70" s="390"/>
      <c r="Y70" s="390"/>
      <c r="Z70" s="390"/>
      <c r="AA70" s="394"/>
      <c r="AB70" s="394"/>
      <c r="AC70" s="389"/>
      <c r="AD70" s="389"/>
      <c r="AF70" s="133"/>
      <c r="AG70" s="130" t="str" cm="1">
        <f t="array" ref="AG70">_xlfn.IFNA(_xlfn.IFS(ISNUMBER(MATCH(AF70,MD_Asset[Account Name],0)),"Assets",ISNUMBER(MATCH(AF70,MD_Liability[Account Name],0)),"Liabilities",ISNUMBER(MATCH(AF70,MD_Equity[Account Name],0)),"Equities"),"")</f>
        <v/>
      </c>
      <c r="AH70" s="130" t="str">
        <f t="shared" si="1"/>
        <v/>
      </c>
      <c r="AI70" s="130" t="str">
        <f t="shared" si="2"/>
        <v/>
      </c>
      <c r="AJ70" s="130" t="str">
        <f t="shared" si="3"/>
        <v/>
      </c>
      <c r="AK70" s="130" t="str" cm="1">
        <f t="array" aca="1" ref="AK70" ca="1">IFERROR(_xlfn.XLOOKUP(AF70,INDIRECT(AI70),INDIRECT(AJ70),""),"")</f>
        <v/>
      </c>
      <c r="AL70" s="130" t="str">
        <f t="shared" si="4"/>
        <v/>
      </c>
      <c r="AM70" s="130" t="str" cm="1">
        <f t="array" aca="1" ref="AM70" ca="1">IF(AG70&lt;&gt;"",_xlfn.XLOOKUP(AF70,INDIRECT(AI70),INDIRECT(AL70)),"")</f>
        <v/>
      </c>
      <c r="AN70" s="130" cm="1">
        <f t="array" aca="1" ref="AN70" ca="1">_xlfn.IFNA(_xlfn.IFS(AND(AG70="Assets",AK70="Debit",AM70&gt;0),AM70,AND(AG70="Equities",AM70&lt;0),-AM70),0)</f>
        <v>0</v>
      </c>
      <c r="AO70" s="134" cm="1">
        <f t="array" aca="1" ref="AO70" ca="1">_xlfn.IFNA(_xlfn.IFS(AND(AG70="Assets",AK70="Credit",AM70&lt;0),-AM70,AND(AG70="Equities",AM70&gt;0),AM70,AG70="Liabilities",AM70),0)</f>
        <v>0</v>
      </c>
      <c r="AP70" s="130" t="str">
        <f t="shared" si="5"/>
        <v/>
      </c>
      <c r="AQ70" s="130" t="str" cm="1">
        <f t="array" aca="1" ref="AQ70" ca="1">IF(AP70&lt;&gt;"",_xlfn.XLOOKUP(AF70,INDIRECT(AI70),INDIRECT(AP70),""),"")</f>
        <v/>
      </c>
    </row>
    <row r="71" spans="1:43" hidden="1" outlineLevel="1">
      <c r="A71" s="182">
        <v>44</v>
      </c>
      <c r="B71" s="165" t="str">
        <f t="shared" ca="1" si="0"/>
        <v/>
      </c>
      <c r="C71" s="166"/>
      <c r="D71" s="167"/>
      <c r="F71" s="152"/>
      <c r="G71" s="168"/>
      <c r="H71" s="169"/>
      <c r="I71" s="152"/>
      <c r="K71" s="152"/>
      <c r="L71" s="168"/>
      <c r="M71" s="169"/>
      <c r="N71" s="152"/>
      <c r="P71" s="135"/>
      <c r="Q71" s="170"/>
      <c r="R71" s="171"/>
      <c r="S71" s="135"/>
      <c r="U71" s="172"/>
      <c r="V71" s="165"/>
      <c r="W71" s="390">
        <f t="shared" ref="W71" ca="1" si="65">IF(B68&lt;&gt;"",1,0)</f>
        <v>1</v>
      </c>
      <c r="X71" s="390"/>
      <c r="Y71" s="390"/>
      <c r="Z71" s="390"/>
      <c r="AA71" s="394"/>
      <c r="AB71" s="394"/>
      <c r="AC71" s="389"/>
      <c r="AD71" s="389"/>
      <c r="AF71" s="133"/>
      <c r="AG71" s="130" t="str" cm="1">
        <f t="array" ref="AG71">_xlfn.IFNA(_xlfn.IFS(ISNUMBER(MATCH(AF71,MD_Asset[Account Name],0)),"Assets",ISNUMBER(MATCH(AF71,MD_Liability[Account Name],0)),"Liabilities",ISNUMBER(MATCH(AF71,MD_Equity[Account Name],0)),"Equities"),"")</f>
        <v/>
      </c>
      <c r="AH71" s="130" t="str">
        <f t="shared" si="1"/>
        <v/>
      </c>
      <c r="AI71" s="130" t="str">
        <f t="shared" si="2"/>
        <v/>
      </c>
      <c r="AJ71" s="130" t="str">
        <f t="shared" si="3"/>
        <v/>
      </c>
      <c r="AK71" s="130" t="str" cm="1">
        <f t="array" aca="1" ref="AK71" ca="1">IFERROR(_xlfn.XLOOKUP(AF71,INDIRECT(AI71),INDIRECT(AJ71),""),"")</f>
        <v/>
      </c>
      <c r="AL71" s="130" t="str">
        <f t="shared" si="4"/>
        <v/>
      </c>
      <c r="AM71" s="130" t="str" cm="1">
        <f t="array" aca="1" ref="AM71" ca="1">IF(AG71&lt;&gt;"",_xlfn.XLOOKUP(AF71,INDIRECT(AI71),INDIRECT(AL71)),"")</f>
        <v/>
      </c>
      <c r="AN71" s="130" cm="1">
        <f t="array" aca="1" ref="AN71" ca="1">_xlfn.IFNA(_xlfn.IFS(AND(AG71="Assets",AK71="Debit",AM71&gt;0),AM71,AND(AG71="Equities",AM71&lt;0),-AM71),0)</f>
        <v>0</v>
      </c>
      <c r="AO71" s="134" cm="1">
        <f t="array" aca="1" ref="AO71" ca="1">_xlfn.IFNA(_xlfn.IFS(AND(AG71="Assets",AK71="Credit",AM71&lt;0),-AM71,AND(AG71="Equities",AM71&gt;0),AM71,AG71="Liabilities",AM71),0)</f>
        <v>0</v>
      </c>
      <c r="AP71" s="130" t="str">
        <f t="shared" si="5"/>
        <v/>
      </c>
      <c r="AQ71" s="130" t="str" cm="1">
        <f t="array" aca="1" ref="AQ71" ca="1">IF(AP71&lt;&gt;"",_xlfn.XLOOKUP(AF71,INDIRECT(AI71),INDIRECT(AP71),""),"")</f>
        <v/>
      </c>
    </row>
    <row r="72" spans="1:43" collapsed="1">
      <c r="A72" s="182">
        <v>45</v>
      </c>
      <c r="B72" s="149" t="str">
        <f t="shared" ca="1" si="0"/>
        <v>Retained Earnings</v>
      </c>
      <c r="C72" s="150">
        <f t="shared" ref="C72" ca="1" si="66">_xlfn.IFNA(_xlfn.XLOOKUP(B72,$AF$28:$AF$108,$AN$28:$AN$108,0),0)</f>
        <v>0</v>
      </c>
      <c r="D72" s="151">
        <f t="shared" ref="D72" ca="1" si="67">_xlfn.IFNA(_xlfn.XLOOKUP(B72,$AF$28:$AF$108,$AO$28:$AO$108,0),"")</f>
        <v>0</v>
      </c>
      <c r="F72" s="152"/>
      <c r="G72" s="153"/>
      <c r="H72" s="154"/>
      <c r="I72" s="152"/>
      <c r="K72" s="152"/>
      <c r="L72" s="153"/>
      <c r="M72" s="154"/>
      <c r="N72" s="152"/>
      <c r="P72" s="155" t="str" cm="1">
        <f t="array" aca="1" ref="P72" ca="1">$W$1&amp;_xlfn.XLOOKUP(B72,AF$28:$AF$108,$AQ$28:$AQ$108,"")</f>
        <v>ΔRE</v>
      </c>
      <c r="Q72" s="156">
        <f ca="1">IF((U72-V72)-(C72-D72)-SUM(G72:G75)+SUM(H72:H75)-SUM(L72:L75)+SUM(M72:M75)&gt;0,(U72-V72)-(C72-D72)-SUM(G72:G75)+SUM(H72:H75)-SUM(L72:L75)+SUM(M72:M75),0)</f>
        <v>0</v>
      </c>
      <c r="R72" s="157">
        <f ca="1">IF((U72-V72)-(C72-D72)-SUM(G72:G75)+SUM(H72:H75)-SUM(L72:L75)+SUM(M72:M75)&lt;0,-((U72-V72)-(C72-D72)-SUM(G72:G75)+SUM(H72:H75)-SUM(L72:L75)+SUM(M72:M75)),0)</f>
        <v>0</v>
      </c>
      <c r="S72" s="155" t="str">
        <f ca="1">P72</f>
        <v>ΔRE</v>
      </c>
      <c r="U72" s="150">
        <f ca="1">IF(AC72&gt;0,AC72,0)</f>
        <v>0</v>
      </c>
      <c r="V72" s="151">
        <f ca="1">IF(AD72&gt;0,AD72,0)</f>
        <v>0</v>
      </c>
      <c r="W72" s="390">
        <f t="shared" ref="W72" ca="1" si="68">IF(B72&lt;&gt;"",1,0)</f>
        <v>1</v>
      </c>
      <c r="X72" s="390"/>
      <c r="Y72" s="390"/>
      <c r="Z72" s="390"/>
      <c r="AA72" s="394">
        <f ca="1">SUMIF(Journal[Debit Account],B72,Journal[Dr Amt])</f>
        <v>0</v>
      </c>
      <c r="AB72" s="394">
        <f ca="1">SUMIF(Journal[Credit Account],B72,Journal[Cr Amt])</f>
        <v>0</v>
      </c>
      <c r="AC72" s="389">
        <f ca="1">C72-D72+AA72-AB72</f>
        <v>0</v>
      </c>
      <c r="AD72" s="389">
        <f ca="1">D72-C72+AB72-AA72</f>
        <v>0</v>
      </c>
      <c r="AF72" s="133"/>
      <c r="AG72" s="130" t="str" cm="1">
        <f t="array" ref="AG72">_xlfn.IFNA(_xlfn.IFS(ISNUMBER(MATCH(AF72,MD_Asset[Account Name],0)),"Assets",ISNUMBER(MATCH(AF72,MD_Liability[Account Name],0)),"Liabilities",ISNUMBER(MATCH(AF72,MD_Equity[Account Name],0)),"Equities"),"")</f>
        <v/>
      </c>
      <c r="AH72" s="130" t="str">
        <f t="shared" si="1"/>
        <v/>
      </c>
      <c r="AI72" s="130" t="str">
        <f t="shared" si="2"/>
        <v/>
      </c>
      <c r="AJ72" s="130" t="str">
        <f t="shared" si="3"/>
        <v/>
      </c>
      <c r="AK72" s="130" t="str" cm="1">
        <f t="array" aca="1" ref="AK72" ca="1">IFERROR(_xlfn.XLOOKUP(AF72,INDIRECT(AI72),INDIRECT(AJ72),""),"")</f>
        <v/>
      </c>
      <c r="AL72" s="130" t="str">
        <f t="shared" si="4"/>
        <v/>
      </c>
      <c r="AM72" s="130" t="str" cm="1">
        <f t="array" aca="1" ref="AM72" ca="1">IF(AG72&lt;&gt;"",_xlfn.XLOOKUP(AF72,INDIRECT(AI72),INDIRECT(AL72)),"")</f>
        <v/>
      </c>
      <c r="AN72" s="130" cm="1">
        <f t="array" aca="1" ref="AN72" ca="1">_xlfn.IFNA(_xlfn.IFS(AND(AG72="Assets",AK72="Debit",AM72&gt;0),AM72,AND(AG72="Equities",AM72&lt;0),-AM72),0)</f>
        <v>0</v>
      </c>
      <c r="AO72" s="134" cm="1">
        <f t="array" aca="1" ref="AO72" ca="1">_xlfn.IFNA(_xlfn.IFS(AND(AG72="Assets",AK72="Credit",AM72&lt;0),-AM72,AND(AG72="Equities",AM72&gt;0),AM72,AG72="Liabilities",AM72),0)</f>
        <v>0</v>
      </c>
      <c r="AP72" s="130" t="str">
        <f t="shared" si="5"/>
        <v/>
      </c>
      <c r="AQ72" s="130" t="str" cm="1">
        <f t="array" aca="1" ref="AQ72" ca="1">IF(AP72&lt;&gt;"",_xlfn.XLOOKUP(AF72,INDIRECT(AI72),INDIRECT(AP72),""),"")</f>
        <v/>
      </c>
    </row>
    <row r="73" spans="1:43" hidden="1" outlineLevel="1">
      <c r="A73" s="182">
        <v>46</v>
      </c>
      <c r="B73" s="158" t="str">
        <f t="shared" ca="1" si="0"/>
        <v/>
      </c>
      <c r="C73" s="159"/>
      <c r="D73" s="160"/>
      <c r="F73" s="152"/>
      <c r="G73" s="161"/>
      <c r="H73" s="162"/>
      <c r="I73" s="152"/>
      <c r="K73" s="152"/>
      <c r="L73" s="161"/>
      <c r="M73" s="162"/>
      <c r="N73" s="152"/>
      <c r="P73" s="135"/>
      <c r="Q73" s="163"/>
      <c r="S73" s="135"/>
      <c r="U73" s="164"/>
      <c r="V73" s="158"/>
      <c r="W73" s="390">
        <f t="shared" ref="W73" ca="1" si="69">IF(B72&lt;&gt;"",1,0)</f>
        <v>1</v>
      </c>
      <c r="X73" s="390"/>
      <c r="Y73" s="390"/>
      <c r="Z73" s="390"/>
      <c r="AA73" s="394"/>
      <c r="AB73" s="394"/>
      <c r="AC73" s="389"/>
      <c r="AD73" s="389"/>
      <c r="AF73" s="133"/>
      <c r="AG73" s="130" t="str" cm="1">
        <f t="array" ref="AG73">_xlfn.IFNA(_xlfn.IFS(ISNUMBER(MATCH(AF73,MD_Asset[Account Name],0)),"Assets",ISNUMBER(MATCH(AF73,MD_Liability[Account Name],0)),"Liabilities",ISNUMBER(MATCH(AF73,MD_Equity[Account Name],0)),"Equities"),"")</f>
        <v/>
      </c>
      <c r="AH73" s="130" t="str">
        <f t="shared" si="1"/>
        <v/>
      </c>
      <c r="AI73" s="130" t="str">
        <f t="shared" si="2"/>
        <v/>
      </c>
      <c r="AJ73" s="130" t="str">
        <f t="shared" si="3"/>
        <v/>
      </c>
      <c r="AK73" s="130" t="str" cm="1">
        <f t="array" aca="1" ref="AK73" ca="1">IFERROR(_xlfn.XLOOKUP(AF73,INDIRECT(AI73),INDIRECT(AJ73),""),"")</f>
        <v/>
      </c>
      <c r="AL73" s="130" t="str">
        <f t="shared" si="4"/>
        <v/>
      </c>
      <c r="AM73" s="130" t="str" cm="1">
        <f t="array" aca="1" ref="AM73" ca="1">IF(AG73&lt;&gt;"",_xlfn.XLOOKUP(AF73,INDIRECT(AI73),INDIRECT(AL73)),"")</f>
        <v/>
      </c>
      <c r="AN73" s="130" cm="1">
        <f t="array" aca="1" ref="AN73" ca="1">_xlfn.IFNA(_xlfn.IFS(AND(AG73="Assets",AK73="Debit",AM73&gt;0),AM73,AND(AG73="Equities",AM73&lt;0),-AM73),0)</f>
        <v>0</v>
      </c>
      <c r="AO73" s="134" cm="1">
        <f t="array" aca="1" ref="AO73" ca="1">_xlfn.IFNA(_xlfn.IFS(AND(AG73="Assets",AK73="Credit",AM73&lt;0),-AM73,AND(AG73="Equities",AM73&gt;0),AM73,AG73="Liabilities",AM73),0)</f>
        <v>0</v>
      </c>
      <c r="AP73" s="130" t="str">
        <f t="shared" si="5"/>
        <v/>
      </c>
      <c r="AQ73" s="130" t="str" cm="1">
        <f t="array" aca="1" ref="AQ73" ca="1">IF(AP73&lt;&gt;"",_xlfn.XLOOKUP(AF73,INDIRECT(AI73),INDIRECT(AP73),""),"")</f>
        <v/>
      </c>
    </row>
    <row r="74" spans="1:43" hidden="1" outlineLevel="1">
      <c r="A74" s="182">
        <v>47</v>
      </c>
      <c r="B74" s="158" t="str">
        <f t="shared" ca="1" si="0"/>
        <v/>
      </c>
      <c r="C74" s="159"/>
      <c r="D74" s="160"/>
      <c r="F74" s="152"/>
      <c r="G74" s="161"/>
      <c r="H74" s="162"/>
      <c r="I74" s="152"/>
      <c r="K74" s="152"/>
      <c r="L74" s="161"/>
      <c r="M74" s="162"/>
      <c r="N74" s="152"/>
      <c r="P74" s="135"/>
      <c r="Q74" s="163"/>
      <c r="S74" s="135"/>
      <c r="U74" s="164"/>
      <c r="V74" s="158"/>
      <c r="W74" s="390">
        <f t="shared" ref="W74" ca="1" si="70">IF(B72&lt;&gt;"",1,0)</f>
        <v>1</v>
      </c>
      <c r="X74" s="390"/>
      <c r="Y74" s="390"/>
      <c r="Z74" s="390"/>
      <c r="AA74" s="394"/>
      <c r="AB74" s="394"/>
      <c r="AC74" s="389"/>
      <c r="AD74" s="389"/>
      <c r="AF74" s="133"/>
      <c r="AG74" s="130" t="str" cm="1">
        <f t="array" ref="AG74">_xlfn.IFNA(_xlfn.IFS(ISNUMBER(MATCH(AF74,MD_Asset[Account Name],0)),"Assets",ISNUMBER(MATCH(AF74,MD_Liability[Account Name],0)),"Liabilities",ISNUMBER(MATCH(AF74,MD_Equity[Account Name],0)),"Equities"),"")</f>
        <v/>
      </c>
      <c r="AH74" s="130" t="str">
        <f t="shared" si="1"/>
        <v/>
      </c>
      <c r="AI74" s="130" t="str">
        <f t="shared" si="2"/>
        <v/>
      </c>
      <c r="AJ74" s="130" t="str">
        <f t="shared" si="3"/>
        <v/>
      </c>
      <c r="AK74" s="130" t="str" cm="1">
        <f t="array" aca="1" ref="AK74" ca="1">IFERROR(_xlfn.XLOOKUP(AF74,INDIRECT(AI74),INDIRECT(AJ74),""),"")</f>
        <v/>
      </c>
      <c r="AL74" s="130" t="str">
        <f t="shared" si="4"/>
        <v/>
      </c>
      <c r="AM74" s="130" t="str" cm="1">
        <f t="array" aca="1" ref="AM74" ca="1">IF(AG74&lt;&gt;"",_xlfn.XLOOKUP(AF74,INDIRECT(AI74),INDIRECT(AL74)),"")</f>
        <v/>
      </c>
      <c r="AN74" s="130" cm="1">
        <f t="array" aca="1" ref="AN74" ca="1">_xlfn.IFNA(_xlfn.IFS(AND(AG74="Assets",AK74="Debit",AM74&gt;0),AM74,AND(AG74="Equities",AM74&lt;0),-AM74),0)</f>
        <v>0</v>
      </c>
      <c r="AO74" s="134" cm="1">
        <f t="array" aca="1" ref="AO74" ca="1">_xlfn.IFNA(_xlfn.IFS(AND(AG74="Assets",AK74="Credit",AM74&lt;0),-AM74,AND(AG74="Equities",AM74&gt;0),AM74,AG74="Liabilities",AM74),0)</f>
        <v>0</v>
      </c>
      <c r="AP74" s="130" t="str">
        <f t="shared" si="5"/>
        <v/>
      </c>
      <c r="AQ74" s="130" t="str" cm="1">
        <f t="array" aca="1" ref="AQ74" ca="1">IF(AP74&lt;&gt;"",_xlfn.XLOOKUP(AF74,INDIRECT(AI74),INDIRECT(AP74),""),"")</f>
        <v/>
      </c>
    </row>
    <row r="75" spans="1:43" hidden="1" outlineLevel="1">
      <c r="A75" s="182">
        <v>48</v>
      </c>
      <c r="B75" s="165" t="str">
        <f t="shared" ca="1" si="0"/>
        <v/>
      </c>
      <c r="C75" s="166"/>
      <c r="D75" s="167"/>
      <c r="F75" s="152"/>
      <c r="G75" s="168"/>
      <c r="H75" s="169"/>
      <c r="I75" s="152"/>
      <c r="K75" s="152"/>
      <c r="L75" s="168"/>
      <c r="M75" s="169"/>
      <c r="N75" s="152"/>
      <c r="P75" s="135"/>
      <c r="Q75" s="170"/>
      <c r="R75" s="171"/>
      <c r="S75" s="135"/>
      <c r="U75" s="172"/>
      <c r="V75" s="165"/>
      <c r="W75" s="390">
        <f t="shared" ref="W75" ca="1" si="71">IF(B72&lt;&gt;"",1,0)</f>
        <v>1</v>
      </c>
      <c r="X75" s="390"/>
      <c r="Y75" s="390"/>
      <c r="Z75" s="390"/>
      <c r="AA75" s="394"/>
      <c r="AB75" s="394"/>
      <c r="AC75" s="389"/>
      <c r="AD75" s="389"/>
      <c r="AF75" s="133"/>
      <c r="AG75" s="130" t="str" cm="1">
        <f t="array" ref="AG75">_xlfn.IFNA(_xlfn.IFS(ISNUMBER(MATCH(AF75,MD_Asset[Account Name],0)),"Assets",ISNUMBER(MATCH(AF75,MD_Liability[Account Name],0)),"Liabilities",ISNUMBER(MATCH(AF75,MD_Equity[Account Name],0)),"Equities"),"")</f>
        <v/>
      </c>
      <c r="AH75" s="130" t="str">
        <f t="shared" si="1"/>
        <v/>
      </c>
      <c r="AI75" s="130" t="str">
        <f t="shared" si="2"/>
        <v/>
      </c>
      <c r="AJ75" s="130" t="str">
        <f t="shared" si="3"/>
        <v/>
      </c>
      <c r="AK75" s="130" t="str" cm="1">
        <f t="array" aca="1" ref="AK75" ca="1">IFERROR(_xlfn.XLOOKUP(AF75,INDIRECT(AI75),INDIRECT(AJ75),""),"")</f>
        <v/>
      </c>
      <c r="AL75" s="130" t="str">
        <f t="shared" si="4"/>
        <v/>
      </c>
      <c r="AM75" s="130" t="str" cm="1">
        <f t="array" aca="1" ref="AM75" ca="1">IF(AG75&lt;&gt;"",_xlfn.XLOOKUP(AF75,INDIRECT(AI75),INDIRECT(AL75)),"")</f>
        <v/>
      </c>
      <c r="AN75" s="130" cm="1">
        <f t="array" aca="1" ref="AN75" ca="1">_xlfn.IFNA(_xlfn.IFS(AND(AG75="Assets",AK75="Debit",AM75&gt;0),AM75,AND(AG75="Equities",AM75&lt;0),-AM75),0)</f>
        <v>0</v>
      </c>
      <c r="AO75" s="134" cm="1">
        <f t="array" aca="1" ref="AO75" ca="1">_xlfn.IFNA(_xlfn.IFS(AND(AG75="Assets",AK75="Credit",AM75&lt;0),-AM75,AND(AG75="Equities",AM75&gt;0),AM75,AG75="Liabilities",AM75),0)</f>
        <v>0</v>
      </c>
      <c r="AP75" s="130" t="str">
        <f t="shared" si="5"/>
        <v/>
      </c>
      <c r="AQ75" s="130" t="str" cm="1">
        <f t="array" aca="1" ref="AQ75" ca="1">IF(AP75&lt;&gt;"",_xlfn.XLOOKUP(AF75,INDIRECT(AI75),INDIRECT(AP75),""),"")</f>
        <v/>
      </c>
    </row>
    <row r="76" spans="1:43" collapsed="1">
      <c r="A76" s="182">
        <v>49</v>
      </c>
      <c r="B76" s="149" t="str">
        <f t="shared" ca="1" si="0"/>
        <v/>
      </c>
      <c r="C76" s="150">
        <f t="shared" ref="C76" ca="1" si="72">_xlfn.IFNA(_xlfn.XLOOKUP(B76,$AF$28:$AF$108,$AN$28:$AN$108,0),0)</f>
        <v>0</v>
      </c>
      <c r="D76" s="151">
        <f t="shared" ref="D76" ca="1" si="73">_xlfn.IFNA(_xlfn.XLOOKUP(B76,$AF$28:$AF$108,$AO$28:$AO$108,0),"")</f>
        <v>0</v>
      </c>
      <c r="F76" s="152"/>
      <c r="G76" s="153"/>
      <c r="H76" s="154"/>
      <c r="I76" s="152"/>
      <c r="K76" s="152"/>
      <c r="L76" s="153"/>
      <c r="M76" s="154"/>
      <c r="N76" s="152"/>
      <c r="P76" s="155" t="str" cm="1">
        <f t="array" aca="1" ref="P76" ca="1">$W$1&amp;_xlfn.XLOOKUP(B76,AF$28:$AF$108,$AQ$28:$AQ$108,"")</f>
        <v>Δ</v>
      </c>
      <c r="Q76" s="156">
        <f ca="1">IF((U76-V76)-(C76-D76)-SUM(G76:G79)+SUM(H76:H79)-SUM(L76:L79)+SUM(M76:M79)&gt;0,(U76-V76)-(C76-D76)-SUM(G76:G79)+SUM(H76:H79)-SUM(L76:L79)+SUM(M76:M79),0)</f>
        <v>0</v>
      </c>
      <c r="R76" s="157">
        <f ca="1">IF((U76-V76)-(C76-D76)-SUM(G76:G79)+SUM(H76:H79)-SUM(L76:L79)+SUM(M76:M79)&lt;0,-((U76-V76)-(C76-D76)-SUM(G76:G79)+SUM(H76:H79)-SUM(L76:L79)+SUM(M76:M79)),0)</f>
        <v>0</v>
      </c>
      <c r="S76" s="155" t="str">
        <f ca="1">P76</f>
        <v>Δ</v>
      </c>
      <c r="U76" s="150">
        <f ca="1">IF(AC76&gt;0,AC76,0)</f>
        <v>0</v>
      </c>
      <c r="V76" s="151">
        <f ca="1">IF(AD76&gt;0,AD76,0)</f>
        <v>0</v>
      </c>
      <c r="W76" s="390">
        <f t="shared" ref="W76" ca="1" si="74">IF(B76&lt;&gt;"",1,0)</f>
        <v>0</v>
      </c>
      <c r="X76" s="390"/>
      <c r="Y76" s="390"/>
      <c r="Z76" s="390"/>
      <c r="AA76" s="394">
        <f ca="1">SUMIF(Journal[Debit Account],B76,Journal[Dr Amt])</f>
        <v>0</v>
      </c>
      <c r="AB76" s="394">
        <f ca="1">SUMIF(Journal[Credit Account],B76,Journal[Cr Amt])</f>
        <v>0</v>
      </c>
      <c r="AC76" s="389">
        <f ca="1">C76-D76+AA76-AB76</f>
        <v>0</v>
      </c>
      <c r="AD76" s="389">
        <f ca="1">D76-C76+AB76-AA76</f>
        <v>0</v>
      </c>
      <c r="AF76" s="133"/>
      <c r="AG76" s="130" t="str" cm="1">
        <f t="array" ref="AG76">_xlfn.IFNA(_xlfn.IFS(ISNUMBER(MATCH(AF76,MD_Asset[Account Name],0)),"Assets",ISNUMBER(MATCH(AF76,MD_Liability[Account Name],0)),"Liabilities",ISNUMBER(MATCH(AF76,MD_Equity[Account Name],0)),"Equities"),"")</f>
        <v/>
      </c>
      <c r="AH76" s="130" t="str">
        <f t="shared" si="1"/>
        <v/>
      </c>
      <c r="AI76" s="130" t="str">
        <f t="shared" si="2"/>
        <v/>
      </c>
      <c r="AJ76" s="130" t="str">
        <f t="shared" si="3"/>
        <v/>
      </c>
      <c r="AK76" s="130" t="str" cm="1">
        <f t="array" aca="1" ref="AK76" ca="1">IFERROR(_xlfn.XLOOKUP(AF76,INDIRECT(AI76),INDIRECT(AJ76),""),"")</f>
        <v/>
      </c>
      <c r="AL76" s="130" t="str">
        <f t="shared" si="4"/>
        <v/>
      </c>
      <c r="AM76" s="130" t="str" cm="1">
        <f t="array" aca="1" ref="AM76" ca="1">IF(AG76&lt;&gt;"",_xlfn.XLOOKUP(AF76,INDIRECT(AI76),INDIRECT(AL76)),"")</f>
        <v/>
      </c>
      <c r="AN76" s="130" cm="1">
        <f t="array" aca="1" ref="AN76" ca="1">_xlfn.IFNA(_xlfn.IFS(AND(AG76="Assets",AK76="Debit",AM76&gt;0),AM76,AND(AG76="Equities",AM76&lt;0),-AM76),0)</f>
        <v>0</v>
      </c>
      <c r="AO76" s="134" cm="1">
        <f t="array" aca="1" ref="AO76" ca="1">_xlfn.IFNA(_xlfn.IFS(AND(AG76="Assets",AK76="Credit",AM76&lt;0),-AM76,AND(AG76="Equities",AM76&gt;0),AM76,AG76="Liabilities",AM76),0)</f>
        <v>0</v>
      </c>
      <c r="AP76" s="130" t="str">
        <f t="shared" si="5"/>
        <v/>
      </c>
      <c r="AQ76" s="130" t="str" cm="1">
        <f t="array" aca="1" ref="AQ76" ca="1">IF(AP76&lt;&gt;"",_xlfn.XLOOKUP(AF76,INDIRECT(AI76),INDIRECT(AP76),""),"")</f>
        <v/>
      </c>
    </row>
    <row r="77" spans="1:43" hidden="1" outlineLevel="1">
      <c r="A77" s="182">
        <v>50</v>
      </c>
      <c r="B77" s="158" t="str">
        <f t="shared" ca="1" si="0"/>
        <v/>
      </c>
      <c r="C77" s="159"/>
      <c r="D77" s="160"/>
      <c r="F77" s="152"/>
      <c r="G77" s="161"/>
      <c r="H77" s="162"/>
      <c r="I77" s="152"/>
      <c r="K77" s="152"/>
      <c r="L77" s="161"/>
      <c r="M77" s="162"/>
      <c r="N77" s="152"/>
      <c r="P77" s="135"/>
      <c r="Q77" s="163"/>
      <c r="S77" s="135"/>
      <c r="U77" s="164"/>
      <c r="V77" s="158"/>
      <c r="W77" s="390">
        <f t="shared" ref="W77" ca="1" si="75">IF(B76&lt;&gt;"",1,0)</f>
        <v>0</v>
      </c>
      <c r="X77" s="390"/>
      <c r="Y77" s="390"/>
      <c r="Z77" s="390"/>
      <c r="AA77" s="394"/>
      <c r="AB77" s="394"/>
      <c r="AC77" s="389"/>
      <c r="AD77" s="389"/>
      <c r="AF77" s="133"/>
      <c r="AG77" s="130" t="str" cm="1">
        <f t="array" ref="AG77">_xlfn.IFNA(_xlfn.IFS(ISNUMBER(MATCH(AF77,MD_Asset[Account Name],0)),"Assets",ISNUMBER(MATCH(AF77,MD_Liability[Account Name],0)),"Liabilities",ISNUMBER(MATCH(AF77,MD_Equity[Account Name],0)),"Equities"),"")</f>
        <v/>
      </c>
      <c r="AH77" s="130" t="str">
        <f t="shared" si="1"/>
        <v/>
      </c>
      <c r="AI77" s="130" t="str">
        <f t="shared" si="2"/>
        <v/>
      </c>
      <c r="AJ77" s="130" t="str">
        <f t="shared" si="3"/>
        <v/>
      </c>
      <c r="AK77" s="130" t="str" cm="1">
        <f t="array" aca="1" ref="AK77" ca="1">IFERROR(_xlfn.XLOOKUP(AF77,INDIRECT(AI77),INDIRECT(AJ77),""),"")</f>
        <v/>
      </c>
      <c r="AL77" s="130" t="str">
        <f t="shared" si="4"/>
        <v/>
      </c>
      <c r="AM77" s="130" t="str" cm="1">
        <f t="array" aca="1" ref="AM77" ca="1">IF(AG77&lt;&gt;"",_xlfn.XLOOKUP(AF77,INDIRECT(AI77),INDIRECT(AL77)),"")</f>
        <v/>
      </c>
      <c r="AN77" s="130" cm="1">
        <f t="array" aca="1" ref="AN77" ca="1">_xlfn.IFNA(_xlfn.IFS(AND(AG77="Assets",AK77="Debit",AM77&gt;0),AM77,AND(AG77="Equities",AM77&lt;0),-AM77),0)</f>
        <v>0</v>
      </c>
      <c r="AO77" s="134" cm="1">
        <f t="array" aca="1" ref="AO77" ca="1">_xlfn.IFNA(_xlfn.IFS(AND(AG77="Assets",AK77="Credit",AM77&lt;0),-AM77,AND(AG77="Equities",AM77&gt;0),AM77,AG77="Liabilities",AM77),0)</f>
        <v>0</v>
      </c>
      <c r="AP77" s="130" t="str">
        <f t="shared" si="5"/>
        <v/>
      </c>
      <c r="AQ77" s="130" t="str" cm="1">
        <f t="array" aca="1" ref="AQ77" ca="1">IF(AP77&lt;&gt;"",_xlfn.XLOOKUP(AF77,INDIRECT(AI77),INDIRECT(AP77),""),"")</f>
        <v/>
      </c>
    </row>
    <row r="78" spans="1:43" hidden="1" outlineLevel="1">
      <c r="A78" s="182">
        <v>51</v>
      </c>
      <c r="B78" s="158" t="str">
        <f t="shared" ca="1" si="0"/>
        <v/>
      </c>
      <c r="C78" s="159"/>
      <c r="D78" s="160"/>
      <c r="F78" s="152"/>
      <c r="G78" s="161"/>
      <c r="H78" s="162"/>
      <c r="I78" s="152"/>
      <c r="K78" s="152"/>
      <c r="L78" s="161"/>
      <c r="M78" s="162"/>
      <c r="N78" s="152"/>
      <c r="P78" s="135"/>
      <c r="Q78" s="163"/>
      <c r="S78" s="135"/>
      <c r="U78" s="164"/>
      <c r="V78" s="158"/>
      <c r="W78" s="390">
        <f t="shared" ref="W78" ca="1" si="76">IF(B76&lt;&gt;"",1,0)</f>
        <v>0</v>
      </c>
      <c r="X78" s="390"/>
      <c r="Y78" s="390"/>
      <c r="Z78" s="390"/>
      <c r="AA78" s="394"/>
      <c r="AB78" s="394"/>
      <c r="AC78" s="389"/>
      <c r="AD78" s="389"/>
      <c r="AF78" s="133"/>
      <c r="AG78" s="130" t="str" cm="1">
        <f t="array" ref="AG78">_xlfn.IFNA(_xlfn.IFS(ISNUMBER(MATCH(AF78,MD_Asset[Account Name],0)),"Assets",ISNUMBER(MATCH(AF78,MD_Liability[Account Name],0)),"Liabilities",ISNUMBER(MATCH(AF78,MD_Equity[Account Name],0)),"Equities"),"")</f>
        <v/>
      </c>
      <c r="AH78" s="130" t="str">
        <f t="shared" si="1"/>
        <v/>
      </c>
      <c r="AI78" s="130" t="str">
        <f t="shared" si="2"/>
        <v/>
      </c>
      <c r="AJ78" s="130" t="str">
        <f t="shared" si="3"/>
        <v/>
      </c>
      <c r="AK78" s="130" t="str" cm="1">
        <f t="array" aca="1" ref="AK78" ca="1">IFERROR(_xlfn.XLOOKUP(AF78,INDIRECT(AI78),INDIRECT(AJ78),""),"")</f>
        <v/>
      </c>
      <c r="AL78" s="130" t="str">
        <f t="shared" si="4"/>
        <v/>
      </c>
      <c r="AM78" s="130" t="str" cm="1">
        <f t="array" aca="1" ref="AM78" ca="1">IF(AG78&lt;&gt;"",_xlfn.XLOOKUP(AF78,INDIRECT(AI78),INDIRECT(AL78)),"")</f>
        <v/>
      </c>
      <c r="AN78" s="130" cm="1">
        <f t="array" aca="1" ref="AN78" ca="1">_xlfn.IFNA(_xlfn.IFS(AND(AG78="Assets",AK78="Debit",AM78&gt;0),AM78,AND(AG78="Equities",AM78&lt;0),-AM78),0)</f>
        <v>0</v>
      </c>
      <c r="AO78" s="134" cm="1">
        <f t="array" aca="1" ref="AO78" ca="1">_xlfn.IFNA(_xlfn.IFS(AND(AG78="Assets",AK78="Credit",AM78&lt;0),-AM78,AND(AG78="Equities",AM78&gt;0),AM78,AG78="Liabilities",AM78),0)</f>
        <v>0</v>
      </c>
      <c r="AP78" s="130" t="str">
        <f t="shared" si="5"/>
        <v/>
      </c>
      <c r="AQ78" s="130" t="str" cm="1">
        <f t="array" aca="1" ref="AQ78" ca="1">IF(AP78&lt;&gt;"",_xlfn.XLOOKUP(AF78,INDIRECT(AI78),INDIRECT(AP78),""),"")</f>
        <v/>
      </c>
    </row>
    <row r="79" spans="1:43" hidden="1" outlineLevel="1">
      <c r="A79" s="182">
        <v>52</v>
      </c>
      <c r="B79" s="165" t="str">
        <f t="shared" ca="1" si="0"/>
        <v/>
      </c>
      <c r="C79" s="166"/>
      <c r="D79" s="167"/>
      <c r="F79" s="152"/>
      <c r="G79" s="168"/>
      <c r="H79" s="169"/>
      <c r="I79" s="152"/>
      <c r="K79" s="152"/>
      <c r="L79" s="168"/>
      <c r="M79" s="169"/>
      <c r="N79" s="152"/>
      <c r="P79" s="135"/>
      <c r="Q79" s="170"/>
      <c r="R79" s="171"/>
      <c r="S79" s="135"/>
      <c r="U79" s="172"/>
      <c r="V79" s="165"/>
      <c r="W79" s="390">
        <f t="shared" ref="W79" ca="1" si="77">IF(B76&lt;&gt;"",1,0)</f>
        <v>0</v>
      </c>
      <c r="X79" s="390"/>
      <c r="Y79" s="390"/>
      <c r="Z79" s="390"/>
      <c r="AA79" s="394"/>
      <c r="AB79" s="394"/>
      <c r="AC79" s="389"/>
      <c r="AD79" s="389"/>
      <c r="AF79" s="133"/>
      <c r="AG79" s="130" t="str" cm="1">
        <f t="array" ref="AG79">_xlfn.IFNA(_xlfn.IFS(ISNUMBER(MATCH(AF79,MD_Asset[Account Name],0)),"Assets",ISNUMBER(MATCH(AF79,MD_Liability[Account Name],0)),"Liabilities",ISNUMBER(MATCH(AF79,MD_Equity[Account Name],0)),"Equities"),"")</f>
        <v/>
      </c>
      <c r="AH79" s="130" t="str">
        <f t="shared" si="1"/>
        <v/>
      </c>
      <c r="AI79" s="130" t="str">
        <f t="shared" si="2"/>
        <v/>
      </c>
      <c r="AJ79" s="130" t="str">
        <f t="shared" si="3"/>
        <v/>
      </c>
      <c r="AK79" s="130" t="str" cm="1">
        <f t="array" aca="1" ref="AK79" ca="1">IFERROR(_xlfn.XLOOKUP(AF79,INDIRECT(AI79),INDIRECT(AJ79),""),"")</f>
        <v/>
      </c>
      <c r="AL79" s="130" t="str">
        <f t="shared" si="4"/>
        <v/>
      </c>
      <c r="AM79" s="130" t="str" cm="1">
        <f t="array" aca="1" ref="AM79" ca="1">IF(AG79&lt;&gt;"",_xlfn.XLOOKUP(AF79,INDIRECT(AI79),INDIRECT(AL79)),"")</f>
        <v/>
      </c>
      <c r="AN79" s="130" cm="1">
        <f t="array" aca="1" ref="AN79" ca="1">_xlfn.IFNA(_xlfn.IFS(AND(AG79="Assets",AK79="Debit",AM79&gt;0),AM79,AND(AG79="Equities",AM79&lt;0),-AM79),0)</f>
        <v>0</v>
      </c>
      <c r="AO79" s="134" cm="1">
        <f t="array" aca="1" ref="AO79" ca="1">_xlfn.IFNA(_xlfn.IFS(AND(AG79="Assets",AK79="Credit",AM79&lt;0),-AM79,AND(AG79="Equities",AM79&gt;0),AM79,AG79="Liabilities",AM79),0)</f>
        <v>0</v>
      </c>
      <c r="AP79" s="130" t="str">
        <f t="shared" si="5"/>
        <v/>
      </c>
      <c r="AQ79" s="130" t="str" cm="1">
        <f t="array" aca="1" ref="AQ79" ca="1">IF(AP79&lt;&gt;"",_xlfn.XLOOKUP(AF79,INDIRECT(AI79),INDIRECT(AP79),""),"")</f>
        <v/>
      </c>
    </row>
    <row r="80" spans="1:43" collapsed="1">
      <c r="A80" s="182">
        <v>53</v>
      </c>
      <c r="B80" s="149" t="str">
        <f t="shared" ca="1" si="0"/>
        <v/>
      </c>
      <c r="C80" s="150">
        <f t="shared" ref="C80" ca="1" si="78">_xlfn.IFNA(_xlfn.XLOOKUP(B80,$AF$28:$AF$108,$AN$28:$AN$108,0),0)</f>
        <v>0</v>
      </c>
      <c r="D80" s="151">
        <f t="shared" ref="D80" ca="1" si="79">_xlfn.IFNA(_xlfn.XLOOKUP(B80,$AF$28:$AF$108,$AO$28:$AO$108,0),"")</f>
        <v>0</v>
      </c>
      <c r="F80" s="152"/>
      <c r="G80" s="153"/>
      <c r="H80" s="154"/>
      <c r="I80" s="152"/>
      <c r="K80" s="152"/>
      <c r="L80" s="153"/>
      <c r="M80" s="154"/>
      <c r="N80" s="152"/>
      <c r="P80" s="155" t="str" cm="1">
        <f t="array" aca="1" ref="P80" ca="1">$W$1&amp;_xlfn.XLOOKUP(B80,AF$28:$AF$108,$AQ$28:$AQ$108,"")</f>
        <v>Δ</v>
      </c>
      <c r="Q80" s="156">
        <f ca="1">IF((U80-V80)-(C80-D80)-SUM(G80:G83)+SUM(H80:H83)-SUM(L80:L83)+SUM(M80:M83)&gt;0,(U80-V80)-(C80-D80)-SUM(G80:G83)+SUM(H80:H83)-SUM(L80:L83)+SUM(M80:M83),0)</f>
        <v>0</v>
      </c>
      <c r="R80" s="157">
        <f ca="1">IF((U80-V80)-(C80-D80)-SUM(G80:G83)+SUM(H80:H83)-SUM(L80:L83)+SUM(M80:M83)&lt;0,-((U80-V80)-(C80-D80)-SUM(G80:G83)+SUM(H80:H83)-SUM(L80:L83)+SUM(M80:M83)),0)</f>
        <v>0</v>
      </c>
      <c r="S80" s="155" t="str">
        <f ca="1">P80</f>
        <v>Δ</v>
      </c>
      <c r="U80" s="150">
        <f ca="1">IF(AC80&gt;0,AC80,0)</f>
        <v>0</v>
      </c>
      <c r="V80" s="151">
        <f ca="1">IF(AD80&gt;0,AD80,0)</f>
        <v>0</v>
      </c>
      <c r="W80" s="390">
        <f t="shared" ref="W80" ca="1" si="80">IF(B80&lt;&gt;"",1,0)</f>
        <v>0</v>
      </c>
      <c r="X80" s="390"/>
      <c r="Y80" s="390"/>
      <c r="Z80" s="390"/>
      <c r="AA80" s="394">
        <f ca="1">SUMIF(Journal[Debit Account],B80,Journal[Dr Amt])</f>
        <v>0</v>
      </c>
      <c r="AB80" s="394">
        <f ca="1">SUMIF(Journal[Credit Account],B80,Journal[Cr Amt])</f>
        <v>0</v>
      </c>
      <c r="AC80" s="389">
        <f ca="1">C80-D80+AA80-AB80</f>
        <v>0</v>
      </c>
      <c r="AD80" s="389">
        <f ca="1">D80-C80+AB80-AA80</f>
        <v>0</v>
      </c>
      <c r="AF80" s="133"/>
      <c r="AG80" s="130" t="str" cm="1">
        <f t="array" ref="AG80">_xlfn.IFNA(_xlfn.IFS(ISNUMBER(MATCH(AF80,MD_Asset[Account Name],0)),"Assets",ISNUMBER(MATCH(AF80,MD_Liability[Account Name],0)),"Liabilities",ISNUMBER(MATCH(AF80,MD_Equity[Account Name],0)),"Equities"),"")</f>
        <v/>
      </c>
      <c r="AH80" s="130" t="str">
        <f t="shared" si="1"/>
        <v/>
      </c>
      <c r="AI80" s="130" t="str">
        <f t="shared" si="2"/>
        <v/>
      </c>
      <c r="AJ80" s="130" t="str">
        <f t="shared" si="3"/>
        <v/>
      </c>
      <c r="AK80" s="130" t="str" cm="1">
        <f t="array" aca="1" ref="AK80" ca="1">IFERROR(_xlfn.XLOOKUP(AF80,INDIRECT(AI80),INDIRECT(AJ80),""),"")</f>
        <v/>
      </c>
      <c r="AL80" s="130" t="str">
        <f t="shared" si="4"/>
        <v/>
      </c>
      <c r="AM80" s="130" t="str" cm="1">
        <f t="array" aca="1" ref="AM80" ca="1">IF(AG80&lt;&gt;"",_xlfn.XLOOKUP(AF80,INDIRECT(AI80),INDIRECT(AL80)),"")</f>
        <v/>
      </c>
      <c r="AN80" s="130" cm="1">
        <f t="array" aca="1" ref="AN80" ca="1">_xlfn.IFNA(_xlfn.IFS(AND(AG80="Assets",AK80="Debit",AM80&gt;0),AM80,AND(AG80="Equities",AM80&lt;0),-AM80),0)</f>
        <v>0</v>
      </c>
      <c r="AO80" s="134" cm="1">
        <f t="array" aca="1" ref="AO80" ca="1">_xlfn.IFNA(_xlfn.IFS(AND(AG80="Assets",AK80="Credit",AM80&lt;0),-AM80,AND(AG80="Equities",AM80&gt;0),AM80,AG80="Liabilities",AM80),0)</f>
        <v>0</v>
      </c>
      <c r="AP80" s="130" t="str">
        <f t="shared" si="5"/>
        <v/>
      </c>
      <c r="AQ80" s="130" t="str" cm="1">
        <f t="array" aca="1" ref="AQ80" ca="1">IF(AP80&lt;&gt;"",_xlfn.XLOOKUP(AF80,INDIRECT(AI80),INDIRECT(AP80),""),"")</f>
        <v/>
      </c>
    </row>
    <row r="81" spans="1:43" hidden="1" outlineLevel="1">
      <c r="A81" s="182">
        <v>54</v>
      </c>
      <c r="B81" s="158" t="str">
        <f t="shared" ca="1" si="0"/>
        <v/>
      </c>
      <c r="C81" s="159"/>
      <c r="D81" s="160"/>
      <c r="F81" s="152"/>
      <c r="G81" s="161"/>
      <c r="H81" s="162"/>
      <c r="I81" s="152"/>
      <c r="K81" s="152"/>
      <c r="L81" s="161"/>
      <c r="M81" s="162"/>
      <c r="N81" s="152"/>
      <c r="P81" s="135"/>
      <c r="Q81" s="163"/>
      <c r="S81" s="135"/>
      <c r="U81" s="164"/>
      <c r="V81" s="158"/>
      <c r="W81" s="390">
        <f t="shared" ref="W81" ca="1" si="81">IF(B80&lt;&gt;"",1,0)</f>
        <v>0</v>
      </c>
      <c r="X81" s="390"/>
      <c r="Y81" s="390"/>
      <c r="Z81" s="390"/>
      <c r="AA81" s="394"/>
      <c r="AB81" s="394"/>
      <c r="AC81" s="389"/>
      <c r="AD81" s="389"/>
      <c r="AF81" s="133"/>
      <c r="AG81" s="130" t="str" cm="1">
        <f t="array" ref="AG81">_xlfn.IFNA(_xlfn.IFS(ISNUMBER(MATCH(AF81,MD_Asset[Account Name],0)),"Assets",ISNUMBER(MATCH(AF81,MD_Liability[Account Name],0)),"Liabilities",ISNUMBER(MATCH(AF81,MD_Equity[Account Name],0)),"Equities"),"")</f>
        <v/>
      </c>
      <c r="AH81" s="130" t="str">
        <f t="shared" si="1"/>
        <v/>
      </c>
      <c r="AI81" s="130" t="str">
        <f t="shared" si="2"/>
        <v/>
      </c>
      <c r="AJ81" s="130" t="str">
        <f t="shared" si="3"/>
        <v/>
      </c>
      <c r="AK81" s="130" t="str" cm="1">
        <f t="array" aca="1" ref="AK81" ca="1">IFERROR(_xlfn.XLOOKUP(AF81,INDIRECT(AI81),INDIRECT(AJ81),""),"")</f>
        <v/>
      </c>
      <c r="AL81" s="130" t="str">
        <f t="shared" si="4"/>
        <v/>
      </c>
      <c r="AM81" s="130" t="str" cm="1">
        <f t="array" aca="1" ref="AM81" ca="1">IF(AG81&lt;&gt;"",_xlfn.XLOOKUP(AF81,INDIRECT(AI81),INDIRECT(AL81)),"")</f>
        <v/>
      </c>
      <c r="AN81" s="130" cm="1">
        <f t="array" aca="1" ref="AN81" ca="1">_xlfn.IFNA(_xlfn.IFS(AND(AG81="Assets",AK81="Debit",AM81&gt;0),AM81,AND(AG81="Equities",AM81&lt;0),-AM81),0)</f>
        <v>0</v>
      </c>
      <c r="AO81" s="134" cm="1">
        <f t="array" aca="1" ref="AO81" ca="1">_xlfn.IFNA(_xlfn.IFS(AND(AG81="Assets",AK81="Credit",AM81&lt;0),-AM81,AND(AG81="Equities",AM81&gt;0),AM81,AG81="Liabilities",AM81),0)</f>
        <v>0</v>
      </c>
      <c r="AP81" s="130" t="str">
        <f t="shared" si="5"/>
        <v/>
      </c>
      <c r="AQ81" s="130" t="str" cm="1">
        <f t="array" aca="1" ref="AQ81" ca="1">IF(AP81&lt;&gt;"",_xlfn.XLOOKUP(AF81,INDIRECT(AI81),INDIRECT(AP81),""),"")</f>
        <v/>
      </c>
    </row>
    <row r="82" spans="1:43" hidden="1" outlineLevel="1">
      <c r="A82" s="182">
        <v>55</v>
      </c>
      <c r="B82" s="158" t="str">
        <f t="shared" ca="1" si="0"/>
        <v/>
      </c>
      <c r="C82" s="159"/>
      <c r="D82" s="160"/>
      <c r="F82" s="152"/>
      <c r="G82" s="161"/>
      <c r="H82" s="162"/>
      <c r="I82" s="152"/>
      <c r="K82" s="152"/>
      <c r="L82" s="161"/>
      <c r="M82" s="162"/>
      <c r="N82" s="152"/>
      <c r="P82" s="135"/>
      <c r="Q82" s="163"/>
      <c r="S82" s="135"/>
      <c r="U82" s="164"/>
      <c r="V82" s="158"/>
      <c r="W82" s="390">
        <f t="shared" ref="W82" ca="1" si="82">IF(B80&lt;&gt;"",1,0)</f>
        <v>0</v>
      </c>
      <c r="X82" s="390"/>
      <c r="Y82" s="390"/>
      <c r="Z82" s="390"/>
      <c r="AA82" s="394"/>
      <c r="AB82" s="394"/>
      <c r="AC82" s="389"/>
      <c r="AD82" s="389"/>
      <c r="AF82" s="133"/>
      <c r="AG82" s="130" t="str" cm="1">
        <f t="array" ref="AG82">_xlfn.IFNA(_xlfn.IFS(ISNUMBER(MATCH(AF82,MD_Asset[Account Name],0)),"Assets",ISNUMBER(MATCH(AF82,MD_Liability[Account Name],0)),"Liabilities",ISNUMBER(MATCH(AF82,MD_Equity[Account Name],0)),"Equities"),"")</f>
        <v/>
      </c>
      <c r="AH82" s="130" t="str">
        <f t="shared" si="1"/>
        <v/>
      </c>
      <c r="AI82" s="130" t="str">
        <f t="shared" si="2"/>
        <v/>
      </c>
      <c r="AJ82" s="130" t="str">
        <f t="shared" si="3"/>
        <v/>
      </c>
      <c r="AK82" s="130" t="str" cm="1">
        <f t="array" aca="1" ref="AK82" ca="1">IFERROR(_xlfn.XLOOKUP(AF82,INDIRECT(AI82),INDIRECT(AJ82),""),"")</f>
        <v/>
      </c>
      <c r="AL82" s="130" t="str">
        <f t="shared" si="4"/>
        <v/>
      </c>
      <c r="AM82" s="130" t="str" cm="1">
        <f t="array" aca="1" ref="AM82" ca="1">IF(AG82&lt;&gt;"",_xlfn.XLOOKUP(AF82,INDIRECT(AI82),INDIRECT(AL82)),"")</f>
        <v/>
      </c>
      <c r="AN82" s="130" cm="1">
        <f t="array" aca="1" ref="AN82" ca="1">_xlfn.IFNA(_xlfn.IFS(AND(AG82="Assets",AK82="Debit",AM82&gt;0),AM82,AND(AG82="Equities",AM82&lt;0),-AM82),0)</f>
        <v>0</v>
      </c>
      <c r="AO82" s="134" cm="1">
        <f t="array" aca="1" ref="AO82" ca="1">_xlfn.IFNA(_xlfn.IFS(AND(AG82="Assets",AK82="Credit",AM82&lt;0),-AM82,AND(AG82="Equities",AM82&gt;0),AM82,AG82="Liabilities",AM82),0)</f>
        <v>0</v>
      </c>
      <c r="AP82" s="130" t="str">
        <f t="shared" si="5"/>
        <v/>
      </c>
      <c r="AQ82" s="130" t="str" cm="1">
        <f t="array" aca="1" ref="AQ82" ca="1">IF(AP82&lt;&gt;"",_xlfn.XLOOKUP(AF82,INDIRECT(AI82),INDIRECT(AP82),""),"")</f>
        <v/>
      </c>
    </row>
    <row r="83" spans="1:43" hidden="1" outlineLevel="1">
      <c r="A83" s="182">
        <v>56</v>
      </c>
      <c r="B83" s="165" t="str">
        <f t="shared" ca="1" si="0"/>
        <v/>
      </c>
      <c r="C83" s="166"/>
      <c r="D83" s="167"/>
      <c r="F83" s="152"/>
      <c r="G83" s="168"/>
      <c r="H83" s="169"/>
      <c r="I83" s="152"/>
      <c r="K83" s="152"/>
      <c r="L83" s="168"/>
      <c r="M83" s="169"/>
      <c r="N83" s="152"/>
      <c r="P83" s="135"/>
      <c r="Q83" s="170"/>
      <c r="R83" s="171"/>
      <c r="S83" s="135"/>
      <c r="U83" s="172"/>
      <c r="V83" s="165"/>
      <c r="W83" s="390">
        <f t="shared" ref="W83" ca="1" si="83">IF(B80&lt;&gt;"",1,0)</f>
        <v>0</v>
      </c>
      <c r="X83" s="390"/>
      <c r="Y83" s="390"/>
      <c r="Z83" s="390"/>
      <c r="AA83" s="394"/>
      <c r="AB83" s="394"/>
      <c r="AC83" s="389"/>
      <c r="AD83" s="389"/>
      <c r="AF83" s="133"/>
      <c r="AG83" s="130" t="str" cm="1">
        <f t="array" ref="AG83">_xlfn.IFNA(_xlfn.IFS(ISNUMBER(MATCH(AF83,MD_Asset[Account Name],0)),"Assets",ISNUMBER(MATCH(AF83,MD_Liability[Account Name],0)),"Liabilities",ISNUMBER(MATCH(AF83,MD_Equity[Account Name],0)),"Equities"),"")</f>
        <v/>
      </c>
      <c r="AH83" s="130" t="str">
        <f t="shared" si="1"/>
        <v/>
      </c>
      <c r="AI83" s="130" t="str">
        <f t="shared" si="2"/>
        <v/>
      </c>
      <c r="AJ83" s="130" t="str">
        <f t="shared" si="3"/>
        <v/>
      </c>
      <c r="AK83" s="130" t="str" cm="1">
        <f t="array" aca="1" ref="AK83" ca="1">IFERROR(_xlfn.XLOOKUP(AF83,INDIRECT(AI83),INDIRECT(AJ83),""),"")</f>
        <v/>
      </c>
      <c r="AL83" s="130" t="str">
        <f t="shared" si="4"/>
        <v/>
      </c>
      <c r="AM83" s="130" t="str" cm="1">
        <f t="array" aca="1" ref="AM83" ca="1">IF(AG83&lt;&gt;"",_xlfn.XLOOKUP(AF83,INDIRECT(AI83),INDIRECT(AL83)),"")</f>
        <v/>
      </c>
      <c r="AN83" s="130" cm="1">
        <f t="array" aca="1" ref="AN83" ca="1">_xlfn.IFNA(_xlfn.IFS(AND(AG83="Assets",AK83="Debit",AM83&gt;0),AM83,AND(AG83="Equities",AM83&lt;0),-AM83),0)</f>
        <v>0</v>
      </c>
      <c r="AO83" s="134" cm="1">
        <f t="array" aca="1" ref="AO83" ca="1">_xlfn.IFNA(_xlfn.IFS(AND(AG83="Assets",AK83="Credit",AM83&lt;0),-AM83,AND(AG83="Equities",AM83&gt;0),AM83,AG83="Liabilities",AM83),0)</f>
        <v>0</v>
      </c>
      <c r="AP83" s="130" t="str">
        <f t="shared" si="5"/>
        <v/>
      </c>
      <c r="AQ83" s="130" t="str" cm="1">
        <f t="array" aca="1" ref="AQ83" ca="1">IF(AP83&lt;&gt;"",_xlfn.XLOOKUP(AF83,INDIRECT(AI83),INDIRECT(AP83),""),"")</f>
        <v/>
      </c>
    </row>
    <row r="84" spans="1:43" collapsed="1">
      <c r="A84" s="182">
        <v>57</v>
      </c>
      <c r="B84" s="149" t="str">
        <f t="shared" ca="1" si="0"/>
        <v/>
      </c>
      <c r="C84" s="150">
        <f t="shared" ref="C84" ca="1" si="84">_xlfn.IFNA(_xlfn.XLOOKUP(B84,$AF$28:$AF$108,$AN$28:$AN$108,0),0)</f>
        <v>0</v>
      </c>
      <c r="D84" s="151">
        <f t="shared" ref="D84" ca="1" si="85">_xlfn.IFNA(_xlfn.XLOOKUP(B84,$AF$28:$AF$108,$AO$28:$AO$108,0),"")</f>
        <v>0</v>
      </c>
      <c r="F84" s="152"/>
      <c r="G84" s="153"/>
      <c r="H84" s="154"/>
      <c r="I84" s="152"/>
      <c r="K84" s="152"/>
      <c r="L84" s="153"/>
      <c r="M84" s="154"/>
      <c r="N84" s="152"/>
      <c r="P84" s="155" t="str" cm="1">
        <f t="array" aca="1" ref="P84" ca="1">$W$1&amp;_xlfn.XLOOKUP(B84,AF$28:$AF$108,$AQ$28:$AQ$108,"")</f>
        <v>Δ</v>
      </c>
      <c r="Q84" s="156">
        <f ca="1">IF((U84-V84)-(C84-D84)-SUM(G84:G87)+SUM(H84:H87)-SUM(L84:L87)+SUM(M84:M87)&gt;0,(U84-V84)-(C84-D84)-SUM(G84:G87)+SUM(H84:H87)-SUM(L84:L87)+SUM(M84:M87),0)</f>
        <v>0</v>
      </c>
      <c r="R84" s="157">
        <f ca="1">IF((U84-V84)-(C84-D84)-SUM(G84:G87)+SUM(H84:H87)-SUM(L84:L87)+SUM(M84:M87)&lt;0,-((U84-V84)-(C84-D84)-SUM(G84:G87)+SUM(H84:H87)-SUM(L84:L87)+SUM(M84:M87)),0)</f>
        <v>0</v>
      </c>
      <c r="S84" s="155" t="str">
        <f ca="1">P84</f>
        <v>Δ</v>
      </c>
      <c r="U84" s="150">
        <f ca="1">IF(AC84&gt;0,AC84,0)</f>
        <v>0</v>
      </c>
      <c r="V84" s="151">
        <f ca="1">IF(AD84&gt;0,AD84,0)</f>
        <v>0</v>
      </c>
      <c r="W84" s="390">
        <f t="shared" ref="W84" ca="1" si="86">IF(B84&lt;&gt;"",1,0)</f>
        <v>0</v>
      </c>
      <c r="X84" s="390"/>
      <c r="Y84" s="390"/>
      <c r="Z84" s="390"/>
      <c r="AA84" s="394">
        <f ca="1">SUMIF(Journal[Debit Account],B84,Journal[Dr Amt])</f>
        <v>0</v>
      </c>
      <c r="AB84" s="394">
        <f ca="1">SUMIF(Journal[Credit Account],B84,Journal[Cr Amt])</f>
        <v>0</v>
      </c>
      <c r="AC84" s="389">
        <f ca="1">C84-D84+AA84-AB84</f>
        <v>0</v>
      </c>
      <c r="AD84" s="389">
        <f ca="1">D84-C84+AB84-AA84</f>
        <v>0</v>
      </c>
      <c r="AF84" s="133"/>
      <c r="AG84" s="130" t="str" cm="1">
        <f t="array" ref="AG84">_xlfn.IFNA(_xlfn.IFS(ISNUMBER(MATCH(AF84,MD_Asset[Account Name],0)),"Assets",ISNUMBER(MATCH(AF84,MD_Liability[Account Name],0)),"Liabilities",ISNUMBER(MATCH(AF84,MD_Equity[Account Name],0)),"Equities"),"")</f>
        <v/>
      </c>
      <c r="AH84" s="130" t="str">
        <f t="shared" si="1"/>
        <v/>
      </c>
      <c r="AI84" s="130" t="str">
        <f t="shared" si="2"/>
        <v/>
      </c>
      <c r="AJ84" s="130" t="str">
        <f t="shared" si="3"/>
        <v/>
      </c>
      <c r="AK84" s="130" t="str" cm="1">
        <f t="array" aca="1" ref="AK84" ca="1">IFERROR(_xlfn.XLOOKUP(AF84,INDIRECT(AI84),INDIRECT(AJ84),""),"")</f>
        <v/>
      </c>
      <c r="AL84" s="130" t="str">
        <f t="shared" si="4"/>
        <v/>
      </c>
      <c r="AM84" s="130" t="str" cm="1">
        <f t="array" aca="1" ref="AM84" ca="1">IF(AG84&lt;&gt;"",_xlfn.XLOOKUP(AF84,INDIRECT(AI84),INDIRECT(AL84)),"")</f>
        <v/>
      </c>
      <c r="AN84" s="130" cm="1">
        <f t="array" aca="1" ref="AN84" ca="1">_xlfn.IFNA(_xlfn.IFS(AND(AG84="Assets",AK84="Debit",AM84&gt;0),AM84,AND(AG84="Equities",AM84&lt;0),-AM84),0)</f>
        <v>0</v>
      </c>
      <c r="AO84" s="134" cm="1">
        <f t="array" aca="1" ref="AO84" ca="1">_xlfn.IFNA(_xlfn.IFS(AND(AG84="Assets",AK84="Credit",AM84&lt;0),-AM84,AND(AG84="Equities",AM84&gt;0),AM84,AG84="Liabilities",AM84),0)</f>
        <v>0</v>
      </c>
      <c r="AP84" s="130" t="str">
        <f t="shared" si="5"/>
        <v/>
      </c>
      <c r="AQ84" s="130" t="str" cm="1">
        <f t="array" aca="1" ref="AQ84" ca="1">IF(AP84&lt;&gt;"",_xlfn.XLOOKUP(AF84,INDIRECT(AI84),INDIRECT(AP84),""),"")</f>
        <v/>
      </c>
    </row>
    <row r="85" spans="1:43" hidden="1" outlineLevel="1">
      <c r="A85" s="182">
        <v>58</v>
      </c>
      <c r="B85" s="158" t="str">
        <f t="shared" ca="1" si="0"/>
        <v/>
      </c>
      <c r="C85" s="159"/>
      <c r="D85" s="160"/>
      <c r="F85" s="152"/>
      <c r="G85" s="161"/>
      <c r="H85" s="162"/>
      <c r="I85" s="152"/>
      <c r="K85" s="152"/>
      <c r="L85" s="161"/>
      <c r="M85" s="162"/>
      <c r="N85" s="152"/>
      <c r="P85" s="135"/>
      <c r="Q85" s="163"/>
      <c r="S85" s="135"/>
      <c r="U85" s="164"/>
      <c r="V85" s="158"/>
      <c r="W85" s="390">
        <f t="shared" ref="W85" ca="1" si="87">IF(B84&lt;&gt;"",1,0)</f>
        <v>0</v>
      </c>
      <c r="X85" s="390"/>
      <c r="Y85" s="390"/>
      <c r="Z85" s="390"/>
      <c r="AA85" s="394"/>
      <c r="AB85" s="394"/>
      <c r="AC85" s="389"/>
      <c r="AD85" s="389"/>
      <c r="AF85" s="133"/>
      <c r="AG85" s="130" t="str" cm="1">
        <f t="array" ref="AG85">_xlfn.IFNA(_xlfn.IFS(ISNUMBER(MATCH(AF85,MD_Asset[Account Name],0)),"Assets",ISNUMBER(MATCH(AF85,MD_Liability[Account Name],0)),"Liabilities",ISNUMBER(MATCH(AF85,MD_Equity[Account Name],0)),"Equities"),"")</f>
        <v/>
      </c>
      <c r="AH85" s="130" t="str">
        <f t="shared" si="1"/>
        <v/>
      </c>
      <c r="AI85" s="130" t="str">
        <f t="shared" si="2"/>
        <v/>
      </c>
      <c r="AJ85" s="130" t="str">
        <f t="shared" si="3"/>
        <v/>
      </c>
      <c r="AK85" s="130" t="str" cm="1">
        <f t="array" aca="1" ref="AK85" ca="1">IFERROR(_xlfn.XLOOKUP(AF85,INDIRECT(AI85),INDIRECT(AJ85),""),"")</f>
        <v/>
      </c>
      <c r="AL85" s="130" t="str">
        <f t="shared" si="4"/>
        <v/>
      </c>
      <c r="AM85" s="130" t="str" cm="1">
        <f t="array" aca="1" ref="AM85" ca="1">IF(AG85&lt;&gt;"",_xlfn.XLOOKUP(AF85,INDIRECT(AI85),INDIRECT(AL85)),"")</f>
        <v/>
      </c>
      <c r="AN85" s="130" cm="1">
        <f t="array" aca="1" ref="AN85" ca="1">_xlfn.IFNA(_xlfn.IFS(AND(AG85="Assets",AK85="Debit",AM85&gt;0),AM85,AND(AG85="Equities",AM85&lt;0),-AM85),0)</f>
        <v>0</v>
      </c>
      <c r="AO85" s="134" cm="1">
        <f t="array" aca="1" ref="AO85" ca="1">_xlfn.IFNA(_xlfn.IFS(AND(AG85="Assets",AK85="Credit",AM85&lt;0),-AM85,AND(AG85="Equities",AM85&gt;0),AM85,AG85="Liabilities",AM85),0)</f>
        <v>0</v>
      </c>
      <c r="AP85" s="130" t="str">
        <f t="shared" si="5"/>
        <v/>
      </c>
      <c r="AQ85" s="130" t="str" cm="1">
        <f t="array" aca="1" ref="AQ85" ca="1">IF(AP85&lt;&gt;"",_xlfn.XLOOKUP(AF85,INDIRECT(AI85),INDIRECT(AP85),""),"")</f>
        <v/>
      </c>
    </row>
    <row r="86" spans="1:43" hidden="1" outlineLevel="1">
      <c r="A86" s="182">
        <v>59</v>
      </c>
      <c r="B86" s="158" t="str">
        <f t="shared" ca="1" si="0"/>
        <v/>
      </c>
      <c r="C86" s="159"/>
      <c r="D86" s="160"/>
      <c r="F86" s="152"/>
      <c r="G86" s="161"/>
      <c r="H86" s="162"/>
      <c r="I86" s="152"/>
      <c r="K86" s="152"/>
      <c r="L86" s="161"/>
      <c r="M86" s="162"/>
      <c r="N86" s="152"/>
      <c r="P86" s="135"/>
      <c r="Q86" s="163"/>
      <c r="S86" s="135"/>
      <c r="U86" s="164"/>
      <c r="V86" s="158"/>
      <c r="W86" s="390">
        <f t="shared" ref="W86" ca="1" si="88">IF(B84&lt;&gt;"",1,0)</f>
        <v>0</v>
      </c>
      <c r="X86" s="390"/>
      <c r="Y86" s="390"/>
      <c r="Z86" s="390"/>
      <c r="AA86" s="394"/>
      <c r="AB86" s="394"/>
      <c r="AC86" s="389"/>
      <c r="AD86" s="389"/>
      <c r="AF86" s="133"/>
      <c r="AG86" s="130" t="str" cm="1">
        <f t="array" ref="AG86">_xlfn.IFNA(_xlfn.IFS(ISNUMBER(MATCH(AF86,MD_Asset[Account Name],0)),"Assets",ISNUMBER(MATCH(AF86,MD_Liability[Account Name],0)),"Liabilities",ISNUMBER(MATCH(AF86,MD_Equity[Account Name],0)),"Equities"),"")</f>
        <v/>
      </c>
      <c r="AH86" s="130" t="str">
        <f t="shared" si="1"/>
        <v/>
      </c>
      <c r="AI86" s="130" t="str">
        <f t="shared" si="2"/>
        <v/>
      </c>
      <c r="AJ86" s="130" t="str">
        <f t="shared" si="3"/>
        <v/>
      </c>
      <c r="AK86" s="130" t="str" cm="1">
        <f t="array" aca="1" ref="AK86" ca="1">IFERROR(_xlfn.XLOOKUP(AF86,INDIRECT(AI86),INDIRECT(AJ86),""),"")</f>
        <v/>
      </c>
      <c r="AL86" s="130" t="str">
        <f t="shared" si="4"/>
        <v/>
      </c>
      <c r="AM86" s="130" t="str" cm="1">
        <f t="array" aca="1" ref="AM86" ca="1">IF(AG86&lt;&gt;"",_xlfn.XLOOKUP(AF86,INDIRECT(AI86),INDIRECT(AL86)),"")</f>
        <v/>
      </c>
      <c r="AN86" s="130" cm="1">
        <f t="array" aca="1" ref="AN86" ca="1">_xlfn.IFNA(_xlfn.IFS(AND(AG86="Assets",AK86="Debit",AM86&gt;0),AM86,AND(AG86="Equities",AM86&lt;0),-AM86),0)</f>
        <v>0</v>
      </c>
      <c r="AO86" s="134" cm="1">
        <f t="array" aca="1" ref="AO86" ca="1">_xlfn.IFNA(_xlfn.IFS(AND(AG86="Assets",AK86="Credit",AM86&lt;0),-AM86,AND(AG86="Equities",AM86&gt;0),AM86,AG86="Liabilities",AM86),0)</f>
        <v>0</v>
      </c>
      <c r="AP86" s="130" t="str">
        <f t="shared" si="5"/>
        <v/>
      </c>
      <c r="AQ86" s="130" t="str" cm="1">
        <f t="array" aca="1" ref="AQ86" ca="1">IF(AP86&lt;&gt;"",_xlfn.XLOOKUP(AF86,INDIRECT(AI86),INDIRECT(AP86),""),"")</f>
        <v/>
      </c>
    </row>
    <row r="87" spans="1:43" hidden="1" outlineLevel="1">
      <c r="A87" s="182">
        <v>60</v>
      </c>
      <c r="B87" s="158" t="str">
        <f t="shared" ca="1" si="0"/>
        <v/>
      </c>
      <c r="C87" s="159"/>
      <c r="D87" s="160"/>
      <c r="F87" s="152"/>
      <c r="G87" s="161"/>
      <c r="H87" s="162"/>
      <c r="I87" s="152"/>
      <c r="K87" s="152"/>
      <c r="L87" s="161"/>
      <c r="M87" s="162"/>
      <c r="N87" s="152"/>
      <c r="P87" s="135"/>
      <c r="Q87" s="163"/>
      <c r="S87" s="135"/>
      <c r="U87" s="164"/>
      <c r="V87" s="158"/>
      <c r="W87" s="390">
        <f t="shared" ref="W87" ca="1" si="89">IF(B84&lt;&gt;"",1,0)</f>
        <v>0</v>
      </c>
      <c r="X87" s="390"/>
      <c r="Y87" s="390"/>
      <c r="Z87" s="390"/>
      <c r="AA87" s="394"/>
      <c r="AB87" s="394"/>
      <c r="AC87" s="389"/>
      <c r="AD87" s="389"/>
      <c r="AF87" s="133"/>
      <c r="AG87" s="130" t="str" cm="1">
        <f t="array" ref="AG87">_xlfn.IFNA(_xlfn.IFS(ISNUMBER(MATCH(AF87,MD_Asset[Account Name],0)),"Assets",ISNUMBER(MATCH(AF87,MD_Liability[Account Name],0)),"Liabilities",ISNUMBER(MATCH(AF87,MD_Equity[Account Name],0)),"Equities"),"")</f>
        <v/>
      </c>
      <c r="AH87" s="130" t="str">
        <f t="shared" si="1"/>
        <v/>
      </c>
      <c r="AI87" s="130" t="str">
        <f t="shared" si="2"/>
        <v/>
      </c>
      <c r="AJ87" s="130" t="str">
        <f t="shared" si="3"/>
        <v/>
      </c>
      <c r="AK87" s="130" t="str" cm="1">
        <f t="array" aca="1" ref="AK87" ca="1">IFERROR(_xlfn.XLOOKUP(AF87,INDIRECT(AI87),INDIRECT(AJ87),""),"")</f>
        <v/>
      </c>
      <c r="AL87" s="130" t="str">
        <f t="shared" si="4"/>
        <v/>
      </c>
      <c r="AM87" s="130" t="str" cm="1">
        <f t="array" aca="1" ref="AM87" ca="1">IF(AG87&lt;&gt;"",_xlfn.XLOOKUP(AF87,INDIRECT(AI87),INDIRECT(AL87)),"")</f>
        <v/>
      </c>
      <c r="AN87" s="130" cm="1">
        <f t="array" aca="1" ref="AN87" ca="1">_xlfn.IFNA(_xlfn.IFS(AND(AG87="Assets",AK87="Debit",AM87&gt;0),AM87,AND(AG87="Equities",AM87&lt;0),-AM87),0)</f>
        <v>0</v>
      </c>
      <c r="AO87" s="134" cm="1">
        <f t="array" aca="1" ref="AO87" ca="1">_xlfn.IFNA(_xlfn.IFS(AND(AG87="Assets",AK87="Credit",AM87&lt;0),-AM87,AND(AG87="Equities",AM87&gt;0),AM87,AG87="Liabilities",AM87),0)</f>
        <v>0</v>
      </c>
      <c r="AP87" s="130" t="str">
        <f t="shared" si="5"/>
        <v/>
      </c>
      <c r="AQ87" s="130" t="str" cm="1">
        <f t="array" aca="1" ref="AQ87" ca="1">IF(AP87&lt;&gt;"",_xlfn.XLOOKUP(AF87,INDIRECT(AI87),INDIRECT(AP87),""),"")</f>
        <v/>
      </c>
    </row>
    <row r="88" spans="1:43" collapsed="1">
      <c r="A88" s="182">
        <v>61</v>
      </c>
      <c r="B88" s="149" t="str">
        <f t="shared" ca="1" si="0"/>
        <v/>
      </c>
      <c r="C88" s="150">
        <f t="shared" ref="C88" ca="1" si="90">_xlfn.IFNA(_xlfn.XLOOKUP(B88,$AF$28:$AF$108,$AN$28:$AN$108,0),0)</f>
        <v>0</v>
      </c>
      <c r="D88" s="151">
        <f t="shared" ref="D88" ca="1" si="91">_xlfn.IFNA(_xlfn.XLOOKUP(B88,$AF$28:$AF$108,$AO$28:$AO$108,0),"")</f>
        <v>0</v>
      </c>
      <c r="F88" s="152"/>
      <c r="G88" s="153"/>
      <c r="H88" s="154"/>
      <c r="I88" s="152"/>
      <c r="K88" s="152"/>
      <c r="L88" s="153"/>
      <c r="M88" s="154"/>
      <c r="N88" s="152"/>
      <c r="P88" s="155" t="str" cm="1">
        <f t="array" aca="1" ref="P88" ca="1">$W$1&amp;_xlfn.XLOOKUP(B88,AF$28:$AF$108,$AQ$28:$AQ$108,"")</f>
        <v>Δ</v>
      </c>
      <c r="Q88" s="156"/>
      <c r="R88" s="157"/>
      <c r="S88" s="155"/>
      <c r="U88" s="150"/>
      <c r="V88" s="151"/>
      <c r="W88" s="390">
        <f t="shared" ref="W88" ca="1" si="92">IF(B88&lt;&gt;"",1,0)</f>
        <v>0</v>
      </c>
      <c r="X88" s="390"/>
      <c r="Y88" s="390"/>
      <c r="Z88" s="390"/>
      <c r="AA88" s="384" t="s">
        <v>1256</v>
      </c>
      <c r="AB88" s="384" t="s">
        <v>1257</v>
      </c>
      <c r="AC88" s="384"/>
      <c r="AD88" s="384"/>
      <c r="AF88" s="133"/>
      <c r="AG88" s="130" t="str" cm="1">
        <f t="array" ref="AG88">_xlfn.IFNA(_xlfn.IFS(ISNUMBER(MATCH(AF88,MD_Asset[Account Name],0)),"Assets",ISNUMBER(MATCH(AF88,MD_Liability[Account Name],0)),"Liabilities",ISNUMBER(MATCH(AF88,MD_Equity[Account Name],0)),"Equities"),"")</f>
        <v/>
      </c>
      <c r="AH88" s="130" t="str">
        <f t="shared" si="1"/>
        <v/>
      </c>
      <c r="AI88" s="130" t="str">
        <f t="shared" si="2"/>
        <v/>
      </c>
      <c r="AJ88" s="130" t="str">
        <f t="shared" si="3"/>
        <v/>
      </c>
      <c r="AK88" s="130" t="str" cm="1">
        <f t="array" aca="1" ref="AK88" ca="1">IFERROR(_xlfn.XLOOKUP(AF88,INDIRECT(AI88),INDIRECT(AJ88),""),"")</f>
        <v/>
      </c>
      <c r="AL88" s="130" t="str">
        <f t="shared" si="4"/>
        <v/>
      </c>
      <c r="AM88" s="130" t="str" cm="1">
        <f t="array" aca="1" ref="AM88" ca="1">IF(AG88&lt;&gt;"",_xlfn.XLOOKUP(AF88,INDIRECT(AI88),INDIRECT(AL88)),"")</f>
        <v/>
      </c>
      <c r="AN88" s="130" cm="1">
        <f t="array" aca="1" ref="AN88" ca="1">_xlfn.IFNA(_xlfn.IFS(AND(AG88="Assets",AK88="Debit",AM88&gt;0),AM88,AND(AG88="Equities",AM88&lt;0),-AM88),0)</f>
        <v>0</v>
      </c>
      <c r="AO88" s="134" cm="1">
        <f t="array" aca="1" ref="AO88" ca="1">_xlfn.IFNA(_xlfn.IFS(AND(AG88="Assets",AK88="Credit",AM88&lt;0),-AM88,AND(AG88="Equities",AM88&gt;0),AM88,AG88="Liabilities",AM88),0)</f>
        <v>0</v>
      </c>
      <c r="AP88" s="130" t="str">
        <f t="shared" si="5"/>
        <v/>
      </c>
      <c r="AQ88" s="130" t="str" cm="1">
        <f t="array" aca="1" ref="AQ88" ca="1">IF(AP88&lt;&gt;"",_xlfn.XLOOKUP(AF88,INDIRECT(AI88),INDIRECT(AP88),""),"")</f>
        <v/>
      </c>
    </row>
    <row r="89" spans="1:43" hidden="1" outlineLevel="1">
      <c r="A89" s="182">
        <v>62</v>
      </c>
      <c r="B89" s="158" t="str">
        <f t="shared" ca="1" si="0"/>
        <v/>
      </c>
      <c r="C89" s="159"/>
      <c r="D89" s="160"/>
      <c r="F89" s="152"/>
      <c r="G89" s="161"/>
      <c r="H89" s="162"/>
      <c r="I89" s="152"/>
      <c r="K89" s="152"/>
      <c r="L89" s="161"/>
      <c r="M89" s="162"/>
      <c r="N89" s="152"/>
      <c r="P89" s="135"/>
      <c r="Q89" s="163"/>
      <c r="S89" s="135"/>
      <c r="U89" s="164"/>
      <c r="V89" s="158"/>
      <c r="W89" s="390">
        <f t="shared" ref="W89" ca="1" si="93">IF(B88&lt;&gt;"",1,0)</f>
        <v>0</v>
      </c>
      <c r="X89" s="390"/>
      <c r="Y89" s="390"/>
      <c r="Z89" s="390"/>
      <c r="AA89" s="384"/>
      <c r="AB89" s="384"/>
      <c r="AC89" s="384"/>
      <c r="AD89" s="384"/>
      <c r="AF89" s="133"/>
      <c r="AG89" s="130" t="str" cm="1">
        <f t="array" ref="AG89">_xlfn.IFNA(_xlfn.IFS(ISNUMBER(MATCH(AF89,MD_Asset[Account Name],0)),"Assets",ISNUMBER(MATCH(AF89,MD_Liability[Account Name],0)),"Liabilities",ISNUMBER(MATCH(AF89,MD_Equity[Account Name],0)),"Equities"),"")</f>
        <v/>
      </c>
      <c r="AH89" s="130" t="str">
        <f t="shared" si="1"/>
        <v/>
      </c>
      <c r="AI89" s="130" t="str">
        <f t="shared" si="2"/>
        <v/>
      </c>
      <c r="AJ89" s="130" t="str">
        <f t="shared" si="3"/>
        <v/>
      </c>
      <c r="AK89" s="130" t="str" cm="1">
        <f t="array" aca="1" ref="AK89" ca="1">IFERROR(_xlfn.XLOOKUP(AF89,INDIRECT(AI89),INDIRECT(AJ89),""),"")</f>
        <v/>
      </c>
      <c r="AL89" s="130" t="str">
        <f t="shared" si="4"/>
        <v/>
      </c>
      <c r="AM89" s="130" t="str" cm="1">
        <f t="array" aca="1" ref="AM89" ca="1">IF(AG89&lt;&gt;"",_xlfn.XLOOKUP(AF89,INDIRECT(AI89),INDIRECT(AL89)),"")</f>
        <v/>
      </c>
      <c r="AN89" s="130" cm="1">
        <f t="array" aca="1" ref="AN89" ca="1">_xlfn.IFNA(_xlfn.IFS(AND(AG89="Assets",AK89="Debit",AM89&gt;0),AM89,AND(AG89="Equities",AM89&lt;0),-AM89),0)</f>
        <v>0</v>
      </c>
      <c r="AO89" s="134" cm="1">
        <f t="array" aca="1" ref="AO89" ca="1">_xlfn.IFNA(_xlfn.IFS(AND(AG89="Assets",AK89="Credit",AM89&lt;0),-AM89,AND(AG89="Equities",AM89&gt;0),AM89,AG89="Liabilities",AM89),0)</f>
        <v>0</v>
      </c>
      <c r="AP89" s="130" t="str">
        <f t="shared" si="5"/>
        <v/>
      </c>
      <c r="AQ89" s="130" t="str" cm="1">
        <f t="array" aca="1" ref="AQ89" ca="1">IF(AP89&lt;&gt;"",_xlfn.XLOOKUP(AF89,INDIRECT(AI89),INDIRECT(AP89),""),"")</f>
        <v/>
      </c>
    </row>
    <row r="90" spans="1:43" hidden="1" outlineLevel="1">
      <c r="A90" s="182">
        <v>63</v>
      </c>
      <c r="B90" s="158" t="str">
        <f t="shared" ca="1" si="0"/>
        <v/>
      </c>
      <c r="C90" s="159"/>
      <c r="D90" s="160"/>
      <c r="F90" s="152"/>
      <c r="G90" s="161"/>
      <c r="H90" s="162"/>
      <c r="I90" s="152"/>
      <c r="K90" s="152"/>
      <c r="L90" s="161"/>
      <c r="M90" s="162"/>
      <c r="N90" s="152"/>
      <c r="P90" s="135"/>
      <c r="Q90" s="163"/>
      <c r="S90" s="135"/>
      <c r="U90" s="164"/>
      <c r="V90" s="158"/>
      <c r="W90" s="390">
        <f t="shared" ref="W90" ca="1" si="94">IF(B88&lt;&gt;"",1,0)</f>
        <v>0</v>
      </c>
      <c r="X90" s="390"/>
      <c r="Y90" s="390"/>
      <c r="Z90" s="390"/>
      <c r="AA90" s="384"/>
      <c r="AB90" s="384"/>
      <c r="AC90" s="384"/>
      <c r="AD90" s="384"/>
      <c r="AF90" s="133"/>
      <c r="AG90" s="130" t="str" cm="1">
        <f t="array" ref="AG90">_xlfn.IFNA(_xlfn.IFS(ISNUMBER(MATCH(AF90,MD_Asset[Account Name],0)),"Assets",ISNUMBER(MATCH(AF90,MD_Liability[Account Name],0)),"Liabilities",ISNUMBER(MATCH(AF90,MD_Equity[Account Name],0)),"Equities"),"")</f>
        <v/>
      </c>
      <c r="AH90" s="130" t="str">
        <f t="shared" si="1"/>
        <v/>
      </c>
      <c r="AI90" s="130" t="str">
        <f t="shared" si="2"/>
        <v/>
      </c>
      <c r="AJ90" s="130" t="str">
        <f t="shared" si="3"/>
        <v/>
      </c>
      <c r="AK90" s="130" t="str" cm="1">
        <f t="array" aca="1" ref="AK90" ca="1">IFERROR(_xlfn.XLOOKUP(AF90,INDIRECT(AI90),INDIRECT(AJ90),""),"")</f>
        <v/>
      </c>
      <c r="AL90" s="130" t="str">
        <f t="shared" si="4"/>
        <v/>
      </c>
      <c r="AM90" s="130" t="str" cm="1">
        <f t="array" aca="1" ref="AM90" ca="1">IF(AG90&lt;&gt;"",_xlfn.XLOOKUP(AF90,INDIRECT(AI90),INDIRECT(AL90)),"")</f>
        <v/>
      </c>
      <c r="AN90" s="130" cm="1">
        <f t="array" aca="1" ref="AN90" ca="1">_xlfn.IFNA(_xlfn.IFS(AND(AG90="Assets",AK90="Debit",AM90&gt;0),AM90,AND(AG90="Equities",AM90&lt;0),-AM90),0)</f>
        <v>0</v>
      </c>
      <c r="AO90" s="134" cm="1">
        <f t="array" aca="1" ref="AO90" ca="1">_xlfn.IFNA(_xlfn.IFS(AND(AG90="Assets",AK90="Credit",AM90&lt;0),-AM90,AND(AG90="Equities",AM90&gt;0),AM90,AG90="Liabilities",AM90),0)</f>
        <v>0</v>
      </c>
      <c r="AP90" s="130" t="str">
        <f t="shared" si="5"/>
        <v/>
      </c>
      <c r="AQ90" s="130" t="str" cm="1">
        <f t="array" aca="1" ref="AQ90" ca="1">IF(AP90&lt;&gt;"",_xlfn.XLOOKUP(AF90,INDIRECT(AI90),INDIRECT(AP90),""),"")</f>
        <v/>
      </c>
    </row>
    <row r="91" spans="1:43" hidden="1" outlineLevel="1" collapsed="1">
      <c r="A91" s="182">
        <v>64</v>
      </c>
      <c r="B91" s="158" t="str">
        <f t="shared" ca="1" si="0"/>
        <v/>
      </c>
      <c r="C91" s="159"/>
      <c r="D91" s="160"/>
      <c r="F91" s="152"/>
      <c r="G91" s="161"/>
      <c r="H91" s="162"/>
      <c r="I91" s="152"/>
      <c r="K91" s="152"/>
      <c r="L91" s="161"/>
      <c r="M91" s="162"/>
      <c r="N91" s="152"/>
      <c r="P91" s="135"/>
      <c r="Q91" s="163"/>
      <c r="S91" s="135"/>
      <c r="U91" s="164"/>
      <c r="V91" s="158"/>
      <c r="W91" s="390">
        <f t="shared" ref="W91" ca="1" si="95">IF(B88&lt;&gt;"",1,0)</f>
        <v>0</v>
      </c>
      <c r="X91" s="390"/>
      <c r="Y91" s="390"/>
      <c r="Z91" s="390"/>
      <c r="AA91" s="384"/>
      <c r="AB91" s="384"/>
      <c r="AC91" s="384"/>
      <c r="AD91" s="384"/>
      <c r="AF91" s="133"/>
      <c r="AG91" s="130" t="str" cm="1">
        <f t="array" ref="AG91">_xlfn.IFNA(_xlfn.IFS(ISNUMBER(MATCH(AF91,MD_Asset[Account Name],0)),"Assets",ISNUMBER(MATCH(AF91,MD_Liability[Account Name],0)),"Liabilities",ISNUMBER(MATCH(AF91,MD_Equity[Account Name],0)),"Equities"),"")</f>
        <v/>
      </c>
      <c r="AH91" s="130" t="str">
        <f t="shared" si="1"/>
        <v/>
      </c>
      <c r="AI91" s="130" t="str">
        <f t="shared" si="2"/>
        <v/>
      </c>
      <c r="AJ91" s="130" t="str">
        <f t="shared" si="3"/>
        <v/>
      </c>
      <c r="AK91" s="130" t="str" cm="1">
        <f t="array" aca="1" ref="AK91" ca="1">IFERROR(_xlfn.XLOOKUP(AF91,INDIRECT(AI91),INDIRECT(AJ91),""),"")</f>
        <v/>
      </c>
      <c r="AL91" s="130" t="str">
        <f t="shared" si="4"/>
        <v/>
      </c>
      <c r="AM91" s="130" t="str" cm="1">
        <f t="array" aca="1" ref="AM91" ca="1">IF(AG91&lt;&gt;"",_xlfn.XLOOKUP(AF91,INDIRECT(AI91),INDIRECT(AL91)),"")</f>
        <v/>
      </c>
      <c r="AN91" s="130" cm="1">
        <f t="array" aca="1" ref="AN91" ca="1">_xlfn.IFNA(_xlfn.IFS(AND(AG91="Assets",AK91="Debit",AM91&gt;0),AM91,AND(AG91="Equities",AM91&lt;0),-AM91),0)</f>
        <v>0</v>
      </c>
      <c r="AO91" s="134" cm="1">
        <f t="array" aca="1" ref="AO91" ca="1">_xlfn.IFNA(_xlfn.IFS(AND(AG91="Assets",AK91="Credit",AM91&lt;0),-AM91,AND(AG91="Equities",AM91&gt;0),AM91,AG91="Liabilities",AM91),0)</f>
        <v>0</v>
      </c>
      <c r="AP91" s="130" t="str">
        <f t="shared" si="5"/>
        <v/>
      </c>
      <c r="AQ91" s="130" t="str" cm="1">
        <f t="array" aca="1" ref="AQ91" ca="1">IF(AP91&lt;&gt;"",_xlfn.XLOOKUP(AF91,INDIRECT(AI91),INDIRECT(AP91),""),"")</f>
        <v/>
      </c>
    </row>
    <row r="92" spans="1:43" collapsed="1">
      <c r="A92" s="182">
        <v>65</v>
      </c>
      <c r="B92" s="149" t="str">
        <f t="shared" ca="1" si="0"/>
        <v/>
      </c>
      <c r="C92" s="150">
        <f t="shared" ref="C92" ca="1" si="96">_xlfn.IFNA(_xlfn.XLOOKUP(B92,$AF$28:$AF$108,$AN$28:$AN$108,0),0)</f>
        <v>0</v>
      </c>
      <c r="D92" s="151">
        <f t="shared" ref="D92" ca="1" si="97">_xlfn.IFNA(_xlfn.XLOOKUP(B92,$AF$28:$AF$108,$AO$28:$AO$108,0),"")</f>
        <v>0</v>
      </c>
      <c r="F92" s="152"/>
      <c r="G92" s="153"/>
      <c r="H92" s="154"/>
      <c r="I92" s="152"/>
      <c r="K92" s="152"/>
      <c r="L92" s="153"/>
      <c r="M92" s="154"/>
      <c r="N92" s="152"/>
      <c r="P92" s="155" t="str" cm="1">
        <f t="array" aca="1" ref="P92" ca="1">$W$1&amp;_xlfn.XLOOKUP(B92,AF$28:$AF$108,$AQ$28:$AQ$108,"")</f>
        <v>Δ</v>
      </c>
      <c r="Q92" s="156">
        <f ca="1">IF((U92-V92)-(C92-D92)-SUM(G92:G95)+SUM(H92:H95)-SUM(L92:L95)+SUM(M92:M95)&gt;0,(U92-V92)-(C92-D92)-SUM(G92:G95)+SUM(H92:H95)-SUM(L92:L95)+SUM(M92:M95),0)</f>
        <v>0</v>
      </c>
      <c r="R92" s="157">
        <f ca="1">IF((U92-V92)-(C92-D92)-SUM(G92:G95)+SUM(H92:H95)-SUM(L92:L95)+SUM(M92:M95)&lt;0,-((U92-V92)-(C92-D92)-SUM(G92:G95)+SUM(H92:H95)-SUM(L92:L95)+SUM(M92:M95)),0)</f>
        <v>0</v>
      </c>
      <c r="S92" s="155" t="str">
        <f ca="1">P92</f>
        <v>Δ</v>
      </c>
      <c r="U92" s="150">
        <f ca="1">IF(AC92&gt;0,AC92,0)</f>
        <v>0</v>
      </c>
      <c r="V92" s="151">
        <f ca="1">IF(AD92&gt;0,AD92,0)</f>
        <v>0</v>
      </c>
      <c r="W92" s="390">
        <f t="shared" ref="W92" ca="1" si="98">IF(B92&lt;&gt;"",1,0)</f>
        <v>0</v>
      </c>
      <c r="X92" s="390"/>
      <c r="Y92" s="390"/>
      <c r="Z92" s="390"/>
      <c r="AA92" s="394">
        <f ca="1">SUMIF(Journal[Debit Account],B92,Journal[Dr Amt])</f>
        <v>0</v>
      </c>
      <c r="AB92" s="394">
        <f ca="1">SUMIF(Journal[Credit Account],B92,Journal[Cr Amt])</f>
        <v>0</v>
      </c>
      <c r="AC92" s="389">
        <f ca="1">C92-D92+AA92-AB92</f>
        <v>0</v>
      </c>
      <c r="AD92" s="389">
        <f ca="1">D92-C92+AB92-AA92</f>
        <v>0</v>
      </c>
      <c r="AF92" s="133"/>
      <c r="AG92" s="130" t="str" cm="1">
        <f t="array" ref="AG92">_xlfn.IFNA(_xlfn.IFS(ISNUMBER(MATCH(AF92,MD_Asset[Account Name],0)),"Assets",ISNUMBER(MATCH(AF92,MD_Liability[Account Name],0)),"Liabilities",ISNUMBER(MATCH(AF92,MD_Equity[Account Name],0)),"Equities"),"")</f>
        <v/>
      </c>
      <c r="AH92" s="130" t="str">
        <f t="shared" si="1"/>
        <v/>
      </c>
      <c r="AI92" s="130" t="str">
        <f t="shared" si="2"/>
        <v/>
      </c>
      <c r="AJ92" s="130" t="str">
        <f t="shared" si="3"/>
        <v/>
      </c>
      <c r="AK92" s="130" t="str" cm="1">
        <f t="array" aca="1" ref="AK92" ca="1">IFERROR(_xlfn.XLOOKUP(AF92,INDIRECT(AI92),INDIRECT(AJ92),""),"")</f>
        <v/>
      </c>
      <c r="AL92" s="130" t="str">
        <f t="shared" si="4"/>
        <v/>
      </c>
      <c r="AM92" s="130" t="str" cm="1">
        <f t="array" aca="1" ref="AM92" ca="1">IF(AG92&lt;&gt;"",_xlfn.XLOOKUP(AF92,INDIRECT(AI92),INDIRECT(AL92)),"")</f>
        <v/>
      </c>
      <c r="AN92" s="130" cm="1">
        <f t="array" aca="1" ref="AN92" ca="1">_xlfn.IFNA(_xlfn.IFS(AND(AG92="Assets",AK92="Debit",AM92&gt;0),AM92,AND(AG92="Equities",AM92&lt;0),-AM92),0)</f>
        <v>0</v>
      </c>
      <c r="AO92" s="134" cm="1">
        <f t="array" aca="1" ref="AO92" ca="1">_xlfn.IFNA(_xlfn.IFS(AND(AG92="Assets",AK92="Credit",AM92&lt;0),-AM92,AND(AG92="Equities",AM92&gt;0),AM92,AG92="Liabilities",AM92),0)</f>
        <v>0</v>
      </c>
      <c r="AP92" s="130" t="str">
        <f t="shared" si="5"/>
        <v/>
      </c>
      <c r="AQ92" s="130" t="str" cm="1">
        <f t="array" aca="1" ref="AQ92" ca="1">IF(AP92&lt;&gt;"",_xlfn.XLOOKUP(AF92,INDIRECT(AI92),INDIRECT(AP92),""),"")</f>
        <v/>
      </c>
    </row>
    <row r="93" spans="1:43" hidden="1" outlineLevel="1">
      <c r="A93" s="182">
        <v>66</v>
      </c>
      <c r="B93" s="158" t="str">
        <f t="shared" ref="B93:B156" ca="1" si="99">_xlfn.IFNA(_xlfn.XLOOKUP(A93,$AE$28:$AE$108,$AF$28:$AF$108,""),"")</f>
        <v/>
      </c>
      <c r="C93" s="159"/>
      <c r="D93" s="160"/>
      <c r="F93" s="152"/>
      <c r="G93" s="161"/>
      <c r="H93" s="162"/>
      <c r="I93" s="152"/>
      <c r="K93" s="152"/>
      <c r="L93" s="161"/>
      <c r="M93" s="162"/>
      <c r="N93" s="152"/>
      <c r="P93" s="135"/>
      <c r="Q93" s="163"/>
      <c r="S93" s="135"/>
      <c r="U93" s="164"/>
      <c r="V93" s="158"/>
      <c r="W93" s="390">
        <f t="shared" ref="W93" ca="1" si="100">IF(B92&lt;&gt;"",1,0)</f>
        <v>0</v>
      </c>
      <c r="X93" s="390"/>
      <c r="Y93" s="390"/>
      <c r="Z93" s="390"/>
      <c r="AA93" s="384"/>
      <c r="AB93" s="384"/>
      <c r="AC93" s="384"/>
      <c r="AD93" s="384"/>
      <c r="AF93" s="133"/>
      <c r="AG93" s="130" t="str" cm="1">
        <f t="array" ref="AG93">_xlfn.IFNA(_xlfn.IFS(ISNUMBER(MATCH(AF93,MD_Asset[Account Name],0)),"Assets",ISNUMBER(MATCH(AF93,MD_Liability[Account Name],0)),"Liabilities",ISNUMBER(MATCH(AF93,MD_Equity[Account Name],0)),"Equities"),"")</f>
        <v/>
      </c>
      <c r="AH93" s="130" t="str">
        <f t="shared" ref="AH93:AH108" si="101">IF(AG93&lt;&gt;"","BegBalanceSheet_"&amp;AG93,"")</f>
        <v/>
      </c>
      <c r="AI93" s="130" t="str">
        <f t="shared" ref="AI93:AI108" si="102">IF(AG93&lt;&gt;"",AH93&amp;"[Account]","")</f>
        <v/>
      </c>
      <c r="AJ93" s="130" t="str">
        <f t="shared" ref="AJ93:AJ108" si="103">IF(AG93&lt;&gt;"",AH93&amp;"[IncreasedBy]","")</f>
        <v/>
      </c>
      <c r="AK93" s="130" t="str" cm="1">
        <f t="array" aca="1" ref="AK93" ca="1">IFERROR(_xlfn.XLOOKUP(AF93,INDIRECT(AI93),INDIRECT(AJ93),""),"")</f>
        <v/>
      </c>
      <c r="AL93" s="130" t="str">
        <f t="shared" ref="AL93:AL108" si="104">IF(AG93&lt;&gt;"",AH93&amp;"[Amount]","")</f>
        <v/>
      </c>
      <c r="AM93" s="130" t="str" cm="1">
        <f t="array" aca="1" ref="AM93" ca="1">IF(AG93&lt;&gt;"",_xlfn.XLOOKUP(AF93,INDIRECT(AI93),INDIRECT(AL93)),"")</f>
        <v/>
      </c>
      <c r="AN93" s="130" cm="1">
        <f t="array" aca="1" ref="AN93" ca="1">_xlfn.IFNA(_xlfn.IFS(AND(AG93="Assets",AK93="Debit",AM93&gt;0),AM93,AND(AG93="Equities",AM93&lt;0),-AM93),0)</f>
        <v>0</v>
      </c>
      <c r="AO93" s="134" cm="1">
        <f t="array" aca="1" ref="AO93" ca="1">_xlfn.IFNA(_xlfn.IFS(AND(AG93="Assets",AK93="Credit",AM93&lt;0),-AM93,AND(AG93="Equities",AM93&gt;0),AM93,AG93="Liabilities",AM93),0)</f>
        <v>0</v>
      </c>
      <c r="AP93" s="130" t="str">
        <f t="shared" ref="AP93:AP108" si="105">IF(AG93&lt;&gt;"",AH93&amp;"[Abbr]","")</f>
        <v/>
      </c>
      <c r="AQ93" s="130" t="str" cm="1">
        <f t="array" aca="1" ref="AQ93" ca="1">IF(AP93&lt;&gt;"",_xlfn.XLOOKUP(AF93,INDIRECT(AI93),INDIRECT(AP93),""),"")</f>
        <v/>
      </c>
    </row>
    <row r="94" spans="1:43" hidden="1" outlineLevel="1">
      <c r="A94" s="182">
        <v>67</v>
      </c>
      <c r="B94" s="158" t="str">
        <f t="shared" ca="1" si="99"/>
        <v/>
      </c>
      <c r="C94" s="159"/>
      <c r="D94" s="160"/>
      <c r="F94" s="152"/>
      <c r="G94" s="161"/>
      <c r="H94" s="162"/>
      <c r="I94" s="152"/>
      <c r="K94" s="152"/>
      <c r="L94" s="161"/>
      <c r="M94" s="162"/>
      <c r="N94" s="152"/>
      <c r="P94" s="135"/>
      <c r="Q94" s="163"/>
      <c r="S94" s="135"/>
      <c r="U94" s="164"/>
      <c r="V94" s="158"/>
      <c r="W94" s="390">
        <f t="shared" ref="W94" ca="1" si="106">IF(B92&lt;&gt;"",1,0)</f>
        <v>0</v>
      </c>
      <c r="X94" s="390"/>
      <c r="Y94" s="390"/>
      <c r="Z94" s="390"/>
      <c r="AA94" s="384"/>
      <c r="AB94" s="384"/>
      <c r="AC94" s="384"/>
      <c r="AD94" s="384"/>
      <c r="AF94" s="133"/>
      <c r="AG94" s="130" t="str" cm="1">
        <f t="array" ref="AG94">_xlfn.IFNA(_xlfn.IFS(ISNUMBER(MATCH(AF94,MD_Asset[Account Name],0)),"Assets",ISNUMBER(MATCH(AF94,MD_Liability[Account Name],0)),"Liabilities",ISNUMBER(MATCH(AF94,MD_Equity[Account Name],0)),"Equities"),"")</f>
        <v/>
      </c>
      <c r="AH94" s="130" t="str">
        <f t="shared" si="101"/>
        <v/>
      </c>
      <c r="AI94" s="130" t="str">
        <f t="shared" si="102"/>
        <v/>
      </c>
      <c r="AJ94" s="130" t="str">
        <f t="shared" si="103"/>
        <v/>
      </c>
      <c r="AK94" s="130" t="str" cm="1">
        <f t="array" aca="1" ref="AK94" ca="1">IFERROR(_xlfn.XLOOKUP(AF94,INDIRECT(AI94),INDIRECT(AJ94),""),"")</f>
        <v/>
      </c>
      <c r="AL94" s="130" t="str">
        <f t="shared" si="104"/>
        <v/>
      </c>
      <c r="AM94" s="130" t="str" cm="1">
        <f t="array" aca="1" ref="AM94" ca="1">IF(AG94&lt;&gt;"",_xlfn.XLOOKUP(AF94,INDIRECT(AI94),INDIRECT(AL94)),"")</f>
        <v/>
      </c>
      <c r="AN94" s="130" cm="1">
        <f t="array" aca="1" ref="AN94" ca="1">_xlfn.IFNA(_xlfn.IFS(AND(AG94="Assets",AK94="Debit",AM94&gt;0),AM94,AND(AG94="Equities",AM94&lt;0),-AM94),0)</f>
        <v>0</v>
      </c>
      <c r="AO94" s="134" cm="1">
        <f t="array" aca="1" ref="AO94" ca="1">_xlfn.IFNA(_xlfn.IFS(AND(AG94="Assets",AK94="Credit",AM94&lt;0),-AM94,AND(AG94="Equities",AM94&gt;0),AM94,AG94="Liabilities",AM94),0)</f>
        <v>0</v>
      </c>
      <c r="AP94" s="130" t="str">
        <f t="shared" si="105"/>
        <v/>
      </c>
      <c r="AQ94" s="130" t="str" cm="1">
        <f t="array" aca="1" ref="AQ94" ca="1">IF(AP94&lt;&gt;"",_xlfn.XLOOKUP(AF94,INDIRECT(AI94),INDIRECT(AP94),""),"")</f>
        <v/>
      </c>
    </row>
    <row r="95" spans="1:43" hidden="1" outlineLevel="1">
      <c r="A95" s="182">
        <v>68</v>
      </c>
      <c r="B95" s="165" t="str">
        <f t="shared" ca="1" si="99"/>
        <v/>
      </c>
      <c r="C95" s="166"/>
      <c r="D95" s="167"/>
      <c r="F95" s="152"/>
      <c r="G95" s="161"/>
      <c r="H95" s="162"/>
      <c r="I95" s="152"/>
      <c r="K95" s="152"/>
      <c r="L95" s="161"/>
      <c r="M95" s="162"/>
      <c r="N95" s="152"/>
      <c r="P95" s="135"/>
      <c r="Q95" s="163"/>
      <c r="S95" s="135"/>
      <c r="U95" s="164"/>
      <c r="V95" s="158"/>
      <c r="W95" s="390">
        <f t="shared" ref="W95" ca="1" si="107">IF(B92&lt;&gt;"",1,0)</f>
        <v>0</v>
      </c>
      <c r="X95" s="390"/>
      <c r="Y95" s="390"/>
      <c r="Z95" s="390"/>
      <c r="AA95" s="384"/>
      <c r="AB95" s="384"/>
      <c r="AC95" s="384"/>
      <c r="AD95" s="384"/>
      <c r="AF95" s="133"/>
      <c r="AG95" s="130" t="str" cm="1">
        <f t="array" ref="AG95">_xlfn.IFNA(_xlfn.IFS(ISNUMBER(MATCH(AF95,MD_Asset[Account Name],0)),"Assets",ISNUMBER(MATCH(AF95,MD_Liability[Account Name],0)),"Liabilities",ISNUMBER(MATCH(AF95,MD_Equity[Account Name],0)),"Equities"),"")</f>
        <v/>
      </c>
      <c r="AH95" s="130" t="str">
        <f t="shared" si="101"/>
        <v/>
      </c>
      <c r="AI95" s="130" t="str">
        <f t="shared" si="102"/>
        <v/>
      </c>
      <c r="AJ95" s="130" t="str">
        <f t="shared" si="103"/>
        <v/>
      </c>
      <c r="AK95" s="130" t="str" cm="1">
        <f t="array" aca="1" ref="AK95" ca="1">IFERROR(_xlfn.XLOOKUP(AF95,INDIRECT(AI95),INDIRECT(AJ95),""),"")</f>
        <v/>
      </c>
      <c r="AL95" s="130" t="str">
        <f t="shared" si="104"/>
        <v/>
      </c>
      <c r="AM95" s="130" t="str" cm="1">
        <f t="array" aca="1" ref="AM95" ca="1">IF(AG95&lt;&gt;"",_xlfn.XLOOKUP(AF95,INDIRECT(AI95),INDIRECT(AL95)),"")</f>
        <v/>
      </c>
      <c r="AN95" s="130" cm="1">
        <f t="array" aca="1" ref="AN95" ca="1">_xlfn.IFNA(_xlfn.IFS(AND(AG95="Assets",AK95="Debit",AM95&gt;0),AM95,AND(AG95="Equities",AM95&lt;0),-AM95),0)</f>
        <v>0</v>
      </c>
      <c r="AO95" s="134" cm="1">
        <f t="array" aca="1" ref="AO95" ca="1">_xlfn.IFNA(_xlfn.IFS(AND(AG95="Assets",AK95="Credit",AM95&lt;0),-AM95,AND(AG95="Equities",AM95&gt;0),AM95,AG95="Liabilities",AM95),0)</f>
        <v>0</v>
      </c>
      <c r="AP95" s="130" t="str">
        <f t="shared" si="105"/>
        <v/>
      </c>
      <c r="AQ95" s="130" t="str" cm="1">
        <f t="array" aca="1" ref="AQ95" ca="1">IF(AP95&lt;&gt;"",_xlfn.XLOOKUP(AF95,INDIRECT(AI95),INDIRECT(AP95),""),"")</f>
        <v/>
      </c>
    </row>
    <row r="96" spans="1:43" collapsed="1">
      <c r="A96" s="182">
        <v>69</v>
      </c>
      <c r="B96" s="149" t="str">
        <f t="shared" ca="1" si="99"/>
        <v/>
      </c>
      <c r="C96" s="150">
        <f t="shared" ref="C96" ca="1" si="108">_xlfn.IFNA(_xlfn.XLOOKUP(B96,$AF$28:$AF$108,$AN$28:$AN$108,0),0)</f>
        <v>0</v>
      </c>
      <c r="D96" s="151">
        <f t="shared" ref="D96" ca="1" si="109">_xlfn.IFNA(_xlfn.XLOOKUP(B96,$AF$28:$AF$108,$AO$28:$AO$108,0),"")</f>
        <v>0</v>
      </c>
      <c r="F96" s="152"/>
      <c r="G96" s="153"/>
      <c r="H96" s="154"/>
      <c r="I96" s="152"/>
      <c r="K96" s="152"/>
      <c r="L96" s="153"/>
      <c r="M96" s="154"/>
      <c r="N96" s="152"/>
      <c r="P96" s="155" t="str" cm="1">
        <f t="array" aca="1" ref="P96" ca="1">$W$1&amp;_xlfn.XLOOKUP(B96,AF$28:$AF$108,$AQ$28:$AQ$108,"")</f>
        <v>Δ</v>
      </c>
      <c r="Q96" s="156">
        <f ca="1">IF((U96-V96)-(C96-D96)-SUM(G96:G99)+SUM(H96:H99)-SUM(L96:L99)+SUM(M96:M99)&gt;0,(U96-V96)-(C96-D96)-SUM(G96:G99)+SUM(H96:H99)-SUM(L96:L99)+SUM(M96:M99),0)</f>
        <v>0</v>
      </c>
      <c r="R96" s="157">
        <f ca="1">IF((U96-V96)-(C96-D96)-SUM(G96:G99)+SUM(H96:H99)-SUM(L96:L99)+SUM(M96:M99)&lt;0,-((U96-V96)-(C96-D96)-SUM(G96:G99)+SUM(H96:H99)-SUM(L96:L99)+SUM(M96:M99)),0)</f>
        <v>0</v>
      </c>
      <c r="S96" s="155" t="str">
        <f ca="1">P96</f>
        <v>Δ</v>
      </c>
      <c r="U96" s="150">
        <f ca="1">IF(AC96&gt;0,AC96,0)</f>
        <v>0</v>
      </c>
      <c r="V96" s="151">
        <f ca="1">IF(AD96&gt;0,AD96,0)</f>
        <v>0</v>
      </c>
      <c r="W96" s="390">
        <f t="shared" ref="W96" ca="1" si="110">IF(B96&lt;&gt;"",1,0)</f>
        <v>0</v>
      </c>
      <c r="X96" s="390"/>
      <c r="Y96" s="390"/>
      <c r="Z96" s="390"/>
      <c r="AA96" s="394">
        <f ca="1">SUMIF(Journal[Debit Account],B96,Journal[Dr Amt])</f>
        <v>0</v>
      </c>
      <c r="AB96" s="394">
        <f ca="1">SUMIF(Journal[Credit Account],B96,Journal[Cr Amt])</f>
        <v>0</v>
      </c>
      <c r="AC96" s="389">
        <f ca="1">C96-D96+AA96-AB96</f>
        <v>0</v>
      </c>
      <c r="AD96" s="389">
        <f ca="1">D96-C96+AB96-AA96</f>
        <v>0</v>
      </c>
      <c r="AF96" s="133"/>
      <c r="AG96" s="130" t="str" cm="1">
        <f t="array" ref="AG96">_xlfn.IFNA(_xlfn.IFS(ISNUMBER(MATCH(AF96,MD_Asset[Account Name],0)),"Assets",ISNUMBER(MATCH(AF96,MD_Liability[Account Name],0)),"Liabilities",ISNUMBER(MATCH(AF96,MD_Equity[Account Name],0)),"Equities"),"")</f>
        <v/>
      </c>
      <c r="AH96" s="130" t="str">
        <f t="shared" si="101"/>
        <v/>
      </c>
      <c r="AI96" s="130" t="str">
        <f t="shared" si="102"/>
        <v/>
      </c>
      <c r="AJ96" s="130" t="str">
        <f t="shared" si="103"/>
        <v/>
      </c>
      <c r="AK96" s="130" t="str" cm="1">
        <f t="array" aca="1" ref="AK96" ca="1">IFERROR(_xlfn.XLOOKUP(AF96,INDIRECT(AI96),INDIRECT(AJ96),""),"")</f>
        <v/>
      </c>
      <c r="AL96" s="130" t="str">
        <f t="shared" si="104"/>
        <v/>
      </c>
      <c r="AM96" s="130" t="str" cm="1">
        <f t="array" aca="1" ref="AM96" ca="1">IF(AG96&lt;&gt;"",_xlfn.XLOOKUP(AF96,INDIRECT(AI96),INDIRECT(AL96)),"")</f>
        <v/>
      </c>
      <c r="AN96" s="130" cm="1">
        <f t="array" aca="1" ref="AN96" ca="1">_xlfn.IFNA(_xlfn.IFS(AND(AG96="Assets",AK96="Debit",AM96&gt;0),AM96,AND(AG96="Equities",AM96&lt;0),-AM96),0)</f>
        <v>0</v>
      </c>
      <c r="AO96" s="134" cm="1">
        <f t="array" aca="1" ref="AO96" ca="1">_xlfn.IFNA(_xlfn.IFS(AND(AG96="Assets",AK96="Credit",AM96&lt;0),-AM96,AND(AG96="Equities",AM96&gt;0),AM96,AG96="Liabilities",AM96),0)</f>
        <v>0</v>
      </c>
      <c r="AP96" s="130" t="str">
        <f t="shared" si="105"/>
        <v/>
      </c>
      <c r="AQ96" s="130" t="str" cm="1">
        <f t="array" aca="1" ref="AQ96" ca="1">IF(AP96&lt;&gt;"",_xlfn.XLOOKUP(AF96,INDIRECT(AI96),INDIRECT(AP96),""),"")</f>
        <v/>
      </c>
    </row>
    <row r="97" spans="1:43" hidden="1" outlineLevel="1">
      <c r="A97" s="182">
        <v>70</v>
      </c>
      <c r="B97" s="158" t="str">
        <f t="shared" ca="1" si="99"/>
        <v/>
      </c>
      <c r="C97" s="159"/>
      <c r="D97" s="160"/>
      <c r="F97" s="152"/>
      <c r="G97" s="161"/>
      <c r="H97" s="162"/>
      <c r="I97" s="152"/>
      <c r="K97" s="152"/>
      <c r="L97" s="161"/>
      <c r="M97" s="162"/>
      <c r="N97" s="152"/>
      <c r="P97" s="135"/>
      <c r="Q97" s="163"/>
      <c r="S97" s="135"/>
      <c r="U97" s="164"/>
      <c r="V97" s="158"/>
      <c r="W97" s="390">
        <f t="shared" ref="W97" ca="1" si="111">IF(B96&lt;&gt;"",1,0)</f>
        <v>0</v>
      </c>
      <c r="X97" s="390"/>
      <c r="Y97" s="390"/>
      <c r="Z97" s="390"/>
      <c r="AA97" s="384"/>
      <c r="AB97" s="384"/>
      <c r="AC97" s="384"/>
      <c r="AD97" s="384"/>
      <c r="AF97" s="133"/>
      <c r="AG97" s="130" t="str" cm="1">
        <f t="array" ref="AG97">_xlfn.IFNA(_xlfn.IFS(ISNUMBER(MATCH(AF97,MD_Asset[Account Name],0)),"Assets",ISNUMBER(MATCH(AF97,MD_Liability[Account Name],0)),"Liabilities",ISNUMBER(MATCH(AF97,MD_Equity[Account Name],0)),"Equities"),"")</f>
        <v/>
      </c>
      <c r="AH97" s="130" t="str">
        <f t="shared" si="101"/>
        <v/>
      </c>
      <c r="AI97" s="130" t="str">
        <f t="shared" si="102"/>
        <v/>
      </c>
      <c r="AJ97" s="130" t="str">
        <f t="shared" si="103"/>
        <v/>
      </c>
      <c r="AK97" s="130" t="str" cm="1">
        <f t="array" aca="1" ref="AK97" ca="1">IFERROR(_xlfn.XLOOKUP(AF97,INDIRECT(AI97),INDIRECT(AJ97),""),"")</f>
        <v/>
      </c>
      <c r="AL97" s="130" t="str">
        <f t="shared" si="104"/>
        <v/>
      </c>
      <c r="AM97" s="130" t="str" cm="1">
        <f t="array" aca="1" ref="AM97" ca="1">IF(AG97&lt;&gt;"",_xlfn.XLOOKUP(AF97,INDIRECT(AI97),INDIRECT(AL97)),"")</f>
        <v/>
      </c>
      <c r="AN97" s="130" cm="1">
        <f t="array" aca="1" ref="AN97" ca="1">_xlfn.IFNA(_xlfn.IFS(AND(AG97="Assets",AK97="Debit",AM97&gt;0),AM97,AND(AG97="Equities",AM97&lt;0),-AM97),0)</f>
        <v>0</v>
      </c>
      <c r="AO97" s="134" cm="1">
        <f t="array" aca="1" ref="AO97" ca="1">_xlfn.IFNA(_xlfn.IFS(AND(AG97="Assets",AK97="Credit",AM97&lt;0),-AM97,AND(AG97="Equities",AM97&gt;0),AM97,AG97="Liabilities",AM97),0)</f>
        <v>0</v>
      </c>
      <c r="AP97" s="130" t="str">
        <f t="shared" si="105"/>
        <v/>
      </c>
      <c r="AQ97" s="130" t="str" cm="1">
        <f t="array" aca="1" ref="AQ97" ca="1">IF(AP97&lt;&gt;"",_xlfn.XLOOKUP(AF97,INDIRECT(AI97),INDIRECT(AP97),""),"")</f>
        <v/>
      </c>
    </row>
    <row r="98" spans="1:43" hidden="1" outlineLevel="1">
      <c r="A98" s="182">
        <v>71</v>
      </c>
      <c r="B98" s="158" t="str">
        <f t="shared" ca="1" si="99"/>
        <v/>
      </c>
      <c r="C98" s="159"/>
      <c r="D98" s="160"/>
      <c r="F98" s="152"/>
      <c r="G98" s="161"/>
      <c r="H98" s="162"/>
      <c r="I98" s="152"/>
      <c r="K98" s="152"/>
      <c r="L98" s="161"/>
      <c r="M98" s="162"/>
      <c r="N98" s="152"/>
      <c r="P98" s="135"/>
      <c r="Q98" s="163"/>
      <c r="S98" s="135"/>
      <c r="U98" s="164"/>
      <c r="V98" s="158"/>
      <c r="W98" s="390">
        <f t="shared" ref="W98" ca="1" si="112">IF(B96&lt;&gt;"",1,0)</f>
        <v>0</v>
      </c>
      <c r="X98" s="390"/>
      <c r="Y98" s="390"/>
      <c r="Z98" s="390"/>
      <c r="AA98" s="384"/>
      <c r="AB98" s="384"/>
      <c r="AC98" s="384"/>
      <c r="AD98" s="384"/>
      <c r="AF98" s="133"/>
      <c r="AG98" s="130" t="str" cm="1">
        <f t="array" ref="AG98">_xlfn.IFNA(_xlfn.IFS(ISNUMBER(MATCH(AF98,MD_Asset[Account Name],0)),"Assets",ISNUMBER(MATCH(AF98,MD_Liability[Account Name],0)),"Liabilities",ISNUMBER(MATCH(AF98,MD_Equity[Account Name],0)),"Equities"),"")</f>
        <v/>
      </c>
      <c r="AH98" s="130" t="str">
        <f t="shared" si="101"/>
        <v/>
      </c>
      <c r="AI98" s="130" t="str">
        <f t="shared" si="102"/>
        <v/>
      </c>
      <c r="AJ98" s="130" t="str">
        <f t="shared" si="103"/>
        <v/>
      </c>
      <c r="AK98" s="130" t="str" cm="1">
        <f t="array" aca="1" ref="AK98" ca="1">IFERROR(_xlfn.XLOOKUP(AF98,INDIRECT(AI98),INDIRECT(AJ98),""),"")</f>
        <v/>
      </c>
      <c r="AL98" s="130" t="str">
        <f t="shared" si="104"/>
        <v/>
      </c>
      <c r="AM98" s="130" t="str" cm="1">
        <f t="array" aca="1" ref="AM98" ca="1">IF(AG98&lt;&gt;"",_xlfn.XLOOKUP(AF98,INDIRECT(AI98),INDIRECT(AL98)),"")</f>
        <v/>
      </c>
      <c r="AN98" s="130" cm="1">
        <f t="array" aca="1" ref="AN98" ca="1">_xlfn.IFNA(_xlfn.IFS(AND(AG98="Assets",AK98="Debit",AM98&gt;0),AM98,AND(AG98="Equities",AM98&lt;0),-AM98),0)</f>
        <v>0</v>
      </c>
      <c r="AO98" s="134" cm="1">
        <f t="array" aca="1" ref="AO98" ca="1">_xlfn.IFNA(_xlfn.IFS(AND(AG98="Assets",AK98="Credit",AM98&lt;0),-AM98,AND(AG98="Equities",AM98&gt;0),AM98,AG98="Liabilities",AM98),0)</f>
        <v>0</v>
      </c>
      <c r="AP98" s="130" t="str">
        <f t="shared" si="105"/>
        <v/>
      </c>
      <c r="AQ98" s="130" t="str" cm="1">
        <f t="array" aca="1" ref="AQ98" ca="1">IF(AP98&lt;&gt;"",_xlfn.XLOOKUP(AF98,INDIRECT(AI98),INDIRECT(AP98),""),"")</f>
        <v/>
      </c>
    </row>
    <row r="99" spans="1:43" hidden="1" outlineLevel="1">
      <c r="A99" s="182">
        <v>72</v>
      </c>
      <c r="B99" s="165" t="str">
        <f t="shared" ca="1" si="99"/>
        <v/>
      </c>
      <c r="C99" s="166"/>
      <c r="D99" s="167"/>
      <c r="F99" s="152"/>
      <c r="G99" s="161"/>
      <c r="H99" s="162"/>
      <c r="I99" s="152"/>
      <c r="K99" s="152"/>
      <c r="L99" s="161"/>
      <c r="M99" s="162"/>
      <c r="N99" s="152"/>
      <c r="P99" s="135"/>
      <c r="Q99" s="163"/>
      <c r="S99" s="135"/>
      <c r="U99" s="164"/>
      <c r="V99" s="158"/>
      <c r="W99" s="390">
        <f t="shared" ref="W99" ca="1" si="113">IF(B96&lt;&gt;"",1,0)</f>
        <v>0</v>
      </c>
      <c r="X99" s="390"/>
      <c r="Y99" s="390"/>
      <c r="Z99" s="390"/>
      <c r="AA99" s="384"/>
      <c r="AB99" s="384"/>
      <c r="AC99" s="384"/>
      <c r="AD99" s="384"/>
      <c r="AF99" s="133"/>
      <c r="AG99" s="130" t="str" cm="1">
        <f t="array" ref="AG99">_xlfn.IFNA(_xlfn.IFS(ISNUMBER(MATCH(AF99,MD_Asset[Account Name],0)),"Assets",ISNUMBER(MATCH(AF99,MD_Liability[Account Name],0)),"Liabilities",ISNUMBER(MATCH(AF99,MD_Equity[Account Name],0)),"Equities"),"")</f>
        <v/>
      </c>
      <c r="AH99" s="130" t="str">
        <f t="shared" si="101"/>
        <v/>
      </c>
      <c r="AI99" s="130" t="str">
        <f t="shared" si="102"/>
        <v/>
      </c>
      <c r="AJ99" s="130" t="str">
        <f t="shared" si="103"/>
        <v/>
      </c>
      <c r="AK99" s="130" t="str" cm="1">
        <f t="array" aca="1" ref="AK99" ca="1">IFERROR(_xlfn.XLOOKUP(AF99,INDIRECT(AI99),INDIRECT(AJ99),""),"")</f>
        <v/>
      </c>
      <c r="AL99" s="130" t="str">
        <f t="shared" si="104"/>
        <v/>
      </c>
      <c r="AM99" s="130" t="str" cm="1">
        <f t="array" aca="1" ref="AM99" ca="1">IF(AG99&lt;&gt;"",_xlfn.XLOOKUP(AF99,INDIRECT(AI99),INDIRECT(AL99)),"")</f>
        <v/>
      </c>
      <c r="AN99" s="130" cm="1">
        <f t="array" aca="1" ref="AN99" ca="1">_xlfn.IFNA(_xlfn.IFS(AND(AG99="Assets",AK99="Debit",AM99&gt;0),AM99,AND(AG99="Equities",AM99&lt;0),-AM99),0)</f>
        <v>0</v>
      </c>
      <c r="AO99" s="134" cm="1">
        <f t="array" aca="1" ref="AO99" ca="1">_xlfn.IFNA(_xlfn.IFS(AND(AG99="Assets",AK99="Credit",AM99&lt;0),-AM99,AND(AG99="Equities",AM99&gt;0),AM99,AG99="Liabilities",AM99),0)</f>
        <v>0</v>
      </c>
      <c r="AP99" s="130" t="str">
        <f t="shared" si="105"/>
        <v/>
      </c>
      <c r="AQ99" s="130" t="str" cm="1">
        <f t="array" aca="1" ref="AQ99" ca="1">IF(AP99&lt;&gt;"",_xlfn.XLOOKUP(AF99,INDIRECT(AI99),INDIRECT(AP99),""),"")</f>
        <v/>
      </c>
    </row>
    <row r="100" spans="1:43" collapsed="1">
      <c r="A100" s="182">
        <v>73</v>
      </c>
      <c r="B100" s="149" t="str">
        <f t="shared" ca="1" si="99"/>
        <v/>
      </c>
      <c r="C100" s="150">
        <f t="shared" ref="C100" ca="1" si="114">_xlfn.IFNA(_xlfn.XLOOKUP(B100,$AF$28:$AF$108,$AN$28:$AN$108,0),0)</f>
        <v>0</v>
      </c>
      <c r="D100" s="151">
        <f t="shared" ref="D100" ca="1" si="115">_xlfn.IFNA(_xlfn.XLOOKUP(B100,$AF$28:$AF$108,$AO$28:$AO$108,0),"")</f>
        <v>0</v>
      </c>
      <c r="F100" s="152"/>
      <c r="G100" s="153"/>
      <c r="H100" s="154"/>
      <c r="I100" s="152"/>
      <c r="K100" s="152"/>
      <c r="L100" s="153"/>
      <c r="M100" s="154"/>
      <c r="N100" s="152"/>
      <c r="P100" s="155" t="str" cm="1">
        <f t="array" aca="1" ref="P100" ca="1">$W$1&amp;_xlfn.XLOOKUP(B100,AF$28:$AF$108,$AQ$28:$AQ$108,"")</f>
        <v>Δ</v>
      </c>
      <c r="Q100" s="156">
        <f ca="1">IF((U100-V100)-(C100-D100)-SUM(G100:G103)+SUM(H100:H103)-SUM(L100:L103)+SUM(M100:M103)&gt;0,(U100-V100)-(C100-D100)-SUM(G100:G103)+SUM(H100:H103)-SUM(L100:L103)+SUM(M100:M103),0)</f>
        <v>0</v>
      </c>
      <c r="R100" s="157">
        <f ca="1">IF((U100-V100)-(C100-D100)-SUM(G100:G103)+SUM(H100:H103)-SUM(L100:L103)+SUM(M100:M103)&lt;0,-((U100-V100)-(C100-D100)-SUM(G100:G103)+SUM(H100:H103)-SUM(L100:L103)+SUM(M100:M103)),0)</f>
        <v>0</v>
      </c>
      <c r="S100" s="155" t="str">
        <f ca="1">P100</f>
        <v>Δ</v>
      </c>
      <c r="U100" s="150">
        <f ca="1">IF(AC100&gt;0,AC100,0)</f>
        <v>0</v>
      </c>
      <c r="V100" s="151">
        <f ca="1">IF(AD100&gt;0,AD100,0)</f>
        <v>0</v>
      </c>
      <c r="W100" s="390">
        <f t="shared" ref="W100" ca="1" si="116">IF(B100&lt;&gt;"",1,0)</f>
        <v>0</v>
      </c>
      <c r="X100" s="390"/>
      <c r="Y100" s="390"/>
      <c r="Z100" s="390"/>
      <c r="AA100" s="394">
        <f ca="1">SUMIF(Journal[Debit Account],B100,Journal[Dr Amt])</f>
        <v>0</v>
      </c>
      <c r="AB100" s="394">
        <f ca="1">SUMIF(Journal[Credit Account],B100,Journal[Cr Amt])</f>
        <v>0</v>
      </c>
      <c r="AC100" s="389">
        <f ca="1">C100-D100+AA100-AB100</f>
        <v>0</v>
      </c>
      <c r="AD100" s="389">
        <f ca="1">D100-C100+AB100-AA100</f>
        <v>0</v>
      </c>
      <c r="AF100" s="133"/>
      <c r="AG100" s="130" t="str" cm="1">
        <f t="array" ref="AG100">_xlfn.IFNA(_xlfn.IFS(ISNUMBER(MATCH(AF100,MD_Asset[Account Name],0)),"Assets",ISNUMBER(MATCH(AF100,MD_Liability[Account Name],0)),"Liabilities",ISNUMBER(MATCH(AF100,MD_Equity[Account Name],0)),"Equities"),"")</f>
        <v/>
      </c>
      <c r="AH100" s="130" t="str">
        <f t="shared" si="101"/>
        <v/>
      </c>
      <c r="AI100" s="130" t="str">
        <f t="shared" si="102"/>
        <v/>
      </c>
      <c r="AJ100" s="130" t="str">
        <f t="shared" si="103"/>
        <v/>
      </c>
      <c r="AK100" s="130" t="str" cm="1">
        <f t="array" aca="1" ref="AK100" ca="1">IFERROR(_xlfn.XLOOKUP(AF100,INDIRECT(AI100),INDIRECT(AJ100),""),"")</f>
        <v/>
      </c>
      <c r="AL100" s="130" t="str">
        <f t="shared" si="104"/>
        <v/>
      </c>
      <c r="AM100" s="130" t="str" cm="1">
        <f t="array" aca="1" ref="AM100" ca="1">IF(AG100&lt;&gt;"",_xlfn.XLOOKUP(AF100,INDIRECT(AI100),INDIRECT(AL100)),"")</f>
        <v/>
      </c>
      <c r="AN100" s="130" cm="1">
        <f t="array" aca="1" ref="AN100" ca="1">_xlfn.IFNA(_xlfn.IFS(AND(AG100="Assets",AK100="Debit",AM100&gt;0),AM100,AND(AG100="Equities",AM100&lt;0),-AM100),0)</f>
        <v>0</v>
      </c>
      <c r="AO100" s="134" cm="1">
        <f t="array" aca="1" ref="AO100" ca="1">_xlfn.IFNA(_xlfn.IFS(AND(AG100="Assets",AK100="Credit",AM100&lt;0),-AM100,AND(AG100="Equities",AM100&gt;0),AM100,AG100="Liabilities",AM100),0)</f>
        <v>0</v>
      </c>
      <c r="AP100" s="130" t="str">
        <f t="shared" si="105"/>
        <v/>
      </c>
      <c r="AQ100" s="130" t="str" cm="1">
        <f t="array" aca="1" ref="AQ100" ca="1">IF(AP100&lt;&gt;"",_xlfn.XLOOKUP(AF100,INDIRECT(AI100),INDIRECT(AP100),""),"")</f>
        <v/>
      </c>
    </row>
    <row r="101" spans="1:43" hidden="1" outlineLevel="1">
      <c r="A101" s="182">
        <v>74</v>
      </c>
      <c r="B101" s="158" t="str">
        <f t="shared" ca="1" si="99"/>
        <v/>
      </c>
      <c r="C101" s="159"/>
      <c r="D101" s="160"/>
      <c r="F101" s="152"/>
      <c r="G101" s="161"/>
      <c r="H101" s="162"/>
      <c r="I101" s="152"/>
      <c r="K101" s="152"/>
      <c r="L101" s="161"/>
      <c r="M101" s="162"/>
      <c r="N101" s="152"/>
      <c r="P101" s="135"/>
      <c r="Q101" s="163"/>
      <c r="S101" s="135"/>
      <c r="U101" s="164"/>
      <c r="V101" s="158"/>
      <c r="W101" s="390">
        <f t="shared" ref="W101" ca="1" si="117">IF(B100&lt;&gt;"",1,0)</f>
        <v>0</v>
      </c>
      <c r="X101" s="390"/>
      <c r="Y101" s="390"/>
      <c r="Z101" s="390"/>
      <c r="AA101" s="384"/>
      <c r="AB101" s="384"/>
      <c r="AC101" s="384"/>
      <c r="AD101" s="384"/>
      <c r="AF101" s="133"/>
      <c r="AG101" s="130" t="str" cm="1">
        <f t="array" ref="AG101">_xlfn.IFNA(_xlfn.IFS(ISNUMBER(MATCH(AF101,MD_Asset[Account Name],0)),"Assets",ISNUMBER(MATCH(AF101,MD_Liability[Account Name],0)),"Liabilities",ISNUMBER(MATCH(AF101,MD_Equity[Account Name],0)),"Equities"),"")</f>
        <v/>
      </c>
      <c r="AH101" s="130" t="str">
        <f t="shared" si="101"/>
        <v/>
      </c>
      <c r="AI101" s="130" t="str">
        <f t="shared" si="102"/>
        <v/>
      </c>
      <c r="AJ101" s="130" t="str">
        <f t="shared" si="103"/>
        <v/>
      </c>
      <c r="AK101" s="130" t="str" cm="1">
        <f t="array" aca="1" ref="AK101" ca="1">IFERROR(_xlfn.XLOOKUP(AF101,INDIRECT(AI101),INDIRECT(AJ101),""),"")</f>
        <v/>
      </c>
      <c r="AL101" s="130" t="str">
        <f t="shared" si="104"/>
        <v/>
      </c>
      <c r="AM101" s="130" t="str" cm="1">
        <f t="array" aca="1" ref="AM101" ca="1">IF(AG101&lt;&gt;"",_xlfn.XLOOKUP(AF101,INDIRECT(AI101),INDIRECT(AL101)),"")</f>
        <v/>
      </c>
      <c r="AN101" s="130" cm="1">
        <f t="array" aca="1" ref="AN101" ca="1">_xlfn.IFNA(_xlfn.IFS(AND(AG101="Assets",AK101="Debit",AM101&gt;0),AM101,AND(AG101="Equities",AM101&lt;0),-AM101),0)</f>
        <v>0</v>
      </c>
      <c r="AO101" s="134" cm="1">
        <f t="array" aca="1" ref="AO101" ca="1">_xlfn.IFNA(_xlfn.IFS(AND(AG101="Assets",AK101="Credit",AM101&lt;0),-AM101,AND(AG101="Equities",AM101&gt;0),AM101,AG101="Liabilities",AM101),0)</f>
        <v>0</v>
      </c>
      <c r="AP101" s="130" t="str">
        <f t="shared" si="105"/>
        <v/>
      </c>
      <c r="AQ101" s="130" t="str" cm="1">
        <f t="array" aca="1" ref="AQ101" ca="1">IF(AP101&lt;&gt;"",_xlfn.XLOOKUP(AF101,INDIRECT(AI101),INDIRECT(AP101),""),"")</f>
        <v/>
      </c>
    </row>
    <row r="102" spans="1:43" hidden="1" outlineLevel="1">
      <c r="A102" s="182">
        <v>75</v>
      </c>
      <c r="B102" s="158" t="str">
        <f t="shared" ca="1" si="99"/>
        <v/>
      </c>
      <c r="C102" s="159"/>
      <c r="D102" s="160"/>
      <c r="F102" s="152"/>
      <c r="G102" s="161"/>
      <c r="H102" s="162"/>
      <c r="I102" s="152"/>
      <c r="K102" s="152"/>
      <c r="L102" s="161"/>
      <c r="M102" s="162"/>
      <c r="N102" s="152"/>
      <c r="P102" s="135"/>
      <c r="Q102" s="163"/>
      <c r="S102" s="135"/>
      <c r="U102" s="164"/>
      <c r="V102" s="158"/>
      <c r="W102" s="390">
        <f t="shared" ref="W102" ca="1" si="118">IF(B100&lt;&gt;"",1,0)</f>
        <v>0</v>
      </c>
      <c r="X102" s="390"/>
      <c r="Y102" s="390"/>
      <c r="Z102" s="390"/>
      <c r="AA102" s="384"/>
      <c r="AB102" s="384"/>
      <c r="AC102" s="384"/>
      <c r="AD102" s="384"/>
      <c r="AF102" s="133"/>
      <c r="AG102" s="130" t="str" cm="1">
        <f t="array" ref="AG102">_xlfn.IFNA(_xlfn.IFS(ISNUMBER(MATCH(AF102,MD_Asset[Account Name],0)),"Assets",ISNUMBER(MATCH(AF102,MD_Liability[Account Name],0)),"Liabilities",ISNUMBER(MATCH(AF102,MD_Equity[Account Name],0)),"Equities"),"")</f>
        <v/>
      </c>
      <c r="AH102" s="130" t="str">
        <f t="shared" si="101"/>
        <v/>
      </c>
      <c r="AI102" s="130" t="str">
        <f t="shared" si="102"/>
        <v/>
      </c>
      <c r="AJ102" s="130" t="str">
        <f t="shared" si="103"/>
        <v/>
      </c>
      <c r="AK102" s="130" t="str" cm="1">
        <f t="array" aca="1" ref="AK102" ca="1">IFERROR(_xlfn.XLOOKUP(AF102,INDIRECT(AI102),INDIRECT(AJ102),""),"")</f>
        <v/>
      </c>
      <c r="AL102" s="130" t="str">
        <f t="shared" si="104"/>
        <v/>
      </c>
      <c r="AM102" s="130" t="str" cm="1">
        <f t="array" aca="1" ref="AM102" ca="1">IF(AG102&lt;&gt;"",_xlfn.XLOOKUP(AF102,INDIRECT(AI102),INDIRECT(AL102)),"")</f>
        <v/>
      </c>
      <c r="AN102" s="130" cm="1">
        <f t="array" aca="1" ref="AN102" ca="1">_xlfn.IFNA(_xlfn.IFS(AND(AG102="Assets",AK102="Debit",AM102&gt;0),AM102,AND(AG102="Equities",AM102&lt;0),-AM102),0)</f>
        <v>0</v>
      </c>
      <c r="AO102" s="134" cm="1">
        <f t="array" aca="1" ref="AO102" ca="1">_xlfn.IFNA(_xlfn.IFS(AND(AG102="Assets",AK102="Credit",AM102&lt;0),-AM102,AND(AG102="Equities",AM102&gt;0),AM102,AG102="Liabilities",AM102),0)</f>
        <v>0</v>
      </c>
      <c r="AP102" s="130" t="str">
        <f t="shared" si="105"/>
        <v/>
      </c>
      <c r="AQ102" s="130" t="str" cm="1">
        <f t="array" aca="1" ref="AQ102" ca="1">IF(AP102&lt;&gt;"",_xlfn.XLOOKUP(AF102,INDIRECT(AI102),INDIRECT(AP102),""),"")</f>
        <v/>
      </c>
    </row>
    <row r="103" spans="1:43" hidden="1" outlineLevel="1">
      <c r="A103" s="182">
        <v>76</v>
      </c>
      <c r="B103" s="165" t="str">
        <f t="shared" ca="1" si="99"/>
        <v/>
      </c>
      <c r="C103" s="166"/>
      <c r="D103" s="167"/>
      <c r="F103" s="152"/>
      <c r="G103" s="161"/>
      <c r="H103" s="162"/>
      <c r="I103" s="152"/>
      <c r="K103" s="152"/>
      <c r="L103" s="161"/>
      <c r="M103" s="162"/>
      <c r="N103" s="152"/>
      <c r="P103" s="135"/>
      <c r="Q103" s="163"/>
      <c r="S103" s="135"/>
      <c r="U103" s="164"/>
      <c r="V103" s="158"/>
      <c r="W103" s="390">
        <f t="shared" ref="W103" ca="1" si="119">IF(B100&lt;&gt;"",1,0)</f>
        <v>0</v>
      </c>
      <c r="X103" s="390"/>
      <c r="Y103" s="390"/>
      <c r="Z103" s="390"/>
      <c r="AA103" s="384"/>
      <c r="AB103" s="384"/>
      <c r="AC103" s="384"/>
      <c r="AD103" s="384"/>
      <c r="AF103" s="133"/>
      <c r="AG103" s="130" t="str" cm="1">
        <f t="array" ref="AG103">_xlfn.IFNA(_xlfn.IFS(ISNUMBER(MATCH(AF103,MD_Asset[Account Name],0)),"Assets",ISNUMBER(MATCH(AF103,MD_Liability[Account Name],0)),"Liabilities",ISNUMBER(MATCH(AF103,MD_Equity[Account Name],0)),"Equities"),"")</f>
        <v/>
      </c>
      <c r="AH103" s="130" t="str">
        <f t="shared" si="101"/>
        <v/>
      </c>
      <c r="AI103" s="130" t="str">
        <f t="shared" si="102"/>
        <v/>
      </c>
      <c r="AJ103" s="130" t="str">
        <f t="shared" si="103"/>
        <v/>
      </c>
      <c r="AK103" s="130" t="str" cm="1">
        <f t="array" aca="1" ref="AK103" ca="1">IFERROR(_xlfn.XLOOKUP(AF103,INDIRECT(AI103),INDIRECT(AJ103),""),"")</f>
        <v/>
      </c>
      <c r="AL103" s="130" t="str">
        <f t="shared" si="104"/>
        <v/>
      </c>
      <c r="AM103" s="130" t="str" cm="1">
        <f t="array" aca="1" ref="AM103" ca="1">IF(AG103&lt;&gt;"",_xlfn.XLOOKUP(AF103,INDIRECT(AI103),INDIRECT(AL103)),"")</f>
        <v/>
      </c>
      <c r="AN103" s="130" cm="1">
        <f t="array" aca="1" ref="AN103" ca="1">_xlfn.IFNA(_xlfn.IFS(AND(AG103="Assets",AK103="Debit",AM103&gt;0),AM103,AND(AG103="Equities",AM103&lt;0),-AM103),0)</f>
        <v>0</v>
      </c>
      <c r="AO103" s="134" cm="1">
        <f t="array" aca="1" ref="AO103" ca="1">_xlfn.IFNA(_xlfn.IFS(AND(AG103="Assets",AK103="Credit",AM103&lt;0),-AM103,AND(AG103="Equities",AM103&gt;0),AM103,AG103="Liabilities",AM103),0)</f>
        <v>0</v>
      </c>
      <c r="AP103" s="130" t="str">
        <f t="shared" si="105"/>
        <v/>
      </c>
      <c r="AQ103" s="130" t="str" cm="1">
        <f t="array" aca="1" ref="AQ103" ca="1">IF(AP103&lt;&gt;"",_xlfn.XLOOKUP(AF103,INDIRECT(AI103),INDIRECT(AP103),""),"")</f>
        <v/>
      </c>
    </row>
    <row r="104" spans="1:43" collapsed="1">
      <c r="A104" s="182">
        <v>77</v>
      </c>
      <c r="B104" s="149" t="str">
        <f t="shared" ca="1" si="99"/>
        <v/>
      </c>
      <c r="C104" s="150">
        <f t="shared" ref="C104" ca="1" si="120">_xlfn.IFNA(_xlfn.XLOOKUP(B104,$AF$28:$AF$108,$AN$28:$AN$108,0),0)</f>
        <v>0</v>
      </c>
      <c r="D104" s="151">
        <f t="shared" ref="D104" ca="1" si="121">_xlfn.IFNA(_xlfn.XLOOKUP(B104,$AF$28:$AF$108,$AO$28:$AO$108,0),"")</f>
        <v>0</v>
      </c>
      <c r="F104" s="152"/>
      <c r="G104" s="153"/>
      <c r="H104" s="154"/>
      <c r="I104" s="152"/>
      <c r="K104" s="152"/>
      <c r="L104" s="153"/>
      <c r="M104" s="154"/>
      <c r="N104" s="152"/>
      <c r="P104" s="155" t="str" cm="1">
        <f t="array" aca="1" ref="P104" ca="1">$W$1&amp;_xlfn.XLOOKUP(B104,AF$28:$AF$108,$AQ$28:$AQ$108,"")</f>
        <v>Δ</v>
      </c>
      <c r="Q104" s="156">
        <f ca="1">IF((U104-V104)-(C104-D104)-SUM(G104:G107)+SUM(H104:H107)-SUM(L104:L107)+SUM(M104:M107)&gt;0,(U104-V104)-(C104-D104)-SUM(G104:G107)+SUM(H104:H107)-SUM(L104:L107)+SUM(M104:M107),0)</f>
        <v>0</v>
      </c>
      <c r="R104" s="157">
        <f ca="1">IF((U104-V104)-(C104-D104)-SUM(G104:G107)+SUM(H104:H107)-SUM(L104:L107)+SUM(M104:M107)&lt;0,-((U104-V104)-(C104-D104)-SUM(G104:G107)+SUM(H104:H107)-SUM(L104:L107)+SUM(M104:M107)),0)</f>
        <v>0</v>
      </c>
      <c r="S104" s="155" t="str">
        <f ca="1">P104</f>
        <v>Δ</v>
      </c>
      <c r="U104" s="150">
        <f ca="1">IF(AC104&gt;0,AC104,0)</f>
        <v>0</v>
      </c>
      <c r="V104" s="151">
        <f ca="1">IF(AD104&gt;0,AD104,0)</f>
        <v>0</v>
      </c>
      <c r="W104" s="390">
        <f t="shared" ref="W104" ca="1" si="122">IF(B104&lt;&gt;"",1,0)</f>
        <v>0</v>
      </c>
      <c r="X104" s="390"/>
      <c r="Y104" s="390"/>
      <c r="Z104" s="390"/>
      <c r="AA104" s="394">
        <f ca="1">SUMIF(Journal[Debit Account],B104,Journal[Dr Amt])</f>
        <v>0</v>
      </c>
      <c r="AB104" s="394">
        <f ca="1">SUMIF(Journal[Credit Account],B104,Journal[Cr Amt])</f>
        <v>0</v>
      </c>
      <c r="AC104" s="389">
        <f ca="1">C104-D104+AA104-AB104</f>
        <v>0</v>
      </c>
      <c r="AD104" s="389">
        <f ca="1">D104-C104+AB104-AA104</f>
        <v>0</v>
      </c>
      <c r="AF104" s="133"/>
      <c r="AG104" s="130" t="str" cm="1">
        <f t="array" ref="AG104">_xlfn.IFNA(_xlfn.IFS(ISNUMBER(MATCH(AF104,MD_Asset[Account Name],0)),"Assets",ISNUMBER(MATCH(AF104,MD_Liability[Account Name],0)),"Liabilities",ISNUMBER(MATCH(AF104,MD_Equity[Account Name],0)),"Equities"),"")</f>
        <v/>
      </c>
      <c r="AH104" s="130" t="str">
        <f t="shared" si="101"/>
        <v/>
      </c>
      <c r="AI104" s="130" t="str">
        <f t="shared" si="102"/>
        <v/>
      </c>
      <c r="AJ104" s="130" t="str">
        <f t="shared" si="103"/>
        <v/>
      </c>
      <c r="AK104" s="130" t="str" cm="1">
        <f t="array" aca="1" ref="AK104" ca="1">IFERROR(_xlfn.XLOOKUP(AF104,INDIRECT(AI104),INDIRECT(AJ104),""),"")</f>
        <v/>
      </c>
      <c r="AL104" s="130" t="str">
        <f t="shared" si="104"/>
        <v/>
      </c>
      <c r="AM104" s="130" t="str" cm="1">
        <f t="array" aca="1" ref="AM104" ca="1">IF(AG104&lt;&gt;"",_xlfn.XLOOKUP(AF104,INDIRECT(AI104),INDIRECT(AL104)),"")</f>
        <v/>
      </c>
      <c r="AN104" s="130" cm="1">
        <f t="array" aca="1" ref="AN104" ca="1">_xlfn.IFNA(_xlfn.IFS(AND(AG104="Assets",AK104="Debit",AM104&gt;0),AM104,AND(AG104="Equities",AM104&lt;0),-AM104),0)</f>
        <v>0</v>
      </c>
      <c r="AO104" s="134" cm="1">
        <f t="array" aca="1" ref="AO104" ca="1">_xlfn.IFNA(_xlfn.IFS(AND(AG104="Assets",AK104="Credit",AM104&lt;0),-AM104,AND(AG104="Equities",AM104&gt;0),AM104,AG104="Liabilities",AM104),0)</f>
        <v>0</v>
      </c>
      <c r="AP104" s="130" t="str">
        <f t="shared" si="105"/>
        <v/>
      </c>
      <c r="AQ104" s="130" t="str" cm="1">
        <f t="array" aca="1" ref="AQ104" ca="1">IF(AP104&lt;&gt;"",_xlfn.XLOOKUP(AF104,INDIRECT(AI104),INDIRECT(AP104),""),"")</f>
        <v/>
      </c>
    </row>
    <row r="105" spans="1:43" hidden="1" outlineLevel="1">
      <c r="A105" s="182">
        <v>78</v>
      </c>
      <c r="B105" s="158" t="str">
        <f t="shared" ca="1" si="99"/>
        <v/>
      </c>
      <c r="C105" s="159"/>
      <c r="D105" s="160"/>
      <c r="F105" s="152"/>
      <c r="G105" s="161"/>
      <c r="H105" s="162"/>
      <c r="I105" s="152"/>
      <c r="K105" s="152"/>
      <c r="L105" s="161"/>
      <c r="M105" s="162"/>
      <c r="N105" s="152"/>
      <c r="P105" s="135"/>
      <c r="Q105" s="163"/>
      <c r="S105" s="135"/>
      <c r="U105" s="164"/>
      <c r="V105" s="158"/>
      <c r="W105" s="390">
        <f t="shared" ref="W105" ca="1" si="123">IF(B104&lt;&gt;"",1,0)</f>
        <v>0</v>
      </c>
      <c r="X105" s="390"/>
      <c r="Y105" s="390"/>
      <c r="Z105" s="390"/>
      <c r="AA105" s="384"/>
      <c r="AB105" s="384"/>
      <c r="AC105" s="384"/>
      <c r="AD105" s="384"/>
      <c r="AF105" s="133"/>
      <c r="AG105" s="130" t="str" cm="1">
        <f t="array" ref="AG105">_xlfn.IFNA(_xlfn.IFS(ISNUMBER(MATCH(AF105,MD_Asset[Account Name],0)),"Assets",ISNUMBER(MATCH(AF105,MD_Liability[Account Name],0)),"Liabilities",ISNUMBER(MATCH(AF105,MD_Equity[Account Name],0)),"Equities"),"")</f>
        <v/>
      </c>
      <c r="AH105" s="130" t="str">
        <f t="shared" si="101"/>
        <v/>
      </c>
      <c r="AI105" s="130" t="str">
        <f t="shared" si="102"/>
        <v/>
      </c>
      <c r="AJ105" s="130" t="str">
        <f t="shared" si="103"/>
        <v/>
      </c>
      <c r="AK105" s="130" t="str" cm="1">
        <f t="array" aca="1" ref="AK105" ca="1">IFERROR(_xlfn.XLOOKUP(AF105,INDIRECT(AI105),INDIRECT(AJ105),""),"")</f>
        <v/>
      </c>
      <c r="AL105" s="130" t="str">
        <f t="shared" si="104"/>
        <v/>
      </c>
      <c r="AM105" s="130" t="str" cm="1">
        <f t="array" aca="1" ref="AM105" ca="1">IF(AG105&lt;&gt;"",_xlfn.XLOOKUP(AF105,INDIRECT(AI105),INDIRECT(AL105)),"")</f>
        <v/>
      </c>
      <c r="AN105" s="130" cm="1">
        <f t="array" aca="1" ref="AN105" ca="1">_xlfn.IFNA(_xlfn.IFS(AND(AG105="Assets",AK105="Debit",AM105&gt;0),AM105,AND(AG105="Equities",AM105&lt;0),-AM105),0)</f>
        <v>0</v>
      </c>
      <c r="AO105" s="134" cm="1">
        <f t="array" aca="1" ref="AO105" ca="1">_xlfn.IFNA(_xlfn.IFS(AND(AG105="Assets",AK105="Credit",AM105&lt;0),-AM105,AND(AG105="Equities",AM105&gt;0),AM105,AG105="Liabilities",AM105),0)</f>
        <v>0</v>
      </c>
      <c r="AP105" s="130" t="str">
        <f t="shared" si="105"/>
        <v/>
      </c>
      <c r="AQ105" s="130" t="str" cm="1">
        <f t="array" aca="1" ref="AQ105" ca="1">IF(AP105&lt;&gt;"",_xlfn.XLOOKUP(AF105,INDIRECT(AI105),INDIRECT(AP105),""),"")</f>
        <v/>
      </c>
    </row>
    <row r="106" spans="1:43" hidden="1" outlineLevel="1">
      <c r="A106" s="182">
        <v>79</v>
      </c>
      <c r="B106" s="158" t="str">
        <f t="shared" ca="1" si="99"/>
        <v/>
      </c>
      <c r="C106" s="159"/>
      <c r="D106" s="160"/>
      <c r="F106" s="152"/>
      <c r="G106" s="161"/>
      <c r="H106" s="162"/>
      <c r="I106" s="152"/>
      <c r="K106" s="152"/>
      <c r="L106" s="161"/>
      <c r="M106" s="162"/>
      <c r="N106" s="152"/>
      <c r="P106" s="135"/>
      <c r="Q106" s="163"/>
      <c r="S106" s="135"/>
      <c r="U106" s="164"/>
      <c r="V106" s="158"/>
      <c r="W106" s="390">
        <f t="shared" ref="W106" ca="1" si="124">IF(B104&lt;&gt;"",1,0)</f>
        <v>0</v>
      </c>
      <c r="X106" s="390"/>
      <c r="Y106" s="390"/>
      <c r="Z106" s="390"/>
      <c r="AA106" s="384"/>
      <c r="AB106" s="384"/>
      <c r="AC106" s="384"/>
      <c r="AD106" s="384"/>
      <c r="AF106" s="133"/>
      <c r="AG106" s="130" t="str" cm="1">
        <f t="array" ref="AG106">_xlfn.IFNA(_xlfn.IFS(ISNUMBER(MATCH(AF106,MD_Asset[Account Name],0)),"Assets",ISNUMBER(MATCH(AF106,MD_Liability[Account Name],0)),"Liabilities",ISNUMBER(MATCH(AF106,MD_Equity[Account Name],0)),"Equities"),"")</f>
        <v/>
      </c>
      <c r="AH106" s="130" t="str">
        <f t="shared" si="101"/>
        <v/>
      </c>
      <c r="AI106" s="130" t="str">
        <f t="shared" si="102"/>
        <v/>
      </c>
      <c r="AJ106" s="130" t="str">
        <f t="shared" si="103"/>
        <v/>
      </c>
      <c r="AK106" s="130" t="str" cm="1">
        <f t="array" aca="1" ref="AK106" ca="1">IFERROR(_xlfn.XLOOKUP(AF106,INDIRECT(AI106),INDIRECT(AJ106),""),"")</f>
        <v/>
      </c>
      <c r="AL106" s="130" t="str">
        <f t="shared" si="104"/>
        <v/>
      </c>
      <c r="AM106" s="130" t="str" cm="1">
        <f t="array" aca="1" ref="AM106" ca="1">IF(AG106&lt;&gt;"",_xlfn.XLOOKUP(AF106,INDIRECT(AI106),INDIRECT(AL106)),"")</f>
        <v/>
      </c>
      <c r="AN106" s="130" cm="1">
        <f t="array" aca="1" ref="AN106" ca="1">_xlfn.IFNA(_xlfn.IFS(AND(AG106="Assets",AK106="Debit",AM106&gt;0),AM106,AND(AG106="Equities",AM106&lt;0),-AM106),0)</f>
        <v>0</v>
      </c>
      <c r="AO106" s="134" cm="1">
        <f t="array" aca="1" ref="AO106" ca="1">_xlfn.IFNA(_xlfn.IFS(AND(AG106="Assets",AK106="Credit",AM106&lt;0),-AM106,AND(AG106="Equities",AM106&gt;0),AM106,AG106="Liabilities",AM106),0)</f>
        <v>0</v>
      </c>
      <c r="AP106" s="130" t="str">
        <f t="shared" si="105"/>
        <v/>
      </c>
      <c r="AQ106" s="130" t="str" cm="1">
        <f t="array" aca="1" ref="AQ106" ca="1">IF(AP106&lt;&gt;"",_xlfn.XLOOKUP(AF106,INDIRECT(AI106),INDIRECT(AP106),""),"")</f>
        <v/>
      </c>
    </row>
    <row r="107" spans="1:43" hidden="1" outlineLevel="1">
      <c r="A107" s="182">
        <v>80</v>
      </c>
      <c r="B107" s="165" t="str">
        <f t="shared" ca="1" si="99"/>
        <v/>
      </c>
      <c r="C107" s="166"/>
      <c r="D107" s="167"/>
      <c r="F107" s="152"/>
      <c r="G107" s="161"/>
      <c r="H107" s="162"/>
      <c r="I107" s="152"/>
      <c r="K107" s="152"/>
      <c r="L107" s="161"/>
      <c r="M107" s="162"/>
      <c r="N107" s="152"/>
      <c r="P107" s="135"/>
      <c r="Q107" s="163"/>
      <c r="S107" s="135"/>
      <c r="U107" s="164"/>
      <c r="V107" s="158"/>
      <c r="W107" s="390">
        <f t="shared" ref="W107" ca="1" si="125">IF(B104&lt;&gt;"",1,0)</f>
        <v>0</v>
      </c>
      <c r="X107" s="390"/>
      <c r="Y107" s="390"/>
      <c r="Z107" s="390"/>
      <c r="AA107" s="384"/>
      <c r="AB107" s="384"/>
      <c r="AC107" s="384"/>
      <c r="AD107" s="384"/>
      <c r="AF107" s="133"/>
      <c r="AG107" s="130" t="str" cm="1">
        <f t="array" ref="AG107">_xlfn.IFNA(_xlfn.IFS(ISNUMBER(MATCH(AF107,MD_Asset[Account Name],0)),"Assets",ISNUMBER(MATCH(AF107,MD_Liability[Account Name],0)),"Liabilities",ISNUMBER(MATCH(AF107,MD_Equity[Account Name],0)),"Equities"),"")</f>
        <v/>
      </c>
      <c r="AH107" s="130" t="str">
        <f t="shared" si="101"/>
        <v/>
      </c>
      <c r="AI107" s="130" t="str">
        <f t="shared" si="102"/>
        <v/>
      </c>
      <c r="AJ107" s="130" t="str">
        <f t="shared" si="103"/>
        <v/>
      </c>
      <c r="AK107" s="130" t="str" cm="1">
        <f t="array" aca="1" ref="AK107" ca="1">IFERROR(_xlfn.XLOOKUP(AF107,INDIRECT(AI107),INDIRECT(AJ107),""),"")</f>
        <v/>
      </c>
      <c r="AL107" s="130" t="str">
        <f t="shared" si="104"/>
        <v/>
      </c>
      <c r="AM107" s="130" t="str" cm="1">
        <f t="array" aca="1" ref="AM107" ca="1">IF(AG107&lt;&gt;"",_xlfn.XLOOKUP(AF107,INDIRECT(AI107),INDIRECT(AL107)),"")</f>
        <v/>
      </c>
      <c r="AN107" s="130" cm="1">
        <f t="array" aca="1" ref="AN107" ca="1">_xlfn.IFNA(_xlfn.IFS(AND(AG107="Assets",AK107="Debit",AM107&gt;0),AM107,AND(AG107="Equities",AM107&lt;0),-AM107),0)</f>
        <v>0</v>
      </c>
      <c r="AO107" s="134" cm="1">
        <f t="array" aca="1" ref="AO107" ca="1">_xlfn.IFNA(_xlfn.IFS(AND(AG107="Assets",AK107="Credit",AM107&lt;0),-AM107,AND(AG107="Equities",AM107&gt;0),AM107,AG107="Liabilities",AM107),0)</f>
        <v>0</v>
      </c>
      <c r="AP107" s="130" t="str">
        <f t="shared" si="105"/>
        <v/>
      </c>
      <c r="AQ107" s="130" t="str" cm="1">
        <f t="array" aca="1" ref="AQ107" ca="1">IF(AP107&lt;&gt;"",_xlfn.XLOOKUP(AF107,INDIRECT(AI107),INDIRECT(AP107),""),"")</f>
        <v/>
      </c>
    </row>
    <row r="108" spans="1:43" ht="15" collapsed="1" thickBot="1">
      <c r="A108" s="182">
        <v>81</v>
      </c>
      <c r="B108" s="149" t="str">
        <f ca="1">_xlfn.IFNA(_xlfn.XLOOKUP(A108,$AE$28:$AE$108,$AF$28:$AF$108,""),"")</f>
        <v/>
      </c>
      <c r="C108" s="150">
        <f ca="1">_xlfn.IFNA(_xlfn.XLOOKUP(B108,$AF$28:$AF$108,$AN$28:$AN$108,0),0)</f>
        <v>0</v>
      </c>
      <c r="D108" s="151">
        <f t="shared" ref="D108" ca="1" si="126">_xlfn.IFNA(_xlfn.XLOOKUP(B108,$AF$28:$AF$108,$AO$28:$AO$108,0),"")</f>
        <v>0</v>
      </c>
      <c r="F108" s="152"/>
      <c r="G108" s="153"/>
      <c r="H108" s="154"/>
      <c r="I108" s="152"/>
      <c r="K108" s="152"/>
      <c r="L108" s="153"/>
      <c r="M108" s="154"/>
      <c r="N108" s="152"/>
      <c r="P108" s="155" t="str" cm="1">
        <f t="array" aca="1" ref="P108" ca="1">$W$1&amp;_xlfn.XLOOKUP(B108,AF$28:$AF$108,$AQ$28:$AQ$108,"")</f>
        <v>Δ</v>
      </c>
      <c r="Q108" s="156">
        <f ca="1">IF((U108-V108)-(C108-D108)-SUM(G108:G111)+SUM(H108:H111)-SUM(L108:L111)+SUM(M108:M111)&gt;0,(U108-V108)-(C108-D108)-SUM(G108:G111)+SUM(H108:H111)-SUM(L108:L111)+SUM(M108:M111),0)</f>
        <v>0</v>
      </c>
      <c r="R108" s="157">
        <f ca="1">IF((U108-V108)-(C108-D108)-SUM(G108:G111)+SUM(H108:H111)-SUM(L108:L111)+SUM(M108:M111)&lt;0,-((U108-V108)-(C108-D108)-SUM(G108:G111)+SUM(H108:H111)-SUM(L108:L111)+SUM(M108:M111)),0)</f>
        <v>0</v>
      </c>
      <c r="S108" s="155" t="str">
        <f ca="1">P108</f>
        <v>Δ</v>
      </c>
      <c r="U108" s="150">
        <f ca="1">IF(AC108&gt;0,AC108,0)</f>
        <v>0</v>
      </c>
      <c r="V108" s="151">
        <f ca="1">IF(AD108&gt;0,AD108,0)</f>
        <v>0</v>
      </c>
      <c r="W108" s="390">
        <f t="shared" ref="W108" ca="1" si="127">IF(B108&lt;&gt;"",1,0)</f>
        <v>0</v>
      </c>
      <c r="X108" s="390"/>
      <c r="Y108" s="390"/>
      <c r="Z108" s="390"/>
      <c r="AA108" s="394">
        <f ca="1">SUMIF(Journal[Debit Account],B108,Journal[Dr Amt])</f>
        <v>0</v>
      </c>
      <c r="AB108" s="394">
        <f ca="1">SUMIF(Journal[Credit Account],B108,Journal[Cr Amt])</f>
        <v>0</v>
      </c>
      <c r="AC108" s="389">
        <f ca="1">C108-D108+AA108-AB108</f>
        <v>0</v>
      </c>
      <c r="AD108" s="389">
        <f ca="1">D108-C108+AB108-AA108</f>
        <v>0</v>
      </c>
      <c r="AF108" s="136"/>
      <c r="AG108" s="393" t="str" cm="1">
        <f t="array" ref="AG108">_xlfn.IFNA(_xlfn.IFS(ISNUMBER(MATCH(AF108,MD_Asset[Account Name],0)),"Assets",ISNUMBER(MATCH(AF108,MD_Liability[Account Name],0)),"Liabilities",ISNUMBER(MATCH(AF108,MD_Equity[Account Name],0)),"Equities"),"")</f>
        <v/>
      </c>
      <c r="AH108" s="393" t="str">
        <f t="shared" si="101"/>
        <v/>
      </c>
      <c r="AI108" s="393" t="str">
        <f t="shared" si="102"/>
        <v/>
      </c>
      <c r="AJ108" s="393" t="str">
        <f t="shared" si="103"/>
        <v/>
      </c>
      <c r="AK108" s="393" t="str" cm="1">
        <f t="array" aca="1" ref="AK108" ca="1">IFERROR(_xlfn.XLOOKUP(AF108,INDIRECT(AI108),INDIRECT(AJ108),""),"")</f>
        <v/>
      </c>
      <c r="AL108" s="393" t="str">
        <f t="shared" si="104"/>
        <v/>
      </c>
      <c r="AM108" s="393" t="str" cm="1">
        <f t="array" aca="1" ref="AM108" ca="1">IF(AG108&lt;&gt;"",_xlfn.XLOOKUP(AF108,INDIRECT(AI108),INDIRECT(AL108)),"")</f>
        <v/>
      </c>
      <c r="AN108" s="393" cm="1">
        <f t="array" aca="1" ref="AN108" ca="1">_xlfn.IFNA(_xlfn.IFS(AND(AG108="Assets",AK108="Debit",AM108&gt;0),AM108,AND(AG108="Equities",AM108&lt;0),-AM108),0)</f>
        <v>0</v>
      </c>
      <c r="AO108" s="137" cm="1">
        <f t="array" aca="1" ref="AO108" ca="1">_xlfn.IFNA(_xlfn.IFS(AND(AG108="Assets",AK108="Credit",AM108&lt;0),-AM108,AND(AG108="Equities",AM108&gt;0),AM108,AG108="Liabilities",AM108),0)</f>
        <v>0</v>
      </c>
      <c r="AP108" s="130" t="str">
        <f t="shared" si="105"/>
        <v/>
      </c>
      <c r="AQ108" s="130" t="str" cm="1">
        <f t="array" aca="1" ref="AQ108" ca="1">IF(AP108&lt;&gt;"",_xlfn.XLOOKUP(AF108,INDIRECT(AI108),INDIRECT(AP108),""),"")</f>
        <v/>
      </c>
    </row>
    <row r="109" spans="1:43" outlineLevel="1">
      <c r="A109" s="182">
        <v>82</v>
      </c>
      <c r="B109" s="158" t="str">
        <f t="shared" ca="1" si="99"/>
        <v/>
      </c>
      <c r="C109" s="159"/>
      <c r="D109" s="160"/>
      <c r="F109" s="152"/>
      <c r="G109" s="161"/>
      <c r="H109" s="162"/>
      <c r="I109" s="152"/>
      <c r="K109" s="152"/>
      <c r="L109" s="161"/>
      <c r="M109" s="162"/>
      <c r="N109" s="152"/>
      <c r="P109" s="135"/>
      <c r="Q109" s="163"/>
      <c r="S109" s="135"/>
      <c r="U109" s="164"/>
      <c r="V109" s="158"/>
      <c r="W109" s="390">
        <f t="shared" ref="W109" ca="1" si="128">IF(B108&lt;&gt;"",1,0)</f>
        <v>0</v>
      </c>
      <c r="X109" s="390"/>
      <c r="Y109" s="390"/>
      <c r="Z109" s="390"/>
      <c r="AA109" s="384"/>
      <c r="AB109" s="384"/>
      <c r="AC109" s="384"/>
      <c r="AD109" s="384"/>
    </row>
    <row r="110" spans="1:43" outlineLevel="1">
      <c r="A110" s="182">
        <v>83</v>
      </c>
      <c r="B110" s="158" t="str">
        <f t="shared" ca="1" si="99"/>
        <v/>
      </c>
      <c r="C110" s="159"/>
      <c r="D110" s="160"/>
      <c r="F110" s="152"/>
      <c r="G110" s="161"/>
      <c r="H110" s="162"/>
      <c r="I110" s="152"/>
      <c r="K110" s="152"/>
      <c r="L110" s="161"/>
      <c r="M110" s="162"/>
      <c r="N110" s="152"/>
      <c r="P110" s="135"/>
      <c r="Q110" s="163"/>
      <c r="S110" s="135"/>
      <c r="U110" s="164"/>
      <c r="V110" s="158"/>
      <c r="W110" s="390">
        <f t="shared" ref="W110" ca="1" si="129">IF(B108&lt;&gt;"",1,0)</f>
        <v>0</v>
      </c>
      <c r="X110" s="390"/>
      <c r="Y110" s="390"/>
      <c r="Z110" s="390"/>
      <c r="AA110" s="384"/>
      <c r="AB110" s="384"/>
      <c r="AC110" s="384"/>
      <c r="AD110" s="384"/>
    </row>
    <row r="111" spans="1:43" outlineLevel="1">
      <c r="A111" s="182">
        <v>84</v>
      </c>
      <c r="B111" s="165" t="str">
        <f t="shared" ca="1" si="99"/>
        <v/>
      </c>
      <c r="C111" s="166"/>
      <c r="D111" s="167"/>
      <c r="F111" s="152"/>
      <c r="G111" s="161"/>
      <c r="H111" s="162"/>
      <c r="I111" s="152"/>
      <c r="K111" s="152"/>
      <c r="L111" s="161"/>
      <c r="M111" s="162"/>
      <c r="N111" s="152"/>
      <c r="P111" s="135"/>
      <c r="Q111" s="163"/>
      <c r="S111" s="135"/>
      <c r="U111" s="164"/>
      <c r="V111" s="158"/>
      <c r="W111" s="390">
        <f t="shared" ref="W111" ca="1" si="130">IF(B108&lt;&gt;"",1,0)</f>
        <v>0</v>
      </c>
      <c r="X111" s="390"/>
      <c r="Y111" s="390"/>
      <c r="Z111" s="390"/>
      <c r="AA111" s="384"/>
      <c r="AB111" s="384"/>
      <c r="AC111" s="384"/>
      <c r="AD111" s="384"/>
    </row>
    <row r="112" spans="1:43">
      <c r="A112" s="182">
        <v>85</v>
      </c>
      <c r="B112" s="149" t="str">
        <f t="shared" ca="1" si="99"/>
        <v/>
      </c>
      <c r="C112" s="150">
        <f t="shared" ref="C112" ca="1" si="131">_xlfn.IFNA(_xlfn.XLOOKUP(B112,$AF$28:$AF$108,$AN$28:$AN$108,0),0)</f>
        <v>0</v>
      </c>
      <c r="D112" s="151">
        <f t="shared" ref="D112" ca="1" si="132">_xlfn.IFNA(_xlfn.XLOOKUP(B112,$AF$28:$AF$108,$AO$28:$AO$108,0),"")</f>
        <v>0</v>
      </c>
      <c r="F112" s="152"/>
      <c r="G112" s="153"/>
      <c r="H112" s="154"/>
      <c r="I112" s="152"/>
      <c r="K112" s="152"/>
      <c r="L112" s="153"/>
      <c r="M112" s="154"/>
      <c r="N112" s="152"/>
      <c r="P112" s="155" t="str" cm="1">
        <f t="array" aca="1" ref="P112" ca="1">$W$1&amp;_xlfn.XLOOKUP(B112,AF$28:$AF$108,$AQ$28:$AQ$108,"")</f>
        <v>Δ</v>
      </c>
      <c r="Q112" s="156">
        <f ca="1">IF((U112-V112)-(C112-D112)-SUM(G112:G115)+SUM(H112:H115)-SUM(L112:L115)+SUM(M112:M115)&gt;0,(U112-V112)-(C112-D112)-SUM(G112:G115)+SUM(H112:H115)-SUM(L112:L115)+SUM(M112:M115),0)</f>
        <v>0</v>
      </c>
      <c r="R112" s="157">
        <f ca="1">IF((U112-V112)-(C112-D112)-SUM(G112:G115)+SUM(H112:H115)-SUM(L112:L115)+SUM(M112:M115)&lt;0,-((U112-V112)-(C112-D112)-SUM(G112:G115)+SUM(H112:H115)-SUM(L112:L115)+SUM(M112:M115)),0)</f>
        <v>0</v>
      </c>
      <c r="S112" s="155" t="str">
        <f ca="1">P112</f>
        <v>Δ</v>
      </c>
      <c r="U112" s="150">
        <f ca="1">IF(AC112&gt;0,AC112,0)</f>
        <v>0</v>
      </c>
      <c r="V112" s="151">
        <f ca="1">IF(AD112&gt;0,AD112,0)</f>
        <v>0</v>
      </c>
      <c r="W112" s="390">
        <f t="shared" ref="W112" ca="1" si="133">IF(B112&lt;&gt;"",1,0)</f>
        <v>0</v>
      </c>
      <c r="X112" s="390"/>
      <c r="Y112" s="390"/>
      <c r="Z112" s="390"/>
      <c r="AA112" s="394">
        <f ca="1">SUMIF(Journal[Debit Account],B112,Journal[Dr Amt])</f>
        <v>0</v>
      </c>
      <c r="AB112" s="394">
        <f ca="1">SUMIF(Journal[Credit Account],B112,Journal[Cr Amt])</f>
        <v>0</v>
      </c>
      <c r="AC112" s="389">
        <f ca="1">C112-D112+AA112-AB112</f>
        <v>0</v>
      </c>
      <c r="AD112" s="389">
        <f ca="1">D112-C112+AB112-AA112</f>
        <v>0</v>
      </c>
    </row>
    <row r="113" spans="1:33" hidden="1" outlineLevel="1">
      <c r="A113" s="182">
        <v>86</v>
      </c>
      <c r="B113" s="158" t="str">
        <f t="shared" ca="1" si="99"/>
        <v/>
      </c>
      <c r="C113" s="159"/>
      <c r="D113" s="160"/>
      <c r="F113" s="152"/>
      <c r="G113" s="161"/>
      <c r="H113" s="162"/>
      <c r="I113" s="152"/>
      <c r="K113" s="152"/>
      <c r="L113" s="161"/>
      <c r="M113" s="162"/>
      <c r="N113" s="152"/>
      <c r="P113" s="135"/>
      <c r="Q113" s="163"/>
      <c r="S113" s="135"/>
      <c r="U113" s="164"/>
      <c r="V113" s="158"/>
      <c r="W113" s="390">
        <f t="shared" ref="W113" ca="1" si="134">IF(B112&lt;&gt;"",1,0)</f>
        <v>0</v>
      </c>
      <c r="X113" s="390"/>
      <c r="Y113" s="390"/>
      <c r="Z113" s="390"/>
      <c r="AA113" s="384"/>
      <c r="AB113" s="384"/>
      <c r="AC113" s="384"/>
      <c r="AD113" s="384"/>
    </row>
    <row r="114" spans="1:33" hidden="1" outlineLevel="1">
      <c r="A114" s="182">
        <v>87</v>
      </c>
      <c r="B114" s="158" t="str">
        <f t="shared" ca="1" si="99"/>
        <v/>
      </c>
      <c r="C114" s="159"/>
      <c r="D114" s="160"/>
      <c r="F114" s="152"/>
      <c r="G114" s="161"/>
      <c r="H114" s="162"/>
      <c r="I114" s="152"/>
      <c r="K114" s="152"/>
      <c r="L114" s="161"/>
      <c r="M114" s="162"/>
      <c r="N114" s="152"/>
      <c r="P114" s="135"/>
      <c r="Q114" s="163"/>
      <c r="S114" s="135"/>
      <c r="U114" s="164"/>
      <c r="V114" s="158"/>
      <c r="W114" s="390">
        <f t="shared" ref="W114" ca="1" si="135">IF(B112&lt;&gt;"",1,0)</f>
        <v>0</v>
      </c>
      <c r="X114" s="390"/>
      <c r="Y114" s="390"/>
      <c r="Z114" s="390"/>
      <c r="AA114" s="384"/>
      <c r="AB114" s="384"/>
      <c r="AC114" s="384"/>
      <c r="AD114" s="384"/>
    </row>
    <row r="115" spans="1:33" hidden="1" outlineLevel="1">
      <c r="A115" s="182">
        <v>88</v>
      </c>
      <c r="B115" s="165" t="str">
        <f t="shared" ca="1" si="99"/>
        <v/>
      </c>
      <c r="C115" s="166"/>
      <c r="D115" s="167"/>
      <c r="F115" s="152"/>
      <c r="G115" s="161"/>
      <c r="H115" s="162"/>
      <c r="I115" s="152"/>
      <c r="K115" s="152"/>
      <c r="L115" s="161"/>
      <c r="M115" s="162"/>
      <c r="N115" s="152"/>
      <c r="P115" s="135"/>
      <c r="Q115" s="163"/>
      <c r="S115" s="135"/>
      <c r="U115" s="164"/>
      <c r="V115" s="158"/>
      <c r="W115" s="390">
        <f t="shared" ref="W115" ca="1" si="136">IF(B112&lt;&gt;"",1,0)</f>
        <v>0</v>
      </c>
      <c r="X115" s="390"/>
      <c r="Y115" s="390"/>
      <c r="Z115" s="390"/>
      <c r="AA115" s="384"/>
      <c r="AB115" s="384"/>
      <c r="AC115" s="384"/>
      <c r="AD115" s="384"/>
    </row>
    <row r="116" spans="1:33" collapsed="1">
      <c r="A116" s="182">
        <v>89</v>
      </c>
      <c r="B116" s="149" t="str">
        <f t="shared" ca="1" si="99"/>
        <v/>
      </c>
      <c r="C116" s="150">
        <f t="shared" ref="C116" ca="1" si="137">_xlfn.IFNA(_xlfn.XLOOKUP(B116,$AF$28:$AF$108,$AN$28:$AN$108,0),0)</f>
        <v>0</v>
      </c>
      <c r="D116" s="151">
        <f t="shared" ref="D116" ca="1" si="138">_xlfn.IFNA(_xlfn.XLOOKUP(B116,$AF$28:$AF$108,$AO$28:$AO$108,0),"")</f>
        <v>0</v>
      </c>
      <c r="F116" s="152"/>
      <c r="G116" s="153"/>
      <c r="H116" s="154"/>
      <c r="I116" s="152"/>
      <c r="K116" s="152"/>
      <c r="L116" s="153"/>
      <c r="M116" s="154"/>
      <c r="N116" s="152"/>
      <c r="P116" s="155" t="str" cm="1">
        <f t="array" aca="1" ref="P116" ca="1">$W$1&amp;_xlfn.XLOOKUP(B116,AF$28:$AF$108,$AQ$28:$AQ$108,"")</f>
        <v>Δ</v>
      </c>
      <c r="Q116" s="156">
        <f ca="1">IF((U116-V116)-(C116-D116)-SUM(G116:G119)+SUM(H116:H119)-SUM(L116:L119)+SUM(M116:M119)&gt;0,(U116-V116)-(C116-D116)-SUM(G116:G119)+SUM(H116:H119)-SUM(L116:L119)+SUM(M116:M119),0)</f>
        <v>0</v>
      </c>
      <c r="R116" s="157">
        <f ca="1">IF((U116-V116)-(C116-D116)-SUM(G116:G119)+SUM(H116:H119)-SUM(L116:L119)+SUM(M116:M119)&lt;0,-((U116-V116)-(C116-D116)-SUM(G116:G119)+SUM(H116:H119)-SUM(L116:L119)+SUM(M116:M119)),0)</f>
        <v>0</v>
      </c>
      <c r="S116" s="155" t="str">
        <f ca="1">P116</f>
        <v>Δ</v>
      </c>
      <c r="U116" s="150">
        <f ca="1">IF(AC116&gt;0,AC116,0)</f>
        <v>0</v>
      </c>
      <c r="V116" s="151">
        <f ca="1">IF(AD116&gt;0,AD116,0)</f>
        <v>0</v>
      </c>
      <c r="W116" s="390">
        <f t="shared" ref="W116" ca="1" si="139">IF(B116&lt;&gt;"",1,0)</f>
        <v>0</v>
      </c>
      <c r="X116" s="390"/>
      <c r="Y116" s="390"/>
      <c r="Z116" s="390"/>
      <c r="AA116" s="394">
        <f ca="1">SUMIF(Journal[Debit Account],B116,Journal[Dr Amt])</f>
        <v>0</v>
      </c>
      <c r="AB116" s="394">
        <f ca="1">SUMIF(Journal[Credit Account],B116,Journal[Cr Amt])</f>
        <v>0</v>
      </c>
      <c r="AC116" s="389">
        <f ca="1">C116-D116+AA116-AB116</f>
        <v>0</v>
      </c>
      <c r="AD116" s="389">
        <f ca="1">D116-C116+AB116-AA116</f>
        <v>0</v>
      </c>
    </row>
    <row r="117" spans="1:33" hidden="1" outlineLevel="1">
      <c r="A117" s="182">
        <v>90</v>
      </c>
      <c r="B117" s="158" t="str">
        <f t="shared" ca="1" si="99"/>
        <v/>
      </c>
      <c r="C117" s="159"/>
      <c r="D117" s="160"/>
      <c r="F117" s="152"/>
      <c r="G117" s="161"/>
      <c r="H117" s="162"/>
      <c r="I117" s="152"/>
      <c r="K117" s="152"/>
      <c r="L117" s="161"/>
      <c r="M117" s="162"/>
      <c r="N117" s="152"/>
      <c r="P117" s="135"/>
      <c r="Q117" s="163"/>
      <c r="S117" s="135"/>
      <c r="U117" s="164"/>
      <c r="V117" s="158"/>
      <c r="W117" s="390">
        <f t="shared" ref="W117" ca="1" si="140">IF(B116&lt;&gt;"",1,0)</f>
        <v>0</v>
      </c>
      <c r="X117" s="390"/>
      <c r="Y117" s="390"/>
      <c r="Z117" s="390"/>
      <c r="AA117" s="384"/>
      <c r="AB117" s="384"/>
      <c r="AC117" s="384"/>
      <c r="AD117" s="384"/>
      <c r="AF117" s="173"/>
    </row>
    <row r="118" spans="1:33" hidden="1" outlineLevel="1">
      <c r="A118" s="182">
        <v>91</v>
      </c>
      <c r="B118" s="158" t="str">
        <f t="shared" ca="1" si="99"/>
        <v/>
      </c>
      <c r="C118" s="159"/>
      <c r="D118" s="160"/>
      <c r="F118" s="152"/>
      <c r="G118" s="161"/>
      <c r="H118" s="162"/>
      <c r="I118" s="152"/>
      <c r="K118" s="152"/>
      <c r="L118" s="161"/>
      <c r="M118" s="162"/>
      <c r="N118" s="152"/>
      <c r="P118" s="135"/>
      <c r="Q118" s="163"/>
      <c r="S118" s="135"/>
      <c r="U118" s="164"/>
      <c r="V118" s="158"/>
      <c r="W118" s="390">
        <f t="shared" ref="W118" ca="1" si="141">IF(B116&lt;&gt;"",1,0)</f>
        <v>0</v>
      </c>
      <c r="X118" s="390"/>
      <c r="Y118" s="390"/>
      <c r="Z118" s="390"/>
      <c r="AA118" s="384"/>
      <c r="AB118" s="384"/>
      <c r="AC118" s="384"/>
      <c r="AD118" s="384"/>
      <c r="AF118" s="173"/>
    </row>
    <row r="119" spans="1:33" hidden="1" outlineLevel="1">
      <c r="A119" s="182">
        <v>92</v>
      </c>
      <c r="B119" s="165" t="str">
        <f t="shared" ca="1" si="99"/>
        <v/>
      </c>
      <c r="C119" s="166"/>
      <c r="D119" s="167"/>
      <c r="F119" s="152"/>
      <c r="G119" s="161"/>
      <c r="H119" s="162"/>
      <c r="I119" s="152"/>
      <c r="K119" s="152"/>
      <c r="L119" s="161"/>
      <c r="M119" s="162"/>
      <c r="N119" s="152"/>
      <c r="P119" s="135"/>
      <c r="Q119" s="163"/>
      <c r="S119" s="135"/>
      <c r="U119" s="164"/>
      <c r="V119" s="158"/>
      <c r="W119" s="390">
        <f t="shared" ref="W119" ca="1" si="142">IF(B116&lt;&gt;"",1,0)</f>
        <v>0</v>
      </c>
      <c r="X119" s="390"/>
      <c r="Y119" s="390"/>
      <c r="Z119" s="390"/>
      <c r="AA119" s="384"/>
      <c r="AB119" s="384"/>
      <c r="AC119" s="384"/>
      <c r="AD119" s="384"/>
      <c r="AF119" s="173"/>
    </row>
    <row r="120" spans="1:33" collapsed="1">
      <c r="A120" s="182">
        <v>93</v>
      </c>
      <c r="B120" s="149" t="str">
        <f t="shared" ca="1" si="99"/>
        <v/>
      </c>
      <c r="C120" s="150">
        <f t="shared" ref="C120" ca="1" si="143">_xlfn.IFNA(_xlfn.XLOOKUP(B120,$AF$28:$AF$108,$AN$28:$AN$108,0),0)</f>
        <v>0</v>
      </c>
      <c r="D120" s="151">
        <f t="shared" ref="D120" ca="1" si="144">_xlfn.IFNA(_xlfn.XLOOKUP(B120,$AF$28:$AF$108,$AO$28:$AO$108,0),"")</f>
        <v>0</v>
      </c>
      <c r="F120" s="152"/>
      <c r="G120" s="153"/>
      <c r="H120" s="154"/>
      <c r="I120" s="152"/>
      <c r="K120" s="152"/>
      <c r="L120" s="153"/>
      <c r="M120" s="154"/>
      <c r="N120" s="152"/>
      <c r="P120" s="155" t="str" cm="1">
        <f t="array" aca="1" ref="P120" ca="1">$W$1&amp;_xlfn.XLOOKUP(B120,AF$28:$AF$108,$AQ$28:$AQ$108,"")</f>
        <v>Δ</v>
      </c>
      <c r="Q120" s="156">
        <f ca="1">IF((U120-V120)-(C120-D120)-SUM(G120:G123)+SUM(H120:H123)-SUM(L120:L123)+SUM(M120:M123)&gt;0,(U120-V120)-(C120-D120)-SUM(G120:G123)+SUM(H120:H123)-SUM(L120:L123)+SUM(M120:M123),0)</f>
        <v>0</v>
      </c>
      <c r="R120" s="157">
        <f ca="1">IF((U120-V120)-(C120-D120)-SUM(G120:G123)+SUM(H120:H123)-SUM(L120:L123)+SUM(M120:M123)&lt;0,-((U120-V120)-(C120-D120)-SUM(G120:G123)+SUM(H120:H123)-SUM(L120:L123)+SUM(M120:M123)),0)</f>
        <v>0</v>
      </c>
      <c r="S120" s="155" t="str">
        <f ca="1">P120</f>
        <v>Δ</v>
      </c>
      <c r="U120" s="150">
        <f ca="1">IF(AC120&gt;0,AC120,0)</f>
        <v>0</v>
      </c>
      <c r="V120" s="151">
        <f ca="1">IF(AD120&gt;0,AD120,0)</f>
        <v>0</v>
      </c>
      <c r="W120" s="390">
        <f t="shared" ref="W120" ca="1" si="145">IF(B120&lt;&gt;"",1,0)</f>
        <v>0</v>
      </c>
      <c r="X120" s="390"/>
      <c r="Y120" s="390"/>
      <c r="Z120" s="390"/>
      <c r="AA120" s="394">
        <f ca="1">SUMIF(Journal[Debit Account],B120,Journal[Dr Amt])</f>
        <v>0</v>
      </c>
      <c r="AB120" s="394">
        <f ca="1">SUMIF(Journal[Credit Account],B120,Journal[Cr Amt])</f>
        <v>0</v>
      </c>
      <c r="AC120" s="389">
        <f ca="1">C120-D120+AA120-AB120</f>
        <v>0</v>
      </c>
      <c r="AD120" s="389">
        <f ca="1">D120-C120+AB120-AA120</f>
        <v>0</v>
      </c>
      <c r="AF120" s="173"/>
    </row>
    <row r="121" spans="1:33" hidden="1" outlineLevel="1">
      <c r="A121" s="182">
        <v>94</v>
      </c>
      <c r="B121" s="158" t="str">
        <f t="shared" ca="1" si="99"/>
        <v/>
      </c>
      <c r="C121" s="159"/>
      <c r="D121" s="160"/>
      <c r="F121" s="152"/>
      <c r="G121" s="161"/>
      <c r="H121" s="162"/>
      <c r="I121" s="152"/>
      <c r="K121" s="152"/>
      <c r="L121" s="161"/>
      <c r="M121" s="162"/>
      <c r="N121" s="152"/>
      <c r="P121" s="135"/>
      <c r="Q121" s="163"/>
      <c r="S121" s="135"/>
      <c r="U121" s="164"/>
      <c r="V121" s="158"/>
      <c r="W121" s="390">
        <f t="shared" ref="W121" ca="1" si="146">IF(B120&lt;&gt;"",1,0)</f>
        <v>0</v>
      </c>
      <c r="X121" s="390"/>
      <c r="Y121" s="390"/>
      <c r="Z121" s="390"/>
      <c r="AA121" s="384"/>
      <c r="AB121" s="384"/>
      <c r="AC121" s="384"/>
      <c r="AD121" s="384"/>
      <c r="AF121" s="173"/>
    </row>
    <row r="122" spans="1:33" hidden="1" outlineLevel="1">
      <c r="A122" s="182">
        <v>95</v>
      </c>
      <c r="B122" s="158" t="str">
        <f t="shared" ca="1" si="99"/>
        <v/>
      </c>
      <c r="C122" s="159"/>
      <c r="D122" s="160"/>
      <c r="F122" s="152"/>
      <c r="G122" s="161"/>
      <c r="H122" s="162"/>
      <c r="I122" s="152"/>
      <c r="K122" s="152"/>
      <c r="L122" s="161"/>
      <c r="M122" s="162"/>
      <c r="N122" s="152"/>
      <c r="P122" s="135"/>
      <c r="Q122" s="163"/>
      <c r="S122" s="135"/>
      <c r="U122" s="164"/>
      <c r="V122" s="158"/>
      <c r="W122" s="390">
        <f t="shared" ref="W122" ca="1" si="147">IF(B120&lt;&gt;"",1,0)</f>
        <v>0</v>
      </c>
      <c r="X122" s="390"/>
      <c r="Y122" s="390"/>
      <c r="Z122" s="390"/>
      <c r="AA122" s="384"/>
      <c r="AB122" s="384"/>
      <c r="AC122" s="384"/>
      <c r="AD122" s="384"/>
      <c r="AF122" s="173"/>
    </row>
    <row r="123" spans="1:33" hidden="1" outlineLevel="1">
      <c r="A123" s="182">
        <v>96</v>
      </c>
      <c r="B123" s="165" t="str">
        <f t="shared" ca="1" si="99"/>
        <v/>
      </c>
      <c r="C123" s="166"/>
      <c r="D123" s="167"/>
      <c r="F123" s="152"/>
      <c r="G123" s="161"/>
      <c r="H123" s="162"/>
      <c r="I123" s="152"/>
      <c r="K123" s="152"/>
      <c r="L123" s="161"/>
      <c r="M123" s="162"/>
      <c r="N123" s="152"/>
      <c r="P123" s="135"/>
      <c r="Q123" s="163"/>
      <c r="S123" s="135"/>
      <c r="U123" s="164"/>
      <c r="V123" s="158"/>
      <c r="W123" s="390">
        <f t="shared" ref="W123" ca="1" si="148">IF(B120&lt;&gt;"",1,0)</f>
        <v>0</v>
      </c>
      <c r="X123" s="390"/>
      <c r="Y123" s="390"/>
      <c r="Z123" s="390"/>
      <c r="AA123" s="384"/>
      <c r="AB123" s="384"/>
      <c r="AC123" s="384"/>
      <c r="AD123" s="384"/>
      <c r="AF123" s="173"/>
    </row>
    <row r="124" spans="1:33" collapsed="1">
      <c r="A124" s="182">
        <v>97</v>
      </c>
      <c r="B124" s="149" t="str">
        <f t="shared" ca="1" si="99"/>
        <v/>
      </c>
      <c r="C124" s="150">
        <f t="shared" ref="C124" ca="1" si="149">_xlfn.IFNA(_xlfn.XLOOKUP(B124,$AF$28:$AF$108,$AN$28:$AN$108,0),0)</f>
        <v>0</v>
      </c>
      <c r="D124" s="151">
        <f t="shared" ref="D124" ca="1" si="150">_xlfn.IFNA(_xlfn.XLOOKUP(B124,$AF$28:$AF$108,$AO$28:$AO$108,0),"")</f>
        <v>0</v>
      </c>
      <c r="F124" s="152"/>
      <c r="G124" s="153"/>
      <c r="H124" s="154"/>
      <c r="I124" s="152"/>
      <c r="K124" s="152"/>
      <c r="L124" s="153"/>
      <c r="M124" s="154"/>
      <c r="N124" s="152"/>
      <c r="P124" s="155" t="str" cm="1">
        <f t="array" aca="1" ref="P124" ca="1">$W$1&amp;_xlfn.XLOOKUP(B124,AF$28:$AF$108,$AQ$28:$AQ$108,"")</f>
        <v>Δ</v>
      </c>
      <c r="Q124" s="156">
        <f ca="1">IF((U124-V124)-(C124-D124)-SUM(G124:G127)+SUM(H124:H127)-SUM(L124:L127)+SUM(M124:M127)&gt;0,(U124-V124)-(C124-D124)-SUM(G124:G127)+SUM(H124:H127)-SUM(L124:L127)+SUM(M124:M127),0)</f>
        <v>0</v>
      </c>
      <c r="R124" s="157">
        <f ca="1">IF((U124-V124)-(C124-D124)-SUM(G124:G127)+SUM(H124:H127)-SUM(L124:L127)+SUM(M124:M127)&lt;0,-((U124-V124)-(C124-D124)-SUM(G124:G127)+SUM(H124:H127)-SUM(L124:L127)+SUM(M124:M127)),0)</f>
        <v>0</v>
      </c>
      <c r="S124" s="155" t="str">
        <f ca="1">P124</f>
        <v>Δ</v>
      </c>
      <c r="U124" s="150">
        <f ca="1">IF(AC124&gt;0,AC124,0)</f>
        <v>0</v>
      </c>
      <c r="V124" s="151">
        <f ca="1">IF(AD124&gt;0,AD124,0)</f>
        <v>0</v>
      </c>
      <c r="W124" s="390">
        <f t="shared" ref="W124" ca="1" si="151">IF(B124&lt;&gt;"",1,0)</f>
        <v>0</v>
      </c>
      <c r="X124" s="390"/>
      <c r="Y124" s="390"/>
      <c r="Z124" s="390"/>
      <c r="AA124" s="394">
        <f ca="1">SUMIF(Journal[Debit Account],B124,Journal[Dr Amt])</f>
        <v>0</v>
      </c>
      <c r="AB124" s="394">
        <f ca="1">SUMIF(Journal[Credit Account],B124,Journal[Cr Amt])</f>
        <v>0</v>
      </c>
      <c r="AC124" s="389">
        <f ca="1">C124-D124+AA124-AB124</f>
        <v>0</v>
      </c>
      <c r="AD124" s="389">
        <f ca="1">D124-C124+AB124-AA124</f>
        <v>0</v>
      </c>
      <c r="AF124" s="173"/>
    </row>
    <row r="125" spans="1:33" hidden="1" outlineLevel="1">
      <c r="A125" s="182">
        <v>98</v>
      </c>
      <c r="B125" s="158" t="str">
        <f t="shared" ca="1" si="99"/>
        <v/>
      </c>
      <c r="C125" s="159"/>
      <c r="D125" s="160"/>
      <c r="F125" s="152"/>
      <c r="G125" s="161"/>
      <c r="H125" s="162"/>
      <c r="I125" s="152"/>
      <c r="K125" s="152"/>
      <c r="L125" s="161"/>
      <c r="M125" s="162"/>
      <c r="N125" s="152"/>
      <c r="P125" s="135"/>
      <c r="Q125" s="163"/>
      <c r="S125" s="135"/>
      <c r="U125" s="164"/>
      <c r="V125" s="158"/>
      <c r="W125" s="390">
        <f t="shared" ref="W125" ca="1" si="152">IF(B124&lt;&gt;"",1,0)</f>
        <v>0</v>
      </c>
      <c r="X125" s="390"/>
      <c r="Y125" s="390"/>
      <c r="Z125" s="390"/>
      <c r="AA125" s="384"/>
      <c r="AB125" s="384"/>
      <c r="AC125" s="384"/>
      <c r="AD125" s="384"/>
      <c r="AF125" s="173"/>
    </row>
    <row r="126" spans="1:33" hidden="1" outlineLevel="1">
      <c r="A126" s="182">
        <v>99</v>
      </c>
      <c r="B126" s="158" t="str">
        <f t="shared" ca="1" si="99"/>
        <v/>
      </c>
      <c r="C126" s="159"/>
      <c r="D126" s="160"/>
      <c r="F126" s="152"/>
      <c r="G126" s="161"/>
      <c r="H126" s="162"/>
      <c r="I126" s="152"/>
      <c r="K126" s="152"/>
      <c r="L126" s="161"/>
      <c r="M126" s="162"/>
      <c r="N126" s="152"/>
      <c r="P126" s="135"/>
      <c r="Q126" s="163"/>
      <c r="S126" s="135"/>
      <c r="U126" s="164"/>
      <c r="V126" s="158"/>
      <c r="W126" s="390">
        <f t="shared" ref="W126" ca="1" si="153">IF(B124&lt;&gt;"",1,0)</f>
        <v>0</v>
      </c>
      <c r="X126" s="390"/>
      <c r="Y126" s="390"/>
      <c r="Z126" s="390"/>
      <c r="AA126" s="384"/>
      <c r="AB126" s="384"/>
      <c r="AC126" s="384"/>
      <c r="AD126" s="384"/>
      <c r="AF126" s="173"/>
    </row>
    <row r="127" spans="1:33" hidden="1" outlineLevel="1">
      <c r="A127" s="182">
        <v>100</v>
      </c>
      <c r="B127" s="165" t="str">
        <f t="shared" ca="1" si="99"/>
        <v/>
      </c>
      <c r="C127" s="166"/>
      <c r="D127" s="167"/>
      <c r="F127" s="152"/>
      <c r="G127" s="161"/>
      <c r="H127" s="162"/>
      <c r="I127" s="152"/>
      <c r="K127" s="152"/>
      <c r="L127" s="161"/>
      <c r="M127" s="162"/>
      <c r="N127" s="152"/>
      <c r="P127" s="135"/>
      <c r="Q127" s="163"/>
      <c r="S127" s="135"/>
      <c r="U127" s="164"/>
      <c r="V127" s="158"/>
      <c r="W127" s="390">
        <f t="shared" ref="W127" ca="1" si="154">IF(B124&lt;&gt;"",1,0)</f>
        <v>0</v>
      </c>
      <c r="X127" s="390"/>
      <c r="Y127" s="390"/>
      <c r="Z127" s="390"/>
      <c r="AA127" s="384"/>
      <c r="AB127" s="384"/>
      <c r="AC127" s="384"/>
      <c r="AD127" s="384"/>
      <c r="AF127" s="173"/>
      <c r="AG127" s="173"/>
    </row>
    <row r="128" spans="1:33" collapsed="1">
      <c r="A128" s="182">
        <v>101</v>
      </c>
      <c r="B128" s="149" t="str">
        <f t="shared" ca="1" si="99"/>
        <v/>
      </c>
      <c r="C128" s="150">
        <f t="shared" ref="C128" ca="1" si="155">_xlfn.IFNA(_xlfn.XLOOKUP(B128,$AF$28:$AF$108,$AN$28:$AN$108,0),0)</f>
        <v>0</v>
      </c>
      <c r="D128" s="151">
        <f t="shared" ref="D128" ca="1" si="156">_xlfn.IFNA(_xlfn.XLOOKUP(B128,$AF$28:$AF$108,$AO$28:$AO$108,0),"")</f>
        <v>0</v>
      </c>
      <c r="F128" s="152"/>
      <c r="G128" s="153"/>
      <c r="H128" s="154"/>
      <c r="I128" s="152"/>
      <c r="K128" s="152"/>
      <c r="L128" s="153"/>
      <c r="M128" s="154"/>
      <c r="N128" s="152"/>
      <c r="P128" s="155" t="str" cm="1">
        <f t="array" aca="1" ref="P128" ca="1">$W$1&amp;_xlfn.XLOOKUP(B128,AF$28:$AF$108,$AQ$28:$AQ$108,"")</f>
        <v>Δ</v>
      </c>
      <c r="Q128" s="156">
        <f ca="1">IF((U128-V128)-(C128-D128)-SUM(G128:G131)+SUM(H128:H131)-SUM(L128:L131)+SUM(M128:M131)&gt;0,(U128-V128)-(C128-D128)-SUM(G128:G131)+SUM(H128:H131)-SUM(L128:L131)+SUM(M128:M131),0)</f>
        <v>0</v>
      </c>
      <c r="R128" s="157">
        <f ca="1">IF((U128-V128)-(C128-D128)-SUM(G128:G131)+SUM(H128:H131)-SUM(L128:L131)+SUM(M128:M131)&lt;0,-((U128-V128)-(C128-D128)-SUM(G128:G131)+SUM(H128:H131)-SUM(L128:L131)+SUM(M128:M131)),0)</f>
        <v>0</v>
      </c>
      <c r="S128" s="155" t="str">
        <f ca="1">P128</f>
        <v>Δ</v>
      </c>
      <c r="U128" s="150">
        <f ca="1">IF(AC128&gt;0,AC128,0)</f>
        <v>0</v>
      </c>
      <c r="V128" s="151">
        <f ca="1">IF(AD128&gt;0,AD128,0)</f>
        <v>0</v>
      </c>
      <c r="W128" s="390">
        <f t="shared" ref="W128" ca="1" si="157">IF(B128&lt;&gt;"",1,0)</f>
        <v>0</v>
      </c>
      <c r="X128" s="390"/>
      <c r="Y128" s="390"/>
      <c r="Z128" s="390"/>
      <c r="AA128" s="394">
        <f ca="1">SUMIF(Journal[Debit Account],B128,Journal[Dr Amt])</f>
        <v>0</v>
      </c>
      <c r="AB128" s="394">
        <f ca="1">SUMIF(Journal[Credit Account],B128,Journal[Cr Amt])</f>
        <v>0</v>
      </c>
      <c r="AC128" s="389">
        <f ca="1">C128-D128+AA128-AB128</f>
        <v>0</v>
      </c>
      <c r="AD128" s="389">
        <f ca="1">D128-C128+AB128-AA128</f>
        <v>0</v>
      </c>
      <c r="AF128" s="173"/>
      <c r="AG128" s="173"/>
    </row>
    <row r="129" spans="1:34" hidden="1" outlineLevel="1">
      <c r="A129" s="182">
        <v>102</v>
      </c>
      <c r="B129" s="158" t="str">
        <f t="shared" ca="1" si="99"/>
        <v/>
      </c>
      <c r="C129" s="159"/>
      <c r="D129" s="160"/>
      <c r="F129" s="152"/>
      <c r="G129" s="161"/>
      <c r="H129" s="162"/>
      <c r="I129" s="152"/>
      <c r="K129" s="152"/>
      <c r="L129" s="161"/>
      <c r="M129" s="162"/>
      <c r="N129" s="152"/>
      <c r="P129" s="135"/>
      <c r="Q129" s="163"/>
      <c r="S129" s="135"/>
      <c r="U129" s="164"/>
      <c r="V129" s="158"/>
      <c r="W129" s="390">
        <f t="shared" ref="W129" ca="1" si="158">IF(B128&lt;&gt;"",1,0)</f>
        <v>0</v>
      </c>
      <c r="X129" s="390"/>
      <c r="Y129" s="390"/>
      <c r="Z129" s="390"/>
      <c r="AA129" s="384"/>
      <c r="AB129" s="384"/>
      <c r="AC129" s="384"/>
      <c r="AD129" s="384"/>
      <c r="AF129" s="173"/>
      <c r="AG129" s="173"/>
    </row>
    <row r="130" spans="1:34" hidden="1" outlineLevel="1">
      <c r="A130" s="182">
        <v>103</v>
      </c>
      <c r="B130" s="158" t="str">
        <f t="shared" ca="1" si="99"/>
        <v/>
      </c>
      <c r="C130" s="159"/>
      <c r="D130" s="160"/>
      <c r="F130" s="152"/>
      <c r="G130" s="161"/>
      <c r="H130" s="162"/>
      <c r="I130" s="152"/>
      <c r="K130" s="152"/>
      <c r="L130" s="161"/>
      <c r="M130" s="162"/>
      <c r="N130" s="152"/>
      <c r="P130" s="135"/>
      <c r="Q130" s="163"/>
      <c r="S130" s="135"/>
      <c r="U130" s="164"/>
      <c r="V130" s="158"/>
      <c r="W130" s="390">
        <f t="shared" ref="W130" ca="1" si="159">IF(B128&lt;&gt;"",1,0)</f>
        <v>0</v>
      </c>
      <c r="X130" s="390"/>
      <c r="Y130" s="390"/>
      <c r="Z130" s="390"/>
      <c r="AA130" s="384"/>
      <c r="AB130" s="384"/>
      <c r="AC130" s="384"/>
      <c r="AD130" s="384"/>
      <c r="AF130" s="173"/>
      <c r="AG130" s="173"/>
    </row>
    <row r="131" spans="1:34" hidden="1" outlineLevel="1">
      <c r="A131" s="182">
        <v>104</v>
      </c>
      <c r="B131" s="165" t="str">
        <f t="shared" ca="1" si="99"/>
        <v/>
      </c>
      <c r="C131" s="166"/>
      <c r="D131" s="167"/>
      <c r="F131" s="152"/>
      <c r="G131" s="161"/>
      <c r="H131" s="162"/>
      <c r="I131" s="152"/>
      <c r="K131" s="152"/>
      <c r="L131" s="161"/>
      <c r="M131" s="162"/>
      <c r="N131" s="152"/>
      <c r="P131" s="135"/>
      <c r="Q131" s="163"/>
      <c r="S131" s="135"/>
      <c r="U131" s="164"/>
      <c r="V131" s="158"/>
      <c r="W131" s="390">
        <f t="shared" ref="W131" ca="1" si="160">IF(B128&lt;&gt;"",1,0)</f>
        <v>0</v>
      </c>
      <c r="X131" s="390"/>
      <c r="Y131" s="390"/>
      <c r="Z131" s="390"/>
      <c r="AA131" s="384"/>
      <c r="AB131" s="384"/>
      <c r="AC131" s="384"/>
      <c r="AD131" s="384"/>
      <c r="AF131" s="173"/>
      <c r="AG131" s="173"/>
    </row>
    <row r="132" spans="1:34" collapsed="1">
      <c r="A132" s="182">
        <v>105</v>
      </c>
      <c r="B132" s="149" t="str">
        <f t="shared" ca="1" si="99"/>
        <v/>
      </c>
      <c r="C132" s="150">
        <f t="shared" ref="C132" ca="1" si="161">_xlfn.IFNA(_xlfn.XLOOKUP(B132,$AF$28:$AF$108,$AN$28:$AN$108,0),0)</f>
        <v>0</v>
      </c>
      <c r="D132" s="151">
        <f t="shared" ref="D132" ca="1" si="162">_xlfn.IFNA(_xlfn.XLOOKUP(B132,$AF$28:$AF$108,$AO$28:$AO$108,0),"")</f>
        <v>0</v>
      </c>
      <c r="F132" s="152"/>
      <c r="G132" s="153"/>
      <c r="H132" s="154"/>
      <c r="I132" s="152"/>
      <c r="K132" s="152"/>
      <c r="L132" s="153"/>
      <c r="M132" s="154"/>
      <c r="N132" s="152"/>
      <c r="P132" s="155" t="str" cm="1">
        <f t="array" aca="1" ref="P132" ca="1">$W$1&amp;_xlfn.XLOOKUP(B132,AF$28:$AF$108,$AQ$28:$AQ$108,"")</f>
        <v>Δ</v>
      </c>
      <c r="Q132" s="156">
        <f ca="1">IF((U132-V132)-(C132-D132)-SUM(G132:G135)+SUM(H132:H135)-SUM(L132:L135)+SUM(M132:M135)&gt;0,(U132-V132)-(C132-D132)-SUM(G132:G135)+SUM(H132:H135)-SUM(L132:L135)+SUM(M132:M135),0)</f>
        <v>0</v>
      </c>
      <c r="R132" s="157">
        <f ca="1">IF((U132-V132)-(C132-D132)-SUM(G132:G135)+SUM(H132:H135)-SUM(L132:L135)+SUM(M132:M135)&lt;0,-((U132-V132)-(C132-D132)-SUM(G132:G135)+SUM(H132:H135)-SUM(L132:L135)+SUM(M132:M135)),0)</f>
        <v>0</v>
      </c>
      <c r="S132" s="155" t="str">
        <f ca="1">P132</f>
        <v>Δ</v>
      </c>
      <c r="U132" s="150">
        <f ca="1">IF(AC132&gt;0,AC132,0)</f>
        <v>0</v>
      </c>
      <c r="V132" s="151">
        <f ca="1">IF(AD132&gt;0,AD132,0)</f>
        <v>0</v>
      </c>
      <c r="W132" s="390">
        <f t="shared" ref="W132" ca="1" si="163">IF(B132&lt;&gt;"",1,0)</f>
        <v>0</v>
      </c>
      <c r="X132" s="390"/>
      <c r="Y132" s="390"/>
      <c r="Z132" s="390"/>
      <c r="AA132" s="394">
        <f ca="1">SUMIF(Journal[Debit Account],B132,Journal[Dr Amt])</f>
        <v>0</v>
      </c>
      <c r="AB132" s="394">
        <f ca="1">SUMIF(Journal[Credit Account],B132,Journal[Cr Amt])</f>
        <v>0</v>
      </c>
      <c r="AC132" s="389">
        <f ca="1">C132-D132+AA132-AB132</f>
        <v>0</v>
      </c>
      <c r="AD132" s="389">
        <f ca="1">D132-C132+AB132-AA132</f>
        <v>0</v>
      </c>
      <c r="AF132" s="173"/>
      <c r="AG132" s="173"/>
    </row>
    <row r="133" spans="1:34" hidden="1" outlineLevel="1">
      <c r="A133" s="182">
        <v>106</v>
      </c>
      <c r="B133" s="158" t="str">
        <f t="shared" ca="1" si="99"/>
        <v/>
      </c>
      <c r="C133" s="159"/>
      <c r="D133" s="160"/>
      <c r="F133" s="152"/>
      <c r="G133" s="161"/>
      <c r="H133" s="162"/>
      <c r="I133" s="152"/>
      <c r="K133" s="152"/>
      <c r="L133" s="161"/>
      <c r="M133" s="162"/>
      <c r="N133" s="152"/>
      <c r="P133" s="135"/>
      <c r="Q133" s="163"/>
      <c r="S133" s="135"/>
      <c r="U133" s="164"/>
      <c r="V133" s="158"/>
      <c r="W133" s="390">
        <f t="shared" ref="W133" ca="1" si="164">IF(B132&lt;&gt;"",1,0)</f>
        <v>0</v>
      </c>
      <c r="X133" s="390"/>
      <c r="Y133" s="390"/>
      <c r="Z133" s="390"/>
      <c r="AA133" s="384"/>
      <c r="AB133" s="384"/>
      <c r="AC133" s="384"/>
      <c r="AD133" s="384"/>
      <c r="AF133" s="173"/>
      <c r="AG133" s="173"/>
    </row>
    <row r="134" spans="1:34" hidden="1" outlineLevel="1">
      <c r="A134" s="182">
        <v>107</v>
      </c>
      <c r="B134" s="158" t="str">
        <f t="shared" ca="1" si="99"/>
        <v/>
      </c>
      <c r="C134" s="159"/>
      <c r="D134" s="160"/>
      <c r="F134" s="152"/>
      <c r="G134" s="161"/>
      <c r="H134" s="162"/>
      <c r="I134" s="152"/>
      <c r="K134" s="152"/>
      <c r="L134" s="161"/>
      <c r="M134" s="162"/>
      <c r="N134" s="152"/>
      <c r="P134" s="135"/>
      <c r="Q134" s="163"/>
      <c r="S134" s="135"/>
      <c r="U134" s="164"/>
      <c r="V134" s="158"/>
      <c r="W134" s="390">
        <f t="shared" ref="W134" ca="1" si="165">IF(B132&lt;&gt;"",1,0)</f>
        <v>0</v>
      </c>
      <c r="X134" s="390"/>
      <c r="Y134" s="390"/>
      <c r="Z134" s="390"/>
      <c r="AA134" s="384"/>
      <c r="AB134" s="384"/>
      <c r="AC134" s="384"/>
      <c r="AD134" s="384"/>
      <c r="AF134" s="173"/>
      <c r="AG134" s="173"/>
    </row>
    <row r="135" spans="1:34" hidden="1" outlineLevel="1">
      <c r="A135" s="182">
        <v>108</v>
      </c>
      <c r="B135" s="165" t="str">
        <f t="shared" ca="1" si="99"/>
        <v/>
      </c>
      <c r="C135" s="166"/>
      <c r="D135" s="167"/>
      <c r="F135" s="152"/>
      <c r="G135" s="161"/>
      <c r="H135" s="162"/>
      <c r="I135" s="152"/>
      <c r="K135" s="152"/>
      <c r="L135" s="161"/>
      <c r="M135" s="162"/>
      <c r="N135" s="152"/>
      <c r="P135" s="135"/>
      <c r="Q135" s="163"/>
      <c r="S135" s="135"/>
      <c r="U135" s="164"/>
      <c r="V135" s="158"/>
      <c r="W135" s="390">
        <f t="shared" ref="W135" ca="1" si="166">IF(B132&lt;&gt;"",1,0)</f>
        <v>0</v>
      </c>
      <c r="X135" s="390"/>
      <c r="Y135" s="390"/>
      <c r="Z135" s="390"/>
      <c r="AA135" s="384"/>
      <c r="AB135" s="384"/>
      <c r="AC135" s="384"/>
      <c r="AD135" s="384"/>
      <c r="AF135" s="173"/>
      <c r="AG135" s="395"/>
      <c r="AH135" s="384"/>
    </row>
    <row r="136" spans="1:34" collapsed="1">
      <c r="A136" s="182">
        <v>109</v>
      </c>
      <c r="B136" s="149" t="str">
        <f t="shared" ca="1" si="99"/>
        <v/>
      </c>
      <c r="C136" s="150">
        <f t="shared" ref="C136" ca="1" si="167">_xlfn.IFNA(_xlfn.XLOOKUP(B136,$AF$28:$AF$108,$AN$28:$AN$108,0),0)</f>
        <v>0</v>
      </c>
      <c r="D136" s="151">
        <f t="shared" ref="D136" ca="1" si="168">_xlfn.IFNA(_xlfn.XLOOKUP(B136,$AF$28:$AF$108,$AO$28:$AO$108,0),"")</f>
        <v>0</v>
      </c>
      <c r="F136" s="152"/>
      <c r="G136" s="153"/>
      <c r="H136" s="154"/>
      <c r="I136" s="152"/>
      <c r="K136" s="152"/>
      <c r="L136" s="153"/>
      <c r="M136" s="154"/>
      <c r="N136" s="152"/>
      <c r="P136" s="155" t="str" cm="1">
        <f t="array" aca="1" ref="P136" ca="1">$W$1&amp;_xlfn.XLOOKUP(B136,AF$28:$AF$108,$AQ$28:$AQ$108,"")</f>
        <v>Δ</v>
      </c>
      <c r="Q136" s="156">
        <f ca="1">IF((U136-V136)-(C136-D136)-SUM(G136:G139)+SUM(H136:H139)-SUM(L136:L139)+SUM(M136:M139)&gt;0,(U136-V136)-(C136-D136)-SUM(G136:G139)+SUM(H136:H139)-SUM(L136:L139)+SUM(M136:M139),0)</f>
        <v>0</v>
      </c>
      <c r="R136" s="157">
        <f ca="1">IF((U136-V136)-(C136-D136)-SUM(G136:G139)+SUM(H136:H139)-SUM(L136:L139)+SUM(M136:M139)&lt;0,-((U136-V136)-(C136-D136)-SUM(G136:G139)+SUM(H136:H139)-SUM(L136:L139)+SUM(M136:M139)),0)</f>
        <v>0</v>
      </c>
      <c r="S136" s="155" t="str">
        <f ca="1">P136</f>
        <v>Δ</v>
      </c>
      <c r="U136" s="150">
        <f ca="1">IF(AC136&gt;0,AC136,0)</f>
        <v>0</v>
      </c>
      <c r="V136" s="151">
        <f ca="1">IF(AD136&gt;0,AD136,0)</f>
        <v>0</v>
      </c>
      <c r="W136" s="390">
        <f t="shared" ref="W136" ca="1" si="169">IF(B136&lt;&gt;"",1,0)</f>
        <v>0</v>
      </c>
      <c r="X136" s="390"/>
      <c r="Y136" s="390"/>
      <c r="Z136" s="390"/>
      <c r="AA136" s="394">
        <f ca="1">SUMIF(Journal[Debit Account],B136,Journal[Dr Amt])</f>
        <v>0</v>
      </c>
      <c r="AB136" s="394">
        <f ca="1">SUMIF(Journal[Credit Account],B136,Journal[Cr Amt])</f>
        <v>0</v>
      </c>
      <c r="AC136" s="389">
        <f ca="1">C136-D136+AA136-AB136</f>
        <v>0</v>
      </c>
      <c r="AD136" s="389">
        <f ca="1">D136-C136+AB136-AA136</f>
        <v>0</v>
      </c>
      <c r="AF136" s="173"/>
      <c r="AG136" s="395"/>
      <c r="AH136" s="384"/>
    </row>
    <row r="137" spans="1:34" hidden="1" outlineLevel="1">
      <c r="A137" s="182">
        <v>110</v>
      </c>
      <c r="B137" s="158" t="str">
        <f t="shared" ca="1" si="99"/>
        <v/>
      </c>
      <c r="C137" s="159"/>
      <c r="D137" s="160"/>
      <c r="F137" s="152"/>
      <c r="G137" s="161"/>
      <c r="H137" s="162"/>
      <c r="I137" s="152"/>
      <c r="K137" s="152"/>
      <c r="L137" s="161"/>
      <c r="M137" s="162"/>
      <c r="N137" s="152"/>
      <c r="P137" s="135"/>
      <c r="Q137" s="163"/>
      <c r="S137" s="135"/>
      <c r="U137" s="164"/>
      <c r="V137" s="158"/>
      <c r="W137" s="390">
        <f t="shared" ref="W137" ca="1" si="170">IF(B136&lt;&gt;"",1,0)</f>
        <v>0</v>
      </c>
      <c r="X137" s="390"/>
      <c r="Y137" s="390"/>
      <c r="Z137" s="390"/>
      <c r="AA137" s="384"/>
      <c r="AB137" s="384"/>
      <c r="AC137" s="384"/>
      <c r="AD137" s="384"/>
      <c r="AF137" s="173"/>
      <c r="AG137" s="395"/>
      <c r="AH137" s="384"/>
    </row>
    <row r="138" spans="1:34" hidden="1" outlineLevel="1">
      <c r="A138" s="182">
        <v>111</v>
      </c>
      <c r="B138" s="158" t="str">
        <f t="shared" ca="1" si="99"/>
        <v/>
      </c>
      <c r="C138" s="159"/>
      <c r="D138" s="160"/>
      <c r="F138" s="152"/>
      <c r="G138" s="161"/>
      <c r="H138" s="162"/>
      <c r="I138" s="152"/>
      <c r="K138" s="152"/>
      <c r="L138" s="161"/>
      <c r="M138" s="162"/>
      <c r="N138" s="152"/>
      <c r="P138" s="135"/>
      <c r="Q138" s="163"/>
      <c r="S138" s="135"/>
      <c r="U138" s="164"/>
      <c r="V138" s="158"/>
      <c r="W138" s="390">
        <f t="shared" ref="W138" ca="1" si="171">IF(B136&lt;&gt;"",1,0)</f>
        <v>0</v>
      </c>
      <c r="X138" s="390"/>
      <c r="Y138" s="390"/>
      <c r="Z138" s="390"/>
      <c r="AA138" s="384"/>
      <c r="AB138" s="384"/>
      <c r="AC138" s="384"/>
      <c r="AD138" s="384"/>
      <c r="AF138" s="173"/>
      <c r="AG138" s="395"/>
      <c r="AH138" s="384"/>
    </row>
    <row r="139" spans="1:34" hidden="1" outlineLevel="1">
      <c r="A139" s="182">
        <v>112</v>
      </c>
      <c r="B139" s="165" t="str">
        <f t="shared" ca="1" si="99"/>
        <v/>
      </c>
      <c r="C139" s="166"/>
      <c r="D139" s="167"/>
      <c r="F139" s="152"/>
      <c r="G139" s="161"/>
      <c r="H139" s="162"/>
      <c r="I139" s="152"/>
      <c r="K139" s="152"/>
      <c r="L139" s="161"/>
      <c r="M139" s="162"/>
      <c r="N139" s="152"/>
      <c r="P139" s="135"/>
      <c r="Q139" s="163"/>
      <c r="S139" s="135"/>
      <c r="U139" s="164"/>
      <c r="V139" s="158"/>
      <c r="W139" s="390">
        <f t="shared" ref="W139" ca="1" si="172">IF(B136&lt;&gt;"",1,0)</f>
        <v>0</v>
      </c>
      <c r="X139" s="390"/>
      <c r="Y139" s="390"/>
      <c r="Z139" s="390"/>
      <c r="AA139" s="384"/>
      <c r="AB139" s="384"/>
      <c r="AC139" s="384"/>
      <c r="AD139" s="384"/>
      <c r="AF139" s="173"/>
      <c r="AG139" s="224"/>
      <c r="AH139" s="384"/>
    </row>
    <row r="140" spans="1:34" collapsed="1">
      <c r="A140" s="182">
        <v>113</v>
      </c>
      <c r="B140" s="149" t="str">
        <f t="shared" ca="1" si="99"/>
        <v/>
      </c>
      <c r="C140" s="150">
        <f t="shared" ref="C140" ca="1" si="173">_xlfn.IFNA(_xlfn.XLOOKUP(B140,$AF$28:$AF$108,$AN$28:$AN$108,0),0)</f>
        <v>0</v>
      </c>
      <c r="D140" s="151">
        <f t="shared" ref="D140" ca="1" si="174">_xlfn.IFNA(_xlfn.XLOOKUP(B140,$AF$28:$AF$108,$AO$28:$AO$108,0),"")</f>
        <v>0</v>
      </c>
      <c r="F140" s="152"/>
      <c r="G140" s="153"/>
      <c r="H140" s="154"/>
      <c r="I140" s="152"/>
      <c r="K140" s="152"/>
      <c r="L140" s="153"/>
      <c r="M140" s="154"/>
      <c r="N140" s="152"/>
      <c r="P140" s="155" t="str" cm="1">
        <f t="array" aca="1" ref="P140" ca="1">$W$1&amp;_xlfn.XLOOKUP(B140,AF$28:$AF$108,$AQ$28:$AQ$108,"")</f>
        <v>Δ</v>
      </c>
      <c r="Q140" s="156">
        <f ca="1">IF((U140-V140)-(C140-D140)-SUM(G140:G143)+SUM(H140:H143)-SUM(L140:L143)+SUM(M140:M143)&gt;0,(U140-V140)-(C140-D140)-SUM(G140:G143)+SUM(H140:H143)-SUM(L140:L143)+SUM(M140:M143),0)</f>
        <v>0</v>
      </c>
      <c r="R140" s="157">
        <f ca="1">IF((U140-V140)-(C140-D140)-SUM(G140:G143)+SUM(H140:H143)-SUM(L140:L143)+SUM(M140:M143)&lt;0,-((U140-V140)-(C140-D140)-SUM(G140:G143)+SUM(H140:H143)-SUM(L140:L143)+SUM(M140:M143)),0)</f>
        <v>0</v>
      </c>
      <c r="S140" s="155" t="str">
        <f ca="1">P140</f>
        <v>Δ</v>
      </c>
      <c r="U140" s="150">
        <f ca="1">IF(AC140&gt;0,AC140,0)</f>
        <v>0</v>
      </c>
      <c r="V140" s="151">
        <f ca="1">IF(AD140&gt;0,AD140,0)</f>
        <v>0</v>
      </c>
      <c r="W140" s="390">
        <f t="shared" ref="W140" ca="1" si="175">IF(B140&lt;&gt;"",1,0)</f>
        <v>0</v>
      </c>
      <c r="X140" s="390"/>
      <c r="Y140" s="390"/>
      <c r="Z140" s="390"/>
      <c r="AA140" s="394">
        <f ca="1">SUMIF(Journal[Debit Account],B140,Journal[Dr Amt])</f>
        <v>0</v>
      </c>
      <c r="AB140" s="394">
        <f ca="1">SUMIF(Journal[Credit Account],B140,Journal[Cr Amt])</f>
        <v>0</v>
      </c>
      <c r="AC140" s="389">
        <f ca="1">C140-D140+AA140-AB140</f>
        <v>0</v>
      </c>
      <c r="AD140" s="389">
        <f ca="1">D140-C140+AB140-AA140</f>
        <v>0</v>
      </c>
      <c r="AF140" s="173"/>
      <c r="AG140" s="224"/>
      <c r="AH140" s="384"/>
    </row>
    <row r="141" spans="1:34" hidden="1" outlineLevel="1">
      <c r="A141" s="182">
        <v>114</v>
      </c>
      <c r="B141" s="158" t="str">
        <f t="shared" ca="1" si="99"/>
        <v/>
      </c>
      <c r="C141" s="159"/>
      <c r="D141" s="160"/>
      <c r="F141" s="152"/>
      <c r="G141" s="161"/>
      <c r="H141" s="162"/>
      <c r="I141" s="152"/>
      <c r="K141" s="152"/>
      <c r="L141" s="161"/>
      <c r="M141" s="162"/>
      <c r="N141" s="152"/>
      <c r="P141" s="135"/>
      <c r="Q141" s="163"/>
      <c r="S141" s="135"/>
      <c r="U141" s="164"/>
      <c r="V141" s="158"/>
      <c r="W141" s="390">
        <f t="shared" ref="W141" ca="1" si="176">IF(B140&lt;&gt;"",1,0)</f>
        <v>0</v>
      </c>
      <c r="X141" s="390"/>
      <c r="Y141" s="390"/>
      <c r="Z141" s="390"/>
      <c r="AA141" s="384"/>
      <c r="AB141" s="384"/>
      <c r="AC141" s="384"/>
      <c r="AD141" s="384"/>
      <c r="AF141" s="173"/>
      <c r="AG141" s="224"/>
      <c r="AH141" s="384"/>
    </row>
    <row r="142" spans="1:34" hidden="1" outlineLevel="1">
      <c r="A142" s="182">
        <v>115</v>
      </c>
      <c r="B142" s="158" t="str">
        <f t="shared" ca="1" si="99"/>
        <v/>
      </c>
      <c r="C142" s="159"/>
      <c r="D142" s="160"/>
      <c r="F142" s="152"/>
      <c r="G142" s="161"/>
      <c r="H142" s="162"/>
      <c r="I142" s="152"/>
      <c r="K142" s="152"/>
      <c r="L142" s="161"/>
      <c r="M142" s="162"/>
      <c r="N142" s="152"/>
      <c r="P142" s="135"/>
      <c r="Q142" s="163"/>
      <c r="S142" s="135"/>
      <c r="U142" s="164"/>
      <c r="V142" s="158"/>
      <c r="W142" s="390">
        <f t="shared" ref="W142" ca="1" si="177">IF(B140&lt;&gt;"",1,0)</f>
        <v>0</v>
      </c>
      <c r="X142" s="390"/>
      <c r="Y142" s="390"/>
      <c r="Z142" s="390"/>
      <c r="AA142" s="384"/>
      <c r="AB142" s="384"/>
      <c r="AC142" s="384"/>
      <c r="AD142" s="384"/>
      <c r="AF142" s="173"/>
      <c r="AG142" s="224"/>
      <c r="AH142" s="384"/>
    </row>
    <row r="143" spans="1:34" hidden="1" outlineLevel="1">
      <c r="A143" s="182">
        <v>116</v>
      </c>
      <c r="B143" s="165" t="str">
        <f t="shared" ca="1" si="99"/>
        <v/>
      </c>
      <c r="C143" s="166"/>
      <c r="D143" s="167"/>
      <c r="F143" s="152"/>
      <c r="G143" s="161"/>
      <c r="H143" s="162"/>
      <c r="I143" s="152"/>
      <c r="K143" s="152"/>
      <c r="L143" s="161"/>
      <c r="M143" s="162"/>
      <c r="N143" s="152"/>
      <c r="P143" s="135"/>
      <c r="Q143" s="163"/>
      <c r="S143" s="135"/>
      <c r="U143" s="164"/>
      <c r="V143" s="158"/>
      <c r="W143" s="390">
        <f t="shared" ref="W143" ca="1" si="178">IF(B140&lt;&gt;"",1,0)</f>
        <v>0</v>
      </c>
      <c r="X143" s="390"/>
      <c r="Y143" s="390"/>
      <c r="Z143" s="390"/>
      <c r="AA143" s="384"/>
      <c r="AB143" s="384"/>
      <c r="AC143" s="384"/>
      <c r="AD143" s="384"/>
      <c r="AF143" s="173"/>
      <c r="AG143" s="224"/>
      <c r="AH143" s="384"/>
    </row>
    <row r="144" spans="1:34" collapsed="1">
      <c r="A144" s="182">
        <v>117</v>
      </c>
      <c r="B144" s="149" t="str">
        <f t="shared" ca="1" si="99"/>
        <v/>
      </c>
      <c r="C144" s="150">
        <f t="shared" ref="C144" ca="1" si="179">_xlfn.IFNA(_xlfn.XLOOKUP(B144,$AF$28:$AF$108,$AN$28:$AN$108,0),0)</f>
        <v>0</v>
      </c>
      <c r="D144" s="151">
        <f t="shared" ref="D144" ca="1" si="180">_xlfn.IFNA(_xlfn.XLOOKUP(B144,$AF$28:$AF$108,$AO$28:$AO$108,0),"")</f>
        <v>0</v>
      </c>
      <c r="F144" s="152"/>
      <c r="G144" s="153"/>
      <c r="H144" s="154"/>
      <c r="I144" s="152"/>
      <c r="K144" s="152"/>
      <c r="L144" s="153"/>
      <c r="M144" s="154"/>
      <c r="N144" s="152"/>
      <c r="P144" s="155" t="str" cm="1">
        <f t="array" aca="1" ref="P144" ca="1">$W$1&amp;_xlfn.XLOOKUP(B144,AF$28:$AF$108,$AQ$28:$AQ$108,"")</f>
        <v>Δ</v>
      </c>
      <c r="Q144" s="156">
        <f ca="1">IF((U144-V144)-(C144-D144)-SUM(G144:G147)+SUM(H144:H147)-SUM(L144:L147)+SUM(M144:M147)&gt;0,(U144-V144)-(C144-D144)-SUM(G144:G147)+SUM(H144:H147)-SUM(L144:L147)+SUM(M144:M147),0)</f>
        <v>0</v>
      </c>
      <c r="R144" s="157">
        <f ca="1">IF((U144-V144)-(C144-D144)-SUM(G144:G147)+SUM(H144:H147)-SUM(L144:L147)+SUM(M144:M147)&lt;0,-((U144-V144)-(C144-D144)-SUM(G144:G147)+SUM(H144:H147)-SUM(L144:L147)+SUM(M144:M147)),0)</f>
        <v>0</v>
      </c>
      <c r="S144" s="155" t="str">
        <f ca="1">P144</f>
        <v>Δ</v>
      </c>
      <c r="U144" s="150">
        <f ca="1">IF(AC144&gt;0,AC144,0)</f>
        <v>0</v>
      </c>
      <c r="V144" s="151">
        <f ca="1">IF(AD144&gt;0,AD144,0)</f>
        <v>0</v>
      </c>
      <c r="W144" s="390">
        <f t="shared" ref="W144" ca="1" si="181">IF(B144&lt;&gt;"",1,0)</f>
        <v>0</v>
      </c>
      <c r="X144" s="390"/>
      <c r="Y144" s="390"/>
      <c r="Z144" s="390"/>
      <c r="AA144" s="394">
        <f ca="1">SUMIF(Journal[Debit Account],B144,Journal[Dr Amt])</f>
        <v>0</v>
      </c>
      <c r="AB144" s="394">
        <f ca="1">SUMIF(Journal[Credit Account],B144,Journal[Cr Amt])</f>
        <v>0</v>
      </c>
      <c r="AC144" s="389">
        <f ca="1">C144-D144+AA144-AB144</f>
        <v>0</v>
      </c>
      <c r="AD144" s="389">
        <f ca="1">D144-C144+AB144-AA144</f>
        <v>0</v>
      </c>
      <c r="AF144" s="173"/>
      <c r="AG144" s="224"/>
      <c r="AH144" s="384"/>
    </row>
    <row r="145" spans="1:34" hidden="1" outlineLevel="1">
      <c r="A145" s="182">
        <v>118</v>
      </c>
      <c r="B145" s="158" t="str">
        <f t="shared" ca="1" si="99"/>
        <v/>
      </c>
      <c r="C145" s="159"/>
      <c r="D145" s="160"/>
      <c r="F145" s="152"/>
      <c r="G145" s="161"/>
      <c r="H145" s="162"/>
      <c r="I145" s="152"/>
      <c r="K145" s="152"/>
      <c r="L145" s="161"/>
      <c r="M145" s="162"/>
      <c r="N145" s="152"/>
      <c r="P145" s="135"/>
      <c r="Q145" s="163"/>
      <c r="S145" s="135"/>
      <c r="U145" s="164"/>
      <c r="V145" s="158"/>
      <c r="W145" s="390">
        <f t="shared" ref="W145" ca="1" si="182">IF(B144&lt;&gt;"",1,0)</f>
        <v>0</v>
      </c>
      <c r="X145" s="390"/>
      <c r="Y145" s="390"/>
      <c r="Z145" s="390"/>
      <c r="AA145" s="384"/>
      <c r="AB145" s="384"/>
      <c r="AC145" s="384"/>
      <c r="AD145" s="384"/>
      <c r="AF145" s="173"/>
      <c r="AG145" s="395"/>
      <c r="AH145" s="384"/>
    </row>
    <row r="146" spans="1:34" hidden="1" outlineLevel="1">
      <c r="A146" s="182">
        <v>119</v>
      </c>
      <c r="B146" s="158" t="str">
        <f t="shared" ca="1" si="99"/>
        <v/>
      </c>
      <c r="C146" s="159"/>
      <c r="D146" s="160"/>
      <c r="F146" s="152"/>
      <c r="G146" s="161"/>
      <c r="H146" s="162"/>
      <c r="I146" s="152"/>
      <c r="K146" s="152"/>
      <c r="L146" s="161"/>
      <c r="M146" s="162"/>
      <c r="N146" s="152"/>
      <c r="P146" s="135"/>
      <c r="Q146" s="163"/>
      <c r="S146" s="135"/>
      <c r="U146" s="164"/>
      <c r="V146" s="158"/>
      <c r="W146" s="390">
        <f t="shared" ref="W146" ca="1" si="183">IF(B144&lt;&gt;"",1,0)</f>
        <v>0</v>
      </c>
      <c r="X146" s="390"/>
      <c r="Y146" s="390"/>
      <c r="Z146" s="390"/>
      <c r="AA146" s="384"/>
      <c r="AB146" s="384"/>
      <c r="AC146" s="384"/>
      <c r="AD146" s="384"/>
      <c r="AF146" s="173"/>
      <c r="AG146" s="395"/>
      <c r="AH146" s="384"/>
    </row>
    <row r="147" spans="1:34" hidden="1" outlineLevel="1">
      <c r="A147" s="182">
        <v>120</v>
      </c>
      <c r="B147" s="165" t="str">
        <f t="shared" ca="1" si="99"/>
        <v/>
      </c>
      <c r="C147" s="166"/>
      <c r="D147" s="167"/>
      <c r="F147" s="152"/>
      <c r="G147" s="161"/>
      <c r="H147" s="162"/>
      <c r="I147" s="152"/>
      <c r="K147" s="152"/>
      <c r="L147" s="161"/>
      <c r="M147" s="162"/>
      <c r="N147" s="152"/>
      <c r="P147" s="135"/>
      <c r="Q147" s="163"/>
      <c r="S147" s="135"/>
      <c r="U147" s="164"/>
      <c r="V147" s="158"/>
      <c r="W147" s="390">
        <f t="shared" ref="W147" ca="1" si="184">IF(B144&lt;&gt;"",1,0)</f>
        <v>0</v>
      </c>
      <c r="X147" s="390"/>
      <c r="Y147" s="390"/>
      <c r="Z147" s="390"/>
      <c r="AA147" s="384"/>
      <c r="AB147" s="384"/>
      <c r="AC147" s="384"/>
      <c r="AD147" s="384"/>
      <c r="AF147" s="173"/>
      <c r="AG147" s="395"/>
      <c r="AH147" s="384"/>
    </row>
    <row r="148" spans="1:34" collapsed="1">
      <c r="A148" s="182">
        <v>121</v>
      </c>
      <c r="B148" s="149" t="str">
        <f t="shared" ca="1" si="99"/>
        <v/>
      </c>
      <c r="C148" s="150">
        <f t="shared" ref="C148" ca="1" si="185">_xlfn.IFNA(_xlfn.XLOOKUP(B148,$AF$28:$AF$108,$AN$28:$AN$108,0),0)</f>
        <v>0</v>
      </c>
      <c r="D148" s="151">
        <f t="shared" ref="D148" ca="1" si="186">_xlfn.IFNA(_xlfn.XLOOKUP(B148,$AF$28:$AF$108,$AO$28:$AO$108,0),"")</f>
        <v>0</v>
      </c>
      <c r="F148" s="152"/>
      <c r="G148" s="153"/>
      <c r="H148" s="154"/>
      <c r="I148" s="152"/>
      <c r="K148" s="152"/>
      <c r="L148" s="153"/>
      <c r="M148" s="154"/>
      <c r="N148" s="152"/>
      <c r="P148" s="155" t="str" cm="1">
        <f t="array" aca="1" ref="P148" ca="1">$W$1&amp;_xlfn.XLOOKUP(B148,AF$28:$AF$108,$AQ$28:$AQ$108,"")</f>
        <v>Δ</v>
      </c>
      <c r="Q148" s="156">
        <f ca="1">IF((U148-V148)-(C148-D148)-SUM(G148:G151)+SUM(H148:H151)-SUM(L148:L151)+SUM(M148:M151)&gt;0,(U148-V148)-(C148-D148)-SUM(G148:G151)+SUM(H148:H151)-SUM(L148:L151)+SUM(M148:M151),0)</f>
        <v>0</v>
      </c>
      <c r="R148" s="157">
        <f ca="1">IF((U148-V148)-(C148-D148)-SUM(G148:G151)+SUM(H148:H151)-SUM(L148:L151)+SUM(M148:M151)&lt;0,-((U148-V148)-(C148-D148)-SUM(G148:G151)+SUM(H148:H151)-SUM(L148:L151)+SUM(M148:M151)),0)</f>
        <v>0</v>
      </c>
      <c r="S148" s="155" t="str">
        <f ca="1">P148</f>
        <v>Δ</v>
      </c>
      <c r="U148" s="150">
        <f ca="1">IF(AC148&gt;0,AC148,0)</f>
        <v>0</v>
      </c>
      <c r="V148" s="151">
        <f ca="1">IF(AD148&gt;0,AD148,0)</f>
        <v>0</v>
      </c>
      <c r="W148" s="390">
        <f t="shared" ref="W148" ca="1" si="187">IF(B148&lt;&gt;"",1,0)</f>
        <v>0</v>
      </c>
      <c r="X148" s="390"/>
      <c r="Y148" s="390"/>
      <c r="Z148" s="390"/>
      <c r="AA148" s="394">
        <f ca="1">SUMIF(Journal[Debit Account],B148,Journal[Dr Amt])</f>
        <v>0</v>
      </c>
      <c r="AB148" s="394">
        <f ca="1">SUMIF(Journal[Credit Account],B148,Journal[Cr Amt])</f>
        <v>0</v>
      </c>
      <c r="AC148" s="389">
        <f ca="1">C148-D148+AA148-AB148</f>
        <v>0</v>
      </c>
      <c r="AD148" s="389">
        <f ca="1">D148-C148+AB148-AA148</f>
        <v>0</v>
      </c>
      <c r="AF148" s="173"/>
      <c r="AG148" s="395"/>
      <c r="AH148" s="384"/>
    </row>
    <row r="149" spans="1:34" hidden="1" outlineLevel="1">
      <c r="A149" s="182">
        <v>122</v>
      </c>
      <c r="B149" s="158" t="str">
        <f t="shared" ca="1" si="99"/>
        <v/>
      </c>
      <c r="C149" s="159"/>
      <c r="D149" s="160"/>
      <c r="F149" s="152"/>
      <c r="G149" s="161"/>
      <c r="H149" s="162"/>
      <c r="I149" s="152"/>
      <c r="K149" s="152"/>
      <c r="L149" s="161"/>
      <c r="M149" s="162"/>
      <c r="N149" s="152"/>
      <c r="P149" s="135"/>
      <c r="Q149" s="163"/>
      <c r="S149" s="135"/>
      <c r="U149" s="164"/>
      <c r="V149" s="158"/>
      <c r="W149" s="390">
        <f t="shared" ref="W149" ca="1" si="188">IF(B148&lt;&gt;"",1,0)</f>
        <v>0</v>
      </c>
      <c r="X149" s="390"/>
      <c r="Y149" s="390"/>
      <c r="Z149" s="390"/>
      <c r="AA149" s="384"/>
      <c r="AB149" s="384"/>
      <c r="AC149" s="384"/>
      <c r="AD149" s="384"/>
      <c r="AF149" s="173"/>
      <c r="AG149" s="395"/>
      <c r="AH149" s="384"/>
    </row>
    <row r="150" spans="1:34" hidden="1" outlineLevel="1">
      <c r="A150" s="182">
        <v>123</v>
      </c>
      <c r="B150" s="158" t="str">
        <f t="shared" ca="1" si="99"/>
        <v/>
      </c>
      <c r="C150" s="159"/>
      <c r="D150" s="160"/>
      <c r="F150" s="152"/>
      <c r="G150" s="161"/>
      <c r="H150" s="162"/>
      <c r="I150" s="152"/>
      <c r="K150" s="152"/>
      <c r="L150" s="161"/>
      <c r="M150" s="162"/>
      <c r="N150" s="152"/>
      <c r="P150" s="135"/>
      <c r="Q150" s="163"/>
      <c r="S150" s="135"/>
      <c r="U150" s="164"/>
      <c r="V150" s="158"/>
      <c r="W150" s="390">
        <f t="shared" ref="W150" ca="1" si="189">IF(B148&lt;&gt;"",1,0)</f>
        <v>0</v>
      </c>
      <c r="X150" s="390"/>
      <c r="Y150" s="390"/>
      <c r="Z150" s="390"/>
      <c r="AA150" s="384"/>
      <c r="AB150" s="384"/>
      <c r="AC150" s="384"/>
      <c r="AD150" s="384"/>
      <c r="AF150" s="173"/>
      <c r="AG150" s="395"/>
      <c r="AH150" s="384"/>
    </row>
    <row r="151" spans="1:34" hidden="1" outlineLevel="1">
      <c r="A151" s="182">
        <v>124</v>
      </c>
      <c r="B151" s="165" t="str">
        <f t="shared" ca="1" si="99"/>
        <v/>
      </c>
      <c r="C151" s="166"/>
      <c r="D151" s="167"/>
      <c r="F151" s="152"/>
      <c r="G151" s="161"/>
      <c r="H151" s="162"/>
      <c r="I151" s="152"/>
      <c r="K151" s="152"/>
      <c r="L151" s="161"/>
      <c r="M151" s="162"/>
      <c r="N151" s="152"/>
      <c r="P151" s="135"/>
      <c r="Q151" s="163"/>
      <c r="S151" s="135"/>
      <c r="U151" s="164"/>
      <c r="V151" s="158"/>
      <c r="W151" s="390">
        <f t="shared" ref="W151" ca="1" si="190">IF(B148&lt;&gt;"",1,0)</f>
        <v>0</v>
      </c>
      <c r="X151" s="390"/>
      <c r="Y151" s="390"/>
      <c r="Z151" s="390"/>
      <c r="AA151" s="384"/>
      <c r="AB151" s="384"/>
      <c r="AC151" s="384"/>
      <c r="AD151" s="384"/>
      <c r="AF151" s="173"/>
      <c r="AG151" s="395"/>
      <c r="AH151" s="384"/>
    </row>
    <row r="152" spans="1:34" collapsed="1">
      <c r="A152" s="182">
        <v>125</v>
      </c>
      <c r="B152" s="149" t="str">
        <f t="shared" ca="1" si="99"/>
        <v/>
      </c>
      <c r="C152" s="150">
        <f t="shared" ref="C152" ca="1" si="191">_xlfn.IFNA(_xlfn.XLOOKUP(B152,$AF$28:$AF$108,$AN$28:$AN$108,0),0)</f>
        <v>0</v>
      </c>
      <c r="D152" s="151">
        <f t="shared" ref="D152" ca="1" si="192">_xlfn.IFNA(_xlfn.XLOOKUP(B152,$AF$28:$AF$108,$AO$28:$AO$108,0),"")</f>
        <v>0</v>
      </c>
      <c r="F152" s="152"/>
      <c r="G152" s="153"/>
      <c r="H152" s="154"/>
      <c r="I152" s="152"/>
      <c r="K152" s="152"/>
      <c r="L152" s="153"/>
      <c r="M152" s="154"/>
      <c r="N152" s="152"/>
      <c r="P152" s="155" t="str" cm="1">
        <f t="array" aca="1" ref="P152" ca="1">$W$1&amp;_xlfn.XLOOKUP(B152,AF$28:$AF$108,$AQ$28:$AQ$108,"")</f>
        <v>Δ</v>
      </c>
      <c r="Q152" s="156">
        <f ca="1">IF((U152-V152)-(C152-D152)-SUM(G152:G155)+SUM(H152:H155)-SUM(L152:L155)+SUM(M152:M155)&gt;0,(U152-V152)-(C152-D152)-SUM(G152:G155)+SUM(H152:H155)-SUM(L152:L155)+SUM(M152:M155),0)</f>
        <v>0</v>
      </c>
      <c r="R152" s="157">
        <f ca="1">IF((U152-V152)-(C152-D152)-SUM(G152:G155)+SUM(H152:H155)-SUM(L152:L155)+SUM(M152:M155)&lt;0,-((U152-V152)-(C152-D152)-SUM(G152:G155)+SUM(H152:H155)-SUM(L152:L155)+SUM(M152:M155)),0)</f>
        <v>0</v>
      </c>
      <c r="S152" s="155" t="str">
        <f ca="1">P152</f>
        <v>Δ</v>
      </c>
      <c r="U152" s="150">
        <f ca="1">IF(AC152&gt;0,AC152,0)</f>
        <v>0</v>
      </c>
      <c r="V152" s="151">
        <f ca="1">IF(AD152&gt;0,AD152,0)</f>
        <v>0</v>
      </c>
      <c r="W152" s="390">
        <f t="shared" ref="W152" ca="1" si="193">IF(B152&lt;&gt;"",1,0)</f>
        <v>0</v>
      </c>
      <c r="X152" s="390"/>
      <c r="Y152" s="390"/>
      <c r="Z152" s="390"/>
      <c r="AA152" s="394">
        <f ca="1">SUMIF(Journal[Debit Account],B152,Journal[Dr Amt])</f>
        <v>0</v>
      </c>
      <c r="AB152" s="394">
        <f ca="1">SUMIF(Journal[Credit Account],B152,Journal[Cr Amt])</f>
        <v>0</v>
      </c>
      <c r="AC152" s="389">
        <f ca="1">C152-D152+AA152-AB152</f>
        <v>0</v>
      </c>
      <c r="AD152" s="389">
        <f ca="1">D152-C152+AB152-AA152</f>
        <v>0</v>
      </c>
      <c r="AF152" s="173"/>
      <c r="AG152" s="173"/>
    </row>
    <row r="153" spans="1:34" hidden="1" outlineLevel="1">
      <c r="A153" s="182">
        <v>126</v>
      </c>
      <c r="B153" s="158" t="str">
        <f t="shared" ca="1" si="99"/>
        <v/>
      </c>
      <c r="C153" s="159"/>
      <c r="D153" s="160"/>
      <c r="F153" s="152"/>
      <c r="G153" s="161"/>
      <c r="H153" s="162"/>
      <c r="I153" s="152"/>
      <c r="K153" s="152"/>
      <c r="L153" s="161"/>
      <c r="M153" s="162"/>
      <c r="N153" s="152"/>
      <c r="P153" s="135"/>
      <c r="Q153" s="163"/>
      <c r="S153" s="135"/>
      <c r="U153" s="164"/>
      <c r="V153" s="158"/>
      <c r="W153" s="390">
        <f t="shared" ref="W153" ca="1" si="194">IF(B152&lt;&gt;"",1,0)</f>
        <v>0</v>
      </c>
      <c r="X153" s="390"/>
      <c r="Y153" s="390"/>
      <c r="Z153" s="390"/>
      <c r="AA153" s="384"/>
      <c r="AB153" s="384"/>
      <c r="AC153" s="384"/>
      <c r="AD153" s="384"/>
      <c r="AF153" s="173"/>
      <c r="AG153" s="173"/>
    </row>
    <row r="154" spans="1:34" hidden="1" outlineLevel="1">
      <c r="A154" s="182">
        <v>127</v>
      </c>
      <c r="B154" s="158" t="str">
        <f t="shared" ca="1" si="99"/>
        <v/>
      </c>
      <c r="C154" s="159"/>
      <c r="D154" s="160"/>
      <c r="F154" s="152"/>
      <c r="G154" s="161"/>
      <c r="H154" s="162"/>
      <c r="I154" s="152"/>
      <c r="K154" s="152"/>
      <c r="L154" s="161"/>
      <c r="M154" s="162"/>
      <c r="N154" s="152"/>
      <c r="P154" s="135"/>
      <c r="Q154" s="163"/>
      <c r="S154" s="135"/>
      <c r="U154" s="164"/>
      <c r="V154" s="158"/>
      <c r="W154" s="390">
        <f t="shared" ref="W154" ca="1" si="195">IF(B152&lt;&gt;"",1,0)</f>
        <v>0</v>
      </c>
      <c r="X154" s="390"/>
      <c r="Y154" s="390"/>
      <c r="Z154" s="390"/>
      <c r="AA154" s="384"/>
      <c r="AB154" s="384"/>
      <c r="AC154" s="384"/>
      <c r="AD154" s="384"/>
      <c r="AF154" s="173"/>
      <c r="AG154" s="173"/>
    </row>
    <row r="155" spans="1:34" hidden="1" outlineLevel="1">
      <c r="A155" s="182">
        <v>128</v>
      </c>
      <c r="B155" s="165" t="str">
        <f t="shared" ca="1" si="99"/>
        <v/>
      </c>
      <c r="C155" s="166"/>
      <c r="D155" s="167"/>
      <c r="F155" s="152"/>
      <c r="G155" s="161"/>
      <c r="H155" s="162"/>
      <c r="I155" s="152"/>
      <c r="K155" s="152"/>
      <c r="L155" s="161"/>
      <c r="M155" s="162"/>
      <c r="N155" s="152"/>
      <c r="P155" s="135"/>
      <c r="Q155" s="163"/>
      <c r="S155" s="135"/>
      <c r="U155" s="164"/>
      <c r="V155" s="158"/>
      <c r="W155" s="390">
        <f t="shared" ref="W155" ca="1" si="196">IF(B152&lt;&gt;"",1,0)</f>
        <v>0</v>
      </c>
      <c r="X155" s="390"/>
      <c r="Y155" s="390"/>
      <c r="Z155" s="390"/>
      <c r="AA155" s="384"/>
      <c r="AB155" s="384"/>
      <c r="AC155" s="384"/>
      <c r="AD155" s="384"/>
      <c r="AF155" s="173"/>
      <c r="AG155" s="173"/>
    </row>
    <row r="156" spans="1:34" collapsed="1">
      <c r="A156" s="182">
        <v>129</v>
      </c>
      <c r="B156" s="149" t="str">
        <f t="shared" ca="1" si="99"/>
        <v/>
      </c>
      <c r="C156" s="150">
        <f t="shared" ref="C156" ca="1" si="197">_xlfn.IFNA(_xlfn.XLOOKUP(B156,$AF$28:$AF$108,$AN$28:$AN$108,0),0)</f>
        <v>0</v>
      </c>
      <c r="D156" s="151">
        <f t="shared" ref="D156" ca="1" si="198">_xlfn.IFNA(_xlfn.XLOOKUP(B156,$AF$28:$AF$108,$AO$28:$AO$108,0),"")</f>
        <v>0</v>
      </c>
      <c r="F156" s="152"/>
      <c r="G156" s="153"/>
      <c r="H156" s="154"/>
      <c r="I156" s="152"/>
      <c r="K156" s="152"/>
      <c r="L156" s="153"/>
      <c r="M156" s="154"/>
      <c r="N156" s="152"/>
      <c r="P156" s="155" t="str" cm="1">
        <f t="array" aca="1" ref="P156" ca="1">$W$1&amp;_xlfn.XLOOKUP(B156,AF$28:$AF$108,$AQ$28:$AQ$108,"")</f>
        <v>Δ</v>
      </c>
      <c r="Q156" s="156">
        <f ca="1">IF((U156-V156)-(C156-D156)-SUM(G156:G159)+SUM(H156:H159)-SUM(L156:L159)+SUM(M156:M159)&gt;0,(U156-V156)-(C156-D156)-SUM(G156:G159)+SUM(H156:H159)-SUM(L156:L159)+SUM(M156:M159),0)</f>
        <v>0</v>
      </c>
      <c r="R156" s="157">
        <f ca="1">IF((U156-V156)-(C156-D156)-SUM(G156:G159)+SUM(H156:H159)-SUM(L156:L159)+SUM(M156:M159)&lt;0,-((U156-V156)-(C156-D156)-SUM(G156:G159)+SUM(H156:H159)-SUM(L156:L159)+SUM(M156:M159)),0)</f>
        <v>0</v>
      </c>
      <c r="S156" s="155" t="str">
        <f ca="1">P156</f>
        <v>Δ</v>
      </c>
      <c r="U156" s="150">
        <f ca="1">IF(AC156&gt;0,AC156,0)</f>
        <v>0</v>
      </c>
      <c r="V156" s="151">
        <f ca="1">IF(AD156&gt;0,AD156,0)</f>
        <v>0</v>
      </c>
      <c r="W156" s="390">
        <f t="shared" ref="W156" ca="1" si="199">IF(B156&lt;&gt;"",1,0)</f>
        <v>0</v>
      </c>
      <c r="X156" s="390"/>
      <c r="Y156" s="390"/>
      <c r="Z156" s="390"/>
      <c r="AA156" s="394">
        <f ca="1">SUMIF(Journal[Debit Account],B156,Journal[Dr Amt])</f>
        <v>0</v>
      </c>
      <c r="AB156" s="394">
        <f ca="1">SUMIF(Journal[Credit Account],B156,Journal[Cr Amt])</f>
        <v>0</v>
      </c>
      <c r="AC156" s="389">
        <f ca="1">C156-D156+AA156-AB156</f>
        <v>0</v>
      </c>
      <c r="AD156" s="389">
        <f ca="1">D156-C156+AB156-AA156</f>
        <v>0</v>
      </c>
      <c r="AF156" s="173"/>
      <c r="AG156" s="173"/>
    </row>
    <row r="157" spans="1:34" hidden="1" outlineLevel="1">
      <c r="A157" s="182">
        <v>130</v>
      </c>
      <c r="B157" s="158" t="str">
        <f t="shared" ref="B157:B215" ca="1" si="200">_xlfn.IFNA(_xlfn.XLOOKUP(A157,$AE$28:$AE$108,$AF$28:$AF$108,""),"")</f>
        <v/>
      </c>
      <c r="C157" s="159"/>
      <c r="D157" s="160"/>
      <c r="F157" s="152"/>
      <c r="G157" s="161"/>
      <c r="H157" s="162"/>
      <c r="I157" s="152"/>
      <c r="K157" s="152"/>
      <c r="L157" s="161"/>
      <c r="M157" s="162"/>
      <c r="N157" s="152"/>
      <c r="P157" s="135"/>
      <c r="Q157" s="163"/>
      <c r="S157" s="135"/>
      <c r="U157" s="164"/>
      <c r="V157" s="158"/>
      <c r="W157" s="390">
        <f t="shared" ref="W157" ca="1" si="201">IF(B156&lt;&gt;"",1,0)</f>
        <v>0</v>
      </c>
      <c r="X157" s="390"/>
      <c r="Y157" s="390"/>
      <c r="Z157" s="390"/>
      <c r="AA157" s="384"/>
      <c r="AB157" s="384"/>
      <c r="AC157" s="384"/>
      <c r="AD157" s="384"/>
      <c r="AF157" s="173"/>
      <c r="AG157" s="173"/>
    </row>
    <row r="158" spans="1:34" hidden="1" outlineLevel="1">
      <c r="A158" s="182">
        <v>131</v>
      </c>
      <c r="B158" s="158" t="str">
        <f t="shared" ca="1" si="200"/>
        <v/>
      </c>
      <c r="C158" s="159"/>
      <c r="D158" s="160"/>
      <c r="F158" s="152"/>
      <c r="G158" s="161"/>
      <c r="H158" s="162"/>
      <c r="I158" s="152"/>
      <c r="K158" s="152"/>
      <c r="L158" s="161"/>
      <c r="M158" s="162"/>
      <c r="N158" s="152"/>
      <c r="P158" s="135"/>
      <c r="Q158" s="163"/>
      <c r="S158" s="135"/>
      <c r="U158" s="164"/>
      <c r="V158" s="158"/>
      <c r="W158" s="390">
        <f t="shared" ref="W158" ca="1" si="202">IF(B156&lt;&gt;"",1,0)</f>
        <v>0</v>
      </c>
      <c r="X158" s="390"/>
      <c r="Y158" s="390"/>
      <c r="Z158" s="390"/>
      <c r="AA158" s="384"/>
      <c r="AB158" s="384"/>
      <c r="AC158" s="384"/>
      <c r="AD158" s="384"/>
      <c r="AF158" s="173"/>
      <c r="AG158" s="173"/>
    </row>
    <row r="159" spans="1:34" hidden="1" outlineLevel="1">
      <c r="A159" s="182">
        <v>132</v>
      </c>
      <c r="B159" s="165" t="str">
        <f t="shared" ca="1" si="200"/>
        <v/>
      </c>
      <c r="C159" s="166"/>
      <c r="D159" s="167"/>
      <c r="F159" s="152"/>
      <c r="G159" s="161"/>
      <c r="H159" s="162"/>
      <c r="I159" s="152"/>
      <c r="K159" s="152"/>
      <c r="L159" s="161"/>
      <c r="M159" s="162"/>
      <c r="N159" s="152"/>
      <c r="P159" s="135"/>
      <c r="Q159" s="163"/>
      <c r="S159" s="135"/>
      <c r="U159" s="164"/>
      <c r="V159" s="158"/>
      <c r="W159" s="390">
        <f t="shared" ref="W159" ca="1" si="203">IF(B156&lt;&gt;"",1,0)</f>
        <v>0</v>
      </c>
      <c r="X159" s="390"/>
      <c r="Y159" s="390"/>
      <c r="Z159" s="390"/>
      <c r="AA159" s="384"/>
      <c r="AB159" s="384"/>
      <c r="AC159" s="384"/>
      <c r="AD159" s="384"/>
      <c r="AF159" s="173"/>
      <c r="AG159" s="173"/>
    </row>
    <row r="160" spans="1:34" collapsed="1">
      <c r="A160" s="182">
        <v>133</v>
      </c>
      <c r="B160" s="149" t="str">
        <f t="shared" ca="1" si="200"/>
        <v/>
      </c>
      <c r="C160" s="150">
        <f t="shared" ref="C160" ca="1" si="204">_xlfn.IFNA(_xlfn.XLOOKUP(B160,$AF$28:$AF$108,$AN$28:$AN$108,0),0)</f>
        <v>0</v>
      </c>
      <c r="D160" s="151">
        <f t="shared" ref="D160" ca="1" si="205">_xlfn.IFNA(_xlfn.XLOOKUP(B160,$AF$28:$AF$108,$AO$28:$AO$108,0),"")</f>
        <v>0</v>
      </c>
      <c r="F160" s="152"/>
      <c r="G160" s="153"/>
      <c r="H160" s="154"/>
      <c r="I160" s="152"/>
      <c r="K160" s="152"/>
      <c r="L160" s="153"/>
      <c r="M160" s="154"/>
      <c r="N160" s="152"/>
      <c r="P160" s="155" t="str" cm="1">
        <f t="array" aca="1" ref="P160" ca="1">$W$1&amp;_xlfn.XLOOKUP(B160,AF$28:$AF$108,$AQ$28:$AQ$108,"")</f>
        <v>Δ</v>
      </c>
      <c r="Q160" s="156">
        <f ca="1">IF((U160-V160)-(C160-D160)-SUM(G160:G163)+SUM(H160:H163)-SUM(L160:L163)+SUM(M160:M163)&gt;0,(U160-V160)-(C160-D160)-SUM(G160:G163)+SUM(H160:H163)-SUM(L160:L163)+SUM(M160:M163),0)</f>
        <v>0</v>
      </c>
      <c r="R160" s="157">
        <f ca="1">IF((U160-V160)-(C160-D160)-SUM(G160:G163)+SUM(H160:H163)-SUM(L160:L163)+SUM(M160:M163)&lt;0,-((U160-V160)-(C160-D160)-SUM(G160:G163)+SUM(H160:H163)-SUM(L160:L163)+SUM(M160:M163)),0)</f>
        <v>0</v>
      </c>
      <c r="S160" s="155" t="str">
        <f ca="1">P160</f>
        <v>Δ</v>
      </c>
      <c r="U160" s="150">
        <f ca="1">IF(AC160&gt;0,AC160,0)</f>
        <v>0</v>
      </c>
      <c r="V160" s="151">
        <f ca="1">IF(AD160&gt;0,AD160,0)</f>
        <v>0</v>
      </c>
      <c r="W160" s="390">
        <f t="shared" ref="W160" ca="1" si="206">IF(B160&lt;&gt;"",1,0)</f>
        <v>0</v>
      </c>
      <c r="X160" s="390"/>
      <c r="Y160" s="390"/>
      <c r="Z160" s="390"/>
      <c r="AA160" s="394">
        <f ca="1">SUMIF(Journal[Debit Account],B160,Journal[Dr Amt])</f>
        <v>0</v>
      </c>
      <c r="AB160" s="394">
        <f ca="1">SUMIF(Journal[Credit Account],B160,Journal[Cr Amt])</f>
        <v>0</v>
      </c>
      <c r="AC160" s="389">
        <f ca="1">C160-D160+AA160-AB160</f>
        <v>0</v>
      </c>
      <c r="AD160" s="389">
        <f ca="1">D160-C160+AB160-AA160</f>
        <v>0</v>
      </c>
      <c r="AF160" s="173"/>
      <c r="AG160" s="173"/>
    </row>
    <row r="161" spans="1:33" hidden="1" outlineLevel="1">
      <c r="A161" s="182">
        <v>134</v>
      </c>
      <c r="B161" s="158" t="str">
        <f t="shared" ca="1" si="200"/>
        <v/>
      </c>
      <c r="C161" s="159"/>
      <c r="D161" s="160"/>
      <c r="F161" s="152"/>
      <c r="G161" s="161"/>
      <c r="H161" s="162"/>
      <c r="I161" s="152"/>
      <c r="K161" s="152"/>
      <c r="L161" s="161"/>
      <c r="M161" s="162"/>
      <c r="N161" s="152"/>
      <c r="P161" s="135"/>
      <c r="Q161" s="163"/>
      <c r="S161" s="135"/>
      <c r="U161" s="164"/>
      <c r="V161" s="158"/>
      <c r="W161" s="390">
        <f t="shared" ref="W161" ca="1" si="207">IF(B160&lt;&gt;"",1,0)</f>
        <v>0</v>
      </c>
      <c r="X161" s="390"/>
      <c r="Y161" s="390"/>
      <c r="Z161" s="390"/>
      <c r="AA161" s="384"/>
      <c r="AB161" s="384"/>
      <c r="AC161" s="384"/>
      <c r="AD161" s="384"/>
      <c r="AF161" s="173"/>
      <c r="AG161" s="173"/>
    </row>
    <row r="162" spans="1:33" hidden="1" outlineLevel="1">
      <c r="A162" s="182">
        <v>135</v>
      </c>
      <c r="B162" s="158" t="str">
        <f t="shared" ca="1" si="200"/>
        <v/>
      </c>
      <c r="C162" s="159"/>
      <c r="D162" s="160"/>
      <c r="F162" s="152"/>
      <c r="G162" s="161"/>
      <c r="H162" s="162"/>
      <c r="I162" s="152"/>
      <c r="K162" s="152"/>
      <c r="L162" s="161"/>
      <c r="M162" s="162"/>
      <c r="N162" s="152"/>
      <c r="P162" s="135"/>
      <c r="Q162" s="163"/>
      <c r="S162" s="135"/>
      <c r="U162" s="164"/>
      <c r="V162" s="158"/>
      <c r="W162" s="390">
        <f t="shared" ref="W162" ca="1" si="208">IF(B160&lt;&gt;"",1,0)</f>
        <v>0</v>
      </c>
      <c r="X162" s="390"/>
      <c r="Y162" s="390"/>
      <c r="Z162" s="390"/>
      <c r="AA162" s="384"/>
      <c r="AB162" s="384"/>
      <c r="AC162" s="384"/>
      <c r="AD162" s="384"/>
      <c r="AF162" s="173"/>
      <c r="AG162" s="173"/>
    </row>
    <row r="163" spans="1:33" hidden="1" outlineLevel="1">
      <c r="A163" s="182">
        <v>136</v>
      </c>
      <c r="B163" s="165" t="str">
        <f t="shared" ca="1" si="200"/>
        <v/>
      </c>
      <c r="C163" s="166"/>
      <c r="D163" s="167"/>
      <c r="F163" s="152"/>
      <c r="G163" s="161"/>
      <c r="H163" s="162"/>
      <c r="I163" s="152"/>
      <c r="K163" s="152"/>
      <c r="L163" s="161"/>
      <c r="M163" s="162"/>
      <c r="N163" s="152"/>
      <c r="P163" s="135"/>
      <c r="Q163" s="163"/>
      <c r="S163" s="135"/>
      <c r="U163" s="164"/>
      <c r="V163" s="158"/>
      <c r="W163" s="390">
        <f t="shared" ref="W163" ca="1" si="209">IF(B160&lt;&gt;"",1,0)</f>
        <v>0</v>
      </c>
      <c r="X163" s="390"/>
      <c r="Y163" s="390"/>
      <c r="Z163" s="390"/>
      <c r="AA163" s="384"/>
      <c r="AB163" s="384"/>
      <c r="AC163" s="384"/>
      <c r="AD163" s="384"/>
      <c r="AF163" s="173"/>
      <c r="AG163" s="173"/>
    </row>
    <row r="164" spans="1:33" collapsed="1">
      <c r="A164" s="182">
        <v>137</v>
      </c>
      <c r="B164" s="149" t="str">
        <f t="shared" ca="1" si="200"/>
        <v/>
      </c>
      <c r="C164" s="150">
        <f t="shared" ref="C164" ca="1" si="210">_xlfn.IFNA(_xlfn.XLOOKUP(B164,$AF$28:$AF$108,$AN$28:$AN$108,0),0)</f>
        <v>0</v>
      </c>
      <c r="D164" s="151">
        <f t="shared" ref="D164" ca="1" si="211">_xlfn.IFNA(_xlfn.XLOOKUP(B164,$AF$28:$AF$108,$AO$28:$AO$108,0),"")</f>
        <v>0</v>
      </c>
      <c r="F164" s="152"/>
      <c r="G164" s="153"/>
      <c r="H164" s="154"/>
      <c r="I164" s="152"/>
      <c r="K164" s="152"/>
      <c r="L164" s="153"/>
      <c r="M164" s="154"/>
      <c r="N164" s="152"/>
      <c r="P164" s="155" t="str" cm="1">
        <f t="array" aca="1" ref="P164" ca="1">$W$1&amp;_xlfn.XLOOKUP(B164,AF$28:$AF$108,$AQ$28:$AQ$108,"")</f>
        <v>Δ</v>
      </c>
      <c r="Q164" s="156">
        <f ca="1">IF((U164-V164)-(C164-D164)-SUM(G164:G167)+SUM(H164:H167)-SUM(L164:L167)+SUM(M164:M167)&gt;0,(U164-V164)-(C164-D164)-SUM(G164:G167)+SUM(H164:H167)-SUM(L164:L167)+SUM(M164:M167),0)</f>
        <v>0</v>
      </c>
      <c r="R164" s="157">
        <f ca="1">IF((U164-V164)-(C164-D164)-SUM(G164:G167)+SUM(H164:H167)-SUM(L164:L167)+SUM(M164:M167)&lt;0,-((U164-V164)-(C164-D164)-SUM(G164:G167)+SUM(H164:H167)-SUM(L164:L167)+SUM(M164:M167)),0)</f>
        <v>0</v>
      </c>
      <c r="S164" s="155" t="str">
        <f ca="1">P164</f>
        <v>Δ</v>
      </c>
      <c r="U164" s="150">
        <f ca="1">IF(AC164&gt;0,AC164,0)</f>
        <v>0</v>
      </c>
      <c r="V164" s="151">
        <f ca="1">IF(AD164&gt;0,AD164,0)</f>
        <v>0</v>
      </c>
      <c r="W164" s="390">
        <f t="shared" ref="W164" ca="1" si="212">IF(B164&lt;&gt;"",1,0)</f>
        <v>0</v>
      </c>
      <c r="X164" s="390"/>
      <c r="Y164" s="390"/>
      <c r="Z164" s="390"/>
      <c r="AA164" s="394">
        <f ca="1">SUMIF(Journal[Debit Account],B164,Journal[Dr Amt])</f>
        <v>0</v>
      </c>
      <c r="AB164" s="394">
        <f ca="1">SUMIF(Journal[Credit Account],B164,Journal[Cr Amt])</f>
        <v>0</v>
      </c>
      <c r="AC164" s="389">
        <f ca="1">C164-D164+AA164-AB164</f>
        <v>0</v>
      </c>
      <c r="AD164" s="389">
        <f ca="1">D164-C164+AB164-AA164</f>
        <v>0</v>
      </c>
      <c r="AF164" s="173"/>
      <c r="AG164" s="173"/>
    </row>
    <row r="165" spans="1:33" hidden="1" outlineLevel="1">
      <c r="A165" s="182">
        <v>138</v>
      </c>
      <c r="B165" s="158" t="str">
        <f t="shared" ca="1" si="200"/>
        <v/>
      </c>
      <c r="C165" s="159"/>
      <c r="D165" s="160"/>
      <c r="F165" s="152"/>
      <c r="G165" s="161"/>
      <c r="H165" s="162"/>
      <c r="I165" s="152"/>
      <c r="K165" s="152"/>
      <c r="L165" s="161"/>
      <c r="M165" s="162"/>
      <c r="N165" s="152"/>
      <c r="P165" s="135"/>
      <c r="Q165" s="163"/>
      <c r="S165" s="135"/>
      <c r="U165" s="164"/>
      <c r="V165" s="158"/>
      <c r="W165" s="390">
        <f t="shared" ref="W165" ca="1" si="213">IF(B164&lt;&gt;"",1,0)</f>
        <v>0</v>
      </c>
      <c r="X165" s="390"/>
      <c r="Y165" s="390"/>
      <c r="Z165" s="390"/>
      <c r="AA165" s="384"/>
      <c r="AB165" s="384"/>
      <c r="AC165" s="384"/>
      <c r="AD165" s="384"/>
      <c r="AF165" s="173"/>
      <c r="AG165" s="173"/>
    </row>
    <row r="166" spans="1:33" hidden="1" outlineLevel="1">
      <c r="A166" s="182">
        <v>139</v>
      </c>
      <c r="B166" s="158" t="str">
        <f t="shared" ca="1" si="200"/>
        <v/>
      </c>
      <c r="C166" s="159"/>
      <c r="D166" s="160"/>
      <c r="F166" s="152"/>
      <c r="G166" s="161"/>
      <c r="H166" s="162"/>
      <c r="I166" s="152"/>
      <c r="K166" s="152"/>
      <c r="L166" s="161"/>
      <c r="M166" s="162"/>
      <c r="N166" s="152"/>
      <c r="P166" s="135"/>
      <c r="Q166" s="163"/>
      <c r="S166" s="135"/>
      <c r="U166" s="164"/>
      <c r="V166" s="158"/>
      <c r="W166" s="390">
        <f t="shared" ref="W166" ca="1" si="214">IF(B164&lt;&gt;"",1,0)</f>
        <v>0</v>
      </c>
      <c r="X166" s="390"/>
      <c r="Y166" s="390"/>
      <c r="Z166" s="390"/>
      <c r="AA166" s="384"/>
      <c r="AB166" s="384"/>
      <c r="AC166" s="384"/>
      <c r="AD166" s="384"/>
      <c r="AF166" s="173"/>
      <c r="AG166" s="173"/>
    </row>
    <row r="167" spans="1:33" hidden="1" outlineLevel="1">
      <c r="A167" s="182">
        <v>140</v>
      </c>
      <c r="B167" s="165" t="str">
        <f t="shared" ca="1" si="200"/>
        <v/>
      </c>
      <c r="C167" s="166"/>
      <c r="D167" s="167"/>
      <c r="F167" s="152"/>
      <c r="G167" s="161"/>
      <c r="H167" s="162"/>
      <c r="I167" s="152"/>
      <c r="K167" s="152"/>
      <c r="L167" s="161"/>
      <c r="M167" s="162"/>
      <c r="N167" s="152"/>
      <c r="P167" s="135"/>
      <c r="Q167" s="163"/>
      <c r="S167" s="135"/>
      <c r="U167" s="164"/>
      <c r="V167" s="158"/>
      <c r="W167" s="390">
        <f t="shared" ref="W167" ca="1" si="215">IF(B164&lt;&gt;"",1,0)</f>
        <v>0</v>
      </c>
      <c r="X167" s="390"/>
      <c r="Y167" s="390"/>
      <c r="Z167" s="390"/>
      <c r="AA167" s="384"/>
      <c r="AB167" s="384"/>
      <c r="AC167" s="384"/>
      <c r="AD167" s="384"/>
      <c r="AF167" s="173"/>
      <c r="AG167" s="173"/>
    </row>
    <row r="168" spans="1:33" collapsed="1">
      <c r="A168" s="182">
        <v>141</v>
      </c>
      <c r="B168" s="149" t="str">
        <f t="shared" ca="1" si="200"/>
        <v/>
      </c>
      <c r="C168" s="150">
        <f t="shared" ref="C168" ca="1" si="216">_xlfn.IFNA(_xlfn.XLOOKUP(B168,$AF$28:$AF$108,$AN$28:$AN$108,0),0)</f>
        <v>0</v>
      </c>
      <c r="D168" s="151">
        <f t="shared" ref="D168" ca="1" si="217">_xlfn.IFNA(_xlfn.XLOOKUP(B168,$AF$28:$AF$108,$AO$28:$AO$108,0),"")</f>
        <v>0</v>
      </c>
      <c r="F168" s="152"/>
      <c r="G168" s="153"/>
      <c r="H168" s="154"/>
      <c r="I168" s="152"/>
      <c r="K168" s="152"/>
      <c r="L168" s="153"/>
      <c r="M168" s="154"/>
      <c r="N168" s="152"/>
      <c r="P168" s="155" t="str" cm="1">
        <f t="array" aca="1" ref="P168" ca="1">$W$1&amp;_xlfn.XLOOKUP(B168,AF$28:$AF$108,$AQ$28:$AQ$108,"")</f>
        <v>Δ</v>
      </c>
      <c r="Q168" s="156">
        <f ca="1">IF((U168-V168)-(C168-D168)-SUM(G168:G171)+SUM(H168:H171)-SUM(L168:L171)+SUM(M168:M171)&gt;0,(U168-V168)-(C168-D168)-SUM(G168:G171)+SUM(H168:H171)-SUM(L168:L171)+SUM(M168:M171),0)</f>
        <v>0</v>
      </c>
      <c r="R168" s="157">
        <f ca="1">IF((U168-V168)-(C168-D168)-SUM(G168:G171)+SUM(H168:H171)-SUM(L168:L171)+SUM(M168:M171)&lt;0,-((U168-V168)-(C168-D168)-SUM(G168:G171)+SUM(H168:H171)-SUM(L168:L171)+SUM(M168:M171)),0)</f>
        <v>0</v>
      </c>
      <c r="S168" s="155" t="str">
        <f ca="1">P168</f>
        <v>Δ</v>
      </c>
      <c r="U168" s="150">
        <f ca="1">IF(AC168&gt;0,AC168,0)</f>
        <v>0</v>
      </c>
      <c r="V168" s="151">
        <f ca="1">IF(AD168&gt;0,AD168,0)</f>
        <v>0</v>
      </c>
      <c r="W168" s="390">
        <f t="shared" ref="W168" ca="1" si="218">IF(B168&lt;&gt;"",1,0)</f>
        <v>0</v>
      </c>
      <c r="X168" s="390"/>
      <c r="Y168" s="390"/>
      <c r="Z168" s="390"/>
      <c r="AA168" s="394">
        <f ca="1">SUMIF(Journal[Debit Account],B168,Journal[Dr Amt])</f>
        <v>0</v>
      </c>
      <c r="AB168" s="394">
        <f ca="1">SUMIF(Journal[Credit Account],B168,Journal[Cr Amt])</f>
        <v>0</v>
      </c>
      <c r="AC168" s="389">
        <f ca="1">C168-D168+AA168-AB168</f>
        <v>0</v>
      </c>
      <c r="AD168" s="389">
        <f ca="1">D168-C168+AB168-AA168</f>
        <v>0</v>
      </c>
      <c r="AF168" s="173"/>
      <c r="AG168" s="173"/>
    </row>
    <row r="169" spans="1:33" hidden="1" outlineLevel="1">
      <c r="A169" s="182">
        <v>142</v>
      </c>
      <c r="B169" s="158" t="str">
        <f t="shared" ca="1" si="200"/>
        <v/>
      </c>
      <c r="C169" s="159"/>
      <c r="D169" s="160"/>
      <c r="F169" s="152"/>
      <c r="G169" s="161"/>
      <c r="H169" s="162"/>
      <c r="I169" s="152"/>
      <c r="K169" s="152"/>
      <c r="L169" s="161"/>
      <c r="M169" s="162"/>
      <c r="N169" s="152"/>
      <c r="P169" s="135"/>
      <c r="Q169" s="163"/>
      <c r="S169" s="135"/>
      <c r="U169" s="164"/>
      <c r="V169" s="158"/>
      <c r="W169" s="390">
        <f t="shared" ref="W169" ca="1" si="219">IF(B168&lt;&gt;"",1,0)</f>
        <v>0</v>
      </c>
      <c r="X169" s="390"/>
      <c r="Y169" s="390"/>
      <c r="Z169" s="390"/>
      <c r="AA169" s="384"/>
      <c r="AB169" s="384"/>
      <c r="AC169" s="384"/>
      <c r="AD169" s="384"/>
      <c r="AF169" s="173"/>
      <c r="AG169" s="173"/>
    </row>
    <row r="170" spans="1:33" hidden="1" outlineLevel="1">
      <c r="A170" s="182">
        <v>143</v>
      </c>
      <c r="B170" s="158" t="str">
        <f t="shared" ca="1" si="200"/>
        <v/>
      </c>
      <c r="C170" s="159"/>
      <c r="D170" s="160"/>
      <c r="F170" s="152"/>
      <c r="G170" s="161"/>
      <c r="H170" s="162"/>
      <c r="I170" s="152"/>
      <c r="K170" s="152"/>
      <c r="L170" s="161"/>
      <c r="M170" s="162"/>
      <c r="N170" s="152"/>
      <c r="P170" s="135"/>
      <c r="Q170" s="163"/>
      <c r="S170" s="135"/>
      <c r="U170" s="164"/>
      <c r="V170" s="158"/>
      <c r="W170" s="390">
        <f t="shared" ref="W170" ca="1" si="220">IF(B168&lt;&gt;"",1,0)</f>
        <v>0</v>
      </c>
      <c r="X170" s="390"/>
      <c r="Y170" s="390"/>
      <c r="Z170" s="390"/>
      <c r="AA170" s="384"/>
      <c r="AB170" s="384"/>
      <c r="AC170" s="384"/>
      <c r="AD170" s="384"/>
      <c r="AF170" s="173"/>
      <c r="AG170" s="173"/>
    </row>
    <row r="171" spans="1:33" hidden="1" outlineLevel="1">
      <c r="A171" s="182">
        <v>144</v>
      </c>
      <c r="B171" s="165" t="str">
        <f t="shared" ca="1" si="200"/>
        <v/>
      </c>
      <c r="C171" s="166"/>
      <c r="D171" s="167"/>
      <c r="F171" s="152"/>
      <c r="G171" s="161"/>
      <c r="H171" s="162"/>
      <c r="I171" s="152"/>
      <c r="K171" s="152"/>
      <c r="L171" s="161"/>
      <c r="M171" s="162"/>
      <c r="N171" s="152"/>
      <c r="P171" s="135"/>
      <c r="Q171" s="163"/>
      <c r="S171" s="135"/>
      <c r="U171" s="164"/>
      <c r="V171" s="158"/>
      <c r="W171" s="390">
        <f t="shared" ref="W171" ca="1" si="221">IF(B168&lt;&gt;"",1,0)</f>
        <v>0</v>
      </c>
      <c r="X171" s="390"/>
      <c r="Y171" s="390"/>
      <c r="Z171" s="390"/>
      <c r="AA171" s="384"/>
      <c r="AB171" s="384"/>
      <c r="AC171" s="384"/>
      <c r="AD171" s="384"/>
      <c r="AF171" s="173"/>
      <c r="AG171" s="173"/>
    </row>
    <row r="172" spans="1:33" collapsed="1">
      <c r="A172" s="182">
        <v>145</v>
      </c>
      <c r="B172" s="149" t="str">
        <f t="shared" ca="1" si="200"/>
        <v/>
      </c>
      <c r="C172" s="150">
        <f t="shared" ref="C172" ca="1" si="222">_xlfn.IFNA(_xlfn.XLOOKUP(B172,$AF$28:$AF$108,$AN$28:$AN$108,0),0)</f>
        <v>0</v>
      </c>
      <c r="D172" s="151">
        <f t="shared" ref="D172" ca="1" si="223">_xlfn.IFNA(_xlfn.XLOOKUP(B172,$AF$28:$AF$108,$AO$28:$AO$108,0),"")</f>
        <v>0</v>
      </c>
      <c r="F172" s="152"/>
      <c r="G172" s="153"/>
      <c r="H172" s="154"/>
      <c r="I172" s="152"/>
      <c r="K172" s="152"/>
      <c r="L172" s="153"/>
      <c r="M172" s="154"/>
      <c r="N172" s="152"/>
      <c r="P172" s="155" t="str" cm="1">
        <f t="array" aca="1" ref="P172" ca="1">$W$1&amp;_xlfn.XLOOKUP(B172,AF$28:$AF$108,$AQ$28:$AQ$108,"")</f>
        <v>Δ</v>
      </c>
      <c r="Q172" s="156">
        <f ca="1">IF((U172-V172)-(C172-D172)-SUM(G172:G175)+SUM(H172:H175)-SUM(L172:L175)+SUM(M172:M175)&gt;0,(U172-V172)-(C172-D172)-SUM(G172:G175)+SUM(H172:H175)-SUM(L172:L175)+SUM(M172:M175),0)</f>
        <v>0</v>
      </c>
      <c r="R172" s="157">
        <f ca="1">IF((U172-V172)-(C172-D172)-SUM(G172:G175)+SUM(H172:H175)-SUM(L172:L175)+SUM(M172:M175)&lt;0,-((U172-V172)-(C172-D172)-SUM(G172:G175)+SUM(H172:H175)-SUM(L172:L175)+SUM(M172:M175)),0)</f>
        <v>0</v>
      </c>
      <c r="S172" s="155" t="str">
        <f ca="1">P172</f>
        <v>Δ</v>
      </c>
      <c r="U172" s="150">
        <f ca="1">IF(AC172&gt;0,AC172,0)</f>
        <v>0</v>
      </c>
      <c r="V172" s="151">
        <f ca="1">IF(AD172&gt;0,AD172,0)</f>
        <v>0</v>
      </c>
      <c r="W172" s="390">
        <f t="shared" ref="W172" ca="1" si="224">IF(B172&lt;&gt;"",1,0)</f>
        <v>0</v>
      </c>
      <c r="X172" s="390"/>
      <c r="Y172" s="390"/>
      <c r="Z172" s="390"/>
      <c r="AA172" s="394">
        <f ca="1">SUMIF(Journal[Debit Account],B172,Journal[Dr Amt])</f>
        <v>0</v>
      </c>
      <c r="AB172" s="394">
        <f ca="1">SUMIF(Journal[Credit Account],B172,Journal[Cr Amt])</f>
        <v>0</v>
      </c>
      <c r="AC172" s="389">
        <f ca="1">C172-D172+AA172-AB172</f>
        <v>0</v>
      </c>
      <c r="AD172" s="389">
        <f ca="1">D172-C172+AB172-AA172</f>
        <v>0</v>
      </c>
      <c r="AF172" s="173"/>
      <c r="AG172" s="173"/>
    </row>
    <row r="173" spans="1:33" hidden="1" outlineLevel="1">
      <c r="A173" s="182">
        <v>146</v>
      </c>
      <c r="B173" s="158" t="str">
        <f t="shared" ca="1" si="200"/>
        <v/>
      </c>
      <c r="C173" s="159"/>
      <c r="D173" s="160"/>
      <c r="F173" s="152"/>
      <c r="G173" s="161"/>
      <c r="H173" s="162"/>
      <c r="I173" s="152"/>
      <c r="K173" s="152"/>
      <c r="L173" s="161"/>
      <c r="M173" s="162"/>
      <c r="N173" s="152"/>
      <c r="P173" s="135"/>
      <c r="Q173" s="163"/>
      <c r="S173" s="135"/>
      <c r="U173" s="164"/>
      <c r="V173" s="158"/>
      <c r="W173" s="390">
        <f t="shared" ref="W173" ca="1" si="225">IF(B172&lt;&gt;"",1,0)</f>
        <v>0</v>
      </c>
      <c r="X173" s="390"/>
      <c r="Y173" s="390"/>
      <c r="Z173" s="390"/>
      <c r="AA173" s="384"/>
      <c r="AB173" s="384"/>
      <c r="AC173" s="384"/>
      <c r="AD173" s="384"/>
      <c r="AF173" s="173"/>
      <c r="AG173" s="173"/>
    </row>
    <row r="174" spans="1:33" hidden="1" outlineLevel="1">
      <c r="A174" s="182">
        <v>147</v>
      </c>
      <c r="B174" s="158" t="str">
        <f t="shared" ca="1" si="200"/>
        <v/>
      </c>
      <c r="C174" s="159"/>
      <c r="D174" s="160"/>
      <c r="F174" s="152"/>
      <c r="G174" s="161"/>
      <c r="H174" s="162"/>
      <c r="I174" s="152"/>
      <c r="K174" s="152"/>
      <c r="L174" s="161"/>
      <c r="M174" s="162"/>
      <c r="N174" s="152"/>
      <c r="P174" s="135"/>
      <c r="Q174" s="163"/>
      <c r="S174" s="135"/>
      <c r="U174" s="164"/>
      <c r="V174" s="158"/>
      <c r="W174" s="390">
        <f t="shared" ref="W174" ca="1" si="226">IF(B172&lt;&gt;"",1,0)</f>
        <v>0</v>
      </c>
      <c r="X174" s="390"/>
      <c r="Y174" s="390"/>
      <c r="Z174" s="390"/>
      <c r="AA174" s="384"/>
      <c r="AB174" s="384"/>
      <c r="AC174" s="384"/>
      <c r="AD174" s="384"/>
      <c r="AF174" s="173"/>
      <c r="AG174" s="173"/>
    </row>
    <row r="175" spans="1:33" hidden="1" outlineLevel="1">
      <c r="A175" s="182">
        <v>148</v>
      </c>
      <c r="B175" s="165" t="str">
        <f t="shared" ca="1" si="200"/>
        <v/>
      </c>
      <c r="C175" s="166"/>
      <c r="D175" s="167"/>
      <c r="F175" s="152"/>
      <c r="G175" s="161"/>
      <c r="H175" s="162"/>
      <c r="I175" s="152"/>
      <c r="K175" s="152"/>
      <c r="L175" s="161"/>
      <c r="M175" s="162"/>
      <c r="N175" s="152"/>
      <c r="P175" s="135"/>
      <c r="Q175" s="163"/>
      <c r="S175" s="135"/>
      <c r="U175" s="164"/>
      <c r="V175" s="158"/>
      <c r="W175" s="390">
        <f t="shared" ref="W175" ca="1" si="227">IF(B172&lt;&gt;"",1,0)</f>
        <v>0</v>
      </c>
      <c r="X175" s="390"/>
      <c r="Y175" s="390"/>
      <c r="Z175" s="390"/>
      <c r="AA175" s="384"/>
      <c r="AB175" s="384"/>
      <c r="AC175" s="384"/>
      <c r="AD175" s="384"/>
      <c r="AF175" s="173"/>
      <c r="AG175" s="173"/>
    </row>
    <row r="176" spans="1:33" collapsed="1">
      <c r="A176" s="182">
        <v>149</v>
      </c>
      <c r="B176" s="149" t="str">
        <f t="shared" ca="1" si="200"/>
        <v/>
      </c>
      <c r="C176" s="150">
        <f t="shared" ref="C176" ca="1" si="228">_xlfn.IFNA(_xlfn.XLOOKUP(B176,$AF$28:$AF$108,$AN$28:$AN$108,0),0)</f>
        <v>0</v>
      </c>
      <c r="D176" s="151">
        <f t="shared" ref="D176" ca="1" si="229">_xlfn.IFNA(_xlfn.XLOOKUP(B176,$AF$28:$AF$108,$AO$28:$AO$108,0),"")</f>
        <v>0</v>
      </c>
      <c r="F176" s="152"/>
      <c r="G176" s="153"/>
      <c r="H176" s="154"/>
      <c r="I176" s="152"/>
      <c r="K176" s="152"/>
      <c r="L176" s="153"/>
      <c r="M176" s="154"/>
      <c r="N176" s="152"/>
      <c r="P176" s="155" t="str" cm="1">
        <f t="array" aca="1" ref="P176" ca="1">$W$1&amp;_xlfn.XLOOKUP(B176,AF$28:$AF$108,$AQ$28:$AQ$108,"")</f>
        <v>Δ</v>
      </c>
      <c r="Q176" s="156">
        <f ca="1">IF((U176-V176)-(C176-D176)-SUM(G176:G179)+SUM(H176:H179)-SUM(L176:L179)+SUM(M176:M179)&gt;0,(U176-V176)-(C176-D176)-SUM(G176:G179)+SUM(H176:H179)-SUM(L176:L179)+SUM(M176:M179),0)</f>
        <v>0</v>
      </c>
      <c r="R176" s="157">
        <f ca="1">IF((U176-V176)-(C176-D176)-SUM(G176:G179)+SUM(H176:H179)-SUM(L176:L179)+SUM(M176:M179)&lt;0,-((U176-V176)-(C176-D176)-SUM(G176:G179)+SUM(H176:H179)-SUM(L176:L179)+SUM(M176:M179)),0)</f>
        <v>0</v>
      </c>
      <c r="S176" s="155" t="str">
        <f ca="1">P176</f>
        <v>Δ</v>
      </c>
      <c r="U176" s="150">
        <f ca="1">IF(AC176&gt;0,AC176,0)</f>
        <v>0</v>
      </c>
      <c r="V176" s="151">
        <f ca="1">IF(AD176&gt;0,AD176,0)</f>
        <v>0</v>
      </c>
      <c r="W176" s="390">
        <f t="shared" ref="W176" ca="1" si="230">IF(B176&lt;&gt;"",1,0)</f>
        <v>0</v>
      </c>
      <c r="X176" s="390"/>
      <c r="Y176" s="390"/>
      <c r="Z176" s="390"/>
      <c r="AA176" s="394">
        <f ca="1">SUMIF(Journal[Debit Account],B176,Journal[Dr Amt])</f>
        <v>0</v>
      </c>
      <c r="AB176" s="394">
        <f ca="1">SUMIF(Journal[Credit Account],B176,Journal[Cr Amt])</f>
        <v>0</v>
      </c>
      <c r="AC176" s="389">
        <f ca="1">C176-D176+AA176-AB176</f>
        <v>0</v>
      </c>
      <c r="AD176" s="389">
        <f ca="1">D176-C176+AB176-AA176</f>
        <v>0</v>
      </c>
      <c r="AF176" s="173"/>
      <c r="AG176" s="173"/>
    </row>
    <row r="177" spans="1:33" hidden="1" outlineLevel="1">
      <c r="A177" s="182">
        <v>150</v>
      </c>
      <c r="B177" s="158" t="str">
        <f t="shared" ca="1" si="200"/>
        <v/>
      </c>
      <c r="C177" s="159"/>
      <c r="D177" s="160"/>
      <c r="F177" s="152"/>
      <c r="G177" s="161"/>
      <c r="H177" s="162"/>
      <c r="I177" s="152"/>
      <c r="K177" s="152"/>
      <c r="L177" s="161"/>
      <c r="M177" s="162"/>
      <c r="N177" s="152"/>
      <c r="P177" s="135"/>
      <c r="Q177" s="163"/>
      <c r="S177" s="135"/>
      <c r="U177" s="164"/>
      <c r="V177" s="158"/>
      <c r="W177" s="390">
        <f t="shared" ref="W177" ca="1" si="231">IF(B176&lt;&gt;"",1,0)</f>
        <v>0</v>
      </c>
      <c r="X177" s="390"/>
      <c r="Y177" s="390"/>
      <c r="Z177" s="390"/>
      <c r="AA177" s="384"/>
      <c r="AB177" s="384"/>
      <c r="AC177" s="384"/>
      <c r="AD177" s="384"/>
      <c r="AF177" s="173"/>
      <c r="AG177" s="173"/>
    </row>
    <row r="178" spans="1:33" hidden="1" outlineLevel="1">
      <c r="A178" s="182">
        <v>151</v>
      </c>
      <c r="B178" s="158" t="str">
        <f t="shared" ca="1" si="200"/>
        <v/>
      </c>
      <c r="C178" s="159"/>
      <c r="D178" s="160"/>
      <c r="F178" s="152"/>
      <c r="G178" s="161"/>
      <c r="H178" s="162"/>
      <c r="I178" s="152"/>
      <c r="K178" s="152"/>
      <c r="L178" s="161"/>
      <c r="M178" s="162"/>
      <c r="N178" s="152"/>
      <c r="P178" s="135"/>
      <c r="Q178" s="163"/>
      <c r="S178" s="135"/>
      <c r="U178" s="164"/>
      <c r="V178" s="158"/>
      <c r="W178" s="390">
        <f t="shared" ref="W178" ca="1" si="232">IF(B176&lt;&gt;"",1,0)</f>
        <v>0</v>
      </c>
      <c r="X178" s="390"/>
      <c r="Y178" s="390"/>
      <c r="Z178" s="390"/>
      <c r="AA178" s="384"/>
      <c r="AB178" s="384"/>
      <c r="AC178" s="384"/>
      <c r="AD178" s="384"/>
      <c r="AF178" s="173"/>
      <c r="AG178" s="173"/>
    </row>
    <row r="179" spans="1:33" hidden="1" outlineLevel="1">
      <c r="A179" s="182">
        <v>152</v>
      </c>
      <c r="B179" s="165" t="str">
        <f t="shared" ca="1" si="200"/>
        <v/>
      </c>
      <c r="C179" s="166"/>
      <c r="D179" s="167"/>
      <c r="F179" s="152"/>
      <c r="G179" s="161"/>
      <c r="H179" s="162"/>
      <c r="I179" s="152"/>
      <c r="K179" s="152"/>
      <c r="L179" s="161"/>
      <c r="M179" s="162"/>
      <c r="N179" s="152"/>
      <c r="P179" s="135"/>
      <c r="Q179" s="163"/>
      <c r="S179" s="135"/>
      <c r="U179" s="164"/>
      <c r="V179" s="158"/>
      <c r="W179" s="390">
        <f t="shared" ref="W179" ca="1" si="233">IF(B176&lt;&gt;"",1,0)</f>
        <v>0</v>
      </c>
      <c r="X179" s="390"/>
      <c r="Y179" s="390"/>
      <c r="Z179" s="390"/>
      <c r="AA179" s="384"/>
      <c r="AB179" s="384"/>
      <c r="AC179" s="384"/>
      <c r="AD179" s="384"/>
      <c r="AF179" s="173"/>
      <c r="AG179" s="173"/>
    </row>
    <row r="180" spans="1:33" collapsed="1">
      <c r="A180" s="182">
        <v>153</v>
      </c>
      <c r="B180" s="149" t="str">
        <f t="shared" ca="1" si="200"/>
        <v/>
      </c>
      <c r="C180" s="150">
        <f t="shared" ref="C180" ca="1" si="234">_xlfn.IFNA(_xlfn.XLOOKUP(B180,$AF$28:$AF$108,$AN$28:$AN$108,0),0)</f>
        <v>0</v>
      </c>
      <c r="D180" s="151">
        <f t="shared" ref="D180" ca="1" si="235">_xlfn.IFNA(_xlfn.XLOOKUP(B180,$AF$28:$AF$108,$AO$28:$AO$108,0),"")</f>
        <v>0</v>
      </c>
      <c r="F180" s="152"/>
      <c r="G180" s="153"/>
      <c r="H180" s="154"/>
      <c r="I180" s="152"/>
      <c r="K180" s="152"/>
      <c r="L180" s="153"/>
      <c r="M180" s="154"/>
      <c r="N180" s="152"/>
      <c r="P180" s="155" t="str" cm="1">
        <f t="array" aca="1" ref="P180" ca="1">$W$1&amp;_xlfn.XLOOKUP(B180,AF$28:$AF$108,$AQ$28:$AQ$108,"")</f>
        <v>Δ</v>
      </c>
      <c r="Q180" s="156">
        <f ca="1">IF((U180-V180)-(C180-D180)-SUM(G180:G183)+SUM(H180:H183)-SUM(L180:L183)+SUM(M180:M183)&gt;0,(U180-V180)-(C180-D180)-SUM(G180:G183)+SUM(H180:H183)-SUM(L180:L183)+SUM(M180:M183),0)</f>
        <v>0</v>
      </c>
      <c r="R180" s="157">
        <f ca="1">IF((U180-V180)-(C180-D180)-SUM(G180:G183)+SUM(H180:H183)-SUM(L180:L183)+SUM(M180:M183)&lt;0,-((U180-V180)-(C180-D180)-SUM(G180:G183)+SUM(H180:H183)-SUM(L180:L183)+SUM(M180:M183)),0)</f>
        <v>0</v>
      </c>
      <c r="S180" s="155" t="str">
        <f ca="1">P180</f>
        <v>Δ</v>
      </c>
      <c r="U180" s="150">
        <f ca="1">IF(AC180&gt;0,AC180,0)</f>
        <v>0</v>
      </c>
      <c r="V180" s="151">
        <f ca="1">IF(AD180&gt;0,AD180,0)</f>
        <v>0</v>
      </c>
      <c r="W180" s="390">
        <f t="shared" ref="W180" ca="1" si="236">IF(B180&lt;&gt;"",1,0)</f>
        <v>0</v>
      </c>
      <c r="X180" s="390"/>
      <c r="Y180" s="390"/>
      <c r="Z180" s="390"/>
      <c r="AA180" s="394">
        <f ca="1">SUMIF(Journal[Debit Account],B180,Journal[Dr Amt])</f>
        <v>0</v>
      </c>
      <c r="AB180" s="394">
        <f ca="1">SUMIF(Journal[Credit Account],B180,Journal[Cr Amt])</f>
        <v>0</v>
      </c>
      <c r="AC180" s="389">
        <f ca="1">C180-D180+AA180-AB180</f>
        <v>0</v>
      </c>
      <c r="AD180" s="389">
        <f ca="1">D180-C180+AB180-AA180</f>
        <v>0</v>
      </c>
      <c r="AF180" s="173"/>
      <c r="AG180" s="173"/>
    </row>
    <row r="181" spans="1:33" hidden="1" outlineLevel="1">
      <c r="A181" s="182">
        <v>154</v>
      </c>
      <c r="B181" s="158" t="str">
        <f t="shared" ca="1" si="200"/>
        <v/>
      </c>
      <c r="C181" s="159"/>
      <c r="D181" s="160"/>
      <c r="F181" s="152"/>
      <c r="G181" s="161"/>
      <c r="H181" s="162"/>
      <c r="I181" s="152"/>
      <c r="K181" s="152"/>
      <c r="L181" s="161"/>
      <c r="M181" s="162"/>
      <c r="N181" s="152"/>
      <c r="P181" s="135"/>
      <c r="Q181" s="163"/>
      <c r="S181" s="135"/>
      <c r="U181" s="164"/>
      <c r="V181" s="158"/>
      <c r="W181" s="390">
        <f t="shared" ref="W181" ca="1" si="237">IF(B180&lt;&gt;"",1,0)</f>
        <v>0</v>
      </c>
      <c r="X181" s="390"/>
      <c r="Y181" s="390"/>
      <c r="Z181" s="390"/>
      <c r="AA181" s="384"/>
      <c r="AB181" s="384"/>
      <c r="AC181" s="384"/>
      <c r="AD181" s="384"/>
      <c r="AF181" s="173"/>
      <c r="AG181" s="173"/>
    </row>
    <row r="182" spans="1:33" hidden="1" outlineLevel="1">
      <c r="A182" s="182">
        <v>155</v>
      </c>
      <c r="B182" s="158" t="str">
        <f t="shared" ca="1" si="200"/>
        <v/>
      </c>
      <c r="C182" s="159"/>
      <c r="D182" s="160"/>
      <c r="F182" s="152"/>
      <c r="G182" s="161"/>
      <c r="H182" s="162"/>
      <c r="I182" s="152"/>
      <c r="K182" s="152"/>
      <c r="L182" s="161"/>
      <c r="M182" s="162"/>
      <c r="N182" s="152"/>
      <c r="P182" s="135"/>
      <c r="Q182" s="163"/>
      <c r="S182" s="135"/>
      <c r="U182" s="164"/>
      <c r="V182" s="158"/>
      <c r="W182" s="390">
        <f t="shared" ref="W182" ca="1" si="238">IF(B180&lt;&gt;"",1,0)</f>
        <v>0</v>
      </c>
      <c r="X182" s="390"/>
      <c r="Y182" s="390"/>
      <c r="Z182" s="390"/>
      <c r="AA182" s="384"/>
      <c r="AB182" s="384"/>
      <c r="AC182" s="384"/>
      <c r="AD182" s="384"/>
      <c r="AF182" s="173"/>
      <c r="AG182" s="173"/>
    </row>
    <row r="183" spans="1:33" hidden="1" outlineLevel="1">
      <c r="A183" s="182">
        <v>156</v>
      </c>
      <c r="B183" s="158" t="str">
        <f t="shared" ca="1" si="200"/>
        <v/>
      </c>
      <c r="C183" s="166"/>
      <c r="D183" s="167"/>
      <c r="F183" s="152"/>
      <c r="G183" s="161"/>
      <c r="H183" s="162"/>
      <c r="I183" s="152"/>
      <c r="K183" s="152"/>
      <c r="L183" s="161"/>
      <c r="M183" s="162"/>
      <c r="N183" s="152"/>
      <c r="P183" s="135"/>
      <c r="Q183" s="163"/>
      <c r="S183" s="135"/>
      <c r="U183" s="164"/>
      <c r="V183" s="158"/>
      <c r="W183" s="390">
        <f t="shared" ref="W183" ca="1" si="239">IF(B180&lt;&gt;"",1,0)</f>
        <v>0</v>
      </c>
      <c r="X183" s="390"/>
      <c r="Y183" s="390"/>
      <c r="Z183" s="390"/>
      <c r="AA183" s="384"/>
      <c r="AB183" s="384"/>
      <c r="AC183" s="384"/>
      <c r="AD183" s="384"/>
      <c r="AF183" s="173"/>
      <c r="AG183" s="173"/>
    </row>
    <row r="184" spans="1:33" collapsed="1">
      <c r="A184" s="182">
        <v>157</v>
      </c>
      <c r="B184" s="149" t="str">
        <f t="shared" ca="1" si="200"/>
        <v/>
      </c>
      <c r="C184" s="150">
        <f t="shared" ref="C184" ca="1" si="240">_xlfn.IFNA(_xlfn.XLOOKUP(B184,$AF$28:$AF$108,$AN$28:$AN$108,0),0)</f>
        <v>0</v>
      </c>
      <c r="D184" s="151">
        <f t="shared" ref="D184" ca="1" si="241">_xlfn.IFNA(_xlfn.XLOOKUP(B184,$AF$28:$AF$108,$AO$28:$AO$108,0),"")</f>
        <v>0</v>
      </c>
      <c r="F184" s="152"/>
      <c r="G184" s="153"/>
      <c r="H184" s="154"/>
      <c r="I184" s="152"/>
      <c r="K184" s="152"/>
      <c r="L184" s="153"/>
      <c r="M184" s="154"/>
      <c r="N184" s="152"/>
      <c r="P184" s="155" t="str" cm="1">
        <f t="array" aca="1" ref="P184" ca="1">$W$1&amp;_xlfn.XLOOKUP(B184,AF$28:$AF$108,$AQ$28:$AQ$108,"")</f>
        <v>Δ</v>
      </c>
      <c r="Q184" s="156"/>
      <c r="R184" s="157"/>
      <c r="S184" s="155"/>
      <c r="U184" s="150"/>
      <c r="V184" s="151"/>
      <c r="W184" s="390">
        <f t="shared" ref="W184" ca="1" si="242">IF(B184&lt;&gt;"",1,0)</f>
        <v>0</v>
      </c>
      <c r="X184" s="390"/>
      <c r="Y184" s="390"/>
      <c r="Z184" s="390"/>
      <c r="AA184" s="394">
        <f ca="1">SUMIF(Journal[Debit Account],B184,Journal[Dr Amt])</f>
        <v>0</v>
      </c>
      <c r="AB184" s="394">
        <f ca="1">SUMIF(Journal[Credit Account],B184,Journal[Cr Amt])</f>
        <v>0</v>
      </c>
      <c r="AC184" s="389">
        <f ca="1">C184-D184+AA184-AB184</f>
        <v>0</v>
      </c>
      <c r="AD184" s="389">
        <f ca="1">D184-C184+AB184-AA184</f>
        <v>0</v>
      </c>
      <c r="AF184" s="173"/>
      <c r="AG184" s="173"/>
    </row>
    <row r="185" spans="1:33">
      <c r="A185" s="182">
        <v>158</v>
      </c>
      <c r="B185" s="158" t="str">
        <f t="shared" ca="1" si="200"/>
        <v/>
      </c>
      <c r="C185" s="159"/>
      <c r="D185" s="160"/>
      <c r="F185" s="152"/>
      <c r="G185" s="161"/>
      <c r="H185" s="162"/>
      <c r="I185" s="152"/>
      <c r="K185" s="152"/>
      <c r="L185" s="161"/>
      <c r="M185" s="162"/>
      <c r="N185" s="152"/>
      <c r="P185" s="135"/>
      <c r="Q185" s="163"/>
      <c r="S185" s="135"/>
      <c r="U185" s="164"/>
      <c r="V185" s="158"/>
      <c r="W185" s="390">
        <f t="shared" ref="W185" ca="1" si="243">IF(B184&lt;&gt;"",1,0)</f>
        <v>0</v>
      </c>
      <c r="X185" s="390"/>
      <c r="Y185" s="390"/>
      <c r="Z185" s="390"/>
      <c r="AA185" s="384"/>
      <c r="AB185" s="384"/>
      <c r="AC185" s="384"/>
      <c r="AD185" s="384"/>
      <c r="AF185" s="173"/>
      <c r="AG185" s="173"/>
    </row>
    <row r="186" spans="1:33">
      <c r="A186" s="182">
        <v>159</v>
      </c>
      <c r="B186" s="158" t="str">
        <f t="shared" ca="1" si="200"/>
        <v/>
      </c>
      <c r="C186" s="159"/>
      <c r="D186" s="160"/>
      <c r="F186" s="152"/>
      <c r="G186" s="161"/>
      <c r="H186" s="162"/>
      <c r="I186" s="152"/>
      <c r="K186" s="152"/>
      <c r="L186" s="161"/>
      <c r="M186" s="162"/>
      <c r="N186" s="152"/>
      <c r="P186" s="135"/>
      <c r="Q186" s="163"/>
      <c r="S186" s="135"/>
      <c r="U186" s="164"/>
      <c r="V186" s="158"/>
      <c r="W186" s="390">
        <f t="shared" ref="W186" ca="1" si="244">IF(B184&lt;&gt;"",1,0)</f>
        <v>0</v>
      </c>
      <c r="X186" s="390"/>
      <c r="Y186" s="390"/>
      <c r="Z186" s="390"/>
      <c r="AA186" s="384"/>
      <c r="AB186" s="384"/>
      <c r="AC186" s="384"/>
      <c r="AD186" s="384"/>
      <c r="AF186" s="173"/>
      <c r="AG186" s="173"/>
    </row>
    <row r="187" spans="1:33">
      <c r="A187" s="182">
        <v>160</v>
      </c>
      <c r="B187" s="165" t="str">
        <f t="shared" ca="1" si="200"/>
        <v/>
      </c>
      <c r="C187" s="166"/>
      <c r="D187" s="167"/>
      <c r="F187" s="152"/>
      <c r="G187" s="161"/>
      <c r="H187" s="162"/>
      <c r="I187" s="152"/>
      <c r="K187" s="152"/>
      <c r="L187" s="161"/>
      <c r="M187" s="162"/>
      <c r="N187" s="152"/>
      <c r="P187" s="135"/>
      <c r="Q187" s="163"/>
      <c r="S187" s="135"/>
      <c r="U187" s="164"/>
      <c r="V187" s="158"/>
      <c r="W187" s="390">
        <f t="shared" ref="W187" ca="1" si="245">IF(B184&lt;&gt;"",1,0)</f>
        <v>0</v>
      </c>
      <c r="X187" s="390"/>
      <c r="Y187" s="390"/>
      <c r="Z187" s="390"/>
      <c r="AA187" s="384"/>
      <c r="AB187" s="384"/>
      <c r="AC187" s="384"/>
      <c r="AD187" s="384"/>
      <c r="AF187" s="173"/>
      <c r="AG187" s="173"/>
    </row>
    <row r="188" spans="1:33">
      <c r="A188" s="182">
        <v>161</v>
      </c>
      <c r="B188" s="149" t="str">
        <f t="shared" ca="1" si="200"/>
        <v/>
      </c>
      <c r="C188" s="159">
        <f t="shared" ref="C188" ca="1" si="246">_xlfn.IFNA(_xlfn.XLOOKUP(B188,$AF$28:$AF$108,$AN$28:$AN$108,0),0)</f>
        <v>0</v>
      </c>
      <c r="D188" s="160">
        <f t="shared" ref="D188" ca="1" si="247">_xlfn.IFNA(_xlfn.XLOOKUP(B188,$AF$28:$AF$108,$AO$28:$AO$108,0),"")</f>
        <v>0</v>
      </c>
      <c r="F188" s="152"/>
      <c r="G188" s="161"/>
      <c r="H188" s="162"/>
      <c r="I188" s="152"/>
      <c r="K188" s="152"/>
      <c r="L188" s="161"/>
      <c r="M188" s="162"/>
      <c r="N188" s="152"/>
      <c r="P188" s="155" t="str" cm="1">
        <f t="array" aca="1" ref="P188" ca="1">$W$1&amp;_xlfn.XLOOKUP(B188,AF$28:$AF$108,$AQ$28:$AQ$108,"")</f>
        <v>Δ</v>
      </c>
      <c r="Q188" s="156">
        <f ca="1">IF((U188-V188)-(C188-D188)-SUM(G188:G191)+SUM(H188:H191)-SUM(L188:L191)+SUM(M188:M191)&gt;0,(U188-V188)-(C188-D188)-SUM(G188:G191)+SUM(H188:H191)-SUM(L188:L191)+SUM(M188:M191),0)</f>
        <v>0</v>
      </c>
      <c r="R188" s="157">
        <f ca="1">IF((U188-V188)-(C188-D188)-SUM(G188:G191)+SUM(H188:H191)-SUM(L188:L191)+SUM(M188:M191)&lt;0,-((U188-V188)-(C188-D188)-SUM(G188:G191)+SUM(H188:H191)-SUM(L188:L191)+SUM(M188:M191)),0)</f>
        <v>0</v>
      </c>
      <c r="S188" s="155" t="str">
        <f ca="1">P188</f>
        <v>Δ</v>
      </c>
      <c r="U188" s="150">
        <f ca="1">IF(AC188&gt;0,AC188,0)</f>
        <v>0</v>
      </c>
      <c r="V188" s="151">
        <f ca="1">IF(AD188&gt;0,AD188,0)</f>
        <v>0</v>
      </c>
      <c r="W188" s="390">
        <f t="shared" ref="W188" ca="1" si="248">IF(B188&lt;&gt;"",1,0)</f>
        <v>0</v>
      </c>
      <c r="X188" s="390"/>
      <c r="Y188" s="390"/>
      <c r="Z188" s="390"/>
      <c r="AA188" s="394">
        <f ca="1">SUMIF(Journal[Debit Account],B188,Journal[Dr Amt])</f>
        <v>0</v>
      </c>
      <c r="AB188" s="394">
        <f ca="1">SUMIF(Journal[Credit Account],B188,Journal[Cr Amt])</f>
        <v>0</v>
      </c>
      <c r="AC188" s="389">
        <f ca="1">C188-D188+AA188-AB188</f>
        <v>0</v>
      </c>
      <c r="AD188" s="389">
        <f ca="1">D188-C188+AB188-AA188</f>
        <v>0</v>
      </c>
      <c r="AF188" s="173"/>
      <c r="AG188"/>
    </row>
    <row r="189" spans="1:33" hidden="1" outlineLevel="1">
      <c r="A189" s="182">
        <v>162</v>
      </c>
      <c r="B189" s="158" t="str">
        <f t="shared" ca="1" si="200"/>
        <v/>
      </c>
      <c r="C189" s="159"/>
      <c r="D189" s="160"/>
      <c r="F189" s="152"/>
      <c r="G189" s="161"/>
      <c r="H189" s="162"/>
      <c r="I189" s="152"/>
      <c r="K189" s="152"/>
      <c r="L189" s="161"/>
      <c r="M189" s="162"/>
      <c r="N189" s="152"/>
      <c r="P189" s="135"/>
      <c r="Q189" s="163"/>
      <c r="S189" s="135"/>
      <c r="U189" s="164"/>
      <c r="V189" s="158"/>
      <c r="W189" s="390">
        <f t="shared" ref="W189" ca="1" si="249">IF(B188&lt;&gt;"",1,0)</f>
        <v>0</v>
      </c>
      <c r="X189" s="390"/>
      <c r="Y189" s="390"/>
      <c r="Z189" s="390"/>
      <c r="AA189" s="384"/>
      <c r="AB189" s="384"/>
      <c r="AC189" s="384"/>
      <c r="AD189" s="384"/>
      <c r="AF189" s="173"/>
      <c r="AG189"/>
    </row>
    <row r="190" spans="1:33" hidden="1" outlineLevel="1" collapsed="1">
      <c r="A190" s="182">
        <v>163</v>
      </c>
      <c r="B190" s="158" t="str">
        <f t="shared" ca="1" si="200"/>
        <v/>
      </c>
      <c r="C190" s="159"/>
      <c r="D190" s="160"/>
      <c r="F190" s="152"/>
      <c r="G190" s="161"/>
      <c r="H190" s="162"/>
      <c r="I190" s="152"/>
      <c r="K190" s="152"/>
      <c r="L190" s="161"/>
      <c r="M190" s="162"/>
      <c r="N190" s="152"/>
      <c r="P190" s="135"/>
      <c r="Q190" s="163"/>
      <c r="S190" s="135"/>
      <c r="U190" s="164"/>
      <c r="V190" s="158"/>
      <c r="W190" s="390">
        <f t="shared" ref="W190" ca="1" si="250">IF(B188&lt;&gt;"",1,0)</f>
        <v>0</v>
      </c>
      <c r="X190" s="390"/>
      <c r="Y190" s="390"/>
      <c r="Z190" s="390"/>
      <c r="AA190" s="384"/>
      <c r="AB190" s="384"/>
      <c r="AC190" s="384"/>
      <c r="AD190" s="384"/>
      <c r="AF190" s="173"/>
      <c r="AG190"/>
    </row>
    <row r="191" spans="1:33" hidden="1" outlineLevel="1">
      <c r="A191" s="182">
        <v>164</v>
      </c>
      <c r="B191" s="158" t="str">
        <f t="shared" ca="1" si="200"/>
        <v/>
      </c>
      <c r="C191" s="159"/>
      <c r="D191" s="160"/>
      <c r="F191" s="152"/>
      <c r="G191" s="161"/>
      <c r="H191" s="162"/>
      <c r="I191" s="152"/>
      <c r="K191" s="152"/>
      <c r="L191" s="161"/>
      <c r="M191" s="162"/>
      <c r="N191" s="152"/>
      <c r="P191" s="135"/>
      <c r="Q191" s="163"/>
      <c r="S191" s="135"/>
      <c r="U191" s="164"/>
      <c r="V191" s="158"/>
      <c r="W191" s="390">
        <f t="shared" ref="W191" ca="1" si="251">IF(B188&lt;&gt;"",1,0)</f>
        <v>0</v>
      </c>
      <c r="X191" s="390"/>
      <c r="Y191" s="390"/>
      <c r="Z191" s="390"/>
      <c r="AA191" s="384"/>
      <c r="AB191" s="384"/>
      <c r="AC191" s="384"/>
      <c r="AD191" s="384"/>
      <c r="AF191" s="173"/>
      <c r="AG191"/>
    </row>
    <row r="192" spans="1:33" collapsed="1">
      <c r="A192" s="182">
        <v>165</v>
      </c>
      <c r="B192" s="149" t="str">
        <f t="shared" ca="1" si="200"/>
        <v/>
      </c>
      <c r="C192" s="150">
        <f t="shared" ref="C192" ca="1" si="252">_xlfn.IFNA(_xlfn.XLOOKUP(B192,$AF$28:$AF$108,$AN$28:$AN$108,0),0)</f>
        <v>0</v>
      </c>
      <c r="D192" s="151">
        <f t="shared" ref="D192" ca="1" si="253">_xlfn.IFNA(_xlfn.XLOOKUP(B192,$AF$28:$AF$108,$AO$28:$AO$108,0),"")</f>
        <v>0</v>
      </c>
      <c r="F192" s="152"/>
      <c r="G192" s="153"/>
      <c r="H192" s="154"/>
      <c r="I192" s="152"/>
      <c r="K192" s="152"/>
      <c r="L192" s="153"/>
      <c r="M192" s="154"/>
      <c r="N192" s="152"/>
      <c r="P192" s="155" t="str" cm="1">
        <f t="array" aca="1" ref="P192" ca="1">$W$1&amp;_xlfn.XLOOKUP(B192,AF$28:$AF$108,$AQ$28:$AQ$108,"")</f>
        <v>Δ</v>
      </c>
      <c r="Q192" s="156">
        <f ca="1">IF((U192-V192)-(C192-D192)-SUM(G192:G195)+SUM(H192:H195)-SUM(L192:L195)+SUM(M192:M195)&gt;0,(U192-V192)-(C192-D192)-SUM(G192:G195)+SUM(H192:H195)-SUM(L192:L195)+SUM(M192:M195),0)</f>
        <v>0</v>
      </c>
      <c r="R192" s="157">
        <f ca="1">IF((U192-V192)-(C192-D192)-SUM(G192:G195)+SUM(H192:H195)-SUM(L192:L195)+SUM(M192:M195)&lt;0,-((U192-V192)-(C192-D192)-SUM(G192:G195)+SUM(H192:H195)-SUM(L192:L195)+SUM(M192:M195)),0)</f>
        <v>0</v>
      </c>
      <c r="S192" s="155" t="str">
        <f ca="1">P192</f>
        <v>Δ</v>
      </c>
      <c r="U192" s="150">
        <f ca="1">IF(AC192&gt;0,AC192,0)</f>
        <v>0</v>
      </c>
      <c r="V192" s="151">
        <f ca="1">IF(AD192&gt;0,AD192,0)</f>
        <v>0</v>
      </c>
      <c r="W192" s="390">
        <f t="shared" ref="W192" ca="1" si="254">IF(B192&lt;&gt;"",1,0)</f>
        <v>0</v>
      </c>
      <c r="X192" s="390"/>
      <c r="Y192" s="390"/>
      <c r="Z192" s="390"/>
      <c r="AA192" s="394">
        <f ca="1">SUMIF(Journal[Debit Account],B192,Journal[Dr Amt])</f>
        <v>0</v>
      </c>
      <c r="AB192" s="394">
        <f ca="1">SUMIF(Journal[Credit Account],B192,Journal[Cr Amt])</f>
        <v>0</v>
      </c>
      <c r="AC192" s="389">
        <f ca="1">C192-D192+AA192-AB192</f>
        <v>0</v>
      </c>
      <c r="AD192" s="389">
        <f ca="1">D192-C192+AB192-AA192</f>
        <v>0</v>
      </c>
      <c r="AF192" s="173"/>
      <c r="AG192"/>
    </row>
    <row r="193" spans="1:33" hidden="1" outlineLevel="1">
      <c r="A193" s="182">
        <v>166</v>
      </c>
      <c r="B193" s="158" t="str">
        <f t="shared" ca="1" si="200"/>
        <v/>
      </c>
      <c r="C193" s="159"/>
      <c r="D193" s="160"/>
      <c r="F193" s="152"/>
      <c r="G193" s="161"/>
      <c r="H193" s="162"/>
      <c r="I193" s="152"/>
      <c r="K193" s="152"/>
      <c r="L193" s="161"/>
      <c r="M193" s="162"/>
      <c r="N193" s="152"/>
      <c r="P193" s="135"/>
      <c r="Q193" s="163"/>
      <c r="S193" s="135"/>
      <c r="U193" s="164"/>
      <c r="V193" s="158"/>
      <c r="W193" s="390">
        <f t="shared" ref="W193" ca="1" si="255">IF(B192&lt;&gt;"",1,0)</f>
        <v>0</v>
      </c>
      <c r="X193" s="390"/>
      <c r="Y193" s="390"/>
      <c r="Z193" s="390"/>
      <c r="AA193" s="384"/>
      <c r="AB193" s="384"/>
      <c r="AC193" s="384"/>
      <c r="AD193" s="384"/>
      <c r="AF193" s="173"/>
      <c r="AG193"/>
    </row>
    <row r="194" spans="1:33" hidden="1" outlineLevel="1" collapsed="1">
      <c r="A194" s="182">
        <v>167</v>
      </c>
      <c r="B194" s="158" t="str">
        <f t="shared" ca="1" si="200"/>
        <v/>
      </c>
      <c r="C194" s="159"/>
      <c r="D194" s="160"/>
      <c r="F194" s="152"/>
      <c r="G194" s="161"/>
      <c r="H194" s="162"/>
      <c r="I194" s="152"/>
      <c r="K194" s="152"/>
      <c r="L194" s="161"/>
      <c r="M194" s="162"/>
      <c r="N194" s="152"/>
      <c r="P194" s="135"/>
      <c r="Q194" s="163"/>
      <c r="S194" s="135"/>
      <c r="U194" s="164"/>
      <c r="V194" s="158"/>
      <c r="W194" s="390">
        <f t="shared" ref="W194" ca="1" si="256">IF(B192&lt;&gt;"",1,0)</f>
        <v>0</v>
      </c>
      <c r="X194" s="390"/>
      <c r="Y194" s="390"/>
      <c r="Z194" s="390"/>
      <c r="AA194" s="384"/>
      <c r="AB194" s="384"/>
      <c r="AC194" s="384"/>
      <c r="AD194" s="384"/>
      <c r="AF194" s="173"/>
      <c r="AG194" s="11"/>
    </row>
    <row r="195" spans="1:33" hidden="1" outlineLevel="1">
      <c r="A195" s="182">
        <v>168</v>
      </c>
      <c r="B195" s="158" t="str">
        <f t="shared" ca="1" si="200"/>
        <v/>
      </c>
      <c r="C195" s="159"/>
      <c r="D195" s="160"/>
      <c r="F195" s="152"/>
      <c r="G195" s="161"/>
      <c r="H195" s="162"/>
      <c r="I195" s="152"/>
      <c r="K195" s="152"/>
      <c r="L195" s="161"/>
      <c r="M195" s="162"/>
      <c r="N195" s="152"/>
      <c r="P195" s="135"/>
      <c r="Q195" s="163"/>
      <c r="S195" s="135"/>
      <c r="U195" s="164"/>
      <c r="V195" s="158"/>
      <c r="W195" s="390">
        <f t="shared" ref="W195" ca="1" si="257">IF(B192&lt;&gt;"",1,0)</f>
        <v>0</v>
      </c>
      <c r="X195" s="390"/>
      <c r="Y195" s="390"/>
      <c r="Z195" s="390"/>
      <c r="AA195" s="384"/>
      <c r="AB195" s="384"/>
      <c r="AC195" s="384"/>
      <c r="AD195" s="384"/>
      <c r="AF195" s="173"/>
      <c r="AG195" s="173"/>
    </row>
    <row r="196" spans="1:33" collapsed="1">
      <c r="A196" s="182">
        <v>169</v>
      </c>
      <c r="B196" s="149" t="str">
        <f t="shared" ca="1" si="200"/>
        <v/>
      </c>
      <c r="C196" s="150">
        <f t="shared" ref="C196" ca="1" si="258">_xlfn.IFNA(_xlfn.XLOOKUP(B196,$AF$28:$AF$108,$AN$28:$AN$108,0),0)</f>
        <v>0</v>
      </c>
      <c r="D196" s="151">
        <f t="shared" ref="D196" ca="1" si="259">_xlfn.IFNA(_xlfn.XLOOKUP(B196,$AF$28:$AF$108,$AO$28:$AO$108,0),"")</f>
        <v>0</v>
      </c>
      <c r="F196" s="152"/>
      <c r="G196" s="153"/>
      <c r="H196" s="154"/>
      <c r="I196" s="152"/>
      <c r="K196" s="152"/>
      <c r="L196" s="153"/>
      <c r="M196" s="154"/>
      <c r="N196" s="152"/>
      <c r="P196" s="155" t="str" cm="1">
        <f t="array" aca="1" ref="P196" ca="1">$W$1&amp;_xlfn.XLOOKUP(B196,AF$28:$AF$108,$AQ$28:$AQ$108,"")</f>
        <v>Δ</v>
      </c>
      <c r="Q196" s="156">
        <f ca="1">IF((U196-V196)-(C196-D196)-SUM(G196:G199)+SUM(H196:H199)-SUM(L196:L199)+SUM(M196:M199)&gt;0,(U196-V196)-(C196-D196)-SUM(G196:G199)+SUM(H196:H199)-SUM(L196:L199)+SUM(M196:M199),0)</f>
        <v>0</v>
      </c>
      <c r="R196" s="157">
        <f ca="1">IF((U196-V196)-(C196-D196)-SUM(G196:G199)+SUM(H196:H199)-SUM(L196:L199)+SUM(M196:M199)&lt;0,-((U196-V196)-(C196-D196)-SUM(G196:G199)+SUM(H196:H199)-SUM(L196:L199)+SUM(M196:M199)),0)</f>
        <v>0</v>
      </c>
      <c r="S196" s="155" t="str">
        <f ca="1">P196</f>
        <v>Δ</v>
      </c>
      <c r="U196" s="150">
        <f ca="1">IF(AC196&gt;0,AC196,0)</f>
        <v>0</v>
      </c>
      <c r="V196" s="151">
        <f ca="1">IF(AD196&gt;0,AD196,0)</f>
        <v>0</v>
      </c>
      <c r="W196" s="390">
        <f t="shared" ref="W196" ca="1" si="260">IF(B196&lt;&gt;"",1,0)</f>
        <v>0</v>
      </c>
      <c r="X196" s="390"/>
      <c r="Y196" s="390"/>
      <c r="Z196" s="390"/>
      <c r="AA196" s="394">
        <f ca="1">SUMIF(Journal[Debit Account],B196,Journal[Dr Amt])</f>
        <v>0</v>
      </c>
      <c r="AB196" s="394">
        <f ca="1">SUMIF(Journal[Credit Account],B196,Journal[Cr Amt])</f>
        <v>0</v>
      </c>
      <c r="AC196" s="389">
        <f ca="1">C196-D196+AA196-AB196</f>
        <v>0</v>
      </c>
      <c r="AD196" s="389">
        <f ca="1">D196-C196+AB196-AA196</f>
        <v>0</v>
      </c>
      <c r="AF196" s="173"/>
      <c r="AG196" s="173"/>
    </row>
    <row r="197" spans="1:33" hidden="1" outlineLevel="1">
      <c r="A197" s="182">
        <v>170</v>
      </c>
      <c r="B197" s="158" t="str">
        <f t="shared" ca="1" si="200"/>
        <v/>
      </c>
      <c r="C197" s="159"/>
      <c r="D197" s="160"/>
      <c r="F197" s="152"/>
      <c r="G197" s="161"/>
      <c r="H197" s="162"/>
      <c r="I197" s="152"/>
      <c r="K197" s="152"/>
      <c r="L197" s="161"/>
      <c r="M197" s="162"/>
      <c r="N197" s="152"/>
      <c r="P197" s="135"/>
      <c r="Q197" s="163"/>
      <c r="S197" s="135"/>
      <c r="U197" s="164"/>
      <c r="V197" s="158"/>
      <c r="W197" s="390">
        <f t="shared" ref="W197" ca="1" si="261">IF(B196&lt;&gt;"",1,0)</f>
        <v>0</v>
      </c>
      <c r="X197" s="390"/>
      <c r="Y197" s="390"/>
      <c r="Z197" s="390"/>
      <c r="AA197" s="384"/>
      <c r="AB197" s="384"/>
      <c r="AC197" s="384"/>
      <c r="AD197" s="384"/>
      <c r="AF197" s="173"/>
      <c r="AG197" s="173"/>
    </row>
    <row r="198" spans="1:33" hidden="1" outlineLevel="1">
      <c r="A198" s="182">
        <v>171</v>
      </c>
      <c r="B198" s="158" t="str">
        <f t="shared" ca="1" si="200"/>
        <v/>
      </c>
      <c r="C198" s="159"/>
      <c r="D198" s="160"/>
      <c r="F198" s="152"/>
      <c r="G198" s="161"/>
      <c r="H198" s="162"/>
      <c r="I198" s="152"/>
      <c r="K198" s="152"/>
      <c r="L198" s="161"/>
      <c r="M198" s="162"/>
      <c r="N198" s="152"/>
      <c r="P198" s="135"/>
      <c r="Q198" s="163"/>
      <c r="S198" s="135"/>
      <c r="U198" s="164"/>
      <c r="V198" s="158"/>
      <c r="W198" s="390">
        <f t="shared" ref="W198" ca="1" si="262">IF(B196&lt;&gt;"",1,0)</f>
        <v>0</v>
      </c>
      <c r="X198" s="390"/>
      <c r="Y198" s="390"/>
      <c r="Z198" s="390"/>
      <c r="AA198" s="384"/>
      <c r="AB198" s="384"/>
      <c r="AC198" s="384"/>
      <c r="AD198" s="384"/>
      <c r="AF198" s="173"/>
    </row>
    <row r="199" spans="1:33" hidden="1" outlineLevel="1">
      <c r="A199" s="182">
        <v>172</v>
      </c>
      <c r="B199" s="158" t="str">
        <f t="shared" ca="1" si="200"/>
        <v/>
      </c>
      <c r="C199" s="159"/>
      <c r="D199" s="160"/>
      <c r="F199" s="152"/>
      <c r="G199" s="161"/>
      <c r="H199" s="162"/>
      <c r="I199" s="152"/>
      <c r="K199" s="152"/>
      <c r="L199" s="161"/>
      <c r="M199" s="162"/>
      <c r="N199" s="152"/>
      <c r="P199" s="135"/>
      <c r="Q199" s="163"/>
      <c r="S199" s="135"/>
      <c r="U199" s="164"/>
      <c r="V199" s="158"/>
      <c r="W199" s="390">
        <f t="shared" ref="W199" ca="1" si="263">IF(B196&lt;&gt;"",1,0)</f>
        <v>0</v>
      </c>
      <c r="X199" s="390"/>
      <c r="Y199" s="390"/>
      <c r="Z199" s="390"/>
      <c r="AA199" s="384"/>
      <c r="AB199" s="384"/>
      <c r="AC199" s="384"/>
      <c r="AD199" s="384"/>
      <c r="AF199" s="173"/>
      <c r="AG199" s="173"/>
    </row>
    <row r="200" spans="1:33" collapsed="1">
      <c r="A200" s="182">
        <v>173</v>
      </c>
      <c r="B200" s="149" t="str">
        <f t="shared" ca="1" si="200"/>
        <v/>
      </c>
      <c r="C200" s="150">
        <f t="shared" ref="C200" ca="1" si="264">_xlfn.IFNA(_xlfn.XLOOKUP(B200,$AF$28:$AF$108,$AN$28:$AN$108,0),0)</f>
        <v>0</v>
      </c>
      <c r="D200" s="151">
        <f t="shared" ref="D200" ca="1" si="265">_xlfn.IFNA(_xlfn.XLOOKUP(B200,$AF$28:$AF$108,$AO$28:$AO$108,0),"")</f>
        <v>0</v>
      </c>
      <c r="F200" s="152"/>
      <c r="G200" s="153"/>
      <c r="H200" s="154"/>
      <c r="I200" s="152"/>
      <c r="K200" s="152"/>
      <c r="L200" s="153"/>
      <c r="M200" s="154"/>
      <c r="N200" s="152"/>
      <c r="P200" s="155" t="str" cm="1">
        <f t="array" aca="1" ref="P200" ca="1">$W$1&amp;_xlfn.XLOOKUP(B200,AF$28:$AF$108,$AQ$28:$AQ$108,"")</f>
        <v>Δ</v>
      </c>
      <c r="Q200" s="156">
        <f ca="1">IF((U200-V200)-(C200-D200)-SUM(G200:G203)+SUM(H200:H203)-SUM(L200:L203)+SUM(M200:M203)&gt;0,(U200-V200)-(C200-D200)-SUM(G200:G203)+SUM(H200:H203)-SUM(L200:L203)+SUM(M200:M203),0)</f>
        <v>0</v>
      </c>
      <c r="R200" s="157">
        <f ca="1">IF((U200-V200)-(C200-D200)-SUM(G200:G203)+SUM(H200:H203)-SUM(L200:L203)+SUM(M200:M203)&lt;0,-((U200-V200)-(C200-D200)-SUM(G200:G203)+SUM(H200:H203)-SUM(L200:L203)+SUM(M200:M203)),0)</f>
        <v>0</v>
      </c>
      <c r="S200" s="155" t="str">
        <f ca="1">P200</f>
        <v>Δ</v>
      </c>
      <c r="U200" s="150">
        <f ca="1">IF(AC200&gt;0,AC200,0)</f>
        <v>0</v>
      </c>
      <c r="V200" s="151">
        <f ca="1">IF(AD200&gt;0,AD200,0)</f>
        <v>0</v>
      </c>
      <c r="W200" s="390">
        <f t="shared" ref="W200" ca="1" si="266">IF(B200&lt;&gt;"",1,0)</f>
        <v>0</v>
      </c>
      <c r="X200" s="390"/>
      <c r="Y200" s="390"/>
      <c r="Z200" s="390"/>
      <c r="AA200" s="394">
        <f ca="1">SUMIF(Journal[Debit Account],B200,Journal[Dr Amt])</f>
        <v>0</v>
      </c>
      <c r="AB200" s="394">
        <f ca="1">SUMIF(Journal[Credit Account],B200,Journal[Cr Amt])</f>
        <v>0</v>
      </c>
      <c r="AC200" s="389">
        <f ca="1">C200-D200+AA200-AB200</f>
        <v>0</v>
      </c>
      <c r="AD200" s="389">
        <f ca="1">D200-C200+AB200-AA200</f>
        <v>0</v>
      </c>
      <c r="AF200" s="173"/>
      <c r="AG200" s="173"/>
    </row>
    <row r="201" spans="1:33" hidden="1" outlineLevel="1">
      <c r="A201" s="182">
        <v>174</v>
      </c>
      <c r="B201" s="158" t="str">
        <f t="shared" ca="1" si="200"/>
        <v/>
      </c>
      <c r="C201" s="159"/>
      <c r="D201" s="160"/>
      <c r="F201" s="152"/>
      <c r="G201" s="161"/>
      <c r="H201" s="162"/>
      <c r="I201" s="152"/>
      <c r="K201" s="152"/>
      <c r="L201" s="161"/>
      <c r="M201" s="162"/>
      <c r="N201" s="152"/>
      <c r="P201" s="135"/>
      <c r="Q201" s="163"/>
      <c r="S201" s="135"/>
      <c r="U201" s="164"/>
      <c r="V201" s="158"/>
      <c r="W201" s="390">
        <f t="shared" ref="W201" ca="1" si="267">IF(B200&lt;&gt;"",1,0)</f>
        <v>0</v>
      </c>
      <c r="X201" s="390"/>
      <c r="Y201" s="390"/>
      <c r="Z201" s="390"/>
      <c r="AA201" s="384"/>
      <c r="AB201" s="384"/>
      <c r="AC201" s="384"/>
      <c r="AD201" s="384"/>
      <c r="AF201" s="173"/>
      <c r="AG201" s="173"/>
    </row>
    <row r="202" spans="1:33" hidden="1" outlineLevel="1">
      <c r="A202" s="182">
        <v>175</v>
      </c>
      <c r="B202" s="158" t="str">
        <f t="shared" ca="1" si="200"/>
        <v/>
      </c>
      <c r="C202" s="159"/>
      <c r="D202" s="160"/>
      <c r="F202" s="152"/>
      <c r="G202" s="161"/>
      <c r="H202" s="162"/>
      <c r="I202" s="152"/>
      <c r="K202" s="152"/>
      <c r="L202" s="161"/>
      <c r="M202" s="162"/>
      <c r="N202" s="152"/>
      <c r="P202" s="135"/>
      <c r="Q202" s="163"/>
      <c r="S202" s="135"/>
      <c r="U202" s="164"/>
      <c r="V202" s="158"/>
      <c r="W202" s="390">
        <f t="shared" ref="W202" ca="1" si="268">IF(B200&lt;&gt;"",1,0)</f>
        <v>0</v>
      </c>
      <c r="X202" s="390"/>
      <c r="Y202" s="390"/>
      <c r="Z202" s="390"/>
      <c r="AA202" s="384"/>
      <c r="AB202" s="384"/>
      <c r="AC202" s="384"/>
      <c r="AD202" s="384"/>
      <c r="AF202" s="173"/>
      <c r="AG202" s="173"/>
    </row>
    <row r="203" spans="1:33" hidden="1" outlineLevel="1">
      <c r="A203" s="182">
        <v>176</v>
      </c>
      <c r="B203" s="158" t="str">
        <f t="shared" ca="1" si="200"/>
        <v/>
      </c>
      <c r="C203" s="159"/>
      <c r="D203" s="160"/>
      <c r="F203" s="152"/>
      <c r="G203" s="161"/>
      <c r="H203" s="162"/>
      <c r="I203" s="152"/>
      <c r="K203" s="152"/>
      <c r="L203" s="161"/>
      <c r="M203" s="162"/>
      <c r="N203" s="152"/>
      <c r="P203" s="135"/>
      <c r="Q203" s="163"/>
      <c r="S203" s="135"/>
      <c r="U203" s="164"/>
      <c r="V203" s="158"/>
      <c r="W203" s="390">
        <f t="shared" ref="W203" ca="1" si="269">IF(B200&lt;&gt;"",1,0)</f>
        <v>0</v>
      </c>
      <c r="X203" s="390"/>
      <c r="Y203" s="390"/>
      <c r="Z203" s="390"/>
      <c r="AA203" s="384"/>
      <c r="AB203" s="384"/>
      <c r="AC203" s="384"/>
      <c r="AD203" s="384"/>
      <c r="AF203" s="173"/>
      <c r="AG203" s="173"/>
    </row>
    <row r="204" spans="1:33" collapsed="1">
      <c r="A204" s="182">
        <v>177</v>
      </c>
      <c r="B204" s="149" t="str">
        <f t="shared" ca="1" si="200"/>
        <v/>
      </c>
      <c r="C204" s="150">
        <f t="shared" ref="C204" ca="1" si="270">_xlfn.IFNA(_xlfn.XLOOKUP(B204,$AF$28:$AF$108,$AN$28:$AN$108,0),0)</f>
        <v>0</v>
      </c>
      <c r="D204" s="151">
        <f t="shared" ref="D204" ca="1" si="271">_xlfn.IFNA(_xlfn.XLOOKUP(B204,$AF$28:$AF$108,$AO$28:$AO$108,0),"")</f>
        <v>0</v>
      </c>
      <c r="F204" s="152"/>
      <c r="G204" s="153"/>
      <c r="H204" s="154"/>
      <c r="I204" s="152"/>
      <c r="K204" s="152"/>
      <c r="L204" s="153"/>
      <c r="M204" s="154"/>
      <c r="N204" s="152"/>
      <c r="P204" s="155" t="str" cm="1">
        <f t="array" aca="1" ref="P204" ca="1">$W$1&amp;_xlfn.XLOOKUP(B204,AF$28:$AF$108,$AQ$28:$AQ$108,"")</f>
        <v>Δ</v>
      </c>
      <c r="Q204" s="156">
        <f ca="1">IF((U204-V204)-(C204-D204)-SUM(G204:G207)+SUM(H204:H207)-SUM(L204:L207)+SUM(M204:M207)&gt;0,(U204-V204)-(C204-D204)-SUM(G204:G207)+SUM(H204:H207)-SUM(L204:L207)+SUM(M204:M207),0)</f>
        <v>0</v>
      </c>
      <c r="R204" s="157">
        <f ca="1">IF((U204-V204)-(C204-D204)-SUM(G204:G207)+SUM(H204:H207)-SUM(L204:L207)+SUM(M204:M207)&lt;0,-((U204-V204)-(C204-D204)-SUM(G204:G207)+SUM(H204:H207)-SUM(L204:L207)+SUM(M204:M207)),0)</f>
        <v>0</v>
      </c>
      <c r="S204" s="155" t="str">
        <f ca="1">P204</f>
        <v>Δ</v>
      </c>
      <c r="U204" s="150">
        <f ca="1">IF(AC204&gt;0,AC204,0)</f>
        <v>0</v>
      </c>
      <c r="V204" s="151">
        <f ca="1">IF(AD204&gt;0,AD204,0)</f>
        <v>0</v>
      </c>
      <c r="W204" s="390">
        <f t="shared" ref="W204" ca="1" si="272">IF(B204&lt;&gt;"",1,0)</f>
        <v>0</v>
      </c>
      <c r="X204" s="390"/>
      <c r="Y204" s="390"/>
      <c r="Z204" s="390"/>
      <c r="AA204" s="394">
        <f ca="1">SUMIF(Journal[Debit Account],B204,Journal[Dr Amt])</f>
        <v>0</v>
      </c>
      <c r="AB204" s="394">
        <f ca="1">SUMIF(Journal[Credit Account],B204,Journal[Cr Amt])</f>
        <v>0</v>
      </c>
      <c r="AC204" s="389">
        <f ca="1">C204-D204+AA204-AB204</f>
        <v>0</v>
      </c>
      <c r="AD204" s="389">
        <f ca="1">D204-C204+AB204-AA204</f>
        <v>0</v>
      </c>
      <c r="AF204" s="173"/>
      <c r="AG204" s="173"/>
    </row>
    <row r="205" spans="1:33" hidden="1" outlineLevel="1">
      <c r="A205" s="182">
        <v>178</v>
      </c>
      <c r="B205" s="158" t="str">
        <f t="shared" ca="1" si="200"/>
        <v/>
      </c>
      <c r="C205" s="159"/>
      <c r="D205" s="160"/>
      <c r="F205" s="152"/>
      <c r="G205" s="161"/>
      <c r="H205" s="162"/>
      <c r="I205" s="152"/>
      <c r="K205" s="152"/>
      <c r="L205" s="161"/>
      <c r="M205" s="162"/>
      <c r="N205" s="152"/>
      <c r="P205" s="135"/>
      <c r="Q205" s="163"/>
      <c r="S205" s="135"/>
      <c r="U205" s="164"/>
      <c r="V205" s="158"/>
      <c r="W205" s="390">
        <f t="shared" ref="W205" ca="1" si="273">IF(B204&lt;&gt;"",1,0)</f>
        <v>0</v>
      </c>
      <c r="X205" s="390"/>
      <c r="Y205" s="390"/>
      <c r="Z205" s="390"/>
      <c r="AA205" s="384"/>
      <c r="AB205" s="384"/>
      <c r="AC205" s="384"/>
      <c r="AD205" s="384"/>
      <c r="AF205" s="173"/>
      <c r="AG205" s="173"/>
    </row>
    <row r="206" spans="1:33" hidden="1" outlineLevel="1">
      <c r="A206" s="182">
        <v>179</v>
      </c>
      <c r="B206" s="158" t="str">
        <f t="shared" ca="1" si="200"/>
        <v/>
      </c>
      <c r="C206" s="159"/>
      <c r="D206" s="160"/>
      <c r="F206" s="152"/>
      <c r="G206" s="161"/>
      <c r="H206" s="162"/>
      <c r="I206" s="152"/>
      <c r="K206" s="152"/>
      <c r="L206" s="161"/>
      <c r="M206" s="162"/>
      <c r="N206" s="152"/>
      <c r="P206" s="135"/>
      <c r="Q206" s="163"/>
      <c r="S206" s="135"/>
      <c r="U206" s="164"/>
      <c r="V206" s="158"/>
      <c r="W206" s="390">
        <f t="shared" ref="W206" ca="1" si="274">IF(B204&lt;&gt;"",1,0)</f>
        <v>0</v>
      </c>
      <c r="X206" s="390"/>
      <c r="Y206" s="390"/>
      <c r="Z206" s="390"/>
      <c r="AA206" s="384"/>
      <c r="AB206" s="384"/>
      <c r="AC206" s="384"/>
      <c r="AD206" s="384"/>
      <c r="AF206" s="173"/>
      <c r="AG206" s="173"/>
    </row>
    <row r="207" spans="1:33" hidden="1" outlineLevel="1">
      <c r="A207" s="182">
        <v>180</v>
      </c>
      <c r="B207" s="158" t="str">
        <f t="shared" ca="1" si="200"/>
        <v/>
      </c>
      <c r="C207" s="159"/>
      <c r="D207" s="160"/>
      <c r="F207" s="152"/>
      <c r="G207" s="161"/>
      <c r="H207" s="162"/>
      <c r="I207" s="152"/>
      <c r="K207" s="152"/>
      <c r="L207" s="161"/>
      <c r="M207" s="162"/>
      <c r="N207" s="152"/>
      <c r="P207" s="135"/>
      <c r="Q207" s="163"/>
      <c r="S207" s="135"/>
      <c r="U207" s="164"/>
      <c r="V207" s="158"/>
      <c r="W207" s="390">
        <f t="shared" ref="W207" ca="1" si="275">IF(B204&lt;&gt;"",1,0)</f>
        <v>0</v>
      </c>
      <c r="X207" s="390"/>
      <c r="Y207" s="390"/>
      <c r="Z207" s="390"/>
      <c r="AA207" s="384"/>
      <c r="AB207" s="384"/>
      <c r="AC207" s="384"/>
      <c r="AD207" s="384"/>
      <c r="AF207" s="173"/>
      <c r="AG207" s="173"/>
    </row>
    <row r="208" spans="1:33" collapsed="1">
      <c r="A208" s="182">
        <v>181</v>
      </c>
      <c r="B208" s="149" t="str">
        <f t="shared" ca="1" si="200"/>
        <v/>
      </c>
      <c r="C208" s="150">
        <f t="shared" ref="C208" ca="1" si="276">_xlfn.IFNA(_xlfn.XLOOKUP(B208,$AF$28:$AF$108,$AN$28:$AN$108,0),0)</f>
        <v>0</v>
      </c>
      <c r="D208" s="151">
        <f t="shared" ref="D208" ca="1" si="277">_xlfn.IFNA(_xlfn.XLOOKUP(B208,$AF$28:$AF$108,$AO$28:$AO$108,0),"")</f>
        <v>0</v>
      </c>
      <c r="F208" s="152"/>
      <c r="G208" s="153"/>
      <c r="H208" s="154"/>
      <c r="I208" s="152"/>
      <c r="K208" s="152"/>
      <c r="L208" s="153"/>
      <c r="M208" s="154"/>
      <c r="N208" s="152"/>
      <c r="P208" s="155" t="str" cm="1">
        <f t="array" aca="1" ref="P208" ca="1">$W$1&amp;_xlfn.XLOOKUP(B208,AF$28:$AF$108,$AQ$28:$AQ$108,"")</f>
        <v>Δ</v>
      </c>
      <c r="Q208" s="156">
        <f ca="1">IF((U208-V208)-(C208-D208)-SUM(G208:G211)+SUM(H208:H211)-SUM(L208:L211)+SUM(M208:M211)&gt;0,(U208-V208)-(C208-D208)-SUM(G208:G211)+SUM(H208:H211)-SUM(L208:L211)+SUM(M208:M211),0)</f>
        <v>0</v>
      </c>
      <c r="R208" s="157">
        <f ca="1">IF((U208-V208)-(C208-D208)-SUM(G208:G211)+SUM(H208:H211)-SUM(L208:L211)+SUM(M208:M211)&lt;0,-((U208-V208)-(C208-D208)-SUM(G208:G211)+SUM(H208:H211)-SUM(L208:L211)+SUM(M208:M211)),0)</f>
        <v>0</v>
      </c>
      <c r="S208" s="155" t="str">
        <f ca="1">P208</f>
        <v>Δ</v>
      </c>
      <c r="U208" s="150">
        <f ca="1">IF(AC208&gt;0,AC208,0)</f>
        <v>0</v>
      </c>
      <c r="V208" s="151">
        <f ca="1">IF(AD208&gt;0,AD208,0)</f>
        <v>0</v>
      </c>
      <c r="W208" s="390">
        <f t="shared" ref="W208" ca="1" si="278">IF(B208&lt;&gt;"",1,0)</f>
        <v>0</v>
      </c>
      <c r="X208" s="390"/>
      <c r="Y208" s="390"/>
      <c r="Z208" s="390"/>
      <c r="AA208" s="394">
        <f ca="1">SUMIF(Journal[Debit Account],B208,Journal[Dr Amt])</f>
        <v>0</v>
      </c>
      <c r="AB208" s="394">
        <f ca="1">SUMIF(Journal[Credit Account],B208,Journal[Cr Amt])</f>
        <v>0</v>
      </c>
      <c r="AC208" s="389">
        <f ca="1">C208-D208+AA208-AB208</f>
        <v>0</v>
      </c>
      <c r="AD208" s="389">
        <f ca="1">D208-C208+AB208-AA208</f>
        <v>0</v>
      </c>
      <c r="AF208" s="173"/>
      <c r="AG208" s="173"/>
    </row>
    <row r="209" spans="1:33" hidden="1" outlineLevel="1">
      <c r="A209" s="182">
        <v>182</v>
      </c>
      <c r="B209" s="158" t="str">
        <f t="shared" ca="1" si="200"/>
        <v/>
      </c>
      <c r="C209" s="159"/>
      <c r="D209" s="160"/>
      <c r="F209" s="152"/>
      <c r="G209" s="161"/>
      <c r="H209" s="162"/>
      <c r="I209" s="152"/>
      <c r="K209" s="152"/>
      <c r="L209" s="161"/>
      <c r="M209" s="162"/>
      <c r="N209" s="152"/>
      <c r="P209" s="135"/>
      <c r="Q209" s="163"/>
      <c r="S209" s="135"/>
      <c r="U209" s="164"/>
      <c r="V209" s="158"/>
      <c r="W209" s="390">
        <f t="shared" ref="W209" ca="1" si="279">IF(B208&lt;&gt;"",1,0)</f>
        <v>0</v>
      </c>
      <c r="X209" s="390"/>
      <c r="Y209" s="390"/>
      <c r="Z209" s="390"/>
      <c r="AA209" s="384"/>
      <c r="AB209" s="384"/>
      <c r="AC209" s="384"/>
      <c r="AD209" s="384"/>
      <c r="AF209" s="173"/>
      <c r="AG209" s="173"/>
    </row>
    <row r="210" spans="1:33" hidden="1" outlineLevel="1">
      <c r="A210" s="182">
        <v>183</v>
      </c>
      <c r="B210" s="158" t="str">
        <f t="shared" ca="1" si="200"/>
        <v/>
      </c>
      <c r="C210" s="159"/>
      <c r="D210" s="160"/>
      <c r="F210" s="152"/>
      <c r="G210" s="161"/>
      <c r="H210" s="162"/>
      <c r="I210" s="152"/>
      <c r="K210" s="152"/>
      <c r="L210" s="161"/>
      <c r="M210" s="162"/>
      <c r="N210" s="152"/>
      <c r="P210" s="135"/>
      <c r="Q210" s="163"/>
      <c r="S210" s="135"/>
      <c r="U210" s="164"/>
      <c r="V210" s="158"/>
      <c r="W210" s="390">
        <f t="shared" ref="W210" ca="1" si="280">IF(B208&lt;&gt;"",1,0)</f>
        <v>0</v>
      </c>
      <c r="X210" s="390"/>
      <c r="Y210" s="390"/>
      <c r="Z210" s="390"/>
      <c r="AA210" s="384"/>
      <c r="AB210" s="384"/>
      <c r="AC210" s="384"/>
      <c r="AD210" s="384"/>
      <c r="AF210" s="173"/>
      <c r="AG210" s="173"/>
    </row>
    <row r="211" spans="1:33" hidden="1" outlineLevel="1">
      <c r="A211" s="182">
        <v>184</v>
      </c>
      <c r="B211" s="158" t="str">
        <f t="shared" ca="1" si="200"/>
        <v/>
      </c>
      <c r="C211" s="159"/>
      <c r="D211" s="160"/>
      <c r="F211" s="152"/>
      <c r="G211" s="161"/>
      <c r="H211" s="162"/>
      <c r="I211" s="152"/>
      <c r="K211" s="152"/>
      <c r="L211" s="161"/>
      <c r="M211" s="162"/>
      <c r="N211" s="152"/>
      <c r="P211" s="135"/>
      <c r="Q211" s="163"/>
      <c r="S211" s="135"/>
      <c r="U211" s="164"/>
      <c r="V211" s="158"/>
      <c r="W211" s="390">
        <f t="shared" ref="W211" ca="1" si="281">IF(B208&lt;&gt;"",1,0)</f>
        <v>0</v>
      </c>
      <c r="X211" s="390"/>
      <c r="Y211" s="390"/>
      <c r="Z211" s="390"/>
      <c r="AA211" s="384"/>
      <c r="AB211" s="384"/>
      <c r="AC211" s="384"/>
      <c r="AD211" s="384"/>
      <c r="AF211" s="173"/>
      <c r="AG211" s="173"/>
    </row>
    <row r="212" spans="1:33" collapsed="1">
      <c r="A212" s="182">
        <v>185</v>
      </c>
      <c r="B212" s="149" t="str">
        <f t="shared" ca="1" si="200"/>
        <v/>
      </c>
      <c r="C212" s="150">
        <f t="shared" ref="C212" ca="1" si="282">_xlfn.IFNA(_xlfn.XLOOKUP(B212,$AF$28:$AF$108,$AN$28:$AN$108,0),0)</f>
        <v>0</v>
      </c>
      <c r="D212" s="151">
        <f t="shared" ref="D212" ca="1" si="283">_xlfn.IFNA(_xlfn.XLOOKUP(B212,$AF$28:$AF$108,$AO$28:$AO$108,0),"")</f>
        <v>0</v>
      </c>
      <c r="F212" s="152"/>
      <c r="G212" s="153"/>
      <c r="H212" s="154"/>
      <c r="I212" s="152"/>
      <c r="K212" s="152"/>
      <c r="L212" s="153"/>
      <c r="M212" s="154"/>
      <c r="N212" s="152"/>
      <c r="P212" s="155" t="str" cm="1">
        <f t="array" aca="1" ref="P212" ca="1">$W$1&amp;_xlfn.XLOOKUP(B212,AF$28:$AF$108,$AQ$28:$AQ$108,"")</f>
        <v>Δ</v>
      </c>
      <c r="Q212" s="156">
        <f ca="1">IF((U212-V212)-(C212-D212)-SUM(G212:G215)+SUM(H212:H215)-SUM(L212:L215)+SUM(M212:M215)&gt;0,(U212-V212)-(C212-D212)-SUM(G212:G215)+SUM(H212:H215)-SUM(L212:L215)+SUM(M212:M215),0)</f>
        <v>0</v>
      </c>
      <c r="R212" s="157">
        <f ca="1">IF((U212-V212)-(C212-D212)-SUM(G212:G215)+SUM(H212:H215)-SUM(L212:L215)+SUM(M212:M215)&lt;0,-((U212-V212)-(C212-D212)-SUM(G212:G215)+SUM(H212:H215)-SUM(L212:L215)+SUM(M212:M215)),0)</f>
        <v>0</v>
      </c>
      <c r="S212" s="155" t="str">
        <f ca="1">P212</f>
        <v>Δ</v>
      </c>
      <c r="U212" s="150">
        <f ca="1">IF(AC212&gt;0,AC212,0)</f>
        <v>0</v>
      </c>
      <c r="V212" s="151">
        <f ca="1">IF(AD212&gt;0,AD212,0)</f>
        <v>0</v>
      </c>
      <c r="W212" s="390">
        <f t="shared" ref="W212" ca="1" si="284">IF(B212&lt;&gt;"",1,0)</f>
        <v>0</v>
      </c>
      <c r="X212" s="390"/>
      <c r="Y212" s="390"/>
      <c r="Z212" s="390"/>
      <c r="AA212" s="394">
        <f ca="1">SUMIF(Journal[Debit Account],B212,Journal[Dr Amt])</f>
        <v>0</v>
      </c>
      <c r="AB212" s="394">
        <f ca="1">SUMIF(Journal[Credit Account],B212,Journal[Cr Amt])</f>
        <v>0</v>
      </c>
      <c r="AC212" s="389">
        <f ca="1">C212-D212+AA212-AB212</f>
        <v>0</v>
      </c>
      <c r="AD212" s="389">
        <f ca="1">D212-C212+AB212-AA212</f>
        <v>0</v>
      </c>
      <c r="AF212" s="173"/>
      <c r="AG212" s="173"/>
    </row>
    <row r="213" spans="1:33" hidden="1" outlineLevel="1">
      <c r="A213" s="182">
        <v>186</v>
      </c>
      <c r="B213" s="158" t="str">
        <f t="shared" ca="1" si="200"/>
        <v/>
      </c>
      <c r="C213" s="159"/>
      <c r="D213" s="160"/>
      <c r="F213" s="152"/>
      <c r="G213" s="161"/>
      <c r="H213" s="162"/>
      <c r="I213" s="152"/>
      <c r="K213" s="152"/>
      <c r="L213" s="161"/>
      <c r="M213" s="162"/>
      <c r="N213" s="152"/>
      <c r="P213" s="135"/>
      <c r="Q213" s="163"/>
      <c r="S213" s="135"/>
      <c r="U213" s="164"/>
      <c r="V213" s="158"/>
      <c r="W213" s="390">
        <f t="shared" ref="W213" ca="1" si="285">IF(B212&lt;&gt;"",1,0)</f>
        <v>0</v>
      </c>
      <c r="X213" s="390"/>
      <c r="Y213" s="390"/>
      <c r="Z213" s="390"/>
      <c r="AA213" s="384"/>
      <c r="AB213" s="384"/>
      <c r="AC213" s="384"/>
      <c r="AD213" s="384"/>
      <c r="AF213" s="173"/>
      <c r="AG213" s="173"/>
    </row>
    <row r="214" spans="1:33" hidden="1" outlineLevel="1">
      <c r="A214" s="182">
        <v>187</v>
      </c>
      <c r="B214" s="158" t="str">
        <f t="shared" ca="1" si="200"/>
        <v/>
      </c>
      <c r="C214" s="159"/>
      <c r="D214" s="160"/>
      <c r="F214" s="152"/>
      <c r="G214" s="161"/>
      <c r="H214" s="162"/>
      <c r="I214" s="152"/>
      <c r="K214" s="152"/>
      <c r="L214" s="161"/>
      <c r="M214" s="162"/>
      <c r="N214" s="152"/>
      <c r="P214" s="135"/>
      <c r="Q214" s="163"/>
      <c r="S214" s="135"/>
      <c r="U214" s="164"/>
      <c r="V214" s="158"/>
      <c r="W214" s="390">
        <f t="shared" ref="W214" ca="1" si="286">IF(B212&lt;&gt;"",1,0)</f>
        <v>0</v>
      </c>
      <c r="X214" s="390"/>
      <c r="Y214" s="390"/>
      <c r="Z214" s="390"/>
      <c r="AA214" s="384"/>
      <c r="AB214" s="384"/>
      <c r="AC214" s="384"/>
      <c r="AD214" s="384"/>
      <c r="AF214" s="173"/>
      <c r="AG214" s="173"/>
    </row>
    <row r="215" spans="1:33" hidden="1" outlineLevel="1">
      <c r="A215" s="182">
        <v>188</v>
      </c>
      <c r="B215" s="158" t="str">
        <f t="shared" ca="1" si="200"/>
        <v/>
      </c>
      <c r="C215" s="159"/>
      <c r="D215" s="160"/>
      <c r="F215" s="152"/>
      <c r="G215" s="161"/>
      <c r="H215" s="162"/>
      <c r="I215" s="152"/>
      <c r="K215" s="152"/>
      <c r="L215" s="161"/>
      <c r="M215" s="162"/>
      <c r="N215" s="152"/>
      <c r="P215" s="135"/>
      <c r="Q215" s="163"/>
      <c r="S215" s="135"/>
      <c r="U215" s="164"/>
      <c r="V215" s="158"/>
      <c r="W215" s="390">
        <f t="shared" ref="W215" ca="1" si="287">IF(B212&lt;&gt;"",1,0)</f>
        <v>0</v>
      </c>
      <c r="X215" s="390"/>
      <c r="Y215" s="390"/>
      <c r="Z215" s="390"/>
      <c r="AA215" s="384"/>
      <c r="AB215" s="384"/>
      <c r="AC215" s="384"/>
      <c r="AD215" s="384"/>
      <c r="AF215" s="173"/>
      <c r="AG215" s="173"/>
    </row>
    <row r="216" spans="1:33" collapsed="1">
      <c r="B216" s="174"/>
      <c r="C216" s="175"/>
      <c r="D216" s="175"/>
      <c r="F216" s="176"/>
      <c r="G216" s="174"/>
      <c r="H216" s="174"/>
      <c r="L216" s="174"/>
      <c r="M216" s="174"/>
      <c r="Q216" s="174"/>
      <c r="R216" s="174"/>
      <c r="U216" s="174"/>
      <c r="V216" s="174"/>
    </row>
  </sheetData>
  <conditionalFormatting sqref="B28:V215">
    <cfRule type="expression" dxfId="100" priority="1">
      <formula>$W28&lt;&gt;1</formula>
    </cfRule>
    <cfRule type="expression" dxfId="99" priority="4">
      <formula>OR($B28="Equities",$B28="Liabilities")</formula>
    </cfRule>
  </conditionalFormatting>
  <conditionalFormatting sqref="C28:V215">
    <cfRule type="expression" dxfId="98" priority="3">
      <formula>OR($B28="Equities",$B28="Liabilities")</formula>
    </cfRule>
  </conditionalFormatting>
  <conditionalFormatting sqref="F1:I2 K1:N2 K25:N26">
    <cfRule type="expression" dxfId="97" priority="114">
      <formula>ROUND($AE$1,2)&lt;&gt;0</formula>
    </cfRule>
  </conditionalFormatting>
  <conditionalFormatting sqref="F25:I26">
    <cfRule type="expression" dxfId="96" priority="17">
      <formula>ROUND($AE$1,2)&lt;&gt;0</formula>
    </cfRule>
  </conditionalFormatting>
  <conditionalFormatting sqref="P28">
    <cfRule type="expression" dxfId="95" priority="115">
      <formula>Q28=0</formula>
    </cfRule>
  </conditionalFormatting>
  <conditionalFormatting sqref="P32">
    <cfRule type="expression" dxfId="94" priority="5">
      <formula>Q32=0</formula>
    </cfRule>
  </conditionalFormatting>
  <conditionalFormatting sqref="P36">
    <cfRule type="expression" dxfId="93" priority="112">
      <formula>Q36=0</formula>
    </cfRule>
  </conditionalFormatting>
  <conditionalFormatting sqref="P40">
    <cfRule type="expression" dxfId="92" priority="111">
      <formula>Q40=0</formula>
    </cfRule>
  </conditionalFormatting>
  <conditionalFormatting sqref="P44">
    <cfRule type="expression" dxfId="91" priority="110">
      <formula>Q44=0</formula>
    </cfRule>
  </conditionalFormatting>
  <conditionalFormatting sqref="P48">
    <cfRule type="expression" dxfId="90" priority="109">
      <formula>Q48=0</formula>
    </cfRule>
  </conditionalFormatting>
  <conditionalFormatting sqref="P52">
    <cfRule type="expression" dxfId="89" priority="108">
      <formula>Q52=0</formula>
    </cfRule>
  </conditionalFormatting>
  <conditionalFormatting sqref="P56">
    <cfRule type="expression" dxfId="88" priority="107">
      <formula>Q56=0</formula>
    </cfRule>
  </conditionalFormatting>
  <conditionalFormatting sqref="P60">
    <cfRule type="expression" dxfId="87" priority="94">
      <formula>Q60=0</formula>
    </cfRule>
  </conditionalFormatting>
  <conditionalFormatting sqref="P64">
    <cfRule type="expression" dxfId="86" priority="92">
      <formula>Q64=0</formula>
    </cfRule>
  </conditionalFormatting>
  <conditionalFormatting sqref="P68">
    <cfRule type="expression" dxfId="85" priority="90">
      <formula>Q68=0</formula>
    </cfRule>
  </conditionalFormatting>
  <conditionalFormatting sqref="P72">
    <cfRule type="expression" dxfId="84" priority="88">
      <formula>Q72=0</formula>
    </cfRule>
  </conditionalFormatting>
  <conditionalFormatting sqref="P76">
    <cfRule type="expression" dxfId="83" priority="86">
      <formula>Q76=0</formula>
    </cfRule>
  </conditionalFormatting>
  <conditionalFormatting sqref="P80">
    <cfRule type="expression" dxfId="82" priority="84">
      <formula>Q80=0</formula>
    </cfRule>
  </conditionalFormatting>
  <conditionalFormatting sqref="P84">
    <cfRule type="expression" dxfId="81" priority="82">
      <formula>Q84=0</formula>
    </cfRule>
  </conditionalFormatting>
  <conditionalFormatting sqref="P88">
    <cfRule type="expression" dxfId="80" priority="13">
      <formula>Q88=0</formula>
    </cfRule>
  </conditionalFormatting>
  <conditionalFormatting sqref="P92">
    <cfRule type="expression" dxfId="79" priority="106">
      <formula>Q92=0</formula>
    </cfRule>
  </conditionalFormatting>
  <conditionalFormatting sqref="P96">
    <cfRule type="expression" dxfId="78" priority="55">
      <formula>Q96=0</formula>
    </cfRule>
  </conditionalFormatting>
  <conditionalFormatting sqref="P100">
    <cfRule type="expression" dxfId="77" priority="54">
      <formula>Q100=0</formula>
    </cfRule>
  </conditionalFormatting>
  <conditionalFormatting sqref="P104">
    <cfRule type="expression" dxfId="76" priority="53">
      <formula>Q104=0</formula>
    </cfRule>
  </conditionalFormatting>
  <conditionalFormatting sqref="P108">
    <cfRule type="expression" dxfId="75" priority="52">
      <formula>Q108=0</formula>
    </cfRule>
  </conditionalFormatting>
  <conditionalFormatting sqref="P112">
    <cfRule type="expression" dxfId="74" priority="51">
      <formula>Q112=0</formula>
    </cfRule>
  </conditionalFormatting>
  <conditionalFormatting sqref="P116">
    <cfRule type="expression" dxfId="73" priority="50">
      <formula>Q116=0</formula>
    </cfRule>
  </conditionalFormatting>
  <conditionalFormatting sqref="P120">
    <cfRule type="expression" dxfId="72" priority="49">
      <formula>Q120=0</formula>
    </cfRule>
  </conditionalFormatting>
  <conditionalFormatting sqref="P124">
    <cfRule type="expression" dxfId="71" priority="48">
      <formula>Q124=0</formula>
    </cfRule>
  </conditionalFormatting>
  <conditionalFormatting sqref="P128">
    <cfRule type="expression" dxfId="70" priority="47">
      <formula>Q128=0</formula>
    </cfRule>
  </conditionalFormatting>
  <conditionalFormatting sqref="P132">
    <cfRule type="expression" dxfId="69" priority="46">
      <formula>Q132=0</formula>
    </cfRule>
  </conditionalFormatting>
  <conditionalFormatting sqref="P136">
    <cfRule type="expression" dxfId="68" priority="45">
      <formula>Q136=0</formula>
    </cfRule>
  </conditionalFormatting>
  <conditionalFormatting sqref="P140">
    <cfRule type="expression" dxfId="67" priority="44">
      <formula>Q140=0</formula>
    </cfRule>
  </conditionalFormatting>
  <conditionalFormatting sqref="P144">
    <cfRule type="expression" dxfId="66" priority="43">
      <formula>Q144=0</formula>
    </cfRule>
  </conditionalFormatting>
  <conditionalFormatting sqref="P148">
    <cfRule type="expression" dxfId="65" priority="42">
      <formula>Q148=0</formula>
    </cfRule>
  </conditionalFormatting>
  <conditionalFormatting sqref="P152">
    <cfRule type="expression" dxfId="64" priority="41">
      <formula>Q152=0</formula>
    </cfRule>
  </conditionalFormatting>
  <conditionalFormatting sqref="P156">
    <cfRule type="expression" dxfId="63" priority="40">
      <formula>Q156=0</formula>
    </cfRule>
  </conditionalFormatting>
  <conditionalFormatting sqref="P160">
    <cfRule type="expression" dxfId="62" priority="39">
      <formula>Q160=0</formula>
    </cfRule>
  </conditionalFormatting>
  <conditionalFormatting sqref="P164">
    <cfRule type="expression" dxfId="61" priority="38">
      <formula>Q164=0</formula>
    </cfRule>
  </conditionalFormatting>
  <conditionalFormatting sqref="P168">
    <cfRule type="expression" dxfId="60" priority="37">
      <formula>Q168=0</formula>
    </cfRule>
  </conditionalFormatting>
  <conditionalFormatting sqref="P172">
    <cfRule type="expression" dxfId="59" priority="36">
      <formula>Q172=0</formula>
    </cfRule>
  </conditionalFormatting>
  <conditionalFormatting sqref="P176">
    <cfRule type="expression" dxfId="58" priority="35">
      <formula>Q176=0</formula>
    </cfRule>
  </conditionalFormatting>
  <conditionalFormatting sqref="P180">
    <cfRule type="expression" dxfId="57" priority="34">
      <formula>Q180=0</formula>
    </cfRule>
  </conditionalFormatting>
  <conditionalFormatting sqref="P184">
    <cfRule type="expression" dxfId="56" priority="10">
      <formula>Q184=0</formula>
    </cfRule>
  </conditionalFormatting>
  <conditionalFormatting sqref="P188">
    <cfRule type="expression" dxfId="55" priority="33">
      <formula>Q188=0</formula>
    </cfRule>
  </conditionalFormatting>
  <conditionalFormatting sqref="P192">
    <cfRule type="expression" dxfId="54" priority="105">
      <formula>Q192=0</formula>
    </cfRule>
  </conditionalFormatting>
  <conditionalFormatting sqref="P196">
    <cfRule type="expression" dxfId="53" priority="32">
      <formula>Q196=0</formula>
    </cfRule>
  </conditionalFormatting>
  <conditionalFormatting sqref="P200">
    <cfRule type="expression" dxfId="52" priority="30">
      <formula>Q200=0</formula>
    </cfRule>
  </conditionalFormatting>
  <conditionalFormatting sqref="P204">
    <cfRule type="expression" dxfId="51" priority="28">
      <formula>Q204=0</formula>
    </cfRule>
  </conditionalFormatting>
  <conditionalFormatting sqref="P208">
    <cfRule type="expression" dxfId="50" priority="26">
      <formula>Q208=0</formula>
    </cfRule>
  </conditionalFormatting>
  <conditionalFormatting sqref="P212">
    <cfRule type="expression" dxfId="49" priority="24">
      <formula>Q212=0</formula>
    </cfRule>
  </conditionalFormatting>
  <conditionalFormatting sqref="P5:S5">
    <cfRule type="expression" dxfId="48" priority="18">
      <formula>ROUND($AE$1,2)&lt;&gt;0</formula>
    </cfRule>
  </conditionalFormatting>
  <conditionalFormatting sqref="Q22:R22">
    <cfRule type="cellIs" dxfId="47" priority="16" operator="notBetween">
      <formula>-0.0001</formula>
      <formula>0.0001</formula>
    </cfRule>
  </conditionalFormatting>
  <conditionalFormatting sqref="S28">
    <cfRule type="expression" dxfId="46" priority="104">
      <formula>R28=0</formula>
    </cfRule>
  </conditionalFormatting>
  <conditionalFormatting sqref="S32">
    <cfRule type="expression" dxfId="45" priority="7">
      <formula>R32=0</formula>
    </cfRule>
  </conditionalFormatting>
  <conditionalFormatting sqref="S36">
    <cfRule type="expression" dxfId="44" priority="6">
      <formula>R36=0</formula>
    </cfRule>
  </conditionalFormatting>
  <conditionalFormatting sqref="S40">
    <cfRule type="expression" dxfId="43" priority="99">
      <formula>R40=0</formula>
    </cfRule>
  </conditionalFormatting>
  <conditionalFormatting sqref="S44">
    <cfRule type="expression" dxfId="42" priority="98">
      <formula>R44=0</formula>
    </cfRule>
  </conditionalFormatting>
  <conditionalFormatting sqref="S48">
    <cfRule type="expression" dxfId="41" priority="97">
      <formula>R48=0</formula>
    </cfRule>
  </conditionalFormatting>
  <conditionalFormatting sqref="S52">
    <cfRule type="expression" dxfId="40" priority="96">
      <formula>R52=0</formula>
    </cfRule>
  </conditionalFormatting>
  <conditionalFormatting sqref="S56">
    <cfRule type="expression" dxfId="39" priority="95">
      <formula>R56=0</formula>
    </cfRule>
  </conditionalFormatting>
  <conditionalFormatting sqref="S60">
    <cfRule type="expression" dxfId="38" priority="93">
      <formula>R60=0</formula>
    </cfRule>
  </conditionalFormatting>
  <conditionalFormatting sqref="S64">
    <cfRule type="expression" dxfId="37" priority="91">
      <formula>R64=0</formula>
    </cfRule>
  </conditionalFormatting>
  <conditionalFormatting sqref="S68">
    <cfRule type="expression" dxfId="36" priority="89">
      <formula>R68=0</formula>
    </cfRule>
  </conditionalFormatting>
  <conditionalFormatting sqref="S72">
    <cfRule type="expression" dxfId="35" priority="87">
      <formula>R72=0</formula>
    </cfRule>
  </conditionalFormatting>
  <conditionalFormatting sqref="S76">
    <cfRule type="expression" dxfId="34" priority="85">
      <formula>R76=0</formula>
    </cfRule>
  </conditionalFormatting>
  <conditionalFormatting sqref="S80">
    <cfRule type="expression" dxfId="33" priority="83">
      <formula>R80=0</formula>
    </cfRule>
  </conditionalFormatting>
  <conditionalFormatting sqref="S84">
    <cfRule type="expression" dxfId="32" priority="81">
      <formula>R84=0</formula>
    </cfRule>
  </conditionalFormatting>
  <conditionalFormatting sqref="S88">
    <cfRule type="expression" dxfId="31" priority="12">
      <formula>R88=0</formula>
    </cfRule>
  </conditionalFormatting>
  <conditionalFormatting sqref="S92">
    <cfRule type="expression" dxfId="30" priority="80">
      <formula>R92=0</formula>
    </cfRule>
  </conditionalFormatting>
  <conditionalFormatting sqref="S96">
    <cfRule type="expression" dxfId="29" priority="79">
      <formula>R96=0</formula>
    </cfRule>
  </conditionalFormatting>
  <conditionalFormatting sqref="S100">
    <cfRule type="expression" dxfId="28" priority="78">
      <formula>R100=0</formula>
    </cfRule>
  </conditionalFormatting>
  <conditionalFormatting sqref="S104">
    <cfRule type="expression" dxfId="27" priority="77">
      <formula>R104=0</formula>
    </cfRule>
  </conditionalFormatting>
  <conditionalFormatting sqref="S108">
    <cfRule type="expression" dxfId="26" priority="76">
      <formula>R108=0</formula>
    </cfRule>
  </conditionalFormatting>
  <conditionalFormatting sqref="S112">
    <cfRule type="expression" dxfId="25" priority="75">
      <formula>R112=0</formula>
    </cfRule>
  </conditionalFormatting>
  <conditionalFormatting sqref="S116">
    <cfRule type="expression" dxfId="24" priority="74">
      <formula>R116=0</formula>
    </cfRule>
  </conditionalFormatting>
  <conditionalFormatting sqref="S120">
    <cfRule type="expression" dxfId="23" priority="73">
      <formula>R120=0</formula>
    </cfRule>
  </conditionalFormatting>
  <conditionalFormatting sqref="S124">
    <cfRule type="expression" dxfId="22" priority="72">
      <formula>R124=0</formula>
    </cfRule>
  </conditionalFormatting>
  <conditionalFormatting sqref="S128">
    <cfRule type="expression" dxfId="21" priority="71">
      <formula>R128=0</formula>
    </cfRule>
  </conditionalFormatting>
  <conditionalFormatting sqref="S132">
    <cfRule type="expression" dxfId="20" priority="70">
      <formula>R132=0</formula>
    </cfRule>
  </conditionalFormatting>
  <conditionalFormatting sqref="S136">
    <cfRule type="expression" dxfId="19" priority="69">
      <formula>R136=0</formula>
    </cfRule>
  </conditionalFormatting>
  <conditionalFormatting sqref="S140">
    <cfRule type="expression" dxfId="18" priority="68">
      <formula>R140=0</formula>
    </cfRule>
  </conditionalFormatting>
  <conditionalFormatting sqref="S144">
    <cfRule type="expression" dxfId="17" priority="67">
      <formula>R144=0</formula>
    </cfRule>
  </conditionalFormatting>
  <conditionalFormatting sqref="S148">
    <cfRule type="expression" dxfId="16" priority="66">
      <formula>R148=0</formula>
    </cfRule>
  </conditionalFormatting>
  <conditionalFormatting sqref="S152">
    <cfRule type="expression" dxfId="15" priority="65">
      <formula>R152=0</formula>
    </cfRule>
  </conditionalFormatting>
  <conditionalFormatting sqref="S156">
    <cfRule type="expression" dxfId="14" priority="64">
      <formula>R156=0</formula>
    </cfRule>
  </conditionalFormatting>
  <conditionalFormatting sqref="S160">
    <cfRule type="expression" dxfId="13" priority="63">
      <formula>R160=0</formula>
    </cfRule>
  </conditionalFormatting>
  <conditionalFormatting sqref="S164">
    <cfRule type="expression" dxfId="12" priority="62">
      <formula>R164=0</formula>
    </cfRule>
  </conditionalFormatting>
  <conditionalFormatting sqref="S168">
    <cfRule type="expression" dxfId="11" priority="61">
      <formula>R168=0</formula>
    </cfRule>
  </conditionalFormatting>
  <conditionalFormatting sqref="S172">
    <cfRule type="expression" dxfId="10" priority="60">
      <formula>R172=0</formula>
    </cfRule>
  </conditionalFormatting>
  <conditionalFormatting sqref="S176">
    <cfRule type="expression" dxfId="9" priority="59">
      <formula>R176=0</formula>
    </cfRule>
  </conditionalFormatting>
  <conditionalFormatting sqref="S180">
    <cfRule type="expression" dxfId="8" priority="58">
      <formula>R180=0</formula>
    </cfRule>
  </conditionalFormatting>
  <conditionalFormatting sqref="S184">
    <cfRule type="expression" dxfId="7" priority="11">
      <formula>R184=0</formula>
    </cfRule>
  </conditionalFormatting>
  <conditionalFormatting sqref="S188">
    <cfRule type="expression" dxfId="6" priority="57">
      <formula>R188=0</formula>
    </cfRule>
  </conditionalFormatting>
  <conditionalFormatting sqref="S192">
    <cfRule type="expression" dxfId="5" priority="56">
      <formula>R192=0</formula>
    </cfRule>
  </conditionalFormatting>
  <conditionalFormatting sqref="S196">
    <cfRule type="expression" dxfId="4" priority="31">
      <formula>R196=0</formula>
    </cfRule>
  </conditionalFormatting>
  <conditionalFormatting sqref="S200">
    <cfRule type="expression" dxfId="3" priority="29">
      <formula>R200=0</formula>
    </cfRule>
  </conditionalFormatting>
  <conditionalFormatting sqref="S204">
    <cfRule type="expression" dxfId="2" priority="27">
      <formula>R204=0</formula>
    </cfRule>
  </conditionalFormatting>
  <conditionalFormatting sqref="S208">
    <cfRule type="expression" dxfId="1" priority="25">
      <formula>R208=0</formula>
    </cfRule>
  </conditionalFormatting>
  <conditionalFormatting sqref="S212">
    <cfRule type="expression" dxfId="0" priority="23">
      <formula>R212=0</formula>
    </cfRule>
  </conditionalFormatting>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s>
</file>

<file path=customXml/itemProps1.xml><?xml version="1.0" encoding="utf-8"?>
<ds:datastoreItem xmlns:ds="http://schemas.openxmlformats.org/officeDocument/2006/customXml" ds:itemID="{35610CC2-785B-431E-A0BF-74166EC0331B}"/>
</file>

<file path=customXml/itemProps2.xml><?xml version="1.0" encoding="utf-8"?>
<ds:datastoreItem xmlns:ds="http://schemas.openxmlformats.org/officeDocument/2006/customXml" ds:itemID="{96682725-AEAE-4707-BBAD-A59238F0BC3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2026-02-11T01:58:44Z</dcterms:modified>
  <cp:category/>
  <cp:contentStatus/>
</cp:coreProperties>
</file>