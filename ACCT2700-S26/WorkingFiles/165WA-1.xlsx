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0-S26/WorkingFiles/"/>
    </mc:Choice>
  </mc:AlternateContent>
  <xr:revisionPtr revIDLastSave="138" documentId="13_ncr:1_{61AD2253-AA16-410E-B713-A0969C99D49E}" xr6:coauthVersionLast="47" xr6:coauthVersionMax="47" xr10:uidLastSave="{75373AF0-653E-4FC4-815A-7556185D14C2}"/>
  <workbookProtection workbookAlgorithmName="SHA-512" workbookHashValue="mjf6wYBDi9Y0/bRyd9o8O9aa99MGEpZeXqPch8UvYGJSP41UTvlK5Mmr6U6G+9txhrrK1Phuak/mhfQXBZp3VA==" workbookSaltValue="GCHflDvWY9ibcI3Bui/Z7Q==" workbookSpinCount="100000" lockStructure="1"/>
  <bookViews>
    <workbookView xWindow="-105" yWindow="0" windowWidth="51405" windowHeight="20985" activeTab="1" xr2:uid="{F8DC1ECF-BF9A-4171-9ED9-D9A538614C5D}"/>
  </bookViews>
  <sheets>
    <sheet name="Instructions" sheetId="7" r:id="rId1"/>
    <sheet name="Value of Bond EOD Aug 2,2026" sheetId="8" r:id="rId2"/>
    <sheet name="Ans" sheetId="5" state="hidden" r:id="rId3"/>
    <sheet name="Grading" sheetId="6" state="hidden" r:id="rId4"/>
  </sheets>
  <definedNames>
    <definedName name="Amount_to_Spend" localSheetId="1">'Value of Bond EOD Aug 2,2026'!$C$6</definedName>
    <definedName name="Amount_to_Spend">Ans!$B$6</definedName>
    <definedName name="Coupon_rate" localSheetId="1">'Value of Bond EOD Aug 2,2026'!$C$3</definedName>
    <definedName name="Coupon_rate">Ans!$B$3</definedName>
    <definedName name="Face_Value" localSheetId="1">'Value of Bond EOD Aug 2,2026'!$C$1</definedName>
    <definedName name="Face_Value">Ans!$B$1</definedName>
    <definedName name="Interest_rate" localSheetId="1">'Value of Bond EOD Aug 2,2026'!$C$5</definedName>
    <definedName name="Interest_rate">Ans!$B$5</definedName>
    <definedName name="One_Period_Equals" localSheetId="1">'Value of Bond EOD Aug 2,2026'!$C$4</definedName>
    <definedName name="One_Period_Equals">Ans!$B$4</definedName>
    <definedName name="Term" localSheetId="1">'Value of Bond EOD Aug 2,2026'!$C$2</definedName>
    <definedName name="Term">Ans!$B$2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8" l="1"/>
  <c r="E70" i="8" s="1"/>
  <c r="F1" i="8"/>
  <c r="C11" i="5"/>
  <c r="E11" i="5" s="1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C12" i="5"/>
  <c r="E12" i="5" s="1"/>
  <c r="F12" i="5" s="1"/>
  <c r="C13" i="5"/>
  <c r="E13" i="5" s="1"/>
  <c r="F13" i="5" s="1"/>
  <c r="C14" i="5"/>
  <c r="E14" i="5" s="1"/>
  <c r="F14" i="5" s="1"/>
  <c r="C15" i="5"/>
  <c r="E15" i="5" s="1"/>
  <c r="F15" i="5" s="1"/>
  <c r="C16" i="5"/>
  <c r="E16" i="5" s="1"/>
  <c r="F16" i="5" s="1"/>
  <c r="C17" i="5"/>
  <c r="E17" i="5" s="1"/>
  <c r="F17" i="5" s="1"/>
  <c r="C18" i="5"/>
  <c r="E18" i="5"/>
  <c r="F18" i="5" s="1"/>
  <c r="C19" i="5"/>
  <c r="E19" i="5" s="1"/>
  <c r="F19" i="5" s="1"/>
  <c r="C20" i="5"/>
  <c r="E20" i="5" s="1"/>
  <c r="F20" i="5" s="1"/>
  <c r="C21" i="5"/>
  <c r="E21" i="5" s="1"/>
  <c r="F21" i="5" s="1"/>
  <c r="C22" i="5"/>
  <c r="E22" i="5" s="1"/>
  <c r="F22" i="5" s="1"/>
  <c r="C23" i="5"/>
  <c r="E23" i="5" s="1"/>
  <c r="F23" i="5" s="1"/>
  <c r="C24" i="5"/>
  <c r="E24" i="5" s="1"/>
  <c r="F24" i="5" s="1"/>
  <c r="C25" i="5"/>
  <c r="E25" i="5"/>
  <c r="F25" i="5" s="1"/>
  <c r="C26" i="5"/>
  <c r="E26" i="5" s="1"/>
  <c r="F26" i="5" s="1"/>
  <c r="C27" i="5"/>
  <c r="E27" i="5"/>
  <c r="F27" i="5" s="1"/>
  <c r="C28" i="5"/>
  <c r="E28" i="5"/>
  <c r="F28" i="5"/>
  <c r="C29" i="5"/>
  <c r="E29" i="5"/>
  <c r="F29" i="5" s="1"/>
  <c r="C30" i="5"/>
  <c r="E30" i="5" s="1"/>
  <c r="F30" i="5" s="1"/>
  <c r="C31" i="5"/>
  <c r="E31" i="5"/>
  <c r="F31" i="5"/>
  <c r="C32" i="5"/>
  <c r="E32" i="5" s="1"/>
  <c r="F32" i="5" s="1"/>
  <c r="C33" i="5"/>
  <c r="E33" i="5"/>
  <c r="F33" i="5" s="1"/>
  <c r="C34" i="5"/>
  <c r="E34" i="5"/>
  <c r="F34" i="5" s="1"/>
  <c r="C35" i="5"/>
  <c r="E35" i="5" s="1"/>
  <c r="F35" i="5" s="1"/>
  <c r="C36" i="5"/>
  <c r="E36" i="5" s="1"/>
  <c r="F36" i="5" s="1"/>
  <c r="C37" i="5"/>
  <c r="E37" i="5"/>
  <c r="F37" i="5" s="1"/>
  <c r="C38" i="5"/>
  <c r="E38" i="5"/>
  <c r="F38" i="5" s="1"/>
  <c r="C39" i="5"/>
  <c r="E39" i="5"/>
  <c r="F39" i="5" s="1"/>
  <c r="C40" i="5"/>
  <c r="E40" i="5"/>
  <c r="F40" i="5" s="1"/>
  <c r="C41" i="5"/>
  <c r="E41" i="5"/>
  <c r="F41" i="5"/>
  <c r="C42" i="5"/>
  <c r="E42" i="5"/>
  <c r="F42" i="5"/>
  <c r="C43" i="5"/>
  <c r="E43" i="5"/>
  <c r="F43" i="5"/>
  <c r="C44" i="5"/>
  <c r="E44" i="5"/>
  <c r="F44" i="5" s="1"/>
  <c r="C45" i="5"/>
  <c r="E45" i="5" s="1"/>
  <c r="F45" i="5" s="1"/>
  <c r="C46" i="5"/>
  <c r="E46" i="5" s="1"/>
  <c r="F46" i="5" s="1"/>
  <c r="C47" i="5"/>
  <c r="E47" i="5" s="1"/>
  <c r="F47" i="5" s="1"/>
  <c r="C48" i="5"/>
  <c r="E48" i="5" s="1"/>
  <c r="F48" i="5" s="1"/>
  <c r="C49" i="5"/>
  <c r="E49" i="5" s="1"/>
  <c r="F49" i="5" s="1"/>
  <c r="C50" i="5"/>
  <c r="E50" i="5"/>
  <c r="F50" i="5"/>
  <c r="C51" i="5"/>
  <c r="E51" i="5" s="1"/>
  <c r="F51" i="5" s="1"/>
  <c r="C52" i="5"/>
  <c r="E52" i="5"/>
  <c r="F52" i="5" s="1"/>
  <c r="C53" i="5"/>
  <c r="E53" i="5" s="1"/>
  <c r="F53" i="5" s="1"/>
  <c r="C54" i="5"/>
  <c r="E54" i="5"/>
  <c r="F54" i="5"/>
  <c r="C55" i="5"/>
  <c r="E55" i="5" s="1"/>
  <c r="F55" i="5" s="1"/>
  <c r="C56" i="5"/>
  <c r="E56" i="5" s="1"/>
  <c r="F56" i="5" s="1"/>
  <c r="C57" i="5"/>
  <c r="E57" i="5" s="1"/>
  <c r="F57" i="5" s="1"/>
  <c r="C58" i="5"/>
  <c r="E58" i="5" s="1"/>
  <c r="F58" i="5" s="1"/>
  <c r="C59" i="5"/>
  <c r="E59" i="5"/>
  <c r="F59" i="5" s="1"/>
  <c r="C60" i="5"/>
  <c r="E60" i="5"/>
  <c r="F60" i="5"/>
  <c r="C61" i="5"/>
  <c r="E61" i="5"/>
  <c r="F61" i="5" s="1"/>
  <c r="C62" i="5"/>
  <c r="E62" i="5"/>
  <c r="F62" i="5"/>
  <c r="C63" i="5"/>
  <c r="E63" i="5" s="1"/>
  <c r="F63" i="5" s="1"/>
  <c r="C64" i="5"/>
  <c r="E64" i="5" s="1"/>
  <c r="F64" i="5" s="1"/>
  <c r="C65" i="5"/>
  <c r="E65" i="5" s="1"/>
  <c r="F65" i="5" s="1"/>
  <c r="C66" i="5"/>
  <c r="E66" i="5"/>
  <c r="F66" i="5" s="1"/>
  <c r="C67" i="5"/>
  <c r="E67" i="5"/>
  <c r="F67" i="5" s="1"/>
  <c r="C68" i="5"/>
  <c r="E68" i="5" s="1"/>
  <c r="F68" i="5" s="1"/>
  <c r="C69" i="5"/>
  <c r="D69" i="5"/>
  <c r="E69" i="5"/>
  <c r="F69" i="5"/>
  <c r="F70" i="8"/>
  <c r="F11" i="5" l="1"/>
  <c r="E70" i="5"/>
  <c r="F70" i="5" l="1"/>
  <c r="F1" i="5"/>
</calcChain>
</file>

<file path=xl/sharedStrings.xml><?xml version="1.0" encoding="utf-8"?>
<sst xmlns="http://schemas.openxmlformats.org/spreadsheetml/2006/main" count="773" uniqueCount="157">
  <si>
    <t>Face_Value</t>
  </si>
  <si>
    <t>Face Value</t>
  </si>
  <si>
    <t>PV at Time_1</t>
  </si>
  <si>
    <t>Term</t>
  </si>
  <si>
    <t>Remaining Life</t>
  </si>
  <si>
    <t>years remaining</t>
  </si>
  <si>
    <t>Coupon_rate</t>
  </si>
  <si>
    <t>Coupon rate</t>
  </si>
  <si>
    <t>payable semi-annually</t>
  </si>
  <si>
    <t>One_Period_Equals</t>
  </si>
  <si>
    <t>years</t>
  </si>
  <si>
    <t>Interest_rate</t>
  </si>
  <si>
    <t>Interest Rate</t>
  </si>
  <si>
    <t>Compounded semi-annually</t>
  </si>
  <si>
    <t>Amount_to_Spend</t>
  </si>
  <si>
    <t>Time</t>
  </si>
  <si>
    <t>Coupon</t>
  </si>
  <si>
    <t>Face</t>
  </si>
  <si>
    <t>Total Cash Flow</t>
  </si>
  <si>
    <t>PV of cash flow</t>
  </si>
  <si>
    <t>Paid</t>
  </si>
  <si>
    <t>Total</t>
  </si>
  <si>
    <t>ProblemType</t>
  </si>
  <si>
    <t>WorksheetName</t>
  </si>
  <si>
    <t>Range</t>
  </si>
  <si>
    <t>Comparison</t>
  </si>
  <si>
    <t>Grade</t>
  </si>
  <si>
    <t>IncorrectFeedback</t>
  </si>
  <si>
    <t>CorrectFeedback</t>
  </si>
  <si>
    <t>CELL</t>
  </si>
  <si>
    <t>Value of Bond EOD Mar 2021</t>
  </si>
  <si>
    <t>F1</t>
  </si>
  <si>
    <t>MOEValue(0.1)</t>
  </si>
  <si>
    <t>Incorrect PV at time 1</t>
  </si>
  <si>
    <t>Got it!</t>
  </si>
  <si>
    <t>C11</t>
  </si>
  <si>
    <t>Incorrect coupon payment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</si>
  <si>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</si>
  <si>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</si>
  <si>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</si>
  <si>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</si>
  <si>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</si>
  <si>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</si>
  <si>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</si>
  <si>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</si>
  <si>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</si>
  <si>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</si>
  <si>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</si>
  <si>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</si>
  <si>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</si>
  <si>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</si>
  <si>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</si>
  <si>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</si>
  <si>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</si>
  <si>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</si>
  <si>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</si>
  <si>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</si>
  <si>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</si>
  <si>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</si>
  <si>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</si>
  <si>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</si>
  <si>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</si>
  <si>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</si>
  <si>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</si>
  <si>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</si>
  <si>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</si>
  <si>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</si>
  <si>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</si>
  <si>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</si>
  <si>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</si>
  <si>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</si>
  <si>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</si>
  <si>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</si>
  <si>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</si>
  <si>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</si>
  <si>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</si>
  <si>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</si>
  <si>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</si>
  <si>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</si>
  <si>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</si>
  <si>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</si>
  <si>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</si>
  <si>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</si>
  <si>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</si>
  <si>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</si>
  <si>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</si>
  <si>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</si>
  <si>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</si>
  <si>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</si>
  <si>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</si>
  <si>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</si>
  <si>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</si>
  <si>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</si>
  <si>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</si>
  <si>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</si>
  <si>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D69</t>
  </si>
  <si>
    <t>Incorrect Face Value</t>
  </si>
  <si>
    <t>Incorrect PV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</si>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</sst>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;;;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10" fontId="0" fillId="0" borderId="0" xfId="0" applyNumberFormat="1"/>
    <xf numFmtId="6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0" xfId="0" applyFont="1"/>
    <xf numFmtId="44" fontId="0" fillId="0" borderId="0" xfId="1" applyFont="1"/>
    <xf numFmtId="44" fontId="0" fillId="0" borderId="2" xfId="1" applyFont="1" applyBorder="1"/>
    <xf numFmtId="8" fontId="0" fillId="0" borderId="0" xfId="0" applyNumberFormat="1"/>
    <xf numFmtId="0" fontId="3" fillId="0" borderId="0" xfId="2"/>
    <xf numFmtId="44" fontId="0" fillId="0" borderId="0" xfId="1" applyFont="1" applyAlignment="1">
      <alignment horizontal="center"/>
    </xf>
    <xf numFmtId="44" fontId="0" fillId="2" borderId="0" xfId="0" applyNumberFormat="1" applyFill="1"/>
    <xf numFmtId="44" fontId="0" fillId="0" borderId="0" xfId="1" applyFont="1" applyFill="1"/>
    <xf numFmtId="0" fontId="4" fillId="0" borderId="1" xfId="0" applyFont="1" applyBorder="1" applyAlignment="1">
      <alignment horizontal="center"/>
    </xf>
    <xf numFmtId="44" fontId="0" fillId="3" borderId="0" xfId="1" applyFont="1" applyFill="1" applyProtection="1">
      <protection locked="0"/>
    </xf>
    <xf numFmtId="164" fontId="0" fillId="0" borderId="0" xfId="0" applyNumberFormat="1" applyProtection="1">
      <protection locked="0"/>
    </xf>
    <xf numFmtId="44" fontId="0" fillId="0" borderId="3" xfId="0" applyNumberFormat="1" applyBorder="1"/>
  </cellXfs>
  <cellStyles count="3">
    <cellStyle name="Currency" xfId="1" builtinId="4"/>
    <cellStyle name="Hyperlink" xfId="2" builtinId="8"/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fmlaLink="$F$6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2</xdr:row>
      <xdr:rowOff>57150</xdr:rowOff>
    </xdr:from>
    <xdr:ext cx="7130415" cy="40372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90525" y="453390"/>
          <a:ext cx="7130415" cy="4037259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800"/>
            <a:t>Calculate</a:t>
          </a:r>
          <a:r>
            <a:rPr lang="en-US" sz="2800" baseline="0"/>
            <a:t> the value of 165 Whitney Associates</a:t>
          </a:r>
        </a:p>
        <a:p>
          <a:r>
            <a:rPr lang="en-US" sz="2800" baseline="0"/>
            <a:t>U.S. Government Bonds as of the End of Day on</a:t>
          </a:r>
        </a:p>
        <a:p>
          <a:r>
            <a:rPr lang="en-US" sz="2800" baseline="0"/>
            <a:t>Feb 2, 2026. Use the set up on the next tab </a:t>
          </a:r>
        </a:p>
        <a:p>
          <a:r>
            <a:rPr lang="en-US" sz="2800" baseline="0"/>
            <a:t>to calculate the present value of the remaining </a:t>
          </a:r>
        </a:p>
        <a:p>
          <a:r>
            <a:rPr lang="en-US" sz="2800" baseline="0"/>
            <a:t>cash flows.</a:t>
          </a:r>
        </a:p>
        <a:p>
          <a:endParaRPr lang="en-US" sz="2800" baseline="0"/>
        </a:p>
        <a:p>
          <a:r>
            <a:rPr lang="en-US" sz="2800" baseline="0"/>
            <a:t>Note that the first coupon payment has been</a:t>
          </a:r>
        </a:p>
        <a:p>
          <a:r>
            <a:rPr lang="en-US" sz="2800" baseline="0"/>
            <a:t>made, so there are 59 more to be received. Also note that you are discounting to Time 1.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4</xdr:row>
          <xdr:rowOff>190500</xdr:rowOff>
        </xdr:from>
        <xdr:to>
          <xdr:col>6</xdr:col>
          <xdr:colOff>200025</xdr:colOff>
          <xdr:row>6</xdr:row>
          <xdr:rowOff>9525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FAAA-BCEA-4738-8ABC-EC7D325851F7}">
  <dimension ref="A1"/>
  <sheetViews>
    <sheetView workbookViewId="0">
      <selection activeCell="N14" sqref="N14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DEB2-A762-4BCC-B064-AA698ADE79A6}">
  <dimension ref="A1:G71"/>
  <sheetViews>
    <sheetView tabSelected="1" zoomScale="160" zoomScaleNormal="160" workbookViewId="0">
      <selection activeCell="F1" sqref="F1"/>
    </sheetView>
  </sheetViews>
  <sheetFormatPr defaultColWidth="11" defaultRowHeight="15.75" x14ac:dyDescent="0.25"/>
  <cols>
    <col min="1" max="1" width="26.375" bestFit="1" customWidth="1"/>
    <col min="2" max="2" width="13.25" bestFit="1" customWidth="1"/>
    <col min="4" max="4" width="11.5" bestFit="1" customWidth="1"/>
    <col min="5" max="5" width="13.875" bestFit="1" customWidth="1"/>
    <col min="6" max="6" width="14.375" customWidth="1"/>
  </cols>
  <sheetData>
    <row r="1" spans="1:7" ht="16.5" thickBot="1" x14ac:dyDescent="0.3">
      <c r="A1" s="4" t="s">
        <v>0</v>
      </c>
      <c r="B1" s="4" t="s">
        <v>1</v>
      </c>
      <c r="C1" s="7">
        <v>57901.64</v>
      </c>
      <c r="E1" s="4" t="s">
        <v>2</v>
      </c>
      <c r="F1" s="15">
        <f>SUM(F10:F69)</f>
        <v>0</v>
      </c>
      <c r="G1" s="8"/>
    </row>
    <row r="2" spans="1:7" x14ac:dyDescent="0.25">
      <c r="A2" s="4" t="s">
        <v>3</v>
      </c>
      <c r="B2" s="4" t="s">
        <v>4</v>
      </c>
      <c r="C2">
        <v>29.5</v>
      </c>
      <c r="D2" t="s">
        <v>5</v>
      </c>
    </row>
    <row r="3" spans="1:7" x14ac:dyDescent="0.25">
      <c r="A3" s="4" t="s">
        <v>6</v>
      </c>
      <c r="B3" s="4" t="s">
        <v>7</v>
      </c>
      <c r="C3" s="1">
        <v>0.04</v>
      </c>
      <c r="D3" t="s">
        <v>8</v>
      </c>
    </row>
    <row r="4" spans="1:7" x14ac:dyDescent="0.25">
      <c r="A4" s="4" t="s">
        <v>9</v>
      </c>
      <c r="B4" s="4"/>
      <c r="C4">
        <v>0.5</v>
      </c>
      <c r="D4" t="s">
        <v>10</v>
      </c>
    </row>
    <row r="5" spans="1:7" x14ac:dyDescent="0.25">
      <c r="A5" s="4" t="s">
        <v>11</v>
      </c>
      <c r="B5" s="4" t="s">
        <v>12</v>
      </c>
      <c r="C5" s="1">
        <v>4.87E-2</v>
      </c>
      <c r="D5" t="s">
        <v>13</v>
      </c>
    </row>
    <row r="6" spans="1:7" x14ac:dyDescent="0.25">
      <c r="A6" s="4" t="s">
        <v>14</v>
      </c>
      <c r="C6" s="2">
        <v>50000</v>
      </c>
      <c r="F6" s="14" t="b">
        <v>0</v>
      </c>
    </row>
    <row r="8" spans="1:7" ht="16.5" thickBot="1" x14ac:dyDescent="0.3"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</row>
    <row r="10" spans="1:7" x14ac:dyDescent="0.25">
      <c r="B10">
        <v>1</v>
      </c>
      <c r="C10" s="9" t="s">
        <v>20</v>
      </c>
      <c r="D10" s="5"/>
      <c r="E10" s="5"/>
      <c r="F10" s="5"/>
    </row>
    <row r="11" spans="1:7" x14ac:dyDescent="0.25">
      <c r="B11">
        <v>2</v>
      </c>
      <c r="C11" s="13"/>
      <c r="D11" s="11"/>
      <c r="E11" s="5">
        <f>SUM(C11:D11)</f>
        <v>0</v>
      </c>
      <c r="F11" s="13"/>
    </row>
    <row r="12" spans="1:7" x14ac:dyDescent="0.25">
      <c r="B12">
        <v>3</v>
      </c>
      <c r="C12" s="13"/>
      <c r="D12" s="11"/>
      <c r="E12" s="5">
        <f t="shared" ref="E12:E69" si="0">SUM(C12:D12)</f>
        <v>0</v>
      </c>
      <c r="F12" s="13"/>
    </row>
    <row r="13" spans="1:7" x14ac:dyDescent="0.25">
      <c r="B13">
        <v>4</v>
      </c>
      <c r="C13" s="13"/>
      <c r="D13" s="11"/>
      <c r="E13" s="5">
        <f t="shared" si="0"/>
        <v>0</v>
      </c>
      <c r="F13" s="13"/>
    </row>
    <row r="14" spans="1:7" x14ac:dyDescent="0.25">
      <c r="B14">
        <v>5</v>
      </c>
      <c r="C14" s="13"/>
      <c r="D14" s="11"/>
      <c r="E14" s="5">
        <f t="shared" si="0"/>
        <v>0</v>
      </c>
      <c r="F14" s="13"/>
    </row>
    <row r="15" spans="1:7" x14ac:dyDescent="0.25">
      <c r="B15">
        <v>6</v>
      </c>
      <c r="C15" s="13"/>
      <c r="D15" s="11"/>
      <c r="E15" s="5">
        <f t="shared" si="0"/>
        <v>0</v>
      </c>
      <c r="F15" s="13"/>
    </row>
    <row r="16" spans="1:7" x14ac:dyDescent="0.25">
      <c r="B16">
        <v>7</v>
      </c>
      <c r="C16" s="13"/>
      <c r="D16" s="11"/>
      <c r="E16" s="5">
        <f t="shared" si="0"/>
        <v>0</v>
      </c>
      <c r="F16" s="13"/>
    </row>
    <row r="17" spans="2:6" x14ac:dyDescent="0.25">
      <c r="B17">
        <v>8</v>
      </c>
      <c r="C17" s="13"/>
      <c r="D17" s="11"/>
      <c r="E17" s="5">
        <f t="shared" si="0"/>
        <v>0</v>
      </c>
      <c r="F17" s="13"/>
    </row>
    <row r="18" spans="2:6" x14ac:dyDescent="0.25">
      <c r="B18">
        <v>9</v>
      </c>
      <c r="C18" s="13"/>
      <c r="D18" s="11"/>
      <c r="E18" s="5">
        <f t="shared" si="0"/>
        <v>0</v>
      </c>
      <c r="F18" s="13"/>
    </row>
    <row r="19" spans="2:6" x14ac:dyDescent="0.25">
      <c r="B19">
        <v>10</v>
      </c>
      <c r="C19" s="13"/>
      <c r="D19" s="11"/>
      <c r="E19" s="5">
        <f t="shared" si="0"/>
        <v>0</v>
      </c>
      <c r="F19" s="13"/>
    </row>
    <row r="20" spans="2:6" x14ac:dyDescent="0.25">
      <c r="B20">
        <v>11</v>
      </c>
      <c r="C20" s="13"/>
      <c r="D20" s="11"/>
      <c r="E20" s="5">
        <f t="shared" si="0"/>
        <v>0</v>
      </c>
      <c r="F20" s="13"/>
    </row>
    <row r="21" spans="2:6" x14ac:dyDescent="0.25">
      <c r="B21">
        <v>12</v>
      </c>
      <c r="C21" s="13"/>
      <c r="D21" s="11"/>
      <c r="E21" s="5">
        <f t="shared" si="0"/>
        <v>0</v>
      </c>
      <c r="F21" s="13"/>
    </row>
    <row r="22" spans="2:6" x14ac:dyDescent="0.25">
      <c r="B22">
        <v>13</v>
      </c>
      <c r="C22" s="13"/>
      <c r="D22" s="11"/>
      <c r="E22" s="5">
        <f t="shared" si="0"/>
        <v>0</v>
      </c>
      <c r="F22" s="13"/>
    </row>
    <row r="23" spans="2:6" x14ac:dyDescent="0.25">
      <c r="B23">
        <v>14</v>
      </c>
      <c r="C23" s="13"/>
      <c r="D23" s="11"/>
      <c r="E23" s="5">
        <f t="shared" si="0"/>
        <v>0</v>
      </c>
      <c r="F23" s="13"/>
    </row>
    <row r="24" spans="2:6" x14ac:dyDescent="0.25">
      <c r="B24">
        <v>15</v>
      </c>
      <c r="C24" s="13"/>
      <c r="D24" s="11"/>
      <c r="E24" s="5">
        <f t="shared" si="0"/>
        <v>0</v>
      </c>
      <c r="F24" s="13"/>
    </row>
    <row r="25" spans="2:6" x14ac:dyDescent="0.25">
      <c r="B25">
        <v>16</v>
      </c>
      <c r="C25" s="13"/>
      <c r="D25" s="11"/>
      <c r="E25" s="5">
        <f t="shared" si="0"/>
        <v>0</v>
      </c>
      <c r="F25" s="13"/>
    </row>
    <row r="26" spans="2:6" x14ac:dyDescent="0.25">
      <c r="B26">
        <v>17</v>
      </c>
      <c r="C26" s="13"/>
      <c r="D26" s="11"/>
      <c r="E26" s="5">
        <f t="shared" si="0"/>
        <v>0</v>
      </c>
      <c r="F26" s="13"/>
    </row>
    <row r="27" spans="2:6" x14ac:dyDescent="0.25">
      <c r="B27">
        <v>18</v>
      </c>
      <c r="C27" s="13"/>
      <c r="D27" s="11"/>
      <c r="E27" s="5">
        <f t="shared" si="0"/>
        <v>0</v>
      </c>
      <c r="F27" s="13"/>
    </row>
    <row r="28" spans="2:6" x14ac:dyDescent="0.25">
      <c r="B28">
        <v>19</v>
      </c>
      <c r="C28" s="13"/>
      <c r="D28" s="11"/>
      <c r="E28" s="5">
        <f t="shared" si="0"/>
        <v>0</v>
      </c>
      <c r="F28" s="13"/>
    </row>
    <row r="29" spans="2:6" x14ac:dyDescent="0.25">
      <c r="B29">
        <v>20</v>
      </c>
      <c r="C29" s="13"/>
      <c r="D29" s="11"/>
      <c r="E29" s="5">
        <f t="shared" si="0"/>
        <v>0</v>
      </c>
      <c r="F29" s="13"/>
    </row>
    <row r="30" spans="2:6" x14ac:dyDescent="0.25">
      <c r="B30">
        <v>21</v>
      </c>
      <c r="C30" s="13"/>
      <c r="D30" s="11"/>
      <c r="E30" s="5">
        <f t="shared" si="0"/>
        <v>0</v>
      </c>
      <c r="F30" s="13"/>
    </row>
    <row r="31" spans="2:6" x14ac:dyDescent="0.25">
      <c r="B31">
        <v>22</v>
      </c>
      <c r="C31" s="13"/>
      <c r="D31" s="11"/>
      <c r="E31" s="5">
        <f t="shared" si="0"/>
        <v>0</v>
      </c>
      <c r="F31" s="13"/>
    </row>
    <row r="32" spans="2:6" x14ac:dyDescent="0.25">
      <c r="B32">
        <v>23</v>
      </c>
      <c r="C32" s="13"/>
      <c r="D32" s="11"/>
      <c r="E32" s="5">
        <f t="shared" si="0"/>
        <v>0</v>
      </c>
      <c r="F32" s="13"/>
    </row>
    <row r="33" spans="2:6" x14ac:dyDescent="0.25">
      <c r="B33">
        <v>24</v>
      </c>
      <c r="C33" s="13"/>
      <c r="D33" s="11"/>
      <c r="E33" s="5">
        <f t="shared" si="0"/>
        <v>0</v>
      </c>
      <c r="F33" s="13"/>
    </row>
    <row r="34" spans="2:6" x14ac:dyDescent="0.25">
      <c r="B34">
        <v>25</v>
      </c>
      <c r="C34" s="13"/>
      <c r="D34" s="11"/>
      <c r="E34" s="5">
        <f t="shared" si="0"/>
        <v>0</v>
      </c>
      <c r="F34" s="13"/>
    </row>
    <row r="35" spans="2:6" x14ac:dyDescent="0.25">
      <c r="B35">
        <v>26</v>
      </c>
      <c r="C35" s="13"/>
      <c r="D35" s="11"/>
      <c r="E35" s="5">
        <f t="shared" si="0"/>
        <v>0</v>
      </c>
      <c r="F35" s="13"/>
    </row>
    <row r="36" spans="2:6" x14ac:dyDescent="0.25">
      <c r="B36">
        <v>27</v>
      </c>
      <c r="C36" s="13"/>
      <c r="D36" s="11"/>
      <c r="E36" s="5">
        <f t="shared" si="0"/>
        <v>0</v>
      </c>
      <c r="F36" s="13"/>
    </row>
    <row r="37" spans="2:6" x14ac:dyDescent="0.25">
      <c r="B37">
        <v>28</v>
      </c>
      <c r="C37" s="13"/>
      <c r="D37" s="11"/>
      <c r="E37" s="5">
        <f t="shared" si="0"/>
        <v>0</v>
      </c>
      <c r="F37" s="13"/>
    </row>
    <row r="38" spans="2:6" x14ac:dyDescent="0.25">
      <c r="B38">
        <v>29</v>
      </c>
      <c r="C38" s="13"/>
      <c r="D38" s="11"/>
      <c r="E38" s="5">
        <f t="shared" si="0"/>
        <v>0</v>
      </c>
      <c r="F38" s="13"/>
    </row>
    <row r="39" spans="2:6" x14ac:dyDescent="0.25">
      <c r="B39">
        <v>30</v>
      </c>
      <c r="C39" s="13"/>
      <c r="D39" s="11"/>
      <c r="E39" s="5">
        <f t="shared" si="0"/>
        <v>0</v>
      </c>
      <c r="F39" s="13"/>
    </row>
    <row r="40" spans="2:6" x14ac:dyDescent="0.25">
      <c r="B40">
        <v>31</v>
      </c>
      <c r="C40" s="13"/>
      <c r="D40" s="11"/>
      <c r="E40" s="5">
        <f t="shared" si="0"/>
        <v>0</v>
      </c>
      <c r="F40" s="13"/>
    </row>
    <row r="41" spans="2:6" x14ac:dyDescent="0.25">
      <c r="B41">
        <v>32</v>
      </c>
      <c r="C41" s="13"/>
      <c r="D41" s="11"/>
      <c r="E41" s="5">
        <f t="shared" si="0"/>
        <v>0</v>
      </c>
      <c r="F41" s="13"/>
    </row>
    <row r="42" spans="2:6" x14ac:dyDescent="0.25">
      <c r="B42">
        <v>33</v>
      </c>
      <c r="C42" s="13"/>
      <c r="D42" s="11"/>
      <c r="E42" s="5">
        <f t="shared" si="0"/>
        <v>0</v>
      </c>
      <c r="F42" s="13"/>
    </row>
    <row r="43" spans="2:6" x14ac:dyDescent="0.25">
      <c r="B43">
        <v>34</v>
      </c>
      <c r="C43" s="13"/>
      <c r="D43" s="11"/>
      <c r="E43" s="5">
        <f t="shared" si="0"/>
        <v>0</v>
      </c>
      <c r="F43" s="13"/>
    </row>
    <row r="44" spans="2:6" x14ac:dyDescent="0.25">
      <c r="B44">
        <v>35</v>
      </c>
      <c r="C44" s="13"/>
      <c r="D44" s="11"/>
      <c r="E44" s="5">
        <f t="shared" si="0"/>
        <v>0</v>
      </c>
      <c r="F44" s="13"/>
    </row>
    <row r="45" spans="2:6" x14ac:dyDescent="0.25">
      <c r="B45">
        <v>36</v>
      </c>
      <c r="C45" s="13"/>
      <c r="D45" s="11"/>
      <c r="E45" s="5">
        <f t="shared" si="0"/>
        <v>0</v>
      </c>
      <c r="F45" s="13"/>
    </row>
    <row r="46" spans="2:6" x14ac:dyDescent="0.25">
      <c r="B46">
        <v>37</v>
      </c>
      <c r="C46" s="13"/>
      <c r="D46" s="11"/>
      <c r="E46" s="5">
        <f t="shared" si="0"/>
        <v>0</v>
      </c>
      <c r="F46" s="13"/>
    </row>
    <row r="47" spans="2:6" x14ac:dyDescent="0.25">
      <c r="B47">
        <v>38</v>
      </c>
      <c r="C47" s="13"/>
      <c r="D47" s="11"/>
      <c r="E47" s="5">
        <f t="shared" si="0"/>
        <v>0</v>
      </c>
      <c r="F47" s="13"/>
    </row>
    <row r="48" spans="2:6" x14ac:dyDescent="0.25">
      <c r="B48">
        <v>39</v>
      </c>
      <c r="C48" s="13"/>
      <c r="D48" s="11"/>
      <c r="E48" s="5">
        <f t="shared" si="0"/>
        <v>0</v>
      </c>
      <c r="F48" s="13"/>
    </row>
    <row r="49" spans="2:6" x14ac:dyDescent="0.25">
      <c r="B49">
        <v>40</v>
      </c>
      <c r="C49" s="13"/>
      <c r="D49" s="11"/>
      <c r="E49" s="5">
        <f t="shared" si="0"/>
        <v>0</v>
      </c>
      <c r="F49" s="13"/>
    </row>
    <row r="50" spans="2:6" x14ac:dyDescent="0.25">
      <c r="B50">
        <v>41</v>
      </c>
      <c r="C50" s="13"/>
      <c r="D50" s="11"/>
      <c r="E50" s="5">
        <f t="shared" si="0"/>
        <v>0</v>
      </c>
      <c r="F50" s="13"/>
    </row>
    <row r="51" spans="2:6" x14ac:dyDescent="0.25">
      <c r="B51">
        <v>42</v>
      </c>
      <c r="C51" s="13"/>
      <c r="D51" s="11"/>
      <c r="E51" s="5">
        <f t="shared" si="0"/>
        <v>0</v>
      </c>
      <c r="F51" s="13"/>
    </row>
    <row r="52" spans="2:6" x14ac:dyDescent="0.25">
      <c r="B52">
        <v>43</v>
      </c>
      <c r="C52" s="13"/>
      <c r="D52" s="11"/>
      <c r="E52" s="5">
        <f t="shared" si="0"/>
        <v>0</v>
      </c>
      <c r="F52" s="13"/>
    </row>
    <row r="53" spans="2:6" x14ac:dyDescent="0.25">
      <c r="B53">
        <v>44</v>
      </c>
      <c r="C53" s="13"/>
      <c r="D53" s="11"/>
      <c r="E53" s="5">
        <f t="shared" si="0"/>
        <v>0</v>
      </c>
      <c r="F53" s="13"/>
    </row>
    <row r="54" spans="2:6" x14ac:dyDescent="0.25">
      <c r="B54">
        <v>45</v>
      </c>
      <c r="C54" s="13"/>
      <c r="D54" s="11"/>
      <c r="E54" s="5">
        <f t="shared" si="0"/>
        <v>0</v>
      </c>
      <c r="F54" s="13"/>
    </row>
    <row r="55" spans="2:6" x14ac:dyDescent="0.25">
      <c r="B55">
        <v>46</v>
      </c>
      <c r="C55" s="13"/>
      <c r="D55" s="11"/>
      <c r="E55" s="5">
        <f t="shared" si="0"/>
        <v>0</v>
      </c>
      <c r="F55" s="13"/>
    </row>
    <row r="56" spans="2:6" x14ac:dyDescent="0.25">
      <c r="B56">
        <v>47</v>
      </c>
      <c r="C56" s="13"/>
      <c r="D56" s="11"/>
      <c r="E56" s="5">
        <f t="shared" si="0"/>
        <v>0</v>
      </c>
      <c r="F56" s="13"/>
    </row>
    <row r="57" spans="2:6" x14ac:dyDescent="0.25">
      <c r="B57">
        <v>48</v>
      </c>
      <c r="C57" s="13"/>
      <c r="D57" s="11"/>
      <c r="E57" s="5">
        <f t="shared" si="0"/>
        <v>0</v>
      </c>
      <c r="F57" s="13"/>
    </row>
    <row r="58" spans="2:6" x14ac:dyDescent="0.25">
      <c r="B58">
        <v>49</v>
      </c>
      <c r="C58" s="13"/>
      <c r="D58" s="11"/>
      <c r="E58" s="5">
        <f t="shared" si="0"/>
        <v>0</v>
      </c>
      <c r="F58" s="13"/>
    </row>
    <row r="59" spans="2:6" x14ac:dyDescent="0.25">
      <c r="B59">
        <v>50</v>
      </c>
      <c r="C59" s="13"/>
      <c r="D59" s="11"/>
      <c r="E59" s="5">
        <f t="shared" si="0"/>
        <v>0</v>
      </c>
      <c r="F59" s="13"/>
    </row>
    <row r="60" spans="2:6" x14ac:dyDescent="0.25">
      <c r="B60">
        <v>51</v>
      </c>
      <c r="C60" s="13"/>
      <c r="D60" s="11"/>
      <c r="E60" s="5">
        <f t="shared" si="0"/>
        <v>0</v>
      </c>
      <c r="F60" s="13"/>
    </row>
    <row r="61" spans="2:6" x14ac:dyDescent="0.25">
      <c r="B61">
        <v>52</v>
      </c>
      <c r="C61" s="13"/>
      <c r="D61" s="11"/>
      <c r="E61" s="5">
        <f t="shared" si="0"/>
        <v>0</v>
      </c>
      <c r="F61" s="13"/>
    </row>
    <row r="62" spans="2:6" x14ac:dyDescent="0.25">
      <c r="B62">
        <v>53</v>
      </c>
      <c r="C62" s="13"/>
      <c r="D62" s="11"/>
      <c r="E62" s="5">
        <f t="shared" si="0"/>
        <v>0</v>
      </c>
      <c r="F62" s="13"/>
    </row>
    <row r="63" spans="2:6" x14ac:dyDescent="0.25">
      <c r="B63">
        <v>54</v>
      </c>
      <c r="C63" s="13"/>
      <c r="D63" s="11"/>
      <c r="E63" s="5">
        <f t="shared" si="0"/>
        <v>0</v>
      </c>
      <c r="F63" s="13"/>
    </row>
    <row r="64" spans="2:6" x14ac:dyDescent="0.25">
      <c r="B64">
        <v>55</v>
      </c>
      <c r="C64" s="13"/>
      <c r="D64" s="11"/>
      <c r="E64" s="5">
        <f t="shared" si="0"/>
        <v>0</v>
      </c>
      <c r="F64" s="13"/>
    </row>
    <row r="65" spans="2:6" x14ac:dyDescent="0.25">
      <c r="B65">
        <v>56</v>
      </c>
      <c r="C65" s="13"/>
      <c r="D65" s="11"/>
      <c r="E65" s="5">
        <f t="shared" si="0"/>
        <v>0</v>
      </c>
      <c r="F65" s="13"/>
    </row>
    <row r="66" spans="2:6" x14ac:dyDescent="0.25">
      <c r="B66">
        <v>57</v>
      </c>
      <c r="C66" s="13"/>
      <c r="D66" s="11"/>
      <c r="E66" s="5">
        <f t="shared" si="0"/>
        <v>0</v>
      </c>
      <c r="F66" s="13"/>
    </row>
    <row r="67" spans="2:6" x14ac:dyDescent="0.25">
      <c r="B67">
        <v>58</v>
      </c>
      <c r="C67" s="13"/>
      <c r="D67" s="11"/>
      <c r="E67" s="5">
        <f t="shared" si="0"/>
        <v>0</v>
      </c>
      <c r="F67" s="13"/>
    </row>
    <row r="68" spans="2:6" x14ac:dyDescent="0.25">
      <c r="B68">
        <v>59</v>
      </c>
      <c r="C68" s="13"/>
      <c r="D68" s="11"/>
      <c r="E68" s="5">
        <f t="shared" si="0"/>
        <v>0</v>
      </c>
      <c r="F68" s="13"/>
    </row>
    <row r="69" spans="2:6" x14ac:dyDescent="0.25">
      <c r="B69">
        <v>60</v>
      </c>
      <c r="C69" s="13"/>
      <c r="D69" s="13"/>
      <c r="E69" s="5">
        <f t="shared" si="0"/>
        <v>0</v>
      </c>
      <c r="F69" s="13"/>
    </row>
    <row r="70" spans="2:6" ht="16.5" thickBot="1" x14ac:dyDescent="0.3">
      <c r="B70" t="s">
        <v>21</v>
      </c>
      <c r="D70" s="5"/>
      <c r="E70" s="6">
        <f>SUM(E10:E69)</f>
        <v>0</v>
      </c>
      <c r="F70" s="6">
        <f>SUM(F10:F69)</f>
        <v>0</v>
      </c>
    </row>
    <row r="71" spans="2:6" ht="16.5" thickTop="1" x14ac:dyDescent="0.25"/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5</xdr:col>
                    <xdr:colOff>104775</xdr:colOff>
                    <xdr:row>4</xdr:row>
                    <xdr:rowOff>190500</xdr:rowOff>
                  </from>
                  <to>
                    <xdr:col>6</xdr:col>
                    <xdr:colOff>200025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49C85D4-9036-42BF-8A9A-21585FF5A954}">
            <xm:f>AND($F$6,OR(AND((OR(ROUND(Ans!C11,1)=0,Ans!C11="")),NOT(OR(ROUND(C11,1)=0,C11=""))),AND(ROUND(Ans!C11,2)&lt;&gt;0,ROUND(C11,2)&lt;&gt;ROUND(Ans!C11,2))))</xm:f>
            <x14:dxf>
              <fill>
                <patternFill>
                  <bgColor rgb="FFFFFF00"/>
                </patternFill>
              </fill>
            </x14:dxf>
          </x14:cfRule>
          <x14:cfRule type="expression" priority="4" id="{BF16C5EE-30D0-4DAA-9A86-D15DA8371A68}">
            <xm:f>AND($F$6,OR(AND((OR(ROUND(Ans!C11,1)=0,Ans!C11="")),NOT(OR(ROUND(C11,1)=0,C11=""))),AND(ROUND(Ans!C11,2)&lt;&gt;0,ROUND(C11,2)=ROUND(Ans!C11,2))))</xm:f>
            <x14:dxf>
              <fill>
                <patternFill>
                  <bgColor rgb="FF00B050"/>
                </patternFill>
              </fill>
            </x14:dxf>
          </x14:cfRule>
          <xm:sqref>C11:F69 E70:F70</xm:sqref>
        </x14:conditionalFormatting>
        <x14:conditionalFormatting xmlns:xm="http://schemas.microsoft.com/office/excel/2006/main">
          <x14:cfRule type="expression" priority="2" id="{5FFEC71B-6A65-4291-BF1D-994012B65769}">
            <xm:f>AND($F$6,ROUND($F$1,1)&lt;&gt;ROUND(Ans!$F$1,1))</xm:f>
            <x14:dxf>
              <fill>
                <patternFill>
                  <bgColor rgb="FFFFFF00"/>
                </patternFill>
              </fill>
            </x14:dxf>
          </x14:cfRule>
          <x14:cfRule type="expression" priority="3" id="{0AC57F11-93E1-41AA-BE28-B9F0C8EBA70F}">
            <xm:f>AND($F$6,$F$1=Ans!$F$1)</xm:f>
            <x14:dxf>
              <fill>
                <patternFill>
                  <bgColor rgb="FF00B050"/>
                </patternFill>
              </fill>
            </x14:dxf>
          </x14:cfRule>
          <xm:sqref>F1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"/>
  <sheetViews>
    <sheetView zoomScale="160" zoomScaleNormal="160" workbookViewId="0">
      <selection activeCell="G5" sqref="G5"/>
    </sheetView>
  </sheetViews>
  <sheetFormatPr defaultColWidth="11" defaultRowHeight="15.75" x14ac:dyDescent="0.25"/>
  <cols>
    <col min="1" max="1" width="26.375" bestFit="1" customWidth="1"/>
    <col min="4" max="4" width="11.5" bestFit="1" customWidth="1"/>
    <col min="5" max="5" width="13.875" bestFit="1" customWidth="1"/>
    <col min="6" max="6" width="14.375" customWidth="1"/>
  </cols>
  <sheetData>
    <row r="1" spans="1:7" x14ac:dyDescent="0.25">
      <c r="A1" s="4" t="s">
        <v>0</v>
      </c>
      <c r="B1" s="7">
        <v>57901.64</v>
      </c>
      <c r="E1" s="4" t="s">
        <v>2</v>
      </c>
      <c r="F1" s="10">
        <f>SUM(F10:F69)</f>
        <v>50059.469072097905</v>
      </c>
      <c r="G1" s="8"/>
    </row>
    <row r="2" spans="1:7" x14ac:dyDescent="0.25">
      <c r="A2" s="4" t="s">
        <v>3</v>
      </c>
      <c r="B2">
        <v>29.5</v>
      </c>
      <c r="C2" t="s">
        <v>5</v>
      </c>
    </row>
    <row r="3" spans="1:7" x14ac:dyDescent="0.25">
      <c r="A3" s="4" t="s">
        <v>6</v>
      </c>
      <c r="B3" s="1">
        <v>0.04</v>
      </c>
      <c r="C3" t="s">
        <v>8</v>
      </c>
    </row>
    <row r="4" spans="1:7" x14ac:dyDescent="0.25">
      <c r="A4" s="4" t="s">
        <v>9</v>
      </c>
      <c r="B4">
        <v>0.5</v>
      </c>
      <c r="C4" t="s">
        <v>10</v>
      </c>
    </row>
    <row r="5" spans="1:7" x14ac:dyDescent="0.25">
      <c r="A5" s="4" t="s">
        <v>11</v>
      </c>
      <c r="B5" s="1">
        <v>4.87E-2</v>
      </c>
      <c r="C5" t="s">
        <v>13</v>
      </c>
    </row>
    <row r="6" spans="1:7" x14ac:dyDescent="0.25">
      <c r="A6" s="4" t="s">
        <v>14</v>
      </c>
      <c r="B6" s="2">
        <v>50000</v>
      </c>
    </row>
    <row r="8" spans="1:7" ht="16.5" thickBot="1" x14ac:dyDescent="0.3"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</row>
    <row r="10" spans="1:7" x14ac:dyDescent="0.25">
      <c r="B10">
        <v>1</v>
      </c>
      <c r="C10" s="9" t="s">
        <v>20</v>
      </c>
      <c r="D10" s="5"/>
      <c r="E10" s="5"/>
      <c r="F10" s="5"/>
    </row>
    <row r="11" spans="1:7" x14ac:dyDescent="0.25">
      <c r="B11">
        <v>2</v>
      </c>
      <c r="C11" s="13">
        <f t="shared" ref="C11:C42" si="0">Face_Value*Coupon_rate/2</f>
        <v>1158.0328</v>
      </c>
      <c r="D11" s="11"/>
      <c r="E11" s="5">
        <f>SUM(C11:D11)</f>
        <v>1158.0328</v>
      </c>
      <c r="F11" s="13">
        <f>E11/(1+Interest_rate/2)^(B11-1)</f>
        <v>1130.5050031727435</v>
      </c>
    </row>
    <row r="12" spans="1:7" x14ac:dyDescent="0.25">
      <c r="B12">
        <v>3</v>
      </c>
      <c r="C12" s="13">
        <f t="shared" si="0"/>
        <v>1158.0328</v>
      </c>
      <c r="D12" s="11"/>
      <c r="E12" s="5">
        <f t="shared" ref="E12:E69" si="1">SUM(C12:D12)</f>
        <v>1158.0328</v>
      </c>
      <c r="F12" s="13">
        <f t="shared" ref="F12:F42" si="2">E12/(1+Interest_rate/2)^(B12-1)</f>
        <v>1103.6315743376222</v>
      </c>
    </row>
    <row r="13" spans="1:7" x14ac:dyDescent="0.25">
      <c r="B13">
        <v>4</v>
      </c>
      <c r="C13" s="13">
        <f t="shared" si="0"/>
        <v>1158.0328</v>
      </c>
      <c r="D13" s="11"/>
      <c r="E13" s="5">
        <f t="shared" si="1"/>
        <v>1158.0328</v>
      </c>
      <c r="F13" s="13">
        <f t="shared" si="2"/>
        <v>1077.3969584005683</v>
      </c>
    </row>
    <row r="14" spans="1:7" x14ac:dyDescent="0.25">
      <c r="B14">
        <v>5</v>
      </c>
      <c r="C14" s="13">
        <f t="shared" si="0"/>
        <v>1158.0328</v>
      </c>
      <c r="D14" s="11"/>
      <c r="E14" s="5">
        <f t="shared" si="1"/>
        <v>1158.0328</v>
      </c>
      <c r="F14" s="13">
        <f t="shared" si="2"/>
        <v>1051.7859700303297</v>
      </c>
    </row>
    <row r="15" spans="1:7" x14ac:dyDescent="0.25">
      <c r="B15">
        <v>6</v>
      </c>
      <c r="C15" s="13">
        <f t="shared" si="0"/>
        <v>1158.0328</v>
      </c>
      <c r="D15" s="11"/>
      <c r="E15" s="5">
        <f t="shared" si="1"/>
        <v>1158.0328</v>
      </c>
      <c r="F15" s="13">
        <f t="shared" si="2"/>
        <v>1026.7837848687748</v>
      </c>
    </row>
    <row r="16" spans="1:7" x14ac:dyDescent="0.25">
      <c r="B16">
        <v>7</v>
      </c>
      <c r="C16" s="13">
        <f t="shared" si="0"/>
        <v>1158.0328</v>
      </c>
      <c r="D16" s="11"/>
      <c r="E16" s="5">
        <f t="shared" si="1"/>
        <v>1158.0328</v>
      </c>
      <c r="F16" s="13">
        <f t="shared" si="2"/>
        <v>1002.3759309501388</v>
      </c>
    </row>
    <row r="17" spans="2:6" x14ac:dyDescent="0.25">
      <c r="B17">
        <v>8</v>
      </c>
      <c r="C17" s="13">
        <f t="shared" si="0"/>
        <v>1158.0328</v>
      </c>
      <c r="D17" s="11"/>
      <c r="E17" s="5">
        <f t="shared" si="1"/>
        <v>1158.0328</v>
      </c>
      <c r="F17" s="13">
        <f t="shared" si="2"/>
        <v>978.54828032424336</v>
      </c>
    </row>
    <row r="18" spans="2:6" x14ac:dyDescent="0.25">
      <c r="B18">
        <v>9</v>
      </c>
      <c r="C18" s="13">
        <f t="shared" si="0"/>
        <v>1158.0328</v>
      </c>
      <c r="D18" s="11"/>
      <c r="E18" s="5">
        <f t="shared" si="1"/>
        <v>1158.0328</v>
      </c>
      <c r="F18" s="13">
        <f t="shared" si="2"/>
        <v>955.28704087884341</v>
      </c>
    </row>
    <row r="19" spans="2:6" x14ac:dyDescent="0.25">
      <c r="B19">
        <v>10</v>
      </c>
      <c r="C19" s="13">
        <f t="shared" si="0"/>
        <v>1158.0328</v>
      </c>
      <c r="D19" s="11"/>
      <c r="E19" s="5">
        <f t="shared" si="1"/>
        <v>1158.0328</v>
      </c>
      <c r="F19" s="13">
        <f t="shared" si="2"/>
        <v>932.57874835636574</v>
      </c>
    </row>
    <row r="20" spans="2:6" x14ac:dyDescent="0.25">
      <c r="B20">
        <v>11</v>
      </c>
      <c r="C20" s="13">
        <f t="shared" si="0"/>
        <v>1158.0328</v>
      </c>
      <c r="D20" s="11"/>
      <c r="E20" s="5">
        <f t="shared" si="1"/>
        <v>1158.0328</v>
      </c>
      <c r="F20" s="13">
        <f t="shared" si="2"/>
        <v>910.41025856041938</v>
      </c>
    </row>
    <row r="21" spans="2:6" x14ac:dyDescent="0.25">
      <c r="B21">
        <v>12</v>
      </c>
      <c r="C21" s="13">
        <f t="shared" si="0"/>
        <v>1158.0328</v>
      </c>
      <c r="D21" s="11"/>
      <c r="E21" s="5">
        <f t="shared" si="1"/>
        <v>1158.0328</v>
      </c>
      <c r="F21" s="13">
        <f t="shared" si="2"/>
        <v>888.7687397475662</v>
      </c>
    </row>
    <row r="22" spans="2:6" x14ac:dyDescent="0.25">
      <c r="B22">
        <v>13</v>
      </c>
      <c r="C22" s="13">
        <f t="shared" si="0"/>
        <v>1158.0328</v>
      </c>
      <c r="D22" s="11"/>
      <c r="E22" s="5">
        <f t="shared" si="1"/>
        <v>1158.0328</v>
      </c>
      <c r="F22" s="13">
        <f t="shared" si="2"/>
        <v>867.64166519994728</v>
      </c>
    </row>
    <row r="23" spans="2:6" x14ac:dyDescent="0.25">
      <c r="B23">
        <v>14</v>
      </c>
      <c r="C23" s="13">
        <f t="shared" si="0"/>
        <v>1158.0328</v>
      </c>
      <c r="D23" s="11"/>
      <c r="E23" s="5">
        <f t="shared" si="1"/>
        <v>1158.0328</v>
      </c>
      <c r="F23" s="13">
        <f t="shared" si="2"/>
        <v>847.01680597446887</v>
      </c>
    </row>
    <row r="24" spans="2:6" x14ac:dyDescent="0.25">
      <c r="B24">
        <v>15</v>
      </c>
      <c r="C24" s="13">
        <f t="shared" si="0"/>
        <v>1158.0328</v>
      </c>
      <c r="D24" s="11"/>
      <c r="E24" s="5">
        <f t="shared" si="1"/>
        <v>1158.0328</v>
      </c>
      <c r="F24" s="13">
        <f t="shared" si="2"/>
        <v>826.88222382434594</v>
      </c>
    </row>
    <row r="25" spans="2:6" x14ac:dyDescent="0.25">
      <c r="B25">
        <v>16</v>
      </c>
      <c r="C25" s="13">
        <f t="shared" si="0"/>
        <v>1158.0328</v>
      </c>
      <c r="D25" s="11"/>
      <c r="E25" s="5">
        <f t="shared" si="1"/>
        <v>1158.0328</v>
      </c>
      <c r="F25" s="13">
        <f t="shared" si="2"/>
        <v>807.2262642889109</v>
      </c>
    </row>
    <row r="26" spans="2:6" x14ac:dyDescent="0.25">
      <c r="B26">
        <v>17</v>
      </c>
      <c r="C26" s="13">
        <f t="shared" si="0"/>
        <v>1158.0328</v>
      </c>
      <c r="D26" s="11"/>
      <c r="E26" s="5">
        <f t="shared" si="1"/>
        <v>1158.0328</v>
      </c>
      <c r="F26" s="13">
        <f t="shared" si="2"/>
        <v>788.03754994768462</v>
      </c>
    </row>
    <row r="27" spans="2:6" x14ac:dyDescent="0.25">
      <c r="B27">
        <v>18</v>
      </c>
      <c r="C27" s="13">
        <f t="shared" si="0"/>
        <v>1158.0328</v>
      </c>
      <c r="D27" s="11"/>
      <c r="E27" s="5">
        <f t="shared" si="1"/>
        <v>1158.0328</v>
      </c>
      <c r="F27" s="13">
        <f t="shared" si="2"/>
        <v>769.30497383480702</v>
      </c>
    </row>
    <row r="28" spans="2:6" x14ac:dyDescent="0.25">
      <c r="B28">
        <v>19</v>
      </c>
      <c r="C28" s="13">
        <f t="shared" si="0"/>
        <v>1158.0328</v>
      </c>
      <c r="D28" s="11"/>
      <c r="E28" s="5">
        <f t="shared" si="1"/>
        <v>1158.0328</v>
      </c>
      <c r="F28" s="13">
        <f t="shared" si="2"/>
        <v>751.01769301001298</v>
      </c>
    </row>
    <row r="29" spans="2:6" x14ac:dyDescent="0.25">
      <c r="B29">
        <v>20</v>
      </c>
      <c r="C29" s="13">
        <f t="shared" si="0"/>
        <v>1158.0328</v>
      </c>
      <c r="D29" s="11"/>
      <c r="E29" s="5">
        <f t="shared" si="1"/>
        <v>1158.0328</v>
      </c>
      <c r="F29" s="13">
        <f t="shared" si="2"/>
        <v>733.16512228243573</v>
      </c>
    </row>
    <row r="30" spans="2:6" x14ac:dyDescent="0.25">
      <c r="B30">
        <v>21</v>
      </c>
      <c r="C30" s="13">
        <f t="shared" si="0"/>
        <v>1158.0328</v>
      </c>
      <c r="D30" s="11"/>
      <c r="E30" s="5">
        <f t="shared" si="1"/>
        <v>1158.0328</v>
      </c>
      <c r="F30" s="13">
        <f t="shared" si="2"/>
        <v>715.73692808359999</v>
      </c>
    </row>
    <row r="31" spans="2:6" x14ac:dyDescent="0.25">
      <c r="B31">
        <v>22</v>
      </c>
      <c r="C31" s="13">
        <f t="shared" si="0"/>
        <v>1158.0328</v>
      </c>
      <c r="D31" s="11"/>
      <c r="E31" s="5">
        <f t="shared" si="1"/>
        <v>1158.0328</v>
      </c>
      <c r="F31" s="13">
        <f t="shared" si="2"/>
        <v>698.72302248606422</v>
      </c>
    </row>
    <row r="32" spans="2:6" x14ac:dyDescent="0.25">
      <c r="B32">
        <v>23</v>
      </c>
      <c r="C32" s="13">
        <f t="shared" si="0"/>
        <v>1158.0328</v>
      </c>
      <c r="D32" s="11"/>
      <c r="E32" s="5">
        <f t="shared" si="1"/>
        <v>1158.0328</v>
      </c>
      <c r="F32" s="13">
        <f t="shared" si="2"/>
        <v>682.11355736424468</v>
      </c>
    </row>
    <row r="33" spans="2:6" x14ac:dyDescent="0.25">
      <c r="B33">
        <v>24</v>
      </c>
      <c r="C33" s="13">
        <f t="shared" si="0"/>
        <v>1158.0328</v>
      </c>
      <c r="D33" s="11"/>
      <c r="E33" s="5">
        <f t="shared" si="1"/>
        <v>1158.0328</v>
      </c>
      <c r="F33" s="13">
        <f t="shared" si="2"/>
        <v>665.89891869404471</v>
      </c>
    </row>
    <row r="34" spans="2:6" x14ac:dyDescent="0.25">
      <c r="B34">
        <v>25</v>
      </c>
      <c r="C34" s="13">
        <f t="shared" si="0"/>
        <v>1158.0328</v>
      </c>
      <c r="D34" s="11"/>
      <c r="E34" s="5">
        <f t="shared" si="1"/>
        <v>1158.0328</v>
      </c>
      <c r="F34" s="13">
        <f t="shared" si="2"/>
        <v>650.06972098798713</v>
      </c>
    </row>
    <row r="35" spans="2:6" x14ac:dyDescent="0.25">
      <c r="B35">
        <v>26</v>
      </c>
      <c r="C35" s="13">
        <f t="shared" si="0"/>
        <v>1158.0328</v>
      </c>
      <c r="D35" s="11"/>
      <c r="E35" s="5">
        <f t="shared" si="1"/>
        <v>1158.0328</v>
      </c>
      <c r="F35" s="13">
        <f t="shared" si="2"/>
        <v>634.61680186263197</v>
      </c>
    </row>
    <row r="36" spans="2:6" x14ac:dyDescent="0.25">
      <c r="B36">
        <v>27</v>
      </c>
      <c r="C36" s="13">
        <f t="shared" si="0"/>
        <v>1158.0328</v>
      </c>
      <c r="D36" s="11"/>
      <c r="E36" s="5">
        <f t="shared" si="1"/>
        <v>1158.0328</v>
      </c>
      <c r="F36" s="13">
        <f t="shared" si="2"/>
        <v>619.53121673513147</v>
      </c>
    </row>
    <row r="37" spans="2:6" x14ac:dyDescent="0.25">
      <c r="B37">
        <v>28</v>
      </c>
      <c r="C37" s="13">
        <f t="shared" si="0"/>
        <v>1158.0328</v>
      </c>
      <c r="D37" s="11"/>
      <c r="E37" s="5">
        <f t="shared" si="1"/>
        <v>1158.0328</v>
      </c>
      <c r="F37" s="13">
        <f t="shared" si="2"/>
        <v>604.80423364585488</v>
      </c>
    </row>
    <row r="38" spans="2:6" x14ac:dyDescent="0.25">
      <c r="B38">
        <v>29</v>
      </c>
      <c r="C38" s="13">
        <f t="shared" si="0"/>
        <v>1158.0328</v>
      </c>
      <c r="D38" s="11"/>
      <c r="E38" s="5">
        <f t="shared" si="1"/>
        <v>1158.0328</v>
      </c>
      <c r="F38" s="13">
        <f t="shared" si="2"/>
        <v>590.42732820408526</v>
      </c>
    </row>
    <row r="39" spans="2:6" x14ac:dyDescent="0.25">
      <c r="B39">
        <v>30</v>
      </c>
      <c r="C39" s="13">
        <f t="shared" si="0"/>
        <v>1158.0328</v>
      </c>
      <c r="D39" s="11"/>
      <c r="E39" s="5">
        <f t="shared" si="1"/>
        <v>1158.0328</v>
      </c>
      <c r="F39" s="13">
        <f t="shared" si="2"/>
        <v>576.39217865386365</v>
      </c>
    </row>
    <row r="40" spans="2:6" x14ac:dyDescent="0.25">
      <c r="B40">
        <v>31</v>
      </c>
      <c r="C40" s="13">
        <f t="shared" si="0"/>
        <v>1158.0328</v>
      </c>
      <c r="D40" s="11"/>
      <c r="E40" s="5">
        <f t="shared" si="1"/>
        <v>1158.0328</v>
      </c>
      <c r="F40" s="13">
        <f t="shared" si="2"/>
        <v>562.6906610571225</v>
      </c>
    </row>
    <row r="41" spans="2:6" x14ac:dyDescent="0.25">
      <c r="B41">
        <v>32</v>
      </c>
      <c r="C41" s="13">
        <f t="shared" si="0"/>
        <v>1158.0328</v>
      </c>
      <c r="D41" s="11"/>
      <c r="E41" s="5">
        <f t="shared" si="1"/>
        <v>1158.0328</v>
      </c>
      <c r="F41" s="13">
        <f t="shared" si="2"/>
        <v>549.31484459132378</v>
      </c>
    </row>
    <row r="42" spans="2:6" x14ac:dyDescent="0.25">
      <c r="B42">
        <v>33</v>
      </c>
      <c r="C42" s="13">
        <f t="shared" si="0"/>
        <v>1158.0328</v>
      </c>
      <c r="D42" s="11"/>
      <c r="E42" s="5">
        <f t="shared" si="1"/>
        <v>1158.0328</v>
      </c>
      <c r="F42" s="13">
        <f t="shared" si="2"/>
        <v>536.25698695887502</v>
      </c>
    </row>
    <row r="43" spans="2:6" x14ac:dyDescent="0.25">
      <c r="B43">
        <v>34</v>
      </c>
      <c r="C43" s="13">
        <f t="shared" ref="C43:C69" si="3">Face_Value*Coupon_rate/2</f>
        <v>1158.0328</v>
      </c>
      <c r="D43" s="11"/>
      <c r="E43" s="5">
        <f t="shared" si="1"/>
        <v>1158.0328</v>
      </c>
      <c r="F43" s="13">
        <f t="shared" ref="F43:F69" si="4">E43/(1+Interest_rate/2)^(B43-1)</f>
        <v>523.5095299056718</v>
      </c>
    </row>
    <row r="44" spans="2:6" x14ac:dyDescent="0.25">
      <c r="B44">
        <v>35</v>
      </c>
      <c r="C44" s="13">
        <f t="shared" si="3"/>
        <v>1158.0328</v>
      </c>
      <c r="D44" s="11"/>
      <c r="E44" s="5">
        <f t="shared" si="1"/>
        <v>1158.0328</v>
      </c>
      <c r="F44" s="13">
        <f t="shared" si="4"/>
        <v>511.06509484616765</v>
      </c>
    </row>
    <row r="45" spans="2:6" x14ac:dyDescent="0.25">
      <c r="B45">
        <v>36</v>
      </c>
      <c r="C45" s="13">
        <f t="shared" si="3"/>
        <v>1158.0328</v>
      </c>
      <c r="D45" s="11"/>
      <c r="E45" s="5">
        <f t="shared" si="1"/>
        <v>1158.0328</v>
      </c>
      <c r="F45" s="13">
        <f t="shared" si="4"/>
        <v>498.91647859244159</v>
      </c>
    </row>
    <row r="46" spans="2:6" x14ac:dyDescent="0.25">
      <c r="B46">
        <v>37</v>
      </c>
      <c r="C46" s="13">
        <f t="shared" si="3"/>
        <v>1158.0328</v>
      </c>
      <c r="D46" s="11"/>
      <c r="E46" s="5">
        <f t="shared" si="1"/>
        <v>1158.0328</v>
      </c>
      <c r="F46" s="13">
        <f t="shared" si="4"/>
        <v>487.05664918479187</v>
      </c>
    </row>
    <row r="47" spans="2:6" x14ac:dyDescent="0.25">
      <c r="B47">
        <v>38</v>
      </c>
      <c r="C47" s="13">
        <f t="shared" si="3"/>
        <v>1158.0328</v>
      </c>
      <c r="D47" s="11"/>
      <c r="E47" s="5">
        <f t="shared" si="1"/>
        <v>1158.0328</v>
      </c>
      <c r="F47" s="13">
        <f t="shared" si="4"/>
        <v>475.47874182143977</v>
      </c>
    </row>
    <row r="48" spans="2:6" x14ac:dyDescent="0.25">
      <c r="B48">
        <v>39</v>
      </c>
      <c r="C48" s="13">
        <f t="shared" si="3"/>
        <v>1158.0328</v>
      </c>
      <c r="D48" s="11"/>
      <c r="E48" s="5">
        <f t="shared" si="1"/>
        <v>1158.0328</v>
      </c>
      <c r="F48" s="13">
        <f t="shared" si="4"/>
        <v>464.17605488499021</v>
      </c>
    </row>
    <row r="49" spans="2:6" x14ac:dyDescent="0.25">
      <c r="B49">
        <v>40</v>
      </c>
      <c r="C49" s="13">
        <f t="shared" si="3"/>
        <v>1158.0328</v>
      </c>
      <c r="D49" s="11"/>
      <c r="E49" s="5">
        <f t="shared" si="1"/>
        <v>1158.0328</v>
      </c>
      <c r="F49" s="13">
        <f t="shared" si="4"/>
        <v>453.14204606334761</v>
      </c>
    </row>
    <row r="50" spans="2:6" x14ac:dyDescent="0.25">
      <c r="B50">
        <v>41</v>
      </c>
      <c r="C50" s="13">
        <f t="shared" si="3"/>
        <v>1158.0328</v>
      </c>
      <c r="D50" s="11"/>
      <c r="E50" s="5">
        <f t="shared" si="1"/>
        <v>1158.0328</v>
      </c>
      <c r="F50" s="13">
        <f t="shared" si="4"/>
        <v>442.37032856284236</v>
      </c>
    </row>
    <row r="51" spans="2:6" x14ac:dyDescent="0.25">
      <c r="B51">
        <v>42</v>
      </c>
      <c r="C51" s="13">
        <f t="shared" si="3"/>
        <v>1158.0328</v>
      </c>
      <c r="D51" s="11"/>
      <c r="E51" s="5">
        <f t="shared" si="1"/>
        <v>1158.0328</v>
      </c>
      <c r="F51" s="13">
        <f t="shared" si="4"/>
        <v>431.85466741137532</v>
      </c>
    </row>
    <row r="52" spans="2:6" x14ac:dyDescent="0.25">
      <c r="B52">
        <v>43</v>
      </c>
      <c r="C52" s="13">
        <f t="shared" si="3"/>
        <v>1158.0328</v>
      </c>
      <c r="D52" s="11"/>
      <c r="E52" s="5">
        <f t="shared" si="1"/>
        <v>1158.0328</v>
      </c>
      <c r="F52" s="13">
        <f t="shared" si="4"/>
        <v>421.58897584944128</v>
      </c>
    </row>
    <row r="53" spans="2:6" x14ac:dyDescent="0.25">
      <c r="B53">
        <v>44</v>
      </c>
      <c r="C53" s="13">
        <f t="shared" si="3"/>
        <v>1158.0328</v>
      </c>
      <c r="D53" s="11"/>
      <c r="E53" s="5">
        <f t="shared" si="1"/>
        <v>1158.0328</v>
      </c>
      <c r="F53" s="13">
        <f t="shared" si="4"/>
        <v>411.56731180694231</v>
      </c>
    </row>
    <row r="54" spans="2:6" x14ac:dyDescent="0.25">
      <c r="B54">
        <v>45</v>
      </c>
      <c r="C54" s="13">
        <f t="shared" si="3"/>
        <v>1158.0328</v>
      </c>
      <c r="D54" s="11"/>
      <c r="E54" s="5">
        <f t="shared" si="1"/>
        <v>1158.0328</v>
      </c>
      <c r="F54" s="13">
        <f t="shared" si="4"/>
        <v>401.7838744637499</v>
      </c>
    </row>
    <row r="55" spans="2:6" x14ac:dyDescent="0.25">
      <c r="B55">
        <v>46</v>
      </c>
      <c r="C55" s="13">
        <f t="shared" si="3"/>
        <v>1158.0328</v>
      </c>
      <c r="D55" s="11"/>
      <c r="E55" s="5">
        <f t="shared" si="1"/>
        <v>1158.0328</v>
      </c>
      <c r="F55" s="13">
        <f t="shared" si="4"/>
        <v>392.23300089202894</v>
      </c>
    </row>
    <row r="56" spans="2:6" x14ac:dyDescent="0.25">
      <c r="B56">
        <v>47</v>
      </c>
      <c r="C56" s="13">
        <f t="shared" si="3"/>
        <v>1158.0328</v>
      </c>
      <c r="D56" s="11"/>
      <c r="E56" s="5">
        <f t="shared" si="1"/>
        <v>1158.0328</v>
      </c>
      <c r="F56" s="13">
        <f t="shared" si="4"/>
        <v>382.9091627783755</v>
      </c>
    </row>
    <row r="57" spans="2:6" x14ac:dyDescent="0.25">
      <c r="B57">
        <v>48</v>
      </c>
      <c r="C57" s="13">
        <f t="shared" si="3"/>
        <v>1158.0328</v>
      </c>
      <c r="D57" s="11"/>
      <c r="E57" s="5">
        <f t="shared" si="1"/>
        <v>1158.0328</v>
      </c>
      <c r="F57" s="13">
        <f t="shared" si="4"/>
        <v>373.80696322387405</v>
      </c>
    </row>
    <row r="58" spans="2:6" x14ac:dyDescent="0.25">
      <c r="B58">
        <v>49</v>
      </c>
      <c r="C58" s="13">
        <f t="shared" si="3"/>
        <v>1158.0328</v>
      </c>
      <c r="D58" s="11"/>
      <c r="E58" s="5">
        <f t="shared" si="1"/>
        <v>1158.0328</v>
      </c>
      <c r="F58" s="13">
        <f t="shared" si="4"/>
        <v>364.92113362022167</v>
      </c>
    </row>
    <row r="59" spans="2:6" x14ac:dyDescent="0.25">
      <c r="B59">
        <v>50</v>
      </c>
      <c r="C59" s="13">
        <f t="shared" si="3"/>
        <v>1158.0328</v>
      </c>
      <c r="D59" s="11"/>
      <c r="E59" s="5">
        <f t="shared" si="1"/>
        <v>1158.0328</v>
      </c>
      <c r="F59" s="13">
        <f t="shared" si="4"/>
        <v>356.24653060010894</v>
      </c>
    </row>
    <row r="60" spans="2:6" x14ac:dyDescent="0.25">
      <c r="B60">
        <v>51</v>
      </c>
      <c r="C60" s="13">
        <f t="shared" si="3"/>
        <v>1158.0328</v>
      </c>
      <c r="D60" s="11"/>
      <c r="E60" s="5">
        <f t="shared" si="1"/>
        <v>1158.0328</v>
      </c>
      <c r="F60" s="13">
        <f t="shared" si="4"/>
        <v>347.77813306009551</v>
      </c>
    </row>
    <row r="61" spans="2:6" x14ac:dyDescent="0.25">
      <c r="B61">
        <v>52</v>
      </c>
      <c r="C61" s="13">
        <f t="shared" si="3"/>
        <v>1158.0328</v>
      </c>
      <c r="D61" s="11"/>
      <c r="E61" s="5">
        <f t="shared" si="1"/>
        <v>1158.0328</v>
      </c>
      <c r="F61" s="13">
        <f t="shared" si="4"/>
        <v>339.51103925425446</v>
      </c>
    </row>
    <row r="62" spans="2:6" x14ac:dyDescent="0.25">
      <c r="B62">
        <v>53</v>
      </c>
      <c r="C62" s="13">
        <f t="shared" si="3"/>
        <v>1158.0328</v>
      </c>
      <c r="D62" s="11"/>
      <c r="E62" s="5">
        <f t="shared" si="1"/>
        <v>1158.0328</v>
      </c>
      <c r="F62" s="13">
        <f t="shared" si="4"/>
        <v>331.44046395690378</v>
      </c>
    </row>
    <row r="63" spans="2:6" x14ac:dyDescent="0.25">
      <c r="B63">
        <v>54</v>
      </c>
      <c r="C63" s="13">
        <f t="shared" si="3"/>
        <v>1158.0328</v>
      </c>
      <c r="D63" s="11"/>
      <c r="E63" s="5">
        <f t="shared" si="1"/>
        <v>1158.0328</v>
      </c>
      <c r="F63" s="13">
        <f t="shared" si="4"/>
        <v>323.56173569278445</v>
      </c>
    </row>
    <row r="64" spans="2:6" x14ac:dyDescent="0.25">
      <c r="B64">
        <v>55</v>
      </c>
      <c r="C64" s="13">
        <f t="shared" si="3"/>
        <v>1158.0328</v>
      </c>
      <c r="D64" s="11"/>
      <c r="E64" s="5">
        <f t="shared" si="1"/>
        <v>1158.0328</v>
      </c>
      <c r="F64" s="13">
        <f t="shared" si="4"/>
        <v>315.87029403307895</v>
      </c>
    </row>
    <row r="65" spans="2:6" x14ac:dyDescent="0.25">
      <c r="B65">
        <v>56</v>
      </c>
      <c r="C65" s="13">
        <f t="shared" si="3"/>
        <v>1158.0328</v>
      </c>
      <c r="D65" s="11"/>
      <c r="E65" s="5">
        <f t="shared" si="1"/>
        <v>1158.0328</v>
      </c>
      <c r="F65" s="13">
        <f t="shared" si="4"/>
        <v>308.3616869557074</v>
      </c>
    </row>
    <row r="66" spans="2:6" x14ac:dyDescent="0.25">
      <c r="B66">
        <v>57</v>
      </c>
      <c r="C66" s="13">
        <f t="shared" si="3"/>
        <v>1158.0328</v>
      </c>
      <c r="D66" s="11"/>
      <c r="E66" s="5">
        <f t="shared" si="1"/>
        <v>1158.0328</v>
      </c>
      <c r="F66" s="13">
        <f t="shared" si="4"/>
        <v>301.0315682683725</v>
      </c>
    </row>
    <row r="67" spans="2:6" x14ac:dyDescent="0.25">
      <c r="B67">
        <v>58</v>
      </c>
      <c r="C67" s="13">
        <f t="shared" si="3"/>
        <v>1158.0328</v>
      </c>
      <c r="D67" s="11"/>
      <c r="E67" s="5">
        <f t="shared" si="1"/>
        <v>1158.0328</v>
      </c>
      <c r="F67" s="13">
        <f t="shared" si="4"/>
        <v>293.87569509286129</v>
      </c>
    </row>
    <row r="68" spans="2:6" x14ac:dyDescent="0.25">
      <c r="B68">
        <v>59</v>
      </c>
      <c r="C68" s="13">
        <f t="shared" si="3"/>
        <v>1158.0328</v>
      </c>
      <c r="D68" s="11"/>
      <c r="E68" s="5">
        <f t="shared" si="1"/>
        <v>1158.0328</v>
      </c>
      <c r="F68" s="13">
        <f t="shared" si="4"/>
        <v>286.88992540914847</v>
      </c>
    </row>
    <row r="69" spans="2:6" x14ac:dyDescent="0.25">
      <c r="B69">
        <v>60</v>
      </c>
      <c r="C69" s="13">
        <f t="shared" si="3"/>
        <v>1158.0328</v>
      </c>
      <c r="D69" s="13">
        <f>Face_Value</f>
        <v>57901.64</v>
      </c>
      <c r="E69" s="5">
        <f t="shared" si="1"/>
        <v>59059.6728</v>
      </c>
      <c r="F69" s="13">
        <f t="shared" si="4"/>
        <v>14283.580998551837</v>
      </c>
    </row>
    <row r="70" spans="2:6" ht="16.5" thickBot="1" x14ac:dyDescent="0.3">
      <c r="B70" t="s">
        <v>21</v>
      </c>
      <c r="C70" s="5"/>
      <c r="D70" s="5"/>
      <c r="E70" s="6">
        <f>SUM(E10:E69)</f>
        <v>126225.57520000004</v>
      </c>
      <c r="F70" s="6">
        <f>SUM(F10:F69)</f>
        <v>50059.469072097905</v>
      </c>
    </row>
    <row r="71" spans="2:6" ht="16.5" thickTop="1" x14ac:dyDescent="0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F2D8-F516-401F-8637-E3C00B802F71}">
  <dimension ref="A1:G122"/>
  <sheetViews>
    <sheetView workbookViewId="0">
      <selection activeCell="J10" sqref="J10"/>
    </sheetView>
  </sheetViews>
  <sheetFormatPr defaultRowHeight="15.75" x14ac:dyDescent="0.25"/>
  <cols>
    <col min="1" max="1" width="11.5" bestFit="1" customWidth="1"/>
    <col min="2" max="2" width="24.875" bestFit="1" customWidth="1"/>
    <col min="4" max="4" width="13.375" bestFit="1" customWidth="1"/>
    <col min="6" max="6" width="22.25" bestFit="1" customWidth="1"/>
    <col min="7" max="7" width="14.5" bestFit="1" customWidth="1"/>
  </cols>
  <sheetData>
    <row r="1" spans="1:7" ht="16.5" thickBot="1" x14ac:dyDescent="0.3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</row>
    <row r="2" spans="1:7" x14ac:dyDescent="0.25">
      <c r="A2" t="s">
        <v>29</v>
      </c>
      <c r="B2" t="s">
        <v>30</v>
      </c>
      <c r="C2" t="s">
        <v>31</v>
      </c>
      <c r="D2" t="s">
        <v>32</v>
      </c>
      <c r="E2">
        <v>0</v>
      </c>
      <c r="F2" t="s">
        <v>33</v>
      </c>
      <c r="G2" t="s">
        <v>34</v>
      </c>
    </row>
    <row r="3" spans="1:7" x14ac:dyDescent="0.25">
      <c r="A3" t="s">
        <v>29</v>
      </c>
      <c r="B3" t="s">
        <v>30</v>
      </c>
      <c r="C3" t="s">
        <v>35</v>
      </c>
      <c r="D3" t="s">
        <v>32</v>
      </c>
      <c r="E3">
        <v>0</v>
      </c>
      <c r="F3" t="s">
        <v>36</v>
      </c>
      <c r="G3" t="s">
        <v>34</v>
      </c>
    </row>
    <row r="4" spans="1:7" x14ac:dyDescent="0.25">
      <c r="A4" t="s">
        <v>29</v>
      </c>
      <c r="B4" t="s">
        <v>30</v>
      </c>
      <c r="C4" t="s">
        <v>37</v>
      </c>
      <c r="D4" t="s">
        <v>32</v>
      </c>
      <c r="E4">
        <v>0</v>
      </c>
      <c r="F4" t="s">
        <v>36</v>
      </c>
      <c r="G4" t="s">
        <v>34</v>
      </c>
    </row>
    <row r="5" spans="1:7" x14ac:dyDescent="0.25">
      <c r="A5" t="s">
        <v>29</v>
      </c>
      <c r="B5" t="s">
        <v>30</v>
      </c>
      <c r="C5" t="s">
        <v>38</v>
      </c>
      <c r="D5" t="s">
        <v>32</v>
      </c>
      <c r="E5">
        <v>0</v>
      </c>
      <c r="F5" t="s">
        <v>36</v>
      </c>
      <c r="G5" t="s">
        <v>34</v>
      </c>
    </row>
    <row r="6" spans="1:7" x14ac:dyDescent="0.25">
      <c r="A6" t="s">
        <v>29</v>
      </c>
      <c r="B6" t="s">
        <v>30</v>
      </c>
      <c r="C6" t="s">
        <v>39</v>
      </c>
      <c r="D6" t="s">
        <v>32</v>
      </c>
      <c r="E6">
        <v>0</v>
      </c>
      <c r="F6" t="s">
        <v>36</v>
      </c>
      <c r="G6" t="s">
        <v>34</v>
      </c>
    </row>
    <row r="7" spans="1:7" x14ac:dyDescent="0.25">
      <c r="A7" t="s">
        <v>29</v>
      </c>
      <c r="B7" t="s">
        <v>30</v>
      </c>
      <c r="C7" t="s">
        <v>40</v>
      </c>
      <c r="D7" t="s">
        <v>32</v>
      </c>
      <c r="E7">
        <v>0</v>
      </c>
      <c r="F7" t="s">
        <v>36</v>
      </c>
      <c r="G7" t="s">
        <v>34</v>
      </c>
    </row>
    <row r="8" spans="1:7" x14ac:dyDescent="0.25">
      <c r="A8" t="s">
        <v>29</v>
      </c>
      <c r="B8" t="s">
        <v>30</v>
      </c>
      <c r="C8" t="s">
        <v>41</v>
      </c>
      <c r="D8" t="s">
        <v>32</v>
      </c>
      <c r="E8">
        <v>0</v>
      </c>
      <c r="F8" t="s">
        <v>36</v>
      </c>
      <c r="G8" t="s">
        <v>34</v>
      </c>
    </row>
    <row r="9" spans="1:7" x14ac:dyDescent="0.25">
      <c r="A9" t="s">
        <v>29</v>
      </c>
      <c r="B9" t="s">
        <v>30</v>
      </c>
      <c r="C9" t="s">
        <v>42</v>
      </c>
      <c r="D9" t="s">
        <v>32</v>
      </c>
      <c r="E9">
        <v>0</v>
      </c>
      <c r="F9" t="s">
        <v>36</v>
      </c>
      <c r="G9" t="s">
        <v>34</v>
      </c>
    </row>
    <row r="10" spans="1:7" x14ac:dyDescent="0.25">
      <c r="A10" t="s">
        <v>29</v>
      </c>
      <c r="B10" t="s">
        <v>30</v>
      </c>
      <c r="C10" t="s">
        <v>43</v>
      </c>
      <c r="D10" t="s">
        <v>32</v>
      </c>
      <c r="E10">
        <v>0</v>
      </c>
      <c r="F10" t="s">
        <v>36</v>
      </c>
      <c r="G10" t="s">
        <v>34</v>
      </c>
    </row>
    <row r="11" spans="1:7" x14ac:dyDescent="0.25">
      <c r="A11" t="s">
        <v>29</v>
      </c>
      <c r="B11" t="s">
        <v>30</v>
      </c>
      <c r="C11" t="s">
        <v>44</v>
      </c>
      <c r="D11" t="s">
        <v>32</v>
      </c>
      <c r="E11">
        <v>0</v>
      </c>
      <c r="F11" t="s">
        <v>36</v>
      </c>
      <c r="G11" t="s">
        <v>34</v>
      </c>
    </row>
    <row r="12" spans="1:7" x14ac:dyDescent="0.25">
      <c r="A12" t="s">
        <v>29</v>
      </c>
      <c r="B12" t="s">
        <v>30</v>
      </c>
      <c r="C12" t="s">
        <v>45</v>
      </c>
      <c r="D12" t="s">
        <v>32</v>
      </c>
      <c r="E12">
        <v>0</v>
      </c>
      <c r="F12" t="s">
        <v>36</v>
      </c>
      <c r="G12" t="s">
        <v>34</v>
      </c>
    </row>
    <row r="13" spans="1:7" x14ac:dyDescent="0.25">
      <c r="A13" t="s">
        <v>29</v>
      </c>
      <c r="B13" t="s">
        <v>30</v>
      </c>
      <c r="C13" t="s">
        <v>46</v>
      </c>
      <c r="D13" t="s">
        <v>32</v>
      </c>
      <c r="E13">
        <v>0</v>
      </c>
      <c r="F13" t="s">
        <v>36</v>
      </c>
      <c r="G13" t="s">
        <v>34</v>
      </c>
    </row>
    <row r="14" spans="1:7" x14ac:dyDescent="0.25">
      <c r="A14" t="s">
        <v>29</v>
      </c>
      <c r="B14" t="s">
        <v>30</v>
      </c>
      <c r="C14" t="s">
        <v>47</v>
      </c>
      <c r="D14" t="s">
        <v>32</v>
      </c>
      <c r="E14">
        <v>0</v>
      </c>
      <c r="F14" t="s">
        <v>36</v>
      </c>
      <c r="G14" t="s">
        <v>34</v>
      </c>
    </row>
    <row r="15" spans="1:7" x14ac:dyDescent="0.25">
      <c r="A15" t="s">
        <v>29</v>
      </c>
      <c r="B15" t="s">
        <v>30</v>
      </c>
      <c r="C15" t="s">
        <v>48</v>
      </c>
      <c r="D15" t="s">
        <v>32</v>
      </c>
      <c r="E15">
        <v>0</v>
      </c>
      <c r="F15" t="s">
        <v>36</v>
      </c>
      <c r="G15" t="s">
        <v>34</v>
      </c>
    </row>
    <row r="16" spans="1:7" x14ac:dyDescent="0.25">
      <c r="A16" t="s">
        <v>29</v>
      </c>
      <c r="B16" t="s">
        <v>30</v>
      </c>
      <c r="C16" t="s">
        <v>49</v>
      </c>
      <c r="D16" t="s">
        <v>32</v>
      </c>
      <c r="E16">
        <v>0</v>
      </c>
      <c r="F16" t="s">
        <v>36</v>
      </c>
      <c r="G16" t="s">
        <v>34</v>
      </c>
    </row>
    <row r="17" spans="1:7" x14ac:dyDescent="0.25">
      <c r="A17" t="s">
        <v>29</v>
      </c>
      <c r="B17" t="s">
        <v>30</v>
      </c>
      <c r="C17" t="s">
        <v>50</v>
      </c>
      <c r="D17" t="s">
        <v>32</v>
      </c>
      <c r="E17">
        <v>0</v>
      </c>
      <c r="F17" t="s">
        <v>36</v>
      </c>
      <c r="G17" t="s">
        <v>34</v>
      </c>
    </row>
    <row r="18" spans="1:7" x14ac:dyDescent="0.25">
      <c r="A18" t="s">
        <v>29</v>
      </c>
      <c r="B18" t="s">
        <v>30</v>
      </c>
      <c r="C18" t="s">
        <v>51</v>
      </c>
      <c r="D18" t="s">
        <v>32</v>
      </c>
      <c r="E18">
        <v>0</v>
      </c>
      <c r="F18" t="s">
        <v>36</v>
      </c>
      <c r="G18" t="s">
        <v>34</v>
      </c>
    </row>
    <row r="19" spans="1:7" x14ac:dyDescent="0.25">
      <c r="A19" t="s">
        <v>29</v>
      </c>
      <c r="B19" t="s">
        <v>30</v>
      </c>
      <c r="C19" t="s">
        <v>52</v>
      </c>
      <c r="D19" t="s">
        <v>32</v>
      </c>
      <c r="E19">
        <v>0</v>
      </c>
      <c r="F19" t="s">
        <v>36</v>
      </c>
      <c r="G19" t="s">
        <v>34</v>
      </c>
    </row>
    <row r="20" spans="1:7" x14ac:dyDescent="0.25">
      <c r="A20" t="s">
        <v>29</v>
      </c>
      <c r="B20" t="s">
        <v>30</v>
      </c>
      <c r="C20" t="s">
        <v>53</v>
      </c>
      <c r="D20" t="s">
        <v>32</v>
      </c>
      <c r="E20">
        <v>0</v>
      </c>
      <c r="F20" t="s">
        <v>36</v>
      </c>
      <c r="G20" t="s">
        <v>34</v>
      </c>
    </row>
    <row r="21" spans="1:7" x14ac:dyDescent="0.25">
      <c r="A21" t="s">
        <v>29</v>
      </c>
      <c r="B21" t="s">
        <v>30</v>
      </c>
      <c r="C21" t="s">
        <v>54</v>
      </c>
      <c r="D21" t="s">
        <v>32</v>
      </c>
      <c r="E21">
        <v>0</v>
      </c>
      <c r="F21" t="s">
        <v>36</v>
      </c>
      <c r="G21" t="s">
        <v>34</v>
      </c>
    </row>
    <row r="22" spans="1:7" x14ac:dyDescent="0.25">
      <c r="A22" t="s">
        <v>29</v>
      </c>
      <c r="B22" t="s">
        <v>30</v>
      </c>
      <c r="C22" t="s">
        <v>55</v>
      </c>
      <c r="D22" t="s">
        <v>32</v>
      </c>
      <c r="E22">
        <v>0</v>
      </c>
      <c r="F22" t="s">
        <v>36</v>
      </c>
      <c r="G22" t="s">
        <v>34</v>
      </c>
    </row>
    <row r="23" spans="1:7" x14ac:dyDescent="0.25">
      <c r="A23" t="s">
        <v>29</v>
      </c>
      <c r="B23" t="s">
        <v>30</v>
      </c>
      <c r="C23" t="s">
        <v>56</v>
      </c>
      <c r="D23" t="s">
        <v>32</v>
      </c>
      <c r="E23">
        <v>0</v>
      </c>
      <c r="F23" t="s">
        <v>36</v>
      </c>
      <c r="G23" t="s">
        <v>34</v>
      </c>
    </row>
    <row r="24" spans="1:7" x14ac:dyDescent="0.25">
      <c r="A24" t="s">
        <v>29</v>
      </c>
      <c r="B24" t="s">
        <v>30</v>
      </c>
      <c r="C24" t="s">
        <v>57</v>
      </c>
      <c r="D24" t="s">
        <v>32</v>
      </c>
      <c r="E24">
        <v>0</v>
      </c>
      <c r="F24" t="s">
        <v>36</v>
      </c>
      <c r="G24" t="s">
        <v>34</v>
      </c>
    </row>
    <row r="25" spans="1:7" x14ac:dyDescent="0.25">
      <c r="A25" t="s">
        <v>29</v>
      </c>
      <c r="B25" t="s">
        <v>30</v>
      </c>
      <c r="C25" t="s">
        <v>58</v>
      </c>
      <c r="D25" t="s">
        <v>32</v>
      </c>
      <c r="E25">
        <v>0</v>
      </c>
      <c r="F25" t="s">
        <v>36</v>
      </c>
      <c r="G25" t="s">
        <v>34</v>
      </c>
    </row>
    <row r="26" spans="1:7" x14ac:dyDescent="0.25">
      <c r="A26" t="s">
        <v>29</v>
      </c>
      <c r="B26" t="s">
        <v>30</v>
      </c>
      <c r="C26" t="s">
        <v>59</v>
      </c>
      <c r="D26" t="s">
        <v>32</v>
      </c>
      <c r="E26">
        <v>0</v>
      </c>
      <c r="F26" t="s">
        <v>36</v>
      </c>
      <c r="G26" t="s">
        <v>34</v>
      </c>
    </row>
    <row r="27" spans="1:7" x14ac:dyDescent="0.25">
      <c r="A27" t="s">
        <v>29</v>
      </c>
      <c r="B27" t="s">
        <v>30</v>
      </c>
      <c r="C27" t="s">
        <v>60</v>
      </c>
      <c r="D27" t="s">
        <v>32</v>
      </c>
      <c r="E27">
        <v>0</v>
      </c>
      <c r="F27" t="s">
        <v>36</v>
      </c>
      <c r="G27" t="s">
        <v>34</v>
      </c>
    </row>
    <row r="28" spans="1:7" x14ac:dyDescent="0.25">
      <c r="A28" t="s">
        <v>29</v>
      </c>
      <c r="B28" t="s">
        <v>30</v>
      </c>
      <c r="C28" t="s">
        <v>61</v>
      </c>
      <c r="D28" t="s">
        <v>32</v>
      </c>
      <c r="E28">
        <v>0</v>
      </c>
      <c r="F28" t="s">
        <v>36</v>
      </c>
      <c r="G28" t="s">
        <v>34</v>
      </c>
    </row>
    <row r="29" spans="1:7" x14ac:dyDescent="0.25">
      <c r="A29" t="s">
        <v>29</v>
      </c>
      <c r="B29" t="s">
        <v>30</v>
      </c>
      <c r="C29" t="s">
        <v>62</v>
      </c>
      <c r="D29" t="s">
        <v>32</v>
      </c>
      <c r="E29">
        <v>0</v>
      </c>
      <c r="F29" t="s">
        <v>36</v>
      </c>
      <c r="G29" t="s">
        <v>34</v>
      </c>
    </row>
    <row r="30" spans="1:7" x14ac:dyDescent="0.25">
      <c r="A30" t="s">
        <v>29</v>
      </c>
      <c r="B30" t="s">
        <v>30</v>
      </c>
      <c r="C30" t="s">
        <v>63</v>
      </c>
      <c r="D30" t="s">
        <v>32</v>
      </c>
      <c r="E30">
        <v>0</v>
      </c>
      <c r="F30" t="s">
        <v>36</v>
      </c>
      <c r="G30" t="s">
        <v>34</v>
      </c>
    </row>
    <row r="31" spans="1:7" x14ac:dyDescent="0.25">
      <c r="A31" t="s">
        <v>29</v>
      </c>
      <c r="B31" t="s">
        <v>30</v>
      </c>
      <c r="C31" t="s">
        <v>64</v>
      </c>
      <c r="D31" t="s">
        <v>32</v>
      </c>
      <c r="E31">
        <v>0</v>
      </c>
      <c r="F31" t="s">
        <v>36</v>
      </c>
      <c r="G31" t="s">
        <v>34</v>
      </c>
    </row>
    <row r="32" spans="1:7" x14ac:dyDescent="0.25">
      <c r="A32" t="s">
        <v>29</v>
      </c>
      <c r="B32" t="s">
        <v>30</v>
      </c>
      <c r="C32" t="s">
        <v>65</v>
      </c>
      <c r="D32" t="s">
        <v>32</v>
      </c>
      <c r="E32">
        <v>0</v>
      </c>
      <c r="F32" t="s">
        <v>36</v>
      </c>
      <c r="G32" t="s">
        <v>34</v>
      </c>
    </row>
    <row r="33" spans="1:7" x14ac:dyDescent="0.25">
      <c r="A33" t="s">
        <v>29</v>
      </c>
      <c r="B33" t="s">
        <v>30</v>
      </c>
      <c r="C33" t="s">
        <v>66</v>
      </c>
      <c r="D33" t="s">
        <v>32</v>
      </c>
      <c r="E33">
        <v>0</v>
      </c>
      <c r="F33" t="s">
        <v>36</v>
      </c>
      <c r="G33" t="s">
        <v>34</v>
      </c>
    </row>
    <row r="34" spans="1:7" x14ac:dyDescent="0.25">
      <c r="A34" t="s">
        <v>29</v>
      </c>
      <c r="B34" t="s">
        <v>30</v>
      </c>
      <c r="C34" t="s">
        <v>67</v>
      </c>
      <c r="D34" t="s">
        <v>32</v>
      </c>
      <c r="E34">
        <v>0</v>
      </c>
      <c r="F34" t="s">
        <v>36</v>
      </c>
      <c r="G34" t="s">
        <v>34</v>
      </c>
    </row>
    <row r="35" spans="1:7" x14ac:dyDescent="0.25">
      <c r="A35" t="s">
        <v>29</v>
      </c>
      <c r="B35" t="s">
        <v>30</v>
      </c>
      <c r="C35" t="s">
        <v>68</v>
      </c>
      <c r="D35" t="s">
        <v>32</v>
      </c>
      <c r="E35">
        <v>0</v>
      </c>
      <c r="F35" t="s">
        <v>36</v>
      </c>
      <c r="G35" t="s">
        <v>34</v>
      </c>
    </row>
    <row r="36" spans="1:7" x14ac:dyDescent="0.25">
      <c r="A36" t="s">
        <v>29</v>
      </c>
      <c r="B36" t="s">
        <v>30</v>
      </c>
      <c r="C36" t="s">
        <v>69</v>
      </c>
      <c r="D36" t="s">
        <v>32</v>
      </c>
      <c r="E36">
        <v>0</v>
      </c>
      <c r="F36" t="s">
        <v>36</v>
      </c>
      <c r="G36" t="s">
        <v>34</v>
      </c>
    </row>
    <row r="37" spans="1:7" x14ac:dyDescent="0.25">
      <c r="A37" t="s">
        <v>29</v>
      </c>
      <c r="B37" t="s">
        <v>30</v>
      </c>
      <c r="C37" t="s">
        <v>70</v>
      </c>
      <c r="D37" t="s">
        <v>32</v>
      </c>
      <c r="E37">
        <v>0</v>
      </c>
      <c r="F37" t="s">
        <v>36</v>
      </c>
      <c r="G37" t="s">
        <v>34</v>
      </c>
    </row>
    <row r="38" spans="1:7" x14ac:dyDescent="0.25">
      <c r="A38" t="s">
        <v>29</v>
      </c>
      <c r="B38" t="s">
        <v>30</v>
      </c>
      <c r="C38" t="s">
        <v>71</v>
      </c>
      <c r="D38" t="s">
        <v>32</v>
      </c>
      <c r="E38">
        <v>0</v>
      </c>
      <c r="F38" t="s">
        <v>36</v>
      </c>
      <c r="G38" t="s">
        <v>34</v>
      </c>
    </row>
    <row r="39" spans="1:7" x14ac:dyDescent="0.25">
      <c r="A39" t="s">
        <v>29</v>
      </c>
      <c r="B39" t="s">
        <v>30</v>
      </c>
      <c r="C39" t="s">
        <v>72</v>
      </c>
      <c r="D39" t="s">
        <v>32</v>
      </c>
      <c r="E39">
        <v>0</v>
      </c>
      <c r="F39" t="s">
        <v>36</v>
      </c>
      <c r="G39" t="s">
        <v>34</v>
      </c>
    </row>
    <row r="40" spans="1:7" x14ac:dyDescent="0.25">
      <c r="A40" t="s">
        <v>29</v>
      </c>
      <c r="B40" t="s">
        <v>30</v>
      </c>
      <c r="C40" t="s">
        <v>73</v>
      </c>
      <c r="D40" t="s">
        <v>32</v>
      </c>
      <c r="E40">
        <v>0</v>
      </c>
      <c r="F40" t="s">
        <v>36</v>
      </c>
      <c r="G40" t="s">
        <v>34</v>
      </c>
    </row>
    <row r="41" spans="1:7" x14ac:dyDescent="0.25">
      <c r="A41" t="s">
        <v>29</v>
      </c>
      <c r="B41" t="s">
        <v>30</v>
      </c>
      <c r="C41" t="s">
        <v>74</v>
      </c>
      <c r="D41" t="s">
        <v>32</v>
      </c>
      <c r="E41">
        <v>0</v>
      </c>
      <c r="F41" t="s">
        <v>36</v>
      </c>
      <c r="G41" t="s">
        <v>34</v>
      </c>
    </row>
    <row r="42" spans="1:7" x14ac:dyDescent="0.25">
      <c r="A42" t="s">
        <v>29</v>
      </c>
      <c r="B42" t="s">
        <v>30</v>
      </c>
      <c r="C42" t="s">
        <v>75</v>
      </c>
      <c r="D42" t="s">
        <v>32</v>
      </c>
      <c r="E42">
        <v>0</v>
      </c>
      <c r="F42" t="s">
        <v>36</v>
      </c>
      <c r="G42" t="s">
        <v>34</v>
      </c>
    </row>
    <row r="43" spans="1:7" x14ac:dyDescent="0.25">
      <c r="A43" t="s">
        <v>29</v>
      </c>
      <c r="B43" t="s">
        <v>30</v>
      </c>
      <c r="C43" t="s">
        <v>76</v>
      </c>
      <c r="D43" t="s">
        <v>32</v>
      </c>
      <c r="E43">
        <v>0</v>
      </c>
      <c r="F43" t="s">
        <v>36</v>
      </c>
      <c r="G43" t="s">
        <v>34</v>
      </c>
    </row>
    <row r="44" spans="1:7" x14ac:dyDescent="0.25">
      <c r="A44" t="s">
        <v>29</v>
      </c>
      <c r="B44" t="s">
        <v>30</v>
      </c>
      <c r="C44" t="s">
        <v>77</v>
      </c>
      <c r="D44" t="s">
        <v>32</v>
      </c>
      <c r="E44">
        <v>0</v>
      </c>
      <c r="F44" t="s">
        <v>36</v>
      </c>
      <c r="G44" t="s">
        <v>34</v>
      </c>
    </row>
    <row r="45" spans="1:7" x14ac:dyDescent="0.25">
      <c r="A45" t="s">
        <v>29</v>
      </c>
      <c r="B45" t="s">
        <v>30</v>
      </c>
      <c r="C45" t="s">
        <v>78</v>
      </c>
      <c r="D45" t="s">
        <v>32</v>
      </c>
      <c r="E45">
        <v>0</v>
      </c>
      <c r="F45" t="s">
        <v>36</v>
      </c>
      <c r="G45" t="s">
        <v>34</v>
      </c>
    </row>
    <row r="46" spans="1:7" x14ac:dyDescent="0.25">
      <c r="A46" t="s">
        <v>29</v>
      </c>
      <c r="B46" t="s">
        <v>30</v>
      </c>
      <c r="C46" t="s">
        <v>79</v>
      </c>
      <c r="D46" t="s">
        <v>32</v>
      </c>
      <c r="E46">
        <v>0</v>
      </c>
      <c r="F46" t="s">
        <v>36</v>
      </c>
      <c r="G46" t="s">
        <v>34</v>
      </c>
    </row>
    <row r="47" spans="1:7" x14ac:dyDescent="0.25">
      <c r="A47" t="s">
        <v>29</v>
      </c>
      <c r="B47" t="s">
        <v>30</v>
      </c>
      <c r="C47" t="s">
        <v>80</v>
      </c>
      <c r="D47" t="s">
        <v>32</v>
      </c>
      <c r="E47">
        <v>0</v>
      </c>
      <c r="F47" t="s">
        <v>36</v>
      </c>
      <c r="G47" t="s">
        <v>34</v>
      </c>
    </row>
    <row r="48" spans="1:7" x14ac:dyDescent="0.25">
      <c r="A48" t="s">
        <v>29</v>
      </c>
      <c r="B48" t="s">
        <v>30</v>
      </c>
      <c r="C48" t="s">
        <v>81</v>
      </c>
      <c r="D48" t="s">
        <v>32</v>
      </c>
      <c r="E48">
        <v>0</v>
      </c>
      <c r="F48" t="s">
        <v>36</v>
      </c>
      <c r="G48" t="s">
        <v>34</v>
      </c>
    </row>
    <row r="49" spans="1:7" x14ac:dyDescent="0.25">
      <c r="A49" t="s">
        <v>29</v>
      </c>
      <c r="B49" t="s">
        <v>30</v>
      </c>
      <c r="C49" t="s">
        <v>82</v>
      </c>
      <c r="D49" t="s">
        <v>32</v>
      </c>
      <c r="E49">
        <v>0</v>
      </c>
      <c r="F49" t="s">
        <v>36</v>
      </c>
      <c r="G49" t="s">
        <v>34</v>
      </c>
    </row>
    <row r="50" spans="1:7" x14ac:dyDescent="0.25">
      <c r="A50" t="s">
        <v>29</v>
      </c>
      <c r="B50" t="s">
        <v>30</v>
      </c>
      <c r="C50" t="s">
        <v>83</v>
      </c>
      <c r="D50" t="s">
        <v>32</v>
      </c>
      <c r="E50">
        <v>0</v>
      </c>
      <c r="F50" t="s">
        <v>36</v>
      </c>
      <c r="G50" t="s">
        <v>34</v>
      </c>
    </row>
    <row r="51" spans="1:7" x14ac:dyDescent="0.25">
      <c r="A51" t="s">
        <v>29</v>
      </c>
      <c r="B51" t="s">
        <v>30</v>
      </c>
      <c r="C51" t="s">
        <v>84</v>
      </c>
      <c r="D51" t="s">
        <v>32</v>
      </c>
      <c r="E51">
        <v>0</v>
      </c>
      <c r="F51" t="s">
        <v>36</v>
      </c>
      <c r="G51" t="s">
        <v>34</v>
      </c>
    </row>
    <row r="52" spans="1:7" x14ac:dyDescent="0.25">
      <c r="A52" t="s">
        <v>29</v>
      </c>
      <c r="B52" t="s">
        <v>30</v>
      </c>
      <c r="C52" t="s">
        <v>85</v>
      </c>
      <c r="D52" t="s">
        <v>32</v>
      </c>
      <c r="E52">
        <v>0</v>
      </c>
      <c r="F52" t="s">
        <v>36</v>
      </c>
      <c r="G52" t="s">
        <v>34</v>
      </c>
    </row>
    <row r="53" spans="1:7" x14ac:dyDescent="0.25">
      <c r="A53" t="s">
        <v>29</v>
      </c>
      <c r="B53" t="s">
        <v>30</v>
      </c>
      <c r="C53" t="s">
        <v>86</v>
      </c>
      <c r="D53" t="s">
        <v>32</v>
      </c>
      <c r="E53">
        <v>0</v>
      </c>
      <c r="F53" t="s">
        <v>36</v>
      </c>
      <c r="G53" t="s">
        <v>34</v>
      </c>
    </row>
    <row r="54" spans="1:7" x14ac:dyDescent="0.25">
      <c r="A54" t="s">
        <v>29</v>
      </c>
      <c r="B54" t="s">
        <v>30</v>
      </c>
      <c r="C54" t="s">
        <v>87</v>
      </c>
      <c r="D54" t="s">
        <v>32</v>
      </c>
      <c r="E54">
        <v>0</v>
      </c>
      <c r="F54" t="s">
        <v>36</v>
      </c>
      <c r="G54" t="s">
        <v>34</v>
      </c>
    </row>
    <row r="55" spans="1:7" x14ac:dyDescent="0.25">
      <c r="A55" t="s">
        <v>29</v>
      </c>
      <c r="B55" t="s">
        <v>30</v>
      </c>
      <c r="C55" t="s">
        <v>88</v>
      </c>
      <c r="D55" t="s">
        <v>32</v>
      </c>
      <c r="E55">
        <v>0</v>
      </c>
      <c r="F55" t="s">
        <v>36</v>
      </c>
      <c r="G55" t="s">
        <v>34</v>
      </c>
    </row>
    <row r="56" spans="1:7" x14ac:dyDescent="0.25">
      <c r="A56" t="s">
        <v>29</v>
      </c>
      <c r="B56" t="s">
        <v>30</v>
      </c>
      <c r="C56" t="s">
        <v>89</v>
      </c>
      <c r="D56" t="s">
        <v>32</v>
      </c>
      <c r="E56">
        <v>0</v>
      </c>
      <c r="F56" t="s">
        <v>36</v>
      </c>
      <c r="G56" t="s">
        <v>34</v>
      </c>
    </row>
    <row r="57" spans="1:7" x14ac:dyDescent="0.25">
      <c r="A57" t="s">
        <v>29</v>
      </c>
      <c r="B57" t="s">
        <v>30</v>
      </c>
      <c r="C57" t="s">
        <v>90</v>
      </c>
      <c r="D57" t="s">
        <v>32</v>
      </c>
      <c r="E57">
        <v>0</v>
      </c>
      <c r="F57" t="s">
        <v>36</v>
      </c>
      <c r="G57" t="s">
        <v>34</v>
      </c>
    </row>
    <row r="58" spans="1:7" x14ac:dyDescent="0.25">
      <c r="A58" t="s">
        <v>29</v>
      </c>
      <c r="B58" t="s">
        <v>30</v>
      </c>
      <c r="C58" t="s">
        <v>91</v>
      </c>
      <c r="D58" t="s">
        <v>32</v>
      </c>
      <c r="E58">
        <v>0</v>
      </c>
      <c r="F58" t="s">
        <v>36</v>
      </c>
      <c r="G58" t="s">
        <v>34</v>
      </c>
    </row>
    <row r="59" spans="1:7" x14ac:dyDescent="0.25">
      <c r="A59" t="s">
        <v>29</v>
      </c>
      <c r="B59" t="s">
        <v>30</v>
      </c>
      <c r="C59" t="s">
        <v>92</v>
      </c>
      <c r="D59" t="s">
        <v>32</v>
      </c>
      <c r="E59">
        <v>0</v>
      </c>
      <c r="F59" t="s">
        <v>36</v>
      </c>
      <c r="G59" t="s">
        <v>34</v>
      </c>
    </row>
    <row r="60" spans="1:7" x14ac:dyDescent="0.25">
      <c r="A60" t="s">
        <v>29</v>
      </c>
      <c r="B60" t="s">
        <v>30</v>
      </c>
      <c r="C60" t="s">
        <v>93</v>
      </c>
      <c r="D60" t="s">
        <v>32</v>
      </c>
      <c r="E60">
        <v>0</v>
      </c>
      <c r="F60" t="s">
        <v>36</v>
      </c>
      <c r="G60" t="s">
        <v>34</v>
      </c>
    </row>
    <row r="61" spans="1:7" x14ac:dyDescent="0.25">
      <c r="A61" t="s">
        <v>29</v>
      </c>
      <c r="B61" t="s">
        <v>30</v>
      </c>
      <c r="C61" t="s">
        <v>94</v>
      </c>
      <c r="D61" t="s">
        <v>32</v>
      </c>
      <c r="E61">
        <v>0</v>
      </c>
      <c r="F61" t="s">
        <v>36</v>
      </c>
      <c r="G61" t="s">
        <v>34</v>
      </c>
    </row>
    <row r="62" spans="1:7" x14ac:dyDescent="0.25">
      <c r="A62" t="s">
        <v>29</v>
      </c>
      <c r="B62" t="s">
        <v>30</v>
      </c>
      <c r="C62" t="s">
        <v>95</v>
      </c>
      <c r="D62" t="s">
        <v>32</v>
      </c>
      <c r="E62">
        <v>0</v>
      </c>
      <c r="F62" t="s">
        <v>96</v>
      </c>
      <c r="G62" t="s">
        <v>34</v>
      </c>
    </row>
    <row r="63" spans="1:7" x14ac:dyDescent="0.25">
      <c r="A63" t="s">
        <v>29</v>
      </c>
      <c r="B63" t="s">
        <v>30</v>
      </c>
      <c r="C63" t="s">
        <v>31</v>
      </c>
      <c r="D63" t="s">
        <v>32</v>
      </c>
      <c r="E63">
        <v>0</v>
      </c>
      <c r="F63" t="s">
        <v>97</v>
      </c>
      <c r="G63" t="s">
        <v>34</v>
      </c>
    </row>
    <row r="64" spans="1:7" x14ac:dyDescent="0.25">
      <c r="A64" t="s">
        <v>29</v>
      </c>
      <c r="B64" t="s">
        <v>30</v>
      </c>
      <c r="C64" t="s">
        <v>98</v>
      </c>
      <c r="D64" t="s">
        <v>32</v>
      </c>
      <c r="E64">
        <v>0</v>
      </c>
      <c r="F64" t="s">
        <v>97</v>
      </c>
      <c r="G64" t="s">
        <v>34</v>
      </c>
    </row>
    <row r="65" spans="1:7" x14ac:dyDescent="0.25">
      <c r="A65" t="s">
        <v>29</v>
      </c>
      <c r="B65" t="s">
        <v>30</v>
      </c>
      <c r="C65" t="s">
        <v>99</v>
      </c>
      <c r="D65" t="s">
        <v>32</v>
      </c>
      <c r="E65">
        <v>0</v>
      </c>
      <c r="F65" t="s">
        <v>97</v>
      </c>
      <c r="G65" t="s">
        <v>34</v>
      </c>
    </row>
    <row r="66" spans="1:7" x14ac:dyDescent="0.25">
      <c r="A66" t="s">
        <v>29</v>
      </c>
      <c r="B66" t="s">
        <v>30</v>
      </c>
      <c r="C66" t="s">
        <v>100</v>
      </c>
      <c r="D66" t="s">
        <v>32</v>
      </c>
      <c r="E66">
        <v>0</v>
      </c>
      <c r="F66" t="s">
        <v>97</v>
      </c>
      <c r="G66" t="s">
        <v>34</v>
      </c>
    </row>
    <row r="67" spans="1:7" x14ac:dyDescent="0.25">
      <c r="A67" t="s">
        <v>29</v>
      </c>
      <c r="B67" t="s">
        <v>30</v>
      </c>
      <c r="C67" t="s">
        <v>101</v>
      </c>
      <c r="D67" t="s">
        <v>32</v>
      </c>
      <c r="E67">
        <v>0</v>
      </c>
      <c r="F67" t="s">
        <v>97</v>
      </c>
      <c r="G67" t="s">
        <v>34</v>
      </c>
    </row>
    <row r="68" spans="1:7" x14ac:dyDescent="0.25">
      <c r="A68" t="s">
        <v>29</v>
      </c>
      <c r="B68" t="s">
        <v>30</v>
      </c>
      <c r="C68" t="s">
        <v>102</v>
      </c>
      <c r="D68" t="s">
        <v>32</v>
      </c>
      <c r="E68">
        <v>0</v>
      </c>
      <c r="F68" t="s">
        <v>97</v>
      </c>
      <c r="G68" t="s">
        <v>34</v>
      </c>
    </row>
    <row r="69" spans="1:7" x14ac:dyDescent="0.25">
      <c r="A69" t="s">
        <v>29</v>
      </c>
      <c r="B69" t="s">
        <v>30</v>
      </c>
      <c r="C69" t="s">
        <v>103</v>
      </c>
      <c r="D69" t="s">
        <v>32</v>
      </c>
      <c r="E69">
        <v>0</v>
      </c>
      <c r="F69" t="s">
        <v>97</v>
      </c>
      <c r="G69" t="s">
        <v>34</v>
      </c>
    </row>
    <row r="70" spans="1:7" x14ac:dyDescent="0.25">
      <c r="A70" t="s">
        <v>29</v>
      </c>
      <c r="B70" t="s">
        <v>30</v>
      </c>
      <c r="C70" t="s">
        <v>104</v>
      </c>
      <c r="D70" t="s">
        <v>32</v>
      </c>
      <c r="E70">
        <v>0</v>
      </c>
      <c r="F70" t="s">
        <v>97</v>
      </c>
      <c r="G70" t="s">
        <v>34</v>
      </c>
    </row>
    <row r="71" spans="1:7" x14ac:dyDescent="0.25">
      <c r="A71" t="s">
        <v>29</v>
      </c>
      <c r="B71" t="s">
        <v>30</v>
      </c>
      <c r="C71" t="s">
        <v>105</v>
      </c>
      <c r="D71" t="s">
        <v>32</v>
      </c>
      <c r="E71">
        <v>0</v>
      </c>
      <c r="F71" t="s">
        <v>97</v>
      </c>
      <c r="G71" t="s">
        <v>34</v>
      </c>
    </row>
    <row r="72" spans="1:7" x14ac:dyDescent="0.25">
      <c r="A72" t="s">
        <v>29</v>
      </c>
      <c r="B72" t="s">
        <v>30</v>
      </c>
      <c r="C72" t="s">
        <v>106</v>
      </c>
      <c r="D72" t="s">
        <v>32</v>
      </c>
      <c r="E72">
        <v>0</v>
      </c>
      <c r="F72" t="s">
        <v>97</v>
      </c>
      <c r="G72" t="s">
        <v>34</v>
      </c>
    </row>
    <row r="73" spans="1:7" x14ac:dyDescent="0.25">
      <c r="A73" t="s">
        <v>29</v>
      </c>
      <c r="B73" t="s">
        <v>30</v>
      </c>
      <c r="C73" t="s">
        <v>107</v>
      </c>
      <c r="D73" t="s">
        <v>32</v>
      </c>
      <c r="E73">
        <v>0</v>
      </c>
      <c r="F73" t="s">
        <v>97</v>
      </c>
      <c r="G73" t="s">
        <v>34</v>
      </c>
    </row>
    <row r="74" spans="1:7" x14ac:dyDescent="0.25">
      <c r="A74" t="s">
        <v>29</v>
      </c>
      <c r="B74" t="s">
        <v>30</v>
      </c>
      <c r="C74" t="s">
        <v>108</v>
      </c>
      <c r="D74" t="s">
        <v>32</v>
      </c>
      <c r="E74">
        <v>0</v>
      </c>
      <c r="F74" t="s">
        <v>97</v>
      </c>
      <c r="G74" t="s">
        <v>34</v>
      </c>
    </row>
    <row r="75" spans="1:7" x14ac:dyDescent="0.25">
      <c r="A75" t="s">
        <v>29</v>
      </c>
      <c r="B75" t="s">
        <v>30</v>
      </c>
      <c r="C75" t="s">
        <v>109</v>
      </c>
      <c r="D75" t="s">
        <v>32</v>
      </c>
      <c r="E75">
        <v>0</v>
      </c>
      <c r="F75" t="s">
        <v>97</v>
      </c>
      <c r="G75" t="s">
        <v>34</v>
      </c>
    </row>
    <row r="76" spans="1:7" x14ac:dyDescent="0.25">
      <c r="A76" t="s">
        <v>29</v>
      </c>
      <c r="B76" t="s">
        <v>30</v>
      </c>
      <c r="C76" t="s">
        <v>110</v>
      </c>
      <c r="D76" t="s">
        <v>32</v>
      </c>
      <c r="E76">
        <v>0</v>
      </c>
      <c r="F76" t="s">
        <v>97</v>
      </c>
      <c r="G76" t="s">
        <v>34</v>
      </c>
    </row>
    <row r="77" spans="1:7" x14ac:dyDescent="0.25">
      <c r="A77" t="s">
        <v>29</v>
      </c>
      <c r="B77" t="s">
        <v>30</v>
      </c>
      <c r="C77" t="s">
        <v>111</v>
      </c>
      <c r="D77" t="s">
        <v>32</v>
      </c>
      <c r="E77">
        <v>0</v>
      </c>
      <c r="F77" t="s">
        <v>97</v>
      </c>
      <c r="G77" t="s">
        <v>34</v>
      </c>
    </row>
    <row r="78" spans="1:7" x14ac:dyDescent="0.25">
      <c r="A78" t="s">
        <v>29</v>
      </c>
      <c r="B78" t="s">
        <v>30</v>
      </c>
      <c r="C78" t="s">
        <v>112</v>
      </c>
      <c r="D78" t="s">
        <v>32</v>
      </c>
      <c r="E78">
        <v>0</v>
      </c>
      <c r="F78" t="s">
        <v>97</v>
      </c>
      <c r="G78" t="s">
        <v>34</v>
      </c>
    </row>
    <row r="79" spans="1:7" x14ac:dyDescent="0.25">
      <c r="A79" t="s">
        <v>29</v>
      </c>
      <c r="B79" t="s">
        <v>30</v>
      </c>
      <c r="C79" t="s">
        <v>113</v>
      </c>
      <c r="D79" t="s">
        <v>32</v>
      </c>
      <c r="E79">
        <v>0</v>
      </c>
      <c r="F79" t="s">
        <v>97</v>
      </c>
      <c r="G79" t="s">
        <v>34</v>
      </c>
    </row>
    <row r="80" spans="1:7" x14ac:dyDescent="0.25">
      <c r="A80" t="s">
        <v>29</v>
      </c>
      <c r="B80" t="s">
        <v>30</v>
      </c>
      <c r="C80" t="s">
        <v>114</v>
      </c>
      <c r="D80" t="s">
        <v>32</v>
      </c>
      <c r="E80">
        <v>0</v>
      </c>
      <c r="F80" t="s">
        <v>97</v>
      </c>
      <c r="G80" t="s">
        <v>34</v>
      </c>
    </row>
    <row r="81" spans="1:7" x14ac:dyDescent="0.25">
      <c r="A81" t="s">
        <v>29</v>
      </c>
      <c r="B81" t="s">
        <v>30</v>
      </c>
      <c r="C81" t="s">
        <v>115</v>
      </c>
      <c r="D81" t="s">
        <v>32</v>
      </c>
      <c r="E81">
        <v>0</v>
      </c>
      <c r="F81" t="s">
        <v>97</v>
      </c>
      <c r="G81" t="s">
        <v>34</v>
      </c>
    </row>
    <row r="82" spans="1:7" x14ac:dyDescent="0.25">
      <c r="A82" t="s">
        <v>29</v>
      </c>
      <c r="B82" t="s">
        <v>30</v>
      </c>
      <c r="C82" t="s">
        <v>116</v>
      </c>
      <c r="D82" t="s">
        <v>32</v>
      </c>
      <c r="E82">
        <v>0</v>
      </c>
      <c r="F82" t="s">
        <v>97</v>
      </c>
      <c r="G82" t="s">
        <v>34</v>
      </c>
    </row>
    <row r="83" spans="1:7" x14ac:dyDescent="0.25">
      <c r="A83" t="s">
        <v>29</v>
      </c>
      <c r="B83" t="s">
        <v>30</v>
      </c>
      <c r="C83" t="s">
        <v>117</v>
      </c>
      <c r="D83" t="s">
        <v>32</v>
      </c>
      <c r="E83">
        <v>0</v>
      </c>
      <c r="F83" t="s">
        <v>97</v>
      </c>
      <c r="G83" t="s">
        <v>34</v>
      </c>
    </row>
    <row r="84" spans="1:7" x14ac:dyDescent="0.25">
      <c r="A84" t="s">
        <v>29</v>
      </c>
      <c r="B84" t="s">
        <v>30</v>
      </c>
      <c r="C84" t="s">
        <v>118</v>
      </c>
      <c r="D84" t="s">
        <v>32</v>
      </c>
      <c r="E84">
        <v>0</v>
      </c>
      <c r="F84" t="s">
        <v>97</v>
      </c>
      <c r="G84" t="s">
        <v>34</v>
      </c>
    </row>
    <row r="85" spans="1:7" x14ac:dyDescent="0.25">
      <c r="A85" t="s">
        <v>29</v>
      </c>
      <c r="B85" t="s">
        <v>30</v>
      </c>
      <c r="C85" t="s">
        <v>119</v>
      </c>
      <c r="D85" t="s">
        <v>32</v>
      </c>
      <c r="E85">
        <v>0</v>
      </c>
      <c r="F85" t="s">
        <v>97</v>
      </c>
      <c r="G85" t="s">
        <v>34</v>
      </c>
    </row>
    <row r="86" spans="1:7" x14ac:dyDescent="0.25">
      <c r="A86" t="s">
        <v>29</v>
      </c>
      <c r="B86" t="s">
        <v>30</v>
      </c>
      <c r="C86" t="s">
        <v>120</v>
      </c>
      <c r="D86" t="s">
        <v>32</v>
      </c>
      <c r="E86">
        <v>0</v>
      </c>
      <c r="F86" t="s">
        <v>97</v>
      </c>
      <c r="G86" t="s">
        <v>34</v>
      </c>
    </row>
    <row r="87" spans="1:7" x14ac:dyDescent="0.25">
      <c r="A87" t="s">
        <v>29</v>
      </c>
      <c r="B87" t="s">
        <v>30</v>
      </c>
      <c r="C87" t="s">
        <v>121</v>
      </c>
      <c r="D87" t="s">
        <v>32</v>
      </c>
      <c r="E87">
        <v>0</v>
      </c>
      <c r="F87" t="s">
        <v>97</v>
      </c>
      <c r="G87" t="s">
        <v>34</v>
      </c>
    </row>
    <row r="88" spans="1:7" x14ac:dyDescent="0.25">
      <c r="A88" t="s">
        <v>29</v>
      </c>
      <c r="B88" t="s">
        <v>30</v>
      </c>
      <c r="C88" t="s">
        <v>122</v>
      </c>
      <c r="D88" t="s">
        <v>32</v>
      </c>
      <c r="E88">
        <v>0</v>
      </c>
      <c r="F88" t="s">
        <v>97</v>
      </c>
      <c r="G88" t="s">
        <v>34</v>
      </c>
    </row>
    <row r="89" spans="1:7" x14ac:dyDescent="0.25">
      <c r="A89" t="s">
        <v>29</v>
      </c>
      <c r="B89" t="s">
        <v>30</v>
      </c>
      <c r="C89" t="s">
        <v>123</v>
      </c>
      <c r="D89" t="s">
        <v>32</v>
      </c>
      <c r="E89">
        <v>0</v>
      </c>
      <c r="F89" t="s">
        <v>97</v>
      </c>
      <c r="G89" t="s">
        <v>34</v>
      </c>
    </row>
    <row r="90" spans="1:7" x14ac:dyDescent="0.25">
      <c r="A90" t="s">
        <v>29</v>
      </c>
      <c r="B90" t="s">
        <v>30</v>
      </c>
      <c r="C90" t="s">
        <v>124</v>
      </c>
      <c r="D90" t="s">
        <v>32</v>
      </c>
      <c r="E90">
        <v>0</v>
      </c>
      <c r="F90" t="s">
        <v>97</v>
      </c>
      <c r="G90" t="s">
        <v>34</v>
      </c>
    </row>
    <row r="91" spans="1:7" x14ac:dyDescent="0.25">
      <c r="A91" t="s">
        <v>29</v>
      </c>
      <c r="B91" t="s">
        <v>30</v>
      </c>
      <c r="C91" t="s">
        <v>125</v>
      </c>
      <c r="D91" t="s">
        <v>32</v>
      </c>
      <c r="E91">
        <v>0</v>
      </c>
      <c r="F91" t="s">
        <v>97</v>
      </c>
      <c r="G91" t="s">
        <v>34</v>
      </c>
    </row>
    <row r="92" spans="1:7" x14ac:dyDescent="0.25">
      <c r="A92" t="s">
        <v>29</v>
      </c>
      <c r="B92" t="s">
        <v>30</v>
      </c>
      <c r="C92" t="s">
        <v>126</v>
      </c>
      <c r="D92" t="s">
        <v>32</v>
      </c>
      <c r="E92">
        <v>0</v>
      </c>
      <c r="F92" t="s">
        <v>97</v>
      </c>
      <c r="G92" t="s">
        <v>34</v>
      </c>
    </row>
    <row r="93" spans="1:7" x14ac:dyDescent="0.25">
      <c r="A93" t="s">
        <v>29</v>
      </c>
      <c r="B93" t="s">
        <v>30</v>
      </c>
      <c r="C93" t="s">
        <v>127</v>
      </c>
      <c r="D93" t="s">
        <v>32</v>
      </c>
      <c r="E93">
        <v>0</v>
      </c>
      <c r="F93" t="s">
        <v>97</v>
      </c>
      <c r="G93" t="s">
        <v>34</v>
      </c>
    </row>
    <row r="94" spans="1:7" x14ac:dyDescent="0.25">
      <c r="A94" t="s">
        <v>29</v>
      </c>
      <c r="B94" t="s">
        <v>30</v>
      </c>
      <c r="C94" t="s">
        <v>128</v>
      </c>
      <c r="D94" t="s">
        <v>32</v>
      </c>
      <c r="E94">
        <v>0</v>
      </c>
      <c r="F94" t="s">
        <v>97</v>
      </c>
      <c r="G94" t="s">
        <v>34</v>
      </c>
    </row>
    <row r="95" spans="1:7" x14ac:dyDescent="0.25">
      <c r="A95" t="s">
        <v>29</v>
      </c>
      <c r="B95" t="s">
        <v>30</v>
      </c>
      <c r="C95" t="s">
        <v>129</v>
      </c>
      <c r="D95" t="s">
        <v>32</v>
      </c>
      <c r="E95">
        <v>0</v>
      </c>
      <c r="F95" t="s">
        <v>97</v>
      </c>
      <c r="G95" t="s">
        <v>34</v>
      </c>
    </row>
    <row r="96" spans="1:7" x14ac:dyDescent="0.25">
      <c r="A96" t="s">
        <v>29</v>
      </c>
      <c r="B96" t="s">
        <v>30</v>
      </c>
      <c r="C96" t="s">
        <v>130</v>
      </c>
      <c r="D96" t="s">
        <v>32</v>
      </c>
      <c r="E96">
        <v>0</v>
      </c>
      <c r="F96" t="s">
        <v>97</v>
      </c>
      <c r="G96" t="s">
        <v>34</v>
      </c>
    </row>
    <row r="97" spans="1:7" x14ac:dyDescent="0.25">
      <c r="A97" t="s">
        <v>29</v>
      </c>
      <c r="B97" t="s">
        <v>30</v>
      </c>
      <c r="C97" t="s">
        <v>131</v>
      </c>
      <c r="D97" t="s">
        <v>32</v>
      </c>
      <c r="E97">
        <v>0</v>
      </c>
      <c r="F97" t="s">
        <v>97</v>
      </c>
      <c r="G97" t="s">
        <v>34</v>
      </c>
    </row>
    <row r="98" spans="1:7" x14ac:dyDescent="0.25">
      <c r="A98" t="s">
        <v>29</v>
      </c>
      <c r="B98" t="s">
        <v>30</v>
      </c>
      <c r="C98" t="s">
        <v>132</v>
      </c>
      <c r="D98" t="s">
        <v>32</v>
      </c>
      <c r="E98">
        <v>0</v>
      </c>
      <c r="F98" t="s">
        <v>97</v>
      </c>
      <c r="G98" t="s">
        <v>34</v>
      </c>
    </row>
    <row r="99" spans="1:7" x14ac:dyDescent="0.25">
      <c r="A99" t="s">
        <v>29</v>
      </c>
      <c r="B99" t="s">
        <v>30</v>
      </c>
      <c r="C99" t="s">
        <v>133</v>
      </c>
      <c r="D99" t="s">
        <v>32</v>
      </c>
      <c r="E99">
        <v>0</v>
      </c>
      <c r="F99" t="s">
        <v>97</v>
      </c>
      <c r="G99" t="s">
        <v>34</v>
      </c>
    </row>
    <row r="100" spans="1:7" x14ac:dyDescent="0.25">
      <c r="A100" t="s">
        <v>29</v>
      </c>
      <c r="B100" t="s">
        <v>30</v>
      </c>
      <c r="C100" t="s">
        <v>134</v>
      </c>
      <c r="D100" t="s">
        <v>32</v>
      </c>
      <c r="E100">
        <v>0</v>
      </c>
      <c r="F100" t="s">
        <v>97</v>
      </c>
      <c r="G100" t="s">
        <v>34</v>
      </c>
    </row>
    <row r="101" spans="1:7" x14ac:dyDescent="0.25">
      <c r="A101" t="s">
        <v>29</v>
      </c>
      <c r="B101" t="s">
        <v>30</v>
      </c>
      <c r="C101" t="s">
        <v>135</v>
      </c>
      <c r="D101" t="s">
        <v>32</v>
      </c>
      <c r="E101">
        <v>0</v>
      </c>
      <c r="F101" t="s">
        <v>97</v>
      </c>
      <c r="G101" t="s">
        <v>34</v>
      </c>
    </row>
    <row r="102" spans="1:7" x14ac:dyDescent="0.25">
      <c r="A102" t="s">
        <v>29</v>
      </c>
      <c r="B102" t="s">
        <v>30</v>
      </c>
      <c r="C102" t="s">
        <v>136</v>
      </c>
      <c r="D102" t="s">
        <v>32</v>
      </c>
      <c r="E102">
        <v>0</v>
      </c>
      <c r="F102" t="s">
        <v>97</v>
      </c>
      <c r="G102" t="s">
        <v>34</v>
      </c>
    </row>
    <row r="103" spans="1:7" x14ac:dyDescent="0.25">
      <c r="A103" t="s">
        <v>29</v>
      </c>
      <c r="B103" t="s">
        <v>30</v>
      </c>
      <c r="C103" t="s">
        <v>137</v>
      </c>
      <c r="D103" t="s">
        <v>32</v>
      </c>
      <c r="E103">
        <v>0</v>
      </c>
      <c r="F103" t="s">
        <v>97</v>
      </c>
      <c r="G103" t="s">
        <v>34</v>
      </c>
    </row>
    <row r="104" spans="1:7" x14ac:dyDescent="0.25">
      <c r="A104" t="s">
        <v>29</v>
      </c>
      <c r="B104" t="s">
        <v>30</v>
      </c>
      <c r="C104" t="s">
        <v>138</v>
      </c>
      <c r="D104" t="s">
        <v>32</v>
      </c>
      <c r="E104">
        <v>0</v>
      </c>
      <c r="F104" t="s">
        <v>97</v>
      </c>
      <c r="G104" t="s">
        <v>34</v>
      </c>
    </row>
    <row r="105" spans="1:7" x14ac:dyDescent="0.25">
      <c r="A105" t="s">
        <v>29</v>
      </c>
      <c r="B105" t="s">
        <v>30</v>
      </c>
      <c r="C105" t="s">
        <v>139</v>
      </c>
      <c r="D105" t="s">
        <v>32</v>
      </c>
      <c r="E105">
        <v>0</v>
      </c>
      <c r="F105" t="s">
        <v>97</v>
      </c>
      <c r="G105" t="s">
        <v>34</v>
      </c>
    </row>
    <row r="106" spans="1:7" x14ac:dyDescent="0.25">
      <c r="A106" t="s">
        <v>29</v>
      </c>
      <c r="B106" t="s">
        <v>30</v>
      </c>
      <c r="C106" t="s">
        <v>140</v>
      </c>
      <c r="D106" t="s">
        <v>32</v>
      </c>
      <c r="E106">
        <v>0</v>
      </c>
      <c r="F106" t="s">
        <v>97</v>
      </c>
      <c r="G106" t="s">
        <v>34</v>
      </c>
    </row>
    <row r="107" spans="1:7" x14ac:dyDescent="0.25">
      <c r="A107" t="s">
        <v>29</v>
      </c>
      <c r="B107" t="s">
        <v>30</v>
      </c>
      <c r="C107" t="s">
        <v>141</v>
      </c>
      <c r="D107" t="s">
        <v>32</v>
      </c>
      <c r="E107">
        <v>0</v>
      </c>
      <c r="F107" t="s">
        <v>97</v>
      </c>
      <c r="G107" t="s">
        <v>34</v>
      </c>
    </row>
    <row r="108" spans="1:7" x14ac:dyDescent="0.25">
      <c r="A108" t="s">
        <v>29</v>
      </c>
      <c r="B108" t="s">
        <v>30</v>
      </c>
      <c r="C108" t="s">
        <v>142</v>
      </c>
      <c r="D108" t="s">
        <v>32</v>
      </c>
      <c r="E108">
        <v>0</v>
      </c>
      <c r="F108" t="s">
        <v>97</v>
      </c>
      <c r="G108" t="s">
        <v>34</v>
      </c>
    </row>
    <row r="109" spans="1:7" x14ac:dyDescent="0.25">
      <c r="A109" t="s">
        <v>29</v>
      </c>
      <c r="B109" t="s">
        <v>30</v>
      </c>
      <c r="C109" t="s">
        <v>143</v>
      </c>
      <c r="D109" t="s">
        <v>32</v>
      </c>
      <c r="E109">
        <v>0</v>
      </c>
      <c r="F109" t="s">
        <v>97</v>
      </c>
      <c r="G109" t="s">
        <v>34</v>
      </c>
    </row>
    <row r="110" spans="1:7" x14ac:dyDescent="0.25">
      <c r="A110" t="s">
        <v>29</v>
      </c>
      <c r="B110" t="s">
        <v>30</v>
      </c>
      <c r="C110" t="s">
        <v>144</v>
      </c>
      <c r="D110" t="s">
        <v>32</v>
      </c>
      <c r="E110">
        <v>0</v>
      </c>
      <c r="F110" t="s">
        <v>97</v>
      </c>
      <c r="G110" t="s">
        <v>34</v>
      </c>
    </row>
    <row r="111" spans="1:7" x14ac:dyDescent="0.25">
      <c r="A111" t="s">
        <v>29</v>
      </c>
      <c r="B111" t="s">
        <v>30</v>
      </c>
      <c r="C111" t="s">
        <v>145</v>
      </c>
      <c r="D111" t="s">
        <v>32</v>
      </c>
      <c r="E111">
        <v>0</v>
      </c>
      <c r="F111" t="s">
        <v>97</v>
      </c>
      <c r="G111" t="s">
        <v>34</v>
      </c>
    </row>
    <row r="112" spans="1:7" x14ac:dyDescent="0.25">
      <c r="A112" t="s">
        <v>29</v>
      </c>
      <c r="B112" t="s">
        <v>30</v>
      </c>
      <c r="C112" t="s">
        <v>146</v>
      </c>
      <c r="D112" t="s">
        <v>32</v>
      </c>
      <c r="E112">
        <v>0</v>
      </c>
      <c r="F112" t="s">
        <v>97</v>
      </c>
      <c r="G112" t="s">
        <v>34</v>
      </c>
    </row>
    <row r="113" spans="1:7" x14ac:dyDescent="0.25">
      <c r="A113" t="s">
        <v>29</v>
      </c>
      <c r="B113" t="s">
        <v>30</v>
      </c>
      <c r="C113" t="s">
        <v>147</v>
      </c>
      <c r="D113" t="s">
        <v>32</v>
      </c>
      <c r="E113">
        <v>0</v>
      </c>
      <c r="F113" t="s">
        <v>97</v>
      </c>
      <c r="G113" t="s">
        <v>34</v>
      </c>
    </row>
    <row r="114" spans="1:7" x14ac:dyDescent="0.25">
      <c r="A114" t="s">
        <v>29</v>
      </c>
      <c r="B114" t="s">
        <v>30</v>
      </c>
      <c r="C114" t="s">
        <v>148</v>
      </c>
      <c r="D114" t="s">
        <v>32</v>
      </c>
      <c r="E114">
        <v>0</v>
      </c>
      <c r="F114" t="s">
        <v>97</v>
      </c>
      <c r="G114" t="s">
        <v>34</v>
      </c>
    </row>
    <row r="115" spans="1:7" x14ac:dyDescent="0.25">
      <c r="A115" t="s">
        <v>29</v>
      </c>
      <c r="B115" t="s">
        <v>30</v>
      </c>
      <c r="C115" t="s">
        <v>149</v>
      </c>
      <c r="D115" t="s">
        <v>32</v>
      </c>
      <c r="E115">
        <v>0</v>
      </c>
      <c r="F115" t="s">
        <v>97</v>
      </c>
      <c r="G115" t="s">
        <v>34</v>
      </c>
    </row>
    <row r="116" spans="1:7" x14ac:dyDescent="0.25">
      <c r="A116" t="s">
        <v>29</v>
      </c>
      <c r="B116" t="s">
        <v>30</v>
      </c>
      <c r="C116" t="s">
        <v>150</v>
      </c>
      <c r="D116" t="s">
        <v>32</v>
      </c>
      <c r="E116">
        <v>0</v>
      </c>
      <c r="F116" t="s">
        <v>97</v>
      </c>
      <c r="G116" t="s">
        <v>34</v>
      </c>
    </row>
    <row r="117" spans="1:7" x14ac:dyDescent="0.25">
      <c r="A117" t="s">
        <v>29</v>
      </c>
      <c r="B117" t="s">
        <v>30</v>
      </c>
      <c r="C117" t="s">
        <v>151</v>
      </c>
      <c r="D117" t="s">
        <v>32</v>
      </c>
      <c r="E117">
        <v>0</v>
      </c>
      <c r="F117" t="s">
        <v>97</v>
      </c>
      <c r="G117" t="s">
        <v>34</v>
      </c>
    </row>
    <row r="118" spans="1:7" x14ac:dyDescent="0.25">
      <c r="A118" t="s">
        <v>29</v>
      </c>
      <c r="B118" t="s">
        <v>30</v>
      </c>
      <c r="C118" t="s">
        <v>152</v>
      </c>
      <c r="D118" t="s">
        <v>32</v>
      </c>
      <c r="E118">
        <v>0</v>
      </c>
      <c r="F118" t="s">
        <v>97</v>
      </c>
      <c r="G118" t="s">
        <v>34</v>
      </c>
    </row>
    <row r="119" spans="1:7" x14ac:dyDescent="0.25">
      <c r="A119" t="s">
        <v>29</v>
      </c>
      <c r="B119" t="s">
        <v>30</v>
      </c>
      <c r="C119" t="s">
        <v>153</v>
      </c>
      <c r="D119" t="s">
        <v>32</v>
      </c>
      <c r="E119">
        <v>0</v>
      </c>
      <c r="F119" t="s">
        <v>97</v>
      </c>
      <c r="G119" t="s">
        <v>34</v>
      </c>
    </row>
    <row r="120" spans="1:7" x14ac:dyDescent="0.25">
      <c r="A120" t="s">
        <v>29</v>
      </c>
      <c r="B120" t="s">
        <v>30</v>
      </c>
      <c r="C120" t="s">
        <v>154</v>
      </c>
      <c r="D120" t="s">
        <v>32</v>
      </c>
      <c r="E120">
        <v>0</v>
      </c>
      <c r="F120" t="s">
        <v>97</v>
      </c>
      <c r="G120" t="s">
        <v>34</v>
      </c>
    </row>
    <row r="121" spans="1:7" x14ac:dyDescent="0.25">
      <c r="A121" t="s">
        <v>29</v>
      </c>
      <c r="B121" t="s">
        <v>30</v>
      </c>
      <c r="C121" t="s">
        <v>155</v>
      </c>
      <c r="D121" t="s">
        <v>32</v>
      </c>
      <c r="E121">
        <v>0</v>
      </c>
      <c r="F121" t="s">
        <v>97</v>
      </c>
      <c r="G121" t="s">
        <v>34</v>
      </c>
    </row>
    <row r="122" spans="1:7" x14ac:dyDescent="0.25">
      <c r="A122" t="s">
        <v>29</v>
      </c>
      <c r="B122" t="s">
        <v>30</v>
      </c>
      <c r="C122" t="s">
        <v>156</v>
      </c>
      <c r="D122" t="s">
        <v>32</v>
      </c>
      <c r="E122">
        <v>0</v>
      </c>
      <c r="F122" t="s">
        <v>97</v>
      </c>
      <c r="G122" t="s">
        <v>34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Instructions</vt:lpstr>
      <vt:lpstr>Value of Bond EOD Aug 2,2026</vt:lpstr>
      <vt:lpstr>Ans</vt:lpstr>
      <vt:lpstr>Grading</vt:lpstr>
      <vt:lpstr>'Value of Bond EOD Aug 2,2026'!Amount_to_Spend</vt:lpstr>
      <vt:lpstr>Amount_to_Spend</vt:lpstr>
      <vt:lpstr>'Value of Bond EOD Aug 2,2026'!Coupon_rate</vt:lpstr>
      <vt:lpstr>Coupon_rate</vt:lpstr>
      <vt:lpstr>'Value of Bond EOD Aug 2,2026'!Face_Value</vt:lpstr>
      <vt:lpstr>Face_Value</vt:lpstr>
      <vt:lpstr>'Value of Bond EOD Aug 2,2026'!Interest_rate</vt:lpstr>
      <vt:lpstr>Interest_rate</vt:lpstr>
      <vt:lpstr>'Value of Bond EOD Aug 2,2026'!One_Period_Equals</vt:lpstr>
      <vt:lpstr>One_Period_Equals</vt:lpstr>
      <vt:lpstr>'Value of Bond EOD Aug 2,2026'!Term</vt:lpstr>
      <vt:lpstr>Term</vt:lpstr>
    </vt:vector>
  </TitlesOfParts>
  <Manager/>
  <Company>Yale SOM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2014-02-03T04:14:12Z</dcterms:created>
  <dcterms:modified xsi:type="dcterms:W3CDTF">2026-02-04T15:25:26Z</dcterms:modified>
  <cp:category/>
  <cp:contentStatus/>
</cp:coreProperties>
</file>