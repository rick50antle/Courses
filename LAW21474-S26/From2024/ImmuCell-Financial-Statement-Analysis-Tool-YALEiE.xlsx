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01"/>
  <workbookPr showInkAnnotation="0" codeName="ThisWorkbook" autoCompressPictures="0"/>
  <mc:AlternateContent xmlns:mc="http://schemas.openxmlformats.org/markup-compatibility/2006">
    <mc:Choice Requires="x15">
      <x15ac:absPath xmlns:x15ac="http://schemas.microsoft.com/office/spreadsheetml/2010/11/ac" url="https://yaleedu-my.sharepoint.com/personal/rick_antle_yale_edu/Documents/Teaching and Learning Resources/Cases/ImmuCell/2016/"/>
    </mc:Choice>
  </mc:AlternateContent>
  <xr:revisionPtr revIDLastSave="195" documentId="8_{56F0DF1B-7685-4CF6-A91D-B41BFBA90226}" xr6:coauthVersionLast="47" xr6:coauthVersionMax="47" xr10:uidLastSave="{57A58845-DB47-47E5-99C7-F4E3482D48E0}"/>
  <bookViews>
    <workbookView xWindow="38295" yWindow="0" windowWidth="38610" windowHeight="20985" firstSheet="7" activeTab="7" xr2:uid="{00000000-000D-0000-FFFF-FFFF01000000}"/>
  </bookViews>
  <sheets>
    <sheet name="Instructions" sheetId="20" state="hidden" r:id="rId1"/>
    <sheet name="Basic Inputs" sheetId="13" state="hidden" r:id="rId2"/>
    <sheet name="Journal" sheetId="19" state="hidden" r:id="rId3"/>
    <sheet name="T accnts" sheetId="9" state="hidden" r:id="rId4"/>
    <sheet name="Indirect Method Worksheet" sheetId="22" state="hidden" r:id="rId5"/>
    <sheet name="Financial Statements" sheetId="11" state="hidden" r:id="rId6"/>
    <sheet name="Retained Earnings &amp; OCI" sheetId="30" r:id="rId7"/>
    <sheet name="Property, Plant &amp; Equipment" sheetId="23" r:id="rId8"/>
    <sheet name="Inventories" sheetId="24" r:id="rId9"/>
    <sheet name="Marketable Securities" sheetId="31" r:id="rId10"/>
    <sheet name="Interest Rate Swaps" sheetId="25" r:id="rId11"/>
    <sheet name="Liability Account Curr+Noncurr" sheetId="26" state="hidden" r:id="rId12"/>
    <sheet name="Liability Curr+Noncurr+Contra" sheetId="27" state="hidden" r:id="rId13"/>
    <sheet name="Equity Accounts with Contra" sheetId="28" state="hidden" r:id="rId14"/>
    <sheet name="RE + AOCI" sheetId="29" state="hidden" r:id="rId15"/>
    <sheet name="Final Check" sheetId="15" state="hidden" r:id="rId16"/>
    <sheet name="Account Names" sheetId="16" state="hidden" r:id="rId17"/>
    <sheet name="Notice" sheetId="21" state="hidden" r:id="rId18"/>
  </sheets>
  <definedNames>
    <definedName name="All_Type">'Account Names'!$A$23:$A$27</definedName>
    <definedName name="Asset">'Account Names'!$B$2:$B$17</definedName>
    <definedName name="BegDate">'Basic Inputs'!$B$5</definedName>
    <definedName name="CA2_">'Basic Inputs'!$B$13</definedName>
    <definedName name="CA2_BB">'Basic Inputs'!$C$13</definedName>
    <definedName name="CA2_EB">'T accnts'!$F$11</definedName>
    <definedName name="CA3_">'Basic Inputs'!$B$14</definedName>
    <definedName name="CA3_BB">'Basic Inputs'!$C$14</definedName>
    <definedName name="CA3_Contra">'Basic Inputs'!$B$15</definedName>
    <definedName name="CA3_Contra_BB">'Basic Inputs'!$D$15</definedName>
    <definedName name="CA3_Contra_EB">'T accnts'!$K$19</definedName>
    <definedName name="CA3_EB">'T accnts'!$J$11</definedName>
    <definedName name="CA4_">'Basic Inputs'!$B$16</definedName>
    <definedName name="CA4_BB">'Basic Inputs'!$C$16</definedName>
    <definedName name="CA4_Contra">'Basic Inputs'!$B$17</definedName>
    <definedName name="CA4_Contra_BB">'Basic Inputs'!$D$17</definedName>
    <definedName name="CA4_Contra_EB">'T accnts'!$O$19</definedName>
    <definedName name="CA4_EB">'T accnts'!$N$11</definedName>
    <definedName name="CA5_">'Basic Inputs'!$B$18</definedName>
    <definedName name="CA5_BB">'Basic Inputs'!$C$18</definedName>
    <definedName name="CA5_EB">'T accnts'!$F$19</definedName>
    <definedName name="CA6_">'Basic Inputs'!$B$19</definedName>
    <definedName name="CA6_BB">'Basic Inputs'!$C$19</definedName>
    <definedName name="CA6_EB">'T accnts'!$F$27</definedName>
    <definedName name="CA7_">'Basic Inputs'!$B$20</definedName>
    <definedName name="CA7_BB">'Basic Inputs'!$C$20</definedName>
    <definedName name="CA7_EB">'T accnts'!$J$27</definedName>
    <definedName name="Cash_">'Basic Inputs'!$B$12</definedName>
    <definedName name="Cash_BB">'Basic Inputs'!$C$12</definedName>
    <definedName name="Cash_EB">'T accnts'!$B$27</definedName>
    <definedName name="CL1_">'Basic Inputs'!$B$27</definedName>
    <definedName name="CL1_BB">'Basic Inputs'!$D$27</definedName>
    <definedName name="CL1_EB">'T accnts'!$C$57</definedName>
    <definedName name="CL2_">'Basic Inputs'!$B$28</definedName>
    <definedName name="CL2_BB">'Basic Inputs'!$D$28</definedName>
    <definedName name="CL2_EB">'T accnts'!$G$50</definedName>
    <definedName name="CL3_">'Basic Inputs'!$B$29</definedName>
    <definedName name="CL3_BB">'Basic Inputs'!$D$29</definedName>
    <definedName name="CL3_EB">'T accnts'!$K$50</definedName>
    <definedName name="CL4_">'Basic Inputs'!$B$30</definedName>
    <definedName name="CL4_BB">'Basic Inputs'!$D$30</definedName>
    <definedName name="CL4_EB">'T accnts'!$O$50</definedName>
    <definedName name="CL5_">'Basic Inputs'!$B$31</definedName>
    <definedName name="CL5_BB">'Basic Inputs'!$D$31</definedName>
    <definedName name="CL5_EB">'T accnts'!$G$57</definedName>
    <definedName name="CL6_">'Basic Inputs'!$B$32</definedName>
    <definedName name="CL6_BB">'Basic Inputs'!$D$32</definedName>
    <definedName name="CL6_EB">'T accnts'!$K$57</definedName>
    <definedName name="CL7_">'Basic Inputs'!$B$33</definedName>
    <definedName name="CL7_BB">'Basic Inputs'!$D$33</definedName>
    <definedName name="CL7_EB">'T accnts'!$O$57</definedName>
    <definedName name="Contra_Equity_BB">'Basic Inputs'!$C$46</definedName>
    <definedName name="Contra_Equity_EB">'T accnts'!$N$88</definedName>
    <definedName name="Contra_Equity1">'Basic Inputs'!$B$46</definedName>
    <definedName name="Contributed_Equity">'Account Names'!$D$2:$D$4</definedName>
    <definedName name="Current_Asset">'Account Names'!$B$2:$B$12</definedName>
    <definedName name="Current_Liability">'Account Names'!$C$2:$C$9</definedName>
    <definedName name="EndDate">'Basic Inputs'!$B$6</definedName>
    <definedName name="Entity">'Basic Inputs'!$B$3</definedName>
    <definedName name="Equity">'Account Names'!$D$2:$D$7</definedName>
    <definedName name="Exp_1">'Basic Inputs'!$B$53</definedName>
    <definedName name="Exp_2">'Basic Inputs'!$B$54</definedName>
    <definedName name="Exp_3">'Basic Inputs'!$B$55</definedName>
    <definedName name="Exp_4">'Basic Inputs'!$B$56</definedName>
    <definedName name="Exp_5">'Basic Inputs'!$B$57</definedName>
    <definedName name="Exp_6">'Basic Inputs'!$B$58</definedName>
    <definedName name="Exp_7">'Basic Inputs'!$B$59</definedName>
    <definedName name="Exp_8">'Basic Inputs'!$B$60</definedName>
    <definedName name="Gain_1">'Basic Inputs'!$B$61</definedName>
    <definedName name="Gain_2">'Basic Inputs'!$B$62</definedName>
    <definedName name="Liability">'Account Names'!$C$2:$C$15</definedName>
    <definedName name="Loss">'Account Names'!$B$16:$B$16</definedName>
    <definedName name="Loss_1">'Basic Inputs'!$B$63</definedName>
    <definedName name="Loss_2">'Basic Inputs'!$B$64</definedName>
    <definedName name="NCA1_">'Basic Inputs'!$B$21</definedName>
    <definedName name="NCA1_BB">'Basic Inputs'!$C$21</definedName>
    <definedName name="NCA1_Contra">'Basic Inputs'!$B$22</definedName>
    <definedName name="NCA1_Contra_BB">'Basic Inputs'!$D$22</definedName>
    <definedName name="NCA1_Contra_EB">'T accnts'!$C$42</definedName>
    <definedName name="NCA1_EB">'T accnts'!$B$34</definedName>
    <definedName name="NCA2_">'Basic Inputs'!$B$23</definedName>
    <definedName name="NCA2_BB">'Basic Inputs'!$C$23</definedName>
    <definedName name="NCA2_Contra">'Basic Inputs'!$B$24</definedName>
    <definedName name="NCA2_Contra_BB">'Basic Inputs'!$D$24</definedName>
    <definedName name="NCA2_Contra_EB">'T accnts'!$G$42</definedName>
    <definedName name="NCA2_EB">'T accnts'!$F$34</definedName>
    <definedName name="NCA3_">'Basic Inputs'!$B$25</definedName>
    <definedName name="NCA3_BB">'Basic Inputs'!$C$25</definedName>
    <definedName name="NCA3_EB">'T accnts'!$J$34</definedName>
    <definedName name="NCA4_">'Basic Inputs'!$B$26</definedName>
    <definedName name="NCA4_BB">'Basic Inputs'!$C$26</definedName>
    <definedName name="NCA4_EB">'T accnts'!$N$34</definedName>
    <definedName name="NCL1_">'Basic Inputs'!$B$34</definedName>
    <definedName name="NCL1_BB">'Basic Inputs'!$D$34</definedName>
    <definedName name="NCL1_EB">'T accnts'!$C$64</definedName>
    <definedName name="NCL2_">'Basic Inputs'!$B$35</definedName>
    <definedName name="NCL2_BB">'Basic Inputs'!$D$35</definedName>
    <definedName name="NCL2_EB">'T accnts'!$G$64</definedName>
    <definedName name="NCL3_">'Basic Inputs'!$B$36</definedName>
    <definedName name="NCL3_BB">'Basic Inputs'!$D$36</definedName>
    <definedName name="NCL3_EB">'T accnts'!$K$64</definedName>
    <definedName name="NCL4_">'Basic Inputs'!$B$37</definedName>
    <definedName name="NCL4_BB">'Basic Inputs'!$D$37</definedName>
    <definedName name="NCL4_EB">'T accnts'!$O$64</definedName>
    <definedName name="NCL5_">'Basic Inputs'!$B$38</definedName>
    <definedName name="NCL5_BB">'Basic Inputs'!$D$38</definedName>
    <definedName name="NCL5_EB">'T accnts'!$C$70</definedName>
    <definedName name="NCL6_">'Basic Inputs'!$B$39</definedName>
    <definedName name="NCL6_BB">'Basic Inputs'!$D$39</definedName>
    <definedName name="NCL6_EB">'T accnts'!$G$70</definedName>
    <definedName name="NCL7_">'Basic Inputs'!$B$40</definedName>
    <definedName name="NCL7_BB">'Basic Inputs'!$D$40</definedName>
    <definedName name="NCL7_EB">'T accnts'!$K$70</definedName>
    <definedName name="NI">'Financial Statements'!$B$87</definedName>
    <definedName name="Period">'Basic Inputs'!$B$7</definedName>
    <definedName name="_xlnm.Print_Area" localSheetId="5">'Financial Statements'!$A$1:$E$204</definedName>
    <definedName name="_xlnm.Print_Area" localSheetId="4">'Indirect Method Worksheet'!$A$4:$I$60</definedName>
    <definedName name="_xlnm.Print_Area" localSheetId="2">Journal!$B$1:$J$76</definedName>
    <definedName name="_xlnm.Print_Area" localSheetId="3">'T accnts'!$A$5:$P$114</definedName>
    <definedName name="Rev_1">'Basic Inputs'!$B$51</definedName>
    <definedName name="Rev_2">'Basic Inputs'!$B$52</definedName>
    <definedName name="SE1_">'Basic Inputs'!$B$41</definedName>
    <definedName name="SE1_BB">'Basic Inputs'!$D$41</definedName>
    <definedName name="SE1_EB">'T accnts'!$C$80</definedName>
    <definedName name="SE2_">'Basic Inputs'!$B$42</definedName>
    <definedName name="SE2_BB">'Basic Inputs'!$D$42</definedName>
    <definedName name="SE2_EB">'T accnts'!$G$80</definedName>
    <definedName name="SE3_">'Basic Inputs'!$B$43</definedName>
    <definedName name="SE3_BB">'Basic Inputs'!$D$43</definedName>
    <definedName name="SE3_EB">'T accnts'!$K$80</definedName>
    <definedName name="SE4_">'Basic Inputs'!$B$44</definedName>
    <definedName name="SE4_BB_Cr">'Basic Inputs'!$D$44</definedName>
    <definedName name="SE4_BB_Dr">'Basic Inputs'!$C$44</definedName>
    <definedName name="SE4_EB_Cr">'T accnts'!$O$80</definedName>
    <definedName name="SE4_EB_Dr">'T accnts'!$N$80</definedName>
    <definedName name="SE5_">'Basic Inputs'!$B$45</definedName>
    <definedName name="SE5_BB">'Basic Inputs'!$D$43</definedName>
    <definedName name="SE5_BB_Cr">'Basic Inputs'!$D$45</definedName>
    <definedName name="SE5_BB_Dr">'Basic Inputs'!$C$45</definedName>
    <definedName name="SE5_EB_Cr">'T accnts'!$C$88</definedName>
    <definedName name="SE5_EB_Dr">'T accnts'!$B$88</definedName>
    <definedName name="Temp_Equity">'Account Names'!$E$2:$E$12</definedName>
    <definedName name="TempEquity">'Account Names'!$E$2:$E$14</definedName>
    <definedName name="Temporary">'Account Names'!$A$13:$A$16</definedName>
    <definedName name="Temporary_Equity">'Account Names'!$E$2:$E$12</definedName>
    <definedName name="Type">'Account Names'!$A$2:$A$5</definedName>
    <definedName name="Units">'Basic Inputs'!$B$8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0" i="31" l="1"/>
  <c r="L35" i="31"/>
  <c r="L29" i="31"/>
  <c r="L30" i="31"/>
  <c r="L31" i="31"/>
  <c r="L32" i="31"/>
  <c r="L33" i="31"/>
  <c r="M30" i="31"/>
  <c r="M31" i="31"/>
  <c r="M32" i="31"/>
  <c r="M33" i="31"/>
  <c r="M34" i="31"/>
  <c r="L34" i="31"/>
  <c r="G34" i="31"/>
  <c r="H34" i="31"/>
  <c r="B34" i="31"/>
  <c r="C34" i="31"/>
  <c r="L16" i="31"/>
  <c r="L11" i="31"/>
  <c r="L5" i="31"/>
  <c r="L6" i="31"/>
  <c r="L7" i="31"/>
  <c r="L8" i="31"/>
  <c r="L9" i="31"/>
  <c r="M6" i="31"/>
  <c r="M7" i="31"/>
  <c r="M8" i="31"/>
  <c r="M9" i="31"/>
  <c r="M10" i="31"/>
  <c r="L10" i="31"/>
  <c r="G10" i="31"/>
  <c r="H10" i="31"/>
  <c r="B10" i="31"/>
  <c r="C10" i="31"/>
  <c r="L7" i="23"/>
  <c r="L40" i="30"/>
  <c r="M34" i="30"/>
  <c r="G34" i="30"/>
  <c r="H34" i="30"/>
  <c r="C34" i="30"/>
  <c r="L28" i="30"/>
  <c r="L16" i="30"/>
  <c r="M11" i="30"/>
  <c r="L11" i="30"/>
  <c r="M5" i="30"/>
  <c r="M6" i="30"/>
  <c r="M7" i="30"/>
  <c r="M10" i="30" s="1"/>
  <c r="M8" i="30"/>
  <c r="M9" i="30"/>
  <c r="L5" i="30"/>
  <c r="L6" i="30"/>
  <c r="L7" i="30"/>
  <c r="L8" i="30"/>
  <c r="L9" i="30"/>
  <c r="H10" i="30"/>
  <c r="G10" i="30"/>
  <c r="C10" i="30"/>
  <c r="B10" i="30"/>
  <c r="L40" i="29"/>
  <c r="M34" i="29"/>
  <c r="G34" i="29"/>
  <c r="H34" i="29"/>
  <c r="C34" i="29"/>
  <c r="L28" i="29"/>
  <c r="L16" i="29"/>
  <c r="M11" i="29"/>
  <c r="L11" i="29"/>
  <c r="H10" i="29"/>
  <c r="G10" i="29"/>
  <c r="C10" i="29"/>
  <c r="B10" i="29"/>
  <c r="M9" i="29"/>
  <c r="L9" i="29"/>
  <c r="M8" i="29"/>
  <c r="L8" i="29"/>
  <c r="M7" i="29"/>
  <c r="L7" i="29"/>
  <c r="M6" i="29"/>
  <c r="L6" i="29"/>
  <c r="M5" i="29"/>
  <c r="L5" i="29"/>
  <c r="M10" i="29"/>
  <c r="L41" i="28"/>
  <c r="L36" i="28"/>
  <c r="Q36" i="28"/>
  <c r="Q30" i="28"/>
  <c r="Q31" i="28"/>
  <c r="Q32" i="28"/>
  <c r="Q33" i="28"/>
  <c r="Q34" i="28"/>
  <c r="P31" i="28"/>
  <c r="P32" i="28"/>
  <c r="P33" i="28"/>
  <c r="P34" i="28"/>
  <c r="Q35" i="28"/>
  <c r="L35" i="28"/>
  <c r="M35" i="28"/>
  <c r="H35" i="28"/>
  <c r="C35" i="28"/>
  <c r="L16" i="28"/>
  <c r="L11" i="28"/>
  <c r="Q11" i="28"/>
  <c r="Q5" i="28"/>
  <c r="Q6" i="28"/>
  <c r="Q7" i="28"/>
  <c r="Q8" i="28"/>
  <c r="Q9" i="28"/>
  <c r="P6" i="28"/>
  <c r="P7" i="28"/>
  <c r="P8" i="28"/>
  <c r="P9" i="28"/>
  <c r="Q10" i="28"/>
  <c r="L10" i="28"/>
  <c r="M10" i="28"/>
  <c r="H10" i="28"/>
  <c r="C10" i="28"/>
  <c r="L41" i="27"/>
  <c r="L36" i="27"/>
  <c r="Q36" i="27"/>
  <c r="Q30" i="27"/>
  <c r="Q31" i="27"/>
  <c r="Q32" i="27"/>
  <c r="Q33" i="27"/>
  <c r="Q34" i="27"/>
  <c r="P31" i="27"/>
  <c r="P32" i="27"/>
  <c r="P33" i="27"/>
  <c r="P34" i="27"/>
  <c r="Q35" i="27"/>
  <c r="L35" i="27"/>
  <c r="M35" i="27"/>
  <c r="H35" i="27"/>
  <c r="C35" i="27"/>
  <c r="L16" i="27"/>
  <c r="L11" i="27"/>
  <c r="Q11" i="27"/>
  <c r="Q5" i="27"/>
  <c r="Q6" i="27"/>
  <c r="Q7" i="27"/>
  <c r="Q8" i="27"/>
  <c r="Q9" i="27"/>
  <c r="P6" i="27"/>
  <c r="P7" i="27"/>
  <c r="P8" i="27"/>
  <c r="P9" i="27"/>
  <c r="Q10" i="27"/>
  <c r="L10" i="27"/>
  <c r="M10" i="27"/>
  <c r="H10" i="27"/>
  <c r="C10" i="27"/>
  <c r="L40" i="26"/>
  <c r="M29" i="26"/>
  <c r="M30" i="26"/>
  <c r="M31" i="26"/>
  <c r="M32" i="26"/>
  <c r="M33" i="26"/>
  <c r="L29" i="26"/>
  <c r="L30" i="26"/>
  <c r="L31" i="26"/>
  <c r="L32" i="26"/>
  <c r="L33" i="26"/>
  <c r="M34" i="26"/>
  <c r="G34" i="26"/>
  <c r="H34" i="26"/>
  <c r="C34" i="26"/>
  <c r="L28" i="26"/>
  <c r="L16" i="26"/>
  <c r="M11" i="26"/>
  <c r="H10" i="26"/>
  <c r="C10" i="26"/>
  <c r="M9" i="26"/>
  <c r="L9" i="26"/>
  <c r="M8" i="26"/>
  <c r="L8" i="26"/>
  <c r="M7" i="26"/>
  <c r="L7" i="26"/>
  <c r="M6" i="26"/>
  <c r="L6" i="26"/>
  <c r="M5" i="26"/>
  <c r="L5" i="26"/>
  <c r="M10" i="26"/>
  <c r="L40" i="25"/>
  <c r="M34" i="25"/>
  <c r="G34" i="25"/>
  <c r="H34" i="25"/>
  <c r="C34" i="25"/>
  <c r="L28" i="25"/>
  <c r="L16" i="25"/>
  <c r="M10" i="25"/>
  <c r="G10" i="25"/>
  <c r="H10" i="25"/>
  <c r="C10" i="25"/>
  <c r="L4" i="25"/>
  <c r="L40" i="24"/>
  <c r="L35" i="24"/>
  <c r="G34" i="24"/>
  <c r="H34" i="24"/>
  <c r="B34" i="24"/>
  <c r="C34" i="24"/>
  <c r="M33" i="24"/>
  <c r="L33" i="24"/>
  <c r="M32" i="24"/>
  <c r="L32" i="24"/>
  <c r="M31" i="24"/>
  <c r="L31" i="24"/>
  <c r="M30" i="24"/>
  <c r="L30" i="24"/>
  <c r="L29" i="24"/>
  <c r="L34" i="24"/>
  <c r="L16" i="24"/>
  <c r="L11" i="24"/>
  <c r="L5" i="24"/>
  <c r="L6" i="24"/>
  <c r="L7" i="24"/>
  <c r="L8" i="24"/>
  <c r="L9" i="24"/>
  <c r="M6" i="24"/>
  <c r="M7" i="24"/>
  <c r="M8" i="24"/>
  <c r="M9" i="24"/>
  <c r="G10" i="24"/>
  <c r="H10" i="24"/>
  <c r="B10" i="24"/>
  <c r="C10" i="24" s="1"/>
  <c r="L42" i="23"/>
  <c r="L37" i="23"/>
  <c r="H36" i="23"/>
  <c r="B36" i="23"/>
  <c r="C36" i="23" s="1"/>
  <c r="L31" i="23"/>
  <c r="L30" i="23"/>
  <c r="L18" i="23"/>
  <c r="L13" i="23"/>
  <c r="M12" i="23"/>
  <c r="H12" i="23"/>
  <c r="B12" i="23"/>
  <c r="C12" i="23"/>
  <c r="L6" i="23"/>
  <c r="L12" i="23"/>
  <c r="M36" i="23"/>
  <c r="M34" i="24"/>
  <c r="A205" i="11"/>
  <c r="A206" i="11"/>
  <c r="A207" i="11"/>
  <c r="A208" i="11"/>
  <c r="A204" i="11"/>
  <c r="B205" i="11"/>
  <c r="B206" i="11"/>
  <c r="B207" i="11"/>
  <c r="B208" i="11"/>
  <c r="B204" i="11"/>
  <c r="L36" i="23"/>
  <c r="C24" i="22"/>
  <c r="A24" i="22"/>
  <c r="A77" i="11"/>
  <c r="H75" i="19"/>
  <c r="I77" i="19"/>
  <c r="I62" i="19"/>
  <c r="I60" i="19"/>
  <c r="I51" i="19"/>
  <c r="I64" i="19"/>
  <c r="I53" i="19"/>
  <c r="I49" i="19"/>
  <c r="I34" i="19"/>
  <c r="I32" i="19"/>
  <c r="I30" i="19"/>
  <c r="I28" i="19"/>
  <c r="I26" i="19"/>
  <c r="I24" i="19"/>
  <c r="I22" i="19"/>
  <c r="I20" i="19"/>
  <c r="I18" i="19"/>
  <c r="I15" i="19"/>
  <c r="I13" i="19"/>
  <c r="I11" i="19"/>
  <c r="I9" i="19"/>
  <c r="I7" i="19"/>
  <c r="I5" i="19"/>
  <c r="I45" i="19"/>
  <c r="I3" i="19"/>
  <c r="H76" i="19"/>
  <c r="H63" i="19"/>
  <c r="H62" i="19"/>
  <c r="H61" i="19"/>
  <c r="H60" i="19"/>
  <c r="H42" i="19"/>
  <c r="H41" i="19"/>
  <c r="B201" i="11"/>
  <c r="B200" i="11"/>
  <c r="B193" i="11"/>
  <c r="B190" i="11"/>
  <c r="A190" i="11"/>
  <c r="B189" i="11"/>
  <c r="A189" i="11"/>
  <c r="B188" i="11"/>
  <c r="A188" i="11"/>
  <c r="B187" i="11"/>
  <c r="A187" i="11"/>
  <c r="B186" i="11"/>
  <c r="A186" i="11"/>
  <c r="B185" i="11"/>
  <c r="B191" i="11"/>
  <c r="B196" i="11"/>
  <c r="A185" i="11"/>
  <c r="B182" i="11"/>
  <c r="A182" i="11"/>
  <c r="B181" i="11"/>
  <c r="A181" i="11"/>
  <c r="B180" i="11"/>
  <c r="A180" i="11"/>
  <c r="B179" i="11"/>
  <c r="A179" i="11"/>
  <c r="B178" i="11"/>
  <c r="A178" i="11"/>
  <c r="B177" i="11"/>
  <c r="A177" i="11"/>
  <c r="A152" i="11"/>
  <c r="A151" i="11"/>
  <c r="A149" i="11"/>
  <c r="A134" i="11"/>
  <c r="B130" i="11"/>
  <c r="A130" i="11"/>
  <c r="B128" i="11"/>
  <c r="B133" i="11"/>
  <c r="B119" i="11"/>
  <c r="B132" i="11"/>
  <c r="B110" i="11"/>
  <c r="B131" i="11"/>
  <c r="A94" i="11"/>
  <c r="A93" i="11"/>
  <c r="A91" i="11"/>
  <c r="B183" i="11"/>
  <c r="B195" i="11"/>
  <c r="B134" i="11"/>
  <c r="C32" i="22"/>
  <c r="A32" i="22"/>
  <c r="C28" i="22"/>
  <c r="A28" i="22"/>
  <c r="C27" i="22"/>
  <c r="C26" i="22"/>
  <c r="A26" i="22"/>
  <c r="C23" i="22"/>
  <c r="A23" i="22"/>
  <c r="C22" i="22"/>
  <c r="A22" i="22"/>
  <c r="C21" i="22"/>
  <c r="A21" i="22"/>
  <c r="B17" i="22"/>
  <c r="A17" i="22"/>
  <c r="A15" i="22"/>
  <c r="F59" i="22"/>
  <c r="E59" i="22"/>
  <c r="F54" i="22"/>
  <c r="E54" i="22"/>
  <c r="E37" i="22"/>
  <c r="B37" i="22"/>
  <c r="C33" i="22"/>
  <c r="B33" i="22"/>
  <c r="C29" i="22"/>
  <c r="A29" i="22"/>
  <c r="C25" i="22"/>
  <c r="A25" i="22"/>
  <c r="C20" i="22"/>
  <c r="A20" i="22"/>
  <c r="C18" i="22"/>
  <c r="A18" i="22"/>
  <c r="C15" i="22"/>
  <c r="B12" i="22"/>
  <c r="A12" i="22"/>
  <c r="B11" i="22"/>
  <c r="A11" i="22"/>
  <c r="B9" i="22"/>
  <c r="A9" i="22"/>
  <c r="B7" i="22"/>
  <c r="A7" i="22"/>
  <c r="A3" i="22"/>
  <c r="A1" i="22"/>
  <c r="B36" i="22"/>
  <c r="B38" i="22"/>
  <c r="C36" i="22"/>
  <c r="C40" i="22"/>
  <c r="A23" i="11"/>
  <c r="A22" i="11"/>
  <c r="C3" i="15"/>
  <c r="S4" i="9"/>
  <c r="C6" i="15" s="1"/>
  <c r="B6" i="15" s="1"/>
  <c r="H78" i="19"/>
  <c r="H77" i="19"/>
  <c r="I36" i="19"/>
  <c r="F115" i="9"/>
  <c r="B115" i="9"/>
  <c r="AA64" i="9"/>
  <c r="AA63" i="9"/>
  <c r="AA62" i="9"/>
  <c r="AA61" i="9"/>
  <c r="AA60" i="9"/>
  <c r="AA59" i="9"/>
  <c r="AA58" i="9"/>
  <c r="AA57" i="9"/>
  <c r="AA56" i="9"/>
  <c r="AA55" i="9"/>
  <c r="AA54" i="9"/>
  <c r="AA53" i="9"/>
  <c r="AA52" i="9"/>
  <c r="AA51" i="9"/>
  <c r="AA15" i="9"/>
  <c r="AA46" i="9"/>
  <c r="O53" i="9"/>
  <c r="O57" i="9"/>
  <c r="N52" i="9"/>
  <c r="P53" i="9"/>
  <c r="AA44" i="9"/>
  <c r="AA38" i="9"/>
  <c r="AA34" i="9"/>
  <c r="AA33" i="9"/>
  <c r="AA32" i="9"/>
  <c r="AA31" i="9"/>
  <c r="AA28" i="9"/>
  <c r="B37" i="9"/>
  <c r="D38" i="9"/>
  <c r="F37" i="9"/>
  <c r="H38" i="9"/>
  <c r="C38" i="9"/>
  <c r="C42" i="9"/>
  <c r="I15" i="22"/>
  <c r="J15" i="22"/>
  <c r="G38" i="9"/>
  <c r="G42" i="9"/>
  <c r="AA17" i="9"/>
  <c r="AA16" i="9"/>
  <c r="AA18" i="9"/>
  <c r="Z16" i="9"/>
  <c r="Z17" i="9"/>
  <c r="J14" i="9"/>
  <c r="AA23" i="9"/>
  <c r="AA22" i="9"/>
  <c r="AA25" i="9"/>
  <c r="AA24" i="9"/>
  <c r="AA26" i="9"/>
  <c r="AA29" i="9"/>
  <c r="AA50" i="9"/>
  <c r="AA49" i="9"/>
  <c r="N83" i="9"/>
  <c r="AA48" i="9"/>
  <c r="AA47" i="9"/>
  <c r="AA45" i="9"/>
  <c r="AA43" i="9"/>
  <c r="AA42" i="9"/>
  <c r="AA41" i="9"/>
  <c r="AA40" i="9"/>
  <c r="AA39" i="9"/>
  <c r="AA37" i="9"/>
  <c r="AA36" i="9"/>
  <c r="AA35" i="9"/>
  <c r="AA30" i="9"/>
  <c r="AA27" i="9"/>
  <c r="AA21" i="9"/>
  <c r="AA20" i="9"/>
  <c r="AA19" i="9"/>
  <c r="AA14" i="9"/>
  <c r="F15" i="9"/>
  <c r="F19" i="9"/>
  <c r="A4" i="11"/>
  <c r="A4" i="9"/>
  <c r="A3" i="9"/>
  <c r="A83" i="11"/>
  <c r="A82" i="11"/>
  <c r="A85" i="11"/>
  <c r="A84" i="11"/>
  <c r="A78" i="11"/>
  <c r="A76" i="11"/>
  <c r="A75" i="11"/>
  <c r="A74" i="11"/>
  <c r="A73" i="11"/>
  <c r="A72" i="11"/>
  <c r="A70" i="11"/>
  <c r="A69" i="11"/>
  <c r="D22" i="11"/>
  <c r="D23" i="11"/>
  <c r="F30" i="9"/>
  <c r="D7" i="13"/>
  <c r="D6" i="13"/>
  <c r="D5" i="13"/>
  <c r="D57" i="11"/>
  <c r="A56" i="11"/>
  <c r="A55" i="11"/>
  <c r="A54" i="11"/>
  <c r="A53" i="11"/>
  <c r="A52" i="11"/>
  <c r="A47" i="11"/>
  <c r="A46" i="11"/>
  <c r="A45" i="11"/>
  <c r="A44" i="11"/>
  <c r="A43" i="11"/>
  <c r="A42" i="11"/>
  <c r="A41" i="11"/>
  <c r="A37" i="11"/>
  <c r="A36" i="11"/>
  <c r="A35" i="11"/>
  <c r="A34" i="11"/>
  <c r="A33" i="11"/>
  <c r="A32" i="11"/>
  <c r="A31" i="11"/>
  <c r="D13" i="11"/>
  <c r="B7" i="9"/>
  <c r="F7" i="9"/>
  <c r="J7" i="9"/>
  <c r="N7" i="9"/>
  <c r="O15" i="9"/>
  <c r="K15" i="9"/>
  <c r="F23" i="9"/>
  <c r="J23" i="9"/>
  <c r="J30" i="9"/>
  <c r="B30" i="9"/>
  <c r="C46" i="9"/>
  <c r="A21" i="11"/>
  <c r="D21" i="11"/>
  <c r="N30" i="9"/>
  <c r="D9" i="11"/>
  <c r="A11" i="11"/>
  <c r="D11" i="11"/>
  <c r="D19" i="11"/>
  <c r="A10" i="11"/>
  <c r="D10" i="11"/>
  <c r="A19" i="11"/>
  <c r="A18" i="11"/>
  <c r="D55" i="11"/>
  <c r="D56" i="11"/>
  <c r="D54" i="11"/>
  <c r="N108" i="9"/>
  <c r="J108" i="9"/>
  <c r="F108" i="9"/>
  <c r="B108" i="9"/>
  <c r="N100" i="9"/>
  <c r="J100" i="9"/>
  <c r="F100" i="9"/>
  <c r="B100" i="9"/>
  <c r="N92" i="9"/>
  <c r="A14" i="11"/>
  <c r="A13" i="11"/>
  <c r="A12" i="11"/>
  <c r="A9" i="11"/>
  <c r="J92" i="9"/>
  <c r="F92" i="9"/>
  <c r="B92" i="9"/>
  <c r="N84" i="9"/>
  <c r="M84" i="9"/>
  <c r="N14" i="9"/>
  <c r="B82" i="9"/>
  <c r="N74" i="9"/>
  <c r="J74" i="9"/>
  <c r="L75" i="9"/>
  <c r="F74" i="9"/>
  <c r="H75" i="9"/>
  <c r="B74" i="9"/>
  <c r="D75" i="9"/>
  <c r="J66" i="9"/>
  <c r="F66" i="9"/>
  <c r="B66" i="9"/>
  <c r="N60" i="9"/>
  <c r="J60" i="9"/>
  <c r="F60" i="9"/>
  <c r="B60" i="9"/>
  <c r="J52" i="9"/>
  <c r="F52" i="9"/>
  <c r="N45" i="9"/>
  <c r="J45" i="9"/>
  <c r="F45" i="9"/>
  <c r="B45" i="9"/>
  <c r="D8" i="13"/>
  <c r="C2" i="15"/>
  <c r="N29" i="9"/>
  <c r="J29" i="9"/>
  <c r="F29" i="9"/>
  <c r="B29" i="9"/>
  <c r="C83" i="9"/>
  <c r="B83" i="9"/>
  <c r="N75" i="9"/>
  <c r="O75" i="9"/>
  <c r="D83" i="9"/>
  <c r="P75" i="9"/>
  <c r="N88" i="9"/>
  <c r="B57" i="11"/>
  <c r="P15" i="9"/>
  <c r="F22" i="9"/>
  <c r="E23" i="9"/>
  <c r="F14" i="9"/>
  <c r="E15" i="9"/>
  <c r="N6" i="9"/>
  <c r="M7" i="9"/>
  <c r="J6" i="9"/>
  <c r="I7" i="9"/>
  <c r="F6" i="9"/>
  <c r="E7" i="9"/>
  <c r="J22" i="9"/>
  <c r="I23" i="9"/>
  <c r="C88" i="9"/>
  <c r="N80" i="9"/>
  <c r="H33" i="22"/>
  <c r="B88" i="9"/>
  <c r="O80" i="9"/>
  <c r="A83" i="9"/>
  <c r="B55" i="11"/>
  <c r="I33" i="22"/>
  <c r="B56" i="11"/>
  <c r="B19" i="11"/>
  <c r="D88" i="9"/>
  <c r="K53" i="9"/>
  <c r="G53" i="9"/>
  <c r="D12" i="11"/>
  <c r="D14" i="11"/>
  <c r="K75" i="9"/>
  <c r="G75" i="9"/>
  <c r="C75" i="9"/>
  <c r="K67" i="9"/>
  <c r="G67" i="9"/>
  <c r="O61" i="9"/>
  <c r="K61" i="9"/>
  <c r="G61" i="9"/>
  <c r="C61" i="9"/>
  <c r="O46" i="9"/>
  <c r="K46" i="9"/>
  <c r="G46" i="9"/>
  <c r="R4" i="9"/>
  <c r="B34" i="9"/>
  <c r="D53" i="11"/>
  <c r="D52" i="11"/>
  <c r="D41" i="11"/>
  <c r="D47" i="11"/>
  <c r="D46" i="11"/>
  <c r="D45" i="11"/>
  <c r="D44" i="11"/>
  <c r="D43" i="11"/>
  <c r="D42" i="11"/>
  <c r="D37" i="11"/>
  <c r="D36" i="11"/>
  <c r="D35" i="11"/>
  <c r="D34" i="11"/>
  <c r="D33" i="11"/>
  <c r="D32" i="11"/>
  <c r="D31" i="11"/>
  <c r="D18" i="11"/>
  <c r="D8" i="11"/>
  <c r="B18" i="11"/>
  <c r="B20" i="11"/>
  <c r="H12" i="22"/>
  <c r="J12" i="22"/>
  <c r="B2" i="15"/>
  <c r="H61" i="9"/>
  <c r="C5" i="15"/>
  <c r="A8" i="11"/>
  <c r="B86" i="11"/>
  <c r="B79" i="11"/>
  <c r="D46" i="9"/>
  <c r="L15" i="9"/>
  <c r="A30" i="9"/>
  <c r="B6" i="9"/>
  <c r="A7" i="9"/>
  <c r="F120" i="9"/>
  <c r="B3" i="15"/>
  <c r="B5" i="15"/>
  <c r="G8" i="11"/>
  <c r="G2" i="11"/>
  <c r="E48" i="11"/>
  <c r="E15" i="11"/>
  <c r="E58" i="11"/>
  <c r="H5" i="11"/>
  <c r="E38" i="11"/>
  <c r="E49" i="11"/>
  <c r="D29" i="11"/>
  <c r="B29" i="11"/>
  <c r="H4" i="11"/>
  <c r="E59" i="11"/>
  <c r="D20" i="11"/>
  <c r="E24" i="11"/>
  <c r="L67" i="9"/>
  <c r="H67" i="9"/>
  <c r="D67" i="9"/>
  <c r="P61" i="9"/>
  <c r="L61" i="9"/>
  <c r="D61" i="9"/>
  <c r="L53" i="9"/>
  <c r="H53" i="9"/>
  <c r="P46" i="9"/>
  <c r="L46" i="9"/>
  <c r="H46" i="9"/>
  <c r="M30" i="9"/>
  <c r="I30" i="9"/>
  <c r="E30" i="9"/>
  <c r="A1" i="9"/>
  <c r="A67" i="11"/>
  <c r="A66" i="11"/>
  <c r="B6" i="11"/>
  <c r="A3" i="11"/>
  <c r="D6" i="11"/>
  <c r="A64" i="11"/>
  <c r="A1" i="11"/>
  <c r="K80" i="9"/>
  <c r="C80" i="9"/>
  <c r="G80" i="9"/>
  <c r="E26" i="11"/>
  <c r="H3" i="11"/>
  <c r="H6" i="11"/>
  <c r="G57" i="9"/>
  <c r="C64" i="9"/>
  <c r="K50" i="9"/>
  <c r="G50" i="9"/>
  <c r="C57" i="9"/>
  <c r="K19" i="9"/>
  <c r="N11" i="9"/>
  <c r="H11" i="22"/>
  <c r="J11" i="22"/>
  <c r="J11" i="9"/>
  <c r="H9" i="22"/>
  <c r="J9" i="22"/>
  <c r="F11" i="9"/>
  <c r="B27" i="9"/>
  <c r="B120" i="9"/>
  <c r="O97" i="9"/>
  <c r="K97" i="9"/>
  <c r="G97" i="9"/>
  <c r="G64" i="9"/>
  <c r="K64" i="9"/>
  <c r="O64" i="9"/>
  <c r="B44" i="11"/>
  <c r="C70" i="9"/>
  <c r="B45" i="11"/>
  <c r="G70" i="9"/>
  <c r="B46" i="11"/>
  <c r="K70" i="9"/>
  <c r="B47" i="11"/>
  <c r="O50" i="9"/>
  <c r="K57" i="9"/>
  <c r="B37" i="11"/>
  <c r="B12" i="11"/>
  <c r="J27" i="9"/>
  <c r="B14" i="11"/>
  <c r="F34" i="9"/>
  <c r="H17" i="22"/>
  <c r="J17" i="22"/>
  <c r="F27" i="9"/>
  <c r="B13" i="11"/>
  <c r="J34" i="9"/>
  <c r="B22" i="11"/>
  <c r="N34" i="9"/>
  <c r="B23" i="11"/>
  <c r="O19" i="9"/>
  <c r="B113" i="9"/>
  <c r="C97" i="9"/>
  <c r="B106" i="9"/>
  <c r="F106" i="9"/>
  <c r="J106" i="9"/>
  <c r="F113" i="9"/>
  <c r="J113" i="9"/>
  <c r="N106" i="9"/>
  <c r="N113" i="9"/>
  <c r="B71" i="11"/>
  <c r="B36" i="11"/>
  <c r="I24" i="22"/>
  <c r="J24" i="22"/>
  <c r="D134" i="11"/>
  <c r="B43" i="11"/>
  <c r="I27" i="22"/>
  <c r="J27" i="22"/>
  <c r="B31" i="11"/>
  <c r="I18" i="22"/>
  <c r="J18" i="22"/>
  <c r="B33" i="11"/>
  <c r="I21" i="22"/>
  <c r="J21" i="22"/>
  <c r="B32" i="11"/>
  <c r="I20" i="22"/>
  <c r="J20" i="22"/>
  <c r="B42" i="11"/>
  <c r="I26" i="22"/>
  <c r="J26" i="22"/>
  <c r="B9" i="11"/>
  <c r="H7" i="22"/>
  <c r="J7" i="22"/>
  <c r="B41" i="11"/>
  <c r="I25" i="22"/>
  <c r="J25" i="22"/>
  <c r="B35" i="11"/>
  <c r="I23" i="22"/>
  <c r="J23" i="22"/>
  <c r="B52" i="11"/>
  <c r="I28" i="22"/>
  <c r="J28" i="22"/>
  <c r="H37" i="22"/>
  <c r="B53" i="11"/>
  <c r="I29" i="22"/>
  <c r="J29" i="22"/>
  <c r="B34" i="11"/>
  <c r="I22" i="22"/>
  <c r="J22" i="22"/>
  <c r="B54" i="11"/>
  <c r="I32" i="22"/>
  <c r="J32" i="22"/>
  <c r="B11" i="11"/>
  <c r="B10" i="11"/>
  <c r="B8" i="11"/>
  <c r="U2" i="9"/>
  <c r="C8" i="15"/>
  <c r="B8" i="15"/>
  <c r="C9" i="15"/>
  <c r="B9" i="15"/>
  <c r="S2" i="9"/>
  <c r="T2" i="9"/>
  <c r="B87" i="11"/>
  <c r="C48" i="11"/>
  <c r="B156" i="11"/>
  <c r="B174" i="11"/>
  <c r="E39" i="22"/>
  <c r="F33" i="22"/>
  <c r="J33" i="22"/>
  <c r="C38" i="11"/>
  <c r="C49" i="11"/>
  <c r="H10" i="11"/>
  <c r="H36" i="22"/>
  <c r="H38" i="22"/>
  <c r="I36" i="22"/>
  <c r="V2" i="9"/>
  <c r="F48" i="22"/>
  <c r="E48" i="22"/>
  <c r="J49" i="22"/>
  <c r="K49" i="22"/>
  <c r="D174" i="11"/>
  <c r="B194" i="11"/>
  <c r="B197" i="11"/>
  <c r="D197" i="11"/>
  <c r="I40" i="22"/>
  <c r="C15" i="11"/>
  <c r="C58" i="11"/>
  <c r="J51" i="22"/>
  <c r="E60" i="22"/>
  <c r="J55" i="22"/>
  <c r="C59" i="11"/>
  <c r="H11" i="11"/>
  <c r="R2" i="9"/>
  <c r="B21" i="11"/>
  <c r="C24" i="11"/>
  <c r="C26" i="11"/>
  <c r="H9" i="11"/>
  <c r="H12" i="11"/>
  <c r="C10" i="15"/>
  <c r="B10" i="15"/>
  <c r="Q2" i="9"/>
  <c r="C7" i="15"/>
  <c r="B7" i="15"/>
  <c r="M10" i="24" l="1"/>
  <c r="L10" i="24"/>
  <c r="Q4" i="9"/>
  <c r="C4" i="15" s="1"/>
  <c r="B4" i="15" s="1"/>
  <c r="C1" i="15" l="1"/>
  <c r="C12"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K1" authorId="0" shapeId="0" xr:uid="{00000000-0006-0000-0200-000001000000}">
      <text>
        <r>
          <rPr>
            <b/>
            <sz val="9"/>
            <color indexed="81"/>
            <rFont val="Tahoma"/>
            <family val="2"/>
          </rPr>
          <t>Antle, Rick:</t>
        </r>
        <r>
          <rPr>
            <sz val="9"/>
            <color indexed="81"/>
            <rFont val="Tahoma"/>
            <family val="2"/>
          </rPr>
          <t xml:space="preserve">
A a row in this column is light blue, the entry involves cash and the appropriate CFS in Col J should be selected.</t>
        </r>
      </text>
    </comment>
    <comment ref="H2" authorId="0" shapeId="0" xr:uid="{00000000-0006-0000-0200-000002000000}">
      <text>
        <r>
          <rPr>
            <b/>
            <sz val="9"/>
            <color indexed="81"/>
            <rFont val="Tahoma"/>
            <family val="2"/>
          </rPr>
          <t>Antle, Rick:</t>
        </r>
        <r>
          <rPr>
            <sz val="9"/>
            <color indexed="81"/>
            <rFont val="Tahoma"/>
            <family val="2"/>
          </rPr>
          <t xml:space="preserve">
After you have posted a number in a row, simply delete the corresponding entry in this column to remove the "No".</t>
        </r>
      </text>
    </comment>
    <comment ref="I2" authorId="0" shapeId="0" xr:uid="{00000000-0006-0000-0200-000003000000}">
      <text>
        <r>
          <rPr>
            <b/>
            <sz val="9"/>
            <color indexed="81"/>
            <rFont val="Tahoma"/>
            <family val="2"/>
          </rPr>
          <t>Antle, Rick:</t>
        </r>
        <r>
          <rPr>
            <sz val="9"/>
            <color indexed="81"/>
            <rFont val="Tahoma"/>
            <family val="2"/>
          </rPr>
          <t xml:space="preserve">
Ignore the sign of the numbers in this column. If it is blue, you need a debit. If it is pink, you need a credit.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00000000-0006-0000-0300-000001000000}">
      <text>
        <r>
          <rPr>
            <b/>
            <sz val="9"/>
            <color indexed="81"/>
            <rFont val="Tahoma"/>
            <family val="2"/>
          </rPr>
          <t>Antle, Rick:</t>
        </r>
        <r>
          <rPr>
            <sz val="9"/>
            <color indexed="81"/>
            <rFont val="Tahoma"/>
            <family val="2"/>
          </rPr>
          <t xml:space="preserve">
If this is RED, your T accounts are not in balance.
</t>
        </r>
      </text>
    </comment>
    <comment ref="C97" authorId="0" shapeId="0" xr:uid="{00000000-0006-0000-0300-000002000000}">
      <text>
        <r>
          <rPr>
            <b/>
            <sz val="9"/>
            <color indexed="81"/>
            <rFont val="Tahoma"/>
            <family val="2"/>
          </rPr>
          <t>Antle, Rick:</t>
        </r>
        <r>
          <rPr>
            <sz val="9"/>
            <color indexed="81"/>
            <rFont val="Tahoma"/>
            <family val="2"/>
          </rPr>
          <t xml:space="preserve">
If this cell is Red, the account is not yet closed. I.e., its balance is not zero.</t>
        </r>
      </text>
    </comment>
    <comment ref="G97" authorId="0" shapeId="0" xr:uid="{00000000-0006-0000-0300-000003000000}">
      <text>
        <r>
          <rPr>
            <b/>
            <sz val="9"/>
            <color indexed="81"/>
            <rFont val="Tahoma"/>
            <family val="2"/>
          </rPr>
          <t>Antle, Rick:</t>
        </r>
        <r>
          <rPr>
            <sz val="9"/>
            <color indexed="81"/>
            <rFont val="Tahoma"/>
            <family val="2"/>
          </rPr>
          <t xml:space="preserve">
If this cell is Red, the account is not yet closed. I.e., its balance is not zero.</t>
        </r>
      </text>
    </comment>
    <comment ref="K97" authorId="0" shapeId="0" xr:uid="{00000000-0006-0000-0300-000004000000}">
      <text>
        <r>
          <rPr>
            <b/>
            <sz val="9"/>
            <color indexed="81"/>
            <rFont val="Tahoma"/>
            <family val="2"/>
          </rPr>
          <t>Antle, Rick:</t>
        </r>
        <r>
          <rPr>
            <sz val="9"/>
            <color indexed="81"/>
            <rFont val="Tahoma"/>
            <family val="2"/>
          </rPr>
          <t xml:space="preserve">
If this cell is Red, the account is not yet closed. I.e., its balance is not zero.</t>
        </r>
      </text>
    </comment>
    <comment ref="O97" authorId="0" shapeId="0" xr:uid="{00000000-0006-0000-0300-000005000000}">
      <text>
        <r>
          <rPr>
            <b/>
            <sz val="9"/>
            <color indexed="81"/>
            <rFont val="Tahoma"/>
            <family val="2"/>
          </rPr>
          <t>Antle, Rick:</t>
        </r>
        <r>
          <rPr>
            <sz val="9"/>
            <color indexed="81"/>
            <rFont val="Tahoma"/>
            <family val="2"/>
          </rPr>
          <t xml:space="preserve">
If this cell is Red, the account is not yet closed. I.e., its balance is not zero.</t>
        </r>
      </text>
    </comment>
    <comment ref="B106" authorId="0" shapeId="0" xr:uid="{00000000-0006-0000-0300-000006000000}">
      <text>
        <r>
          <rPr>
            <b/>
            <sz val="9"/>
            <color indexed="81"/>
            <rFont val="Tahoma"/>
            <family val="2"/>
          </rPr>
          <t>Antle, Rick:</t>
        </r>
        <r>
          <rPr>
            <sz val="9"/>
            <color indexed="81"/>
            <rFont val="Tahoma"/>
            <family val="2"/>
          </rPr>
          <t xml:space="preserve">
If this cell is Red, the account is not yet closed. I.e., its balance is not zero.</t>
        </r>
      </text>
    </comment>
    <comment ref="F106" authorId="0" shapeId="0" xr:uid="{00000000-0006-0000-0300-000007000000}">
      <text>
        <r>
          <rPr>
            <b/>
            <sz val="9"/>
            <color indexed="81"/>
            <rFont val="Tahoma"/>
            <family val="2"/>
          </rPr>
          <t>Antle, Rick:</t>
        </r>
        <r>
          <rPr>
            <sz val="9"/>
            <color indexed="81"/>
            <rFont val="Tahoma"/>
            <family val="2"/>
          </rPr>
          <t xml:space="preserve">
If this cell is Red, the account is not yet closed. I.e., its balance is not zero.</t>
        </r>
      </text>
    </comment>
    <comment ref="J106" authorId="0" shapeId="0" xr:uid="{00000000-0006-0000-0300-000008000000}">
      <text>
        <r>
          <rPr>
            <b/>
            <sz val="9"/>
            <color indexed="81"/>
            <rFont val="Tahoma"/>
            <family val="2"/>
          </rPr>
          <t>Antle, Rick:</t>
        </r>
        <r>
          <rPr>
            <sz val="9"/>
            <color indexed="81"/>
            <rFont val="Tahoma"/>
            <family val="2"/>
          </rPr>
          <t xml:space="preserve">
If this cell is Red, the account is not yet closed. I.e., its balance is not zero.</t>
        </r>
      </text>
    </comment>
    <comment ref="N106" authorId="0" shapeId="0" xr:uid="{00000000-0006-0000-0300-000009000000}">
      <text>
        <r>
          <rPr>
            <b/>
            <sz val="9"/>
            <color indexed="81"/>
            <rFont val="Tahoma"/>
            <family val="2"/>
          </rPr>
          <t>Antle, Rick:</t>
        </r>
        <r>
          <rPr>
            <sz val="9"/>
            <color indexed="81"/>
            <rFont val="Tahoma"/>
            <family val="2"/>
          </rPr>
          <t xml:space="preserve">
If this cell is Red, the account is not yet closed. I.e., its balance is not zero.</t>
        </r>
      </text>
    </comment>
    <comment ref="B113" authorId="0" shapeId="0" xr:uid="{00000000-0006-0000-0300-00000A000000}">
      <text>
        <r>
          <rPr>
            <b/>
            <sz val="9"/>
            <color indexed="81"/>
            <rFont val="Tahoma"/>
            <family val="2"/>
          </rPr>
          <t>Antle, Rick:</t>
        </r>
        <r>
          <rPr>
            <sz val="9"/>
            <color indexed="81"/>
            <rFont val="Tahoma"/>
            <family val="2"/>
          </rPr>
          <t xml:space="preserve">
If this cell is Red, the account is not yet closed. I.e., its balance is not zero.</t>
        </r>
      </text>
    </comment>
    <comment ref="F113" authorId="0" shapeId="0" xr:uid="{00000000-0006-0000-0300-00000B000000}">
      <text>
        <r>
          <rPr>
            <b/>
            <sz val="9"/>
            <color indexed="81"/>
            <rFont val="Tahoma"/>
            <family val="2"/>
          </rPr>
          <t>Antle, Rick:</t>
        </r>
        <r>
          <rPr>
            <sz val="9"/>
            <color indexed="81"/>
            <rFont val="Tahoma"/>
            <family val="2"/>
          </rPr>
          <t xml:space="preserve">
If this cell is Red, the account is not yet closed. I.e., its balance is not zero.</t>
        </r>
      </text>
    </comment>
    <comment ref="J113" authorId="0" shapeId="0" xr:uid="{00000000-0006-0000-0300-00000C000000}">
      <text>
        <r>
          <rPr>
            <b/>
            <sz val="9"/>
            <color indexed="81"/>
            <rFont val="Tahoma"/>
            <family val="2"/>
          </rPr>
          <t>Antle, Rick:</t>
        </r>
        <r>
          <rPr>
            <sz val="9"/>
            <color indexed="81"/>
            <rFont val="Tahoma"/>
            <family val="2"/>
          </rPr>
          <t xml:space="preserve">
If this cell is Red, the account is not yet closed. I.e., its balance is not zero.</t>
        </r>
      </text>
    </comment>
    <comment ref="N113" authorId="0" shapeId="0" xr:uid="{00000000-0006-0000-0300-00000D000000}">
      <text>
        <r>
          <rPr>
            <b/>
            <sz val="9"/>
            <color indexed="81"/>
            <rFont val="Tahoma"/>
            <family val="2"/>
          </rPr>
          <t>Antle, Rick:</t>
        </r>
        <r>
          <rPr>
            <sz val="9"/>
            <color indexed="81"/>
            <rFont val="Tahoma"/>
            <family val="2"/>
          </rPr>
          <t xml:space="preserve">
If this cell is Red, the account is not yet closed. I.e., its balance is not zero.</t>
        </r>
      </text>
    </comment>
    <comment ref="B120" authorId="0" shapeId="0" xr:uid="{00000000-0006-0000-0300-00000E000000}">
      <text>
        <r>
          <rPr>
            <b/>
            <sz val="9"/>
            <color indexed="81"/>
            <rFont val="Tahoma"/>
            <family val="2"/>
          </rPr>
          <t>Antle, Rick:</t>
        </r>
        <r>
          <rPr>
            <sz val="9"/>
            <color indexed="81"/>
            <rFont val="Tahoma"/>
            <family val="2"/>
          </rPr>
          <t xml:space="preserve">
If this cell is Red, the account is not yet closed. I.e., its balance is not zero.</t>
        </r>
      </text>
    </comment>
    <comment ref="F120" authorId="0" shapeId="0" xr:uid="{00000000-0006-0000-0300-00000F000000}">
      <text>
        <r>
          <rPr>
            <b/>
            <sz val="9"/>
            <color indexed="81"/>
            <rFont val="Tahoma"/>
            <family val="2"/>
          </rPr>
          <t>Antle, Rick:</t>
        </r>
        <r>
          <rPr>
            <sz val="9"/>
            <color indexed="81"/>
            <rFont val="Tahoma"/>
            <family val="2"/>
          </rPr>
          <t xml:space="preserve">
If this cell is Red, the account is not yet closed. I.e., its balance is not zero.</t>
        </r>
      </text>
    </comment>
  </commentList>
</comments>
</file>

<file path=xl/sharedStrings.xml><?xml version="1.0" encoding="utf-8"?>
<sst xmlns="http://schemas.openxmlformats.org/spreadsheetml/2006/main" count="763" uniqueCount="324">
  <si>
    <t>Entity &amp; Period Information</t>
  </si>
  <si>
    <t>Item</t>
  </si>
  <si>
    <t>Value</t>
  </si>
  <si>
    <t>Entity</t>
  </si>
  <si>
    <t>ImmuCell Corp.</t>
  </si>
  <si>
    <t>Entity Type</t>
  </si>
  <si>
    <t>For-Profit</t>
  </si>
  <si>
    <t>For Beginning Balances Entered Below</t>
  </si>
  <si>
    <t>BegDate</t>
  </si>
  <si>
    <t>[BegDate]</t>
  </si>
  <si>
    <t>Total Assets Entered:</t>
  </si>
  <si>
    <t>EndDate</t>
  </si>
  <si>
    <t>[EndDate]</t>
  </si>
  <si>
    <t>Total Liabilities Entered:</t>
  </si>
  <si>
    <t>Period</t>
  </si>
  <si>
    <t>[Period]</t>
  </si>
  <si>
    <t>Total Equities Entered:</t>
  </si>
  <si>
    <t>Units</t>
  </si>
  <si>
    <t>[Units]</t>
  </si>
  <si>
    <t>Amount out of Balance:</t>
  </si>
  <si>
    <t>Permanent Accounts</t>
  </si>
  <si>
    <t>Account Type</t>
  </si>
  <si>
    <t>Account Name</t>
  </si>
  <si>
    <t>Beginning Balance Dr</t>
  </si>
  <si>
    <t>Beginning Balance Cr</t>
  </si>
  <si>
    <t>Asset</t>
  </si>
  <si>
    <t>Cash</t>
  </si>
  <si>
    <t>Current Asset 2</t>
  </si>
  <si>
    <t>Current Asset 3</t>
  </si>
  <si>
    <t>Contra to Current Asset 3</t>
  </si>
  <si>
    <t>Current Asset 4</t>
  </si>
  <si>
    <t>Contra to Current Asset 4</t>
  </si>
  <si>
    <t>Current Asset 5</t>
  </si>
  <si>
    <t>Current Asset 6</t>
  </si>
  <si>
    <t>Current Asset 7</t>
  </si>
  <si>
    <t>Property, Plant &amp; Equipment</t>
  </si>
  <si>
    <t>Accumulated Depreciation</t>
  </si>
  <si>
    <t>Liability</t>
  </si>
  <si>
    <t>Current Liability 1</t>
  </si>
  <si>
    <t>Current Liability 2</t>
  </si>
  <si>
    <t>Current Liability 3</t>
  </si>
  <si>
    <t>Current Liability 4</t>
  </si>
  <si>
    <t>Current Liability 5</t>
  </si>
  <si>
    <t>Current Liability 6</t>
  </si>
  <si>
    <t>Current Liability 7</t>
  </si>
  <si>
    <t>Noncurrent Liability 1</t>
  </si>
  <si>
    <t>Noncurrent Liability 2</t>
  </si>
  <si>
    <t>Noncurrent Liability 3</t>
  </si>
  <si>
    <t>Noncurrent Liability 4</t>
  </si>
  <si>
    <t>Noncurrent Liability 5</t>
  </si>
  <si>
    <t>Noncurrent Liability 6</t>
  </si>
  <si>
    <t>Noncurrent Liability 7</t>
  </si>
  <si>
    <t>Equity</t>
  </si>
  <si>
    <t>Contributed Equity 1</t>
  </si>
  <si>
    <t>Contributed Equity 2</t>
  </si>
  <si>
    <t>Contributed Equity 3</t>
  </si>
  <si>
    <t>Retained Earnings</t>
  </si>
  <si>
    <t>Accumulated Other Comp. Inc.</t>
  </si>
  <si>
    <t>Contra Equity 1</t>
  </si>
  <si>
    <t>Temporary Accounts</t>
  </si>
  <si>
    <t>Name</t>
  </si>
  <si>
    <t>TempEquity</t>
  </si>
  <si>
    <t>Revenue 1</t>
  </si>
  <si>
    <t>Revenue 2</t>
  </si>
  <si>
    <t>Expense 1</t>
  </si>
  <si>
    <t>Expense 2</t>
  </si>
  <si>
    <t>Expense 3</t>
  </si>
  <si>
    <t>Expense 4</t>
  </si>
  <si>
    <t>Expense 5</t>
  </si>
  <si>
    <t>Expense 6</t>
  </si>
  <si>
    <t>Expense 7</t>
  </si>
  <si>
    <t>Expense 8</t>
  </si>
  <si>
    <t>Gain 1</t>
  </si>
  <si>
    <t>Gain 2</t>
  </si>
  <si>
    <t>Loss 1</t>
  </si>
  <si>
    <t>Loss 2</t>
  </si>
  <si>
    <t>Transactions and Information</t>
  </si>
  <si>
    <t>Ref.</t>
  </si>
  <si>
    <r>
      <t xml:space="preserve">Journal </t>
    </r>
    <r>
      <rPr>
        <sz val="14"/>
        <color theme="1"/>
        <rFont val="Calibri"/>
        <family val="2"/>
        <scheme val="minor"/>
      </rPr>
      <t>(click for instructions)</t>
    </r>
  </si>
  <si>
    <t>OIF</t>
  </si>
  <si>
    <t>$</t>
  </si>
  <si>
    <t>AccntType</t>
  </si>
  <si>
    <t>Account to Debit</t>
  </si>
  <si>
    <t>Account to Credit</t>
  </si>
  <si>
    <t>Amount to Debit</t>
  </si>
  <si>
    <t>Amount to Credit</t>
  </si>
  <si>
    <t>Posted?</t>
  </si>
  <si>
    <t>Debits-Credits</t>
  </si>
  <si>
    <t>On October 1, 2019, issued 5 thousand shares of common stock for $225 thousand.</t>
  </si>
  <si>
    <t>a</t>
  </si>
  <si>
    <t>Purchased merchandise inventory on account from various suppliers for $900 thousand.</t>
  </si>
  <si>
    <t>b</t>
  </si>
  <si>
    <t>Incurred Salary expenses of $863 thousand.</t>
  </si>
  <si>
    <t>c</t>
  </si>
  <si>
    <t>Paid cash for salaries to employees in the amount of $950 thousand.</t>
  </si>
  <si>
    <t>d</t>
  </si>
  <si>
    <t>Sales were $2,500 thousand, all on account.</t>
  </si>
  <si>
    <t>e</t>
  </si>
  <si>
    <t>Collected accounts receivable of $2,450 thousand.</t>
  </si>
  <si>
    <t>f</t>
  </si>
  <si>
    <t>Paid rent of $450 thousand for the months of October 2019 through March 2020. (Record rent expense and Prepaid Rent in this one Journal entry.)</t>
  </si>
  <si>
    <t>g</t>
  </si>
  <si>
    <t>Depreciation expense for October through December 2019 was $20 thousand.</t>
  </si>
  <si>
    <t>h</t>
  </si>
  <si>
    <t>Paid accounts payable of $860 thousand.</t>
  </si>
  <si>
    <t>i</t>
  </si>
  <si>
    <t>On October 7, paid dividends of $5 thousand.</t>
  </si>
  <si>
    <t>j</t>
  </si>
  <si>
    <t>The 180-day note payable was issued on September 30, 2019 and carries an interest rate of 1% per quarter, therefore interest expense on the note for the quarter ended December 31, 2019 is $2 thousand. All interest on the note will be paid when the note matures on April 30, 2020.</t>
  </si>
  <si>
    <t>k</t>
  </si>
  <si>
    <t>The bonds payable were issued on September 30, 2019, and interest is not payable until the bonds mature on October 31, 2024. For the quarter ended December 31, 2019, the accrued interest on the bonds was $1 thousand.</t>
  </si>
  <si>
    <t>l</t>
  </si>
  <si>
    <t>Received cash payments totaling $69 thousand for services to be performed in January 2020.</t>
  </si>
  <si>
    <t>m</t>
  </si>
  <si>
    <t>At the close of business on December 31, 2019, bought a building for $200 thousand cash.</t>
  </si>
  <si>
    <t>n</t>
  </si>
  <si>
    <t>Cost of Goods Sold for the quarter was $983 thousand.</t>
  </si>
  <si>
    <t>o</t>
  </si>
  <si>
    <t>On October 15, 2018, declared a dividend to shareholders as of the close of business on September 20, 2019 of $0.10 per share payable on January 15, 2020. There were 185 thousand shares outstanding as of Sept 20, 2019.</t>
  </si>
  <si>
    <t>p</t>
  </si>
  <si>
    <t xml:space="preserve">On December 31, 2019, paid $210 thousand in cash for GoldMine Inc.. GoldMine Inc. had only three identifiable assets, Accounts Receivable with a fair market value on December 31 of $55 thousand, Inventories with a fair market value on December 31 of $45 thousand and Property &amp; Equipment with a fair market value on December 31 of $100 thousand. </t>
  </si>
  <si>
    <t>q</t>
  </si>
  <si>
    <t>Traded nine thousand shares of its common stock for a building valued at $405 thousand on December 31, 2019.</t>
  </si>
  <si>
    <t>r</t>
  </si>
  <si>
    <t xml:space="preserve">On December 31, 2019, sold an X-ray device (Property, Plant &amp; Equipment) with a cost of $60 thousand and accumulated depreciation of $15 thousand (as of December 31) for $47 thousand cash. </t>
  </si>
  <si>
    <t>s</t>
  </si>
  <si>
    <t>On December 31, 2019, provided additional compensation to employees by granting them 1 thousand shares of Rusher Co. common stock. The fair market value of the stock on the date of the grant was $45 thousand.</t>
  </si>
  <si>
    <t>t</t>
  </si>
  <si>
    <t>Was notified that a customer owing $3 thousand that was due in 30 days had declared bankruptcy and the court had nullified the debt. This was the first bad debt in the history of Rusher Co. Further, there is no reason to expect any of Rusher Co.’s other customers to fail to pay the entire amounts owed.</t>
  </si>
  <si>
    <t>u</t>
  </si>
  <si>
    <t xml:space="preserve">On December 31, 2019, sold a business unit (Expendable Division) for $120 thousand cash. The business unit had the following assets and liabilities at December 31:
Accounts Receivable  $48, Inventories  $10, Equipment which cost $80 and had Accumulated Depreciation of $21,  Accounts Payable $15 </t>
  </si>
  <si>
    <t>v</t>
  </si>
  <si>
    <t>w</t>
  </si>
  <si>
    <t>x</t>
  </si>
  <si>
    <t>Remember to close the Temporary Equity accounts!</t>
  </si>
  <si>
    <t>y</t>
  </si>
  <si>
    <t>Amount out of Balance</t>
  </si>
  <si>
    <t>Assets</t>
  </si>
  <si>
    <t>Liabilities</t>
  </si>
  <si>
    <t>Equities</t>
  </si>
  <si>
    <t>Temporary Eq's</t>
  </si>
  <si>
    <t>Liabilities+Equities</t>
  </si>
  <si>
    <t>General  Ledger</t>
  </si>
  <si>
    <t>(Taccnts)-(Journal)</t>
  </si>
  <si>
    <t>Drs (Posted-Journal)</t>
  </si>
  <si>
    <t>Crs (Posted-Journal)</t>
  </si>
  <si>
    <t>CURRENT ASSETS</t>
  </si>
  <si>
    <t>CURRENT CONTRA-ASSETS</t>
  </si>
  <si>
    <t>Cash_</t>
  </si>
  <si>
    <t>CA4_</t>
  </si>
  <si>
    <t>CA5_</t>
  </si>
  <si>
    <t>CA6_</t>
  </si>
  <si>
    <t>CA7_</t>
  </si>
  <si>
    <t>CA3_Contra</t>
  </si>
  <si>
    <t>CA4_Contra</t>
  </si>
  <si>
    <t>NCA1_</t>
  </si>
  <si>
    <t>NCA2_</t>
  </si>
  <si>
    <t>NCA3_</t>
  </si>
  <si>
    <t>NCA4_</t>
  </si>
  <si>
    <t>NONCURRENT ASSETS</t>
  </si>
  <si>
    <t>NCA1_Contra</t>
  </si>
  <si>
    <t>NCA2_Contra</t>
  </si>
  <si>
    <t>CL1_</t>
  </si>
  <si>
    <t>CL2_</t>
  </si>
  <si>
    <t>CL3_</t>
  </si>
  <si>
    <t>CL4_</t>
  </si>
  <si>
    <t>CL5_</t>
  </si>
  <si>
    <t>NONCURRENT CONTRA-ASSETS</t>
  </si>
  <si>
    <t>CL6_</t>
  </si>
  <si>
    <t>CL7_</t>
  </si>
  <si>
    <t>NCL1_</t>
  </si>
  <si>
    <t>NCL2_</t>
  </si>
  <si>
    <t>NCL3_</t>
  </si>
  <si>
    <t>NCL4_</t>
  </si>
  <si>
    <t>NCL5_</t>
  </si>
  <si>
    <t>NCL6_</t>
  </si>
  <si>
    <t xml:space="preserve"> CURRENT LIABILITIES</t>
  </si>
  <si>
    <t>NCL7_</t>
  </si>
  <si>
    <t>SE1-</t>
  </si>
  <si>
    <t>SE2_</t>
  </si>
  <si>
    <t>SE3_</t>
  </si>
  <si>
    <t>SE4_</t>
  </si>
  <si>
    <t>SE5_</t>
  </si>
  <si>
    <t>Conta_Equity1</t>
  </si>
  <si>
    <t>Rev_1</t>
  </si>
  <si>
    <t>Rev_2</t>
  </si>
  <si>
    <t>Gain_1</t>
  </si>
  <si>
    <t>Gain_2</t>
  </si>
  <si>
    <t>Exp_1</t>
  </si>
  <si>
    <t>Exp_2</t>
  </si>
  <si>
    <t>Exp_3</t>
  </si>
  <si>
    <t>Exp_4</t>
  </si>
  <si>
    <t xml:space="preserve"> NONCURRENT LIABILITIES</t>
  </si>
  <si>
    <t>Exp_5</t>
  </si>
  <si>
    <t>Exp_6</t>
  </si>
  <si>
    <t>Exp_7</t>
  </si>
  <si>
    <t>Exp_8</t>
  </si>
  <si>
    <t>Loss_1</t>
  </si>
  <si>
    <t>Loss_2</t>
  </si>
  <si>
    <t>EQUITIES</t>
  </si>
  <si>
    <t>Contra-Equity</t>
  </si>
  <si>
    <t>TEMPORARY ACCOUNTS</t>
  </si>
  <si>
    <t>Revenues and Gains</t>
  </si>
  <si>
    <t>Expenses and Losses</t>
  </si>
  <si>
    <t>Cash Flow Worksheet</t>
  </si>
  <si>
    <t>Beginning Balance</t>
  </si>
  <si>
    <t>Ref</t>
  </si>
  <si>
    <t>Explanations</t>
  </si>
  <si>
    <t>Ending Balance</t>
  </si>
  <si>
    <t>dr</t>
  </si>
  <si>
    <t>cr</t>
  </si>
  <si>
    <t>Balance?</t>
  </si>
  <si>
    <t>NI</t>
  </si>
  <si>
    <t>Beg cash</t>
  </si>
  <si>
    <t>BB</t>
  </si>
  <si>
    <t>End Cash</t>
  </si>
  <si>
    <t>Operations</t>
  </si>
  <si>
    <t>Difference</t>
  </si>
  <si>
    <t>CFO</t>
  </si>
  <si>
    <t>Total drs</t>
  </si>
  <si>
    <t>Total crs</t>
  </si>
  <si>
    <t>Explanations Check</t>
  </si>
  <si>
    <t>Investing</t>
  </si>
  <si>
    <t>CFI</t>
  </si>
  <si>
    <t>Ending Balance Check</t>
  </si>
  <si>
    <t>Financing</t>
  </si>
  <si>
    <t>CFF</t>
  </si>
  <si>
    <t>EB</t>
  </si>
  <si>
    <t>Checks</t>
  </si>
  <si>
    <t>Balance Sheets</t>
  </si>
  <si>
    <t>Total Assets</t>
  </si>
  <si>
    <t>Total Liabilities</t>
  </si>
  <si>
    <t>Total Shareholders' Equity</t>
  </si>
  <si>
    <t>A minus L plus E</t>
  </si>
  <si>
    <t>Current Assets:</t>
  </si>
  <si>
    <t>Total Current Assets:</t>
  </si>
  <si>
    <t>Noncurrent Assets:</t>
  </si>
  <si>
    <t>Property, Plant &amp; Equipment, net</t>
  </si>
  <si>
    <t>Total Non-current Assets:</t>
  </si>
  <si>
    <t>Liabilities and Equities</t>
  </si>
  <si>
    <t>Current Liabilities:</t>
  </si>
  <si>
    <t>Total Current Liabilities:</t>
  </si>
  <si>
    <t>Noncurrent Liabilities:</t>
  </si>
  <si>
    <t>Total NonCurrent Liabilities</t>
  </si>
  <si>
    <t>Shareholders' Equity</t>
  </si>
  <si>
    <t>Shareholders’ Equity:</t>
  </si>
  <si>
    <t>Total Liabilities &amp; Shareholders' Equity</t>
  </si>
  <si>
    <t>Income Statement</t>
  </si>
  <si>
    <t>Gross Margin</t>
  </si>
  <si>
    <t>Total Expenses</t>
  </si>
  <si>
    <t>Gains &amp; Losses:</t>
  </si>
  <si>
    <t>Total Gains &amp; Losses</t>
  </si>
  <si>
    <t>Net Income</t>
  </si>
  <si>
    <t>Cash Flow Statement</t>
  </si>
  <si>
    <t>Operations:</t>
  </si>
  <si>
    <t>Cash Flow from Operations</t>
  </si>
  <si>
    <t>Investing:</t>
  </si>
  <si>
    <t>Cash Flow from Investing</t>
  </si>
  <si>
    <t>Financing:</t>
  </si>
  <si>
    <t>Cash Flow from Financing</t>
  </si>
  <si>
    <t>Cash Flow for Investing</t>
  </si>
  <si>
    <t>Check</t>
  </si>
  <si>
    <t>Cash paid for interest</t>
  </si>
  <si>
    <t>Cash paid for taxes</t>
  </si>
  <si>
    <t>Noncash Transactions:</t>
  </si>
  <si>
    <t>Cash Flow From Operations:</t>
  </si>
  <si>
    <t>Adjustments to reconcile NI with CFO:</t>
  </si>
  <si>
    <t>Cash Flow From Operations</t>
  </si>
  <si>
    <t>Cash Flow for Investing:</t>
  </si>
  <si>
    <t>Cash Flow from Financing:</t>
  </si>
  <si>
    <t>Cash at [Begin Date]</t>
  </si>
  <si>
    <t>Cash at [End Date]</t>
  </si>
  <si>
    <t>Account Set 1</t>
  </si>
  <si>
    <t>T-ACCOUNTS</t>
  </si>
  <si>
    <t>Other Comprehensive Income</t>
  </si>
  <si>
    <t>Total</t>
  </si>
  <si>
    <t>JOURNAL TOOL</t>
  </si>
  <si>
    <t>Accounts to Debit</t>
  </si>
  <si>
    <t>Accounts to Credit</t>
  </si>
  <si>
    <t>Amounts to Debit</t>
  </si>
  <si>
    <t>Amounts to Credit</t>
  </si>
  <si>
    <t>Debits - Credits</t>
  </si>
  <si>
    <t>Account Set 2</t>
  </si>
  <si>
    <t>Day1</t>
  </si>
  <si>
    <t>disposals</t>
  </si>
  <si>
    <t>Disposal</t>
  </si>
  <si>
    <t>DeprExp</t>
  </si>
  <si>
    <t>AP</t>
  </si>
  <si>
    <t>Loss on PPE sale</t>
  </si>
  <si>
    <t>PPE</t>
  </si>
  <si>
    <t>Inventories</t>
  </si>
  <si>
    <t>Noncurrent</t>
  </si>
  <si>
    <t>Purch</t>
  </si>
  <si>
    <t>CoGS</t>
  </si>
  <si>
    <t>Day1Acq</t>
  </si>
  <si>
    <t>Current</t>
  </si>
  <si>
    <t>Short-term Investments</t>
  </si>
  <si>
    <t>Long-term Investments</t>
  </si>
  <si>
    <t>Interest Rate Swaps</t>
  </si>
  <si>
    <t>MtoM OCI</t>
  </si>
  <si>
    <t>HG on Int Rate Swaps</t>
  </si>
  <si>
    <t>CURRENT</t>
  </si>
  <si>
    <t>NONCURRENT</t>
  </si>
  <si>
    <t>CONTRA</t>
  </si>
  <si>
    <t>TOTAL, Net</t>
  </si>
  <si>
    <t>Equity1</t>
  </si>
  <si>
    <t>Equity2</t>
  </si>
  <si>
    <t>Tab(s)</t>
  </si>
  <si>
    <t>Basic Inputs</t>
  </si>
  <si>
    <t>Journal</t>
  </si>
  <si>
    <t>Journal &amp; T accnts</t>
  </si>
  <si>
    <t>T accnts</t>
  </si>
  <si>
    <t>Financial Statements</t>
  </si>
  <si>
    <t>Account_Type</t>
  </si>
  <si>
    <t>NetAssets</t>
  </si>
  <si>
    <t>Unrestricted Net Assets</t>
  </si>
  <si>
    <t>Restricted Net Assets</t>
  </si>
  <si>
    <t>Operating</t>
  </si>
  <si>
    <t>Noncurrent Asset 1</t>
  </si>
  <si>
    <t>Contra to Noncurrent Asset 1</t>
  </si>
  <si>
    <t>Noncurrent Asset 2</t>
  </si>
  <si>
    <t>Contra to Noncurrent Asset 2</t>
  </si>
  <si>
    <t>Noncurrent Asset 3</t>
  </si>
  <si>
    <t>Noncurrent Asset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</si>
</sst>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_);[Red]\(0.0\)"/>
    <numFmt numFmtId="165" formatCode="0_);[Red]\(0\)"/>
    <numFmt numFmtId="166" formatCode="&quot;$&quot;#,##0.0_);[Red]\(&quot;$&quot;#,##0.0\)"/>
    <numFmt numFmtId="167" formatCode="_(* #,##0.0_);_(* \(#,##0.0\);_(* &quot;-&quot;??_);_(@_)"/>
    <numFmt numFmtId="168" formatCode="_(&quot;$&quot;* #,##0.0_);_(&quot;$&quot;* \(#,##0.0\);_(&quot;$&quot;* &quot;-&quot;??_);_(@_)"/>
    <numFmt numFmtId="169" formatCode="0.0_);\(0.0\)"/>
    <numFmt numFmtId="170" formatCode="0.00_);\(0.00\)"/>
    <numFmt numFmtId="171" formatCode="_(* #,##0_);_(* \(#,##0\);_(* &quot;-&quot;??_);_(@_)"/>
  </numFmts>
  <fonts count="4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9"/>
      <name val="Helvetica"/>
      <family val="2"/>
    </font>
    <font>
      <b/>
      <sz val="9"/>
      <color indexed="18"/>
      <name val="Helvetica"/>
      <family val="2"/>
    </font>
    <font>
      <b/>
      <sz val="9"/>
      <color indexed="60"/>
      <name val="Helvetica"/>
      <family val="2"/>
    </font>
    <font>
      <b/>
      <sz val="9"/>
      <name val="Helvetica"/>
      <family val="2"/>
    </font>
    <font>
      <b/>
      <sz val="9"/>
      <color indexed="17"/>
      <name val="Helvetica"/>
      <family val="2"/>
    </font>
    <font>
      <b/>
      <sz val="10"/>
      <name val="Arial"/>
      <family val="2"/>
    </font>
    <font>
      <b/>
      <sz val="10"/>
      <name val="Arial"/>
      <family val="2"/>
    </font>
    <font>
      <u/>
      <sz val="10"/>
      <color theme="10"/>
      <name val="Arial"/>
      <family val="2"/>
    </font>
    <font>
      <u/>
      <sz val="10"/>
      <color theme="11"/>
      <name val="Arial"/>
      <family val="2"/>
    </font>
    <font>
      <b/>
      <sz val="12"/>
      <color indexed="8"/>
      <name val="Arial"/>
      <family val="2"/>
    </font>
    <font>
      <b/>
      <sz val="10"/>
      <color indexed="8"/>
      <name val="Arial"/>
      <family val="2"/>
    </font>
    <font>
      <b/>
      <sz val="11"/>
      <color indexed="8"/>
      <name val="Arial"/>
      <family val="2"/>
    </font>
    <font>
      <sz val="11"/>
      <color indexed="8"/>
      <name val="Times New Roman"/>
      <family val="1"/>
    </font>
    <font>
      <sz val="11"/>
      <name val="Times New Roman"/>
      <family val="1"/>
    </font>
    <font>
      <b/>
      <sz val="11"/>
      <color indexed="8"/>
      <name val="Times New Roman"/>
      <family val="1"/>
    </font>
    <font>
      <b/>
      <sz val="11"/>
      <name val="Times New Roman"/>
      <family val="1"/>
    </font>
    <font>
      <b/>
      <sz val="11"/>
      <color theme="1"/>
      <name val="Calibri"/>
      <family val="2"/>
      <scheme val="minor"/>
    </font>
    <font>
      <b/>
      <sz val="9"/>
      <name val="Helvetica"/>
    </font>
    <font>
      <b/>
      <sz val="9"/>
      <name val="Arial"/>
      <family val="2"/>
    </font>
    <font>
      <sz val="9"/>
      <name val="Arial"/>
      <family val="2"/>
    </font>
    <font>
      <sz val="9"/>
      <color indexed="81"/>
      <name val="Tahoma"/>
      <family val="2"/>
    </font>
    <font>
      <b/>
      <sz val="9"/>
      <color indexed="81"/>
      <name val="Tahoma"/>
      <family val="2"/>
    </font>
    <font>
      <b/>
      <sz val="16"/>
      <color theme="1"/>
      <name val="Calibri"/>
      <family val="2"/>
      <scheme val="minor"/>
    </font>
    <font>
      <b/>
      <sz val="10"/>
      <name val="Helvetica"/>
    </font>
    <font>
      <sz val="14"/>
      <color theme="1"/>
      <name val="Calibri"/>
      <family val="2"/>
      <scheme val="minor"/>
    </font>
    <font>
      <b/>
      <sz val="8"/>
      <name val="Arial"/>
      <family val="2"/>
    </font>
    <font>
      <sz val="8"/>
      <name val="Arial"/>
      <family val="2"/>
    </font>
    <font>
      <sz val="9"/>
      <color indexed="18"/>
      <name val="Helvetica"/>
      <family val="2"/>
    </font>
    <font>
      <sz val="9"/>
      <name val="Helvetica"/>
    </font>
    <font>
      <b/>
      <sz val="10"/>
      <color rgb="FF002060"/>
      <name val="Arial"/>
      <family val="2"/>
    </font>
    <font>
      <sz val="8"/>
      <name val="Arial"/>
      <family val="2"/>
    </font>
    <font>
      <b/>
      <sz val="9"/>
      <color rgb="FF993300"/>
      <name val="Helvetica"/>
      <family val="2"/>
    </font>
    <font>
      <sz val="11"/>
      <color rgb="FF993300"/>
      <name val="Calibri"/>
      <family val="2"/>
      <scheme val="minor"/>
    </font>
    <font>
      <sz val="11"/>
      <color theme="5" tint="-0.249977111117893"/>
      <name val="Calibri"/>
      <family val="2"/>
      <scheme val="minor"/>
    </font>
  </fonts>
  <fills count="22">
    <fill>
      <patternFill patternType="none"/>
    </fill>
    <fill>
      <patternFill patternType="gray125"/>
    </fill>
    <fill>
      <patternFill patternType="solid">
        <fgColor theme="4" tint="0.79998168889431442"/>
        <bgColor indexed="64"/>
      </patternFill>
    </fill>
    <fill>
      <patternFill patternType="solid">
        <fgColor rgb="FF92D050"/>
        <bgColor indexed="64"/>
      </patternFill>
    </fill>
    <fill>
      <patternFill patternType="solid">
        <fgColor theme="1"/>
        <bgColor indexed="64"/>
      </patternFill>
    </fill>
    <fill>
      <patternFill patternType="solid">
        <fgColor theme="4" tint="0.59999389629810485"/>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249977111117893"/>
        <bgColor indexed="64"/>
      </patternFill>
    </fill>
    <fill>
      <patternFill patternType="solid">
        <fgColor rgb="FF00B050"/>
        <bgColor indexed="64"/>
      </patternFill>
    </fill>
    <fill>
      <patternFill patternType="solid">
        <fgColor rgb="FFFF0000"/>
        <bgColor indexed="64"/>
      </patternFill>
    </fill>
    <fill>
      <patternFill patternType="solid">
        <fgColor theme="6" tint="0.39997558519241921"/>
        <bgColor indexed="64"/>
      </patternFill>
    </fill>
  </fills>
  <borders count="69">
    <border>
      <left/>
      <right/>
      <top/>
      <bottom/>
      <diagonal/>
    </border>
    <border>
      <left/>
      <right style="medium">
        <color auto="1"/>
      </right>
      <top style="medium">
        <color auto="1"/>
      </top>
      <bottom/>
      <diagonal/>
    </border>
    <border>
      <left style="medium">
        <color auto="1"/>
      </left>
      <right/>
      <top style="medium">
        <color auto="1"/>
      </top>
      <bottom/>
      <diagonal/>
    </border>
    <border>
      <left/>
      <right style="medium">
        <color auto="1"/>
      </right>
      <top/>
      <bottom/>
      <diagonal/>
    </border>
    <border>
      <left/>
      <right style="medium">
        <color auto="1"/>
      </right>
      <top style="thin">
        <color auto="1"/>
      </top>
      <bottom style="double">
        <color auto="1"/>
      </bottom>
      <diagonal/>
    </border>
    <border>
      <left style="medium">
        <color auto="1"/>
      </left>
      <right/>
      <top style="thin">
        <color auto="1"/>
      </top>
      <bottom/>
      <diagonal/>
    </border>
    <border>
      <left style="medium">
        <color auto="1"/>
      </left>
      <right/>
      <top/>
      <bottom style="thin">
        <color auto="1"/>
      </bottom>
      <diagonal/>
    </border>
    <border>
      <left/>
      <right style="medium">
        <color auto="1"/>
      </right>
      <top style="thin">
        <color auto="1"/>
      </top>
      <bottom/>
      <diagonal/>
    </border>
    <border>
      <left style="medium">
        <color auto="1"/>
      </left>
      <right/>
      <top style="thin">
        <color auto="1"/>
      </top>
      <bottom style="double">
        <color auto="1"/>
      </bottom>
      <diagonal/>
    </border>
    <border>
      <left/>
      <right style="medium">
        <color auto="1"/>
      </right>
      <top/>
      <bottom style="thin">
        <color auto="1"/>
      </bottom>
      <diagonal/>
    </border>
    <border>
      <left/>
      <right/>
      <top/>
      <bottom style="thin">
        <color auto="1"/>
      </bottom>
      <diagonal/>
    </border>
    <border>
      <left/>
      <right/>
      <top style="thin">
        <color auto="1"/>
      </top>
      <bottom style="double">
        <color auto="1"/>
      </bottom>
      <diagonal/>
    </border>
    <border>
      <left/>
      <right/>
      <top/>
      <bottom style="medium">
        <color auto="1"/>
      </bottom>
      <diagonal/>
    </border>
    <border>
      <left style="thin">
        <color auto="1"/>
      </left>
      <right/>
      <top/>
      <bottom/>
      <diagonal/>
    </border>
    <border>
      <left/>
      <right style="thin">
        <color auto="1"/>
      </right>
      <top/>
      <bottom/>
      <diagonal/>
    </border>
    <border>
      <left/>
      <right style="thin">
        <color auto="1"/>
      </right>
      <top style="thin">
        <color auto="1"/>
      </top>
      <bottom style="thin">
        <color auto="1"/>
      </bottom>
      <diagonal/>
    </border>
    <border>
      <left/>
      <right/>
      <top style="medium">
        <color auto="1"/>
      </top>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style="thick">
        <color auto="1"/>
      </right>
      <top/>
      <bottom style="thin">
        <color auto="1"/>
      </bottom>
      <diagonal/>
    </border>
    <border>
      <left/>
      <right style="thick">
        <color auto="1"/>
      </right>
      <top/>
      <bottom style="double">
        <color auto="1"/>
      </bottom>
      <diagonal/>
    </border>
    <border>
      <left/>
      <right style="thin">
        <color auto="1"/>
      </right>
      <top style="thick">
        <color auto="1"/>
      </top>
      <bottom style="thick">
        <color auto="1"/>
      </bottom>
      <diagonal/>
    </border>
    <border>
      <left/>
      <right style="thin">
        <color auto="1"/>
      </right>
      <top/>
      <bottom style="double">
        <color auto="1"/>
      </bottom>
      <diagonal/>
    </border>
    <border>
      <left/>
      <right style="thin">
        <color auto="1"/>
      </right>
      <top/>
      <bottom style="thick">
        <color auto="1"/>
      </bottom>
      <diagonal/>
    </border>
    <border>
      <left style="thin">
        <color auto="1"/>
      </left>
      <right/>
      <top/>
      <bottom style="thick">
        <color auto="1"/>
      </bottom>
      <diagonal/>
    </border>
    <border>
      <left style="thin">
        <color auto="1"/>
      </left>
      <right/>
      <top style="thick">
        <color auto="1"/>
      </top>
      <bottom style="thick">
        <color auto="1"/>
      </bottom>
      <diagonal/>
    </border>
    <border>
      <left/>
      <right style="thick">
        <color auto="1"/>
      </right>
      <top style="thin">
        <color auto="1"/>
      </top>
      <bottom style="double">
        <color auto="1"/>
      </bottom>
      <diagonal/>
    </border>
    <border>
      <left/>
      <right style="thick">
        <color auto="1"/>
      </right>
      <top style="thin">
        <color auto="1"/>
      </top>
      <bottom style="thin">
        <color auto="1"/>
      </bottom>
      <diagonal/>
    </border>
    <border>
      <left/>
      <right style="thin">
        <color auto="1"/>
      </right>
      <top style="thick">
        <color auto="1"/>
      </top>
      <bottom/>
      <diagonal/>
    </border>
    <border>
      <left style="thin">
        <color indexed="64"/>
      </left>
      <right/>
      <top style="thick">
        <color auto="1"/>
      </top>
      <bottom/>
      <diagonal/>
    </border>
    <border>
      <left style="thin">
        <color auto="1"/>
      </left>
      <right/>
      <top style="thin">
        <color indexed="64"/>
      </top>
      <bottom/>
      <diagonal/>
    </border>
    <border>
      <left/>
      <right/>
      <top style="thin">
        <color indexed="64"/>
      </top>
      <bottom/>
      <diagonal/>
    </border>
    <border>
      <left/>
      <right/>
      <top style="medium">
        <color auto="1"/>
      </top>
      <bottom style="medium">
        <color indexed="64"/>
      </bottom>
      <diagonal/>
    </border>
    <border>
      <left/>
      <right style="medium">
        <color indexed="64"/>
      </right>
      <top style="medium">
        <color auto="1"/>
      </top>
      <bottom style="medium">
        <color indexed="64"/>
      </bottom>
      <diagonal/>
    </border>
    <border>
      <left/>
      <right style="medium">
        <color indexed="64"/>
      </right>
      <top/>
      <bottom style="medium">
        <color auto="1"/>
      </bottom>
      <diagonal/>
    </border>
    <border>
      <left style="medium">
        <color auto="1"/>
      </left>
      <right style="medium">
        <color indexed="64"/>
      </right>
      <top style="medium">
        <color auto="1"/>
      </top>
      <bottom/>
      <diagonal/>
    </border>
    <border>
      <left style="medium">
        <color auto="1"/>
      </left>
      <right style="medium">
        <color indexed="64"/>
      </right>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auto="1"/>
      </top>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auto="1"/>
      </left>
      <right style="medium">
        <color auto="1"/>
      </right>
      <top/>
      <bottom/>
      <diagonal/>
    </border>
    <border>
      <left style="medium">
        <color indexed="64"/>
      </left>
      <right/>
      <top style="medium">
        <color indexed="64"/>
      </top>
      <bottom style="medium">
        <color indexed="64"/>
      </bottom>
      <diagonal/>
    </border>
    <border>
      <left style="thin">
        <color indexed="64"/>
      </left>
      <right style="thin">
        <color indexed="64"/>
      </right>
      <top style="medium">
        <color auto="1"/>
      </top>
      <bottom style="medium">
        <color indexed="64"/>
      </bottom>
      <diagonal/>
    </border>
    <border>
      <left/>
      <right/>
      <top style="thin">
        <color auto="1"/>
      </top>
      <bottom style="thin">
        <color indexed="64"/>
      </bottom>
      <diagonal/>
    </border>
    <border>
      <left style="thin">
        <color auto="1"/>
      </left>
      <right/>
      <top/>
      <bottom style="medium">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double">
        <color auto="1"/>
      </bottom>
      <diagonal/>
    </border>
  </borders>
  <cellStyleXfs count="24">
    <xf numFmtId="0" fontId="0" fillId="0" borderId="0"/>
    <xf numFmtId="43" fontId="5" fillId="0" borderId="0" applyFont="0" applyFill="0" applyBorder="0" applyAlignment="0" applyProtection="0"/>
    <xf numFmtId="44" fontId="5" fillId="0" borderId="0" applyFon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5" fillId="0" borderId="0"/>
    <xf numFmtId="0" fontId="4" fillId="0" borderId="0"/>
    <xf numFmtId="43" fontId="4" fillId="0" borderId="0" applyFont="0" applyFill="0" applyBorder="0" applyAlignment="0" applyProtection="0"/>
    <xf numFmtId="0" fontId="3" fillId="0" borderId="0"/>
    <xf numFmtId="43" fontId="3" fillId="0" borderId="0" applyFont="0" applyFill="0" applyBorder="0" applyAlignment="0" applyProtection="0"/>
    <xf numFmtId="0" fontId="2" fillId="0" borderId="0"/>
    <xf numFmtId="43" fontId="2" fillId="0" borderId="0" applyFont="0" applyFill="0" applyBorder="0" applyAlignment="0" applyProtection="0"/>
    <xf numFmtId="0" fontId="1" fillId="0" borderId="0"/>
    <xf numFmtId="43" fontId="1" fillId="0" borderId="0" applyFont="0" applyFill="0" applyBorder="0" applyAlignment="0" applyProtection="0"/>
  </cellStyleXfs>
  <cellXfs count="520">
    <xf numFmtId="0" fontId="0" fillId="0" borderId="0" xfId="0"/>
    <xf numFmtId="165" fontId="7" fillId="0" borderId="0" xfId="0" applyNumberFormat="1" applyFont="1" applyAlignment="1">
      <alignment horizontal="center"/>
    </xf>
    <xf numFmtId="164" fontId="9" fillId="0" borderId="0" xfId="0" applyNumberFormat="1" applyFont="1" applyAlignment="1">
      <alignment horizontal="center"/>
    </xf>
    <xf numFmtId="0" fontId="12" fillId="0" borderId="0" xfId="0" applyFont="1"/>
    <xf numFmtId="0" fontId="5" fillId="0" borderId="0" xfId="0" applyFont="1"/>
    <xf numFmtId="164" fontId="6" fillId="0" borderId="0" xfId="0" applyNumberFormat="1" applyFont="1" applyAlignment="1">
      <alignment horizontal="center"/>
    </xf>
    <xf numFmtId="166" fontId="19" fillId="0" borderId="20" xfId="0" applyNumberFormat="1" applyFont="1" applyBorder="1" applyAlignment="1">
      <alignment horizontal="right" wrapText="1"/>
    </xf>
    <xf numFmtId="167" fontId="19" fillId="0" borderId="20" xfId="1" applyNumberFormat="1" applyFont="1" applyBorder="1" applyAlignment="1">
      <alignment horizontal="right" wrapText="1"/>
    </xf>
    <xf numFmtId="166" fontId="19" fillId="0" borderId="0" xfId="0" applyNumberFormat="1" applyFont="1" applyAlignment="1">
      <alignment horizontal="right" wrapText="1"/>
    </xf>
    <xf numFmtId="168" fontId="18" fillId="0" borderId="20" xfId="2" applyNumberFormat="1" applyFont="1" applyBorder="1" applyAlignment="1">
      <alignment horizontal="right" wrapText="1"/>
    </xf>
    <xf numFmtId="167" fontId="18" fillId="0" borderId="20" xfId="1" applyNumberFormat="1" applyFont="1" applyBorder="1" applyAlignment="1">
      <alignment horizontal="right" wrapText="1"/>
    </xf>
    <xf numFmtId="0" fontId="19" fillId="0" borderId="22" xfId="0" applyFont="1" applyBorder="1" applyAlignment="1">
      <alignment horizontal="right" wrapText="1"/>
    </xf>
    <xf numFmtId="0" fontId="19" fillId="0" borderId="23" xfId="0" applyFont="1" applyBorder="1" applyAlignment="1">
      <alignment horizontal="right" vertical="top" wrapText="1"/>
    </xf>
    <xf numFmtId="0" fontId="19" fillId="0" borderId="23" xfId="0" applyFont="1" applyBorder="1" applyAlignment="1">
      <alignment horizontal="right" wrapText="1"/>
    </xf>
    <xf numFmtId="0" fontId="17" fillId="0" borderId="0" xfId="0" applyFont="1" applyAlignment="1">
      <alignment horizontal="center" wrapText="1"/>
    </xf>
    <xf numFmtId="0" fontId="0" fillId="0" borderId="20" xfId="0" applyBorder="1"/>
    <xf numFmtId="0" fontId="0" fillId="0" borderId="23" xfId="0" applyBorder="1"/>
    <xf numFmtId="0" fontId="0" fillId="0" borderId="17" xfId="0" applyBorder="1"/>
    <xf numFmtId="0" fontId="5" fillId="0" borderId="19" xfId="0" applyFont="1" applyBorder="1"/>
    <xf numFmtId="0" fontId="0" fillId="0" borderId="21" xfId="0" applyBorder="1"/>
    <xf numFmtId="0" fontId="11" fillId="0" borderId="19" xfId="0" applyFont="1" applyBorder="1"/>
    <xf numFmtId="0" fontId="5" fillId="0" borderId="0" xfId="15"/>
    <xf numFmtId="164" fontId="0" fillId="0" borderId="0" xfId="0" applyNumberFormat="1"/>
    <xf numFmtId="0" fontId="17" fillId="0" borderId="13" xfId="0" applyFont="1" applyBorder="1" applyAlignment="1">
      <alignment horizontal="center" wrapText="1"/>
    </xf>
    <xf numFmtId="0" fontId="17" fillId="0" borderId="14" xfId="0" applyFont="1" applyBorder="1" applyAlignment="1">
      <alignment horizontal="center" wrapText="1"/>
    </xf>
    <xf numFmtId="0" fontId="17" fillId="0" borderId="20" xfId="0" applyFont="1" applyBorder="1" applyAlignment="1">
      <alignment horizontal="center" wrapText="1"/>
    </xf>
    <xf numFmtId="0" fontId="17" fillId="0" borderId="36" xfId="0" applyFont="1" applyBorder="1" applyAlignment="1">
      <alignment horizontal="center" wrapText="1"/>
    </xf>
    <xf numFmtId="0" fontId="17" fillId="0" borderId="18" xfId="0" applyFont="1" applyBorder="1" applyAlignment="1">
      <alignment horizontal="center" wrapText="1"/>
    </xf>
    <xf numFmtId="166" fontId="18" fillId="0" borderId="20" xfId="0" applyNumberFormat="1" applyFont="1" applyBorder="1" applyAlignment="1">
      <alignment horizontal="right" wrapText="1"/>
    </xf>
    <xf numFmtId="0" fontId="17" fillId="0" borderId="37" xfId="0" applyFont="1" applyBorder="1" applyAlignment="1">
      <alignment horizontal="center" wrapText="1"/>
    </xf>
    <xf numFmtId="0" fontId="11" fillId="0" borderId="0" xfId="0" applyFont="1" applyAlignment="1">
      <alignment horizontal="center"/>
    </xf>
    <xf numFmtId="0" fontId="5" fillId="0" borderId="0" xfId="0" applyFont="1" applyAlignment="1">
      <alignment horizontal="center"/>
    </xf>
    <xf numFmtId="168" fontId="0" fillId="0" borderId="0" xfId="2" applyNumberFormat="1" applyFont="1"/>
    <xf numFmtId="49" fontId="5" fillId="0" borderId="0" xfId="0" applyNumberFormat="1" applyFont="1"/>
    <xf numFmtId="166" fontId="19" fillId="0" borderId="38" xfId="0" applyNumberFormat="1" applyFont="1" applyBorder="1" applyAlignment="1">
      <alignment horizontal="right" wrapText="1"/>
    </xf>
    <xf numFmtId="49" fontId="18" fillId="0" borderId="19" xfId="0" applyNumberFormat="1" applyFont="1" applyBorder="1" applyAlignment="1">
      <alignment wrapText="1"/>
    </xf>
    <xf numFmtId="49" fontId="17" fillId="0" borderId="19" xfId="0" applyNumberFormat="1" applyFont="1" applyBorder="1" applyAlignment="1">
      <alignment horizontal="center" wrapText="1"/>
    </xf>
    <xf numFmtId="49" fontId="17" fillId="0" borderId="19" xfId="0" applyNumberFormat="1" applyFont="1" applyBorder="1" applyAlignment="1">
      <alignment wrapText="1"/>
    </xf>
    <xf numFmtId="49" fontId="0" fillId="0" borderId="0" xfId="0" applyNumberFormat="1"/>
    <xf numFmtId="49" fontId="19" fillId="0" borderId="19" xfId="0" applyNumberFormat="1" applyFont="1" applyBorder="1" applyAlignment="1">
      <alignment horizontal="right" wrapText="1"/>
    </xf>
    <xf numFmtId="49" fontId="20" fillId="0" borderId="19" xfId="0" applyNumberFormat="1" applyFont="1" applyBorder="1" applyAlignment="1">
      <alignment wrapText="1"/>
    </xf>
    <xf numFmtId="49" fontId="19" fillId="0" borderId="21" xfId="0" applyNumberFormat="1" applyFont="1" applyBorder="1" applyAlignment="1">
      <alignment vertical="top" wrapText="1"/>
    </xf>
    <xf numFmtId="49" fontId="17" fillId="0" borderId="0" xfId="0" applyNumberFormat="1" applyFont="1" applyAlignment="1">
      <alignment horizontal="left" wrapText="1"/>
    </xf>
    <xf numFmtId="49" fontId="19" fillId="0" borderId="0" xfId="0" applyNumberFormat="1" applyFont="1" applyAlignment="1">
      <alignment wrapText="1"/>
    </xf>
    <xf numFmtId="49" fontId="21" fillId="0" borderId="0" xfId="0" applyNumberFormat="1" applyFont="1" applyAlignment="1">
      <alignment wrapText="1"/>
    </xf>
    <xf numFmtId="49" fontId="20" fillId="0" borderId="0" xfId="0" applyNumberFormat="1" applyFont="1" applyAlignment="1">
      <alignment wrapText="1"/>
    </xf>
    <xf numFmtId="49" fontId="19" fillId="0" borderId="22" xfId="0" applyNumberFormat="1" applyFont="1" applyBorder="1" applyAlignment="1">
      <alignment wrapText="1"/>
    </xf>
    <xf numFmtId="166" fontId="19" fillId="0" borderId="14" xfId="0" applyNumberFormat="1" applyFont="1" applyBorder="1" applyAlignment="1">
      <alignment horizontal="right" wrapText="1"/>
    </xf>
    <xf numFmtId="167" fontId="19" fillId="0" borderId="14" xfId="1" applyNumberFormat="1" applyFont="1" applyFill="1" applyBorder="1" applyAlignment="1">
      <alignment horizontal="right" wrapText="1"/>
    </xf>
    <xf numFmtId="166" fontId="19" fillId="0" borderId="13" xfId="0" applyNumberFormat="1" applyFont="1" applyBorder="1" applyAlignment="1">
      <alignment horizontal="right" wrapText="1"/>
    </xf>
    <xf numFmtId="168" fontId="18" fillId="0" borderId="14" xfId="2" applyNumberFormat="1" applyFont="1" applyFill="1" applyBorder="1" applyAlignment="1">
      <alignment horizontal="right" wrapText="1"/>
    </xf>
    <xf numFmtId="0" fontId="19" fillId="0" borderId="32" xfId="0" applyFont="1" applyBorder="1" applyAlignment="1">
      <alignment vertical="top" wrapText="1"/>
    </xf>
    <xf numFmtId="0" fontId="19" fillId="0" borderId="31" xfId="0" applyFont="1" applyBorder="1" applyAlignment="1">
      <alignment vertical="top" wrapText="1"/>
    </xf>
    <xf numFmtId="166" fontId="18" fillId="0" borderId="14" xfId="0" applyNumberFormat="1" applyFont="1" applyBorder="1" applyAlignment="1">
      <alignment horizontal="right" wrapText="1"/>
    </xf>
    <xf numFmtId="0" fontId="0" fillId="0" borderId="13" xfId="0" applyBorder="1"/>
    <xf numFmtId="0" fontId="19" fillId="0" borderId="32" xfId="0" applyFont="1" applyBorder="1" applyAlignment="1">
      <alignment wrapText="1"/>
    </xf>
    <xf numFmtId="0" fontId="19" fillId="0" borderId="31" xfId="0" applyFont="1" applyBorder="1" applyAlignment="1">
      <alignment wrapText="1"/>
    </xf>
    <xf numFmtId="167" fontId="18" fillId="2" borderId="0" xfId="1" applyNumberFormat="1" applyFont="1" applyFill="1" applyAlignment="1">
      <alignment horizontal="right" wrapText="1"/>
    </xf>
    <xf numFmtId="44" fontId="19" fillId="0" borderId="0" xfId="2" applyFont="1" applyAlignment="1">
      <alignment horizontal="right" wrapText="1"/>
    </xf>
    <xf numFmtId="44" fontId="18" fillId="0" borderId="14" xfId="2" applyFont="1" applyFill="1" applyBorder="1" applyAlignment="1">
      <alignment horizontal="right" wrapText="1"/>
    </xf>
    <xf numFmtId="167" fontId="18" fillId="2" borderId="13" xfId="1" applyNumberFormat="1" applyFont="1" applyFill="1" applyBorder="1" applyAlignment="1">
      <alignment horizontal="right" wrapText="1"/>
    </xf>
    <xf numFmtId="44" fontId="0" fillId="0" borderId="0" xfId="0" applyNumberFormat="1"/>
    <xf numFmtId="168" fontId="0" fillId="0" borderId="20" xfId="2" applyNumberFormat="1" applyFont="1" applyFill="1" applyBorder="1"/>
    <xf numFmtId="168" fontId="0" fillId="0" borderId="35" xfId="2" applyNumberFormat="1" applyFont="1" applyFill="1" applyBorder="1"/>
    <xf numFmtId="166" fontId="19" fillId="0" borderId="39" xfId="0" applyNumberFormat="1" applyFont="1" applyBorder="1" applyAlignment="1">
      <alignment horizontal="right" wrapText="1"/>
    </xf>
    <xf numFmtId="44" fontId="19" fillId="0" borderId="39" xfId="2" applyFont="1" applyBorder="1" applyAlignment="1">
      <alignment horizontal="right" wrapText="1"/>
    </xf>
    <xf numFmtId="168" fontId="18" fillId="2" borderId="0" xfId="2" applyNumberFormat="1" applyFont="1" applyFill="1" applyAlignment="1">
      <alignment horizontal="right" wrapText="1"/>
    </xf>
    <xf numFmtId="168" fontId="18" fillId="2" borderId="13" xfId="2" applyNumberFormat="1" applyFont="1" applyFill="1" applyBorder="1" applyAlignment="1">
      <alignment horizontal="right" wrapText="1"/>
    </xf>
    <xf numFmtId="0" fontId="5" fillId="0" borderId="12" xfId="0" applyFont="1" applyBorder="1" applyAlignment="1">
      <alignment horizontal="center"/>
    </xf>
    <xf numFmtId="0" fontId="0" fillId="2" borderId="0" xfId="0" applyFill="1"/>
    <xf numFmtId="168" fontId="18" fillId="0" borderId="15" xfId="2" applyNumberFormat="1" applyFont="1" applyFill="1" applyBorder="1" applyAlignment="1">
      <alignment horizontal="right" wrapText="1"/>
    </xf>
    <xf numFmtId="168" fontId="19" fillId="0" borderId="38" xfId="2" applyNumberFormat="1" applyFont="1" applyFill="1" applyBorder="1" applyAlignment="1">
      <alignment horizontal="right" wrapText="1"/>
    </xf>
    <xf numFmtId="168" fontId="20" fillId="0" borderId="30" xfId="2" applyNumberFormat="1" applyFont="1" applyFill="1" applyBorder="1" applyAlignment="1">
      <alignment horizontal="right" wrapText="1"/>
    </xf>
    <xf numFmtId="168" fontId="20" fillId="0" borderId="28" xfId="2" applyNumberFormat="1" applyFont="1" applyBorder="1" applyAlignment="1">
      <alignment horizontal="right" wrapText="1"/>
    </xf>
    <xf numFmtId="168" fontId="18" fillId="0" borderId="35" xfId="2" applyNumberFormat="1" applyFont="1" applyBorder="1" applyAlignment="1">
      <alignment horizontal="right" wrapText="1"/>
    </xf>
    <xf numFmtId="168" fontId="19" fillId="0" borderId="35" xfId="2" applyNumberFormat="1" applyFont="1" applyBorder="1" applyAlignment="1">
      <alignment horizontal="right" wrapText="1"/>
    </xf>
    <xf numFmtId="168" fontId="19" fillId="0" borderId="15" xfId="2" applyNumberFormat="1" applyFont="1" applyFill="1" applyBorder="1" applyAlignment="1">
      <alignment horizontal="right" wrapText="1"/>
    </xf>
    <xf numFmtId="168" fontId="11" fillId="0" borderId="34" xfId="2" applyNumberFormat="1" applyFont="1" applyFill="1" applyBorder="1"/>
    <xf numFmtId="0" fontId="18" fillId="0" borderId="19" xfId="0" applyFont="1" applyBorder="1" applyAlignment="1">
      <alignment wrapText="1"/>
    </xf>
    <xf numFmtId="0" fontId="19" fillId="0" borderId="0" xfId="0" applyFont="1" applyAlignment="1">
      <alignment wrapText="1"/>
    </xf>
    <xf numFmtId="49" fontId="19" fillId="0" borderId="0" xfId="15" applyNumberFormat="1" applyFont="1" applyAlignment="1">
      <alignment wrapText="1"/>
    </xf>
    <xf numFmtId="44" fontId="11" fillId="0" borderId="11" xfId="0" applyNumberFormat="1" applyFont="1" applyBorder="1"/>
    <xf numFmtId="0" fontId="5" fillId="6" borderId="12" xfId="0" applyFont="1" applyFill="1" applyBorder="1" applyAlignment="1">
      <alignment horizontal="center"/>
    </xf>
    <xf numFmtId="0" fontId="22" fillId="0" borderId="0" xfId="0" applyFont="1" applyAlignment="1">
      <alignment horizontal="center"/>
    </xf>
    <xf numFmtId="0" fontId="0" fillId="7" borderId="0" xfId="0" applyFill="1"/>
    <xf numFmtId="165" fontId="7" fillId="7" borderId="0" xfId="0" applyNumberFormat="1" applyFont="1" applyFill="1" applyAlignment="1">
      <alignment horizontal="center"/>
    </xf>
    <xf numFmtId="164" fontId="6" fillId="7" borderId="0" xfId="0" applyNumberFormat="1" applyFont="1" applyFill="1" applyAlignment="1">
      <alignment horizontal="center"/>
    </xf>
    <xf numFmtId="164" fontId="8" fillId="7" borderId="0" xfId="0" applyNumberFormat="1" applyFont="1" applyFill="1" applyAlignment="1">
      <alignment horizontal="center"/>
    </xf>
    <xf numFmtId="164" fontId="6" fillId="2" borderId="0" xfId="0" applyNumberFormat="1" applyFont="1" applyFill="1" applyAlignment="1">
      <alignment horizontal="center"/>
    </xf>
    <xf numFmtId="165" fontId="7" fillId="2" borderId="0" xfId="0" applyNumberFormat="1" applyFont="1" applyFill="1" applyAlignment="1">
      <alignment horizontal="center"/>
    </xf>
    <xf numFmtId="164" fontId="8" fillId="2" borderId="0" xfId="0" applyNumberFormat="1" applyFont="1" applyFill="1" applyAlignment="1">
      <alignment horizontal="center"/>
    </xf>
    <xf numFmtId="164" fontId="0" fillId="2" borderId="0" xfId="0" applyNumberFormat="1" applyFill="1"/>
    <xf numFmtId="0" fontId="0" fillId="8" borderId="0" xfId="0" applyFill="1"/>
    <xf numFmtId="167" fontId="6" fillId="2" borderId="1" xfId="1" applyNumberFormat="1" applyFont="1" applyFill="1" applyBorder="1"/>
    <xf numFmtId="167" fontId="6" fillId="2" borderId="2" xfId="1" applyNumberFormat="1" applyFont="1" applyFill="1" applyBorder="1"/>
    <xf numFmtId="167" fontId="6" fillId="2" borderId="0" xfId="1" applyNumberFormat="1" applyFont="1" applyFill="1"/>
    <xf numFmtId="167" fontId="6" fillId="2" borderId="4" xfId="1" applyNumberFormat="1" applyFont="1" applyFill="1" applyBorder="1"/>
    <xf numFmtId="167" fontId="6" fillId="2" borderId="5" xfId="1" applyNumberFormat="1" applyFont="1" applyFill="1" applyBorder="1"/>
    <xf numFmtId="167" fontId="6" fillId="7" borderId="1" xfId="1" applyNumberFormat="1" applyFont="1" applyFill="1" applyBorder="1"/>
    <xf numFmtId="167" fontId="6" fillId="7" borderId="2" xfId="1" applyNumberFormat="1" applyFont="1" applyFill="1" applyBorder="1"/>
    <xf numFmtId="167" fontId="6" fillId="7" borderId="7" xfId="1" applyNumberFormat="1" applyFont="1" applyFill="1" applyBorder="1"/>
    <xf numFmtId="167" fontId="6" fillId="7" borderId="8" xfId="1" applyNumberFormat="1" applyFont="1" applyFill="1" applyBorder="1"/>
    <xf numFmtId="164" fontId="6" fillId="9" borderId="0" xfId="0" applyNumberFormat="1" applyFont="1" applyFill="1" applyAlignment="1">
      <alignment horizontal="center"/>
    </xf>
    <xf numFmtId="165" fontId="7" fillId="9" borderId="0" xfId="0" applyNumberFormat="1" applyFont="1" applyFill="1" applyAlignment="1">
      <alignment horizontal="center"/>
    </xf>
    <xf numFmtId="164" fontId="8" fillId="9" borderId="0" xfId="0" applyNumberFormat="1" applyFont="1" applyFill="1" applyAlignment="1">
      <alignment horizontal="center"/>
    </xf>
    <xf numFmtId="164" fontId="6" fillId="9" borderId="0" xfId="0" applyNumberFormat="1" applyFont="1" applyFill="1"/>
    <xf numFmtId="0" fontId="0" fillId="9" borderId="0" xfId="0" applyFill="1"/>
    <xf numFmtId="164" fontId="9" fillId="9" borderId="0" xfId="0" applyNumberFormat="1" applyFont="1" applyFill="1" applyAlignment="1">
      <alignment horizontal="center"/>
    </xf>
    <xf numFmtId="0" fontId="11" fillId="14" borderId="0" xfId="0" applyFont="1" applyFill="1" applyAlignment="1">
      <alignment horizontal="center"/>
    </xf>
    <xf numFmtId="0" fontId="0" fillId="14" borderId="0" xfId="0" applyFill="1"/>
    <xf numFmtId="164" fontId="6" fillId="14" borderId="0" xfId="0" applyNumberFormat="1" applyFont="1" applyFill="1" applyAlignment="1">
      <alignment horizontal="center"/>
    </xf>
    <xf numFmtId="164" fontId="9" fillId="14" borderId="0" xfId="0" applyNumberFormat="1" applyFont="1" applyFill="1" applyAlignment="1">
      <alignment horizontal="center"/>
    </xf>
    <xf numFmtId="165" fontId="7" fillId="14" borderId="0" xfId="0" applyNumberFormat="1" applyFont="1" applyFill="1" applyAlignment="1">
      <alignment horizontal="center"/>
    </xf>
    <xf numFmtId="164" fontId="8" fillId="14" borderId="0" xfId="0" applyNumberFormat="1" applyFont="1" applyFill="1" applyAlignment="1">
      <alignment horizontal="center"/>
    </xf>
    <xf numFmtId="164" fontId="6" fillId="14" borderId="0" xfId="0" applyNumberFormat="1" applyFont="1" applyFill="1"/>
    <xf numFmtId="167" fontId="6" fillId="14" borderId="4" xfId="1" applyNumberFormat="1" applyFont="1" applyFill="1" applyBorder="1"/>
    <xf numFmtId="167" fontId="6" fillId="14" borderId="8" xfId="1" applyNumberFormat="1" applyFont="1" applyFill="1" applyBorder="1"/>
    <xf numFmtId="164" fontId="6" fillId="12" borderId="0" xfId="0" applyNumberFormat="1" applyFont="1" applyFill="1" applyAlignment="1">
      <alignment horizontal="center"/>
    </xf>
    <xf numFmtId="165" fontId="7" fillId="12" borderId="0" xfId="0" applyNumberFormat="1" applyFont="1" applyFill="1" applyAlignment="1">
      <alignment horizontal="center"/>
    </xf>
    <xf numFmtId="164" fontId="6" fillId="12" borderId="0" xfId="0" applyNumberFormat="1" applyFont="1" applyFill="1"/>
    <xf numFmtId="0" fontId="0" fillId="12" borderId="0" xfId="0" applyFill="1"/>
    <xf numFmtId="164" fontId="10" fillId="12" borderId="0" xfId="0" applyNumberFormat="1" applyFont="1" applyFill="1" applyAlignment="1">
      <alignment horizontal="center"/>
    </xf>
    <xf numFmtId="164" fontId="6" fillId="17" borderId="0" xfId="0" applyNumberFormat="1" applyFont="1" applyFill="1" applyAlignment="1">
      <alignment horizontal="center"/>
    </xf>
    <xf numFmtId="167" fontId="6" fillId="7" borderId="4" xfId="1" applyNumberFormat="1" applyFont="1" applyFill="1" applyBorder="1"/>
    <xf numFmtId="167" fontId="6" fillId="7" borderId="5" xfId="1" applyNumberFormat="1" applyFont="1" applyFill="1" applyBorder="1"/>
    <xf numFmtId="167" fontId="6" fillId="9" borderId="1" xfId="1" applyNumberFormat="1" applyFont="1" applyFill="1" applyBorder="1"/>
    <xf numFmtId="167" fontId="6" fillId="9" borderId="2" xfId="1" applyNumberFormat="1" applyFont="1" applyFill="1" applyBorder="1"/>
    <xf numFmtId="167" fontId="6" fillId="9" borderId="7" xfId="1" applyNumberFormat="1" applyFont="1" applyFill="1" applyBorder="1"/>
    <xf numFmtId="167" fontId="6" fillId="9" borderId="8" xfId="1" applyNumberFormat="1" applyFont="1" applyFill="1" applyBorder="1"/>
    <xf numFmtId="167" fontId="6" fillId="14" borderId="1" xfId="1" applyNumberFormat="1" applyFont="1" applyFill="1" applyBorder="1"/>
    <xf numFmtId="167" fontId="6" fillId="14" borderId="2" xfId="1" applyNumberFormat="1" applyFont="1" applyFill="1" applyBorder="1"/>
    <xf numFmtId="167" fontId="6" fillId="14" borderId="7" xfId="1" applyNumberFormat="1" applyFont="1" applyFill="1" applyBorder="1"/>
    <xf numFmtId="167" fontId="7" fillId="12" borderId="0" xfId="1" applyNumberFormat="1" applyFont="1" applyFill="1" applyAlignment="1">
      <alignment horizontal="center"/>
    </xf>
    <xf numFmtId="167" fontId="6" fillId="12" borderId="0" xfId="1" applyNumberFormat="1" applyFont="1" applyFill="1" applyBorder="1"/>
    <xf numFmtId="167" fontId="6" fillId="12" borderId="0" xfId="1" applyNumberFormat="1" applyFont="1" applyFill="1" applyAlignment="1">
      <alignment horizontal="center"/>
    </xf>
    <xf numFmtId="167" fontId="0" fillId="12" borderId="0" xfId="1" applyNumberFormat="1" applyFont="1" applyFill="1"/>
    <xf numFmtId="167" fontId="10" fillId="12" borderId="0" xfId="1" applyNumberFormat="1" applyFont="1" applyFill="1" applyAlignment="1">
      <alignment horizontal="center"/>
    </xf>
    <xf numFmtId="167" fontId="9" fillId="12" borderId="0" xfId="1" applyNumberFormat="1" applyFont="1" applyFill="1" applyAlignment="1">
      <alignment horizontal="center"/>
    </xf>
    <xf numFmtId="167" fontId="7" fillId="17" borderId="0" xfId="1" applyNumberFormat="1" applyFont="1" applyFill="1" applyAlignment="1">
      <alignment horizontal="center"/>
    </xf>
    <xf numFmtId="167" fontId="6" fillId="17" borderId="0" xfId="1" applyNumberFormat="1" applyFont="1" applyFill="1" applyAlignment="1">
      <alignment horizontal="center"/>
    </xf>
    <xf numFmtId="167" fontId="6" fillId="17" borderId="3" xfId="1" applyNumberFormat="1" applyFont="1" applyFill="1" applyBorder="1"/>
    <xf numFmtId="167" fontId="6" fillId="17" borderId="0" xfId="1" applyNumberFormat="1" applyFont="1" applyFill="1" applyBorder="1"/>
    <xf numFmtId="167" fontId="10" fillId="17" borderId="0" xfId="1" applyNumberFormat="1" applyFont="1" applyFill="1" applyAlignment="1">
      <alignment horizontal="center"/>
    </xf>
    <xf numFmtId="167" fontId="9" fillId="17" borderId="0" xfId="1" applyNumberFormat="1" applyFont="1" applyFill="1" applyAlignment="1">
      <alignment horizontal="center"/>
    </xf>
    <xf numFmtId="167" fontId="0" fillId="17" borderId="0" xfId="1" applyNumberFormat="1" applyFont="1" applyFill="1"/>
    <xf numFmtId="164" fontId="6" fillId="8" borderId="0" xfId="0" applyNumberFormat="1" applyFont="1" applyFill="1" applyAlignment="1">
      <alignment horizontal="center"/>
    </xf>
    <xf numFmtId="0" fontId="11" fillId="2" borderId="0" xfId="0" applyFont="1" applyFill="1"/>
    <xf numFmtId="167" fontId="6" fillId="17" borderId="11" xfId="1" applyNumberFormat="1" applyFont="1" applyFill="1" applyBorder="1"/>
    <xf numFmtId="167" fontId="6" fillId="17" borderId="0" xfId="1" applyNumberFormat="1" applyFont="1" applyFill="1" applyBorder="1" applyAlignment="1">
      <alignment horizontal="center"/>
    </xf>
    <xf numFmtId="167" fontId="6" fillId="12" borderId="4" xfId="1" applyNumberFormat="1" applyFont="1" applyFill="1" applyBorder="1"/>
    <xf numFmtId="167" fontId="5" fillId="0" borderId="0" xfId="1" applyNumberFormat="1" applyFont="1"/>
    <xf numFmtId="167" fontId="5" fillId="4" borderId="0" xfId="1" applyNumberFormat="1" applyFont="1" applyFill="1"/>
    <xf numFmtId="167" fontId="0" fillId="4" borderId="0" xfId="1" applyNumberFormat="1" applyFont="1" applyFill="1"/>
    <xf numFmtId="167" fontId="5" fillId="0" borderId="0" xfId="1" applyNumberFormat="1" applyFont="1" applyFill="1"/>
    <xf numFmtId="168" fontId="0" fillId="0" borderId="0" xfId="2" applyNumberFormat="1" applyFont="1" applyAlignment="1">
      <alignment horizontal="center"/>
    </xf>
    <xf numFmtId="0" fontId="11" fillId="19" borderId="0" xfId="0" applyFont="1" applyFill="1"/>
    <xf numFmtId="167" fontId="6" fillId="2" borderId="3" xfId="1" applyNumberFormat="1" applyFont="1" applyFill="1" applyBorder="1" applyProtection="1">
      <protection locked="0"/>
    </xf>
    <xf numFmtId="167" fontId="6" fillId="2" borderId="0" xfId="1" applyNumberFormat="1" applyFont="1" applyFill="1" applyProtection="1">
      <protection locked="0"/>
    </xf>
    <xf numFmtId="167" fontId="6" fillId="2" borderId="0" xfId="1" applyNumberFormat="1" applyFont="1" applyFill="1" applyBorder="1" applyProtection="1">
      <protection locked="0"/>
    </xf>
    <xf numFmtId="167" fontId="0" fillId="2" borderId="0" xfId="1" applyNumberFormat="1" applyFont="1" applyFill="1" applyProtection="1">
      <protection locked="0"/>
    </xf>
    <xf numFmtId="167" fontId="6" fillId="2" borderId="6" xfId="1" applyNumberFormat="1" applyFont="1" applyFill="1" applyBorder="1" applyProtection="1">
      <protection locked="0"/>
    </xf>
    <xf numFmtId="165" fontId="7" fillId="2" borderId="0" xfId="0" applyNumberFormat="1" applyFont="1" applyFill="1" applyAlignment="1" applyProtection="1">
      <alignment horizontal="center"/>
      <protection locked="0"/>
    </xf>
    <xf numFmtId="164" fontId="6" fillId="2" borderId="0" xfId="0" applyNumberFormat="1" applyFont="1" applyFill="1" applyAlignment="1" applyProtection="1">
      <alignment horizontal="center"/>
      <protection locked="0"/>
    </xf>
    <xf numFmtId="0" fontId="0" fillId="2" borderId="0" xfId="0" applyFill="1" applyProtection="1">
      <protection locked="0"/>
    </xf>
    <xf numFmtId="164" fontId="8" fillId="2" borderId="0" xfId="0" applyNumberFormat="1" applyFont="1" applyFill="1" applyAlignment="1" applyProtection="1">
      <alignment horizontal="center"/>
      <protection locked="0"/>
    </xf>
    <xf numFmtId="165" fontId="7" fillId="7" borderId="0" xfId="0" applyNumberFormat="1" applyFont="1" applyFill="1" applyAlignment="1" applyProtection="1">
      <alignment horizontal="center"/>
      <protection locked="0"/>
    </xf>
    <xf numFmtId="167" fontId="6" fillId="7" borderId="3" xfId="1" applyNumberFormat="1" applyFont="1" applyFill="1" applyBorder="1" applyProtection="1">
      <protection locked="0"/>
    </xf>
    <xf numFmtId="167" fontId="6" fillId="7" borderId="0" xfId="1" applyNumberFormat="1" applyFont="1" applyFill="1" applyProtection="1">
      <protection locked="0"/>
    </xf>
    <xf numFmtId="167" fontId="0" fillId="7" borderId="0" xfId="1" applyNumberFormat="1" applyFont="1" applyFill="1" applyProtection="1">
      <protection locked="0"/>
    </xf>
    <xf numFmtId="165" fontId="7" fillId="9" borderId="0" xfId="0" applyNumberFormat="1" applyFont="1" applyFill="1" applyAlignment="1" applyProtection="1">
      <alignment horizontal="center"/>
      <protection locked="0"/>
    </xf>
    <xf numFmtId="167" fontId="6" fillId="9" borderId="3" xfId="1" applyNumberFormat="1" applyFont="1" applyFill="1" applyBorder="1" applyProtection="1">
      <protection locked="0"/>
    </xf>
    <xf numFmtId="167" fontId="6" fillId="9" borderId="0" xfId="1" applyNumberFormat="1" applyFont="1" applyFill="1" applyBorder="1" applyProtection="1">
      <protection locked="0"/>
    </xf>
    <xf numFmtId="167" fontId="0" fillId="9" borderId="0" xfId="1" applyNumberFormat="1" applyFont="1" applyFill="1" applyProtection="1">
      <protection locked="0"/>
    </xf>
    <xf numFmtId="0" fontId="0" fillId="9" borderId="0" xfId="0" applyFill="1" applyProtection="1">
      <protection locked="0"/>
    </xf>
    <xf numFmtId="164" fontId="6" fillId="9" borderId="0" xfId="0" applyNumberFormat="1" applyFont="1" applyFill="1" applyAlignment="1" applyProtection="1">
      <alignment horizontal="center"/>
      <protection locked="0"/>
    </xf>
    <xf numFmtId="167" fontId="6" fillId="9" borderId="0" xfId="1" applyNumberFormat="1" applyFont="1" applyFill="1" applyBorder="1" applyAlignment="1" applyProtection="1">
      <protection locked="0"/>
    </xf>
    <xf numFmtId="164" fontId="8" fillId="9" borderId="0" xfId="0" applyNumberFormat="1" applyFont="1" applyFill="1" applyAlignment="1" applyProtection="1">
      <alignment horizontal="center"/>
      <protection locked="0"/>
    </xf>
    <xf numFmtId="167" fontId="6" fillId="9" borderId="0" xfId="1" applyNumberFormat="1" applyFont="1" applyFill="1" applyProtection="1">
      <protection locked="0"/>
    </xf>
    <xf numFmtId="165" fontId="7" fillId="14" borderId="0" xfId="0" applyNumberFormat="1" applyFont="1" applyFill="1" applyAlignment="1" applyProtection="1">
      <alignment horizontal="center"/>
      <protection locked="0"/>
    </xf>
    <xf numFmtId="167" fontId="6" fillId="14" borderId="3" xfId="1" applyNumberFormat="1" applyFont="1" applyFill="1" applyBorder="1" applyProtection="1">
      <protection locked="0"/>
    </xf>
    <xf numFmtId="167" fontId="6" fillId="14" borderId="0" xfId="1" applyNumberFormat="1" applyFont="1" applyFill="1" applyBorder="1" applyProtection="1">
      <protection locked="0"/>
    </xf>
    <xf numFmtId="164" fontId="6" fillId="14" borderId="0" xfId="0" applyNumberFormat="1" applyFont="1" applyFill="1" applyAlignment="1" applyProtection="1">
      <alignment horizontal="center"/>
      <protection locked="0"/>
    </xf>
    <xf numFmtId="167" fontId="6" fillId="14" borderId="0" xfId="1" applyNumberFormat="1" applyFont="1" applyFill="1" applyProtection="1">
      <protection locked="0"/>
    </xf>
    <xf numFmtId="0" fontId="0" fillId="14" borderId="0" xfId="0" applyFill="1" applyProtection="1">
      <protection locked="0"/>
    </xf>
    <xf numFmtId="167" fontId="0" fillId="14" borderId="0" xfId="1" applyNumberFormat="1" applyFont="1" applyFill="1" applyProtection="1">
      <protection locked="0"/>
    </xf>
    <xf numFmtId="164" fontId="6" fillId="7" borderId="0" xfId="0" applyNumberFormat="1" applyFont="1" applyFill="1" applyAlignment="1" applyProtection="1">
      <alignment horizontal="center"/>
      <protection locked="0"/>
    </xf>
    <xf numFmtId="0" fontId="0" fillId="7" borderId="0" xfId="0" applyFill="1" applyProtection="1">
      <protection locked="0"/>
    </xf>
    <xf numFmtId="164" fontId="9" fillId="14" borderId="0" xfId="0" applyNumberFormat="1" applyFont="1" applyFill="1" applyAlignment="1" applyProtection="1">
      <alignment horizontal="center"/>
      <protection locked="0"/>
    </xf>
    <xf numFmtId="167" fontId="7" fillId="17" borderId="0" xfId="1" applyNumberFormat="1" applyFont="1" applyFill="1" applyAlignment="1" applyProtection="1">
      <alignment horizontal="center"/>
      <protection locked="0"/>
    </xf>
    <xf numFmtId="167" fontId="6" fillId="17" borderId="1" xfId="1" applyNumberFormat="1" applyFont="1" applyFill="1" applyBorder="1" applyProtection="1">
      <protection locked="0"/>
    </xf>
    <xf numFmtId="167" fontId="6" fillId="17" borderId="2" xfId="1" applyNumberFormat="1" applyFont="1" applyFill="1" applyBorder="1" applyProtection="1">
      <protection locked="0"/>
    </xf>
    <xf numFmtId="167" fontId="6" fillId="17" borderId="3" xfId="1" applyNumberFormat="1" applyFont="1" applyFill="1" applyBorder="1" applyProtection="1">
      <protection locked="0"/>
    </xf>
    <xf numFmtId="167" fontId="6" fillId="17" borderId="0" xfId="1" applyNumberFormat="1" applyFont="1" applyFill="1" applyBorder="1" applyProtection="1">
      <protection locked="0"/>
    </xf>
    <xf numFmtId="167" fontId="6" fillId="17" borderId="9" xfId="1" applyNumberFormat="1" applyFont="1" applyFill="1" applyBorder="1" applyProtection="1">
      <protection locked="0"/>
    </xf>
    <xf numFmtId="167" fontId="6" fillId="17" borderId="10" xfId="1" applyNumberFormat="1" applyFont="1" applyFill="1" applyBorder="1" applyProtection="1">
      <protection locked="0"/>
    </xf>
    <xf numFmtId="167" fontId="6" fillId="17" borderId="0" xfId="1" applyNumberFormat="1" applyFont="1" applyFill="1" applyAlignment="1" applyProtection="1">
      <alignment horizontal="center"/>
      <protection locked="0"/>
    </xf>
    <xf numFmtId="167" fontId="7" fillId="12" borderId="0" xfId="1" applyNumberFormat="1" applyFont="1" applyFill="1" applyAlignment="1" applyProtection="1">
      <alignment horizontal="center"/>
      <protection locked="0"/>
    </xf>
    <xf numFmtId="167" fontId="6" fillId="12" borderId="1" xfId="1" applyNumberFormat="1" applyFont="1" applyFill="1" applyBorder="1" applyProtection="1">
      <protection locked="0"/>
    </xf>
    <xf numFmtId="167" fontId="6" fillId="12" borderId="2" xfId="1" applyNumberFormat="1" applyFont="1" applyFill="1" applyBorder="1" applyProtection="1">
      <protection locked="0"/>
    </xf>
    <xf numFmtId="167" fontId="6" fillId="12" borderId="0" xfId="1" applyNumberFormat="1" applyFont="1" applyFill="1" applyAlignment="1" applyProtection="1">
      <alignment horizontal="center"/>
      <protection locked="0"/>
    </xf>
    <xf numFmtId="167" fontId="6" fillId="12" borderId="3" xfId="1" applyNumberFormat="1" applyFont="1" applyFill="1" applyBorder="1" applyProtection="1">
      <protection locked="0"/>
    </xf>
    <xf numFmtId="167" fontId="6" fillId="12" borderId="0" xfId="1" applyNumberFormat="1" applyFont="1" applyFill="1" applyBorder="1" applyProtection="1">
      <protection locked="0"/>
    </xf>
    <xf numFmtId="167" fontId="6" fillId="12" borderId="0" xfId="1" applyNumberFormat="1" applyFont="1" applyFill="1" applyProtection="1">
      <protection locked="0"/>
    </xf>
    <xf numFmtId="167" fontId="6" fillId="12" borderId="9" xfId="1" applyNumberFormat="1" applyFont="1" applyFill="1" applyBorder="1" applyProtection="1">
      <protection locked="0"/>
    </xf>
    <xf numFmtId="167" fontId="6" fillId="12" borderId="10" xfId="1" applyNumberFormat="1" applyFont="1" applyFill="1" applyBorder="1" applyProtection="1">
      <protection locked="0"/>
    </xf>
    <xf numFmtId="164" fontId="6" fillId="12" borderId="0" xfId="0" applyNumberFormat="1" applyFont="1" applyFill="1" applyAlignment="1" applyProtection="1">
      <alignment horizontal="center"/>
      <protection locked="0"/>
    </xf>
    <xf numFmtId="165" fontId="7" fillId="12" borderId="0" xfId="0" applyNumberFormat="1" applyFont="1" applyFill="1" applyAlignment="1" applyProtection="1">
      <alignment horizontal="center"/>
      <protection locked="0"/>
    </xf>
    <xf numFmtId="167" fontId="9" fillId="12" borderId="0" xfId="1" applyNumberFormat="1" applyFont="1" applyFill="1" applyAlignment="1" applyProtection="1">
      <alignment horizontal="center"/>
      <protection locked="0"/>
    </xf>
    <xf numFmtId="168" fontId="11" fillId="0" borderId="0" xfId="2" applyNumberFormat="1" applyFont="1" applyFill="1"/>
    <xf numFmtId="0" fontId="29" fillId="21" borderId="41" xfId="15" applyFont="1" applyFill="1" applyBorder="1" applyAlignment="1">
      <alignment horizontal="center"/>
    </xf>
    <xf numFmtId="0" fontId="4" fillId="13" borderId="57" xfId="16" applyFill="1" applyBorder="1" applyProtection="1">
      <protection locked="0"/>
    </xf>
    <xf numFmtId="167" fontId="0" fillId="13" borderId="14" xfId="17" applyNumberFormat="1" applyFont="1" applyFill="1" applyBorder="1" applyProtection="1">
      <protection locked="0"/>
    </xf>
    <xf numFmtId="167" fontId="0" fillId="13" borderId="57" xfId="17" applyNumberFormat="1" applyFont="1" applyFill="1" applyBorder="1" applyProtection="1">
      <protection locked="0"/>
    </xf>
    <xf numFmtId="0" fontId="4" fillId="13" borderId="54" xfId="16" applyFill="1" applyBorder="1" applyProtection="1">
      <protection locked="0"/>
    </xf>
    <xf numFmtId="167" fontId="0" fillId="13" borderId="55" xfId="17" applyNumberFormat="1" applyFont="1" applyFill="1" applyBorder="1" applyProtection="1">
      <protection locked="0"/>
    </xf>
    <xf numFmtId="167" fontId="0" fillId="13" borderId="54" xfId="17" applyNumberFormat="1" applyFont="1" applyFill="1" applyBorder="1" applyProtection="1">
      <protection locked="0"/>
    </xf>
    <xf numFmtId="0" fontId="4" fillId="14" borderId="57" xfId="16" applyFill="1" applyBorder="1" applyProtection="1">
      <protection locked="0"/>
    </xf>
    <xf numFmtId="167" fontId="0" fillId="14" borderId="14" xfId="17" applyNumberFormat="1" applyFont="1" applyFill="1" applyBorder="1" applyProtection="1">
      <protection locked="0"/>
    </xf>
    <xf numFmtId="167" fontId="0" fillId="14" borderId="57" xfId="17" applyNumberFormat="1" applyFont="1" applyFill="1" applyBorder="1" applyProtection="1">
      <protection locked="0"/>
    </xf>
    <xf numFmtId="0" fontId="4" fillId="14" borderId="54" xfId="16" applyFill="1" applyBorder="1" applyProtection="1">
      <protection locked="0"/>
    </xf>
    <xf numFmtId="167" fontId="0" fillId="14" borderId="55" xfId="17" applyNumberFormat="1" applyFont="1" applyFill="1" applyBorder="1" applyProtection="1">
      <protection locked="0"/>
    </xf>
    <xf numFmtId="167" fontId="0" fillId="14" borderId="54" xfId="17" applyNumberFormat="1" applyFont="1" applyFill="1" applyBorder="1" applyProtection="1">
      <protection locked="0"/>
    </xf>
    <xf numFmtId="167" fontId="0" fillId="13" borderId="0" xfId="17" applyNumberFormat="1" applyFont="1" applyFill="1" applyBorder="1" applyProtection="1">
      <protection locked="0"/>
    </xf>
    <xf numFmtId="167" fontId="0" fillId="13" borderId="12" xfId="17" applyNumberFormat="1" applyFont="1" applyFill="1" applyBorder="1" applyProtection="1">
      <protection locked="0"/>
    </xf>
    <xf numFmtId="167" fontId="0" fillId="14" borderId="0" xfId="17" applyNumberFormat="1" applyFont="1" applyFill="1" applyBorder="1" applyProtection="1">
      <protection locked="0"/>
    </xf>
    <xf numFmtId="167" fontId="0" fillId="14" borderId="12" xfId="17" applyNumberFormat="1" applyFont="1" applyFill="1" applyBorder="1" applyProtection="1">
      <protection locked="0"/>
    </xf>
    <xf numFmtId="167" fontId="0" fillId="0" borderId="44" xfId="17" applyNumberFormat="1" applyFont="1" applyFill="1" applyBorder="1" applyAlignment="1" applyProtection="1">
      <alignment horizontal="center"/>
    </xf>
    <xf numFmtId="167" fontId="0" fillId="0" borderId="43" xfId="17" applyNumberFormat="1" applyFont="1" applyFill="1" applyBorder="1" applyAlignment="1" applyProtection="1">
      <alignment horizontal="center"/>
    </xf>
    <xf numFmtId="167" fontId="0" fillId="0" borderId="58" xfId="17" applyNumberFormat="1" applyFont="1" applyFill="1" applyBorder="1" applyAlignment="1" applyProtection="1">
      <alignment horizontal="center"/>
    </xf>
    <xf numFmtId="0" fontId="29" fillId="21" borderId="60" xfId="15" applyFont="1" applyFill="1" applyBorder="1" applyAlignment="1">
      <alignment horizontal="center"/>
    </xf>
    <xf numFmtId="168" fontId="0" fillId="0" borderId="0" xfId="2" applyNumberFormat="1" applyFont="1" applyFill="1"/>
    <xf numFmtId="0" fontId="0" fillId="0" borderId="12" xfId="0" applyBorder="1" applyAlignment="1">
      <alignment horizontal="center"/>
    </xf>
    <xf numFmtId="0" fontId="11" fillId="19" borderId="12" xfId="0" applyFont="1" applyFill="1" applyBorder="1" applyAlignment="1">
      <alignment horizontal="center"/>
    </xf>
    <xf numFmtId="168" fontId="0" fillId="2" borderId="20" xfId="2" applyNumberFormat="1" applyFont="1" applyFill="1" applyBorder="1" applyProtection="1">
      <protection locked="0"/>
    </xf>
    <xf numFmtId="167" fontId="0" fillId="2" borderId="27" xfId="1" applyNumberFormat="1" applyFont="1" applyFill="1" applyBorder="1" applyProtection="1">
      <protection locked="0"/>
    </xf>
    <xf numFmtId="167" fontId="0" fillId="2" borderId="20" xfId="1" applyNumberFormat="1" applyFont="1" applyFill="1" applyBorder="1" applyProtection="1">
      <protection locked="0"/>
    </xf>
    <xf numFmtId="0" fontId="29" fillId="20" borderId="42" xfId="15" applyFont="1" applyFill="1" applyBorder="1" applyAlignment="1">
      <alignment horizontal="center"/>
    </xf>
    <xf numFmtId="0" fontId="29" fillId="19" borderId="46" xfId="15" applyFont="1" applyFill="1" applyBorder="1" applyAlignment="1">
      <alignment horizontal="center"/>
    </xf>
    <xf numFmtId="0" fontId="29" fillId="0" borderId="49" xfId="15" applyFont="1" applyBorder="1" applyAlignment="1">
      <alignment horizontal="center"/>
    </xf>
    <xf numFmtId="0" fontId="4" fillId="0" borderId="50" xfId="16" applyBorder="1" applyAlignment="1" applyProtection="1">
      <alignment horizontal="center" vertical="center" wrapText="1"/>
      <protection locked="0"/>
    </xf>
    <xf numFmtId="0" fontId="4" fillId="0" borderId="53" xfId="16" applyBorder="1" applyAlignment="1" applyProtection="1">
      <alignment horizontal="center" vertical="center" wrapText="1"/>
      <protection locked="0"/>
    </xf>
    <xf numFmtId="0" fontId="4" fillId="0" borderId="56" xfId="16" applyBorder="1" applyAlignment="1" applyProtection="1">
      <alignment horizontal="center" vertical="center" wrapText="1"/>
      <protection locked="0"/>
    </xf>
    <xf numFmtId="0" fontId="22" fillId="0" borderId="12" xfId="0" applyFont="1" applyBorder="1" applyAlignment="1">
      <alignment horizontal="center"/>
    </xf>
    <xf numFmtId="167" fontId="6" fillId="2" borderId="0" xfId="1" applyNumberFormat="1" applyFont="1" applyFill="1" applyBorder="1"/>
    <xf numFmtId="165" fontId="33" fillId="0" borderId="0" xfId="0" applyNumberFormat="1" applyFont="1" applyAlignment="1">
      <alignment horizontal="center"/>
    </xf>
    <xf numFmtId="164" fontId="34" fillId="12" borderId="0" xfId="0" applyNumberFormat="1" applyFont="1" applyFill="1" applyAlignment="1">
      <alignment horizontal="center"/>
    </xf>
    <xf numFmtId="167" fontId="34" fillId="12" borderId="0" xfId="1" applyNumberFormat="1" applyFont="1" applyFill="1" applyAlignment="1">
      <alignment horizontal="center"/>
    </xf>
    <xf numFmtId="168" fontId="11" fillId="0" borderId="12" xfId="2" applyNumberFormat="1" applyFont="1" applyFill="1" applyBorder="1"/>
    <xf numFmtId="168" fontId="0" fillId="0" borderId="12" xfId="2" applyNumberFormat="1" applyFont="1" applyBorder="1"/>
    <xf numFmtId="0" fontId="3" fillId="0" borderId="0" xfId="18"/>
    <xf numFmtId="0" fontId="3" fillId="0" borderId="50" xfId="18" applyBorder="1" applyAlignment="1" applyProtection="1">
      <alignment horizontal="center" vertical="center" wrapText="1"/>
      <protection locked="0"/>
    </xf>
    <xf numFmtId="0" fontId="3" fillId="14" borderId="51" xfId="18" applyFill="1" applyBorder="1"/>
    <xf numFmtId="167" fontId="0" fillId="14" borderId="52" xfId="19" applyNumberFormat="1" applyFont="1" applyFill="1" applyBorder="1" applyProtection="1"/>
    <xf numFmtId="167" fontId="0" fillId="14" borderId="51" xfId="19" applyNumberFormat="1" applyFont="1" applyFill="1" applyBorder="1" applyProtection="1"/>
    <xf numFmtId="167" fontId="0" fillId="14" borderId="16" xfId="19" applyNumberFormat="1" applyFont="1" applyFill="1" applyBorder="1" applyProtection="1"/>
    <xf numFmtId="167" fontId="0" fillId="0" borderId="43" xfId="19" applyNumberFormat="1" applyFont="1" applyFill="1" applyBorder="1" applyAlignment="1" applyProtection="1">
      <alignment horizontal="center"/>
    </xf>
    <xf numFmtId="0" fontId="3" fillId="0" borderId="53" xfId="18" applyBorder="1" applyAlignment="1" applyProtection="1">
      <alignment horizontal="center" vertical="center" wrapText="1"/>
      <protection locked="0"/>
    </xf>
    <xf numFmtId="0" fontId="3" fillId="14" borderId="54" xfId="18" applyFill="1" applyBorder="1"/>
    <xf numFmtId="167" fontId="0" fillId="14" borderId="55" xfId="19" applyNumberFormat="1" applyFont="1" applyFill="1" applyBorder="1" applyProtection="1"/>
    <xf numFmtId="167" fontId="0" fillId="14" borderId="54" xfId="19" applyNumberFormat="1" applyFont="1" applyFill="1" applyBorder="1" applyProtection="1"/>
    <xf numFmtId="167" fontId="0" fillId="14" borderId="12" xfId="19" applyNumberFormat="1" applyFont="1" applyFill="1" applyBorder="1" applyProtection="1"/>
    <xf numFmtId="167" fontId="0" fillId="0" borderId="44" xfId="19" applyNumberFormat="1" applyFont="1" applyFill="1" applyBorder="1" applyAlignment="1" applyProtection="1">
      <alignment horizontal="center"/>
    </xf>
    <xf numFmtId="0" fontId="3" fillId="0" borderId="56" xfId="18" applyBorder="1" applyAlignment="1" applyProtection="1">
      <alignment horizontal="center" vertical="center" wrapText="1"/>
      <protection locked="0"/>
    </xf>
    <xf numFmtId="0" fontId="3" fillId="13" borderId="57" xfId="18" applyFill="1" applyBorder="1" applyProtection="1">
      <protection locked="0"/>
    </xf>
    <xf numFmtId="167" fontId="0" fillId="13" borderId="14" xfId="19" applyNumberFormat="1" applyFont="1" applyFill="1" applyBorder="1" applyProtection="1">
      <protection locked="0"/>
    </xf>
    <xf numFmtId="167" fontId="0" fillId="13" borderId="57" xfId="19" applyNumberFormat="1" applyFont="1" applyFill="1" applyBorder="1" applyProtection="1">
      <protection locked="0"/>
    </xf>
    <xf numFmtId="167" fontId="0" fillId="13" borderId="0" xfId="19" applyNumberFormat="1" applyFont="1" applyFill="1" applyBorder="1" applyProtection="1">
      <protection locked="0"/>
    </xf>
    <xf numFmtId="0" fontId="3" fillId="13" borderId="54" xfId="18" applyFill="1" applyBorder="1" applyProtection="1">
      <protection locked="0"/>
    </xf>
    <xf numFmtId="167" fontId="0" fillId="13" borderId="55" xfId="19" applyNumberFormat="1" applyFont="1" applyFill="1" applyBorder="1" applyProtection="1">
      <protection locked="0"/>
    </xf>
    <xf numFmtId="167" fontId="0" fillId="13" borderId="54" xfId="19" applyNumberFormat="1" applyFont="1" applyFill="1" applyBorder="1" applyProtection="1">
      <protection locked="0"/>
    </xf>
    <xf numFmtId="167" fontId="0" fillId="13" borderId="12" xfId="19" applyNumberFormat="1" applyFont="1" applyFill="1" applyBorder="1" applyProtection="1">
      <protection locked="0"/>
    </xf>
    <xf numFmtId="0" fontId="3" fillId="14" borderId="57" xfId="18" applyFill="1" applyBorder="1" applyProtection="1">
      <protection locked="0"/>
    </xf>
    <xf numFmtId="167" fontId="0" fillId="14" borderId="14" xfId="19" applyNumberFormat="1" applyFont="1" applyFill="1" applyBorder="1" applyProtection="1">
      <protection locked="0"/>
    </xf>
    <xf numFmtId="167" fontId="0" fillId="14" borderId="57" xfId="19" applyNumberFormat="1" applyFont="1" applyFill="1" applyBorder="1" applyProtection="1">
      <protection locked="0"/>
    </xf>
    <xf numFmtId="167" fontId="0" fillId="14" borderId="0" xfId="19" applyNumberFormat="1" applyFont="1" applyFill="1" applyBorder="1" applyProtection="1">
      <protection locked="0"/>
    </xf>
    <xf numFmtId="0" fontId="3" fillId="14" borderId="54" xfId="18" applyFill="1" applyBorder="1" applyProtection="1">
      <protection locked="0"/>
    </xf>
    <xf numFmtId="167" fontId="0" fillId="14" borderId="55" xfId="19" applyNumberFormat="1" applyFont="1" applyFill="1" applyBorder="1" applyProtection="1">
      <protection locked="0"/>
    </xf>
    <xf numFmtId="167" fontId="0" fillId="14" borderId="54" xfId="19" applyNumberFormat="1" applyFont="1" applyFill="1" applyBorder="1" applyProtection="1">
      <protection locked="0"/>
    </xf>
    <xf numFmtId="167" fontId="0" fillId="14" borderId="12" xfId="19" applyNumberFormat="1" applyFont="1" applyFill="1" applyBorder="1" applyProtection="1">
      <protection locked="0"/>
    </xf>
    <xf numFmtId="167" fontId="0" fillId="0" borderId="58" xfId="19" applyNumberFormat="1" applyFont="1" applyFill="1" applyBorder="1" applyAlignment="1" applyProtection="1">
      <alignment horizontal="center"/>
    </xf>
    <xf numFmtId="0" fontId="5" fillId="0" borderId="0" xfId="15" applyAlignment="1">
      <alignment horizontal="center"/>
    </xf>
    <xf numFmtId="0" fontId="32" fillId="0" borderId="0" xfId="0" applyFont="1" applyAlignment="1">
      <alignment horizontal="center"/>
    </xf>
    <xf numFmtId="169" fontId="0" fillId="0" borderId="0" xfId="0" applyNumberFormat="1"/>
    <xf numFmtId="0" fontId="0" fillId="0" borderId="63" xfId="0" applyBorder="1" applyAlignment="1">
      <alignment horizontal="center"/>
    </xf>
    <xf numFmtId="0" fontId="0" fillId="0" borderId="64" xfId="0" applyBorder="1" applyAlignment="1">
      <alignment horizontal="center"/>
    </xf>
    <xf numFmtId="0" fontId="0" fillId="0" borderId="65" xfId="0" applyBorder="1" applyAlignment="1">
      <alignment horizontal="center"/>
    </xf>
    <xf numFmtId="167" fontId="0" fillId="0" borderId="13" xfId="1" applyNumberFormat="1" applyFont="1" applyBorder="1"/>
    <xf numFmtId="169" fontId="0" fillId="0" borderId="14" xfId="0" applyNumberFormat="1" applyBorder="1"/>
    <xf numFmtId="169" fontId="32" fillId="0" borderId="0" xfId="0" applyNumberFormat="1" applyFont="1" applyAlignment="1">
      <alignment horizontal="center"/>
    </xf>
    <xf numFmtId="169" fontId="5" fillId="0" borderId="0" xfId="1" applyNumberFormat="1"/>
    <xf numFmtId="169" fontId="0" fillId="0" borderId="13" xfId="0" applyNumberFormat="1" applyBorder="1"/>
    <xf numFmtId="167" fontId="0" fillId="0" borderId="14" xfId="1" applyNumberFormat="1" applyFont="1" applyBorder="1"/>
    <xf numFmtId="167" fontId="5" fillId="0" borderId="0" xfId="1" applyNumberFormat="1"/>
    <xf numFmtId="167" fontId="0" fillId="0" borderId="0" xfId="1" applyNumberFormat="1" applyFont="1" applyBorder="1"/>
    <xf numFmtId="169" fontId="0" fillId="0" borderId="66" xfId="0" applyNumberFormat="1" applyBorder="1"/>
    <xf numFmtId="167" fontId="0" fillId="0" borderId="0" xfId="1" applyNumberFormat="1" applyFont="1"/>
    <xf numFmtId="167" fontId="0" fillId="0" borderId="11" xfId="1" applyNumberFormat="1" applyFont="1" applyBorder="1"/>
    <xf numFmtId="43" fontId="0" fillId="0" borderId="0" xfId="1" applyFont="1"/>
    <xf numFmtId="170" fontId="0" fillId="0" borderId="0" xfId="0" applyNumberFormat="1"/>
    <xf numFmtId="168" fontId="5" fillId="0" borderId="52" xfId="2" applyNumberFormat="1" applyBorder="1"/>
    <xf numFmtId="43" fontId="0" fillId="0" borderId="0" xfId="0" applyNumberFormat="1"/>
    <xf numFmtId="170" fontId="5" fillId="0" borderId="0" xfId="0" applyNumberFormat="1" applyFont="1"/>
    <xf numFmtId="167" fontId="35" fillId="0" borderId="0" xfId="1" applyNumberFormat="1" applyFont="1" applyFill="1"/>
    <xf numFmtId="170" fontId="32" fillId="0" borderId="0" xfId="0" applyNumberFormat="1" applyFont="1" applyAlignment="1">
      <alignment horizontal="center"/>
    </xf>
    <xf numFmtId="169" fontId="5" fillId="0" borderId="14" xfId="1" applyNumberFormat="1" applyBorder="1"/>
    <xf numFmtId="43" fontId="5" fillId="0" borderId="0" xfId="0" applyNumberFormat="1" applyFont="1"/>
    <xf numFmtId="170" fontId="31" fillId="0" borderId="0" xfId="0" applyNumberFormat="1" applyFont="1" applyAlignment="1">
      <alignment horizontal="center"/>
    </xf>
    <xf numFmtId="167" fontId="5" fillId="0" borderId="15" xfId="1" applyNumberFormat="1" applyBorder="1"/>
    <xf numFmtId="167" fontId="5" fillId="0" borderId="61" xfId="1" applyNumberFormat="1" applyBorder="1"/>
    <xf numFmtId="169" fontId="5" fillId="0" borderId="0" xfId="1" applyNumberFormat="1" applyFont="1" applyBorder="1" applyAlignment="1">
      <alignment horizontal="center"/>
    </xf>
    <xf numFmtId="43" fontId="11" fillId="0" borderId="0" xfId="1" applyFont="1" applyFill="1"/>
    <xf numFmtId="169" fontId="0" fillId="0" borderId="67" xfId="0" applyNumberFormat="1" applyBorder="1"/>
    <xf numFmtId="169" fontId="5" fillId="0" borderId="11" xfId="1" applyNumberFormat="1" applyBorder="1"/>
    <xf numFmtId="167" fontId="0" fillId="0" borderId="14" xfId="0" applyNumberFormat="1" applyBorder="1"/>
    <xf numFmtId="167" fontId="0" fillId="0" borderId="13" xfId="0" applyNumberFormat="1" applyBorder="1"/>
    <xf numFmtId="167" fontId="5" fillId="0" borderId="13" xfId="1" applyNumberFormat="1" applyFont="1" applyBorder="1"/>
    <xf numFmtId="167" fontId="0" fillId="0" borderId="66" xfId="0" applyNumberFormat="1" applyBorder="1"/>
    <xf numFmtId="167" fontId="0" fillId="0" borderId="0" xfId="2" applyNumberFormat="1" applyFont="1"/>
    <xf numFmtId="0" fontId="5" fillId="0" borderId="0" xfId="0" applyFont="1" applyAlignment="1">
      <alignment horizontal="left"/>
    </xf>
    <xf numFmtId="0" fontId="2" fillId="0" borderId="58" xfId="20" applyBorder="1" applyAlignment="1">
      <alignment horizontal="center"/>
    </xf>
    <xf numFmtId="167" fontId="11" fillId="0" borderId="66" xfId="1" applyNumberFormat="1" applyFont="1" applyBorder="1"/>
    <xf numFmtId="167" fontId="0" fillId="19" borderId="0" xfId="1" applyNumberFormat="1" applyFont="1" applyFill="1" applyBorder="1" applyAlignment="1">
      <alignment horizontal="center"/>
    </xf>
    <xf numFmtId="167" fontId="0" fillId="19" borderId="0" xfId="1" applyNumberFormat="1" applyFont="1" applyFill="1" applyBorder="1"/>
    <xf numFmtId="167" fontId="0" fillId="19" borderId="10" xfId="1" applyNumberFormat="1" applyFont="1" applyFill="1" applyBorder="1"/>
    <xf numFmtId="168" fontId="0" fillId="2" borderId="20" xfId="2" applyNumberFormat="1" applyFont="1" applyFill="1" applyBorder="1"/>
    <xf numFmtId="167" fontId="0" fillId="2" borderId="20" xfId="1" applyNumberFormat="1" applyFont="1" applyFill="1" applyBorder="1"/>
    <xf numFmtId="167" fontId="0" fillId="2" borderId="27" xfId="1" applyNumberFormat="1" applyFont="1" applyFill="1" applyBorder="1"/>
    <xf numFmtId="167" fontId="0" fillId="0" borderId="20" xfId="1" applyNumberFormat="1" applyFont="1" applyFill="1" applyBorder="1"/>
    <xf numFmtId="167" fontId="0" fillId="0" borderId="27" xfId="1" applyNumberFormat="1" applyFont="1" applyFill="1" applyBorder="1"/>
    <xf numFmtId="168" fontId="0" fillId="0" borderId="34" xfId="2" applyNumberFormat="1" applyFont="1" applyFill="1" applyBorder="1"/>
    <xf numFmtId="44" fontId="0" fillId="0" borderId="0" xfId="2" applyFont="1" applyFill="1"/>
    <xf numFmtId="168" fontId="5" fillId="2" borderId="0" xfId="2" applyNumberFormat="1" applyFont="1" applyFill="1"/>
    <xf numFmtId="168" fontId="0" fillId="2" borderId="0" xfId="2" applyNumberFormat="1" applyFont="1" applyFill="1"/>
    <xf numFmtId="44" fontId="0" fillId="0" borderId="0" xfId="2" applyFont="1"/>
    <xf numFmtId="44" fontId="0" fillId="2" borderId="20" xfId="2" applyFont="1" applyFill="1" applyBorder="1"/>
    <xf numFmtId="44" fontId="0" fillId="20" borderId="0" xfId="0" applyNumberFormat="1" applyFill="1"/>
    <xf numFmtId="168" fontId="11" fillId="20" borderId="68" xfId="2" applyNumberFormat="1" applyFont="1" applyFill="1" applyBorder="1"/>
    <xf numFmtId="0" fontId="5" fillId="2" borderId="0" xfId="0" applyFont="1" applyFill="1"/>
    <xf numFmtId="171" fontId="0" fillId="14" borderId="14" xfId="17" applyNumberFormat="1" applyFont="1" applyFill="1" applyBorder="1" applyProtection="1">
      <protection locked="0"/>
    </xf>
    <xf numFmtId="0" fontId="1" fillId="0" borderId="0" xfId="22"/>
    <xf numFmtId="164" fontId="6" fillId="0" borderId="0" xfId="22" applyNumberFormat="1" applyFont="1" applyAlignment="1">
      <alignment horizontal="center"/>
    </xf>
    <xf numFmtId="0" fontId="22" fillId="0" borderId="2" xfId="22" applyFont="1" applyBorder="1"/>
    <xf numFmtId="0" fontId="1" fillId="0" borderId="16" xfId="22" applyBorder="1"/>
    <xf numFmtId="165" fontId="7" fillId="0" borderId="1" xfId="22" applyNumberFormat="1" applyFont="1" applyBorder="1" applyAlignment="1">
      <alignment horizontal="center"/>
    </xf>
    <xf numFmtId="0" fontId="1" fillId="0" borderId="47" xfId="22" applyBorder="1"/>
    <xf numFmtId="165" fontId="7" fillId="0" borderId="3" xfId="22" applyNumberFormat="1" applyFont="1" applyBorder="1" applyAlignment="1">
      <alignment horizontal="center"/>
    </xf>
    <xf numFmtId="164" fontId="6" fillId="0" borderId="47" xfId="22" applyNumberFormat="1" applyFont="1" applyBorder="1" applyAlignment="1">
      <alignment horizontal="center"/>
    </xf>
    <xf numFmtId="164" fontId="8" fillId="0" borderId="0" xfId="22" applyNumberFormat="1" applyFont="1" applyAlignment="1">
      <alignment horizontal="center"/>
    </xf>
    <xf numFmtId="165" fontId="7" fillId="0" borderId="0" xfId="22" applyNumberFormat="1" applyFont="1" applyAlignment="1">
      <alignment horizontal="center"/>
    </xf>
    <xf numFmtId="164" fontId="8" fillId="0" borderId="47" xfId="22" applyNumberFormat="1" applyFont="1" applyBorder="1" applyAlignment="1">
      <alignment horizontal="center"/>
    </xf>
    <xf numFmtId="167" fontId="23" fillId="0" borderId="1" xfId="23" applyNumberFormat="1" applyFont="1" applyBorder="1"/>
    <xf numFmtId="167" fontId="6" fillId="0" borderId="2" xfId="23" applyNumberFormat="1" applyFont="1" applyBorder="1"/>
    <xf numFmtId="167" fontId="6" fillId="0" borderId="1" xfId="23" applyNumberFormat="1" applyFont="1" applyBorder="1"/>
    <xf numFmtId="167" fontId="23" fillId="0" borderId="2" xfId="23" applyNumberFormat="1" applyFont="1" applyBorder="1"/>
    <xf numFmtId="165" fontId="7" fillId="0" borderId="47" xfId="22" applyNumberFormat="1" applyFont="1" applyBorder="1" applyAlignment="1">
      <alignment horizontal="center"/>
    </xf>
    <xf numFmtId="167" fontId="6" fillId="0" borderId="3" xfId="23" applyNumberFormat="1" applyFont="1" applyBorder="1"/>
    <xf numFmtId="167" fontId="6" fillId="0" borderId="0" xfId="23" applyNumberFormat="1" applyFont="1" applyBorder="1"/>
    <xf numFmtId="167" fontId="6" fillId="0" borderId="0" xfId="23" applyNumberFormat="1" applyFont="1" applyFill="1" applyBorder="1"/>
    <xf numFmtId="0" fontId="6" fillId="0" borderId="47" xfId="22" applyFont="1" applyBorder="1"/>
    <xf numFmtId="0" fontId="6" fillId="0" borderId="0" xfId="22" applyFont="1"/>
    <xf numFmtId="167" fontId="6" fillId="0" borderId="6" xfId="23" applyNumberFormat="1" applyFont="1" applyBorder="1"/>
    <xf numFmtId="167" fontId="23" fillId="0" borderId="4" xfId="23" applyNumberFormat="1" applyFont="1" applyBorder="1"/>
    <xf numFmtId="167" fontId="6" fillId="0" borderId="5" xfId="23" applyNumberFormat="1" applyFont="1" applyBorder="1"/>
    <xf numFmtId="167" fontId="6" fillId="0" borderId="7" xfId="23" applyNumberFormat="1" applyFont="1" applyBorder="1"/>
    <xf numFmtId="167" fontId="23" fillId="0" borderId="8" xfId="23" applyNumberFormat="1" applyFont="1" applyBorder="1"/>
    <xf numFmtId="164" fontId="6" fillId="0" borderId="5" xfId="22" applyNumberFormat="1" applyFont="1" applyBorder="1"/>
    <xf numFmtId="164" fontId="6" fillId="0" borderId="0" xfId="22" applyNumberFormat="1" applyFont="1"/>
    <xf numFmtId="0" fontId="22" fillId="0" borderId="47" xfId="22" applyFont="1" applyBorder="1"/>
    <xf numFmtId="0" fontId="22" fillId="0" borderId="0" xfId="22" applyFont="1"/>
    <xf numFmtId="0" fontId="22" fillId="0" borderId="3" xfId="22" applyFont="1" applyBorder="1"/>
    <xf numFmtId="0" fontId="29" fillId="0" borderId="42" xfId="15" applyFont="1" applyBorder="1" applyAlignment="1">
      <alignment horizontal="center"/>
    </xf>
    <xf numFmtId="0" fontId="1" fillId="0" borderId="3" xfId="22" applyBorder="1"/>
    <xf numFmtId="164" fontId="34" fillId="0" borderId="0" xfId="22" applyNumberFormat="1" applyFont="1" applyAlignment="1">
      <alignment horizontal="center"/>
    </xf>
    <xf numFmtId="167" fontId="34" fillId="0" borderId="0" xfId="23" applyNumberFormat="1" applyFont="1" applyBorder="1" applyAlignment="1">
      <alignment horizontal="center"/>
    </xf>
    <xf numFmtId="167" fontId="34" fillId="0" borderId="0" xfId="23" applyNumberFormat="1" applyFont="1" applyBorder="1" applyAlignment="1">
      <alignment horizontal="center" vertical="center"/>
    </xf>
    <xf numFmtId="0" fontId="1" fillId="0" borderId="48" xfId="22" applyBorder="1"/>
    <xf numFmtId="0" fontId="1" fillId="0" borderId="12" xfId="22" applyBorder="1"/>
    <xf numFmtId="164" fontId="34" fillId="0" borderId="12" xfId="22" applyNumberFormat="1" applyFont="1" applyBorder="1" applyAlignment="1">
      <alignment horizontal="center"/>
    </xf>
    <xf numFmtId="167" fontId="34" fillId="0" borderId="12" xfId="23" applyNumberFormat="1" applyFont="1" applyBorder="1" applyAlignment="1">
      <alignment horizontal="center"/>
    </xf>
    <xf numFmtId="167" fontId="34" fillId="0" borderId="12" xfId="23" applyNumberFormat="1" applyFont="1" applyBorder="1" applyAlignment="1">
      <alignment horizontal="center" vertical="center"/>
    </xf>
    <xf numFmtId="0" fontId="1" fillId="0" borderId="42" xfId="22" applyBorder="1"/>
    <xf numFmtId="164" fontId="34" fillId="0" borderId="16" xfId="22" applyNumberFormat="1" applyFont="1" applyBorder="1" applyAlignment="1">
      <alignment horizontal="center"/>
    </xf>
    <xf numFmtId="167" fontId="34" fillId="0" borderId="16" xfId="23" applyNumberFormat="1" applyFont="1" applyBorder="1" applyAlignment="1">
      <alignment horizontal="center"/>
    </xf>
    <xf numFmtId="167" fontId="34" fillId="0" borderId="16" xfId="23" applyNumberFormat="1" applyFont="1" applyBorder="1" applyAlignment="1">
      <alignment horizontal="center" vertical="center"/>
    </xf>
    <xf numFmtId="0" fontId="1" fillId="0" borderId="1" xfId="22" applyBorder="1"/>
    <xf numFmtId="167" fontId="23" fillId="0" borderId="0" xfId="23" applyNumberFormat="1" applyFont="1" applyBorder="1"/>
    <xf numFmtId="167" fontId="6" fillId="0" borderId="0" xfId="23" applyNumberFormat="1" applyFont="1"/>
    <xf numFmtId="167" fontId="34" fillId="0" borderId="0" xfId="23" applyNumberFormat="1" applyFont="1" applyAlignment="1">
      <alignment horizontal="center"/>
    </xf>
    <xf numFmtId="167" fontId="34" fillId="0" borderId="0" xfId="23" applyNumberFormat="1" applyFont="1" applyAlignment="1">
      <alignment horizontal="center" vertical="center"/>
    </xf>
    <xf numFmtId="165" fontId="37" fillId="0" borderId="3" xfId="22" applyNumberFormat="1" applyFont="1" applyBorder="1" applyAlignment="1">
      <alignment horizontal="center"/>
    </xf>
    <xf numFmtId="0" fontId="38" fillId="0" borderId="42" xfId="22" applyFont="1" applyBorder="1"/>
    <xf numFmtId="0" fontId="39" fillId="0" borderId="42" xfId="22" applyFont="1" applyBorder="1"/>
    <xf numFmtId="167" fontId="23" fillId="0" borderId="7" xfId="23" applyNumberFormat="1" applyFont="1" applyBorder="1"/>
    <xf numFmtId="167" fontId="6" fillId="0" borderId="8" xfId="23" applyNumberFormat="1" applyFont="1" applyBorder="1"/>
    <xf numFmtId="165" fontId="7" fillId="0" borderId="16" xfId="22" applyNumberFormat="1" applyFont="1" applyBorder="1" applyAlignment="1">
      <alignment horizontal="center"/>
    </xf>
    <xf numFmtId="165" fontId="37" fillId="0" borderId="0" xfId="22" applyNumberFormat="1" applyFont="1" applyAlignment="1">
      <alignment horizontal="center"/>
    </xf>
    <xf numFmtId="0" fontId="38" fillId="0" borderId="12" xfId="22" applyFont="1" applyBorder="1"/>
    <xf numFmtId="0" fontId="11" fillId="14" borderId="0" xfId="0" applyFont="1" applyFill="1"/>
    <xf numFmtId="0" fontId="11" fillId="8" borderId="0" xfId="0" applyFont="1" applyFill="1"/>
    <xf numFmtId="0" fontId="11" fillId="7" borderId="0" xfId="0" applyFont="1" applyFill="1"/>
    <xf numFmtId="0" fontId="1" fillId="0" borderId="0" xfId="0" applyFont="1" applyAlignment="1">
      <alignment horizontal="left"/>
    </xf>
    <xf numFmtId="0" fontId="11" fillId="3" borderId="0" xfId="0" applyFont="1" applyFill="1" applyAlignment="1">
      <alignment horizontal="center"/>
    </xf>
    <xf numFmtId="0" fontId="11" fillId="19" borderId="0" xfId="0" applyFont="1" applyFill="1" applyAlignment="1">
      <alignment horizontal="center"/>
    </xf>
    <xf numFmtId="0" fontId="3" fillId="0" borderId="58" xfId="18" applyBorder="1" applyAlignment="1">
      <alignment horizontal="center" vertical="center" wrapText="1"/>
    </xf>
    <xf numFmtId="0" fontId="3" fillId="0" borderId="44" xfId="18" applyBorder="1" applyAlignment="1">
      <alignment horizontal="center" vertical="center" wrapText="1"/>
    </xf>
    <xf numFmtId="167" fontId="0" fillId="0" borderId="43" xfId="19" applyNumberFormat="1" applyFont="1" applyBorder="1" applyAlignment="1">
      <alignment horizontal="center" vertical="center"/>
    </xf>
    <xf numFmtId="167" fontId="0" fillId="0" borderId="44" xfId="19" applyNumberFormat="1" applyFont="1" applyBorder="1" applyAlignment="1">
      <alignment horizontal="center" vertical="center"/>
    </xf>
    <xf numFmtId="167" fontId="0" fillId="0" borderId="3" xfId="19" applyNumberFormat="1" applyFont="1" applyBorder="1" applyAlignment="1">
      <alignment horizontal="center" vertical="center"/>
    </xf>
    <xf numFmtId="167" fontId="0" fillId="0" borderId="42" xfId="19" applyNumberFormat="1" applyFont="1" applyBorder="1" applyAlignment="1">
      <alignment horizontal="center" vertical="center"/>
    </xf>
    <xf numFmtId="167" fontId="0" fillId="0" borderId="58" xfId="19" applyNumberFormat="1" applyFont="1" applyBorder="1" applyAlignment="1">
      <alignment horizontal="center" vertical="center"/>
    </xf>
    <xf numFmtId="0" fontId="1" fillId="0" borderId="58" xfId="18" applyFont="1" applyBorder="1" applyAlignment="1">
      <alignment horizontal="center" vertical="center" wrapText="1"/>
    </xf>
    <xf numFmtId="0" fontId="1" fillId="0" borderId="1" xfId="18" applyFont="1" applyBorder="1" applyAlignment="1">
      <alignment horizontal="center" vertical="center" wrapText="1"/>
    </xf>
    <xf numFmtId="0" fontId="1" fillId="0" borderId="3" xfId="18" applyFont="1" applyBorder="1" applyAlignment="1">
      <alignment horizontal="center" vertical="center" wrapText="1"/>
    </xf>
    <xf numFmtId="0" fontId="3" fillId="0" borderId="3" xfId="18" applyBorder="1" applyAlignment="1">
      <alignment horizontal="center" vertical="center" wrapText="1"/>
    </xf>
    <xf numFmtId="0" fontId="3" fillId="0" borderId="42" xfId="18" applyBorder="1" applyAlignment="1">
      <alignment horizontal="center" vertical="center" wrapText="1"/>
    </xf>
    <xf numFmtId="0" fontId="3" fillId="0" borderId="43" xfId="18" applyBorder="1" applyAlignment="1">
      <alignment horizontal="center" vertical="center" wrapText="1"/>
    </xf>
    <xf numFmtId="0" fontId="1" fillId="0" borderId="16" xfId="18" applyFont="1" applyBorder="1" applyAlignment="1">
      <alignment horizontal="center" vertical="center" wrapText="1"/>
    </xf>
    <xf numFmtId="0" fontId="3" fillId="0" borderId="12" xfId="18" applyBorder="1" applyAlignment="1">
      <alignment horizontal="center" vertical="center" wrapText="1"/>
    </xf>
    <xf numFmtId="0" fontId="3" fillId="0" borderId="43" xfId="18" applyBorder="1" applyAlignment="1">
      <alignment horizontal="center" vertical="center"/>
    </xf>
    <xf numFmtId="0" fontId="3" fillId="0" borderId="44" xfId="18" applyBorder="1" applyAlignment="1">
      <alignment horizontal="center" vertical="center"/>
    </xf>
    <xf numFmtId="0" fontId="3" fillId="0" borderId="58" xfId="18" applyBorder="1" applyAlignment="1">
      <alignment horizontal="center" vertical="center"/>
    </xf>
    <xf numFmtId="0" fontId="1" fillId="0" borderId="0" xfId="18" applyFont="1" applyAlignment="1">
      <alignment horizontal="center" vertical="center" wrapText="1"/>
    </xf>
    <xf numFmtId="0" fontId="22" fillId="0" borderId="43" xfId="16" applyFont="1" applyBorder="1" applyAlignment="1">
      <alignment horizontal="center"/>
    </xf>
    <xf numFmtId="0" fontId="22" fillId="0" borderId="44" xfId="16" applyFont="1" applyBorder="1" applyAlignment="1">
      <alignment horizontal="center"/>
    </xf>
    <xf numFmtId="0" fontId="22" fillId="0" borderId="43" xfId="18" applyFont="1" applyBorder="1" applyAlignment="1">
      <alignment horizontal="center" vertical="center"/>
    </xf>
    <xf numFmtId="0" fontId="22" fillId="0" borderId="44" xfId="18" applyFont="1" applyBorder="1" applyAlignment="1">
      <alignment horizontal="center" vertical="center"/>
    </xf>
    <xf numFmtId="0" fontId="29" fillId="0" borderId="43" xfId="15" applyFont="1" applyBorder="1" applyAlignment="1">
      <alignment horizontal="center" vertical="center"/>
    </xf>
    <xf numFmtId="0" fontId="29" fillId="0" borderId="44" xfId="15" applyFont="1" applyBorder="1" applyAlignment="1">
      <alignment horizontal="center" vertical="center"/>
    </xf>
    <xf numFmtId="0" fontId="28" fillId="0" borderId="59" xfId="18" applyFont="1" applyBorder="1" applyAlignment="1">
      <alignment horizontal="center"/>
    </xf>
    <xf numFmtId="0" fontId="28" fillId="0" borderId="40" xfId="18" applyFont="1" applyBorder="1" applyAlignment="1">
      <alignment horizontal="center"/>
    </xf>
    <xf numFmtId="0" fontId="28" fillId="0" borderId="41" xfId="18" applyFont="1" applyBorder="1" applyAlignment="1">
      <alignment horizontal="center"/>
    </xf>
    <xf numFmtId="167" fontId="23" fillId="12" borderId="12" xfId="1" applyNumberFormat="1" applyFont="1" applyFill="1" applyBorder="1" applyAlignment="1">
      <alignment horizontal="center"/>
    </xf>
    <xf numFmtId="0" fontId="11" fillId="16" borderId="0" xfId="0" applyFont="1" applyFill="1" applyAlignment="1">
      <alignment horizontal="center"/>
    </xf>
    <xf numFmtId="0" fontId="11" fillId="15" borderId="0" xfId="0" applyFont="1" applyFill="1" applyAlignment="1">
      <alignment horizontal="center"/>
    </xf>
    <xf numFmtId="0" fontId="23" fillId="12" borderId="0" xfId="0" applyFont="1" applyFill="1" applyAlignment="1">
      <alignment horizontal="center"/>
    </xf>
    <xf numFmtId="0" fontId="23" fillId="17" borderId="0" xfId="0" applyFont="1" applyFill="1" applyAlignment="1">
      <alignment horizontal="center"/>
    </xf>
    <xf numFmtId="0" fontId="11" fillId="18" borderId="0" xfId="0" applyFont="1" applyFill="1" applyAlignment="1">
      <alignment horizontal="center"/>
    </xf>
    <xf numFmtId="0" fontId="23" fillId="7" borderId="12" xfId="0" applyFont="1" applyFill="1" applyBorder="1" applyAlignment="1">
      <alignment horizontal="center"/>
    </xf>
    <xf numFmtId="0" fontId="23" fillId="14" borderId="0" xfId="0" applyFont="1" applyFill="1" applyAlignment="1">
      <alignment horizontal="center"/>
    </xf>
    <xf numFmtId="0" fontId="23" fillId="2" borderId="12" xfId="0" applyFont="1" applyFill="1" applyBorder="1" applyAlignment="1">
      <alignment horizontal="center"/>
    </xf>
    <xf numFmtId="0" fontId="23" fillId="9" borderId="0" xfId="0" applyFont="1" applyFill="1" applyAlignment="1">
      <alignment horizontal="center"/>
    </xf>
    <xf numFmtId="0" fontId="11" fillId="13" borderId="0" xfId="0" applyFont="1" applyFill="1" applyAlignment="1">
      <alignment horizontal="center"/>
    </xf>
    <xf numFmtId="0" fontId="11" fillId="11" borderId="0" xfId="15" applyFont="1" applyFill="1" applyAlignment="1">
      <alignment horizontal="center"/>
    </xf>
    <xf numFmtId="0" fontId="24" fillId="8" borderId="0" xfId="0" applyFont="1" applyFill="1" applyAlignment="1">
      <alignment horizontal="center"/>
    </xf>
    <xf numFmtId="0" fontId="25" fillId="8" borderId="0" xfId="0" applyFont="1" applyFill="1" applyAlignment="1">
      <alignment horizontal="center"/>
    </xf>
    <xf numFmtId="0" fontId="11" fillId="10" borderId="0" xfId="0" applyFont="1" applyFill="1" applyAlignment="1">
      <alignment horizontal="center"/>
    </xf>
    <xf numFmtId="164" fontId="23" fillId="8" borderId="0" xfId="0" applyNumberFormat="1" applyFont="1" applyFill="1" applyAlignment="1">
      <alignment horizontal="center"/>
    </xf>
    <xf numFmtId="164" fontId="6" fillId="8" borderId="0" xfId="0" applyNumberFormat="1" applyFont="1" applyFill="1" applyAlignment="1">
      <alignment horizontal="center"/>
    </xf>
    <xf numFmtId="0" fontId="31" fillId="11" borderId="0" xfId="15" applyFont="1" applyFill="1" applyAlignment="1">
      <alignment horizontal="center"/>
    </xf>
    <xf numFmtId="0" fontId="23" fillId="2" borderId="0" xfId="0" applyFont="1" applyFill="1" applyAlignment="1">
      <alignment horizontal="center"/>
    </xf>
    <xf numFmtId="0" fontId="11" fillId="5" borderId="0" xfId="0" applyFont="1" applyFill="1" applyAlignment="1">
      <alignment horizontal="center"/>
    </xf>
    <xf numFmtId="169" fontId="11" fillId="0" borderId="12" xfId="1" applyNumberFormat="1" applyFont="1" applyBorder="1" applyAlignment="1">
      <alignment horizontal="center"/>
    </xf>
    <xf numFmtId="169" fontId="11" fillId="0" borderId="0" xfId="1" applyNumberFormat="1" applyFont="1" applyBorder="1" applyAlignment="1">
      <alignment horizontal="center"/>
    </xf>
    <xf numFmtId="0" fontId="11" fillId="20" borderId="0" xfId="15" applyFont="1" applyFill="1" applyAlignment="1">
      <alignment horizontal="center"/>
    </xf>
    <xf numFmtId="0" fontId="11" fillId="0" borderId="62" xfId="0" applyFont="1" applyBorder="1" applyAlignment="1">
      <alignment horizontal="center"/>
    </xf>
    <xf numFmtId="0" fontId="11" fillId="0" borderId="55" xfId="0" applyFont="1" applyBorder="1" applyAlignment="1">
      <alignment horizontal="center"/>
    </xf>
    <xf numFmtId="0" fontId="11" fillId="0" borderId="12" xfId="0" applyFont="1" applyBorder="1" applyAlignment="1">
      <alignment horizontal="center"/>
    </xf>
    <xf numFmtId="0" fontId="11" fillId="20" borderId="45" xfId="0" applyFont="1" applyFill="1" applyBorder="1" applyAlignment="1">
      <alignment horizontal="center"/>
    </xf>
    <xf numFmtId="0" fontId="17" fillId="0" borderId="24" xfId="0" applyFont="1" applyBorder="1" applyAlignment="1">
      <alignment horizontal="center" wrapText="1"/>
    </xf>
    <xf numFmtId="0" fontId="17" fillId="0" borderId="25" xfId="0" applyFont="1" applyBorder="1" applyAlignment="1">
      <alignment horizontal="center" wrapText="1"/>
    </xf>
    <xf numFmtId="0" fontId="17" fillId="0" borderId="26" xfId="0" applyFont="1" applyBorder="1" applyAlignment="1">
      <alignment horizontal="center" wrapText="1"/>
    </xf>
    <xf numFmtId="0" fontId="17" fillId="0" borderId="33" xfId="0" applyFont="1" applyBorder="1" applyAlignment="1">
      <alignment horizontal="center" shrinkToFit="1"/>
    </xf>
    <xf numFmtId="0" fontId="17" fillId="0" borderId="29" xfId="0" applyFont="1" applyBorder="1" applyAlignment="1">
      <alignment horizontal="center" shrinkToFit="1"/>
    </xf>
    <xf numFmtId="0" fontId="17" fillId="0" borderId="26" xfId="0" applyFont="1" applyBorder="1" applyAlignment="1">
      <alignment horizontal="center" shrinkToFit="1"/>
    </xf>
    <xf numFmtId="0" fontId="0" fillId="11" borderId="17" xfId="0" applyFill="1" applyBorder="1" applyAlignment="1">
      <alignment horizontal="center"/>
    </xf>
    <xf numFmtId="0" fontId="0" fillId="11" borderId="18" xfId="0" applyFill="1" applyBorder="1" applyAlignment="1">
      <alignment horizontal="center"/>
    </xf>
    <xf numFmtId="0" fontId="11" fillId="20" borderId="0" xfId="0" applyFont="1" applyFill="1" applyAlignment="1">
      <alignment horizontal="center"/>
    </xf>
    <xf numFmtId="0" fontId="11" fillId="20" borderId="2" xfId="15" applyFont="1" applyFill="1" applyBorder="1" applyAlignment="1">
      <alignment horizontal="center"/>
    </xf>
    <xf numFmtId="0" fontId="11" fillId="20" borderId="16" xfId="15" applyFont="1" applyFill="1" applyBorder="1" applyAlignment="1">
      <alignment horizontal="center"/>
    </xf>
    <xf numFmtId="0" fontId="11" fillId="20" borderId="1" xfId="15" applyFont="1" applyFill="1" applyBorder="1" applyAlignment="1">
      <alignment horizontal="center"/>
    </xf>
    <xf numFmtId="0" fontId="11" fillId="20" borderId="47" xfId="15" applyFont="1" applyFill="1" applyBorder="1" applyAlignment="1">
      <alignment horizontal="center"/>
    </xf>
    <xf numFmtId="0" fontId="11" fillId="20" borderId="3" xfId="15" applyFont="1" applyFill="1" applyBorder="1" applyAlignment="1">
      <alignment horizontal="center"/>
    </xf>
    <xf numFmtId="0" fontId="31" fillId="20" borderId="48" xfId="15" applyFont="1" applyFill="1" applyBorder="1" applyAlignment="1">
      <alignment horizontal="center"/>
    </xf>
    <xf numFmtId="0" fontId="31" fillId="20" borderId="12" xfId="15" applyFont="1" applyFill="1" applyBorder="1" applyAlignment="1">
      <alignment horizontal="center"/>
    </xf>
    <xf numFmtId="0" fontId="31" fillId="20" borderId="42" xfId="15" applyFont="1" applyFill="1" applyBorder="1" applyAlignment="1">
      <alignment horizontal="center"/>
    </xf>
    <xf numFmtId="0" fontId="17" fillId="0" borderId="21" xfId="0" applyFont="1" applyBorder="1" applyAlignment="1">
      <alignment horizontal="center" wrapText="1"/>
    </xf>
    <xf numFmtId="0" fontId="17" fillId="0" borderId="22" xfId="0" applyFont="1" applyBorder="1" applyAlignment="1">
      <alignment horizontal="center" wrapText="1"/>
    </xf>
    <xf numFmtId="0" fontId="17" fillId="0" borderId="23" xfId="0" applyFont="1" applyBorder="1" applyAlignment="1">
      <alignment horizontal="center" wrapText="1"/>
    </xf>
    <xf numFmtId="0" fontId="15" fillId="11" borderId="19" xfId="0" applyFont="1" applyFill="1" applyBorder="1" applyAlignment="1">
      <alignment horizontal="center" wrapText="1"/>
    </xf>
    <xf numFmtId="0" fontId="15" fillId="11" borderId="20" xfId="0" applyFont="1" applyFill="1" applyBorder="1" applyAlignment="1">
      <alignment horizontal="center" wrapText="1"/>
    </xf>
    <xf numFmtId="0" fontId="15" fillId="20" borderId="19" xfId="0" applyFont="1" applyFill="1" applyBorder="1" applyAlignment="1">
      <alignment horizontal="center" shrinkToFit="1"/>
    </xf>
    <xf numFmtId="0" fontId="15" fillId="20" borderId="20" xfId="0" applyFont="1" applyFill="1" applyBorder="1" applyAlignment="1">
      <alignment horizontal="center" shrinkToFit="1"/>
    </xf>
    <xf numFmtId="0" fontId="16" fillId="20" borderId="21" xfId="0" applyFont="1" applyFill="1" applyBorder="1" applyAlignment="1">
      <alignment horizontal="center" wrapText="1"/>
    </xf>
    <xf numFmtId="0" fontId="16" fillId="20" borderId="23" xfId="0" applyFont="1" applyFill="1" applyBorder="1" applyAlignment="1">
      <alignment horizontal="center" wrapText="1"/>
    </xf>
    <xf numFmtId="0" fontId="0" fillId="20" borderId="17" xfId="0" applyFill="1" applyBorder="1" applyAlignment="1">
      <alignment horizontal="center"/>
    </xf>
    <xf numFmtId="0" fontId="0" fillId="20" borderId="18" xfId="0" applyFill="1" applyBorder="1" applyAlignment="1">
      <alignment horizontal="center"/>
    </xf>
    <xf numFmtId="0" fontId="15" fillId="20" borderId="19" xfId="0" applyFont="1" applyFill="1" applyBorder="1" applyAlignment="1">
      <alignment horizontal="center" wrapText="1"/>
    </xf>
    <xf numFmtId="0" fontId="15" fillId="20" borderId="20" xfId="0" applyFont="1" applyFill="1" applyBorder="1" applyAlignment="1">
      <alignment horizontal="center" wrapText="1"/>
    </xf>
    <xf numFmtId="0" fontId="15" fillId="11" borderId="19" xfId="0" applyFont="1" applyFill="1" applyBorder="1" applyAlignment="1">
      <alignment horizontal="center" shrinkToFit="1"/>
    </xf>
    <xf numFmtId="0" fontId="15" fillId="11" borderId="20" xfId="0" applyFont="1" applyFill="1" applyBorder="1" applyAlignment="1">
      <alignment horizontal="center" shrinkToFit="1"/>
    </xf>
    <xf numFmtId="0" fontId="16" fillId="11" borderId="21" xfId="0" applyFont="1" applyFill="1" applyBorder="1" applyAlignment="1">
      <alignment horizontal="center" wrapText="1"/>
    </xf>
    <xf numFmtId="0" fontId="16" fillId="11" borderId="23" xfId="0" applyFont="1" applyFill="1" applyBorder="1" applyAlignment="1">
      <alignment horizontal="center" wrapText="1"/>
    </xf>
    <xf numFmtId="164" fontId="34" fillId="0" borderId="48" xfId="22" applyNumberFormat="1" applyFont="1" applyBorder="1" applyAlignment="1">
      <alignment horizontal="center"/>
    </xf>
    <xf numFmtId="164" fontId="34" fillId="0" borderId="12" xfId="22" applyNumberFormat="1" applyFont="1" applyBorder="1" applyAlignment="1">
      <alignment horizontal="center"/>
    </xf>
    <xf numFmtId="167" fontId="34" fillId="0" borderId="12" xfId="23" applyNumberFormat="1" applyFont="1" applyBorder="1" applyAlignment="1">
      <alignment horizontal="center"/>
    </xf>
    <xf numFmtId="164" fontId="34" fillId="0" borderId="47" xfId="22" applyNumberFormat="1" applyFont="1" applyBorder="1" applyAlignment="1">
      <alignment horizontal="center"/>
    </xf>
    <xf numFmtId="164" fontId="34" fillId="0" borderId="0" xfId="22" applyNumberFormat="1" applyFont="1" applyAlignment="1">
      <alignment horizontal="center"/>
    </xf>
    <xf numFmtId="167" fontId="34" fillId="0" borderId="0" xfId="23" applyNumberFormat="1" applyFont="1" applyBorder="1" applyAlignment="1">
      <alignment horizontal="center"/>
    </xf>
    <xf numFmtId="164" fontId="34" fillId="0" borderId="0" xfId="22" applyNumberFormat="1" applyFont="1" applyAlignment="1">
      <alignment horizontal="left"/>
    </xf>
    <xf numFmtId="164" fontId="34" fillId="0" borderId="47" xfId="22" applyNumberFormat="1" applyFont="1" applyBorder="1" applyAlignment="1">
      <alignment horizontal="left"/>
    </xf>
    <xf numFmtId="0" fontId="22" fillId="0" borderId="47" xfId="22" applyFont="1" applyBorder="1" applyAlignment="1">
      <alignment horizontal="center"/>
    </xf>
    <xf numFmtId="0" fontId="22" fillId="0" borderId="0" xfId="22" applyFont="1" applyAlignment="1">
      <alignment horizontal="center"/>
    </xf>
    <xf numFmtId="0" fontId="22" fillId="0" borderId="3" xfId="22" applyFont="1" applyBorder="1" applyAlignment="1">
      <alignment horizontal="center"/>
    </xf>
    <xf numFmtId="164" fontId="34" fillId="0" borderId="2" xfId="22" applyNumberFormat="1" applyFont="1" applyBorder="1" applyAlignment="1">
      <alignment horizontal="left"/>
    </xf>
    <xf numFmtId="164" fontId="34" fillId="0" borderId="16" xfId="22" applyNumberFormat="1" applyFont="1" applyBorder="1" applyAlignment="1">
      <alignment horizontal="left"/>
    </xf>
    <xf numFmtId="167" fontId="34" fillId="0" borderId="16" xfId="23" applyNumberFormat="1" applyFont="1" applyBorder="1" applyAlignment="1">
      <alignment horizontal="center"/>
    </xf>
    <xf numFmtId="167" fontId="34" fillId="0" borderId="1" xfId="23" applyNumberFormat="1" applyFont="1" applyBorder="1" applyAlignment="1">
      <alignment horizontal="center" vertical="center"/>
    </xf>
    <xf numFmtId="167" fontId="34" fillId="0" borderId="3" xfId="23" applyNumberFormat="1" applyFont="1" applyBorder="1" applyAlignment="1">
      <alignment horizontal="center" vertical="center"/>
    </xf>
    <xf numFmtId="167" fontId="34" fillId="0" borderId="42" xfId="23" applyNumberFormat="1" applyFont="1" applyBorder="1" applyAlignment="1">
      <alignment horizontal="center" vertical="center"/>
    </xf>
    <xf numFmtId="0" fontId="22" fillId="0" borderId="2" xfId="22" applyFont="1" applyBorder="1" applyAlignment="1">
      <alignment horizontal="center"/>
    </xf>
    <xf numFmtId="0" fontId="22" fillId="0" borderId="16" xfId="22" applyFont="1" applyBorder="1" applyAlignment="1">
      <alignment horizontal="center"/>
    </xf>
    <xf numFmtId="0" fontId="22" fillId="0" borderId="1" xfId="22" applyFont="1" applyBorder="1" applyAlignment="1">
      <alignment horizontal="center"/>
    </xf>
    <xf numFmtId="0" fontId="29" fillId="0" borderId="48" xfId="15" applyFont="1" applyBorder="1" applyAlignment="1">
      <alignment horizontal="center"/>
    </xf>
    <xf numFmtId="0" fontId="29" fillId="0" borderId="12" xfId="15" applyFont="1" applyBorder="1" applyAlignment="1">
      <alignment horizontal="center"/>
    </xf>
    <xf numFmtId="0" fontId="23" fillId="0" borderId="10" xfId="22" applyFont="1" applyBorder="1" applyAlignment="1">
      <alignment horizontal="center"/>
    </xf>
    <xf numFmtId="0" fontId="23" fillId="0" borderId="0" xfId="22" applyFont="1" applyAlignment="1">
      <alignment horizontal="center"/>
    </xf>
    <xf numFmtId="164" fontId="34" fillId="0" borderId="12" xfId="22" applyNumberFormat="1" applyFont="1" applyBorder="1" applyAlignment="1">
      <alignment horizontal="left"/>
    </xf>
    <xf numFmtId="167" fontId="34" fillId="0" borderId="0" xfId="23" applyNumberFormat="1" applyFont="1" applyAlignment="1">
      <alignment horizontal="center"/>
    </xf>
    <xf numFmtId="167" fontId="34" fillId="0" borderId="0" xfId="23" applyNumberFormat="1" applyFont="1" applyBorder="1" applyAlignment="1">
      <alignment horizontal="right"/>
    </xf>
    <xf numFmtId="167" fontId="34" fillId="0" borderId="0" xfId="23" applyNumberFormat="1" applyFont="1" applyBorder="1" applyAlignment="1">
      <alignment horizontal="left" indent="1"/>
    </xf>
  </cellXfs>
  <cellStyles count="24">
    <cellStyle name="Comma" xfId="1" builtinId="3"/>
    <cellStyle name="Comma 2" xfId="17" xr:uid="{00000000-0005-0000-0000-000001000000}"/>
    <cellStyle name="Comma 2 2" xfId="19" xr:uid="{00000000-0005-0000-0000-000002000000}"/>
    <cellStyle name="Comma 2 3" xfId="21" xr:uid="{00000000-0005-0000-0000-000003000000}"/>
    <cellStyle name="Comma 3" xfId="23" xr:uid="{688038A1-A4BE-4505-BBED-2F9F29513ADD}"/>
    <cellStyle name="Currency" xfId="2" builtinId="4"/>
    <cellStyle name="Followed Hyperlink" xfId="4" builtinId="9" hidden="1"/>
    <cellStyle name="Followed Hyperlink" xfId="10" builtinId="9" hidden="1"/>
    <cellStyle name="Followed Hyperlink" xfId="12" builtinId="9" hidden="1"/>
    <cellStyle name="Followed Hyperlink" xfId="6" builtinId="9" hidden="1"/>
    <cellStyle name="Followed Hyperlink" xfId="8" builtinId="9" hidden="1"/>
    <cellStyle name="Followed Hyperlink" xfId="14" builtinId="9" hidden="1"/>
    <cellStyle name="Hyperlink" xfId="5" builtinId="8" hidden="1"/>
    <cellStyle name="Hyperlink" xfId="7" builtinId="8" hidden="1"/>
    <cellStyle name="Hyperlink" xfId="3" builtinId="8" hidden="1"/>
    <cellStyle name="Hyperlink" xfId="11" builtinId="8" hidden="1"/>
    <cellStyle name="Hyperlink" xfId="13" builtinId="8" hidden="1"/>
    <cellStyle name="Hyperlink" xfId="9" builtinId="8" hidden="1"/>
    <cellStyle name="Normal" xfId="0" builtinId="0"/>
    <cellStyle name="Normal 2" xfId="15" xr:uid="{00000000-0005-0000-0000-000012000000}"/>
    <cellStyle name="Normal 3" xfId="16" xr:uid="{00000000-0005-0000-0000-000013000000}"/>
    <cellStyle name="Normal 3 2" xfId="18" xr:uid="{00000000-0005-0000-0000-000014000000}"/>
    <cellStyle name="Normal 3 3" xfId="20" xr:uid="{00000000-0005-0000-0000-000015000000}"/>
    <cellStyle name="Normal 4" xfId="22" xr:uid="{8E7694C3-FA71-4C69-AA17-FEE090AA41F8}"/>
  </cellStyles>
  <dxfs count="231">
    <dxf>
      <fill>
        <patternFill>
          <bgColor rgb="FFFF0000"/>
        </patternFill>
      </fill>
    </dxf>
    <dxf>
      <fill>
        <patternFill>
          <bgColor rgb="FF00B050"/>
        </patternFill>
      </fill>
    </dxf>
    <dxf>
      <fill>
        <patternFill>
          <bgColor rgb="FFFF0000"/>
        </patternFill>
      </fill>
    </dxf>
    <dxf>
      <fill>
        <patternFill>
          <bgColor rgb="FFFF0000"/>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5" tint="0.59996337778862885"/>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theme="3" tint="0.39994506668294322"/>
        </patternFill>
      </fill>
    </dxf>
    <dxf>
      <fill>
        <patternFill>
          <bgColor theme="3" tint="0.39994506668294322"/>
        </patternFill>
      </fill>
    </dxf>
    <dxf>
      <fill>
        <patternFill>
          <bgColor theme="3" tint="0.39994506668294322"/>
        </patternFill>
      </fill>
    </dxf>
    <dxf>
      <fill>
        <patternFill>
          <bgColor rgb="FF00B050"/>
        </patternFill>
      </fill>
    </dxf>
    <dxf>
      <fill>
        <patternFill>
          <bgColor rgb="FFFF0000"/>
        </patternFill>
      </fill>
    </dxf>
    <dxf>
      <fill>
        <patternFill>
          <bgColor rgb="FFFFFF00"/>
        </patternFill>
      </fill>
    </dxf>
    <dxf>
      <fill>
        <patternFill patternType="none">
          <bgColor auto="1"/>
        </patternFill>
      </fill>
    </dxf>
    <dxf>
      <fill>
        <patternFill>
          <bgColor rgb="FF00B050"/>
        </patternFill>
      </fill>
    </dxf>
    <dxf>
      <fill>
        <patternFill>
          <bgColor rgb="FFC00000"/>
        </patternFill>
      </fill>
    </dxf>
    <dxf>
      <fill>
        <patternFill>
          <bgColor rgb="FF00B050"/>
        </patternFill>
      </fill>
    </dxf>
    <dxf>
      <fill>
        <patternFill>
          <bgColor rgb="FF00B050"/>
        </patternFill>
      </fill>
    </dxf>
    <dxf>
      <fill>
        <patternFill>
          <bgColor rgb="FFC00000"/>
        </patternFill>
      </fill>
    </dxf>
    <dxf>
      <fill>
        <patternFill>
          <bgColor theme="3" tint="0.39994506668294322"/>
        </patternFill>
      </fill>
    </dxf>
    <dxf>
      <fill>
        <patternFill>
          <bgColor rgb="FFC00000"/>
        </patternFill>
      </fill>
    </dxf>
    <dxf>
      <fill>
        <patternFill>
          <bgColor rgb="FFFF0000"/>
        </patternFill>
      </fill>
    </dxf>
    <dxf>
      <fill>
        <patternFill>
          <bgColor rgb="FF00B050"/>
        </patternFill>
      </fill>
    </dxf>
    <dxf>
      <fill>
        <patternFill>
          <bgColor rgb="FFFF0000"/>
        </patternFill>
      </fill>
    </dxf>
    <dxf>
      <fill>
        <patternFill>
          <bgColor rgb="FF00B050"/>
        </patternFill>
      </fill>
    </dxf>
    <dxf>
      <font>
        <color theme="5" tint="0.79998168889431442"/>
      </font>
      <fill>
        <patternFill>
          <bgColor theme="5" tint="0.79998168889431442"/>
        </patternFill>
      </fill>
      <border>
        <left/>
        <right/>
        <top/>
        <bottom/>
        <vertical/>
        <horizontal/>
      </border>
    </dxf>
    <dxf>
      <font>
        <color theme="5" tint="0.79998168889431442"/>
      </font>
      <fill>
        <patternFill>
          <bgColor theme="5" tint="0.79998168889431442"/>
        </patternFill>
      </fill>
      <border>
        <left/>
        <right/>
        <top/>
        <bottom/>
        <vertical/>
        <horizontal/>
      </border>
    </dxf>
    <dxf>
      <font>
        <color theme="8" tint="0.79998168889431442"/>
      </font>
      <fill>
        <patternFill>
          <bgColor theme="8" tint="0.79998168889431442"/>
        </patternFill>
      </fill>
      <border>
        <left/>
        <right/>
        <top/>
        <bottom/>
        <vertical/>
        <horizontal/>
      </border>
    </dxf>
    <dxf>
      <font>
        <color theme="6" tint="0.79998168889431442"/>
      </font>
      <fill>
        <patternFill patternType="solid">
          <fgColor indexed="64"/>
          <bgColor theme="6" tint="0.79998168889431442"/>
        </patternFill>
      </fill>
      <border>
        <left/>
        <right/>
        <top/>
        <bottom/>
        <vertical/>
        <horizontal/>
      </border>
    </dxf>
    <dxf>
      <font>
        <color theme="6" tint="0.79998168889431442"/>
      </font>
      <fill>
        <patternFill>
          <bgColor theme="6" tint="0.79998168889431442"/>
        </patternFill>
      </fill>
      <border>
        <left/>
        <right/>
        <top/>
        <bottom/>
        <vertical/>
        <horizontal/>
      </border>
    </dxf>
    <dxf>
      <font>
        <color theme="9" tint="0.79998168889431442"/>
      </font>
      <fill>
        <patternFill>
          <fgColor theme="9" tint="0.79998168889431442"/>
        </patternFill>
      </fill>
      <border>
        <left/>
        <right/>
        <top/>
        <bottom/>
        <vertical/>
        <horizontal/>
      </border>
    </dxf>
    <dxf>
      <font>
        <color theme="9" tint="0.79998168889431442"/>
      </font>
      <fill>
        <patternFill>
          <bgColor theme="9" tint="0.79998168889431442"/>
        </patternFill>
      </fill>
      <border>
        <left/>
        <right/>
        <top/>
        <bottom/>
        <vertical/>
        <horizontal/>
      </border>
    </dxf>
    <dxf>
      <font>
        <color theme="9" tint="0.79998168889431442"/>
      </font>
      <fill>
        <patternFill>
          <bgColor theme="9"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ont>
        <color theme="5" tint="0.79998168889431442"/>
      </font>
      <fill>
        <patternFill>
          <bgColor theme="5" tint="0.79998168889431442"/>
        </patternFill>
      </fill>
      <border>
        <left/>
        <right/>
        <top/>
        <bottom/>
        <vertical/>
        <horizontal/>
      </border>
    </dxf>
    <dxf>
      <font>
        <color theme="5" tint="0.79998168889431442"/>
      </font>
      <fill>
        <patternFill>
          <bgColor theme="5" tint="0.79998168889431442"/>
        </patternFill>
      </fill>
      <border>
        <left/>
        <right/>
        <top/>
        <bottom/>
        <vertical/>
        <horizontal/>
      </border>
    </dxf>
    <dxf>
      <font>
        <color theme="8" tint="0.79998168889431442"/>
      </font>
      <fill>
        <patternFill>
          <bgColor theme="8" tint="0.79998168889431442"/>
        </patternFill>
      </fill>
      <border>
        <left/>
        <right/>
        <top/>
        <bottom/>
        <vertical/>
        <horizontal/>
      </border>
    </dxf>
    <dxf>
      <font>
        <color theme="6" tint="0.79998168889431442"/>
      </font>
      <fill>
        <patternFill>
          <bgColor theme="6" tint="0.79998168889431442"/>
        </patternFill>
      </fill>
      <border>
        <left/>
        <right/>
        <top/>
        <bottom/>
        <vertical/>
        <horizontal/>
      </border>
    </dxf>
    <dxf>
      <font>
        <color theme="9" tint="0.79998168889431442"/>
      </font>
      <fill>
        <patternFill>
          <bgColor theme="9" tint="0.79998168889431442"/>
        </patternFill>
      </fill>
      <border>
        <left/>
        <right/>
        <top/>
        <bottom/>
        <vertical/>
        <horizontal/>
      </border>
    </dxf>
    <dxf>
      <font>
        <color theme="9" tint="0.79998168889431442"/>
      </font>
      <fill>
        <patternFill>
          <bgColor theme="9" tint="0.79998168889431442"/>
        </patternFill>
      </fill>
      <border>
        <left/>
        <right/>
        <top/>
        <bottom/>
        <vertical/>
        <horizontal/>
      </border>
    </dxf>
    <dxf>
      <font>
        <color theme="9" tint="0.79998168889431442"/>
      </font>
      <fill>
        <patternFill>
          <bgColor theme="9" tint="0.79998168889431442"/>
        </patternFill>
      </fill>
      <border>
        <left/>
        <right/>
        <top/>
        <bottom/>
        <vertical/>
        <horizontal/>
      </border>
    </dxf>
    <dxf>
      <font>
        <color theme="9" tint="0.79998168889431442"/>
      </font>
      <fill>
        <patternFill>
          <bgColor theme="9"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ont>
        <color theme="5" tint="0.79998168889431442"/>
      </font>
      <fill>
        <patternFill>
          <fgColor theme="5" tint="0.79998168889431442"/>
        </patternFill>
      </fill>
      <border>
        <left/>
        <right/>
        <top/>
        <bottom/>
        <vertical/>
        <horizontal/>
      </border>
    </dxf>
    <dxf>
      <font>
        <color theme="5" tint="0.79998168889431442"/>
      </font>
      <fill>
        <patternFill>
          <bgColor theme="5" tint="0.79998168889431442"/>
        </patternFill>
      </fill>
      <border>
        <left/>
        <right/>
        <top/>
        <bottom/>
        <vertical/>
        <horizontal/>
      </border>
    </dxf>
    <dxf>
      <font>
        <color theme="5" tint="0.79998168889431442"/>
      </font>
      <fill>
        <patternFill>
          <bgColor theme="5" tint="0.79998168889431442"/>
        </patternFill>
      </fill>
      <border>
        <left/>
        <right/>
        <top/>
        <bottom/>
        <vertical/>
        <horizontal/>
      </border>
    </dxf>
    <dxf>
      <font>
        <color theme="8" tint="0.79998168889431442"/>
      </font>
      <fill>
        <patternFill>
          <bgColor theme="8" tint="0.79998168889431442"/>
        </patternFill>
      </fill>
      <border>
        <left/>
        <right/>
        <top/>
        <bottom/>
        <vertical/>
        <horizontal/>
      </border>
    </dxf>
    <dxf>
      <font>
        <color theme="6" tint="0.79998168889431442"/>
      </font>
      <fill>
        <patternFill>
          <bgColor theme="6" tint="0.79998168889431442"/>
        </patternFill>
      </fill>
      <border>
        <left/>
        <right/>
        <top/>
        <bottom/>
        <vertical/>
        <horizontal/>
      </border>
    </dxf>
    <dxf>
      <font>
        <color theme="9" tint="0.79998168889431442"/>
      </font>
      <fill>
        <patternFill>
          <bgColor theme="9" tint="0.79998168889431442"/>
        </patternFill>
      </fill>
      <border>
        <left/>
        <right/>
        <top/>
        <bottom/>
      </border>
    </dxf>
    <dxf>
      <font>
        <color theme="9" tint="0.79998168889431442"/>
      </font>
      <fill>
        <patternFill>
          <bgColor theme="9" tint="0.79998168889431442"/>
        </patternFill>
      </fill>
      <border>
        <left/>
        <right/>
        <top/>
        <bottom/>
        <vertical/>
        <horizontal/>
      </border>
    </dxf>
    <dxf>
      <font>
        <color theme="9" tint="0.79998168889431442"/>
      </font>
      <fill>
        <patternFill>
          <bgColor theme="9"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ill>
        <patternFill>
          <bgColor rgb="FFFF0000"/>
        </patternFill>
      </fill>
    </dxf>
    <dxf>
      <fill>
        <patternFill>
          <bgColor rgb="FFFF0000"/>
        </patternFill>
      </fill>
    </dxf>
    <dxf>
      <font>
        <color theme="4" tint="0.79998168889431442"/>
      </font>
      <fill>
        <patternFill>
          <bgColor theme="4" tint="0.79998168889431442"/>
        </patternFill>
      </fill>
      <border>
        <left/>
        <right/>
        <top/>
        <bottom/>
      </border>
    </dxf>
    <dxf>
      <font>
        <color theme="5" tint="0.79998168889431442"/>
      </font>
      <fill>
        <patternFill>
          <bgColor theme="5" tint="0.79998168889431442"/>
        </patternFill>
      </fill>
      <border>
        <left/>
        <right/>
        <top/>
        <bottom/>
        <vertical/>
        <horizontal/>
      </border>
    </dxf>
    <dxf>
      <font>
        <color theme="5" tint="0.79998168889431442"/>
      </font>
      <fill>
        <patternFill>
          <bgColor theme="5" tint="0.79998168889431442"/>
        </patternFill>
      </fill>
      <border>
        <left/>
        <right/>
        <top/>
        <bottom/>
        <vertical/>
        <horizontal/>
      </border>
    </dxf>
    <dxf>
      <font>
        <color theme="5" tint="0.79998168889431442"/>
      </font>
      <fill>
        <patternFill>
          <bgColor theme="5" tint="0.79998168889431442"/>
        </patternFill>
      </fill>
      <border>
        <left/>
        <right/>
        <top/>
        <bottom/>
        <vertical/>
        <horizontal/>
      </border>
    </dxf>
    <dxf>
      <font>
        <color theme="8" tint="0.79998168889431442"/>
      </font>
      <fill>
        <patternFill>
          <bgColor theme="8" tint="0.79998168889431442"/>
        </patternFill>
      </fill>
      <border>
        <left/>
        <right/>
        <top/>
        <bottom/>
        <vertical/>
        <horizontal/>
      </border>
    </dxf>
    <dxf>
      <font>
        <color theme="6" tint="0.79998168889431442"/>
      </font>
      <fill>
        <patternFill>
          <bgColor theme="6" tint="0.79998168889431442"/>
        </patternFill>
      </fill>
      <border>
        <left/>
        <right/>
        <top/>
        <bottom/>
        <vertical/>
        <horizontal/>
      </border>
    </dxf>
    <dxf>
      <font>
        <color theme="6" tint="0.79998168889431442"/>
      </font>
      <fill>
        <patternFill>
          <bgColor theme="6" tint="0.79998168889431442"/>
        </patternFill>
      </fill>
      <border>
        <left/>
        <right/>
        <top/>
        <bottom/>
        <vertical/>
        <horizontal/>
      </border>
    </dxf>
    <dxf>
      <font>
        <color theme="9" tint="0.79998168889431442"/>
      </font>
      <fill>
        <patternFill>
          <bgColor theme="9" tint="0.79998168889431442"/>
        </patternFill>
      </fill>
      <border>
        <left/>
        <right/>
        <top/>
        <bottom/>
        <vertical/>
        <horizontal/>
      </border>
    </dxf>
    <dxf>
      <font>
        <color theme="9" tint="0.79998168889431442"/>
      </font>
      <fill>
        <patternFill>
          <bgColor theme="9" tint="0.79998168889431442"/>
        </patternFill>
      </fill>
      <border>
        <left/>
        <right/>
        <top/>
        <bottom/>
        <vertical/>
        <horizontal/>
      </border>
    </dxf>
    <dxf>
      <font>
        <color theme="9" tint="0.79998168889431442"/>
      </font>
      <fill>
        <patternFill>
          <bgColor theme="9"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ont>
        <color theme="4" tint="0.79998168889431442"/>
      </font>
      <fill>
        <patternFill>
          <bgColor theme="4" tint="0.79998168889431442"/>
        </patternFill>
      </fill>
      <border>
        <left/>
        <right/>
        <top/>
        <bottom/>
        <vertical/>
        <horizontal/>
      </border>
    </dxf>
    <dxf>
      <fill>
        <patternFill>
          <bgColor theme="5" tint="0.79998168889431442"/>
        </patternFill>
      </fill>
    </dxf>
    <dxf>
      <fill>
        <patternFill>
          <bgColor theme="4" tint="0.59996337778862885"/>
        </patternFill>
      </fill>
    </dxf>
    <dxf>
      <fill>
        <patternFill>
          <bgColor theme="6" tint="-0.24994659260841701"/>
        </patternFill>
      </fill>
    </dxf>
    <dxf>
      <fill>
        <patternFill>
          <bgColor theme="9" tint="-0.24994659260841701"/>
        </patternFill>
      </fill>
    </dxf>
    <dxf>
      <fill>
        <patternFill>
          <bgColor theme="3" tint="0.39994506668294322"/>
        </patternFill>
      </fill>
    </dxf>
    <dxf>
      <fill>
        <patternFill>
          <bgColor theme="4" tint="0.79998168889431442"/>
        </patternFill>
      </fill>
    </dxf>
    <dxf>
      <fill>
        <patternFill>
          <bgColor theme="5" tint="0.79998168889431442"/>
        </patternFill>
      </fill>
    </dxf>
    <dxf>
      <fill>
        <patternFill>
          <bgColor rgb="FF00B050"/>
        </patternFill>
      </fill>
    </dxf>
    <dxf>
      <fill>
        <patternFill>
          <bgColor theme="5" tint="0.79998168889431442"/>
        </patternFill>
      </fill>
    </dxf>
    <dxf>
      <fill>
        <patternFill>
          <bgColor rgb="FFFF0000"/>
        </patternFill>
      </fill>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7" formatCode="_(* #,##0.0_);_(* \(#,##0.0\);_(* &quot;-&quot;??_);_(@_)"/>
    </dxf>
    <dxf>
      <font>
        <b val="0"/>
        <i val="0"/>
        <strike val="0"/>
        <condense val="0"/>
        <extend val="0"/>
        <outline val="0"/>
        <shadow val="0"/>
        <u val="none"/>
        <vertAlign val="baseline"/>
        <sz val="10"/>
        <color auto="1"/>
        <name val="Arial"/>
        <scheme val="none"/>
      </font>
      <numFmt numFmtId="167" formatCode="_(* #,##0.0_);_(* \(#,##0.0\);_(* &quot;-&quot;??_);_(@_)"/>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0" formatCode="@"/>
    </dxf>
    <dxf>
      <font>
        <b/>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xdr:col>
      <xdr:colOff>791765</xdr:colOff>
      <xdr:row>4</xdr:row>
      <xdr:rowOff>107156</xdr:rowOff>
    </xdr:from>
    <xdr:ext cx="184731" cy="264560"/>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401365" y="75485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77391</xdr:colOff>
      <xdr:row>0</xdr:row>
      <xdr:rowOff>65484</xdr:rowOff>
    </xdr:from>
    <xdr:ext cx="6185297" cy="262854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77391" y="65484"/>
          <a:ext cx="6185297" cy="2628540"/>
        </a:xfrm>
        <a:prstGeom prst="rect">
          <a:avLst/>
        </a:prstGeom>
        <a:solidFill>
          <a:schemeClr val="bg1"/>
        </a:solidFill>
        <a:ln w="381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baseline="0" noProof="0">
              <a:solidFill>
                <a:schemeClr val="tx1"/>
              </a:solidFill>
              <a:latin typeface="+mn-lt"/>
              <a:ea typeface="+mn-ea"/>
              <a:cs typeface="+mn-cs"/>
            </a:rPr>
            <a:t>Instructions</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2000" b="1" baseline="0" noProof="0">
            <a:solidFill>
              <a:schemeClr val="tx1"/>
            </a:solidFill>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baseline="0" noProof="0">
              <a:solidFill>
                <a:schemeClr val="tx1"/>
              </a:solidFill>
              <a:latin typeface="+mn-lt"/>
              <a:ea typeface="+mn-ea"/>
              <a:cs typeface="+mn-cs"/>
            </a:rPr>
            <a:t>Using the Yale Accounting Learning Environment in Excel</a:t>
          </a:r>
          <a:r>
            <a:rPr lang="en-US" sz="1200" b="1" baseline="30000" noProof="0">
              <a:solidFill>
                <a:schemeClr val="tx1"/>
              </a:solidFill>
              <a:latin typeface="+mn-lt"/>
              <a:ea typeface="+mn-ea"/>
              <a:cs typeface="+mn-cs"/>
            </a:rPr>
            <a:t>TM</a:t>
          </a:r>
          <a:r>
            <a:rPr lang="en-US" sz="1200" b="1" baseline="0" noProof="0">
              <a:solidFill>
                <a:schemeClr val="tx1"/>
              </a:solidFill>
              <a:latin typeface="+mn-lt"/>
              <a:ea typeface="+mn-ea"/>
              <a:cs typeface="+mn-cs"/>
            </a:rPr>
            <a:t> (YALEiE).</a:t>
          </a:r>
        </a:p>
        <a:p>
          <a:pPr marL="0" indent="0"/>
          <a:endParaRPr lang="en-US" sz="1200" b="1" baseline="0">
            <a:solidFill>
              <a:schemeClr val="tx1"/>
            </a:solidFill>
            <a:latin typeface="+mn-lt"/>
            <a:ea typeface="+mn-ea"/>
            <a:cs typeface="+mn-cs"/>
          </a:endParaRPr>
        </a:p>
        <a:p>
          <a:pPr marL="0" indent="0"/>
          <a:r>
            <a:rPr lang="en-US" sz="1200" b="0" i="0" baseline="0">
              <a:solidFill>
                <a:schemeClr val="tx1"/>
              </a:solidFill>
              <a:latin typeface="+mn-lt"/>
              <a:ea typeface="+mn-ea"/>
              <a:cs typeface="+mn-cs"/>
            </a:rPr>
            <a:t>Explanation of the Problem and how the YALEiE is to be used.</a:t>
          </a:r>
        </a:p>
        <a:p>
          <a:pPr marL="0" indent="0"/>
          <a:endParaRPr lang="en-US" sz="1200" b="0" baseline="0">
            <a:solidFill>
              <a:schemeClr val="tx1"/>
            </a:solidFill>
            <a:latin typeface="+mn-lt"/>
            <a:ea typeface="+mn-ea"/>
            <a:cs typeface="+mn-cs"/>
          </a:endParaRPr>
        </a:p>
        <a:p>
          <a:pPr eaLnBrk="1" fontAlgn="auto" latinLnBrk="0" hangingPunct="1"/>
          <a:r>
            <a:rPr lang="en-US" sz="1600" b="1" baseline="0">
              <a:solidFill>
                <a:schemeClr val="tx1"/>
              </a:solidFill>
              <a:effectLst/>
              <a:latin typeface="+mn-lt"/>
              <a:ea typeface="+mn-ea"/>
              <a:cs typeface="+mn-cs"/>
            </a:rPr>
            <a:t>REQUIRED:</a:t>
          </a:r>
        </a:p>
        <a:p>
          <a:pPr eaLnBrk="1" fontAlgn="auto" latinLnBrk="0" hangingPunct="1"/>
          <a:endParaRPr lang="en-US" sz="1200">
            <a:effectLst/>
          </a:endParaRPr>
        </a:p>
        <a:p>
          <a:pPr eaLnBrk="1" fontAlgn="auto" latinLnBrk="0" hangingPunct="1"/>
          <a:r>
            <a:rPr lang="en-US" sz="1100" b="1" i="0" baseline="0">
              <a:solidFill>
                <a:schemeClr val="tx1"/>
              </a:solidFill>
              <a:effectLst/>
              <a:latin typeface="+mn-lt"/>
              <a:ea typeface="+mn-ea"/>
              <a:cs typeface="+mn-cs"/>
            </a:rPr>
            <a:t>1. </a:t>
          </a:r>
        </a:p>
        <a:p>
          <a:pPr eaLnBrk="1" fontAlgn="auto" latinLnBrk="0" hangingPunct="1"/>
          <a:endParaRPr lang="en-US" sz="1200">
            <a:effectLst/>
          </a:endParaRPr>
        </a:p>
        <a:p>
          <a:pPr algn="ctr" eaLnBrk="1" fontAlgn="auto" latinLnBrk="0" hangingPunct="1"/>
          <a:r>
            <a:rPr lang="en-US" sz="1100" b="0" i="1" baseline="0">
              <a:solidFill>
                <a:schemeClr val="tx1"/>
              </a:solidFill>
              <a:effectLst/>
              <a:latin typeface="+mn-lt"/>
              <a:ea typeface="+mn-ea"/>
              <a:cs typeface="+mn-cs"/>
            </a:rPr>
            <a:t>Notes to students</a:t>
          </a:r>
          <a:endParaRPr lang="en-US" sz="1200" b="0" i="0" baseline="0">
            <a:solidFill>
              <a:schemeClr val="tx1"/>
            </a:solidFill>
            <a:effectLst/>
            <a:latin typeface="+mn-lt"/>
            <a:ea typeface="+mn-ea"/>
            <a:cs typeface="+mn-cs"/>
          </a:endParaRPr>
        </a:p>
        <a:p>
          <a:pPr eaLnBrk="1" fontAlgn="auto" latinLnBrk="0" hangingPunct="1"/>
          <a:endParaRPr lang="en-US" sz="1200">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24</xdr:col>
      <xdr:colOff>261937</xdr:colOff>
      <xdr:row>12</xdr:row>
      <xdr:rowOff>107156</xdr:rowOff>
    </xdr:from>
    <xdr:to>
      <xdr:col>27</xdr:col>
      <xdr:colOff>565547</xdr:colOff>
      <xdr:row>64</xdr:row>
      <xdr:rowOff>107156</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8776156" y="2083594"/>
          <a:ext cx="2381250" cy="8596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KEEP OUT!</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537337</xdr:colOff>
      <xdr:row>1</xdr:row>
      <xdr:rowOff>0</xdr:rowOff>
    </xdr:from>
    <xdr:ext cx="4324582" cy="2925416"/>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537337" y="163286"/>
          <a:ext cx="4324582" cy="292541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b="1" i="0" baseline="0">
              <a:solidFill>
                <a:schemeClr val="tx1"/>
              </a:solidFill>
              <a:effectLst/>
              <a:latin typeface="+mn-lt"/>
              <a:ea typeface="+mn-ea"/>
              <a:cs typeface="+mn-cs"/>
            </a:rPr>
            <a:t>Yale Accounting Learning Environment in Excel</a:t>
          </a:r>
          <a:r>
            <a:rPr lang="en-US" sz="1000" b="1" i="0" baseline="30000">
              <a:solidFill>
                <a:schemeClr val="tx1"/>
              </a:solidFill>
              <a:effectLst/>
              <a:latin typeface="+mn-lt"/>
              <a:ea typeface="+mn-ea"/>
              <a:cs typeface="+mn-cs"/>
            </a:rPr>
            <a:t>TM </a:t>
          </a:r>
          <a:r>
            <a:rPr lang="en-US" sz="1000" b="1" i="0" baseline="0">
              <a:solidFill>
                <a:schemeClr val="tx1"/>
              </a:solidFill>
              <a:effectLst/>
              <a:latin typeface="+mn-lt"/>
              <a:ea typeface="+mn-ea"/>
              <a:cs typeface="+mn-cs"/>
            </a:rPr>
            <a:t>(YALEiE)</a:t>
          </a:r>
          <a:endParaRPr lang="en-US" sz="1000">
            <a:effectLst/>
          </a:endParaRPr>
        </a:p>
        <a:p>
          <a:endParaRPr lang="en-US" sz="900" b="0" baseline="0"/>
        </a:p>
        <a:p>
          <a:r>
            <a:rPr lang="en-US" sz="900" b="0" baseline="0"/>
            <a:t>This Excel workbook is one of a series that contains a set of tools designed</a:t>
          </a:r>
        </a:p>
        <a:p>
          <a:r>
            <a:rPr lang="en-US" sz="900" b="0" baseline="0"/>
            <a:t>to help students learn accounting. It assumes you are familiar with many of the basics of</a:t>
          </a:r>
        </a:p>
        <a:p>
          <a:r>
            <a:rPr lang="en-US" sz="900" b="0" baseline="0"/>
            <a:t>accounting, including the structure of the balance sheet and income statement, the</a:t>
          </a:r>
        </a:p>
        <a:p>
          <a:r>
            <a:rPr lang="en-US" sz="900" b="0" baseline="0"/>
            <a:t>basic types of accounts (assets, liabilities, equities, revenues, and expenses) and their</a:t>
          </a:r>
        </a:p>
        <a:p>
          <a:r>
            <a:rPr lang="en-US" sz="900" b="0" baseline="0"/>
            <a:t>roles in financial statements.</a:t>
          </a:r>
        </a:p>
        <a:p>
          <a:endParaRPr lang="en-US" sz="900" b="0" baseline="0"/>
        </a:p>
        <a:p>
          <a:r>
            <a:rPr lang="en-US" sz="900" b="0" baseline="0"/>
            <a:t>This workbook contains eight tabs:</a:t>
          </a:r>
        </a:p>
        <a:p>
          <a:endParaRPr lang="en-US" sz="900" b="0" baseline="0"/>
        </a:p>
        <a:p>
          <a:r>
            <a:rPr lang="en-US" sz="900" b="1" baseline="0"/>
            <a:t>Instructions</a:t>
          </a:r>
        </a:p>
        <a:p>
          <a:r>
            <a:rPr lang="en-US" sz="900" b="1" baseline="0"/>
            <a:t>Basic Inputs</a:t>
          </a:r>
        </a:p>
        <a:p>
          <a:r>
            <a:rPr lang="en-US" sz="900" b="1" baseline="0"/>
            <a:t>Journal</a:t>
          </a:r>
        </a:p>
        <a:p>
          <a:r>
            <a:rPr lang="en-US" sz="900" b="1" baseline="0"/>
            <a:t>T accnts</a:t>
          </a:r>
        </a:p>
        <a:p>
          <a:r>
            <a:rPr lang="en-US" sz="900" b="1" baseline="0"/>
            <a:t>Financial Statements</a:t>
          </a:r>
        </a:p>
        <a:p>
          <a:r>
            <a:rPr lang="en-US" sz="900" b="1" baseline="0"/>
            <a:t>Final Check</a:t>
          </a:r>
        </a:p>
        <a:p>
          <a:r>
            <a:rPr lang="en-US" sz="900" b="1" baseline="0"/>
            <a:t>Account Names</a:t>
          </a:r>
        </a:p>
        <a:p>
          <a:r>
            <a:rPr lang="en-US" sz="900" b="1" baseline="0"/>
            <a:t>Notice</a:t>
          </a:r>
          <a:endParaRPr lang="en-US" sz="900" b="0" baseline="0"/>
        </a:p>
        <a:p>
          <a:endParaRPr lang="en-US" sz="900" b="0" baseline="0"/>
        </a:p>
        <a:p>
          <a:r>
            <a:rPr lang="en-US" sz="900" b="0" baseline="0"/>
            <a:t>©Rick Antle and Stanley J. Garstka</a:t>
          </a: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B8" totalsRowShown="0" headerRowDxfId="224">
  <autoFilter ref="A2:B8" xr:uid="{00000000-0009-0000-0100-000001000000}"/>
  <tableColumns count="2">
    <tableColumn id="1" xr3:uid="{00000000-0010-0000-0000-000001000000}" name="Item"/>
    <tableColumn id="2" xr3:uid="{00000000-0010-0000-0000-000002000000}" name="Value" dataDxfId="22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1:D46" totalsRowShown="0" headerRowDxfId="222" dataDxfId="221">
  <autoFilter ref="A11:D46" xr:uid="{00000000-0009-0000-0100-000002000000}"/>
  <tableColumns count="4">
    <tableColumn id="1" xr3:uid="{00000000-0010-0000-0100-000001000000}" name="Account Type" dataDxfId="220"/>
    <tableColumn id="2" xr3:uid="{00000000-0010-0000-0100-000002000000}" name="Account Name" dataDxfId="219"/>
    <tableColumn id="3" xr3:uid="{00000000-0010-0000-0100-000003000000}" name="Beginning Balance Dr" dataDxfId="218" dataCellStyle="Comma"/>
    <tableColumn id="4" xr3:uid="{00000000-0010-0000-0100-000004000000}" name="Beginning Balance Cr" dataDxfId="217" dataCellStyle="Comma"/>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24" displayName="Table24" ref="A50:B64" totalsRowShown="0" headerRowDxfId="216" dataDxfId="215">
  <autoFilter ref="A50:B64" xr:uid="{00000000-0009-0000-0100-000003000000}"/>
  <tableColumns count="2">
    <tableColumn id="3" xr3:uid="{00000000-0010-0000-0200-000003000000}" name="Account Type" dataDxfId="214"/>
    <tableColumn id="2" xr3:uid="{00000000-0010-0000-0200-000002000000}" name="Name" dataDxfId="21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ColWidth="9.140625" defaultRowHeight="12.75"/>
  <cols>
    <col min="1" max="1" width="9.140625" style="21"/>
    <col min="2" max="2" width="31.42578125" style="21" customWidth="1"/>
    <col min="3" max="3" width="12.140625" style="21" customWidth="1"/>
    <col min="4" max="4" width="26.7109375" style="21" customWidth="1"/>
    <col min="5" max="5" width="10.7109375" style="21" customWidth="1"/>
    <col min="6" max="16384" width="9.140625" style="2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65"/>
  <sheetViews>
    <sheetView workbookViewId="0">
      <selection activeCell="F17" sqref="F17"/>
    </sheetView>
  </sheetViews>
  <sheetFormatPr defaultColWidth="8.7109375" defaultRowHeight="12.75"/>
  <cols>
    <col min="1" max="1" width="19.7109375" bestFit="1" customWidth="1"/>
    <col min="2" max="2" width="30" customWidth="1"/>
    <col min="3" max="3" width="26.42578125" customWidth="1"/>
    <col min="4" max="5" width="25.7109375" bestFit="1" customWidth="1"/>
    <col min="6" max="7" width="21.140625" bestFit="1" customWidth="1"/>
  </cols>
  <sheetData>
    <row r="1" spans="1:6">
      <c r="A1" s="402" t="s">
        <v>0</v>
      </c>
      <c r="B1" s="402"/>
      <c r="C1" s="30"/>
      <c r="D1" s="30"/>
    </row>
    <row r="2" spans="1:6" s="30" customFormat="1">
      <c r="A2" s="30" t="s">
        <v>1</v>
      </c>
      <c r="B2" s="30" t="s">
        <v>2</v>
      </c>
    </row>
    <row r="3" spans="1:6">
      <c r="A3" t="s">
        <v>3</v>
      </c>
      <c r="B3" s="33" t="s">
        <v>4</v>
      </c>
    </row>
    <row r="4" spans="1:6">
      <c r="A4" s="4" t="s">
        <v>5</v>
      </c>
      <c r="B4" s="33" t="s">
        <v>6</v>
      </c>
      <c r="C4" s="401" t="s">
        <v>7</v>
      </c>
      <c r="D4" s="401"/>
    </row>
    <row r="5" spans="1:6">
      <c r="A5" t="s">
        <v>8</v>
      </c>
      <c r="B5" s="33" t="s">
        <v>9</v>
      </c>
      <c r="C5" s="4" t="s">
        <v>10</v>
      </c>
      <c r="D5" s="32">
        <f>ROUND(SUM(C12:C26)-SUM(D12:D26),1)</f>
        <v>0</v>
      </c>
    </row>
    <row r="6" spans="1:6">
      <c r="A6" t="s">
        <v>11</v>
      </c>
      <c r="B6" s="33" t="s">
        <v>12</v>
      </c>
      <c r="C6" s="4" t="s">
        <v>13</v>
      </c>
      <c r="D6" s="32">
        <f>ROUND(SUM(D27:D40),1)</f>
        <v>0</v>
      </c>
    </row>
    <row r="7" spans="1:6">
      <c r="A7" t="s">
        <v>14</v>
      </c>
      <c r="B7" s="33" t="s">
        <v>15</v>
      </c>
      <c r="C7" s="4" t="s">
        <v>16</v>
      </c>
      <c r="D7" s="32">
        <f>ROUND(SUM(D41:D46)-SUM(C41:C46),1)</f>
        <v>0</v>
      </c>
    </row>
    <row r="8" spans="1:6">
      <c r="A8" t="s">
        <v>17</v>
      </c>
      <c r="B8" s="33" t="s">
        <v>18</v>
      </c>
      <c r="C8" s="4" t="s">
        <v>19</v>
      </c>
      <c r="D8" s="154">
        <f>D5-D6-D7</f>
        <v>0</v>
      </c>
    </row>
    <row r="9" spans="1:6">
      <c r="B9" s="4"/>
    </row>
    <row r="10" spans="1:6">
      <c r="A10" s="401" t="s">
        <v>20</v>
      </c>
      <c r="B10" s="401"/>
      <c r="C10" s="401"/>
      <c r="D10" s="401"/>
    </row>
    <row r="11" spans="1:6">
      <c r="A11" s="31" t="s">
        <v>21</v>
      </c>
      <c r="B11" s="31" t="s">
        <v>22</v>
      </c>
      <c r="C11" s="31" t="s">
        <v>23</v>
      </c>
      <c r="D11" s="31" t="s">
        <v>24</v>
      </c>
    </row>
    <row r="12" spans="1:6">
      <c r="A12" s="4" t="s">
        <v>25</v>
      </c>
      <c r="B12" s="33" t="s">
        <v>26</v>
      </c>
      <c r="C12" s="150"/>
      <c r="D12" s="151"/>
    </row>
    <row r="13" spans="1:6">
      <c r="A13" s="4" t="s">
        <v>25</v>
      </c>
      <c r="B13" s="33" t="s">
        <v>27</v>
      </c>
      <c r="C13" s="150"/>
      <c r="D13" s="151"/>
    </row>
    <row r="14" spans="1:6">
      <c r="A14" s="4" t="s">
        <v>25</v>
      </c>
      <c r="B14" s="33" t="s">
        <v>28</v>
      </c>
      <c r="C14" s="150"/>
      <c r="D14" s="151"/>
    </row>
    <row r="15" spans="1:6">
      <c r="A15" t="s">
        <v>25</v>
      </c>
      <c r="B15" s="33" t="s">
        <v>29</v>
      </c>
      <c r="C15" s="151"/>
      <c r="D15" s="150"/>
      <c r="F15" s="4"/>
    </row>
    <row r="16" spans="1:6">
      <c r="A16" s="4" t="s">
        <v>25</v>
      </c>
      <c r="B16" s="33" t="s">
        <v>30</v>
      </c>
      <c r="C16" s="150"/>
      <c r="D16" s="151"/>
      <c r="E16" s="4"/>
    </row>
    <row r="17" spans="1:5">
      <c r="A17" t="s">
        <v>25</v>
      </c>
      <c r="B17" s="33" t="s">
        <v>31</v>
      </c>
      <c r="C17" s="151"/>
      <c r="D17" s="150"/>
      <c r="E17" s="4"/>
    </row>
    <row r="18" spans="1:5">
      <c r="A18" s="4" t="s">
        <v>25</v>
      </c>
      <c r="B18" s="33" t="s">
        <v>32</v>
      </c>
      <c r="C18" s="150"/>
      <c r="D18" s="151"/>
    </row>
    <row r="19" spans="1:5">
      <c r="A19" s="4" t="s">
        <v>25</v>
      </c>
      <c r="B19" s="33" t="s">
        <v>33</v>
      </c>
      <c r="C19" s="150"/>
      <c r="D19" s="151"/>
    </row>
    <row r="20" spans="1:5">
      <c r="A20" t="s">
        <v>25</v>
      </c>
      <c r="B20" s="33" t="s">
        <v>34</v>
      </c>
      <c r="C20" s="150"/>
      <c r="D20" s="152"/>
    </row>
    <row r="21" spans="1:5">
      <c r="A21" s="4" t="s">
        <v>25</v>
      </c>
      <c r="B21" s="33" t="s">
        <v>35</v>
      </c>
      <c r="C21" s="150"/>
      <c r="D21" s="151"/>
    </row>
    <row r="22" spans="1:5">
      <c r="A22" s="4" t="s">
        <v>25</v>
      </c>
      <c r="B22" s="33" t="s">
        <v>36</v>
      </c>
      <c r="C22" s="151"/>
      <c r="D22" s="153"/>
    </row>
    <row r="23" spans="1:5">
      <c r="A23" s="4" t="s">
        <v>25</v>
      </c>
      <c r="B23" s="33" t="s">
        <v>35</v>
      </c>
      <c r="C23" s="150"/>
      <c r="D23" s="151"/>
    </row>
    <row r="24" spans="1:5">
      <c r="A24" s="4" t="s">
        <v>25</v>
      </c>
      <c r="B24" s="33" t="s">
        <v>36</v>
      </c>
      <c r="C24" s="151"/>
      <c r="D24" s="153"/>
    </row>
    <row r="25" spans="1:5">
      <c r="A25" s="4" t="s">
        <v>25</v>
      </c>
      <c r="B25" s="33" t="s">
        <v>35</v>
      </c>
      <c r="C25" s="150"/>
      <c r="D25" s="151"/>
    </row>
    <row r="26" spans="1:5">
      <c r="A26" s="4" t="s">
        <v>25</v>
      </c>
      <c r="B26" s="33" t="s">
        <v>35</v>
      </c>
      <c r="C26" s="150"/>
      <c r="D26" s="151"/>
    </row>
    <row r="27" spans="1:5" collapsed="1">
      <c r="A27" s="4" t="s">
        <v>37</v>
      </c>
      <c r="B27" s="33" t="s">
        <v>38</v>
      </c>
      <c r="C27" s="151"/>
      <c r="D27" s="150"/>
      <c r="E27" s="4"/>
    </row>
    <row r="28" spans="1:5">
      <c r="A28" s="4" t="s">
        <v>37</v>
      </c>
      <c r="B28" s="33" t="s">
        <v>39</v>
      </c>
      <c r="C28" s="151"/>
      <c r="D28" s="150"/>
      <c r="E28" s="4"/>
    </row>
    <row r="29" spans="1:5">
      <c r="A29" s="4" t="s">
        <v>37</v>
      </c>
      <c r="B29" s="33" t="s">
        <v>40</v>
      </c>
      <c r="C29" s="151"/>
      <c r="D29" s="150"/>
      <c r="E29" s="4"/>
    </row>
    <row r="30" spans="1:5">
      <c r="A30" s="4" t="s">
        <v>37</v>
      </c>
      <c r="B30" s="33" t="s">
        <v>41</v>
      </c>
      <c r="C30" s="151"/>
      <c r="D30" s="150"/>
      <c r="E30" s="4"/>
    </row>
    <row r="31" spans="1:5">
      <c r="A31" s="4" t="s">
        <v>37</v>
      </c>
      <c r="B31" s="33" t="s">
        <v>42</v>
      </c>
      <c r="C31" s="151"/>
      <c r="D31" s="150"/>
      <c r="E31" s="4"/>
    </row>
    <row r="32" spans="1:5">
      <c r="A32" s="4" t="s">
        <v>37</v>
      </c>
      <c r="B32" s="33" t="s">
        <v>43</v>
      </c>
      <c r="C32" s="151"/>
      <c r="D32" s="150"/>
      <c r="E32" s="4"/>
    </row>
    <row r="33" spans="1:5">
      <c r="A33" s="4" t="s">
        <v>37</v>
      </c>
      <c r="B33" s="33" t="s">
        <v>44</v>
      </c>
      <c r="C33" s="151"/>
      <c r="D33" s="150"/>
      <c r="E33" s="4"/>
    </row>
    <row r="34" spans="1:5">
      <c r="A34" s="4" t="s">
        <v>37</v>
      </c>
      <c r="B34" s="33" t="s">
        <v>45</v>
      </c>
      <c r="C34" s="151"/>
      <c r="D34" s="150"/>
      <c r="E34" s="4"/>
    </row>
    <row r="35" spans="1:5">
      <c r="A35" s="4" t="s">
        <v>37</v>
      </c>
      <c r="B35" s="33" t="s">
        <v>46</v>
      </c>
      <c r="C35" s="151"/>
      <c r="D35" s="150"/>
      <c r="E35" s="4"/>
    </row>
    <row r="36" spans="1:5">
      <c r="A36" s="4" t="s">
        <v>37</v>
      </c>
      <c r="B36" s="33" t="s">
        <v>47</v>
      </c>
      <c r="C36" s="151"/>
      <c r="D36" s="150"/>
      <c r="E36" s="4"/>
    </row>
    <row r="37" spans="1:5">
      <c r="A37" s="4" t="s">
        <v>37</v>
      </c>
      <c r="B37" s="33" t="s">
        <v>48</v>
      </c>
      <c r="C37" s="151"/>
      <c r="D37" s="150"/>
      <c r="E37" s="4"/>
    </row>
    <row r="38" spans="1:5">
      <c r="A38" s="4" t="s">
        <v>37</v>
      </c>
      <c r="B38" s="33" t="s">
        <v>49</v>
      </c>
      <c r="C38" s="151"/>
      <c r="D38" s="150"/>
      <c r="E38" s="4"/>
    </row>
    <row r="39" spans="1:5">
      <c r="A39" s="4" t="s">
        <v>37</v>
      </c>
      <c r="B39" s="33" t="s">
        <v>50</v>
      </c>
      <c r="C39" s="151"/>
      <c r="D39" s="150"/>
      <c r="E39" s="4"/>
    </row>
    <row r="40" spans="1:5">
      <c r="A40" s="4" t="s">
        <v>37</v>
      </c>
      <c r="B40" s="33" t="s">
        <v>51</v>
      </c>
      <c r="C40" s="151"/>
      <c r="D40" s="150"/>
      <c r="E40" s="4"/>
    </row>
    <row r="41" spans="1:5" collapsed="1">
      <c r="A41" s="4" t="s">
        <v>52</v>
      </c>
      <c r="B41" s="33" t="s">
        <v>53</v>
      </c>
      <c r="C41" s="151"/>
      <c r="D41" s="150"/>
      <c r="E41" s="4"/>
    </row>
    <row r="42" spans="1:5">
      <c r="A42" s="4" t="s">
        <v>52</v>
      </c>
      <c r="B42" s="33" t="s">
        <v>54</v>
      </c>
      <c r="C42" s="151"/>
      <c r="D42" s="150"/>
      <c r="E42" s="4"/>
    </row>
    <row r="43" spans="1:5">
      <c r="A43" s="4" t="s">
        <v>52</v>
      </c>
      <c r="B43" s="33" t="s">
        <v>55</v>
      </c>
      <c r="C43" s="151"/>
      <c r="D43" s="150"/>
      <c r="E43" s="4"/>
    </row>
    <row r="44" spans="1:5">
      <c r="A44" s="4" t="s">
        <v>52</v>
      </c>
      <c r="B44" s="33" t="s">
        <v>56</v>
      </c>
      <c r="C44" s="150"/>
      <c r="D44" s="150"/>
      <c r="E44" s="4"/>
    </row>
    <row r="45" spans="1:5">
      <c r="A45" s="4" t="s">
        <v>52</v>
      </c>
      <c r="B45" s="33" t="s">
        <v>57</v>
      </c>
      <c r="C45" s="150"/>
      <c r="D45" s="150"/>
      <c r="E45" s="4"/>
    </row>
    <row r="46" spans="1:5">
      <c r="A46" s="4" t="s">
        <v>52</v>
      </c>
      <c r="B46" s="33" t="s">
        <v>58</v>
      </c>
      <c r="C46" s="153"/>
      <c r="D46" s="151"/>
      <c r="E46" s="4"/>
    </row>
    <row r="47" spans="1:5" collapsed="1"/>
    <row r="48" spans="1:5">
      <c r="A48" s="155" t="s">
        <v>59</v>
      </c>
      <c r="B48" s="4"/>
    </row>
    <row r="49" spans="1:2">
      <c r="B49" s="4"/>
    </row>
    <row r="50" spans="1:2">
      <c r="A50" s="31" t="s">
        <v>21</v>
      </c>
      <c r="B50" s="31" t="s">
        <v>60</v>
      </c>
    </row>
    <row r="51" spans="1:2">
      <c r="A51" s="4" t="s">
        <v>61</v>
      </c>
      <c r="B51" s="33" t="s">
        <v>62</v>
      </c>
    </row>
    <row r="52" spans="1:2">
      <c r="A52" s="4" t="s">
        <v>61</v>
      </c>
      <c r="B52" s="33" t="s">
        <v>63</v>
      </c>
    </row>
    <row r="53" spans="1:2" collapsed="1">
      <c r="A53" s="4" t="s">
        <v>61</v>
      </c>
      <c r="B53" s="33" t="s">
        <v>64</v>
      </c>
    </row>
    <row r="54" spans="1:2">
      <c r="A54" s="4" t="s">
        <v>61</v>
      </c>
      <c r="B54" s="33" t="s">
        <v>65</v>
      </c>
    </row>
    <row r="55" spans="1:2">
      <c r="A55" s="4" t="s">
        <v>61</v>
      </c>
      <c r="B55" s="33" t="s">
        <v>66</v>
      </c>
    </row>
    <row r="56" spans="1:2">
      <c r="A56" s="4" t="s">
        <v>61</v>
      </c>
      <c r="B56" s="33" t="s">
        <v>67</v>
      </c>
    </row>
    <row r="57" spans="1:2">
      <c r="A57" s="4" t="s">
        <v>61</v>
      </c>
      <c r="B57" s="33" t="s">
        <v>68</v>
      </c>
    </row>
    <row r="58" spans="1:2">
      <c r="A58" s="4" t="s">
        <v>61</v>
      </c>
      <c r="B58" s="33" t="s">
        <v>69</v>
      </c>
    </row>
    <row r="59" spans="1:2">
      <c r="A59" s="4" t="s">
        <v>61</v>
      </c>
      <c r="B59" s="33" t="s">
        <v>70</v>
      </c>
    </row>
    <row r="60" spans="1:2">
      <c r="A60" s="4" t="s">
        <v>61</v>
      </c>
      <c r="B60" s="33" t="s">
        <v>71</v>
      </c>
    </row>
    <row r="61" spans="1:2" collapsed="1">
      <c r="A61" s="4" t="s">
        <v>61</v>
      </c>
      <c r="B61" s="33" t="s">
        <v>72</v>
      </c>
    </row>
    <row r="62" spans="1:2">
      <c r="A62" s="4" t="s">
        <v>61</v>
      </c>
      <c r="B62" s="33" t="s">
        <v>73</v>
      </c>
    </row>
    <row r="63" spans="1:2" s="4" customFormat="1" collapsed="1">
      <c r="A63" s="4" t="s">
        <v>61</v>
      </c>
      <c r="B63" s="33" t="s">
        <v>74</v>
      </c>
    </row>
    <row r="64" spans="1:2">
      <c r="A64" s="4" t="s">
        <v>61</v>
      </c>
      <c r="B64" s="4" t="s">
        <v>75</v>
      </c>
    </row>
    <row r="65" collapsed="1"/>
  </sheetData>
  <mergeCells count="3">
    <mergeCell ref="A10:D10"/>
    <mergeCell ref="A1:B1"/>
    <mergeCell ref="C4:D4"/>
  </mergeCells>
  <phoneticPr fontId="36" type="noConversion"/>
  <conditionalFormatting sqref="A10">
    <cfRule type="expression" dxfId="230" priority="31">
      <formula>$D$8=0</formula>
    </cfRule>
    <cfRule type="expression" dxfId="229" priority="32">
      <formula>$D$8&lt;&gt;0</formula>
    </cfRule>
  </conditionalFormatting>
  <conditionalFormatting sqref="C4">
    <cfRule type="expression" dxfId="228" priority="1">
      <formula>$D$8=0</formula>
    </cfRule>
    <cfRule type="expression" dxfId="227" priority="2">
      <formula>$D$8&lt;&gt;0</formula>
    </cfRule>
  </conditionalFormatting>
  <conditionalFormatting sqref="D8">
    <cfRule type="cellIs" dxfId="226" priority="6" operator="notEqual">
      <formula>0</formula>
    </cfRule>
    <cfRule type="cellIs" dxfId="225" priority="7" operator="equal">
      <formula>0</formula>
    </cfRule>
  </conditionalFormatting>
  <dataValidations xWindow="1047" yWindow="1444" count="10">
    <dataValidation type="list" allowBlank="1" showInputMessage="1" showErrorMessage="1" sqref="A51:A64" xr:uid="{00000000-0002-0000-0100-000000000000}">
      <formula1>Type</formula1>
    </dataValidation>
    <dataValidation type="list" allowBlank="1" showInputMessage="1" showErrorMessage="1" sqref="B51:B64" xr:uid="{00000000-0002-0000-0100-000001000000}">
      <formula1>INDIRECT($A51)</formula1>
    </dataValidation>
    <dataValidation allowBlank="1" showInputMessage="1" showErrorMessage="1" promptTitle="Entity" prompt="Enter the name of the entity for which the accounting is being done. E.g., Rick and Stan's Business, Grow Co., Yale New Haven Hospital, etc." sqref="B3" xr:uid="{00000000-0002-0000-0100-000002000000}"/>
    <dataValidation type="list" allowBlank="1" showInputMessage="1" showErrorMessage="1" promptTitle="Entity" prompt="Select &quot;For-Profit&quot; or &quot;Not-for-Profit&quot; from the dropdown menu to specify the type of entity for which the accounting is being done." sqref="B4" xr:uid="{00000000-0002-0000-0100-000003000000}">
      <formula1>"For-Profit,Not-for-Profit"</formula1>
    </dataValidation>
    <dataValidation allowBlank="1" showInputMessage="1" showErrorMessage="1" promptTitle="Begin Date" prompt="Enter the date at which the accounting period begins. Often, this should be the date of the beginning balance sheet you are given. E.g., if the beginning balance sheet is dated August 31, 20X5. and see that close of business on Aug 31 is start of Sept 1." sqref="B5" xr:uid="{00000000-0002-0000-0100-000004000000}"/>
    <dataValidation type="list" allowBlank="1" showInputMessage="1" showErrorMessage="1" promptTitle="Account Type" prompt="Choose an an Account Type from the dropdown menu. Note that the Income Statement accounts, Revenues, Expenses, Gains and Losses are temporary equity (TempEquity) accounts. The dropdown list in column B will then contain appropriate account names." sqref="A12:A46" xr:uid="{00000000-0002-0000-0100-000005000000}">
      <formula1>INDIRECT($B$4)</formula1>
    </dataValidation>
    <dataValidation type="list" allowBlank="1" showInputMessage="1" showErrorMessage="1" promptTitle="Account Name" prompt="Select an Account Name from the dropdown list. The list is dependent on type Account Type in Column A." sqref="B12:B46" xr:uid="{00000000-0002-0000-0100-000006000000}">
      <formula1>INDIRECT($A12)</formula1>
    </dataValidation>
    <dataValidation allowBlank="1" showInputMessage="1" showErrorMessage="1" promptTitle="End Date" prompt="Enter the date at which the accounting period ends. E.g., if the accounting period ends as of the close of business on Demberer 31, 20X5, enter December 31, 20X5." sqref="B6" xr:uid="{00000000-0002-0000-0100-000007000000}"/>
    <dataValidation allowBlank="1" showInputMessage="1" showErrorMessage="1" promptTitle="Period" prompt="Enter the time span from the beginning date to the end date. E.g., Year, Quarter, Month, 4 Months, etc." sqref="B7" xr:uid="{00000000-0002-0000-0100-000008000000}"/>
    <dataValidation allowBlank="1" showInputMessage="1" showErrorMessage="1" promptTitle="Units" prompt="Enter the financial units in which the accounting is million done. E.g., Dollars in Millions, in Millions of USD, Euros in Thousands, etc." sqref="B8" xr:uid="{00000000-0002-0000-0100-000009000000}"/>
  </dataValidations>
  <pageMargins left="0.7" right="0.7" top="0.75" bottom="0.75" header="0.3" footer="0.3"/>
  <pageSetup orientation="portrait" r:id="rId1"/>
  <ignoredErrors>
    <ignoredError sqref="D5:D6" formulaRange="1"/>
  </ignoredErrors>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78"/>
  <sheetViews>
    <sheetView topLeftCell="B1" zoomScale="130" zoomScaleNormal="130" workbookViewId="0">
      <selection activeCell="M6" sqref="M6"/>
    </sheetView>
  </sheetViews>
  <sheetFormatPr defaultColWidth="11.42578125" defaultRowHeight="15"/>
  <cols>
    <col min="1" max="1" width="53.42578125" style="249" hidden="1" customWidth="1"/>
    <col min="2" max="2" width="5.42578125" style="249" customWidth="1"/>
    <col min="3" max="3" width="12" style="249" customWidth="1"/>
    <col min="4" max="4" width="27.42578125" style="249" customWidth="1"/>
    <col min="5" max="5" width="30.42578125" style="249" customWidth="1"/>
    <col min="6" max="6" width="16.7109375" style="249" customWidth="1"/>
    <col min="7" max="7" width="17.28515625" style="249" customWidth="1"/>
    <col min="8" max="8" width="10.140625" style="249" customWidth="1"/>
    <col min="9" max="9" width="14" style="249" customWidth="1"/>
    <col min="10" max="10" width="13.42578125" style="249" bestFit="1" customWidth="1"/>
    <col min="11" max="11" width="4.7109375" style="249" customWidth="1"/>
    <col min="12" max="13" width="10.28515625" style="249" customWidth="1"/>
    <col min="14" max="16384" width="11.42578125" style="249"/>
  </cols>
  <sheetData>
    <row r="1" spans="1:11" ht="21.75" thickBot="1">
      <c r="A1" s="424" t="s">
        <v>76</v>
      </c>
      <c r="B1" s="426" t="s">
        <v>77</v>
      </c>
      <c r="C1" s="428" t="s">
        <v>78</v>
      </c>
      <c r="D1" s="429"/>
      <c r="E1" s="429"/>
      <c r="F1" s="429"/>
      <c r="G1" s="429"/>
      <c r="H1" s="429"/>
      <c r="I1" s="430"/>
      <c r="J1" s="422" t="s">
        <v>79</v>
      </c>
      <c r="K1" s="422" t="s">
        <v>80</v>
      </c>
    </row>
    <row r="2" spans="1:11" ht="15.75" thickBot="1">
      <c r="A2" s="425"/>
      <c r="B2" s="427"/>
      <c r="C2" s="238" t="s">
        <v>81</v>
      </c>
      <c r="D2" s="229" t="s">
        <v>82</v>
      </c>
      <c r="E2" s="229" t="s">
        <v>83</v>
      </c>
      <c r="F2" s="229" t="s">
        <v>84</v>
      </c>
      <c r="G2" s="209" t="s">
        <v>85</v>
      </c>
      <c r="H2" s="237" t="s">
        <v>86</v>
      </c>
      <c r="I2" s="236" t="s">
        <v>87</v>
      </c>
      <c r="J2" s="423"/>
      <c r="K2" s="423" t="s">
        <v>80</v>
      </c>
    </row>
    <row r="3" spans="1:11">
      <c r="A3" s="411" t="s">
        <v>88</v>
      </c>
      <c r="B3" s="418" t="s">
        <v>89</v>
      </c>
      <c r="C3" s="250"/>
      <c r="D3" s="251"/>
      <c r="E3" s="252"/>
      <c r="F3" s="253"/>
      <c r="G3" s="254"/>
      <c r="H3" s="255"/>
      <c r="I3" s="405">
        <f>SUM(F3:F4)-SUM(G3:G4)</f>
        <v>0</v>
      </c>
      <c r="J3" s="319"/>
      <c r="K3" s="319"/>
    </row>
    <row r="4" spans="1:11" ht="15.75" thickBot="1">
      <c r="A4" s="414"/>
      <c r="B4" s="419"/>
      <c r="C4" s="256"/>
      <c r="D4" s="257"/>
      <c r="E4" s="258"/>
      <c r="F4" s="259"/>
      <c r="G4" s="260"/>
      <c r="H4" s="261"/>
      <c r="I4" s="406"/>
      <c r="J4" s="261"/>
      <c r="K4" s="261"/>
    </row>
    <row r="5" spans="1:11">
      <c r="A5" s="416" t="s">
        <v>90</v>
      </c>
      <c r="B5" s="418" t="s">
        <v>91</v>
      </c>
      <c r="C5" s="241"/>
      <c r="D5" s="210"/>
      <c r="E5" s="211"/>
      <c r="F5" s="212"/>
      <c r="G5" s="222"/>
      <c r="H5" s="227"/>
      <c r="I5" s="405">
        <f t="shared" ref="I5" si="0">SUM(F5:F6)-SUM(G5:G6)</f>
        <v>0</v>
      </c>
      <c r="J5" s="227"/>
      <c r="K5" s="227"/>
    </row>
    <row r="6" spans="1:11" ht="15.75" thickBot="1">
      <c r="A6" s="417"/>
      <c r="B6" s="419"/>
      <c r="C6" s="241"/>
      <c r="D6" s="213"/>
      <c r="E6" s="214"/>
      <c r="F6" s="215"/>
      <c r="G6" s="223"/>
      <c r="H6" s="226"/>
      <c r="I6" s="406"/>
      <c r="J6" s="226"/>
      <c r="K6" s="226"/>
    </row>
    <row r="7" spans="1:11">
      <c r="A7" s="416" t="s">
        <v>92</v>
      </c>
      <c r="B7" s="418" t="s">
        <v>93</v>
      </c>
      <c r="C7" s="239"/>
      <c r="D7" s="216"/>
      <c r="E7" s="217"/>
      <c r="F7" s="218"/>
      <c r="G7" s="224"/>
      <c r="H7" s="227"/>
      <c r="I7" s="405">
        <f t="shared" ref="I7" si="1">SUM(F7:F8)-SUM(G7:G8)</f>
        <v>0</v>
      </c>
      <c r="J7" s="227"/>
      <c r="K7" s="227"/>
    </row>
    <row r="8" spans="1:11" ht="15.75" thickBot="1">
      <c r="A8" s="417"/>
      <c r="B8" s="419"/>
      <c r="C8" s="240"/>
      <c r="D8" s="219"/>
      <c r="E8" s="220"/>
      <c r="F8" s="221"/>
      <c r="G8" s="225"/>
      <c r="H8" s="226"/>
      <c r="I8" s="406"/>
      <c r="J8" s="226"/>
      <c r="K8" s="226"/>
    </row>
    <row r="9" spans="1:11" ht="15" customHeight="1">
      <c r="A9" s="416" t="s">
        <v>94</v>
      </c>
      <c r="B9" s="418" t="s">
        <v>95</v>
      </c>
      <c r="C9" s="241"/>
      <c r="D9" s="210"/>
      <c r="E9" s="211"/>
      <c r="F9" s="212"/>
      <c r="G9" s="222"/>
      <c r="H9" s="227"/>
      <c r="I9" s="405">
        <f t="shared" ref="I9" si="2">SUM(F9:F10)-SUM(G9:G10)</f>
        <v>0</v>
      </c>
      <c r="J9" s="227"/>
      <c r="K9" s="227"/>
    </row>
    <row r="10" spans="1:11" ht="15.75" thickBot="1">
      <c r="A10" s="417"/>
      <c r="B10" s="419"/>
      <c r="C10" s="241"/>
      <c r="D10" s="213"/>
      <c r="E10" s="214"/>
      <c r="F10" s="215"/>
      <c r="G10" s="223"/>
      <c r="H10" s="226"/>
      <c r="I10" s="406"/>
      <c r="J10" s="226"/>
      <c r="K10" s="226"/>
    </row>
    <row r="11" spans="1:11" ht="15" customHeight="1">
      <c r="A11" s="416" t="s">
        <v>96</v>
      </c>
      <c r="B11" s="418" t="s">
        <v>97</v>
      </c>
      <c r="C11" s="239"/>
      <c r="D11" s="216"/>
      <c r="E11" s="217"/>
      <c r="F11" s="218"/>
      <c r="G11" s="224"/>
      <c r="H11" s="227"/>
      <c r="I11" s="405">
        <f t="shared" ref="I11" si="3">SUM(F11:F12)-SUM(G11:G12)</f>
        <v>0</v>
      </c>
      <c r="J11" s="227"/>
      <c r="K11" s="227"/>
    </row>
    <row r="12" spans="1:11" ht="15.75" thickBot="1">
      <c r="A12" s="417"/>
      <c r="B12" s="419"/>
      <c r="C12" s="240"/>
      <c r="D12" s="219"/>
      <c r="E12" s="220"/>
      <c r="F12" s="221"/>
      <c r="G12" s="225"/>
      <c r="H12" s="226"/>
      <c r="I12" s="406"/>
      <c r="J12" s="226"/>
      <c r="K12" s="226"/>
    </row>
    <row r="13" spans="1:11">
      <c r="A13" s="416" t="s">
        <v>98</v>
      </c>
      <c r="B13" s="418" t="s">
        <v>99</v>
      </c>
      <c r="C13" s="241"/>
      <c r="D13" s="210"/>
      <c r="E13" s="211"/>
      <c r="F13" s="212"/>
      <c r="G13" s="222"/>
      <c r="H13" s="227"/>
      <c r="I13" s="405">
        <f t="shared" ref="I13" si="4">SUM(F13:F14)-SUM(G13:G14)</f>
        <v>0</v>
      </c>
      <c r="J13" s="227"/>
      <c r="K13" s="227"/>
    </row>
    <row r="14" spans="1:11" ht="15.75" thickBot="1">
      <c r="A14" s="417"/>
      <c r="B14" s="419"/>
      <c r="C14" s="241"/>
      <c r="D14" s="213"/>
      <c r="E14" s="214"/>
      <c r="F14" s="215"/>
      <c r="G14" s="223"/>
      <c r="H14" s="226"/>
      <c r="I14" s="406"/>
      <c r="J14" s="226"/>
      <c r="K14" s="226"/>
    </row>
    <row r="15" spans="1:11" ht="15" customHeight="1">
      <c r="A15" s="416" t="s">
        <v>100</v>
      </c>
      <c r="B15" s="418" t="s">
        <v>101</v>
      </c>
      <c r="C15" s="239"/>
      <c r="D15" s="216"/>
      <c r="E15" s="217"/>
      <c r="F15" s="218"/>
      <c r="G15" s="224"/>
      <c r="H15" s="227"/>
      <c r="I15" s="405">
        <f>SUM(F15:F17)-SUM(G15:G17)</f>
        <v>0</v>
      </c>
      <c r="J15" s="227"/>
      <c r="K15" s="227"/>
    </row>
    <row r="16" spans="1:11" ht="15" customHeight="1">
      <c r="A16" s="421"/>
      <c r="B16" s="420"/>
      <c r="C16" s="241"/>
      <c r="D16" s="216"/>
      <c r="E16" s="217"/>
      <c r="F16" s="218"/>
      <c r="G16" s="224"/>
      <c r="H16" s="228"/>
      <c r="I16" s="409"/>
      <c r="J16" s="228"/>
      <c r="K16" s="228"/>
    </row>
    <row r="17" spans="1:11" ht="15.75" thickBot="1">
      <c r="A17" s="417"/>
      <c r="B17" s="419"/>
      <c r="C17" s="240"/>
      <c r="D17" s="219"/>
      <c r="E17" s="220"/>
      <c r="F17" s="221"/>
      <c r="G17" s="225"/>
      <c r="H17" s="226"/>
      <c r="I17" s="406"/>
      <c r="J17" s="226"/>
      <c r="K17" s="226"/>
    </row>
    <row r="18" spans="1:11">
      <c r="A18" s="416" t="s">
        <v>102</v>
      </c>
      <c r="B18" s="418" t="s">
        <v>103</v>
      </c>
      <c r="C18" s="241"/>
      <c r="D18" s="210"/>
      <c r="E18" s="211"/>
      <c r="F18" s="212"/>
      <c r="G18" s="222"/>
      <c r="H18" s="227"/>
      <c r="I18" s="405">
        <f t="shared" ref="I18:I34" si="5">SUM(F18:F19)-SUM(G18:G19)</f>
        <v>0</v>
      </c>
      <c r="J18" s="227"/>
      <c r="K18" s="227"/>
    </row>
    <row r="19" spans="1:11" ht="15.75" thickBot="1">
      <c r="A19" s="417"/>
      <c r="B19" s="419"/>
      <c r="C19" s="240"/>
      <c r="D19" s="213"/>
      <c r="E19" s="214"/>
      <c r="F19" s="215"/>
      <c r="G19" s="223"/>
      <c r="H19" s="226"/>
      <c r="I19" s="406"/>
      <c r="J19" s="226"/>
      <c r="K19" s="226"/>
    </row>
    <row r="20" spans="1:11" ht="15" customHeight="1">
      <c r="A20" s="416" t="s">
        <v>104</v>
      </c>
      <c r="B20" s="418" t="s">
        <v>105</v>
      </c>
      <c r="C20" s="239"/>
      <c r="D20" s="216"/>
      <c r="E20" s="217"/>
      <c r="F20" s="218"/>
      <c r="G20" s="224"/>
      <c r="H20" s="227"/>
      <c r="I20" s="405">
        <f t="shared" si="5"/>
        <v>0</v>
      </c>
      <c r="J20" s="227"/>
      <c r="K20" s="227"/>
    </row>
    <row r="21" spans="1:11" ht="15.75" thickBot="1">
      <c r="A21" s="417"/>
      <c r="B21" s="419"/>
      <c r="C21" s="240"/>
      <c r="D21" s="219"/>
      <c r="E21" s="220"/>
      <c r="F21" s="221"/>
      <c r="G21" s="225"/>
      <c r="H21" s="226"/>
      <c r="I21" s="406"/>
      <c r="J21" s="226"/>
      <c r="K21" s="226"/>
    </row>
    <row r="22" spans="1:11">
      <c r="A22" s="416" t="s">
        <v>106</v>
      </c>
      <c r="B22" s="420" t="s">
        <v>107</v>
      </c>
      <c r="C22" s="241"/>
      <c r="D22" s="210"/>
      <c r="E22" s="211"/>
      <c r="F22" s="212"/>
      <c r="G22" s="222"/>
      <c r="H22" s="227"/>
      <c r="I22" s="405">
        <f t="shared" si="5"/>
        <v>0</v>
      </c>
      <c r="J22" s="227"/>
      <c r="K22" s="227"/>
    </row>
    <row r="23" spans="1:11" ht="15.75" thickBot="1">
      <c r="A23" s="417"/>
      <c r="B23" s="419"/>
      <c r="C23" s="241"/>
      <c r="D23" s="213"/>
      <c r="E23" s="214"/>
      <c r="F23" s="215"/>
      <c r="G23" s="223"/>
      <c r="H23" s="226"/>
      <c r="I23" s="406"/>
      <c r="J23" s="226"/>
      <c r="K23" s="226"/>
    </row>
    <row r="24" spans="1:11" ht="39" customHeight="1">
      <c r="A24" s="410" t="s">
        <v>108</v>
      </c>
      <c r="B24" s="403" t="s">
        <v>109</v>
      </c>
      <c r="C24" s="239"/>
      <c r="D24" s="216"/>
      <c r="E24" s="338"/>
      <c r="F24" s="218"/>
      <c r="G24" s="224"/>
      <c r="H24" s="227"/>
      <c r="I24" s="405">
        <f t="shared" si="5"/>
        <v>0</v>
      </c>
      <c r="J24" s="227"/>
      <c r="K24" s="227"/>
    </row>
    <row r="25" spans="1:11" ht="39" customHeight="1" thickBot="1">
      <c r="A25" s="404"/>
      <c r="B25" s="404"/>
      <c r="C25" s="240"/>
      <c r="D25" s="219"/>
      <c r="E25" s="220"/>
      <c r="F25" s="221"/>
      <c r="G25" s="225"/>
      <c r="H25" s="226"/>
      <c r="I25" s="406"/>
      <c r="J25" s="226"/>
      <c r="K25" s="226"/>
    </row>
    <row r="26" spans="1:11" ht="33.75" customHeight="1">
      <c r="A26" s="410" t="s">
        <v>110</v>
      </c>
      <c r="B26" s="403" t="s">
        <v>111</v>
      </c>
      <c r="C26" s="241"/>
      <c r="D26" s="210"/>
      <c r="E26" s="211"/>
      <c r="F26" s="212"/>
      <c r="G26" s="222"/>
      <c r="H26" s="227"/>
      <c r="I26" s="405">
        <f t="shared" si="5"/>
        <v>0</v>
      </c>
      <c r="J26" s="227"/>
      <c r="K26" s="227"/>
    </row>
    <row r="27" spans="1:11" ht="33.75" customHeight="1" thickBot="1">
      <c r="A27" s="404"/>
      <c r="B27" s="404"/>
      <c r="C27" s="241"/>
      <c r="D27" s="213"/>
      <c r="E27" s="214"/>
      <c r="F27" s="215"/>
      <c r="G27" s="223"/>
      <c r="H27" s="226"/>
      <c r="I27" s="406"/>
      <c r="J27" s="226"/>
      <c r="K27" s="226"/>
    </row>
    <row r="28" spans="1:11" ht="15" customHeight="1">
      <c r="A28" s="410" t="s">
        <v>112</v>
      </c>
      <c r="B28" s="403" t="s">
        <v>113</v>
      </c>
      <c r="C28" s="239"/>
      <c r="D28" s="216"/>
      <c r="E28" s="217"/>
      <c r="F28" s="218"/>
      <c r="G28" s="224"/>
      <c r="H28" s="227"/>
      <c r="I28" s="405">
        <f t="shared" si="5"/>
        <v>0</v>
      </c>
      <c r="J28" s="227"/>
      <c r="K28" s="227"/>
    </row>
    <row r="29" spans="1:11" ht="15" customHeight="1" thickBot="1">
      <c r="A29" s="404"/>
      <c r="B29" s="404"/>
      <c r="C29" s="240"/>
      <c r="D29" s="219"/>
      <c r="E29" s="220"/>
      <c r="F29" s="221"/>
      <c r="G29" s="225"/>
      <c r="H29" s="226"/>
      <c r="I29" s="406"/>
      <c r="J29" s="226"/>
      <c r="K29" s="226"/>
    </row>
    <row r="30" spans="1:11">
      <c r="A30" s="410" t="s">
        <v>114</v>
      </c>
      <c r="B30" s="403" t="s">
        <v>115</v>
      </c>
      <c r="C30" s="241"/>
      <c r="D30" s="210"/>
      <c r="E30" s="211"/>
      <c r="F30" s="212"/>
      <c r="G30" s="222"/>
      <c r="H30" s="227"/>
      <c r="I30" s="405">
        <f t="shared" si="5"/>
        <v>0</v>
      </c>
      <c r="J30" s="227"/>
      <c r="K30" s="227"/>
    </row>
    <row r="31" spans="1:11" ht="15.75" thickBot="1">
      <c r="A31" s="404"/>
      <c r="B31" s="404"/>
      <c r="C31" s="240"/>
      <c r="D31" s="213"/>
      <c r="E31" s="214"/>
      <c r="F31" s="215"/>
      <c r="G31" s="223"/>
      <c r="H31" s="226"/>
      <c r="I31" s="406"/>
      <c r="J31" s="226"/>
      <c r="K31" s="226"/>
    </row>
    <row r="32" spans="1:11">
      <c r="A32" s="410" t="s">
        <v>116</v>
      </c>
      <c r="B32" s="403" t="s">
        <v>117</v>
      </c>
      <c r="C32" s="239"/>
      <c r="D32" s="216"/>
      <c r="E32" s="217"/>
      <c r="F32" s="218"/>
      <c r="G32" s="224"/>
      <c r="H32" s="227"/>
      <c r="I32" s="405">
        <f t="shared" si="5"/>
        <v>0</v>
      </c>
      <c r="J32" s="227"/>
      <c r="K32" s="227"/>
    </row>
    <row r="33" spans="1:11" ht="15.75" thickBot="1">
      <c r="A33" s="404"/>
      <c r="B33" s="404"/>
      <c r="C33" s="240"/>
      <c r="D33" s="219"/>
      <c r="E33" s="220"/>
      <c r="F33" s="221"/>
      <c r="G33" s="225"/>
      <c r="H33" s="226"/>
      <c r="I33" s="406"/>
      <c r="J33" s="226"/>
      <c r="K33" s="226"/>
    </row>
    <row r="34" spans="1:11" ht="30.75" customHeight="1">
      <c r="A34" s="410" t="s">
        <v>118</v>
      </c>
      <c r="B34" s="403" t="s">
        <v>119</v>
      </c>
      <c r="C34" s="241"/>
      <c r="D34" s="210"/>
      <c r="E34" s="211"/>
      <c r="F34" s="212"/>
      <c r="G34" s="222"/>
      <c r="H34" s="227"/>
      <c r="I34" s="405">
        <f t="shared" si="5"/>
        <v>0</v>
      </c>
      <c r="J34" s="227"/>
      <c r="K34" s="227"/>
    </row>
    <row r="35" spans="1:11" ht="30.75" customHeight="1" thickBot="1">
      <c r="A35" s="404"/>
      <c r="B35" s="404"/>
      <c r="C35" s="241"/>
      <c r="D35" s="213"/>
      <c r="E35" s="214"/>
      <c r="F35" s="215"/>
      <c r="G35" s="223"/>
      <c r="H35" s="226"/>
      <c r="I35" s="406"/>
      <c r="J35" s="226"/>
      <c r="K35" s="226"/>
    </row>
    <row r="36" spans="1:11" ht="15" customHeight="1">
      <c r="A36" s="411" t="s">
        <v>120</v>
      </c>
      <c r="B36" s="415" t="s">
        <v>121</v>
      </c>
      <c r="C36" s="239"/>
      <c r="D36" s="216"/>
      <c r="E36" s="217"/>
      <c r="F36" s="218"/>
      <c r="G36" s="224"/>
      <c r="H36" s="228"/>
      <c r="I36" s="407">
        <f>SUM(F36:F42)-SUM(G36:G42)</f>
        <v>0</v>
      </c>
      <c r="J36" s="228"/>
      <c r="K36" s="228"/>
    </row>
    <row r="37" spans="1:11" ht="15" customHeight="1">
      <c r="A37" s="412"/>
      <c r="B37" s="403"/>
      <c r="C37" s="241"/>
      <c r="D37" s="216"/>
      <c r="E37" s="217"/>
      <c r="F37" s="218"/>
      <c r="G37" s="224"/>
      <c r="H37" s="228"/>
      <c r="I37" s="407"/>
      <c r="J37" s="228"/>
      <c r="K37" s="228"/>
    </row>
    <row r="38" spans="1:11" ht="15" customHeight="1">
      <c r="A38" s="412"/>
      <c r="B38" s="403"/>
      <c r="C38" s="241"/>
      <c r="D38" s="216"/>
      <c r="E38" s="217"/>
      <c r="F38" s="218"/>
      <c r="G38" s="224"/>
      <c r="H38" s="228"/>
      <c r="I38" s="407"/>
      <c r="J38" s="228"/>
      <c r="K38" s="228"/>
    </row>
    <row r="39" spans="1:11" ht="15" customHeight="1">
      <c r="A39" s="412"/>
      <c r="B39" s="403"/>
      <c r="C39" s="241"/>
      <c r="D39" s="216"/>
      <c r="E39" s="217"/>
      <c r="F39" s="218"/>
      <c r="G39" s="224"/>
      <c r="H39" s="228"/>
      <c r="I39" s="407"/>
      <c r="J39" s="228"/>
      <c r="K39" s="228"/>
    </row>
    <row r="40" spans="1:11" ht="15" customHeight="1">
      <c r="A40" s="412"/>
      <c r="B40" s="403"/>
      <c r="C40" s="241"/>
      <c r="D40" s="216"/>
      <c r="E40" s="217"/>
      <c r="F40" s="218"/>
      <c r="G40" s="224"/>
      <c r="H40" s="228"/>
      <c r="I40" s="407"/>
      <c r="J40" s="228"/>
      <c r="K40" s="228"/>
    </row>
    <row r="41" spans="1:11">
      <c r="A41" s="413"/>
      <c r="B41" s="403"/>
      <c r="C41" s="241"/>
      <c r="D41" s="216"/>
      <c r="E41" s="217"/>
      <c r="F41" s="218"/>
      <c r="G41" s="224"/>
      <c r="H41" s="228">
        <f t="shared" ref="H41:H76" si="6">IF(AND(F41="",G41=""),,"No")</f>
        <v>0</v>
      </c>
      <c r="I41" s="407"/>
      <c r="J41" s="228"/>
      <c r="K41" s="228"/>
    </row>
    <row r="42" spans="1:11" ht="15.75" thickBot="1">
      <c r="A42" s="414"/>
      <c r="B42" s="404"/>
      <c r="C42" s="240"/>
      <c r="D42" s="219"/>
      <c r="E42" s="220"/>
      <c r="F42" s="221"/>
      <c r="G42" s="225"/>
      <c r="H42" s="228">
        <f t="shared" si="6"/>
        <v>0</v>
      </c>
      <c r="I42" s="407"/>
      <c r="J42" s="228"/>
      <c r="K42" s="228"/>
    </row>
    <row r="43" spans="1:11">
      <c r="A43" s="410" t="s">
        <v>122</v>
      </c>
      <c r="B43" s="403" t="s">
        <v>123</v>
      </c>
      <c r="C43" s="241"/>
      <c r="D43" s="210"/>
      <c r="E43" s="211"/>
      <c r="F43" s="212"/>
      <c r="G43" s="222"/>
      <c r="H43" s="227"/>
      <c r="I43" s="405">
        <v>0</v>
      </c>
      <c r="J43" s="227"/>
      <c r="K43" s="227"/>
    </row>
    <row r="44" spans="1:11" ht="15.75" thickBot="1">
      <c r="A44" s="404"/>
      <c r="B44" s="404"/>
      <c r="C44" s="241"/>
      <c r="D44" s="213"/>
      <c r="E44" s="214"/>
      <c r="F44" s="215"/>
      <c r="G44" s="223"/>
      <c r="H44" s="226"/>
      <c r="I44" s="406"/>
      <c r="J44" s="226"/>
      <c r="K44" s="226"/>
    </row>
    <row r="45" spans="1:11">
      <c r="A45" s="410" t="s">
        <v>124</v>
      </c>
      <c r="B45" s="403" t="s">
        <v>125</v>
      </c>
      <c r="C45" s="239"/>
      <c r="D45" s="216"/>
      <c r="E45" s="217"/>
      <c r="F45" s="218"/>
      <c r="G45" s="224"/>
      <c r="H45" s="227"/>
      <c r="I45" s="405">
        <f>SUM(F45:F48)-SUM(G45:G48)</f>
        <v>0</v>
      </c>
      <c r="J45" s="227"/>
      <c r="K45" s="227"/>
    </row>
    <row r="46" spans="1:11">
      <c r="A46" s="410"/>
      <c r="B46" s="403"/>
      <c r="C46" s="241"/>
      <c r="D46" s="216"/>
      <c r="E46" s="217"/>
      <c r="F46" s="218"/>
      <c r="G46" s="224"/>
      <c r="H46" s="228"/>
      <c r="I46" s="409"/>
      <c r="J46" s="228"/>
      <c r="K46" s="228"/>
    </row>
    <row r="47" spans="1:11">
      <c r="A47" s="410"/>
      <c r="B47" s="403"/>
      <c r="C47" s="241"/>
      <c r="D47" s="216"/>
      <c r="E47" s="217"/>
      <c r="F47" s="218"/>
      <c r="G47" s="224"/>
      <c r="H47" s="228"/>
      <c r="I47" s="409"/>
      <c r="J47" s="228"/>
      <c r="K47" s="228"/>
    </row>
    <row r="48" spans="1:11" ht="15.75" thickBot="1">
      <c r="A48" s="404"/>
      <c r="B48" s="404"/>
      <c r="C48" s="240"/>
      <c r="D48" s="219"/>
      <c r="E48" s="220"/>
      <c r="F48" s="221"/>
      <c r="G48" s="225"/>
      <c r="H48" s="226"/>
      <c r="I48" s="406"/>
      <c r="J48" s="226"/>
      <c r="K48" s="226"/>
    </row>
    <row r="49" spans="1:11" ht="42" customHeight="1">
      <c r="A49" s="410" t="s">
        <v>126</v>
      </c>
      <c r="B49" s="403" t="s">
        <v>127</v>
      </c>
      <c r="C49" s="241"/>
      <c r="D49" s="210"/>
      <c r="E49" s="211"/>
      <c r="F49" s="212"/>
      <c r="G49" s="222"/>
      <c r="H49" s="227"/>
      <c r="I49" s="405">
        <f>SUM(F49:F50)-SUM(G49:G50)</f>
        <v>0</v>
      </c>
      <c r="J49" s="227"/>
      <c r="K49" s="227"/>
    </row>
    <row r="50" spans="1:11" ht="42" customHeight="1" thickBot="1">
      <c r="A50" s="404"/>
      <c r="B50" s="404"/>
      <c r="C50" s="240"/>
      <c r="D50" s="213"/>
      <c r="E50" s="214"/>
      <c r="F50" s="215"/>
      <c r="G50" s="223"/>
      <c r="H50" s="226"/>
      <c r="I50" s="406"/>
      <c r="J50" s="226"/>
      <c r="K50" s="226"/>
    </row>
    <row r="51" spans="1:11" ht="42.75" customHeight="1">
      <c r="A51" s="410" t="s">
        <v>128</v>
      </c>
      <c r="B51" s="403" t="s">
        <v>129</v>
      </c>
      <c r="C51" s="239"/>
      <c r="D51" s="216"/>
      <c r="E51" s="217"/>
      <c r="F51" s="218"/>
      <c r="G51" s="224"/>
      <c r="H51" s="227"/>
      <c r="I51" s="405">
        <f>SUM(F51:F52)-SUM(G51:G52)</f>
        <v>0</v>
      </c>
      <c r="J51" s="227"/>
      <c r="K51" s="227"/>
    </row>
    <row r="52" spans="1:11" ht="42.75" customHeight="1" thickBot="1">
      <c r="A52" s="404"/>
      <c r="B52" s="404"/>
      <c r="C52" s="240"/>
      <c r="D52" s="219"/>
      <c r="E52" s="220"/>
      <c r="F52" s="221"/>
      <c r="G52" s="225"/>
      <c r="H52" s="226"/>
      <c r="I52" s="406"/>
      <c r="J52" s="226"/>
      <c r="K52" s="226"/>
    </row>
    <row r="53" spans="1:11" ht="15" customHeight="1">
      <c r="A53" s="410" t="s">
        <v>130</v>
      </c>
      <c r="B53" s="403" t="s">
        <v>131</v>
      </c>
      <c r="C53" s="241"/>
      <c r="D53" s="210"/>
      <c r="E53" s="211"/>
      <c r="F53" s="212"/>
      <c r="G53" s="222"/>
      <c r="H53" s="227"/>
      <c r="I53" s="405">
        <f>SUM(F53:F59)-SUM(G53:G59)</f>
        <v>0</v>
      </c>
      <c r="J53" s="227"/>
      <c r="K53" s="227"/>
    </row>
    <row r="54" spans="1:11" ht="15" customHeight="1">
      <c r="A54" s="410"/>
      <c r="B54" s="403"/>
      <c r="C54" s="241"/>
      <c r="D54" s="210"/>
      <c r="E54" s="211"/>
      <c r="F54" s="212"/>
      <c r="G54" s="222"/>
      <c r="H54" s="228"/>
      <c r="I54" s="409"/>
      <c r="J54" s="228"/>
      <c r="K54" s="228"/>
    </row>
    <row r="55" spans="1:11" ht="15" customHeight="1">
      <c r="A55" s="410"/>
      <c r="B55" s="403"/>
      <c r="C55" s="241"/>
      <c r="D55" s="210"/>
      <c r="E55" s="211"/>
      <c r="F55" s="212"/>
      <c r="G55" s="222"/>
      <c r="H55" s="228"/>
      <c r="I55" s="409"/>
      <c r="J55" s="228"/>
      <c r="K55" s="228"/>
    </row>
    <row r="56" spans="1:11" ht="15" customHeight="1">
      <c r="A56" s="410"/>
      <c r="B56" s="403"/>
      <c r="C56" s="241"/>
      <c r="D56" s="210"/>
      <c r="E56" s="211"/>
      <c r="F56" s="212"/>
      <c r="G56" s="222"/>
      <c r="H56" s="228"/>
      <c r="I56" s="409"/>
      <c r="J56" s="228"/>
      <c r="K56" s="228"/>
    </row>
    <row r="57" spans="1:11" ht="15" customHeight="1">
      <c r="A57" s="410"/>
      <c r="B57" s="403"/>
      <c r="C57" s="241"/>
      <c r="D57" s="210"/>
      <c r="E57" s="211"/>
      <c r="F57" s="212"/>
      <c r="G57" s="222"/>
      <c r="H57" s="228"/>
      <c r="I57" s="409"/>
      <c r="J57" s="228"/>
      <c r="K57" s="228"/>
    </row>
    <row r="58" spans="1:11" ht="15" customHeight="1">
      <c r="A58" s="410"/>
      <c r="B58" s="403"/>
      <c r="C58" s="241"/>
      <c r="D58" s="210"/>
      <c r="E58" s="211"/>
      <c r="F58" s="212"/>
      <c r="G58" s="222"/>
      <c r="H58" s="228"/>
      <c r="I58" s="409"/>
      <c r="J58" s="228"/>
      <c r="K58" s="228"/>
    </row>
    <row r="59" spans="1:11" ht="15.75" thickBot="1">
      <c r="A59" s="404"/>
      <c r="B59" s="404"/>
      <c r="C59" s="241"/>
      <c r="D59" s="213"/>
      <c r="E59" s="214"/>
      <c r="F59" s="215"/>
      <c r="G59" s="223"/>
      <c r="H59" s="226"/>
      <c r="I59" s="406"/>
      <c r="J59" s="226"/>
      <c r="K59" s="226"/>
    </row>
    <row r="60" spans="1:11" hidden="1">
      <c r="A60" s="403"/>
      <c r="B60" s="403" t="s">
        <v>132</v>
      </c>
      <c r="C60" s="239"/>
      <c r="D60" s="216"/>
      <c r="E60" s="217"/>
      <c r="F60" s="218"/>
      <c r="G60" s="224"/>
      <c r="H60" s="227">
        <f t="shared" si="6"/>
        <v>0</v>
      </c>
      <c r="I60" s="405">
        <f t="shared" ref="I60" si="7">SUM(F60:F61)-SUM(G60:G61)</f>
        <v>0</v>
      </c>
      <c r="J60" s="227"/>
      <c r="K60" s="227"/>
    </row>
    <row r="61" spans="1:11" ht="15.75" hidden="1" thickBot="1">
      <c r="A61" s="404"/>
      <c r="B61" s="404"/>
      <c r="C61" s="240"/>
      <c r="D61" s="219"/>
      <c r="E61" s="220"/>
      <c r="F61" s="221"/>
      <c r="G61" s="225"/>
      <c r="H61" s="226">
        <f t="shared" si="6"/>
        <v>0</v>
      </c>
      <c r="I61" s="406"/>
      <c r="J61" s="226"/>
      <c r="K61" s="226"/>
    </row>
    <row r="62" spans="1:11" ht="15" hidden="1" customHeight="1">
      <c r="A62" s="403"/>
      <c r="B62" s="403" t="s">
        <v>133</v>
      </c>
      <c r="C62" s="241"/>
      <c r="D62" s="210"/>
      <c r="E62" s="211"/>
      <c r="F62" s="212"/>
      <c r="G62" s="222"/>
      <c r="H62" s="227">
        <f t="shared" si="6"/>
        <v>0</v>
      </c>
      <c r="I62" s="405">
        <f t="shared" ref="I62" si="8">SUM(F62:F63)-SUM(G62:G63)</f>
        <v>0</v>
      </c>
      <c r="J62" s="227"/>
      <c r="K62" s="227"/>
    </row>
    <row r="63" spans="1:11" ht="15.75" hidden="1" thickBot="1">
      <c r="A63" s="404"/>
      <c r="B63" s="404"/>
      <c r="C63" s="241"/>
      <c r="D63" s="213"/>
      <c r="E63" s="214"/>
      <c r="F63" s="215"/>
      <c r="G63" s="223"/>
      <c r="H63" s="226">
        <f t="shared" si="6"/>
        <v>0</v>
      </c>
      <c r="I63" s="406"/>
      <c r="J63" s="226"/>
      <c r="K63" s="226"/>
    </row>
    <row r="64" spans="1:11">
      <c r="A64" s="403" t="s">
        <v>134</v>
      </c>
      <c r="B64" s="403" t="s">
        <v>135</v>
      </c>
      <c r="C64" s="250"/>
      <c r="D64" s="271"/>
      <c r="E64" s="272"/>
      <c r="F64" s="273"/>
      <c r="G64" s="274"/>
      <c r="H64" s="255"/>
      <c r="I64" s="405">
        <f>SUM(F64:F76)-SUM(G64:G76)</f>
        <v>0</v>
      </c>
      <c r="J64" s="255"/>
      <c r="K64" s="255"/>
    </row>
    <row r="65" spans="1:11">
      <c r="A65" s="403"/>
      <c r="B65" s="403"/>
      <c r="C65" s="262"/>
      <c r="D65" s="271"/>
      <c r="E65" s="272"/>
      <c r="F65" s="273"/>
      <c r="G65" s="274"/>
      <c r="H65" s="279"/>
      <c r="I65" s="409"/>
      <c r="J65" s="279"/>
      <c r="K65" s="279"/>
    </row>
    <row r="66" spans="1:11">
      <c r="A66" s="403"/>
      <c r="B66" s="403"/>
      <c r="C66" s="262"/>
      <c r="D66" s="271"/>
      <c r="E66" s="272"/>
      <c r="F66" s="273"/>
      <c r="G66" s="274"/>
      <c r="H66" s="279"/>
      <c r="I66" s="409"/>
      <c r="J66" s="279"/>
      <c r="K66" s="279"/>
    </row>
    <row r="67" spans="1:11">
      <c r="A67" s="403"/>
      <c r="B67" s="403"/>
      <c r="C67" s="262"/>
      <c r="D67" s="271"/>
      <c r="E67" s="272"/>
      <c r="F67" s="273"/>
      <c r="G67" s="274"/>
      <c r="H67" s="279"/>
      <c r="I67" s="409"/>
      <c r="J67" s="279"/>
      <c r="K67" s="279"/>
    </row>
    <row r="68" spans="1:11">
      <c r="A68" s="403"/>
      <c r="B68" s="403"/>
      <c r="C68" s="262"/>
      <c r="D68" s="271"/>
      <c r="E68" s="272"/>
      <c r="F68" s="273"/>
      <c r="G68" s="274"/>
      <c r="H68" s="279"/>
      <c r="I68" s="409"/>
      <c r="J68" s="279"/>
      <c r="K68" s="279"/>
    </row>
    <row r="69" spans="1:11">
      <c r="A69" s="403"/>
      <c r="B69" s="403"/>
      <c r="C69" s="262"/>
      <c r="D69" s="271"/>
      <c r="E69" s="272"/>
      <c r="F69" s="273"/>
      <c r="G69" s="274"/>
      <c r="H69" s="279"/>
      <c r="I69" s="409"/>
      <c r="J69" s="279"/>
      <c r="K69" s="279"/>
    </row>
    <row r="70" spans="1:11">
      <c r="A70" s="403"/>
      <c r="B70" s="403"/>
      <c r="C70" s="262"/>
      <c r="D70" s="271"/>
      <c r="E70" s="272"/>
      <c r="F70" s="273"/>
      <c r="G70" s="274"/>
      <c r="H70" s="279"/>
      <c r="I70" s="409"/>
      <c r="J70" s="279"/>
      <c r="K70" s="279"/>
    </row>
    <row r="71" spans="1:11">
      <c r="A71" s="403"/>
      <c r="B71" s="403"/>
      <c r="C71" s="262"/>
      <c r="D71" s="271"/>
      <c r="E71" s="272"/>
      <c r="F71" s="273"/>
      <c r="G71" s="274"/>
      <c r="H71" s="279"/>
      <c r="I71" s="409"/>
      <c r="J71" s="279"/>
      <c r="K71" s="279"/>
    </row>
    <row r="72" spans="1:11">
      <c r="A72" s="403"/>
      <c r="B72" s="403"/>
      <c r="C72" s="262"/>
      <c r="D72" s="271"/>
      <c r="E72" s="272"/>
      <c r="F72" s="273"/>
      <c r="G72" s="274"/>
      <c r="H72" s="279"/>
      <c r="I72" s="409"/>
      <c r="J72" s="279"/>
      <c r="K72" s="279"/>
    </row>
    <row r="73" spans="1:11">
      <c r="A73" s="403"/>
      <c r="B73" s="403"/>
      <c r="C73" s="262"/>
      <c r="D73" s="271"/>
      <c r="E73" s="272"/>
      <c r="F73" s="273"/>
      <c r="G73" s="274"/>
      <c r="H73" s="279"/>
      <c r="I73" s="409"/>
      <c r="J73" s="279"/>
      <c r="K73" s="279"/>
    </row>
    <row r="74" spans="1:11">
      <c r="A74" s="403"/>
      <c r="B74" s="403"/>
      <c r="C74" s="262"/>
      <c r="D74" s="271"/>
      <c r="E74" s="272"/>
      <c r="F74" s="273"/>
      <c r="G74" s="274"/>
      <c r="H74" s="279"/>
      <c r="I74" s="409"/>
      <c r="J74" s="279"/>
      <c r="K74" s="279"/>
    </row>
    <row r="75" spans="1:11">
      <c r="A75" s="403"/>
      <c r="B75" s="403"/>
      <c r="C75" s="262"/>
      <c r="D75" s="271"/>
      <c r="E75" s="272"/>
      <c r="F75" s="273"/>
      <c r="G75" s="274"/>
      <c r="H75" s="279">
        <f t="shared" si="6"/>
        <v>0</v>
      </c>
      <c r="I75" s="409"/>
      <c r="J75" s="279"/>
      <c r="K75" s="279"/>
    </row>
    <row r="76" spans="1:11" ht="15.75" thickBot="1">
      <c r="A76" s="404"/>
      <c r="B76" s="404"/>
      <c r="C76" s="256"/>
      <c r="D76" s="275"/>
      <c r="E76" s="276"/>
      <c r="F76" s="277"/>
      <c r="G76" s="278"/>
      <c r="H76" s="261">
        <f t="shared" si="6"/>
        <v>0</v>
      </c>
      <c r="I76" s="406"/>
      <c r="J76" s="261"/>
      <c r="K76" s="261"/>
    </row>
    <row r="77" spans="1:11">
      <c r="A77" s="403"/>
      <c r="B77" s="403"/>
      <c r="C77" s="262"/>
      <c r="D77" s="263"/>
      <c r="E77" s="264"/>
      <c r="F77" s="265"/>
      <c r="G77" s="266"/>
      <c r="H77" s="255">
        <f t="shared" ref="H77:H78" si="9">IF(AND(F77="",G77=""),,"No")</f>
        <v>0</v>
      </c>
      <c r="I77" s="407">
        <f>SUM(F77:F78)-SUM(G77:G78)</f>
        <v>0</v>
      </c>
      <c r="J77" s="255"/>
      <c r="K77" s="255"/>
    </row>
    <row r="78" spans="1:11" ht="15.75" thickBot="1">
      <c r="A78" s="404"/>
      <c r="B78" s="404"/>
      <c r="C78" s="256"/>
      <c r="D78" s="267"/>
      <c r="E78" s="268"/>
      <c r="F78" s="269"/>
      <c r="G78" s="270"/>
      <c r="H78" s="261">
        <f t="shared" si="9"/>
        <v>0</v>
      </c>
      <c r="I78" s="408"/>
      <c r="J78" s="261"/>
      <c r="K78" s="261"/>
    </row>
  </sheetData>
  <mergeCells count="83">
    <mergeCell ref="K1:K2"/>
    <mergeCell ref="J1:J2"/>
    <mergeCell ref="A1:A2"/>
    <mergeCell ref="B1:B2"/>
    <mergeCell ref="C1:I1"/>
    <mergeCell ref="A3:A4"/>
    <mergeCell ref="B3:B4"/>
    <mergeCell ref="I3:I4"/>
    <mergeCell ref="A5:A6"/>
    <mergeCell ref="B5:B6"/>
    <mergeCell ref="I5:I6"/>
    <mergeCell ref="A7:A8"/>
    <mergeCell ref="B7:B8"/>
    <mergeCell ref="I7:I8"/>
    <mergeCell ref="A9:A10"/>
    <mergeCell ref="B9:B10"/>
    <mergeCell ref="I9:I10"/>
    <mergeCell ref="A11:A12"/>
    <mergeCell ref="B11:B12"/>
    <mergeCell ref="I11:I12"/>
    <mergeCell ref="A13:A14"/>
    <mergeCell ref="B13:B14"/>
    <mergeCell ref="I13:I14"/>
    <mergeCell ref="A15:A17"/>
    <mergeCell ref="B15:B17"/>
    <mergeCell ref="I15:I17"/>
    <mergeCell ref="A18:A19"/>
    <mergeCell ref="B18:B19"/>
    <mergeCell ref="I18:I19"/>
    <mergeCell ref="A20:A21"/>
    <mergeCell ref="B20:B21"/>
    <mergeCell ref="I20:I21"/>
    <mergeCell ref="A22:A23"/>
    <mergeCell ref="B22:B23"/>
    <mergeCell ref="I22:I23"/>
    <mergeCell ref="A24:A25"/>
    <mergeCell ref="B24:B25"/>
    <mergeCell ref="I24:I25"/>
    <mergeCell ref="A26:A27"/>
    <mergeCell ref="B26:B27"/>
    <mergeCell ref="I26:I27"/>
    <mergeCell ref="A28:A29"/>
    <mergeCell ref="B28:B29"/>
    <mergeCell ref="I28:I29"/>
    <mergeCell ref="A30:A31"/>
    <mergeCell ref="B30:B31"/>
    <mergeCell ref="I30:I31"/>
    <mergeCell ref="A32:A33"/>
    <mergeCell ref="B32:B33"/>
    <mergeCell ref="I32:I33"/>
    <mergeCell ref="A34:A35"/>
    <mergeCell ref="B34:B35"/>
    <mergeCell ref="I34:I35"/>
    <mergeCell ref="A36:A42"/>
    <mergeCell ref="B36:B42"/>
    <mergeCell ref="I36:I42"/>
    <mergeCell ref="A43:A44"/>
    <mergeCell ref="B43:B44"/>
    <mergeCell ref="I43:I44"/>
    <mergeCell ref="A45:A48"/>
    <mergeCell ref="B45:B48"/>
    <mergeCell ref="I45:I48"/>
    <mergeCell ref="A49:A50"/>
    <mergeCell ref="B49:B50"/>
    <mergeCell ref="I49:I50"/>
    <mergeCell ref="A51:A52"/>
    <mergeCell ref="B51:B52"/>
    <mergeCell ref="I51:I52"/>
    <mergeCell ref="A53:A59"/>
    <mergeCell ref="B53:B59"/>
    <mergeCell ref="I53:I59"/>
    <mergeCell ref="A60:A61"/>
    <mergeCell ref="B60:B61"/>
    <mergeCell ref="I60:I61"/>
    <mergeCell ref="A77:A78"/>
    <mergeCell ref="B77:B78"/>
    <mergeCell ref="I77:I78"/>
    <mergeCell ref="A62:A63"/>
    <mergeCell ref="B62:B63"/>
    <mergeCell ref="I62:I63"/>
    <mergeCell ref="A64:A76"/>
    <mergeCell ref="B64:B76"/>
    <mergeCell ref="I64:I76"/>
  </mergeCells>
  <conditionalFormatting sqref="H2">
    <cfRule type="expression" dxfId="212" priority="32">
      <formula>COUNTIF($H$3:$H$78,"No")</formula>
    </cfRule>
  </conditionalFormatting>
  <conditionalFormatting sqref="H3:H78">
    <cfRule type="cellIs" dxfId="211" priority="30" operator="equal">
      <formula>"No"</formula>
    </cfRule>
  </conditionalFormatting>
  <conditionalFormatting sqref="I2">
    <cfRule type="expression" dxfId="210" priority="31">
      <formula>SUM($I$3:$I$78)=0</formula>
    </cfRule>
  </conditionalFormatting>
  <conditionalFormatting sqref="I3:I78">
    <cfRule type="cellIs" dxfId="209" priority="33" operator="greaterThan">
      <formula>0</formula>
    </cfRule>
    <cfRule type="cellIs" dxfId="208" priority="34" operator="lessThan">
      <formula>0</formula>
    </cfRule>
  </conditionalFormatting>
  <conditionalFormatting sqref="K3:K78">
    <cfRule type="cellIs" dxfId="207" priority="1" operator="equal">
      <formula>"Investing"</formula>
    </cfRule>
    <cfRule type="cellIs" dxfId="206" priority="2" stopIfTrue="1" operator="equal">
      <formula>"Financing"</formula>
    </cfRule>
    <cfRule type="cellIs" dxfId="205" priority="3" stopIfTrue="1" operator="equal">
      <formula>"Operating"</formula>
    </cfRule>
    <cfRule type="expression" dxfId="204" priority="4">
      <formula>OR($D3="Cash",$E3="Cash")</formula>
    </cfRule>
  </conditionalFormatting>
  <conditionalFormatting sqref="K4:K78">
    <cfRule type="cellIs" dxfId="203" priority="6" operator="equal">
      <formula>"No"</formula>
    </cfRule>
  </conditionalFormatting>
  <dataValidations count="5">
    <dataValidation allowBlank="1" showInputMessage="1" showErrorMessage="1" promptTitle="After Posting" prompt="After you have posted the debit or credit to the left, simply delete the contents of this cell to remove the &quot;No&quot;." sqref="H3:H4 H64:H78" xr:uid="{00000000-0002-0000-0200-000000000000}"/>
    <dataValidation type="list" allowBlank="1" showInputMessage="1" showErrorMessage="1" sqref="L4" xr:uid="{00000000-0002-0000-0200-000001000000}">
      <formula1>INDIRECT(#REF!)</formula1>
    </dataValidation>
    <dataValidation type="list" allowBlank="1" showInputMessage="1" showErrorMessage="1" sqref="C3:C78" xr:uid="{00000000-0002-0000-0200-000002000000}">
      <formula1>Type</formula1>
    </dataValidation>
    <dataValidation type="list" allowBlank="1" showInputMessage="1" showErrorMessage="1" sqref="D3:E78" xr:uid="{00000000-0002-0000-0200-000003000000}">
      <formula1>INDIRECT($C3)</formula1>
    </dataValidation>
    <dataValidation allowBlank="1" showInputMessage="1" showErrorMessage="1" promptTitle="Journal Instructions" prompt="Use the Drop Down menus for AccntType, Account to Credit and Account to Debit. You must select an AccntType to activate the menus in Account to Debit and Account to Credit." sqref="C1:I1" xr:uid="{00000000-0002-0000-0200-000004000000}"/>
  </dataValidations>
  <pageMargins left="0.25" right="0.25" top="0.75" bottom="0.75" header="0.3" footer="0.3"/>
  <pageSetup scale="70" fitToHeight="0" orientation="portrait" r:id="rId1"/>
  <headerFooter>
    <oddHeader>&amp;CRusher Co. Solution
Journal Entries</oddHead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'Account Names'!$A$12:$A$14</xm:f>
          </x14:formula1>
          <xm:sqref>J3:J78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C121"/>
  <sheetViews>
    <sheetView zoomScale="70" zoomScaleNormal="70" workbookViewId="0">
      <selection activeCell="M6" sqref="M6"/>
    </sheetView>
  </sheetViews>
  <sheetFormatPr defaultColWidth="8.7109375" defaultRowHeight="12.75"/>
  <cols>
    <col min="1" max="1" width="3.28515625" customWidth="1"/>
    <col min="2" max="2" width="11.7109375" customWidth="1"/>
    <col min="3" max="3" width="12.7109375" customWidth="1"/>
    <col min="4" max="5" width="3.28515625" customWidth="1"/>
    <col min="6" max="6" width="14.28515625" customWidth="1"/>
    <col min="7" max="7" width="12.7109375" customWidth="1"/>
    <col min="8" max="9" width="3.28515625" customWidth="1"/>
    <col min="10" max="10" width="13.140625" customWidth="1"/>
    <col min="11" max="11" width="13.7109375" customWidth="1"/>
    <col min="12" max="12" width="3.28515625" bestFit="1" customWidth="1"/>
    <col min="13" max="13" width="3.28515625" customWidth="1"/>
    <col min="14" max="14" width="15.42578125" customWidth="1"/>
    <col min="15" max="15" width="13.42578125" customWidth="1"/>
    <col min="16" max="16" width="3.28515625" customWidth="1"/>
    <col min="17" max="17" width="20.140625" bestFit="1" customWidth="1"/>
    <col min="18" max="19" width="19.7109375" bestFit="1" customWidth="1"/>
    <col min="20" max="20" width="15.140625" customWidth="1"/>
    <col min="21" max="22" width="16.7109375" bestFit="1" customWidth="1"/>
    <col min="23" max="23" width="17.42578125" bestFit="1" customWidth="1"/>
    <col min="24" max="24" width="18.140625" bestFit="1" customWidth="1"/>
    <col min="25" max="25" width="9.140625" bestFit="1" customWidth="1"/>
    <col min="26" max="26" width="13.28515625" bestFit="1" customWidth="1"/>
  </cols>
  <sheetData>
    <row r="1" spans="1:27" s="21" customFormat="1" ht="13.5" thickBot="1">
      <c r="A1" s="442" t="str">
        <f>Entity</f>
        <v>ImmuCell Corp.</v>
      </c>
      <c r="B1" s="442"/>
      <c r="C1" s="442"/>
      <c r="D1" s="442"/>
      <c r="E1" s="442"/>
      <c r="F1" s="442"/>
      <c r="G1" s="442"/>
      <c r="H1" s="442"/>
      <c r="I1" s="442"/>
      <c r="J1" s="442"/>
      <c r="K1" s="442"/>
      <c r="L1" s="442"/>
      <c r="M1" s="442"/>
      <c r="N1" s="442"/>
      <c r="O1" s="442"/>
      <c r="P1" s="442"/>
      <c r="Q1" s="68" t="s">
        <v>136</v>
      </c>
      <c r="R1" s="231" t="s">
        <v>137</v>
      </c>
      <c r="S1" s="231" t="s">
        <v>138</v>
      </c>
      <c r="T1" s="231" t="s">
        <v>139</v>
      </c>
      <c r="U1" s="231" t="s">
        <v>140</v>
      </c>
      <c r="V1" s="231" t="s">
        <v>141</v>
      </c>
    </row>
    <row r="2" spans="1:27" s="21" customFormat="1">
      <c r="A2" s="442" t="s">
        <v>142</v>
      </c>
      <c r="B2" s="442"/>
      <c r="C2" s="442"/>
      <c r="D2" s="442"/>
      <c r="E2" s="442"/>
      <c r="F2" s="442"/>
      <c r="G2" s="442"/>
      <c r="H2" s="442"/>
      <c r="I2" s="442"/>
      <c r="J2" s="442"/>
      <c r="K2" s="442"/>
      <c r="L2" s="442"/>
      <c r="M2" s="442"/>
      <c r="N2" s="442"/>
      <c r="O2" s="442"/>
      <c r="P2" s="442"/>
      <c r="Q2" s="208">
        <f>R2-V2</f>
        <v>0</v>
      </c>
      <c r="R2" s="230">
        <f>B27+F11+J11+N11+B34+F19-G42+J27+F34-K19+F27-C42+J34+N34-O19</f>
        <v>0</v>
      </c>
      <c r="S2" s="230">
        <f>C57+G50+K50+O50+C64+G64+K64+O64+C70+G70+K70+G57+K57+O57</f>
        <v>0</v>
      </c>
      <c r="T2" s="230">
        <f>C80+G80+K80+O80+C88-N80-N88-B88</f>
        <v>0</v>
      </c>
      <c r="U2" s="230">
        <f>C97-B106-F106-J106-F113-J113-B113-N106-N113+G97+K97+O97-B120-F120</f>
        <v>0</v>
      </c>
      <c r="V2" s="230">
        <f>S2+T2+U2</f>
        <v>0</v>
      </c>
    </row>
    <row r="3" spans="1:27" s="21" customFormat="1" ht="13.5" thickBot="1">
      <c r="A3" s="442" t="str">
        <f>BegDate&amp;" to "&amp;EndDate</f>
        <v>[BegDate] to [EndDate]</v>
      </c>
      <c r="B3" s="442"/>
      <c r="C3" s="442"/>
      <c r="D3" s="442"/>
      <c r="E3" s="442"/>
      <c r="F3" s="442"/>
      <c r="G3" s="442"/>
      <c r="H3" s="442"/>
      <c r="I3" s="442"/>
      <c r="J3" s="442"/>
      <c r="K3" s="442"/>
      <c r="L3" s="442"/>
      <c r="M3" s="442"/>
      <c r="N3" s="442"/>
      <c r="O3" s="442"/>
      <c r="P3" s="442"/>
      <c r="Q3" s="247" t="s">
        <v>143</v>
      </c>
      <c r="R3" s="248" t="s">
        <v>144</v>
      </c>
      <c r="S3" s="248" t="s">
        <v>145</v>
      </c>
      <c r="T3" s="230"/>
      <c r="U3" s="230"/>
      <c r="V3" s="230"/>
    </row>
    <row r="4" spans="1:27" s="21" customFormat="1">
      <c r="A4" s="448" t="str">
        <f>Units</f>
        <v>[Units]</v>
      </c>
      <c r="B4" s="448"/>
      <c r="C4" s="448"/>
      <c r="D4" s="448"/>
      <c r="E4" s="448"/>
      <c r="F4" s="448"/>
      <c r="G4" s="448"/>
      <c r="H4" s="448"/>
      <c r="I4" s="448"/>
      <c r="J4" s="448"/>
      <c r="K4" s="448"/>
      <c r="L4" s="448"/>
      <c r="M4" s="448"/>
      <c r="N4" s="448"/>
      <c r="O4" s="448"/>
      <c r="P4" s="448"/>
      <c r="Q4" s="208">
        <f ca="1">R4-S4</f>
        <v>0</v>
      </c>
      <c r="R4" s="230">
        <f>SUM(B8:B26)+SUM(J8:J10)+SUM(N8:N10)+SUM(F16:F18)+SUM(F24:F26)+SUM(J24:J26)+SUM(B31:B33)+SUM(B39:B41)+SUM(F31:F33)+SUM(F39:F41)+SUM(J16:J18)+SUM(J31:J33)+SUM(N31:N33)+SUM(N16:N18)+SUM(F47:F49)+SUM(F54:F56)+SUM(B76:B79)+SUM(J54:J56)+SUM(B47:B56)+SUM(N54:N56)+SUM(J47:J49)+SUM(F8:F10)+SUM(N62:N63)+SUM(J62:J63)+SUM(F62:F63)+SUM(B62:B63)+SUM(J68:J69)+SUM(F68:F69)+SUM(B68:B69)+SUM(F76:F79)+SUM(J76:J79)+SUM(N76:N79)+SUM(N47:N49)+SUM(N84:N87)+SUM(B93:B96)+SUM(F93:F96)+SUM(J93:J96)+SUM(N93:N96)+SUM(N101:N105)+SUM(J101:J105)+SUM(F101:F105)+SUM(B101:B105)+SUM(N109:N112)+SUM(J109:J112)+SUM(B109:B112)+SUM(B84:B87)+SUM(B116:B119)+SUM(F109:F112)+SUM(F116:F119)-SUM(Journal!F3:F78)</f>
        <v>0</v>
      </c>
      <c r="S4" s="32">
        <f ca="1">SUM(C8:C26)+SUM(K8:K10)+SUM(O8:O10)+SUM(G16:G18)+SUM(G24:G26)+SUM(K24:K26)+SUM(C31:C33)+SUM(C39:C41)+SUM(G31:G33)+SUM(G39:G41)+SUM(K16:K18)+SUM(K31:K33)+SUM(O31:O33)+SUM(O16:O18)+SUM(G47:G49)+SUM(G54:G56)+SUM(C76:C79)+SUM(K54:K56)+SUM(C47:C56)+SUM(O54:O56)+SUM(K47:K49)+SUM(G8:G10)+SUM(O62:O63)+SUM(K62:K63)+SUM(G62:G63)+SUM(C62:C63)+SUM(K68:K69)+SUM(G68:G69)+SUM(C68:C69)+SUM(G76:G79)+SUM(K76:K79)+SUM(O76:O79)+SUM(O47:O49)+SUM(O85:O87)+SUM(C93:C96)+SUM(G93:G96)+SUM(K93:K96)+SUM(O93:O96)+SUM(O101:O105)+SUM(K101:K105)+SUM(G101:G105)+SUM(C101:C105)+SUM(O109:O112)+SUM(K109:K112)+SUM(C109:C112)+SUM(C84:C87)+SUM(C116:'T accnts'!C119)+SUM(G109:G112)+SUM(G116:G119)-SUM(Journal!G3:G78)</f>
        <v>0</v>
      </c>
    </row>
    <row r="5" spans="1:27" s="21" customFormat="1">
      <c r="A5" s="450" t="s">
        <v>146</v>
      </c>
      <c r="B5" s="450"/>
      <c r="C5" s="450"/>
      <c r="D5" s="450"/>
      <c r="E5" s="450"/>
      <c r="F5" s="450"/>
      <c r="G5" s="450"/>
      <c r="H5" s="450"/>
      <c r="I5" s="450"/>
      <c r="J5" s="450"/>
      <c r="K5" s="450"/>
      <c r="L5" s="450"/>
      <c r="M5" s="450"/>
      <c r="N5" s="450"/>
      <c r="O5" s="450"/>
      <c r="P5" s="450"/>
    </row>
    <row r="6" spans="1:27" ht="13.5" thickBot="1">
      <c r="A6" s="88"/>
      <c r="B6" s="449" t="str">
        <f>Cash_</f>
        <v>Cash</v>
      </c>
      <c r="C6" s="449"/>
      <c r="D6" s="88"/>
      <c r="E6" s="88"/>
      <c r="F6" s="449" t="str">
        <f>IF(CA2_="","",CA2_)</f>
        <v>Current Asset 2</v>
      </c>
      <c r="G6" s="449"/>
      <c r="H6" s="88"/>
      <c r="I6" s="88"/>
      <c r="J6" s="449" t="str">
        <f>IF(CA3_="","",CA3_)</f>
        <v>Current Asset 3</v>
      </c>
      <c r="K6" s="449"/>
      <c r="L6" s="88"/>
      <c r="M6" s="88"/>
      <c r="N6" s="449" t="str">
        <f>IF(CA4_="","",CA4_)</f>
        <v>Current Asset 4</v>
      </c>
      <c r="O6" s="449"/>
      <c r="P6" s="89"/>
    </row>
    <row r="7" spans="1:27">
      <c r="A7" s="90" t="str">
        <f>IF(B6="","","BB")</f>
        <v>BB</v>
      </c>
      <c r="B7" s="93">
        <f>Cash_BB</f>
        <v>0</v>
      </c>
      <c r="C7" s="94"/>
      <c r="D7" s="89"/>
      <c r="E7" s="90" t="str">
        <f>IF(F6="","","BB")</f>
        <v>BB</v>
      </c>
      <c r="F7" s="93">
        <f>CA2_BB</f>
        <v>0</v>
      </c>
      <c r="G7" s="94"/>
      <c r="H7" s="88"/>
      <c r="I7" s="90" t="str">
        <f>IF(J6="","","BB")</f>
        <v>BB</v>
      </c>
      <c r="J7" s="93">
        <f>CA3_BB</f>
        <v>0</v>
      </c>
      <c r="K7" s="94"/>
      <c r="L7" s="88"/>
      <c r="M7" s="90" t="str">
        <f>IF(N6="","","BB")</f>
        <v>BB</v>
      </c>
      <c r="N7" s="93">
        <f>CA4_BB</f>
        <v>0</v>
      </c>
      <c r="O7" s="94"/>
      <c r="P7" s="89"/>
    </row>
    <row r="8" spans="1:27">
      <c r="A8" s="161"/>
      <c r="B8" s="156"/>
      <c r="C8" s="157"/>
      <c r="D8" s="161"/>
      <c r="E8" s="161"/>
      <c r="F8" s="156"/>
      <c r="G8" s="158"/>
      <c r="H8" s="161"/>
      <c r="I8" s="161"/>
      <c r="J8" s="156"/>
      <c r="K8" s="158"/>
      <c r="L8" s="161"/>
      <c r="M8" s="161"/>
      <c r="N8" s="156"/>
      <c r="O8" s="158"/>
      <c r="P8" s="161"/>
    </row>
    <row r="9" spans="1:27">
      <c r="A9" s="161"/>
      <c r="B9" s="156"/>
      <c r="C9" s="157"/>
      <c r="D9" s="161"/>
      <c r="E9" s="161"/>
      <c r="F9" s="156"/>
      <c r="G9" s="158"/>
      <c r="H9" s="161"/>
      <c r="I9" s="161"/>
      <c r="J9" s="156"/>
      <c r="K9" s="158"/>
      <c r="L9" s="161"/>
      <c r="M9" s="163"/>
      <c r="N9" s="156"/>
      <c r="O9" s="158"/>
      <c r="P9" s="161"/>
    </row>
    <row r="10" spans="1:27">
      <c r="A10" s="161"/>
      <c r="B10" s="156"/>
      <c r="C10" s="157"/>
      <c r="D10" s="161"/>
      <c r="E10" s="162"/>
      <c r="F10" s="156"/>
      <c r="G10" s="157"/>
      <c r="H10" s="161"/>
      <c r="I10" s="161"/>
      <c r="J10" s="156"/>
      <c r="K10" s="157"/>
      <c r="L10" s="161"/>
      <c r="M10" s="161"/>
      <c r="N10" s="156"/>
      <c r="O10" s="157"/>
      <c r="P10" s="161"/>
    </row>
    <row r="11" spans="1:27" ht="13.5" thickBot="1">
      <c r="A11" s="161"/>
      <c r="B11" s="156"/>
      <c r="C11" s="157"/>
      <c r="D11" s="161"/>
      <c r="E11" s="69"/>
      <c r="F11" s="96">
        <f>SUM(F7:F10)-SUM(G7:G10)</f>
        <v>0</v>
      </c>
      <c r="G11" s="97"/>
      <c r="H11" s="89"/>
      <c r="I11" s="88"/>
      <c r="J11" s="96">
        <f>SUM(J7:J10)-SUM(K7:K10)</f>
        <v>0</v>
      </c>
      <c r="K11" s="97"/>
      <c r="L11" s="88"/>
      <c r="M11" s="88"/>
      <c r="N11" s="96">
        <f>SUM(N7:N10)-SUM(O7:O10)</f>
        <v>0</v>
      </c>
      <c r="O11" s="97"/>
      <c r="P11" s="69"/>
    </row>
    <row r="12" spans="1:27" ht="13.5" thickTop="1">
      <c r="A12" s="161"/>
      <c r="B12" s="156"/>
      <c r="C12" s="157"/>
      <c r="D12" s="161"/>
      <c r="E12" s="69"/>
      <c r="F12" s="243"/>
      <c r="G12" s="243"/>
      <c r="H12" s="89"/>
      <c r="I12" s="88"/>
      <c r="J12" s="243"/>
      <c r="K12" s="243"/>
      <c r="L12" s="88"/>
      <c r="M12" s="88"/>
      <c r="N12" s="243"/>
      <c r="O12" s="243"/>
      <c r="P12" s="69"/>
    </row>
    <row r="13" spans="1:27">
      <c r="A13" s="161"/>
      <c r="B13" s="156"/>
      <c r="C13" s="157"/>
      <c r="D13" s="161"/>
      <c r="E13" s="69"/>
      <c r="F13" s="69"/>
      <c r="G13" s="69"/>
      <c r="H13" s="89"/>
      <c r="I13" s="92"/>
      <c r="J13" s="443" t="s">
        <v>147</v>
      </c>
      <c r="K13" s="444"/>
      <c r="L13" s="444"/>
      <c r="M13" s="444"/>
      <c r="N13" s="444"/>
      <c r="O13" s="444"/>
      <c r="P13" s="92"/>
    </row>
    <row r="14" spans="1:27" ht="13.5" hidden="1" thickBot="1">
      <c r="A14" s="161"/>
      <c r="B14" s="156"/>
      <c r="C14" s="157"/>
      <c r="D14" s="161"/>
      <c r="E14" s="88"/>
      <c r="F14" s="439" t="str">
        <f>IF(CA5_="","",CA5_)</f>
        <v>Current Asset 5</v>
      </c>
      <c r="G14" s="439"/>
      <c r="H14" s="88"/>
      <c r="I14" s="85"/>
      <c r="J14" s="437" t="str">
        <f>IF(CA3_Contra="","",CA3_Contra)</f>
        <v>Contra to Current Asset 3</v>
      </c>
      <c r="K14" s="437"/>
      <c r="L14" s="86"/>
      <c r="M14" s="85"/>
      <c r="N14" s="437" t="str">
        <f>IF(CA4_Contra="","",CA4_Contra)</f>
        <v>Contra to Current Asset 4</v>
      </c>
      <c r="O14" s="437"/>
      <c r="P14" s="86"/>
      <c r="AA14" s="4" t="b">
        <f>AND(CA3_Contra="",CA4_Contra="")</f>
        <v>0</v>
      </c>
    </row>
    <row r="15" spans="1:27" hidden="1">
      <c r="A15" s="161"/>
      <c r="B15" s="156"/>
      <c r="C15" s="157"/>
      <c r="D15" s="161"/>
      <c r="E15" s="90" t="str">
        <f>IF(F14="","","BB")</f>
        <v>BB</v>
      </c>
      <c r="F15" s="93">
        <f>CA5_BB</f>
        <v>0</v>
      </c>
      <c r="G15" s="94"/>
      <c r="H15" s="88"/>
      <c r="I15" s="85"/>
      <c r="J15" s="98"/>
      <c r="K15" s="99">
        <f>CA3_Contra_BB</f>
        <v>0</v>
      </c>
      <c r="L15" s="87" t="str">
        <f>IF(J14="","","BB")</f>
        <v>BB</v>
      </c>
      <c r="M15" s="85"/>
      <c r="N15" s="98"/>
      <c r="O15" s="99">
        <f>CA4_Contra_BB</f>
        <v>0</v>
      </c>
      <c r="P15" s="87" t="str">
        <f>IF(N14="","","BB")</f>
        <v>BB</v>
      </c>
      <c r="Z15" s="4" t="s">
        <v>148</v>
      </c>
      <c r="AA15" t="str">
        <f>IF(Cash_="","TRUE","FALSE")</f>
        <v>FALSE</v>
      </c>
    </row>
    <row r="16" spans="1:27" hidden="1">
      <c r="A16" s="161"/>
      <c r="B16" s="156"/>
      <c r="C16" s="157"/>
      <c r="D16" s="161"/>
      <c r="E16" s="164"/>
      <c r="F16" s="156"/>
      <c r="G16" s="158"/>
      <c r="H16" s="162"/>
      <c r="I16" s="165"/>
      <c r="J16" s="166"/>
      <c r="K16" s="167"/>
      <c r="L16" s="165"/>
      <c r="M16" s="165"/>
      <c r="N16" s="166"/>
      <c r="O16" s="167"/>
      <c r="P16" s="165"/>
      <c r="Z16" t="str">
        <f>"CA2"&amp;W14&amp;"_"</f>
        <v>CA2_</v>
      </c>
      <c r="AA16" t="str">
        <f>IF(CA2_="","TRUE","FALSE")</f>
        <v>FALSE</v>
      </c>
    </row>
    <row r="17" spans="1:29" hidden="1">
      <c r="A17" s="161"/>
      <c r="B17" s="156"/>
      <c r="C17" s="157"/>
      <c r="D17" s="161"/>
      <c r="E17" s="161"/>
      <c r="F17" s="156"/>
      <c r="G17" s="158"/>
      <c r="H17" s="161"/>
      <c r="I17" s="165"/>
      <c r="J17" s="166"/>
      <c r="K17" s="168"/>
      <c r="L17" s="165"/>
      <c r="M17" s="165"/>
      <c r="N17" s="166"/>
      <c r="O17" s="168"/>
      <c r="P17" s="165"/>
      <c r="Z17" t="str">
        <f>"CA3"&amp;W15&amp;"_"</f>
        <v>CA3_</v>
      </c>
      <c r="AA17" t="str">
        <f>IF(CA3_="","TRUE","FALSE")</f>
        <v>FALSE</v>
      </c>
    </row>
    <row r="18" spans="1:29" hidden="1">
      <c r="A18" s="161"/>
      <c r="B18" s="156"/>
      <c r="C18" s="157"/>
      <c r="D18" s="161"/>
      <c r="E18" s="161"/>
      <c r="F18" s="156"/>
      <c r="G18" s="157"/>
      <c r="H18" s="162"/>
      <c r="I18" s="165"/>
      <c r="J18" s="166"/>
      <c r="K18" s="167"/>
      <c r="L18" s="165"/>
      <c r="M18" s="165"/>
      <c r="N18" s="166"/>
      <c r="O18" s="167"/>
      <c r="P18" s="165"/>
      <c r="Z18" s="4" t="s">
        <v>149</v>
      </c>
      <c r="AA18" t="str">
        <f>IF(CA4_="","TRUE","FALSE")</f>
        <v>FALSE</v>
      </c>
      <c r="AC18" s="1"/>
    </row>
    <row r="19" spans="1:29" ht="13.5" hidden="1" thickBot="1">
      <c r="A19" s="161"/>
      <c r="B19" s="156"/>
      <c r="C19" s="157"/>
      <c r="D19" s="161"/>
      <c r="E19" s="88"/>
      <c r="F19" s="96">
        <f>SUM(F15:F18)-SUM(G15:G18)</f>
        <v>0</v>
      </c>
      <c r="G19" s="97"/>
      <c r="H19" s="88"/>
      <c r="I19" s="85"/>
      <c r="J19" s="100"/>
      <c r="K19" s="101">
        <f>SUM(K15:K18)-SUM(J15:J18)</f>
        <v>0</v>
      </c>
      <c r="L19" s="86"/>
      <c r="M19" s="85"/>
      <c r="N19" s="100"/>
      <c r="O19" s="101">
        <f>SUM(O15:O18)-SUM(N15:N18)</f>
        <v>0</v>
      </c>
      <c r="P19" s="86"/>
      <c r="Z19" s="4" t="s">
        <v>150</v>
      </c>
      <c r="AA19" t="str">
        <f>IF(CA5_="","TRUE","FALSE")</f>
        <v>FALSE</v>
      </c>
      <c r="AC19" s="1"/>
    </row>
    <row r="20" spans="1:29" ht="13.5" hidden="1" thickTop="1">
      <c r="A20" s="161"/>
      <c r="B20" s="156"/>
      <c r="C20" s="158"/>
      <c r="D20" s="161"/>
      <c r="E20" s="69"/>
      <c r="F20" s="69"/>
      <c r="G20" s="69"/>
      <c r="H20" s="69"/>
      <c r="I20" s="84"/>
      <c r="J20" s="84"/>
      <c r="K20" s="84"/>
      <c r="L20" s="84"/>
      <c r="M20" s="84"/>
      <c r="N20" s="84"/>
      <c r="O20" s="84"/>
      <c r="P20" s="84"/>
      <c r="Z20" s="4" t="s">
        <v>151</v>
      </c>
      <c r="AA20" t="str">
        <f>IF(CA6_="","TRUE","FALSE")</f>
        <v>FALSE</v>
      </c>
      <c r="AC20" s="1"/>
    </row>
    <row r="21" spans="1:29" hidden="1">
      <c r="A21" s="161"/>
      <c r="B21" s="156"/>
      <c r="C21" s="159"/>
      <c r="D21" s="162"/>
      <c r="E21" s="88"/>
      <c r="F21" s="69"/>
      <c r="G21" s="69"/>
      <c r="H21" s="69"/>
      <c r="I21" s="69"/>
      <c r="J21" s="69"/>
      <c r="K21" s="69"/>
      <c r="L21" s="69"/>
      <c r="M21" s="69"/>
      <c r="N21" s="69"/>
      <c r="O21" s="69"/>
      <c r="P21" s="69"/>
      <c r="Z21" s="4" t="s">
        <v>152</v>
      </c>
      <c r="AA21" t="str">
        <f>IF(CA7_="","TRUE","FALSE")</f>
        <v>FALSE</v>
      </c>
      <c r="AC21" s="1"/>
    </row>
    <row r="22" spans="1:29" ht="13.5" hidden="1" thickBot="1">
      <c r="A22" s="162"/>
      <c r="B22" s="156"/>
      <c r="C22" s="159"/>
      <c r="D22" s="162"/>
      <c r="E22" s="88"/>
      <c r="F22" s="439" t="str">
        <f>IF(CA6_="","",CA6_)</f>
        <v>Current Asset 6</v>
      </c>
      <c r="G22" s="439"/>
      <c r="H22" s="88"/>
      <c r="I22" s="88"/>
      <c r="J22" s="439" t="str">
        <f>IF(CA7_="","",CA7_)</f>
        <v>Current Asset 7</v>
      </c>
      <c r="K22" s="439"/>
      <c r="L22" s="88"/>
      <c r="M22" s="69"/>
      <c r="N22" s="69"/>
      <c r="O22" s="69"/>
      <c r="P22" s="69"/>
      <c r="Z22" s="4" t="s">
        <v>153</v>
      </c>
      <c r="AA22" t="str">
        <f>IF(CA3_Contra="","TRUE","FALSE")</f>
        <v>FALSE</v>
      </c>
    </row>
    <row r="23" spans="1:29" hidden="1">
      <c r="A23" s="162"/>
      <c r="B23" s="156"/>
      <c r="C23" s="159"/>
      <c r="D23" s="162"/>
      <c r="E23" s="90" t="str">
        <f>IF(F22="","","BB")</f>
        <v>BB</v>
      </c>
      <c r="F23" s="93">
        <f>CA6_BB</f>
        <v>0</v>
      </c>
      <c r="G23" s="94"/>
      <c r="H23" s="88"/>
      <c r="I23" s="90" t="str">
        <f>IF(J22="","","BB")</f>
        <v>BB</v>
      </c>
      <c r="J23" s="93">
        <f>CA7_BB</f>
        <v>0</v>
      </c>
      <c r="K23" s="94"/>
      <c r="L23" s="88"/>
      <c r="M23" s="69"/>
      <c r="N23" s="69"/>
      <c r="O23" s="69"/>
      <c r="P23" s="69"/>
      <c r="Z23" s="4" t="s">
        <v>154</v>
      </c>
      <c r="AA23" t="str">
        <f>IF(CA4_Contra="","TRUE","FALSE")</f>
        <v>FALSE</v>
      </c>
    </row>
    <row r="24" spans="1:29" hidden="1">
      <c r="A24" s="163"/>
      <c r="B24" s="156"/>
      <c r="C24" s="159"/>
      <c r="D24" s="163"/>
      <c r="E24" s="164"/>
      <c r="F24" s="156"/>
      <c r="G24" s="158"/>
      <c r="H24" s="162"/>
      <c r="I24" s="164"/>
      <c r="J24" s="156"/>
      <c r="K24" s="158"/>
      <c r="L24" s="162"/>
      <c r="M24" s="69"/>
      <c r="N24" s="69"/>
      <c r="O24" s="69"/>
      <c r="P24" s="69"/>
      <c r="Z24" s="4" t="s">
        <v>155</v>
      </c>
      <c r="AA24" t="str">
        <f>IF(NCA1_="","TRUE","FALSE")</f>
        <v>FALSE</v>
      </c>
    </row>
    <row r="25" spans="1:29" hidden="1">
      <c r="A25" s="162"/>
      <c r="B25" s="156"/>
      <c r="C25" s="159"/>
      <c r="D25" s="162"/>
      <c r="E25" s="161"/>
      <c r="F25" s="156"/>
      <c r="G25" s="158"/>
      <c r="H25" s="161"/>
      <c r="I25" s="161"/>
      <c r="J25" s="156"/>
      <c r="K25" s="158"/>
      <c r="L25" s="161"/>
      <c r="M25" s="69"/>
      <c r="N25" s="69"/>
      <c r="O25" s="69"/>
      <c r="P25" s="69"/>
      <c r="Z25" s="4" t="s">
        <v>156</v>
      </c>
      <c r="AA25" t="str">
        <f>IF(NCA2_="","TRUE","FALSE")</f>
        <v>FALSE</v>
      </c>
    </row>
    <row r="26" spans="1:29">
      <c r="A26" s="162"/>
      <c r="B26" s="159"/>
      <c r="C26" s="160"/>
      <c r="D26" s="162"/>
      <c r="E26" s="161"/>
      <c r="F26" s="156"/>
      <c r="G26" s="157"/>
      <c r="H26" s="162"/>
      <c r="I26" s="161"/>
      <c r="J26" s="156"/>
      <c r="K26" s="157"/>
      <c r="L26" s="162"/>
      <c r="M26" s="69"/>
      <c r="N26" s="69"/>
      <c r="O26" s="69"/>
      <c r="P26" s="69"/>
      <c r="Z26" s="4" t="s">
        <v>157</v>
      </c>
      <c r="AA26" t="str">
        <f>IF(NCA3_="","TRUE","FALSE")</f>
        <v>FALSE</v>
      </c>
    </row>
    <row r="27" spans="1:29" ht="13.5" thickBot="1">
      <c r="A27" s="88"/>
      <c r="B27" s="96">
        <f>SUM(B7:B26)-SUM(C7:C26)</f>
        <v>0</v>
      </c>
      <c r="C27" s="95"/>
      <c r="D27" s="88"/>
      <c r="E27" s="88"/>
      <c r="F27" s="96">
        <f>SUM(F23:F26)-SUM(G23:G26)</f>
        <v>0</v>
      </c>
      <c r="G27" s="97"/>
      <c r="H27" s="88"/>
      <c r="I27" s="88"/>
      <c r="J27" s="96">
        <f>SUM(J23:J26)-SUM(K23:K26)</f>
        <v>0</v>
      </c>
      <c r="K27" s="97"/>
      <c r="L27" s="88"/>
      <c r="M27" s="69"/>
      <c r="N27" s="69"/>
      <c r="O27" s="69"/>
      <c r="P27" s="69"/>
      <c r="Z27" s="4" t="s">
        <v>158</v>
      </c>
      <c r="AA27" t="str">
        <f>IF(NCA4_="","TRUE","FALSE")</f>
        <v>FALSE</v>
      </c>
    </row>
    <row r="28" spans="1:29" ht="13.5" thickTop="1">
      <c r="A28" s="450" t="s">
        <v>159</v>
      </c>
      <c r="B28" s="450"/>
      <c r="C28" s="450"/>
      <c r="D28" s="450"/>
      <c r="E28" s="450"/>
      <c r="F28" s="450"/>
      <c r="G28" s="450"/>
      <c r="H28" s="450"/>
      <c r="I28" s="450"/>
      <c r="J28" s="450"/>
      <c r="K28" s="450"/>
      <c r="L28" s="450"/>
      <c r="M28" s="450"/>
      <c r="N28" s="450"/>
      <c r="O28" s="450"/>
      <c r="P28" s="450"/>
      <c r="AA28" s="4" t="b">
        <f>AND(NCA1_Contra="",NCA2_Contra="")</f>
        <v>0</v>
      </c>
      <c r="AC28" s="5"/>
    </row>
    <row r="29" spans="1:29" ht="13.5" thickBot="1">
      <c r="A29" s="88"/>
      <c r="B29" s="449" t="str">
        <f>IF(NCA1_="","",NCA1_)</f>
        <v>Property, Plant &amp; Equipment</v>
      </c>
      <c r="C29" s="449"/>
      <c r="D29" s="88"/>
      <c r="E29" s="88"/>
      <c r="F29" s="439" t="str">
        <f>IF(NCA2_="","",NCA2_)</f>
        <v>Property, Plant &amp; Equipment</v>
      </c>
      <c r="G29" s="439"/>
      <c r="H29" s="88"/>
      <c r="I29" s="88"/>
      <c r="J29" s="439" t="str">
        <f>IF(NCA3_="","",NCA3_)</f>
        <v>Property, Plant &amp; Equipment</v>
      </c>
      <c r="K29" s="439"/>
      <c r="L29" s="88"/>
      <c r="M29" s="88"/>
      <c r="N29" s="439" t="str">
        <f>IF(NCA4_="","",NCA4_)</f>
        <v>Property, Plant &amp; Equipment</v>
      </c>
      <c r="O29" s="439"/>
      <c r="P29" s="88"/>
      <c r="Z29" s="4" t="s">
        <v>160</v>
      </c>
      <c r="AA29" t="str">
        <f>IF(NCA1_Contra="","TRUE","FALSE")</f>
        <v>FALSE</v>
      </c>
      <c r="AC29" s="5"/>
    </row>
    <row r="30" spans="1:29">
      <c r="A30" s="90" t="str">
        <f>IF(B29="","","BB")</f>
        <v>BB</v>
      </c>
      <c r="B30" s="93">
        <f>NCA1_BB</f>
        <v>0</v>
      </c>
      <c r="C30" s="94"/>
      <c r="D30" s="89"/>
      <c r="E30" s="90" t="str">
        <f>IF(F29="","","BB")</f>
        <v>BB</v>
      </c>
      <c r="F30" s="93">
        <f>NCA2_BB</f>
        <v>0</v>
      </c>
      <c r="G30" s="94"/>
      <c r="H30" s="88"/>
      <c r="I30" s="90" t="str">
        <f>IF(J29="","","BB")</f>
        <v>BB</v>
      </c>
      <c r="J30" s="93">
        <f>NCA3_BB</f>
        <v>0</v>
      </c>
      <c r="K30" s="94"/>
      <c r="L30" s="88"/>
      <c r="M30" s="90" t="str">
        <f>IF(N29="","","BB")</f>
        <v>BB</v>
      </c>
      <c r="N30" s="93">
        <f>NCA4_BB</f>
        <v>0</v>
      </c>
      <c r="O30" s="94"/>
      <c r="P30" s="88"/>
      <c r="Z30" s="4" t="s">
        <v>161</v>
      </c>
      <c r="AA30" t="str">
        <f>IF(NCA2_Contra="","TRUE","FALSE")</f>
        <v>FALSE</v>
      </c>
      <c r="AC30" s="5"/>
    </row>
    <row r="31" spans="1:29">
      <c r="A31" s="161"/>
      <c r="B31" s="156"/>
      <c r="C31" s="158"/>
      <c r="D31" s="161"/>
      <c r="E31" s="161"/>
      <c r="F31" s="156"/>
      <c r="G31" s="158"/>
      <c r="H31" s="161"/>
      <c r="I31" s="164"/>
      <c r="J31" s="156"/>
      <c r="K31" s="158"/>
      <c r="L31" s="162"/>
      <c r="M31" s="164"/>
      <c r="N31" s="156"/>
      <c r="O31" s="158"/>
      <c r="P31" s="162"/>
      <c r="Z31" s="4" t="s">
        <v>162</v>
      </c>
      <c r="AA31" t="str">
        <f>IF(CL1_="","TRUE","FALSE")</f>
        <v>FALSE</v>
      </c>
      <c r="AC31" s="5"/>
    </row>
    <row r="32" spans="1:29">
      <c r="A32" s="161"/>
      <c r="B32" s="156"/>
      <c r="C32" s="158"/>
      <c r="D32" s="161"/>
      <c r="E32" s="161"/>
      <c r="F32" s="156"/>
      <c r="G32" s="158"/>
      <c r="H32" s="161"/>
      <c r="I32" s="161"/>
      <c r="J32" s="156"/>
      <c r="K32" s="158"/>
      <c r="L32" s="161"/>
      <c r="M32" s="161"/>
      <c r="N32" s="156"/>
      <c r="O32" s="158"/>
      <c r="P32" s="161"/>
      <c r="Z32" s="4" t="s">
        <v>163</v>
      </c>
      <c r="AA32" t="str">
        <f>IF(CL2_="","TRUE","FALSE")</f>
        <v>FALSE</v>
      </c>
      <c r="AC32" s="5"/>
    </row>
    <row r="33" spans="1:29">
      <c r="A33" s="161" t="s">
        <v>123</v>
      </c>
      <c r="B33" s="156"/>
      <c r="C33" s="157"/>
      <c r="D33" s="161"/>
      <c r="E33" s="161"/>
      <c r="F33" s="156"/>
      <c r="G33" s="157"/>
      <c r="H33" s="161"/>
      <c r="I33" s="161"/>
      <c r="J33" s="156"/>
      <c r="K33" s="157"/>
      <c r="L33" s="162"/>
      <c r="M33" s="161"/>
      <c r="N33" s="156"/>
      <c r="O33" s="157"/>
      <c r="P33" s="162"/>
      <c r="Z33" s="4" t="s">
        <v>164</v>
      </c>
      <c r="AA33" t="str">
        <f>IF(CL3_="","TRUE","FALSE")</f>
        <v>FALSE</v>
      </c>
      <c r="AC33" s="5"/>
    </row>
    <row r="34" spans="1:29" ht="13.5" thickBot="1">
      <c r="A34" s="88"/>
      <c r="B34" s="96">
        <f>SUM(B30:B33)-SUM(C30:C33)</f>
        <v>0</v>
      </c>
      <c r="C34" s="97"/>
      <c r="D34" s="88"/>
      <c r="E34" s="88"/>
      <c r="F34" s="96">
        <f>SUM(F30:F33)-SUM(G30:G33)</f>
        <v>0</v>
      </c>
      <c r="G34" s="97"/>
      <c r="H34" s="88"/>
      <c r="I34" s="88"/>
      <c r="J34" s="96">
        <f>SUM(J30:J33)-SUM(K30:K33)</f>
        <v>0</v>
      </c>
      <c r="K34" s="97"/>
      <c r="L34" s="88"/>
      <c r="M34" s="88"/>
      <c r="N34" s="96">
        <f>SUM(N30:N33)-SUM(O30:O33)</f>
        <v>0</v>
      </c>
      <c r="O34" s="97"/>
      <c r="P34" s="88"/>
      <c r="Z34" s="4" t="s">
        <v>165</v>
      </c>
      <c r="AA34" t="str">
        <f>IF(CL4_="","TRUE","FALSE")</f>
        <v>FALSE</v>
      </c>
      <c r="AC34" s="5"/>
    </row>
    <row r="35" spans="1:29" ht="13.5" thickTop="1">
      <c r="A35" s="69"/>
      <c r="B35" s="69"/>
      <c r="C35" s="69"/>
      <c r="D35" s="69"/>
      <c r="E35" s="69"/>
      <c r="F35" s="69"/>
      <c r="G35" s="69"/>
      <c r="H35" s="69"/>
      <c r="I35" s="69"/>
      <c r="J35" s="69"/>
      <c r="K35" s="69"/>
      <c r="L35" s="69"/>
      <c r="M35" s="69"/>
      <c r="N35" s="69"/>
      <c r="O35" s="69"/>
      <c r="P35" s="69"/>
      <c r="Z35" s="4" t="s">
        <v>166</v>
      </c>
      <c r="AA35" t="str">
        <f>IF(CL5_="","TRUE","FALSE")</f>
        <v>FALSE</v>
      </c>
      <c r="AC35" s="5"/>
    </row>
    <row r="36" spans="1:29">
      <c r="A36" s="92"/>
      <c r="B36" s="443" t="s">
        <v>167</v>
      </c>
      <c r="C36" s="444"/>
      <c r="D36" s="444"/>
      <c r="E36" s="444"/>
      <c r="F36" s="444"/>
      <c r="G36" s="444"/>
      <c r="H36" s="92"/>
      <c r="I36" s="146"/>
      <c r="J36" s="146"/>
      <c r="K36" s="146"/>
      <c r="L36" s="146"/>
      <c r="M36" s="146"/>
      <c r="N36" s="146"/>
      <c r="O36" s="146"/>
      <c r="P36" s="146"/>
      <c r="Z36" s="4" t="s">
        <v>168</v>
      </c>
      <c r="AA36" t="str">
        <f>IF(CL6_="","TRUE","FALSE")</f>
        <v>FALSE</v>
      </c>
      <c r="AC36" s="5"/>
    </row>
    <row r="37" spans="1:29" ht="13.5" thickBot="1">
      <c r="A37" s="85"/>
      <c r="B37" s="437" t="str">
        <f>IF(NCA1_Contra="","",NCA1_Contra)</f>
        <v>Accumulated Depreciation</v>
      </c>
      <c r="C37" s="437"/>
      <c r="D37" s="86"/>
      <c r="E37" s="85"/>
      <c r="F37" s="437" t="str">
        <f>IF(NCA2_Contra="","",NCA2_Contra)</f>
        <v>Accumulated Depreciation</v>
      </c>
      <c r="G37" s="437"/>
      <c r="H37" s="86"/>
      <c r="I37" s="88"/>
      <c r="J37" s="69"/>
      <c r="K37" s="69"/>
      <c r="L37" s="69"/>
      <c r="M37" s="69"/>
      <c r="N37" s="69"/>
      <c r="O37" s="69"/>
      <c r="P37" s="69"/>
      <c r="S37" s="22"/>
      <c r="Z37" s="4" t="s">
        <v>169</v>
      </c>
      <c r="AA37" t="str">
        <f>IF(CL7_="","TRUE","FALSE")</f>
        <v>FALSE</v>
      </c>
      <c r="AC37" s="5"/>
    </row>
    <row r="38" spans="1:29">
      <c r="A38" s="85"/>
      <c r="B38" s="98"/>
      <c r="C38" s="99">
        <f>NCA1_Contra_BB</f>
        <v>0</v>
      </c>
      <c r="D38" s="87" t="str">
        <f>IF(B37="","","BB")</f>
        <v>BB</v>
      </c>
      <c r="E38" s="85"/>
      <c r="F38" s="98"/>
      <c r="G38" s="99">
        <f>NCA2_Contra_BB</f>
        <v>0</v>
      </c>
      <c r="H38" s="87" t="str">
        <f>IF(F37="","","BB")</f>
        <v>BB</v>
      </c>
      <c r="I38" s="90"/>
      <c r="J38" s="69"/>
      <c r="K38" s="69"/>
      <c r="L38" s="91"/>
      <c r="M38" s="69"/>
      <c r="N38" s="69"/>
      <c r="O38" s="69"/>
      <c r="P38" s="69"/>
      <c r="Z38" s="4" t="s">
        <v>170</v>
      </c>
      <c r="AA38" t="str">
        <f>IF(NCL1_="","TRUE","FALSE")</f>
        <v>FALSE</v>
      </c>
    </row>
    <row r="39" spans="1:29">
      <c r="A39" s="165"/>
      <c r="B39" s="166"/>
      <c r="C39" s="167"/>
      <c r="D39" s="165"/>
      <c r="E39" s="165"/>
      <c r="F39" s="166"/>
      <c r="G39" s="167"/>
      <c r="H39" s="165"/>
      <c r="I39" s="89"/>
      <c r="J39" s="69"/>
      <c r="K39" s="69"/>
      <c r="L39" s="69"/>
      <c r="M39" s="69"/>
      <c r="N39" s="69"/>
      <c r="O39" s="69"/>
      <c r="P39" s="69"/>
      <c r="Z39" s="4" t="s">
        <v>171</v>
      </c>
      <c r="AA39" t="str">
        <f>IF(NCL2_="","TRUE","FALSE")</f>
        <v>FALSE</v>
      </c>
    </row>
    <row r="40" spans="1:29">
      <c r="A40" s="165"/>
      <c r="B40" s="166"/>
      <c r="C40" s="168"/>
      <c r="D40" s="165"/>
      <c r="E40" s="165"/>
      <c r="F40" s="166"/>
      <c r="G40" s="168"/>
      <c r="H40" s="165"/>
      <c r="I40" s="89"/>
      <c r="J40" s="69"/>
      <c r="K40" s="69"/>
      <c r="L40" s="69"/>
      <c r="M40" s="69"/>
      <c r="N40" s="69"/>
      <c r="O40" s="69"/>
      <c r="P40" s="69"/>
      <c r="Z40" s="4" t="s">
        <v>172</v>
      </c>
      <c r="AA40" t="str">
        <f>IF(NCL3_="","TRUE","FALSE")</f>
        <v>FALSE</v>
      </c>
    </row>
    <row r="41" spans="1:29">
      <c r="A41" s="165"/>
      <c r="B41" s="166"/>
      <c r="C41" s="167"/>
      <c r="D41" s="165"/>
      <c r="E41" s="165"/>
      <c r="F41" s="166"/>
      <c r="G41" s="167"/>
      <c r="H41" s="165"/>
      <c r="I41" s="89"/>
      <c r="J41" s="69"/>
      <c r="K41" s="69"/>
      <c r="L41" s="69"/>
      <c r="M41" s="69"/>
      <c r="N41" s="69"/>
      <c r="O41" s="69"/>
      <c r="P41" s="69"/>
      <c r="Z41" s="4" t="s">
        <v>173</v>
      </c>
      <c r="AA41" t="str">
        <f>IF(NCL4_="","TRUE","FALSE")</f>
        <v>FALSE</v>
      </c>
    </row>
    <row r="42" spans="1:29" ht="13.5" thickBot="1">
      <c r="A42" s="85"/>
      <c r="B42" s="100"/>
      <c r="C42" s="101">
        <f>SUM(C38:C41)-SUM(B38:B41)</f>
        <v>0</v>
      </c>
      <c r="D42" s="86"/>
      <c r="E42" s="85"/>
      <c r="F42" s="100"/>
      <c r="G42" s="101">
        <f>SUM(G38:G41)-SUM(F38:F41)</f>
        <v>0</v>
      </c>
      <c r="H42" s="86"/>
      <c r="I42" s="89"/>
      <c r="J42" s="69"/>
      <c r="K42" s="69"/>
      <c r="L42" s="69"/>
      <c r="M42" s="69"/>
      <c r="N42" s="69"/>
      <c r="O42" s="69"/>
      <c r="P42" s="69"/>
      <c r="Z42" s="4" t="s">
        <v>174</v>
      </c>
      <c r="AA42" t="str">
        <f>IF(NCL5_="","TRUE","FALSE")</f>
        <v>FALSE</v>
      </c>
    </row>
    <row r="43" spans="1:29" ht="13.5" thickTop="1">
      <c r="A43" s="84"/>
      <c r="B43" s="84"/>
      <c r="C43" s="84"/>
      <c r="D43" s="84"/>
      <c r="E43" s="84"/>
      <c r="F43" s="84"/>
      <c r="G43" s="84"/>
      <c r="H43" s="84"/>
      <c r="I43" s="88"/>
      <c r="J43" s="69"/>
      <c r="K43" s="69"/>
      <c r="L43" s="69"/>
      <c r="M43" s="69"/>
      <c r="N43" s="69"/>
      <c r="O43" s="69"/>
      <c r="P43" s="69"/>
      <c r="Z43" s="4" t="s">
        <v>175</v>
      </c>
      <c r="AA43" t="str">
        <f>IF(NCL6_="","TRUE","FALSE")</f>
        <v>FALSE</v>
      </c>
    </row>
    <row r="44" spans="1:29">
      <c r="A44" s="445" t="s">
        <v>176</v>
      </c>
      <c r="B44" s="445"/>
      <c r="C44" s="445"/>
      <c r="D44" s="445"/>
      <c r="E44" s="445"/>
      <c r="F44" s="445"/>
      <c r="G44" s="445"/>
      <c r="H44" s="445"/>
      <c r="I44" s="445"/>
      <c r="J44" s="445"/>
      <c r="K44" s="445"/>
      <c r="L44" s="445"/>
      <c r="M44" s="445"/>
      <c r="N44" s="445"/>
      <c r="O44" s="445"/>
      <c r="P44" s="445"/>
      <c r="Z44" s="4" t="s">
        <v>177</v>
      </c>
      <c r="AA44" t="str">
        <f>IF(NCL7_="","TRUE","FALSE")</f>
        <v>FALSE</v>
      </c>
    </row>
    <row r="45" spans="1:29" ht="13.5" thickBot="1">
      <c r="A45" s="102"/>
      <c r="B45" s="440" t="str">
        <f>IF(CL1_="","",CL1_)</f>
        <v>Current Liability 1</v>
      </c>
      <c r="C45" s="440"/>
      <c r="D45" s="102"/>
      <c r="E45" s="102"/>
      <c r="F45" s="440" t="str">
        <f>IF(CL2_="","",CL2_)</f>
        <v>Current Liability 2</v>
      </c>
      <c r="G45" s="440"/>
      <c r="H45" s="102"/>
      <c r="I45" s="102"/>
      <c r="J45" s="440" t="str">
        <f>IF(CL3_="","",CL3_)</f>
        <v>Current Liability 3</v>
      </c>
      <c r="K45" s="440"/>
      <c r="L45" s="102"/>
      <c r="M45" s="102"/>
      <c r="N45" s="440" t="str">
        <f>IF(CL4_="","",CL4_)</f>
        <v>Current Liability 4</v>
      </c>
      <c r="O45" s="440"/>
      <c r="P45" s="102"/>
      <c r="Z45" s="4" t="s">
        <v>178</v>
      </c>
      <c r="AA45" t="str">
        <f>IF(SE1_="","TRUE","FALSE")</f>
        <v>FALSE</v>
      </c>
    </row>
    <row r="46" spans="1:29">
      <c r="A46" s="103"/>
      <c r="B46" s="125"/>
      <c r="C46" s="126">
        <f>CL1_BB</f>
        <v>0</v>
      </c>
      <c r="D46" s="104" t="str">
        <f>IF(B45="","","BB")</f>
        <v>BB</v>
      </c>
      <c r="E46" s="103"/>
      <c r="F46" s="125"/>
      <c r="G46" s="126">
        <f>CL2_BB</f>
        <v>0</v>
      </c>
      <c r="H46" s="104" t="str">
        <f>IF(F45="","","BB")</f>
        <v>BB</v>
      </c>
      <c r="I46" s="103"/>
      <c r="J46" s="125"/>
      <c r="K46" s="126">
        <f>CL3_BB</f>
        <v>0</v>
      </c>
      <c r="L46" s="104" t="str">
        <f>IF(J45="","","BB")</f>
        <v>BB</v>
      </c>
      <c r="M46" s="103"/>
      <c r="N46" s="125"/>
      <c r="O46" s="126">
        <f>CL4_BB</f>
        <v>0</v>
      </c>
      <c r="P46" s="104" t="str">
        <f>IF(N45="","","BB")</f>
        <v>BB</v>
      </c>
      <c r="Z46" s="4" t="s">
        <v>179</v>
      </c>
      <c r="AA46" t="str">
        <f>IF(SE2_="","TRUE","FALSE")</f>
        <v>FALSE</v>
      </c>
    </row>
    <row r="47" spans="1:29">
      <c r="A47" s="169"/>
      <c r="B47" s="170"/>
      <c r="C47" s="171"/>
      <c r="D47" s="169"/>
      <c r="E47" s="169"/>
      <c r="F47" s="170"/>
      <c r="G47" s="171"/>
      <c r="H47" s="169"/>
      <c r="I47" s="169"/>
      <c r="J47" s="170"/>
      <c r="K47" s="171"/>
      <c r="L47" s="169"/>
      <c r="M47" s="169"/>
      <c r="N47" s="170"/>
      <c r="O47" s="171"/>
      <c r="P47" s="169"/>
      <c r="Z47" s="4" t="s">
        <v>180</v>
      </c>
      <c r="AA47" t="str">
        <f>IF(SE3_="","TRUE","FALSE")</f>
        <v>FALSE</v>
      </c>
    </row>
    <row r="48" spans="1:29">
      <c r="A48" s="169"/>
      <c r="B48" s="170"/>
      <c r="C48" s="171"/>
      <c r="D48" s="169"/>
      <c r="E48" s="169"/>
      <c r="F48" s="170"/>
      <c r="G48" s="171"/>
      <c r="H48" s="169"/>
      <c r="I48" s="169"/>
      <c r="J48" s="170"/>
      <c r="K48" s="171"/>
      <c r="L48" s="169"/>
      <c r="M48" s="169"/>
      <c r="N48" s="170"/>
      <c r="O48" s="171"/>
      <c r="P48" s="169"/>
      <c r="Z48" s="4" t="s">
        <v>181</v>
      </c>
      <c r="AA48" t="str">
        <f>IF(SE4_="","TRUE","FALSE")</f>
        <v>FALSE</v>
      </c>
    </row>
    <row r="49" spans="1:27">
      <c r="A49" s="169"/>
      <c r="B49" s="170"/>
      <c r="C49" s="172"/>
      <c r="D49" s="173"/>
      <c r="E49" s="169"/>
      <c r="F49" s="170"/>
      <c r="G49" s="177"/>
      <c r="H49" s="169"/>
      <c r="I49" s="169"/>
      <c r="J49" s="170"/>
      <c r="K49" s="177"/>
      <c r="L49" s="169"/>
      <c r="M49" s="169"/>
      <c r="N49" s="170"/>
      <c r="O49" s="177"/>
      <c r="P49" s="169"/>
      <c r="Z49" s="4" t="s">
        <v>182</v>
      </c>
      <c r="AA49" t="str">
        <f>IF(SE5_="","TRUE","FALSE")</f>
        <v>FALSE</v>
      </c>
    </row>
    <row r="50" spans="1:27" ht="13.5" thickBot="1">
      <c r="A50" s="174"/>
      <c r="B50" s="170"/>
      <c r="C50" s="172"/>
      <c r="D50" s="173"/>
      <c r="E50" s="102"/>
      <c r="F50" s="127"/>
      <c r="G50" s="128">
        <f>SUM(G46:G49)-SUM(F46:F49)</f>
        <v>0</v>
      </c>
      <c r="H50" s="102"/>
      <c r="I50" s="102"/>
      <c r="J50" s="127"/>
      <c r="K50" s="128">
        <f>SUM(K46:K49)-SUM(J46:J49)</f>
        <v>0</v>
      </c>
      <c r="L50" s="102"/>
      <c r="M50" s="102"/>
      <c r="N50" s="127"/>
      <c r="O50" s="128">
        <f>SUM(O46:O49)-SUM(N46:N49)</f>
        <v>0</v>
      </c>
      <c r="P50" s="102"/>
      <c r="Z50" s="4" t="s">
        <v>183</v>
      </c>
      <c r="AA50" t="str">
        <f>IF(Contra_Equity1="","TRUE","FALSE")</f>
        <v>FALSE</v>
      </c>
    </row>
    <row r="51" spans="1:27" ht="13.5" thickTop="1">
      <c r="A51" s="174"/>
      <c r="B51" s="170"/>
      <c r="C51" s="171"/>
      <c r="D51" s="174"/>
      <c r="E51" s="102"/>
      <c r="F51" s="105"/>
      <c r="G51" s="105"/>
      <c r="H51" s="102"/>
      <c r="I51" s="102"/>
      <c r="J51" s="105"/>
      <c r="K51" s="105"/>
      <c r="L51" s="102"/>
      <c r="M51" s="102"/>
      <c r="N51" s="105"/>
      <c r="O51" s="105"/>
      <c r="P51" s="102"/>
      <c r="Z51" s="5" t="s">
        <v>184</v>
      </c>
      <c r="AA51" t="str">
        <f>IF(Rev_1="","TRUE","FALSE")</f>
        <v>FALSE</v>
      </c>
    </row>
    <row r="52" spans="1:27" ht="13.5" thickBot="1">
      <c r="A52" s="174"/>
      <c r="B52" s="170"/>
      <c r="C52" s="175"/>
      <c r="D52" s="174"/>
      <c r="E52" s="102"/>
      <c r="F52" s="440" t="str">
        <f>IF(CL5_="","",CL5_)</f>
        <v>Current Liability 5</v>
      </c>
      <c r="G52" s="440"/>
      <c r="H52" s="102"/>
      <c r="I52" s="102"/>
      <c r="J52" s="440" t="str">
        <f>IF(CL6_="","",CL6_)</f>
        <v>Current Liability 6</v>
      </c>
      <c r="K52" s="440"/>
      <c r="L52" s="102"/>
      <c r="M52" s="102"/>
      <c r="N52" s="440" t="str">
        <f>IF(CL7_="","",CL7_)</f>
        <v>Current Liability 7</v>
      </c>
      <c r="O52" s="440"/>
      <c r="P52" s="102"/>
      <c r="Z52" s="5" t="s">
        <v>185</v>
      </c>
      <c r="AA52" t="str">
        <f>IF(Rev_2="","TRUE","FALSE")</f>
        <v>FALSE</v>
      </c>
    </row>
    <row r="53" spans="1:27">
      <c r="A53" s="169"/>
      <c r="B53" s="170"/>
      <c r="C53" s="171"/>
      <c r="D53" s="176"/>
      <c r="E53" s="103"/>
      <c r="F53" s="125"/>
      <c r="G53" s="126">
        <f>CL5_BB</f>
        <v>0</v>
      </c>
      <c r="H53" s="104" t="str">
        <f>IF(F52="","","BB")</f>
        <v>BB</v>
      </c>
      <c r="I53" s="103"/>
      <c r="J53" s="125"/>
      <c r="K53" s="126">
        <f>CL6_BB</f>
        <v>0</v>
      </c>
      <c r="L53" s="104" t="str">
        <f>IF(J52="","","BB")</f>
        <v>BB</v>
      </c>
      <c r="M53" s="103"/>
      <c r="N53" s="125"/>
      <c r="O53" s="126">
        <f>CL7_BB</f>
        <v>0</v>
      </c>
      <c r="P53" s="104" t="str">
        <f>IF(N52="","","BB")</f>
        <v>BB</v>
      </c>
      <c r="Z53" s="244" t="s">
        <v>186</v>
      </c>
      <c r="AA53" t="str">
        <f>IF(Gain_1="","TRUE","FALSE")</f>
        <v>FALSE</v>
      </c>
    </row>
    <row r="54" spans="1:27">
      <c r="A54" s="169"/>
      <c r="B54" s="170"/>
      <c r="C54" s="171"/>
      <c r="D54" s="169"/>
      <c r="E54" s="169"/>
      <c r="F54" s="170"/>
      <c r="G54" s="171"/>
      <c r="H54" s="169"/>
      <c r="I54" s="169"/>
      <c r="J54" s="170"/>
      <c r="K54" s="171"/>
      <c r="L54" s="169"/>
      <c r="M54" s="169"/>
      <c r="N54" s="170"/>
      <c r="O54" s="171"/>
      <c r="P54" s="169"/>
      <c r="Z54" s="244" t="s">
        <v>187</v>
      </c>
      <c r="AA54" t="str">
        <f>IF(Gain_2="","TRUE","FALSE")</f>
        <v>FALSE</v>
      </c>
    </row>
    <row r="55" spans="1:27" hidden="1">
      <c r="A55" s="169"/>
      <c r="B55" s="170"/>
      <c r="C55" s="171"/>
      <c r="D55" s="169"/>
      <c r="E55" s="169"/>
      <c r="F55" s="170"/>
      <c r="G55" s="171"/>
      <c r="H55" s="169"/>
      <c r="I55" s="169"/>
      <c r="J55" s="170"/>
      <c r="K55" s="171"/>
      <c r="L55" s="169"/>
      <c r="M55" s="169"/>
      <c r="N55" s="170"/>
      <c r="O55" s="171"/>
      <c r="P55" s="169"/>
      <c r="Z55" s="244" t="s">
        <v>188</v>
      </c>
      <c r="AA55" t="str">
        <f>IF(Exp_1="","TRUE","FALSE")</f>
        <v>FALSE</v>
      </c>
    </row>
    <row r="56" spans="1:27">
      <c r="A56" s="169"/>
      <c r="B56" s="170"/>
      <c r="C56" s="171"/>
      <c r="D56" s="169"/>
      <c r="E56" s="169"/>
      <c r="F56" s="170"/>
      <c r="G56" s="177"/>
      <c r="H56" s="169"/>
      <c r="I56" s="169"/>
      <c r="J56" s="170"/>
      <c r="K56" s="177"/>
      <c r="L56" s="169"/>
      <c r="M56" s="169"/>
      <c r="N56" s="170"/>
      <c r="O56" s="177"/>
      <c r="P56" s="169"/>
      <c r="Z56" s="244" t="s">
        <v>189</v>
      </c>
      <c r="AA56" t="str">
        <f>IF(Exp_2="","TRUE","FALSE")</f>
        <v>FALSE</v>
      </c>
    </row>
    <row r="57" spans="1:27" ht="13.5" thickBot="1">
      <c r="A57" s="102"/>
      <c r="B57" s="127"/>
      <c r="C57" s="128">
        <f>SUM(C46:C56)-SUM(B46:B56)</f>
        <v>0</v>
      </c>
      <c r="D57" s="102"/>
      <c r="E57" s="102"/>
      <c r="F57" s="127"/>
      <c r="G57" s="128">
        <f>SUM(G53:G56)-SUM(F53:F56)</f>
        <v>0</v>
      </c>
      <c r="H57" s="102"/>
      <c r="I57" s="102"/>
      <c r="J57" s="127"/>
      <c r="K57" s="128">
        <f>SUM(K53:K56)-SUM(J53:J56)</f>
        <v>0</v>
      </c>
      <c r="L57" s="102"/>
      <c r="M57" s="102"/>
      <c r="N57" s="127"/>
      <c r="O57" s="128">
        <f>SUM(O53:O56)-SUM(N53:N56)</f>
        <v>0</v>
      </c>
      <c r="P57" s="102"/>
      <c r="Z57" s="244" t="s">
        <v>190</v>
      </c>
      <c r="AA57" t="str">
        <f>IF(Exp_3="","TRUE","FALSE")</f>
        <v>FALSE</v>
      </c>
    </row>
    <row r="58" spans="1:27" ht="13.5" thickTop="1">
      <c r="A58" s="102"/>
      <c r="B58" s="106"/>
      <c r="C58" s="106"/>
      <c r="D58" s="102"/>
      <c r="E58" s="102"/>
      <c r="F58" s="105"/>
      <c r="G58" s="105"/>
      <c r="H58" s="102"/>
      <c r="I58" s="102"/>
      <c r="J58" s="105"/>
      <c r="K58" s="105"/>
      <c r="L58" s="102"/>
      <c r="M58" s="102"/>
      <c r="N58" s="105"/>
      <c r="O58" s="105"/>
      <c r="P58" s="102"/>
      <c r="Z58" s="244" t="s">
        <v>191</v>
      </c>
      <c r="AA58" t="str">
        <f>IF(Exp_4="","TRUE","FALSE")</f>
        <v>FALSE</v>
      </c>
    </row>
    <row r="59" spans="1:27">
      <c r="A59" s="445" t="s">
        <v>192</v>
      </c>
      <c r="B59" s="445"/>
      <c r="C59" s="445"/>
      <c r="D59" s="445"/>
      <c r="E59" s="445"/>
      <c r="F59" s="445"/>
      <c r="G59" s="445"/>
      <c r="H59" s="445"/>
      <c r="I59" s="445"/>
      <c r="J59" s="445"/>
      <c r="K59" s="445"/>
      <c r="L59" s="445"/>
      <c r="M59" s="445"/>
      <c r="N59" s="445"/>
      <c r="O59" s="445"/>
      <c r="P59" s="445"/>
      <c r="Z59" s="244" t="s">
        <v>193</v>
      </c>
      <c r="AA59" t="str">
        <f>IF(Exp_5="","TRUE","FALSE")</f>
        <v>FALSE</v>
      </c>
    </row>
    <row r="60" spans="1:27" ht="13.5" thickBot="1">
      <c r="A60" s="102"/>
      <c r="B60" s="440" t="str">
        <f>IF(NCL1_="","",NCL1_)</f>
        <v>Noncurrent Liability 1</v>
      </c>
      <c r="C60" s="440"/>
      <c r="D60" s="107"/>
      <c r="E60" s="102"/>
      <c r="F60" s="440" t="str">
        <f>IF(NCL2_="","",NCL2_)</f>
        <v>Noncurrent Liability 2</v>
      </c>
      <c r="G60" s="440"/>
      <c r="H60" s="102"/>
      <c r="I60" s="102"/>
      <c r="J60" s="440" t="str">
        <f>IF(NCL3_="","",NCL3_)</f>
        <v>Noncurrent Liability 3</v>
      </c>
      <c r="K60" s="440"/>
      <c r="L60" s="102"/>
      <c r="M60" s="102"/>
      <c r="N60" s="440" t="str">
        <f>IF(NCL4_="","",NCL4_)</f>
        <v>Noncurrent Liability 4</v>
      </c>
      <c r="O60" s="440"/>
      <c r="P60" s="102"/>
      <c r="Z60" s="244" t="s">
        <v>194</v>
      </c>
      <c r="AA60" t="str">
        <f>IF(Exp_6="","TRUE","FALSE")</f>
        <v>FALSE</v>
      </c>
    </row>
    <row r="61" spans="1:27">
      <c r="A61" s="102"/>
      <c r="B61" s="125"/>
      <c r="C61" s="126">
        <f>NCL1_BB</f>
        <v>0</v>
      </c>
      <c r="D61" s="104" t="str">
        <f>IF(B60="","","BB")</f>
        <v>BB</v>
      </c>
      <c r="E61" s="102"/>
      <c r="F61" s="125"/>
      <c r="G61" s="126">
        <f>NCL2_BB</f>
        <v>0</v>
      </c>
      <c r="H61" s="104" t="str">
        <f>IF(F60="","","BB")</f>
        <v>BB</v>
      </c>
      <c r="I61" s="102"/>
      <c r="J61" s="125"/>
      <c r="K61" s="126">
        <f>NCL3_BB</f>
        <v>0</v>
      </c>
      <c r="L61" s="104" t="str">
        <f>IF(J60="","","BB")</f>
        <v>BB</v>
      </c>
      <c r="M61" s="102"/>
      <c r="N61" s="125"/>
      <c r="O61" s="126">
        <f>NCL4_BB</f>
        <v>0</v>
      </c>
      <c r="P61" s="104" t="str">
        <f>IF(N60="","","BB")</f>
        <v>BB</v>
      </c>
      <c r="Z61" s="244" t="s">
        <v>195</v>
      </c>
      <c r="AA61" t="str">
        <f>IF(Exp_7="","TRUE","FALSE")</f>
        <v>FALSE</v>
      </c>
    </row>
    <row r="62" spans="1:27">
      <c r="A62" s="174"/>
      <c r="B62" s="170"/>
      <c r="C62" s="171"/>
      <c r="D62" s="169"/>
      <c r="E62" s="174"/>
      <c r="F62" s="170"/>
      <c r="G62" s="171"/>
      <c r="H62" s="169"/>
      <c r="I62" s="174"/>
      <c r="J62" s="170"/>
      <c r="K62" s="171"/>
      <c r="L62" s="169"/>
      <c r="M62" s="174"/>
      <c r="N62" s="170"/>
      <c r="O62" s="171"/>
      <c r="P62" s="169"/>
      <c r="Z62" s="244" t="s">
        <v>196</v>
      </c>
      <c r="AA62" t="str">
        <f>IF(Exp_8="","TRUE","FALSE")</f>
        <v>FALSE</v>
      </c>
    </row>
    <row r="63" spans="1:27">
      <c r="A63" s="169"/>
      <c r="B63" s="170"/>
      <c r="C63" s="177"/>
      <c r="D63" s="169"/>
      <c r="E63" s="169"/>
      <c r="F63" s="170"/>
      <c r="G63" s="177"/>
      <c r="H63" s="169"/>
      <c r="I63" s="169"/>
      <c r="J63" s="170"/>
      <c r="K63" s="177"/>
      <c r="L63" s="169"/>
      <c r="M63" s="174"/>
      <c r="N63" s="170"/>
      <c r="O63" s="177"/>
      <c r="P63" s="169"/>
      <c r="Z63" s="244" t="s">
        <v>197</v>
      </c>
      <c r="AA63" t="str">
        <f>IF(Loss_1="","TRUE","FALSE")</f>
        <v>FALSE</v>
      </c>
    </row>
    <row r="64" spans="1:27" ht="13.5" thickBot="1">
      <c r="A64" s="102"/>
      <c r="B64" s="127"/>
      <c r="C64" s="128">
        <f>SUM(C61:C63)-SUM(B61:B63)</f>
        <v>0</v>
      </c>
      <c r="D64" s="107"/>
      <c r="E64" s="102"/>
      <c r="F64" s="127"/>
      <c r="G64" s="128">
        <f>SUM(G61:G63)-SUM(F61:F63)</f>
        <v>0</v>
      </c>
      <c r="H64" s="102"/>
      <c r="I64" s="102"/>
      <c r="J64" s="127"/>
      <c r="K64" s="128">
        <f>SUM(K61:K63)-SUM(J61:J63)</f>
        <v>0</v>
      </c>
      <c r="L64" s="103"/>
      <c r="M64" s="102"/>
      <c r="N64" s="127"/>
      <c r="O64" s="128">
        <f>SUM(O61:O63)-SUM(N61:N63)</f>
        <v>0</v>
      </c>
      <c r="P64" s="102"/>
      <c r="Z64" s="244" t="s">
        <v>198</v>
      </c>
      <c r="AA64" t="str">
        <f>IF(Loss_2="","TRUE","FALSE")</f>
        <v>FALSE</v>
      </c>
    </row>
    <row r="65" spans="1:17" ht="13.5" thickTop="1">
      <c r="A65" s="102"/>
      <c r="B65" s="105"/>
      <c r="C65" s="105"/>
      <c r="D65" s="102"/>
      <c r="E65" s="102"/>
      <c r="F65" s="105"/>
      <c r="G65" s="105"/>
      <c r="H65" s="102"/>
      <c r="I65" s="102"/>
      <c r="J65" s="105"/>
      <c r="K65" s="105"/>
      <c r="L65" s="102"/>
      <c r="M65" s="102"/>
      <c r="N65" s="105"/>
      <c r="O65" s="105"/>
      <c r="P65" s="102"/>
    </row>
    <row r="66" spans="1:17" ht="13.5" hidden="1" thickBot="1">
      <c r="A66" s="102"/>
      <c r="B66" s="440" t="str">
        <f>IF(NCL5_="","",NCL5_)</f>
        <v>Noncurrent Liability 5</v>
      </c>
      <c r="C66" s="440"/>
      <c r="D66" s="107"/>
      <c r="E66" s="102"/>
      <c r="F66" s="440" t="str">
        <f>IF(NCL6_="","",NCL6_)</f>
        <v>Noncurrent Liability 6</v>
      </c>
      <c r="G66" s="440"/>
      <c r="H66" s="102"/>
      <c r="I66" s="102"/>
      <c r="J66" s="440" t="str">
        <f>IF(NCL7_="","",NCL7_)</f>
        <v>Noncurrent Liability 7</v>
      </c>
      <c r="K66" s="440"/>
      <c r="L66" s="102"/>
      <c r="M66" s="102"/>
      <c r="N66" s="102"/>
      <c r="O66" s="102"/>
      <c r="P66" s="102"/>
    </row>
    <row r="67" spans="1:17" hidden="1">
      <c r="A67" s="102"/>
      <c r="B67" s="125"/>
      <c r="C67" s="126"/>
      <c r="D67" s="104" t="str">
        <f>IF(B66="","","BB")</f>
        <v>BB</v>
      </c>
      <c r="E67" s="102"/>
      <c r="F67" s="125"/>
      <c r="G67" s="126">
        <f>NCL6_BB</f>
        <v>0</v>
      </c>
      <c r="H67" s="104" t="str">
        <f>IF(F66="","","BB")</f>
        <v>BB</v>
      </c>
      <c r="I67" s="102"/>
      <c r="J67" s="125"/>
      <c r="K67" s="126">
        <f>NCL7_BB</f>
        <v>0</v>
      </c>
      <c r="L67" s="104" t="str">
        <f>IF(J66="","","BB")</f>
        <v>BB</v>
      </c>
      <c r="M67" s="102"/>
      <c r="N67" s="102"/>
      <c r="O67" s="102"/>
      <c r="P67" s="102"/>
      <c r="Q67" s="4"/>
    </row>
    <row r="68" spans="1:17" hidden="1">
      <c r="A68" s="174"/>
      <c r="B68" s="170"/>
      <c r="C68" s="171"/>
      <c r="D68" s="169"/>
      <c r="E68" s="174"/>
      <c r="F68" s="170"/>
      <c r="G68" s="171"/>
      <c r="H68" s="169"/>
      <c r="I68" s="174"/>
      <c r="J68" s="170"/>
      <c r="K68" s="171"/>
      <c r="L68" s="169"/>
      <c r="M68" s="102"/>
      <c r="N68" s="102"/>
      <c r="O68" s="102"/>
      <c r="P68" s="102"/>
      <c r="Q68" s="4"/>
    </row>
    <row r="69" spans="1:17" hidden="1">
      <c r="A69" s="169"/>
      <c r="B69" s="170"/>
      <c r="C69" s="177"/>
      <c r="D69" s="169"/>
      <c r="E69" s="169"/>
      <c r="F69" s="170"/>
      <c r="G69" s="177"/>
      <c r="H69" s="169"/>
      <c r="I69" s="174"/>
      <c r="J69" s="170"/>
      <c r="K69" s="177"/>
      <c r="L69" s="169"/>
      <c r="M69" s="102"/>
      <c r="N69" s="102"/>
      <c r="O69" s="102"/>
      <c r="P69" s="102"/>
      <c r="Q69" s="4"/>
    </row>
    <row r="70" spans="1:17" ht="13.5" hidden="1" thickBot="1">
      <c r="A70" s="102"/>
      <c r="B70" s="127"/>
      <c r="C70" s="128">
        <f>SUM(C67:C69)-SUM(B67:B69)</f>
        <v>0</v>
      </c>
      <c r="D70" s="107"/>
      <c r="E70" s="102"/>
      <c r="F70" s="127"/>
      <c r="G70" s="128">
        <f>SUM(G67:G69)-SUM(F67:F69)</f>
        <v>0</v>
      </c>
      <c r="H70" s="102"/>
      <c r="I70" s="102"/>
      <c r="J70" s="127"/>
      <c r="K70" s="128">
        <f>SUM(K67:K69)-SUM(J67:J69)</f>
        <v>0</v>
      </c>
      <c r="L70" s="102"/>
      <c r="M70" s="102"/>
      <c r="N70" s="102"/>
      <c r="O70" s="102"/>
      <c r="P70" s="102"/>
      <c r="Q70" s="4"/>
    </row>
    <row r="71" spans="1:17" ht="13.5" hidden="1" thickTop="1">
      <c r="A71" s="102"/>
      <c r="B71" s="105"/>
      <c r="C71" s="105"/>
      <c r="D71" s="102"/>
      <c r="E71" s="102"/>
      <c r="F71" s="105"/>
      <c r="G71" s="105"/>
      <c r="H71" s="102"/>
      <c r="I71" s="102"/>
      <c r="J71" s="105"/>
      <c r="K71" s="105"/>
      <c r="L71" s="102"/>
      <c r="M71" s="102"/>
      <c r="N71" s="102"/>
      <c r="O71" s="102"/>
      <c r="P71" s="102"/>
      <c r="Q71" s="4"/>
    </row>
    <row r="72" spans="1:17">
      <c r="A72" s="441" t="s">
        <v>199</v>
      </c>
      <c r="B72" s="441"/>
      <c r="C72" s="441"/>
      <c r="D72" s="441"/>
      <c r="E72" s="441"/>
      <c r="F72" s="441"/>
      <c r="G72" s="441"/>
      <c r="H72" s="441"/>
      <c r="I72" s="441"/>
      <c r="J72" s="441"/>
      <c r="K72" s="441"/>
      <c r="L72" s="441"/>
      <c r="M72" s="441"/>
      <c r="N72" s="441"/>
      <c r="O72" s="441"/>
      <c r="P72" s="441"/>
      <c r="Q72" s="5"/>
    </row>
    <row r="73" spans="1:17">
      <c r="A73" s="108"/>
      <c r="B73" s="108"/>
      <c r="C73" s="108"/>
      <c r="D73" s="108"/>
      <c r="E73" s="108"/>
      <c r="F73" s="108"/>
      <c r="G73" s="108"/>
      <c r="H73" s="108"/>
      <c r="I73" s="108"/>
      <c r="J73" s="108"/>
      <c r="K73" s="108"/>
      <c r="L73" s="108"/>
      <c r="M73" s="108"/>
      <c r="N73" s="108"/>
      <c r="O73" s="108"/>
      <c r="P73" s="109"/>
      <c r="Q73" s="31"/>
    </row>
    <row r="74" spans="1:17" ht="13.5" thickBot="1">
      <c r="A74" s="110"/>
      <c r="B74" s="438" t="str">
        <f>IF(SE1_="","",SE1_)</f>
        <v>Contributed Equity 1</v>
      </c>
      <c r="C74" s="438"/>
      <c r="D74" s="111"/>
      <c r="E74" s="110"/>
      <c r="F74" s="438" t="str">
        <f>IF(SE2_="","",SE2_)</f>
        <v>Contributed Equity 2</v>
      </c>
      <c r="G74" s="438"/>
      <c r="H74" s="110"/>
      <c r="I74" s="110"/>
      <c r="J74" s="438" t="str">
        <f>IF(SE3_="","",SE3_)</f>
        <v>Contributed Equity 3</v>
      </c>
      <c r="K74" s="438"/>
      <c r="L74" s="111"/>
      <c r="M74" s="110"/>
      <c r="N74" s="438" t="str">
        <f>IF(SE4_="","",SE4_)</f>
        <v>Retained Earnings</v>
      </c>
      <c r="O74" s="438"/>
      <c r="P74" s="110"/>
      <c r="Q74" s="4"/>
    </row>
    <row r="75" spans="1:17">
      <c r="A75" s="112"/>
      <c r="B75" s="129"/>
      <c r="C75" s="130">
        <f>SE1_BB</f>
        <v>0</v>
      </c>
      <c r="D75" s="113" t="str">
        <f>IF(B74="","","BB")</f>
        <v>BB</v>
      </c>
      <c r="E75" s="110"/>
      <c r="F75" s="129"/>
      <c r="G75" s="130">
        <f>SE2_BB</f>
        <v>0</v>
      </c>
      <c r="H75" s="113" t="str">
        <f>IF(F74="","","BB")</f>
        <v>BB</v>
      </c>
      <c r="I75" s="112"/>
      <c r="J75" s="129"/>
      <c r="K75" s="130">
        <f>SE5_BB</f>
        <v>0</v>
      </c>
      <c r="L75" s="113" t="str">
        <f>IF(J74="","","BB")</f>
        <v>BB</v>
      </c>
      <c r="M75" s="113"/>
      <c r="N75" s="129" t="str">
        <f>IF(SE4_BB_Dr=0,"",SE4_BB_Dr)</f>
        <v/>
      </c>
      <c r="O75" s="130" t="str">
        <f>IF(SE4_BB_Cr&gt;0,SE4_BB_Cr,"")</f>
        <v/>
      </c>
      <c r="P75" s="113" t="str">
        <f>IF(OR(N74="",SE4_BB_Cr=0),"","BB")</f>
        <v/>
      </c>
      <c r="Q75" s="4"/>
    </row>
    <row r="76" spans="1:17">
      <c r="A76" s="178"/>
      <c r="B76" s="179"/>
      <c r="C76" s="180"/>
      <c r="D76" s="178"/>
      <c r="E76" s="181"/>
      <c r="F76" s="179"/>
      <c r="G76" s="180"/>
      <c r="H76" s="178"/>
      <c r="I76" s="178"/>
      <c r="J76" s="179"/>
      <c r="K76" s="180"/>
      <c r="L76" s="178"/>
      <c r="M76" s="178"/>
      <c r="N76" s="179"/>
      <c r="O76" s="180"/>
      <c r="P76" s="178"/>
      <c r="Q76" s="4"/>
    </row>
    <row r="77" spans="1:17">
      <c r="A77" s="178"/>
      <c r="B77" s="179"/>
      <c r="C77" s="182"/>
      <c r="D77" s="178"/>
      <c r="E77" s="181"/>
      <c r="F77" s="179"/>
      <c r="G77" s="182"/>
      <c r="H77" s="178"/>
      <c r="I77" s="178"/>
      <c r="J77" s="179"/>
      <c r="K77" s="182"/>
      <c r="L77" s="178"/>
      <c r="M77" s="183"/>
      <c r="N77" s="179"/>
      <c r="O77" s="182"/>
      <c r="P77" s="183"/>
      <c r="Q77" s="4"/>
    </row>
    <row r="78" spans="1:17">
      <c r="A78" s="178"/>
      <c r="B78" s="179"/>
      <c r="C78" s="184"/>
      <c r="D78" s="178"/>
      <c r="E78" s="181"/>
      <c r="F78" s="179"/>
      <c r="G78" s="184"/>
      <c r="H78" s="178"/>
      <c r="I78" s="178"/>
      <c r="J78" s="179"/>
      <c r="K78" s="184"/>
      <c r="L78" s="178"/>
      <c r="M78" s="183"/>
      <c r="N78" s="179"/>
      <c r="O78" s="184"/>
      <c r="P78" s="183"/>
      <c r="Q78" s="4"/>
    </row>
    <row r="79" spans="1:17">
      <c r="A79" s="183"/>
      <c r="B79" s="179"/>
      <c r="C79" s="184"/>
      <c r="D79" s="178"/>
      <c r="E79" s="181"/>
      <c r="F79" s="179"/>
      <c r="G79" s="184"/>
      <c r="H79" s="178"/>
      <c r="I79" s="183"/>
      <c r="J79" s="179"/>
      <c r="K79" s="184"/>
      <c r="L79" s="178"/>
      <c r="M79" s="178"/>
      <c r="N79" s="179"/>
      <c r="O79" s="184"/>
      <c r="P79" s="178"/>
      <c r="Q79" s="4"/>
    </row>
    <row r="80" spans="1:17" ht="13.5" thickBot="1">
      <c r="A80" s="397"/>
      <c r="B80" s="131"/>
      <c r="C80" s="116">
        <f>SUM(C75:C79)-SUM(B75:B79)</f>
        <v>0</v>
      </c>
      <c r="D80" s="397"/>
      <c r="E80" s="397"/>
      <c r="F80" s="131"/>
      <c r="G80" s="116">
        <f>SUM(G75:G79)-SUM(F75:F79)</f>
        <v>0</v>
      </c>
      <c r="H80" s="110"/>
      <c r="I80" s="397"/>
      <c r="J80" s="131"/>
      <c r="K80" s="116">
        <f>SUM(K75:K79)-SUM(J75:J79)</f>
        <v>0</v>
      </c>
      <c r="L80" s="397"/>
      <c r="M80" s="110"/>
      <c r="N80" s="115">
        <f>IF(-SUM(O75:O79)+SUM(N75:N79)&gt;0,-SUM(O75:O79)+SUM(N75:N79),0)</f>
        <v>0</v>
      </c>
      <c r="O80" s="116">
        <f>IF(SUM(O75:O79)-SUM(N75:N79)&gt;0,SUM(O75:O79)-SUM(N75:N79),0)</f>
        <v>0</v>
      </c>
      <c r="P80" s="110"/>
      <c r="Q80" s="4"/>
    </row>
    <row r="81" spans="1:17" s="3" customFormat="1" ht="13.5" thickTop="1">
      <c r="A81" s="397"/>
      <c r="B81" s="114"/>
      <c r="C81" s="114"/>
      <c r="D81" s="397"/>
      <c r="E81" s="397"/>
      <c r="F81" s="114"/>
      <c r="G81" s="114"/>
      <c r="H81" s="110"/>
      <c r="I81" s="110"/>
      <c r="J81" s="114"/>
      <c r="K81" s="114"/>
      <c r="L81" s="110"/>
      <c r="M81" s="110"/>
      <c r="N81" s="114"/>
      <c r="O81" s="114"/>
      <c r="P81" s="110"/>
      <c r="Q81" s="4"/>
    </row>
    <row r="82" spans="1:17" s="3" customFormat="1" ht="13.5" hidden="1" thickBot="1">
      <c r="A82" s="110"/>
      <c r="B82" s="438" t="str">
        <f>IF(SE5_="","",SE5_)</f>
        <v>Accumulated Other Comp. Inc.</v>
      </c>
      <c r="C82" s="438"/>
      <c r="D82" s="111"/>
      <c r="E82" s="109"/>
      <c r="F82" s="109"/>
      <c r="G82" s="109"/>
      <c r="H82" s="109"/>
      <c r="I82" s="109"/>
      <c r="J82" s="109"/>
      <c r="K82" s="109"/>
      <c r="L82" s="109"/>
      <c r="M82" s="145"/>
      <c r="N82" s="446" t="s">
        <v>200</v>
      </c>
      <c r="O82" s="447"/>
      <c r="P82" s="398"/>
      <c r="Q82" s="4"/>
    </row>
    <row r="83" spans="1:17" ht="13.5" hidden="1" thickBot="1">
      <c r="A83" s="113" t="str">
        <f>IF(OR(B82="",SE5_BB_Dr=0),"","BB")</f>
        <v/>
      </c>
      <c r="B83" s="129" t="str">
        <f>IF(SE5_BB_Dr&gt;0,SE5_BB_Dr,"")</f>
        <v/>
      </c>
      <c r="C83" s="130" t="str">
        <f>IF(SE5_BB_Cr&gt;0,SE5_BB_Cr,"")</f>
        <v/>
      </c>
      <c r="D83" s="113" t="str">
        <f>IF(OR(B82="",SE5_BB_Cr=0),"","BB")</f>
        <v/>
      </c>
      <c r="E83" s="109"/>
      <c r="F83" s="109"/>
      <c r="G83" s="109"/>
      <c r="H83" s="109"/>
      <c r="I83" s="109"/>
      <c r="J83" s="109"/>
      <c r="K83" s="109"/>
      <c r="L83" s="109"/>
      <c r="M83" s="86"/>
      <c r="N83" s="437" t="str">
        <f>IF(Contra_Equity1="","",Contra_Equity1)</f>
        <v>Contra Equity 1</v>
      </c>
      <c r="O83" s="437"/>
      <c r="P83" s="86"/>
      <c r="Q83" s="4"/>
    </row>
    <row r="84" spans="1:17" hidden="1">
      <c r="A84" s="178"/>
      <c r="B84" s="179"/>
      <c r="C84" s="180"/>
      <c r="D84" s="178"/>
      <c r="E84" s="183"/>
      <c r="F84" s="183"/>
      <c r="G84" s="183"/>
      <c r="H84" s="183"/>
      <c r="I84" s="183"/>
      <c r="J84" s="183"/>
      <c r="K84" s="183"/>
      <c r="L84" s="183"/>
      <c r="M84" s="86" t="str">
        <f>IF(N83="","","BB")</f>
        <v>BB</v>
      </c>
      <c r="N84" s="98">
        <f>Contra_Equity_BB</f>
        <v>0</v>
      </c>
      <c r="O84" s="99"/>
      <c r="P84" s="84"/>
      <c r="Q84" s="4"/>
    </row>
    <row r="85" spans="1:17" hidden="1">
      <c r="A85" s="183"/>
      <c r="B85" s="179"/>
      <c r="C85" s="182"/>
      <c r="D85" s="178"/>
      <c r="E85" s="183"/>
      <c r="F85" s="183"/>
      <c r="G85" s="183"/>
      <c r="H85" s="183"/>
      <c r="I85" s="183"/>
      <c r="J85" s="183"/>
      <c r="K85" s="183"/>
      <c r="L85" s="183"/>
      <c r="M85" s="185"/>
      <c r="N85" s="166"/>
      <c r="O85" s="167"/>
      <c r="P85" s="165"/>
      <c r="Q85" s="4"/>
    </row>
    <row r="86" spans="1:17" hidden="1">
      <c r="A86" s="183"/>
      <c r="B86" s="179"/>
      <c r="C86" s="184"/>
      <c r="D86" s="187"/>
      <c r="E86" s="183"/>
      <c r="F86" s="183"/>
      <c r="G86" s="183"/>
      <c r="H86" s="183"/>
      <c r="I86" s="183"/>
      <c r="J86" s="183"/>
      <c r="K86" s="183"/>
      <c r="L86" s="183"/>
      <c r="M86" s="185"/>
      <c r="N86" s="166"/>
      <c r="O86" s="168"/>
      <c r="P86" s="186"/>
      <c r="Q86" s="4"/>
    </row>
    <row r="87" spans="1:17" hidden="1">
      <c r="A87" s="178"/>
      <c r="B87" s="179"/>
      <c r="C87" s="184"/>
      <c r="D87" s="187"/>
      <c r="E87" s="183"/>
      <c r="F87" s="183"/>
      <c r="G87" s="183"/>
      <c r="H87" s="183"/>
      <c r="I87" s="183"/>
      <c r="J87" s="183"/>
      <c r="K87" s="183"/>
      <c r="L87" s="183"/>
      <c r="M87" s="185"/>
      <c r="N87" s="166"/>
      <c r="O87" s="168"/>
      <c r="P87" s="165"/>
      <c r="Q87" s="4"/>
    </row>
    <row r="88" spans="1:17" ht="13.5" hidden="1" thickBot="1">
      <c r="A88" s="110"/>
      <c r="B88" s="115">
        <f>IF(-SUM(C83:C87)+SUM(B83:B87)&gt;0,-SUM(C83:C87)+SUM(B83:B87),0)</f>
        <v>0</v>
      </c>
      <c r="C88" s="116">
        <f>IF(SUM(C83:C87)-SUM(B83:B87)&gt;0,SUM(C83:C87)-SUM(B83:B87),0)</f>
        <v>0</v>
      </c>
      <c r="D88" s="113" t="str">
        <f>IF(C88&gt;0,"EB","")</f>
        <v/>
      </c>
      <c r="E88" s="397"/>
      <c r="F88" s="397"/>
      <c r="G88" s="397"/>
      <c r="H88" s="397"/>
      <c r="I88" s="397"/>
      <c r="J88" s="397"/>
      <c r="K88" s="397"/>
      <c r="L88" s="397"/>
      <c r="M88" s="86"/>
      <c r="N88" s="123">
        <f>-SUM(O84:O87)+SUM(N84:N87)</f>
        <v>0</v>
      </c>
      <c r="O88" s="124"/>
      <c r="P88" s="86"/>
      <c r="Q88" s="4"/>
    </row>
    <row r="89" spans="1:17" s="3" customFormat="1" ht="13.5" hidden="1" thickTop="1">
      <c r="A89" s="397"/>
      <c r="B89" s="397"/>
      <c r="C89" s="397"/>
      <c r="D89" s="397"/>
      <c r="E89" s="397"/>
      <c r="F89" s="397"/>
      <c r="G89" s="397"/>
      <c r="H89" s="397"/>
      <c r="I89" s="397"/>
      <c r="J89" s="397"/>
      <c r="K89" s="397"/>
      <c r="L89" s="397"/>
      <c r="M89" s="399"/>
      <c r="N89" s="399"/>
      <c r="O89" s="399"/>
      <c r="P89" s="399"/>
      <c r="Q89" s="4"/>
    </row>
    <row r="90" spans="1:17" s="3" customFormat="1">
      <c r="A90" s="436" t="s">
        <v>201</v>
      </c>
      <c r="B90" s="436"/>
      <c r="C90" s="436"/>
      <c r="D90" s="436"/>
      <c r="E90" s="436"/>
      <c r="F90" s="436"/>
      <c r="G90" s="436"/>
      <c r="H90" s="436"/>
      <c r="I90" s="436"/>
      <c r="J90" s="436"/>
      <c r="K90" s="436"/>
      <c r="L90" s="436"/>
      <c r="M90" s="436"/>
      <c r="N90" s="436"/>
      <c r="O90" s="436"/>
      <c r="P90" s="436"/>
      <c r="Q90" s="4"/>
    </row>
    <row r="91" spans="1:17">
      <c r="A91" s="432" t="s">
        <v>202</v>
      </c>
      <c r="B91" s="432"/>
      <c r="C91" s="432"/>
      <c r="D91" s="432"/>
      <c r="E91" s="432"/>
      <c r="F91" s="432"/>
      <c r="G91" s="432"/>
      <c r="H91" s="432"/>
      <c r="I91" s="432"/>
      <c r="J91" s="432"/>
      <c r="K91" s="432"/>
      <c r="L91" s="432"/>
      <c r="M91" s="432"/>
      <c r="N91" s="432"/>
      <c r="O91" s="432"/>
      <c r="P91" s="432"/>
      <c r="Q91" s="31"/>
    </row>
    <row r="92" spans="1:17" ht="13.5" thickBot="1">
      <c r="A92" s="122"/>
      <c r="B92" s="435" t="str">
        <f>IF(Rev_1="","",Rev_1)</f>
        <v>Revenue 1</v>
      </c>
      <c r="C92" s="435"/>
      <c r="D92" s="122"/>
      <c r="E92" s="122"/>
      <c r="F92" s="435" t="str">
        <f>IF(Rev_2="","",Rev_2)</f>
        <v>Revenue 2</v>
      </c>
      <c r="G92" s="435"/>
      <c r="H92" s="122"/>
      <c r="I92" s="122"/>
      <c r="J92" s="435" t="str">
        <f>IF(Gain_1="","",Gain_1)</f>
        <v>Gain 1</v>
      </c>
      <c r="K92" s="435"/>
      <c r="L92" s="122"/>
      <c r="M92" s="122"/>
      <c r="N92" s="435" t="str">
        <f>IF(Gain_2="","",Gain_2)</f>
        <v>Gain 2</v>
      </c>
      <c r="O92" s="435"/>
      <c r="P92" s="122"/>
      <c r="Q92" s="31"/>
    </row>
    <row r="93" spans="1:17">
      <c r="A93" s="188"/>
      <c r="B93" s="189"/>
      <c r="C93" s="190"/>
      <c r="D93" s="188"/>
      <c r="E93" s="188"/>
      <c r="F93" s="189"/>
      <c r="G93" s="190"/>
      <c r="H93" s="188"/>
      <c r="I93" s="188"/>
      <c r="J93" s="189"/>
      <c r="K93" s="190"/>
      <c r="L93" s="188"/>
      <c r="M93" s="188"/>
      <c r="N93" s="189"/>
      <c r="O93" s="190"/>
      <c r="P93" s="188"/>
      <c r="Q93" s="5"/>
    </row>
    <row r="94" spans="1:17">
      <c r="A94" s="188" t="s">
        <v>135</v>
      </c>
      <c r="B94" s="191"/>
      <c r="C94" s="192"/>
      <c r="D94" s="188"/>
      <c r="E94" s="188"/>
      <c r="F94" s="191"/>
      <c r="G94" s="192"/>
      <c r="H94" s="188"/>
      <c r="I94" s="188"/>
      <c r="J94" s="191"/>
      <c r="K94" s="192"/>
      <c r="L94" s="188"/>
      <c r="M94" s="188"/>
      <c r="N94" s="191"/>
      <c r="O94" s="192"/>
      <c r="P94" s="188"/>
      <c r="Q94" s="1"/>
    </row>
    <row r="95" spans="1:17">
      <c r="A95" s="188"/>
      <c r="B95" s="191"/>
      <c r="C95" s="192"/>
      <c r="D95" s="188"/>
      <c r="E95" s="188"/>
      <c r="F95" s="191"/>
      <c r="G95" s="192"/>
      <c r="H95" s="188"/>
      <c r="I95" s="188"/>
      <c r="J95" s="191"/>
      <c r="K95" s="192"/>
      <c r="L95" s="188"/>
      <c r="M95" s="188"/>
      <c r="N95" s="191"/>
      <c r="O95" s="192"/>
      <c r="P95" s="188"/>
      <c r="Q95" s="1"/>
    </row>
    <row r="96" spans="1:17">
      <c r="A96" s="188"/>
      <c r="B96" s="193"/>
      <c r="C96" s="194"/>
      <c r="D96" s="188"/>
      <c r="E96" s="188"/>
      <c r="F96" s="193"/>
      <c r="G96" s="194"/>
      <c r="H96" s="188"/>
      <c r="I96" s="188"/>
      <c r="J96" s="193"/>
      <c r="K96" s="194"/>
      <c r="L96" s="188"/>
      <c r="M96" s="188"/>
      <c r="N96" s="193"/>
      <c r="O96" s="194"/>
      <c r="P96" s="195"/>
      <c r="Q96" s="1"/>
    </row>
    <row r="97" spans="1:17" ht="13.5" thickBot="1">
      <c r="A97" s="139"/>
      <c r="B97" s="140"/>
      <c r="C97" s="147">
        <f>SUM(C93:C96)-SUM(B93:B96)</f>
        <v>0</v>
      </c>
      <c r="D97" s="138"/>
      <c r="E97" s="138"/>
      <c r="F97" s="140"/>
      <c r="G97" s="147">
        <f>SUM(G93:G96)-SUM(F93:F96)</f>
        <v>0</v>
      </c>
      <c r="H97" s="138"/>
      <c r="I97" s="138"/>
      <c r="J97" s="140"/>
      <c r="K97" s="147">
        <f>SUM(K93:K96)-SUM(J93:J96)</f>
        <v>0</v>
      </c>
      <c r="L97" s="138"/>
      <c r="M97" s="138"/>
      <c r="N97" s="140"/>
      <c r="O97" s="147">
        <f>SUM(O93:O96)-SUM(N93:N96)</f>
        <v>0</v>
      </c>
      <c r="P97" s="148"/>
      <c r="Q97" s="5"/>
    </row>
    <row r="98" spans="1:17" ht="13.5" thickTop="1">
      <c r="A98" s="138"/>
      <c r="B98" s="144"/>
      <c r="C98" s="144"/>
      <c r="D98" s="139"/>
      <c r="E98" s="142"/>
      <c r="F98" s="141"/>
      <c r="G98" s="141"/>
      <c r="H98" s="139"/>
      <c r="I98" s="142"/>
      <c r="J98" s="141"/>
      <c r="K98" s="141"/>
      <c r="L98" s="139"/>
      <c r="M98" s="142"/>
      <c r="N98" s="141"/>
      <c r="O98" s="141"/>
      <c r="P98" s="143"/>
      <c r="Q98" s="5"/>
    </row>
    <row r="99" spans="1:17">
      <c r="A99" s="433" t="s">
        <v>203</v>
      </c>
      <c r="B99" s="433"/>
      <c r="C99" s="433"/>
      <c r="D99" s="433"/>
      <c r="E99" s="433"/>
      <c r="F99" s="433"/>
      <c r="G99" s="433"/>
      <c r="H99" s="433"/>
      <c r="I99" s="433"/>
      <c r="J99" s="433"/>
      <c r="K99" s="433"/>
      <c r="L99" s="433"/>
      <c r="M99" s="433"/>
      <c r="N99" s="433"/>
      <c r="O99" s="433"/>
      <c r="P99" s="433"/>
      <c r="Q99" s="2"/>
    </row>
    <row r="100" spans="1:17" ht="13.5" thickBot="1">
      <c r="A100" s="117"/>
      <c r="B100" s="434" t="str">
        <f>IF(Exp_1="","",Exp_1)</f>
        <v>Expense 1</v>
      </c>
      <c r="C100" s="434"/>
      <c r="D100" s="117"/>
      <c r="E100" s="117"/>
      <c r="F100" s="434" t="str">
        <f>IF(Exp_2="","",Exp_2)</f>
        <v>Expense 2</v>
      </c>
      <c r="G100" s="434"/>
      <c r="H100" s="117"/>
      <c r="I100" s="117"/>
      <c r="J100" s="434" t="str">
        <f>IF(Exp_3="","",Exp_3)</f>
        <v>Expense 3</v>
      </c>
      <c r="K100" s="434"/>
      <c r="L100" s="245"/>
      <c r="M100" s="118"/>
      <c r="N100" s="434" t="str">
        <f>IF(Exp_4="","",Exp_4)</f>
        <v>Expense 4</v>
      </c>
      <c r="O100" s="434"/>
      <c r="P100" s="117"/>
      <c r="Q100" s="30"/>
    </row>
    <row r="101" spans="1:17">
      <c r="A101" s="196"/>
      <c r="B101" s="197"/>
      <c r="C101" s="198"/>
      <c r="D101" s="196"/>
      <c r="E101" s="196"/>
      <c r="F101" s="197"/>
      <c r="G101" s="198"/>
      <c r="H101" s="196"/>
      <c r="I101" s="196"/>
      <c r="J101" s="197"/>
      <c r="K101" s="198"/>
      <c r="L101" s="196"/>
      <c r="M101" s="196"/>
      <c r="N101" s="197"/>
      <c r="O101" s="198"/>
      <c r="P101" s="199"/>
      <c r="Q101" s="5"/>
    </row>
    <row r="102" spans="1:17">
      <c r="A102" s="196"/>
      <c r="B102" s="200"/>
      <c r="C102" s="201"/>
      <c r="D102" s="196"/>
      <c r="E102" s="196"/>
      <c r="F102" s="200"/>
      <c r="G102" s="201"/>
      <c r="H102" s="196"/>
      <c r="I102" s="196"/>
      <c r="J102" s="200"/>
      <c r="K102" s="201"/>
      <c r="L102" s="196"/>
      <c r="M102" s="196"/>
      <c r="N102" s="200"/>
      <c r="O102" s="201"/>
      <c r="P102" s="199"/>
      <c r="Q102" s="5"/>
    </row>
    <row r="103" spans="1:17">
      <c r="A103" s="196"/>
      <c r="B103" s="200"/>
      <c r="C103" s="201"/>
      <c r="D103" s="196"/>
      <c r="E103" s="196"/>
      <c r="F103" s="200"/>
      <c r="G103" s="201"/>
      <c r="H103" s="196"/>
      <c r="I103" s="196"/>
      <c r="J103" s="200"/>
      <c r="K103" s="201"/>
      <c r="L103" s="196"/>
      <c r="M103" s="196"/>
      <c r="N103" s="200"/>
      <c r="O103" s="201"/>
      <c r="P103" s="199"/>
      <c r="Q103" s="5"/>
    </row>
    <row r="104" spans="1:17">
      <c r="A104" s="199"/>
      <c r="B104" s="200"/>
      <c r="C104" s="202"/>
      <c r="D104" s="196"/>
      <c r="E104" s="196"/>
      <c r="F104" s="200"/>
      <c r="G104" s="202"/>
      <c r="H104" s="196"/>
      <c r="I104" s="196"/>
      <c r="J104" s="200"/>
      <c r="K104" s="202"/>
      <c r="L104" s="196"/>
      <c r="M104" s="196"/>
      <c r="N104" s="200"/>
      <c r="O104" s="202"/>
      <c r="P104" s="196"/>
      <c r="Q104" s="5"/>
    </row>
    <row r="105" spans="1:17">
      <c r="A105" s="199"/>
      <c r="B105" s="203"/>
      <c r="C105" s="204"/>
      <c r="D105" s="196"/>
      <c r="E105" s="196"/>
      <c r="F105" s="203"/>
      <c r="G105" s="204"/>
      <c r="H105" s="196"/>
      <c r="I105" s="196"/>
      <c r="J105" s="203"/>
      <c r="K105" s="204"/>
      <c r="L105" s="196"/>
      <c r="M105" s="196"/>
      <c r="N105" s="203"/>
      <c r="O105" s="204"/>
      <c r="P105" s="199"/>
      <c r="Q105" s="1"/>
    </row>
    <row r="106" spans="1:17" ht="13.5" thickBot="1">
      <c r="A106" s="136"/>
      <c r="B106" s="149">
        <f>SUM(B101:B105)-SUM(C101:C105)</f>
        <v>0</v>
      </c>
      <c r="C106" s="133"/>
      <c r="D106" s="134"/>
      <c r="E106" s="136"/>
      <c r="F106" s="149">
        <f>SUM(F101:F105)-SUM(G101:G105)</f>
        <v>0</v>
      </c>
      <c r="G106" s="133"/>
      <c r="H106" s="134"/>
      <c r="I106" s="136"/>
      <c r="J106" s="149">
        <f>SUM(J101:J105)-SUM(K101:K105)</f>
        <v>0</v>
      </c>
      <c r="K106" s="133"/>
      <c r="L106" s="137"/>
      <c r="M106" s="132"/>
      <c r="N106" s="149">
        <f>SUM(N101:N105)-SUM(O101:O105)</f>
        <v>0</v>
      </c>
      <c r="O106" s="133"/>
      <c r="P106" s="134"/>
      <c r="Q106" s="5"/>
    </row>
    <row r="107" spans="1:17" ht="13.5" thickTop="1">
      <c r="A107" s="118"/>
      <c r="B107" s="120"/>
      <c r="C107" s="120"/>
      <c r="D107" s="117"/>
      <c r="E107" s="121"/>
      <c r="F107" s="119"/>
      <c r="G107" s="119"/>
      <c r="H107" s="117"/>
      <c r="I107" s="121"/>
      <c r="J107" s="119"/>
      <c r="K107" s="119"/>
      <c r="L107" s="117"/>
      <c r="M107" s="120"/>
      <c r="N107" s="120"/>
      <c r="O107" s="120"/>
      <c r="P107" s="120"/>
      <c r="Q107" s="5"/>
    </row>
    <row r="108" spans="1:17" ht="13.5" thickBot="1">
      <c r="A108" s="117"/>
      <c r="B108" s="434" t="str">
        <f>IF(Exp_5="","",Exp_5)</f>
        <v>Expense 5</v>
      </c>
      <c r="C108" s="434"/>
      <c r="D108" s="245"/>
      <c r="E108" s="117"/>
      <c r="F108" s="434" t="str">
        <f>IF(Exp_6="","",Exp_6)</f>
        <v>Expense 6</v>
      </c>
      <c r="G108" s="434"/>
      <c r="H108" s="117"/>
      <c r="I108" s="117"/>
      <c r="J108" s="434" t="str">
        <f>IF(Exp_7="","",Exp_7)</f>
        <v>Expense 7</v>
      </c>
      <c r="K108" s="434"/>
      <c r="L108" s="117"/>
      <c r="M108" s="118"/>
      <c r="N108" s="434" t="str">
        <f>IF(Exp_8="","",Exp_8)</f>
        <v>Expense 8</v>
      </c>
      <c r="O108" s="434"/>
      <c r="P108" s="117"/>
    </row>
    <row r="109" spans="1:17">
      <c r="A109" s="196"/>
      <c r="B109" s="197"/>
      <c r="C109" s="198"/>
      <c r="D109" s="196"/>
      <c r="E109" s="196"/>
      <c r="F109" s="197"/>
      <c r="G109" s="198"/>
      <c r="H109" s="196"/>
      <c r="I109" s="196"/>
      <c r="J109" s="197"/>
      <c r="K109" s="198"/>
      <c r="L109" s="196"/>
      <c r="M109" s="196"/>
      <c r="N109" s="197"/>
      <c r="O109" s="198"/>
      <c r="P109" s="205"/>
      <c r="Q109" s="5"/>
    </row>
    <row r="110" spans="1:17">
      <c r="A110" s="196"/>
      <c r="B110" s="200"/>
      <c r="C110" s="201"/>
      <c r="D110" s="196"/>
      <c r="E110" s="196"/>
      <c r="F110" s="200"/>
      <c r="G110" s="201"/>
      <c r="H110" s="196"/>
      <c r="I110" s="196"/>
      <c r="J110" s="200"/>
      <c r="K110" s="201"/>
      <c r="L110" s="196"/>
      <c r="M110" s="196"/>
      <c r="N110" s="200"/>
      <c r="O110" s="201"/>
      <c r="P110" s="205"/>
      <c r="Q110" s="5"/>
    </row>
    <row r="111" spans="1:17">
      <c r="A111" s="196"/>
      <c r="B111" s="200"/>
      <c r="C111" s="202"/>
      <c r="D111" s="196"/>
      <c r="E111" s="196"/>
      <c r="F111" s="200"/>
      <c r="G111" s="202"/>
      <c r="H111" s="196"/>
      <c r="I111" s="196"/>
      <c r="J111" s="200"/>
      <c r="K111" s="202"/>
      <c r="L111" s="196"/>
      <c r="M111" s="196"/>
      <c r="N111" s="200"/>
      <c r="O111" s="202"/>
      <c r="P111" s="206"/>
      <c r="Q111" s="5"/>
    </row>
    <row r="112" spans="1:17">
      <c r="A112" s="196"/>
      <c r="B112" s="203"/>
      <c r="C112" s="204"/>
      <c r="D112" s="196"/>
      <c r="E112" s="196"/>
      <c r="F112" s="203"/>
      <c r="G112" s="204"/>
      <c r="H112" s="196"/>
      <c r="I112" s="196"/>
      <c r="J112" s="203"/>
      <c r="K112" s="204"/>
      <c r="L112" s="196"/>
      <c r="M112" s="196"/>
      <c r="N112" s="203"/>
      <c r="O112" s="204"/>
      <c r="P112" s="205"/>
      <c r="Q112" s="1"/>
    </row>
    <row r="113" spans="1:17" ht="13.5" thickBot="1">
      <c r="A113" s="196"/>
      <c r="B113" s="149">
        <f>SUM(B109:B112)-SUM(C109:C112)</f>
        <v>0</v>
      </c>
      <c r="C113" s="133"/>
      <c r="D113" s="196"/>
      <c r="E113" s="132"/>
      <c r="F113" s="149">
        <f>SUM(F109:F112)-SUM(G109:G112)</f>
        <v>0</v>
      </c>
      <c r="G113" s="133"/>
      <c r="H113" s="132"/>
      <c r="I113" s="132"/>
      <c r="J113" s="149">
        <f>SUM(J109:J112)-SUM(K109:K112)</f>
        <v>0</v>
      </c>
      <c r="K113" s="133"/>
      <c r="L113" s="132"/>
      <c r="M113" s="132"/>
      <c r="N113" s="149">
        <f>SUM(N109:N112)-SUM(O109:O112)</f>
        <v>0</v>
      </c>
      <c r="O113" s="133"/>
      <c r="P113" s="117"/>
      <c r="Q113" s="5"/>
    </row>
    <row r="114" spans="1:17" ht="13.5" thickTop="1">
      <c r="A114" s="196"/>
      <c r="B114" s="135"/>
      <c r="C114" s="135"/>
      <c r="D114" s="196"/>
      <c r="E114" s="135"/>
      <c r="F114" s="135"/>
      <c r="G114" s="135"/>
      <c r="H114" s="120"/>
      <c r="I114" s="135"/>
      <c r="J114" s="135"/>
      <c r="K114" s="135"/>
      <c r="L114" s="135"/>
      <c r="M114" s="135"/>
      <c r="N114" s="135"/>
      <c r="O114" s="135"/>
      <c r="P114" s="135"/>
    </row>
    <row r="115" spans="1:17" ht="13.5" thickBot="1">
      <c r="A115" s="132"/>
      <c r="B115" s="431" t="str">
        <f>IF(Loss_1="","",Loss_1)</f>
        <v>Loss 1</v>
      </c>
      <c r="C115" s="431"/>
      <c r="D115" s="246"/>
      <c r="E115" s="132"/>
      <c r="F115" s="431" t="str">
        <f>IF(Loss_2="","",Loss_2)</f>
        <v>Loss 2</v>
      </c>
      <c r="G115" s="431"/>
      <c r="H115" s="246"/>
      <c r="I115" s="135"/>
      <c r="J115" s="135"/>
      <c r="K115" s="135"/>
      <c r="L115" s="135"/>
      <c r="M115" s="135"/>
      <c r="N115" s="135"/>
      <c r="O115" s="135"/>
      <c r="P115" s="120"/>
    </row>
    <row r="116" spans="1:17">
      <c r="A116" s="196"/>
      <c r="B116" s="197"/>
      <c r="C116" s="198"/>
      <c r="D116" s="207"/>
      <c r="E116" s="196"/>
      <c r="F116" s="197"/>
      <c r="G116" s="198"/>
      <c r="H116" s="207"/>
      <c r="I116" s="135"/>
      <c r="J116" s="135"/>
      <c r="K116" s="135"/>
      <c r="L116" s="135"/>
      <c r="M116" s="135"/>
      <c r="N116" s="135"/>
      <c r="O116" s="135"/>
      <c r="P116" s="120"/>
    </row>
    <row r="117" spans="1:17">
      <c r="A117" s="196"/>
      <c r="B117" s="200"/>
      <c r="C117" s="201"/>
      <c r="D117" s="207"/>
      <c r="E117" s="196"/>
      <c r="F117" s="200"/>
      <c r="G117" s="201"/>
      <c r="H117" s="207"/>
      <c r="I117" s="135"/>
      <c r="J117" s="135"/>
      <c r="K117" s="135"/>
      <c r="L117" s="135"/>
      <c r="M117" s="135"/>
      <c r="N117" s="135"/>
      <c r="O117" s="135"/>
      <c r="P117" s="120"/>
    </row>
    <row r="118" spans="1:17">
      <c r="A118" s="196"/>
      <c r="B118" s="200"/>
      <c r="C118" s="202"/>
      <c r="D118" s="196"/>
      <c r="E118" s="196"/>
      <c r="F118" s="200"/>
      <c r="G118" s="202"/>
      <c r="H118" s="196"/>
      <c r="I118" s="135"/>
      <c r="J118" s="135"/>
      <c r="K118" s="135"/>
      <c r="L118" s="135"/>
      <c r="M118" s="135"/>
      <c r="N118" s="135"/>
      <c r="O118" s="135"/>
      <c r="P118" s="120"/>
    </row>
    <row r="119" spans="1:17">
      <c r="A119" s="196"/>
      <c r="B119" s="203"/>
      <c r="C119" s="204"/>
      <c r="D119" s="207"/>
      <c r="E119" s="196"/>
      <c r="F119" s="203"/>
      <c r="G119" s="204"/>
      <c r="H119" s="207"/>
      <c r="I119" s="135"/>
      <c r="J119" s="135"/>
      <c r="K119" s="135"/>
      <c r="L119" s="135"/>
      <c r="M119" s="135"/>
      <c r="N119" s="135"/>
      <c r="O119" s="135"/>
      <c r="P119" s="120"/>
    </row>
    <row r="120" spans="1:17" ht="13.5" thickBot="1">
      <c r="A120" s="132"/>
      <c r="B120" s="149">
        <f>SUM(B116:B119)-SUM(C116:C119)</f>
        <v>0</v>
      </c>
      <c r="C120" s="133"/>
      <c r="D120" s="137"/>
      <c r="E120" s="132"/>
      <c r="F120" s="149">
        <f>SUM(F116:F119)-SUM(G116:G119)</f>
        <v>0</v>
      </c>
      <c r="G120" s="133"/>
      <c r="H120" s="137"/>
      <c r="I120" s="135"/>
      <c r="J120" s="135"/>
      <c r="K120" s="135"/>
      <c r="L120" s="135"/>
      <c r="M120" s="135"/>
      <c r="N120" s="135"/>
      <c r="O120" s="135"/>
      <c r="P120" s="120"/>
    </row>
    <row r="121" spans="1:17" ht="13.5" thickTop="1">
      <c r="A121" s="120"/>
      <c r="B121" s="120"/>
      <c r="C121" s="120"/>
      <c r="D121" s="120"/>
      <c r="E121" s="120"/>
      <c r="F121" s="120"/>
      <c r="G121" s="120"/>
      <c r="H121" s="120"/>
      <c r="I121" s="120"/>
      <c r="J121" s="120"/>
      <c r="K121" s="120"/>
      <c r="L121" s="120"/>
      <c r="M121" s="120"/>
      <c r="N121" s="120"/>
      <c r="O121" s="120"/>
      <c r="P121" s="120"/>
    </row>
  </sheetData>
  <mergeCells count="64">
    <mergeCell ref="N82:O82"/>
    <mergeCell ref="A1:P1"/>
    <mergeCell ref="A2:P2"/>
    <mergeCell ref="A4:P4"/>
    <mergeCell ref="B29:C29"/>
    <mergeCell ref="F14:G14"/>
    <mergeCell ref="F37:G37"/>
    <mergeCell ref="A5:P5"/>
    <mergeCell ref="B6:C6"/>
    <mergeCell ref="F6:G6"/>
    <mergeCell ref="J6:K6"/>
    <mergeCell ref="N6:O6"/>
    <mergeCell ref="A28:P28"/>
    <mergeCell ref="A59:P59"/>
    <mergeCell ref="F52:G52"/>
    <mergeCell ref="J52:K52"/>
    <mergeCell ref="N52:O52"/>
    <mergeCell ref="A3:P3"/>
    <mergeCell ref="J13:O13"/>
    <mergeCell ref="B66:C66"/>
    <mergeCell ref="F66:G66"/>
    <mergeCell ref="J66:K66"/>
    <mergeCell ref="B60:C60"/>
    <mergeCell ref="F60:G60"/>
    <mergeCell ref="J60:K60"/>
    <mergeCell ref="N14:O14"/>
    <mergeCell ref="J14:K14"/>
    <mergeCell ref="J29:K29"/>
    <mergeCell ref="N29:O29"/>
    <mergeCell ref="A44:P44"/>
    <mergeCell ref="B36:G36"/>
    <mergeCell ref="F22:G22"/>
    <mergeCell ref="A90:P90"/>
    <mergeCell ref="N83:O83"/>
    <mergeCell ref="N74:O74"/>
    <mergeCell ref="B82:C82"/>
    <mergeCell ref="J22:K22"/>
    <mergeCell ref="B37:C37"/>
    <mergeCell ref="F29:G29"/>
    <mergeCell ref="B45:C45"/>
    <mergeCell ref="F45:G45"/>
    <mergeCell ref="J45:K45"/>
    <mergeCell ref="N45:O45"/>
    <mergeCell ref="N60:O60"/>
    <mergeCell ref="A72:P72"/>
    <mergeCell ref="B74:C74"/>
    <mergeCell ref="F74:G74"/>
    <mergeCell ref="J74:K74"/>
    <mergeCell ref="B115:C115"/>
    <mergeCell ref="A91:P91"/>
    <mergeCell ref="A99:P99"/>
    <mergeCell ref="N100:O100"/>
    <mergeCell ref="N108:O108"/>
    <mergeCell ref="F108:G108"/>
    <mergeCell ref="J108:K108"/>
    <mergeCell ref="F100:G100"/>
    <mergeCell ref="J100:K100"/>
    <mergeCell ref="F115:G115"/>
    <mergeCell ref="F92:G92"/>
    <mergeCell ref="J92:K92"/>
    <mergeCell ref="N92:O92"/>
    <mergeCell ref="B108:C108"/>
    <mergeCell ref="B92:C92"/>
    <mergeCell ref="B100:C100"/>
  </mergeCells>
  <phoneticPr fontId="32" type="noConversion"/>
  <conditionalFormatting sqref="A31:A33">
    <cfRule type="expression" dxfId="202" priority="1">
      <formula>$AA$15="TRUE"</formula>
    </cfRule>
  </conditionalFormatting>
  <conditionalFormatting sqref="A6:D27">
    <cfRule type="expression" dxfId="201" priority="156">
      <formula>$AA$15="TRUE"</formula>
    </cfRule>
  </conditionalFormatting>
  <conditionalFormatting sqref="A29:D30 B31:C33 A34:D35">
    <cfRule type="expression" dxfId="200" priority="160">
      <formula>$AA$24="TRUE"</formula>
    </cfRule>
  </conditionalFormatting>
  <conditionalFormatting sqref="A37:D43">
    <cfRule type="expression" dxfId="199" priority="140">
      <formula>$AA$29="TRUE"</formula>
    </cfRule>
  </conditionalFormatting>
  <conditionalFormatting sqref="A45:D57">
    <cfRule type="expression" dxfId="198" priority="141">
      <formula>$AA$31="TRUE"</formula>
    </cfRule>
  </conditionalFormatting>
  <conditionalFormatting sqref="A60:D65">
    <cfRule type="expression" dxfId="197" priority="148">
      <formula>$AA$38="TRUE"</formula>
    </cfRule>
  </conditionalFormatting>
  <conditionalFormatting sqref="A66:D71">
    <cfRule type="expression" dxfId="196" priority="152">
      <formula>$AA$42="TRUE"</formula>
    </cfRule>
  </conditionalFormatting>
  <conditionalFormatting sqref="A74:D81">
    <cfRule type="expression" dxfId="195" priority="155">
      <formula>$AA$45="TRUE"</formula>
    </cfRule>
  </conditionalFormatting>
  <conditionalFormatting sqref="A82:D89">
    <cfRule type="expression" dxfId="194" priority="164">
      <formula>$AA$49="TRUE"</formula>
    </cfRule>
  </conditionalFormatting>
  <conditionalFormatting sqref="A92:D98">
    <cfRule type="expression" dxfId="193" priority="179">
      <formula>$AA$51="TRUE"</formula>
    </cfRule>
  </conditionalFormatting>
  <conditionalFormatting sqref="A100:D107">
    <cfRule type="expression" dxfId="192" priority="175">
      <formula>$AA$55="TRUE"</formula>
    </cfRule>
  </conditionalFormatting>
  <conditionalFormatting sqref="A108:D114">
    <cfRule type="expression" dxfId="191" priority="171">
      <formula>$AA$59="TRUE"</formula>
    </cfRule>
  </conditionalFormatting>
  <conditionalFormatting sqref="A115:D121">
    <cfRule type="expression" dxfId="190" priority="167">
      <formula>$AA$63="TRUE"</formula>
    </cfRule>
  </conditionalFormatting>
  <conditionalFormatting sqref="A36:H36">
    <cfRule type="expression" dxfId="189" priority="139">
      <formula>$AA$28=TRUE</formula>
    </cfRule>
  </conditionalFormatting>
  <conditionalFormatting sqref="A1:P4">
    <cfRule type="expression" dxfId="188" priority="86">
      <formula>OR($Q$2&gt;0,$Q$2&lt;0)</formula>
    </cfRule>
  </conditionalFormatting>
  <conditionalFormatting sqref="C97 G97 K97 O97 B106 F106 J106 N106 B113 F113 J113 N113 B120 F120">
    <cfRule type="cellIs" dxfId="187" priority="91" operator="notEqual">
      <formula>0</formula>
    </cfRule>
  </conditionalFormatting>
  <conditionalFormatting sqref="D31:E33">
    <cfRule type="expression" dxfId="186" priority="2">
      <formula>$AA$15="TRUE"</formula>
    </cfRule>
  </conditionalFormatting>
  <conditionalFormatting sqref="E6:H13">
    <cfRule type="expression" dxfId="185" priority="157">
      <formula>$AA$16="TRUE"</formula>
    </cfRule>
  </conditionalFormatting>
  <conditionalFormatting sqref="E14:H19">
    <cfRule type="expression" dxfId="184" priority="129">
      <formula>$AA$19="TRUE"</formula>
    </cfRule>
  </conditionalFormatting>
  <conditionalFormatting sqref="E22:H27">
    <cfRule type="expression" dxfId="183" priority="130">
      <formula>$AA$20="TRUE"</formula>
    </cfRule>
  </conditionalFormatting>
  <conditionalFormatting sqref="E29:H30 F31:G33 E34:H34">
    <cfRule type="expression" dxfId="182" priority="136">
      <formula>$AA$25="TRUE"</formula>
    </cfRule>
  </conditionalFormatting>
  <conditionalFormatting sqref="E37:H43">
    <cfRule type="expression" dxfId="181" priority="135">
      <formula>$AA$30="TRUE"</formula>
    </cfRule>
  </conditionalFormatting>
  <conditionalFormatting sqref="E45:H51">
    <cfRule type="expression" dxfId="180" priority="142">
      <formula>$AA$32="TRUE"</formula>
    </cfRule>
  </conditionalFormatting>
  <conditionalFormatting sqref="E60:H65">
    <cfRule type="expression" dxfId="179" priority="149">
      <formula>$AA$39="TRUE"</formula>
    </cfRule>
  </conditionalFormatting>
  <conditionalFormatting sqref="E66:H71">
    <cfRule type="expression" dxfId="178" priority="153">
      <formula>$AA$43="TRUE"</formula>
    </cfRule>
  </conditionalFormatting>
  <conditionalFormatting sqref="E74:H81">
    <cfRule type="expression" dxfId="177" priority="161">
      <formula>$AA$46="TRUE"</formula>
    </cfRule>
  </conditionalFormatting>
  <conditionalFormatting sqref="E92:H98">
    <cfRule type="expression" dxfId="176" priority="178">
      <formula>$AA$52="TRUE"</formula>
    </cfRule>
  </conditionalFormatting>
  <conditionalFormatting sqref="E100:H107">
    <cfRule type="expression" dxfId="175" priority="174">
      <formula>$AA$56="TRUE"</formula>
    </cfRule>
  </conditionalFormatting>
  <conditionalFormatting sqref="E108:H114">
    <cfRule type="expression" dxfId="174" priority="170">
      <formula>$AA$60="TRUE"</formula>
    </cfRule>
  </conditionalFormatting>
  <conditionalFormatting sqref="E115:H121">
    <cfRule type="expression" dxfId="173" priority="166">
      <formula>$AA$64="TRUE"</formula>
    </cfRule>
  </conditionalFormatting>
  <conditionalFormatting sqref="H31:H33">
    <cfRule type="expression" dxfId="172" priority="3">
      <formula>$AA$15="TRUE"</formula>
    </cfRule>
  </conditionalFormatting>
  <conditionalFormatting sqref="I6:K12">
    <cfRule type="expression" dxfId="171" priority="158">
      <formula>$AA$17="TRUE"</formula>
    </cfRule>
  </conditionalFormatting>
  <conditionalFormatting sqref="I14:L20">
    <cfRule type="expression" dxfId="170" priority="128">
      <formula>$AA$22="TRUE"</formula>
    </cfRule>
  </conditionalFormatting>
  <conditionalFormatting sqref="I22:L27">
    <cfRule type="expression" dxfId="169" priority="131">
      <formula>$AA$21="TRUE"</formula>
    </cfRule>
  </conditionalFormatting>
  <conditionalFormatting sqref="I29:L34">
    <cfRule type="expression" dxfId="168" priority="137">
      <formula>$AA$26="TRUE"</formula>
    </cfRule>
  </conditionalFormatting>
  <conditionalFormatting sqref="I45:L51">
    <cfRule type="expression" dxfId="167" priority="143">
      <formula>$AA$33="TRUE"</formula>
    </cfRule>
  </conditionalFormatting>
  <conditionalFormatting sqref="I52:L58">
    <cfRule type="expression" dxfId="166" priority="146">
      <formula>$AA$36="TRUE"</formula>
    </cfRule>
  </conditionalFormatting>
  <conditionalFormatting sqref="I60:L65">
    <cfRule type="expression" dxfId="165" priority="151">
      <formula>$AA$40="TRUE"</formula>
    </cfRule>
  </conditionalFormatting>
  <conditionalFormatting sqref="I66:L71">
    <cfRule type="expression" dxfId="164" priority="154">
      <formula>$AA$44="TRUE"</formula>
    </cfRule>
  </conditionalFormatting>
  <conditionalFormatting sqref="I74:L81">
    <cfRule type="expression" dxfId="163" priority="162">
      <formula>$AA$47="TRUE"</formula>
    </cfRule>
  </conditionalFormatting>
  <conditionalFormatting sqref="I92:L98">
    <cfRule type="expression" dxfId="162" priority="177">
      <formula>$AA$53="TRUE"</formula>
    </cfRule>
  </conditionalFormatting>
  <conditionalFormatting sqref="I100:L107">
    <cfRule type="expression" dxfId="161" priority="173">
      <formula>$AA$57="TRUE"</formula>
    </cfRule>
  </conditionalFormatting>
  <conditionalFormatting sqref="I108:L114">
    <cfRule type="expression" dxfId="160" priority="169">
      <formula>$AA$61="TRUE"</formula>
    </cfRule>
  </conditionalFormatting>
  <conditionalFormatting sqref="I13:P13">
    <cfRule type="expression" dxfId="159" priority="134">
      <formula>$AA$14=TRUE</formula>
    </cfRule>
  </conditionalFormatting>
  <conditionalFormatting sqref="M6:P12">
    <cfRule type="expression" dxfId="158" priority="159">
      <formula>$AA$18="TRUE"</formula>
    </cfRule>
  </conditionalFormatting>
  <conditionalFormatting sqref="M14:P20">
    <cfRule type="expression" dxfId="157" priority="127">
      <formula>$AA$23="TRUE"</formula>
    </cfRule>
  </conditionalFormatting>
  <conditionalFormatting sqref="M29:P34">
    <cfRule type="expression" dxfId="156" priority="138">
      <formula>$AA$27="TRUE"</formula>
    </cfRule>
  </conditionalFormatting>
  <conditionalFormatting sqref="M45:P51 E52:H58">
    <cfRule type="expression" dxfId="155" priority="144">
      <formula>$AA$34="TRUE"</formula>
    </cfRule>
  </conditionalFormatting>
  <conditionalFormatting sqref="M52:P57">
    <cfRule type="expression" dxfId="154" priority="147">
      <formula>$AA$37="TRUE"</formula>
    </cfRule>
  </conditionalFormatting>
  <conditionalFormatting sqref="M60:P65">
    <cfRule type="expression" dxfId="153" priority="150">
      <formula>$AA$41="TRUE"</formula>
    </cfRule>
  </conditionalFormatting>
  <conditionalFormatting sqref="M74:P81">
    <cfRule type="expression" dxfId="152" priority="163">
      <formula>$AA$48="TRUE"</formula>
    </cfRule>
  </conditionalFormatting>
  <conditionalFormatting sqref="M82:P89">
    <cfRule type="expression" dxfId="151" priority="165">
      <formula>$AA$50="TRUE"</formula>
    </cfRule>
  </conditionalFormatting>
  <conditionalFormatting sqref="M92:P98">
    <cfRule type="expression" dxfId="150" priority="176">
      <formula>$AA$54="TRUE"</formula>
    </cfRule>
  </conditionalFormatting>
  <conditionalFormatting sqref="M100:P107">
    <cfRule type="expression" dxfId="149" priority="172">
      <formula>$AA$58="TRUE"</formula>
    </cfRule>
  </conditionalFormatting>
  <conditionalFormatting sqref="M108:P114">
    <cfRule type="expression" dxfId="148" priority="168">
      <formula>$AA$62="TRUE"</formula>
    </cfRule>
  </conditionalFormatting>
  <conditionalFormatting sqref="Q2">
    <cfRule type="cellIs" dxfId="147" priority="99" operator="equal">
      <formula>0</formula>
    </cfRule>
    <cfRule type="cellIs" dxfId="146" priority="98" operator="notEqual">
      <formula>0</formula>
    </cfRule>
  </conditionalFormatting>
  <conditionalFormatting sqref="Q4">
    <cfRule type="cellIs" dxfId="145" priority="88" operator="equal">
      <formula>0</formula>
    </cfRule>
    <cfRule type="cellIs" dxfId="144" priority="87" operator="notEqual">
      <formula>0</formula>
    </cfRule>
  </conditionalFormatting>
  <conditionalFormatting sqref="U2:U3">
    <cfRule type="cellIs" dxfId="143" priority="95" operator="notEqual">
      <formula>0</formula>
    </cfRule>
  </conditionalFormatting>
  <dataValidations disablePrompts="1" count="1">
    <dataValidation allowBlank="1" showInputMessage="1" showErrorMessage="1" promptTitle="Leave Blank" prompt="Do not make any entries into this cell. Leave it blank." sqref="C7 G7 K7 O7 N15 J15 G15 G23 K23 C30 G30 K30 O30 F38 B38 B46 F46 J46 N46 O84 J53 F53 B61 F61 J61 N61 J67 F67 B67 B75 F75 J75 N53" xr:uid="{00000000-0002-0000-0300-000000000000}"/>
  </dataValidations>
  <pageMargins left="0.75" right="0.75" top="1" bottom="1" header="0.5" footer="0.5"/>
  <pageSetup scale="76" orientation="landscape" horizontalDpi="300" verticalDpi="300" r:id="rId1"/>
  <headerFooter>
    <oddHeader>&amp;CRusher Co. Solution
General Ledger</oddHeader>
    <oddFooter>&amp;CPage &amp;P of &amp;N</oddFooter>
  </headerFooter>
  <rowBreaks count="1" manualBreakCount="1">
    <brk id="65" max="15" man="1"/>
  </rowBreak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2"/>
  <sheetViews>
    <sheetView zoomScale="190" zoomScaleNormal="190" workbookViewId="0">
      <selection activeCell="M6" sqref="M6"/>
    </sheetView>
  </sheetViews>
  <sheetFormatPr defaultColWidth="8.7109375" defaultRowHeight="12.75"/>
  <cols>
    <col min="1" max="1" width="25.140625" bestFit="1" customWidth="1"/>
    <col min="8" max="8" width="10.42578125" customWidth="1"/>
  </cols>
  <sheetData>
    <row r="1" spans="1:12">
      <c r="A1" s="453" t="str">
        <f>Entity</f>
        <v>ImmuCell Corp.</v>
      </c>
      <c r="B1" s="453"/>
      <c r="C1" s="453"/>
      <c r="D1" s="453"/>
      <c r="E1" s="453"/>
      <c r="F1" s="453"/>
      <c r="G1" s="453"/>
      <c r="H1" s="453"/>
      <c r="I1" s="453"/>
    </row>
    <row r="2" spans="1:12">
      <c r="A2" s="453" t="s">
        <v>204</v>
      </c>
      <c r="B2" s="453"/>
      <c r="C2" s="453"/>
      <c r="D2" s="453"/>
      <c r="E2" s="453"/>
      <c r="F2" s="453"/>
      <c r="G2" s="453"/>
      <c r="H2" s="453"/>
      <c r="I2" s="453"/>
    </row>
    <row r="3" spans="1:12">
      <c r="A3" s="453" t="str">
        <f>BegDate&amp;" to "&amp;EndDate</f>
        <v>[BegDate] to [EndDate]</v>
      </c>
      <c r="B3" s="453"/>
      <c r="C3" s="453"/>
      <c r="D3" s="453"/>
      <c r="E3" s="453"/>
      <c r="F3" s="453"/>
      <c r="G3" s="453"/>
      <c r="H3" s="453"/>
      <c r="I3" s="453"/>
    </row>
    <row r="4" spans="1:12">
      <c r="A4" s="280"/>
      <c r="B4" s="280"/>
      <c r="C4" s="280"/>
      <c r="D4" s="280"/>
      <c r="E4" s="280"/>
      <c r="F4" s="280"/>
      <c r="G4" s="280"/>
      <c r="H4" s="280"/>
      <c r="I4" s="280"/>
      <c r="J4" s="280"/>
      <c r="K4" s="280"/>
      <c r="L4" s="280"/>
    </row>
    <row r="5" spans="1:12" ht="13.5" thickBot="1">
      <c r="B5" s="454" t="s">
        <v>205</v>
      </c>
      <c r="C5" s="455"/>
      <c r="D5" s="281" t="s">
        <v>206</v>
      </c>
      <c r="E5" s="456" t="s">
        <v>207</v>
      </c>
      <c r="F5" s="456"/>
      <c r="G5" s="281" t="s">
        <v>206</v>
      </c>
      <c r="H5" s="454" t="s">
        <v>208</v>
      </c>
      <c r="I5" s="455"/>
      <c r="K5" s="282"/>
      <c r="L5" s="282"/>
    </row>
    <row r="6" spans="1:12">
      <c r="B6" s="283" t="s">
        <v>209</v>
      </c>
      <c r="C6" s="284" t="s">
        <v>210</v>
      </c>
      <c r="D6" s="281"/>
      <c r="E6" s="285" t="s">
        <v>209</v>
      </c>
      <c r="F6" s="285" t="s">
        <v>210</v>
      </c>
      <c r="G6" s="281"/>
      <c r="H6" s="283" t="s">
        <v>209</v>
      </c>
      <c r="I6" s="284" t="s">
        <v>210</v>
      </c>
      <c r="J6" s="320" t="s">
        <v>211</v>
      </c>
      <c r="K6" s="282"/>
      <c r="L6" s="282"/>
    </row>
    <row r="7" spans="1:12">
      <c r="A7" s="4" t="str">
        <f>CA2_</f>
        <v>Current Asset 2</v>
      </c>
      <c r="B7" s="286">
        <f>CA2_BB</f>
        <v>0</v>
      </c>
      <c r="C7" s="287"/>
      <c r="D7" s="288"/>
      <c r="E7" s="289"/>
      <c r="F7" s="289"/>
      <c r="G7" s="288"/>
      <c r="H7" s="286">
        <f>CA2_EB</f>
        <v>0</v>
      </c>
      <c r="I7" s="313"/>
      <c r="J7" s="321" t="str">
        <f>IF(ROUND(B7+SUM(E7:E8)-SUM(F7:F8)-H7,2)=0,"YES",B7+SUM(E7:E8)-SUM(F7:F8)-H7)</f>
        <v>YES</v>
      </c>
    </row>
    <row r="8" spans="1:12">
      <c r="A8" s="4"/>
      <c r="B8" s="286"/>
      <c r="C8" s="287"/>
      <c r="D8" s="288"/>
      <c r="E8" s="289"/>
      <c r="F8" s="289"/>
      <c r="G8" s="288"/>
      <c r="H8" s="286"/>
      <c r="I8" s="313"/>
      <c r="J8" s="321"/>
    </row>
    <row r="9" spans="1:12">
      <c r="A9" s="4" t="str">
        <f>CA3_</f>
        <v>Current Asset 3</v>
      </c>
      <c r="B9" s="286">
        <f>CA3_BB</f>
        <v>0</v>
      </c>
      <c r="C9" s="287"/>
      <c r="D9" s="288"/>
      <c r="E9" s="289"/>
      <c r="F9" s="289"/>
      <c r="G9" s="288"/>
      <c r="H9" s="286">
        <f>CA3_EB</f>
        <v>0</v>
      </c>
      <c r="I9" s="313"/>
      <c r="J9" s="321" t="str">
        <f>IF(ROUND(B9+SUM(E9:E10)-SUM(F9:F10)-H9,2)=0,"YES",B9+SUM(E9:E10)-SUM(F9:F10)-H9)</f>
        <v>YES</v>
      </c>
    </row>
    <row r="10" spans="1:12">
      <c r="A10" s="4"/>
      <c r="B10" s="286"/>
      <c r="C10" s="287"/>
      <c r="D10" s="288"/>
      <c r="E10" s="289"/>
      <c r="F10" s="289"/>
      <c r="G10" s="288"/>
      <c r="H10" s="286"/>
      <c r="I10" s="313"/>
      <c r="J10" s="321"/>
    </row>
    <row r="11" spans="1:12">
      <c r="A11" s="4" t="str">
        <f>CA4_</f>
        <v>Current Asset 4</v>
      </c>
      <c r="B11" s="286">
        <f>CA4_BB</f>
        <v>0</v>
      </c>
      <c r="C11" s="287"/>
      <c r="D11" s="288"/>
      <c r="E11" s="289"/>
      <c r="F11" s="289"/>
      <c r="G11" s="288"/>
      <c r="H11" s="286">
        <f>CA4_EB</f>
        <v>0</v>
      </c>
      <c r="I11" s="313"/>
      <c r="J11" s="321" t="str">
        <f t="shared" ref="J11:J17" si="0">IF(ROUND(B11+SUM(E11:E11)-SUM(F11:F11)-H11,2)=0,"YES",B11+SUM(E11:E11)-SUM(F11:F11)-H11)</f>
        <v>YES</v>
      </c>
    </row>
    <row r="12" spans="1:12">
      <c r="A12" s="4" t="str">
        <f>NCA1_</f>
        <v>Property, Plant &amp; Equipment</v>
      </c>
      <c r="B12" s="286">
        <f>NCA1_BB</f>
        <v>0</v>
      </c>
      <c r="C12" s="287"/>
      <c r="D12" s="303"/>
      <c r="E12" s="289"/>
      <c r="F12" s="289"/>
      <c r="G12" s="288"/>
      <c r="H12" s="286">
        <f>NCA1_EB</f>
        <v>0</v>
      </c>
      <c r="I12" s="313"/>
      <c r="J12" s="321" t="str">
        <f>IF(ROUND(B12+SUM(E12:E14)-SUM(F12:F14)-H12,2)=0,"YES",B12+SUM(E12:E14)-SUM(F12:F14)-H12)</f>
        <v>YES</v>
      </c>
    </row>
    <row r="13" spans="1:12">
      <c r="A13" s="4"/>
      <c r="B13" s="286"/>
      <c r="C13" s="287"/>
      <c r="D13" s="303"/>
      <c r="E13" s="289"/>
      <c r="F13" s="289"/>
      <c r="G13" s="288"/>
      <c r="H13" s="286"/>
      <c r="I13" s="313"/>
      <c r="J13" s="321"/>
    </row>
    <row r="14" spans="1:12">
      <c r="A14" s="4"/>
      <c r="B14" s="286"/>
      <c r="C14" s="287"/>
      <c r="D14" s="303"/>
      <c r="E14" s="289"/>
      <c r="F14" s="289"/>
      <c r="G14" s="288"/>
      <c r="H14" s="286"/>
      <c r="I14" s="313"/>
      <c r="J14" s="321"/>
    </row>
    <row r="15" spans="1:12">
      <c r="A15" s="4" t="str">
        <f>NCA1_Contra</f>
        <v>Accumulated Depreciation</v>
      </c>
      <c r="B15" s="290"/>
      <c r="C15" s="291">
        <f>NCA1_Contra_BB</f>
        <v>0</v>
      </c>
      <c r="D15" s="288"/>
      <c r="E15" s="289"/>
      <c r="F15" s="289"/>
      <c r="G15" s="288"/>
      <c r="H15" s="314"/>
      <c r="I15" s="291">
        <f>NCA1_Contra_EB</f>
        <v>0</v>
      </c>
      <c r="J15" s="321" t="str">
        <f>IF(ROUND(C15-SUM(E15:E16)+SUM(F15:F16)-I15,2)=0,"YES",C15-SUM(E15:E16)+SUM(F15:F16)-I15)</f>
        <v>YES</v>
      </c>
    </row>
    <row r="16" spans="1:12">
      <c r="A16" s="4"/>
      <c r="B16" s="290"/>
      <c r="C16" s="291"/>
      <c r="D16" s="288"/>
      <c r="E16" s="289"/>
      <c r="F16" s="289"/>
      <c r="G16" s="288"/>
      <c r="H16" s="314"/>
      <c r="I16" s="291"/>
      <c r="J16" s="321"/>
    </row>
    <row r="17" spans="1:10">
      <c r="A17" s="4" t="str">
        <f>NCA2_</f>
        <v>Property, Plant &amp; Equipment</v>
      </c>
      <c r="B17" s="286">
        <f>NCA2_BB</f>
        <v>0</v>
      </c>
      <c r="C17" s="287"/>
      <c r="D17" s="288"/>
      <c r="E17" s="289"/>
      <c r="F17" s="289"/>
      <c r="G17" s="288"/>
      <c r="H17" s="286">
        <f>NCA2_EB</f>
        <v>0</v>
      </c>
      <c r="I17" s="313"/>
      <c r="J17" s="321" t="str">
        <f t="shared" si="0"/>
        <v>YES</v>
      </c>
    </row>
    <row r="18" spans="1:10">
      <c r="A18" s="4" t="str">
        <f>CL1_</f>
        <v>Current Liability 1</v>
      </c>
      <c r="B18" s="290"/>
      <c r="C18" s="291">
        <f>CL1_BB</f>
        <v>0</v>
      </c>
      <c r="D18" s="288"/>
      <c r="E18" s="289"/>
      <c r="F18" s="289"/>
      <c r="G18" s="288"/>
      <c r="H18" s="314"/>
      <c r="I18" s="291">
        <f>CL1_EB</f>
        <v>0</v>
      </c>
      <c r="J18" s="321" t="str">
        <f>IF(ROUND(C18-SUM(E18:E19)+SUM(F18:F19)-I18,2)=0,"YES",C18-SUM(E18:E19)+SUM(F18:F19)-I18)</f>
        <v>YES</v>
      </c>
    </row>
    <row r="19" spans="1:10">
      <c r="A19" s="4"/>
      <c r="B19" s="290"/>
      <c r="C19" s="291"/>
      <c r="D19" s="288"/>
      <c r="E19" s="289"/>
      <c r="F19" s="289"/>
      <c r="G19" s="288"/>
      <c r="H19" s="314"/>
      <c r="I19" s="291"/>
      <c r="J19" s="321"/>
    </row>
    <row r="20" spans="1:10">
      <c r="A20" s="4" t="str">
        <f>CL2_</f>
        <v>Current Liability 2</v>
      </c>
      <c r="B20" s="290"/>
      <c r="C20" s="291">
        <f>CL2_BB</f>
        <v>0</v>
      </c>
      <c r="D20" s="288"/>
      <c r="E20" s="289"/>
      <c r="F20" s="289"/>
      <c r="G20" s="288"/>
      <c r="H20" s="314"/>
      <c r="I20" s="291">
        <f>CL2_EB</f>
        <v>0</v>
      </c>
      <c r="J20" s="321" t="str">
        <f t="shared" ref="J20:J32" si="1">IF(ROUND(C20-SUM(E20:E20)+SUM(F20:F20)-I20,2)=0,"YES",C20-SUM(E20:E20)+SUM(F20:F20)-I20)</f>
        <v>YES</v>
      </c>
    </row>
    <row r="21" spans="1:10">
      <c r="A21" s="4" t="str">
        <f>CL3_</f>
        <v>Current Liability 3</v>
      </c>
      <c r="B21" s="290"/>
      <c r="C21" s="291">
        <f>CL3_BB</f>
        <v>0</v>
      </c>
      <c r="D21" s="288"/>
      <c r="E21" s="289"/>
      <c r="F21" s="289"/>
      <c r="G21" s="288"/>
      <c r="H21" s="314"/>
      <c r="I21" s="291">
        <f>CL3_EB</f>
        <v>0</v>
      </c>
      <c r="J21" s="321" t="str">
        <f t="shared" si="1"/>
        <v>YES</v>
      </c>
    </row>
    <row r="22" spans="1:10">
      <c r="A22" s="4" t="str">
        <f>CL4_</f>
        <v>Current Liability 4</v>
      </c>
      <c r="B22" s="290"/>
      <c r="C22" s="291">
        <f>CL4_BB</f>
        <v>0</v>
      </c>
      <c r="D22" s="288"/>
      <c r="E22" s="289"/>
      <c r="F22" s="289"/>
      <c r="G22" s="288"/>
      <c r="H22" s="314"/>
      <c r="I22" s="291">
        <f>CL4_EB</f>
        <v>0</v>
      </c>
      <c r="J22" s="321" t="str">
        <f t="shared" si="1"/>
        <v>YES</v>
      </c>
    </row>
    <row r="23" spans="1:10">
      <c r="A23" s="4" t="str">
        <f>CL5_</f>
        <v>Current Liability 5</v>
      </c>
      <c r="B23" s="290"/>
      <c r="C23" s="291">
        <f>CL5_BB</f>
        <v>0</v>
      </c>
      <c r="D23" s="288"/>
      <c r="E23" s="289"/>
      <c r="F23" s="289"/>
      <c r="G23" s="288"/>
      <c r="H23" s="314"/>
      <c r="I23" s="291">
        <f>CL5_EB</f>
        <v>0</v>
      </c>
      <c r="J23" s="321" t="str">
        <f t="shared" si="1"/>
        <v>YES</v>
      </c>
    </row>
    <row r="24" spans="1:10">
      <c r="A24" s="4" t="str">
        <f>CL6_</f>
        <v>Current Liability 6</v>
      </c>
      <c r="B24" s="290"/>
      <c r="C24" s="291">
        <f>CL6_BB</f>
        <v>0</v>
      </c>
      <c r="D24" s="288"/>
      <c r="E24" s="289"/>
      <c r="F24" s="289"/>
      <c r="G24" s="288"/>
      <c r="H24" s="314"/>
      <c r="I24" s="291">
        <f>CL6_EB</f>
        <v>0</v>
      </c>
      <c r="J24" s="321" t="str">
        <f t="shared" si="1"/>
        <v>YES</v>
      </c>
    </row>
    <row r="25" spans="1:10">
      <c r="A25" s="4" t="str">
        <f>NCL1_</f>
        <v>Noncurrent Liability 1</v>
      </c>
      <c r="B25" s="290"/>
      <c r="C25" s="291">
        <f>NCL1_BB</f>
        <v>0</v>
      </c>
      <c r="D25" s="288"/>
      <c r="E25" s="289"/>
      <c r="F25" s="289"/>
      <c r="G25" s="288"/>
      <c r="H25" s="314"/>
      <c r="I25" s="291">
        <f>NCL1_EB</f>
        <v>0</v>
      </c>
      <c r="J25" s="321" t="str">
        <f t="shared" si="1"/>
        <v>YES</v>
      </c>
    </row>
    <row r="26" spans="1:10">
      <c r="A26" s="4" t="str">
        <f>NCL2_</f>
        <v>Noncurrent Liability 2</v>
      </c>
      <c r="B26" s="290"/>
      <c r="C26" s="291">
        <f>NCL2_BB</f>
        <v>0</v>
      </c>
      <c r="D26" s="288"/>
      <c r="E26" s="289"/>
      <c r="F26" s="289"/>
      <c r="G26" s="288"/>
      <c r="H26" s="314"/>
      <c r="I26" s="291">
        <f>NCL2_EB</f>
        <v>0</v>
      </c>
      <c r="J26" s="321" t="str">
        <f t="shared" si="1"/>
        <v>YES</v>
      </c>
    </row>
    <row r="27" spans="1:10">
      <c r="A27" s="4"/>
      <c r="B27" s="290"/>
      <c r="C27" s="291">
        <f>NCL3_BB</f>
        <v>0</v>
      </c>
      <c r="D27" s="288"/>
      <c r="E27" s="289"/>
      <c r="F27" s="289"/>
      <c r="G27" s="288"/>
      <c r="H27" s="314"/>
      <c r="I27" s="291">
        <f>NCL3_EB</f>
        <v>0</v>
      </c>
      <c r="J27" s="321" t="str">
        <f t="shared" si="1"/>
        <v>YES</v>
      </c>
    </row>
    <row r="28" spans="1:10">
      <c r="A28" s="4" t="str">
        <f>IF(SE1_="","",SE1_)</f>
        <v>Contributed Equity 1</v>
      </c>
      <c r="B28" s="290"/>
      <c r="C28" s="291">
        <f>SE1_BB</f>
        <v>0</v>
      </c>
      <c r="D28" s="288"/>
      <c r="E28" s="289"/>
      <c r="F28" s="289"/>
      <c r="G28" s="288"/>
      <c r="H28" s="314"/>
      <c r="I28" s="291">
        <f>SE1_EB</f>
        <v>0</v>
      </c>
      <c r="J28" s="321" t="str">
        <f t="shared" si="1"/>
        <v>YES</v>
      </c>
    </row>
    <row r="29" spans="1:10">
      <c r="A29" s="4" t="str">
        <f>IF(SE2_="","",SE2_)</f>
        <v>Contributed Equity 2</v>
      </c>
      <c r="B29" s="290"/>
      <c r="C29" s="291">
        <f>SE2_BB</f>
        <v>0</v>
      </c>
      <c r="D29" s="288"/>
      <c r="E29" s="289"/>
      <c r="F29" s="289"/>
      <c r="G29" s="288"/>
      <c r="H29" s="314"/>
      <c r="I29" s="291">
        <f>SE2_EB</f>
        <v>0</v>
      </c>
      <c r="J29" s="321" t="str">
        <f>IF(ROUND(C29-SUM(E29:E32)+SUM(F29:F32)-I29,2)=0,"YES",C29-SUM(E29:E32)+SUM(F29:F32)-I29)</f>
        <v>YES</v>
      </c>
    </row>
    <row r="30" spans="1:10">
      <c r="A30" s="4"/>
      <c r="B30" s="290"/>
      <c r="C30" s="291"/>
      <c r="D30" s="288"/>
      <c r="E30" s="289"/>
      <c r="F30" s="289"/>
      <c r="G30" s="288"/>
      <c r="H30" s="314"/>
      <c r="I30" s="291"/>
      <c r="J30" s="321"/>
    </row>
    <row r="31" spans="1:10">
      <c r="A31" s="4"/>
      <c r="B31" s="290"/>
      <c r="C31" s="291"/>
      <c r="D31" s="288"/>
      <c r="E31" s="289"/>
      <c r="F31" s="289"/>
      <c r="G31" s="288"/>
      <c r="H31" s="314"/>
      <c r="I31" s="291"/>
      <c r="J31" s="321"/>
    </row>
    <row r="32" spans="1:10">
      <c r="A32" s="4" t="str">
        <f>IF(SE3_="","",SE3_)</f>
        <v>Contributed Equity 3</v>
      </c>
      <c r="B32" s="290"/>
      <c r="C32" s="291">
        <f>SE3_BB</f>
        <v>0</v>
      </c>
      <c r="D32" s="288"/>
      <c r="E32" s="289"/>
      <c r="F32" s="289"/>
      <c r="G32" s="288"/>
      <c r="H32" s="314"/>
      <c r="I32" s="291">
        <f>SE3_EB</f>
        <v>0</v>
      </c>
      <c r="J32" s="321" t="str">
        <f t="shared" si="1"/>
        <v>YES</v>
      </c>
    </row>
    <row r="33" spans="1:12">
      <c r="A33" s="4" t="s">
        <v>56</v>
      </c>
      <c r="B33" s="286">
        <f>IF(SE4_BB_Dr&gt;0,SE4_BB_Dr,0)</f>
        <v>0</v>
      </c>
      <c r="C33" s="291">
        <f>IF(SE4_BB_Cr&gt;0,SE4_BB_Cr,0)</f>
        <v>0</v>
      </c>
      <c r="D33" s="288"/>
      <c r="E33" s="292"/>
      <c r="F33" s="292">
        <f>NI</f>
        <v>0</v>
      </c>
      <c r="G33" s="288" t="s">
        <v>212</v>
      </c>
      <c r="H33" s="315">
        <f>IF(SE4_EB_Dr&gt;0,SE4_EB_Dr,0)</f>
        <v>0</v>
      </c>
      <c r="I33" s="291">
        <f>IF(SE4_EB_Cr&gt;0,SE4_EB_Cr,0)</f>
        <v>0</v>
      </c>
      <c r="J33" s="321" t="str">
        <f>IF(ROUND(C33-SUM(E33:E33)+SUM(F33:F33)-I33,2)=0,"YES",C33-SUM(E33:E33)+SUM(F33:F33)-I33)</f>
        <v>YES</v>
      </c>
    </row>
    <row r="34" spans="1:12">
      <c r="A34" s="4"/>
      <c r="B34" s="290"/>
      <c r="C34" s="291"/>
      <c r="D34" s="288"/>
      <c r="E34" s="289"/>
      <c r="F34" s="289"/>
      <c r="G34" s="288"/>
      <c r="H34" s="314"/>
      <c r="I34" s="291"/>
      <c r="J34" s="322"/>
    </row>
    <row r="35" spans="1:12">
      <c r="A35" s="4"/>
      <c r="B35" s="294"/>
      <c r="C35" s="291"/>
      <c r="D35" s="288"/>
      <c r="E35" s="289"/>
      <c r="F35" s="289"/>
      <c r="G35" s="288"/>
      <c r="H35" s="316"/>
      <c r="I35" s="291"/>
      <c r="J35" s="323"/>
    </row>
    <row r="36" spans="1:12" ht="13.5" thickBot="1">
      <c r="B36" s="295">
        <f>SUM(B7:B35)</f>
        <v>0</v>
      </c>
      <c r="C36" s="296">
        <f>SUM(C7:C33)</f>
        <v>0</v>
      </c>
      <c r="D36" s="288"/>
      <c r="E36" s="451" t="s">
        <v>26</v>
      </c>
      <c r="F36" s="451"/>
      <c r="G36" s="288"/>
      <c r="H36" s="295">
        <f>SUM(H7:H35)</f>
        <v>0</v>
      </c>
      <c r="I36" s="296">
        <f>SUM(I7:I35)</f>
        <v>0</v>
      </c>
      <c r="J36" s="297"/>
      <c r="K36" s="298"/>
      <c r="L36" s="298"/>
    </row>
    <row r="37" spans="1:12" ht="13.5" thickTop="1">
      <c r="A37" s="4" t="s">
        <v>213</v>
      </c>
      <c r="B37" s="32">
        <f>Cash_BB</f>
        <v>0</v>
      </c>
      <c r="C37" s="282"/>
      <c r="D37" s="288" t="s">
        <v>214</v>
      </c>
      <c r="E37" s="299">
        <f>Cash_BB</f>
        <v>0</v>
      </c>
      <c r="F37" s="289"/>
      <c r="G37" s="288"/>
      <c r="H37" s="317">
        <f>Cash_EB</f>
        <v>0</v>
      </c>
      <c r="I37" s="300" t="s">
        <v>215</v>
      </c>
      <c r="J37" s="298"/>
      <c r="K37" s="298"/>
      <c r="L37" s="298"/>
    </row>
    <row r="38" spans="1:12" ht="13.5" thickBot="1">
      <c r="B38" s="296">
        <f>SUM(B36:B37)</f>
        <v>0</v>
      </c>
      <c r="C38" s="282"/>
      <c r="D38" s="288"/>
      <c r="E38" s="452" t="s">
        <v>216</v>
      </c>
      <c r="F38" s="452"/>
      <c r="G38" s="288"/>
      <c r="H38" s="296">
        <f>SUM(H36:H37)</f>
        <v>0</v>
      </c>
      <c r="I38" s="300"/>
      <c r="J38" s="298"/>
      <c r="K38" s="293"/>
      <c r="L38" s="293"/>
    </row>
    <row r="39" spans="1:12" ht="13.5" thickTop="1">
      <c r="B39" s="298"/>
      <c r="C39" s="298"/>
      <c r="D39" s="281" t="s">
        <v>212</v>
      </c>
      <c r="E39" s="291">
        <f>NI</f>
        <v>0</v>
      </c>
      <c r="F39" s="295"/>
      <c r="G39" s="281"/>
      <c r="H39" s="300"/>
      <c r="I39" s="300"/>
      <c r="J39" s="298"/>
      <c r="K39" s="298"/>
      <c r="L39" s="298"/>
    </row>
    <row r="40" spans="1:12">
      <c r="B40" s="301" t="s">
        <v>217</v>
      </c>
      <c r="C40" s="302">
        <f>B38-C36</f>
        <v>0</v>
      </c>
      <c r="D40" s="303"/>
      <c r="E40" s="304"/>
      <c r="F40" s="289"/>
      <c r="G40" s="303"/>
      <c r="H40" s="305" t="s">
        <v>217</v>
      </c>
      <c r="I40" s="302">
        <f>H38-I36</f>
        <v>0</v>
      </c>
      <c r="J40" s="298"/>
      <c r="K40" s="298"/>
      <c r="L40" s="298"/>
    </row>
    <row r="41" spans="1:12">
      <c r="B41" s="298"/>
      <c r="C41" s="298"/>
      <c r="D41" s="303"/>
      <c r="E41" s="304"/>
      <c r="F41" s="289"/>
      <c r="G41" s="303"/>
      <c r="H41" s="298"/>
      <c r="I41" s="298"/>
      <c r="J41" s="298"/>
      <c r="K41" s="298"/>
      <c r="L41" s="298"/>
    </row>
    <row r="42" spans="1:12">
      <c r="B42" s="298"/>
      <c r="C42" s="298"/>
      <c r="D42" s="303"/>
      <c r="E42" s="304"/>
      <c r="F42" s="289"/>
      <c r="G42" s="303"/>
      <c r="H42" s="298"/>
      <c r="I42" s="298"/>
      <c r="J42" s="298"/>
      <c r="K42" s="298"/>
      <c r="L42" s="298"/>
    </row>
    <row r="43" spans="1:12">
      <c r="B43" s="298"/>
      <c r="C43" s="298"/>
      <c r="D43" s="303"/>
      <c r="E43" s="304"/>
      <c r="F43" s="289"/>
      <c r="G43" s="303"/>
      <c r="H43" s="298"/>
      <c r="I43" s="298"/>
      <c r="J43" s="298"/>
      <c r="K43" s="298"/>
      <c r="L43" s="298"/>
    </row>
    <row r="44" spans="1:12">
      <c r="B44" s="298"/>
      <c r="C44" s="298"/>
      <c r="D44" s="303"/>
      <c r="E44" s="304"/>
      <c r="F44" s="289"/>
      <c r="G44" s="303"/>
      <c r="H44" s="298"/>
      <c r="I44" s="298"/>
      <c r="J44" s="298"/>
      <c r="K44" s="298"/>
      <c r="L44" s="298"/>
    </row>
    <row r="45" spans="1:12">
      <c r="B45" s="298"/>
      <c r="C45" s="298"/>
      <c r="D45" s="281"/>
      <c r="E45" s="304"/>
      <c r="F45" s="289"/>
      <c r="G45" s="303"/>
      <c r="H45" s="298"/>
      <c r="I45" s="298"/>
      <c r="J45" s="298"/>
      <c r="K45" s="298"/>
      <c r="L45" s="298"/>
    </row>
    <row r="46" spans="1:12">
      <c r="B46" s="298"/>
      <c r="C46" s="298"/>
      <c r="D46" s="303"/>
      <c r="E46" s="304"/>
      <c r="F46" s="289"/>
      <c r="G46" s="303"/>
      <c r="H46" s="298"/>
      <c r="I46" s="298"/>
      <c r="J46" s="298"/>
      <c r="K46" s="298"/>
      <c r="L46" s="298"/>
    </row>
    <row r="47" spans="1:12">
      <c r="B47" s="298"/>
      <c r="C47" s="298"/>
      <c r="D47" s="303"/>
      <c r="E47" s="304"/>
      <c r="F47" s="289"/>
      <c r="G47" s="303"/>
      <c r="H47" s="298"/>
      <c r="I47" s="298"/>
      <c r="J47" s="298"/>
      <c r="K47" s="298"/>
      <c r="L47" s="298"/>
    </row>
    <row r="48" spans="1:12">
      <c r="B48" s="298"/>
      <c r="C48" s="298"/>
      <c r="D48" s="306" t="s">
        <v>218</v>
      </c>
      <c r="E48" s="307">
        <f xml:space="preserve"> MAX(SUM(E39:E47)-SUM(F39:F47),0)</f>
        <v>0</v>
      </c>
      <c r="F48" s="308">
        <f>MAX(SUM(F39:F47)-SUM(E39:E47),0)</f>
        <v>0</v>
      </c>
      <c r="G48" s="303"/>
      <c r="H48" s="298"/>
      <c r="I48" s="298"/>
      <c r="J48" s="301" t="s">
        <v>219</v>
      </c>
      <c r="K48" s="301" t="s">
        <v>220</v>
      </c>
      <c r="L48" s="301"/>
    </row>
    <row r="49" spans="2:12">
      <c r="B49" s="298"/>
      <c r="C49" s="298"/>
      <c r="D49" s="303"/>
      <c r="E49" s="304"/>
      <c r="F49" s="289"/>
      <c r="G49" s="303"/>
      <c r="H49" s="301" t="s">
        <v>221</v>
      </c>
      <c r="I49" s="298"/>
      <c r="J49" s="295">
        <f>SUM(E7:E35)+SUM(E39:E47)+SUM(E51:E53)+SUM(E57:E58)</f>
        <v>0</v>
      </c>
      <c r="K49" s="295">
        <f>SUM(F7:F35)+SUM(F39:F47)+SUM(F51:F53)+SUM(F57:F58)</f>
        <v>0</v>
      </c>
      <c r="L49" s="295"/>
    </row>
    <row r="50" spans="2:12">
      <c r="B50" s="298"/>
      <c r="C50" s="298"/>
      <c r="D50" s="303"/>
      <c r="E50" s="452" t="s">
        <v>222</v>
      </c>
      <c r="F50" s="452"/>
      <c r="G50" s="303"/>
      <c r="H50" s="298"/>
      <c r="I50" s="298"/>
      <c r="J50" s="282"/>
      <c r="K50" s="282"/>
      <c r="L50" s="282"/>
    </row>
    <row r="51" spans="2:12">
      <c r="B51" s="298"/>
      <c r="C51" s="298"/>
      <c r="D51" s="303"/>
      <c r="E51" s="304"/>
      <c r="F51" s="309"/>
      <c r="G51" s="303"/>
      <c r="H51" s="298"/>
      <c r="I51" s="4" t="s">
        <v>217</v>
      </c>
      <c r="J51" s="302">
        <f>J49-K49</f>
        <v>0</v>
      </c>
      <c r="K51" s="282"/>
      <c r="L51" s="282"/>
    </row>
    <row r="52" spans="2:12">
      <c r="B52" s="298"/>
      <c r="C52" s="298"/>
      <c r="D52" s="303"/>
      <c r="E52" s="304"/>
      <c r="F52" s="309"/>
      <c r="G52" s="303"/>
      <c r="H52" s="298"/>
      <c r="I52" s="298"/>
      <c r="J52" s="282"/>
      <c r="K52" s="282"/>
      <c r="L52" s="282"/>
    </row>
    <row r="53" spans="2:12">
      <c r="B53" s="298"/>
      <c r="C53" s="298"/>
      <c r="D53" s="303"/>
      <c r="E53" s="304"/>
      <c r="F53" s="289"/>
      <c r="G53" s="303"/>
      <c r="H53" s="298"/>
      <c r="I53" s="298"/>
      <c r="J53" s="282"/>
      <c r="K53" s="282"/>
      <c r="L53" s="282"/>
    </row>
    <row r="54" spans="2:12">
      <c r="B54" s="298"/>
      <c r="C54" s="298"/>
      <c r="D54" s="306" t="s">
        <v>223</v>
      </c>
      <c r="E54" s="307">
        <f xml:space="preserve"> MAX(SUM(E51:E53)-SUM(F51:F53),0)</f>
        <v>0</v>
      </c>
      <c r="F54" s="308">
        <f>MAX(SUM(F51:F53)-SUM(E51:E53),0)</f>
        <v>0</v>
      </c>
      <c r="G54" s="303"/>
      <c r="H54" s="301" t="s">
        <v>224</v>
      </c>
      <c r="I54" s="298"/>
      <c r="J54" s="282"/>
      <c r="K54" s="282"/>
      <c r="L54" s="282"/>
    </row>
    <row r="55" spans="2:12">
      <c r="B55" s="298"/>
      <c r="C55" s="298"/>
      <c r="D55" s="303"/>
      <c r="E55" s="304"/>
      <c r="F55" s="289"/>
      <c r="G55" s="303"/>
      <c r="H55" s="298"/>
      <c r="I55" s="298"/>
      <c r="J55" s="310">
        <f>ROUND(E60-Cash_EB,2)</f>
        <v>0</v>
      </c>
      <c r="K55" s="282"/>
      <c r="L55" s="282"/>
    </row>
    <row r="56" spans="2:12">
      <c r="B56" s="298"/>
      <c r="C56" s="298"/>
      <c r="D56" s="303"/>
      <c r="E56" s="452" t="s">
        <v>225</v>
      </c>
      <c r="F56" s="452"/>
      <c r="G56" s="303"/>
      <c r="H56" s="298"/>
      <c r="I56" s="298"/>
      <c r="J56" s="282"/>
      <c r="K56" s="282"/>
      <c r="L56" s="282"/>
    </row>
    <row r="57" spans="2:12">
      <c r="B57" s="298"/>
      <c r="C57" s="298"/>
      <c r="D57" s="303"/>
      <c r="E57" s="304"/>
      <c r="F57" s="289"/>
      <c r="G57" s="303"/>
      <c r="H57" s="298"/>
      <c r="I57" s="298"/>
      <c r="J57" s="298"/>
      <c r="K57" s="298"/>
      <c r="L57" s="298"/>
    </row>
    <row r="58" spans="2:12">
      <c r="B58" s="298"/>
      <c r="C58" s="298"/>
      <c r="D58" s="281"/>
      <c r="E58" s="311"/>
      <c r="F58" s="282"/>
      <c r="G58" s="303"/>
      <c r="H58" s="298"/>
      <c r="I58" s="298"/>
      <c r="J58" s="298"/>
      <c r="K58" s="298"/>
      <c r="L58" s="298"/>
    </row>
    <row r="59" spans="2:12">
      <c r="B59" s="298"/>
      <c r="C59" s="298"/>
      <c r="D59" s="306" t="s">
        <v>226</v>
      </c>
      <c r="E59" s="307">
        <f xml:space="preserve"> MAX(SUM(E57:E58)-SUM(F57:F58),0)</f>
        <v>0</v>
      </c>
      <c r="F59" s="308">
        <f>MAX(SUM(F57:F58)-SUM(E57:E58),0)</f>
        <v>0</v>
      </c>
      <c r="G59" s="303"/>
      <c r="H59" s="298"/>
      <c r="I59" s="298"/>
      <c r="J59" s="298"/>
      <c r="K59" s="298"/>
      <c r="L59" s="298"/>
    </row>
    <row r="60" spans="2:12" ht="13.5" thickBot="1">
      <c r="D60" s="306" t="s">
        <v>227</v>
      </c>
      <c r="E60" s="336">
        <f>E37-F48+E48-F54+E54-F59+E59</f>
        <v>0</v>
      </c>
      <c r="F60" s="312"/>
      <c r="G60" s="281"/>
    </row>
    <row r="61" spans="2:12" ht="13.5" thickTop="1">
      <c r="D61" s="281"/>
      <c r="G61" s="281"/>
    </row>
    <row r="62" spans="2:12">
      <c r="D62" s="281"/>
      <c r="G62" s="281"/>
    </row>
  </sheetData>
  <mergeCells count="10">
    <mergeCell ref="E36:F36"/>
    <mergeCell ref="E38:F38"/>
    <mergeCell ref="E50:F50"/>
    <mergeCell ref="E56:F56"/>
    <mergeCell ref="A1:I1"/>
    <mergeCell ref="A2:I2"/>
    <mergeCell ref="A3:I3"/>
    <mergeCell ref="B5:C5"/>
    <mergeCell ref="E5:F5"/>
    <mergeCell ref="H5:I5"/>
  </mergeCells>
  <conditionalFormatting sqref="A1:A3">
    <cfRule type="expression" dxfId="142" priority="20">
      <formula>$J$55=0</formula>
    </cfRule>
  </conditionalFormatting>
  <conditionalFormatting sqref="C40">
    <cfRule type="cellIs" dxfId="141" priority="28" operator="notEqual">
      <formula>0</formula>
    </cfRule>
    <cfRule type="cellIs" dxfId="140" priority="29" operator="equal">
      <formula>0</formula>
    </cfRule>
  </conditionalFormatting>
  <conditionalFormatting sqref="E60">
    <cfRule type="expression" dxfId="139" priority="21">
      <formula>$J$55=0</formula>
    </cfRule>
  </conditionalFormatting>
  <conditionalFormatting sqref="I40">
    <cfRule type="cellIs" dxfId="138" priority="26" operator="notEqual">
      <formula>0</formula>
    </cfRule>
    <cfRule type="cellIs" dxfId="137" priority="27" operator="equal">
      <formula>0</formula>
    </cfRule>
  </conditionalFormatting>
  <conditionalFormatting sqref="J7:J35">
    <cfRule type="cellIs" dxfId="136" priority="1" operator="equal">
      <formula>""</formula>
    </cfRule>
    <cfRule type="cellIs" dxfId="135" priority="2" operator="notEqual">
      <formula>"YES"</formula>
    </cfRule>
  </conditionalFormatting>
  <conditionalFormatting sqref="J51 J55">
    <cfRule type="cellIs" dxfId="134" priority="31" operator="notEqual">
      <formula>0</formula>
    </cfRule>
    <cfRule type="cellIs" dxfId="133" priority="33" operator="equal">
      <formula>0</formula>
    </cfRule>
  </conditionalFormatting>
  <pageMargins left="0.7" right="0.7" top="0.75" bottom="0.75" header="0.3" footer="0.3"/>
  <pageSetup scale="94" orientation="portrait" horizontalDpi="4294967295" verticalDpi="4294967295" r:id="rId1"/>
  <headerFooter>
    <oddHeader>&amp;CRusher Co. Solution
Indirect Method Worksheet</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208"/>
  <sheetViews>
    <sheetView zoomScaleNormal="100" workbookViewId="0">
      <selection activeCell="M6" sqref="M6"/>
    </sheetView>
  </sheetViews>
  <sheetFormatPr defaultColWidth="8.7109375" defaultRowHeight="12.75"/>
  <cols>
    <col min="1" max="1" width="39.42578125" customWidth="1"/>
    <col min="2" max="2" width="14.28515625" customWidth="1"/>
    <col min="3" max="3" width="11.42578125" customWidth="1"/>
    <col min="4" max="4" width="11.7109375" customWidth="1"/>
    <col min="5" max="5" width="10.7109375" customWidth="1"/>
    <col min="7" max="7" width="30.28515625" customWidth="1"/>
    <col min="8" max="8" width="10.42578125" bestFit="1" customWidth="1"/>
    <col min="10" max="10" width="8.7109375" customWidth="1"/>
  </cols>
  <sheetData>
    <row r="1" spans="1:8" ht="13.5" thickBot="1">
      <c r="A1" s="467" t="str">
        <f>Entity</f>
        <v>ImmuCell Corp.</v>
      </c>
      <c r="B1" s="468"/>
      <c r="C1" s="468"/>
      <c r="D1" s="468"/>
      <c r="E1" s="469"/>
      <c r="G1" s="457" t="s">
        <v>228</v>
      </c>
      <c r="H1" s="457"/>
    </row>
    <row r="2" spans="1:8">
      <c r="A2" s="470" t="s">
        <v>229</v>
      </c>
      <c r="B2" s="453"/>
      <c r="C2" s="453"/>
      <c r="D2" s="453"/>
      <c r="E2" s="471"/>
      <c r="G2" s="466" t="str">
        <f>"Balance Sheet as of "&amp;BegDate</f>
        <v>Balance Sheet as of [BegDate]</v>
      </c>
      <c r="H2" s="466"/>
    </row>
    <row r="3" spans="1:8" ht="15.75" customHeight="1">
      <c r="A3" s="470" t="str">
        <f>"as of "&amp;EndDate&amp;" and "&amp;BegDate</f>
        <v>as of [EndDate] and [BegDate]</v>
      </c>
      <c r="B3" s="453"/>
      <c r="C3" s="453"/>
      <c r="D3" s="453"/>
      <c r="E3" s="471"/>
      <c r="G3" s="4" t="s">
        <v>230</v>
      </c>
      <c r="H3" s="61">
        <f>E26</f>
        <v>0</v>
      </c>
    </row>
    <row r="4" spans="1:8" ht="13.5" thickBot="1">
      <c r="A4" s="472" t="str">
        <f>Units</f>
        <v>[Units]</v>
      </c>
      <c r="B4" s="473"/>
      <c r="C4" s="473"/>
      <c r="D4" s="473"/>
      <c r="E4" s="474"/>
      <c r="G4" s="4" t="s">
        <v>231</v>
      </c>
      <c r="H4" s="61">
        <f>E49</f>
        <v>0</v>
      </c>
    </row>
    <row r="5" spans="1:8" ht="15.75" thickBot="1">
      <c r="A5" s="475" t="s">
        <v>137</v>
      </c>
      <c r="B5" s="476"/>
      <c r="C5" s="476"/>
      <c r="D5" s="476"/>
      <c r="E5" s="477"/>
      <c r="G5" s="4" t="s">
        <v>232</v>
      </c>
      <c r="H5" s="61">
        <f>E58</f>
        <v>0</v>
      </c>
    </row>
    <row r="6" spans="1:8" ht="16.5" customHeight="1" thickTop="1" thickBot="1">
      <c r="A6" s="36"/>
      <c r="B6" s="461" t="str">
        <f>EndDate</f>
        <v>[EndDate]</v>
      </c>
      <c r="C6" s="462"/>
      <c r="D6" s="461" t="str">
        <f>BegDate</f>
        <v>[BegDate]</v>
      </c>
      <c r="E6" s="463"/>
      <c r="G6" s="4" t="s">
        <v>233</v>
      </c>
      <c r="H6" s="81">
        <f>ROUND(H3-H4-H5,2)</f>
        <v>0</v>
      </c>
    </row>
    <row r="7" spans="1:8" ht="15.75" thickTop="1">
      <c r="A7" s="37" t="s">
        <v>234</v>
      </c>
      <c r="B7" s="23"/>
      <c r="C7" s="24"/>
      <c r="D7" s="14"/>
      <c r="E7" s="25"/>
    </row>
    <row r="8" spans="1:8" ht="15">
      <c r="A8" s="78" t="str">
        <f>Cash_</f>
        <v>Cash</v>
      </c>
      <c r="B8" s="67">
        <f>IF(Cash_EB="","",Cash_EB)</f>
        <v>0</v>
      </c>
      <c r="C8" s="47"/>
      <c r="D8" s="66">
        <f>Cash_BB</f>
        <v>0</v>
      </c>
      <c r="E8" s="6"/>
      <c r="G8" s="466" t="str">
        <f>"Balance Sheet as of "&amp;EndDate</f>
        <v>Balance Sheet as of [EndDate]</v>
      </c>
      <c r="H8" s="466"/>
    </row>
    <row r="9" spans="1:8" ht="15">
      <c r="A9" s="78" t="str">
        <f>IF(CA2_="","",CA2_)</f>
        <v>Current Asset 2</v>
      </c>
      <c r="B9" s="60">
        <f>IF(CA2_EB="","",CA2_EB)</f>
        <v>0</v>
      </c>
      <c r="C9" s="48"/>
      <c r="D9" s="57">
        <f>CA2_BB</f>
        <v>0</v>
      </c>
      <c r="E9" s="7"/>
      <c r="G9" s="4" t="s">
        <v>230</v>
      </c>
      <c r="H9" s="61">
        <f>C26</f>
        <v>0</v>
      </c>
    </row>
    <row r="10" spans="1:8" ht="15">
      <c r="A10" s="78" t="str">
        <f>IF(AND(CA3_="",CA3_Contra=""),"",IF(CA3_Contra="",CA3_,CA3_&amp;", net"))</f>
        <v>Current Asset 3, net</v>
      </c>
      <c r="B10" s="60">
        <f>IF(A10=CA3_&amp;", net",CA3_EB-CA3_Contra_EB,CA3_EB)</f>
        <v>0</v>
      </c>
      <c r="C10" s="48"/>
      <c r="D10" s="57">
        <f>IF(A10=CA3_&amp;", net",CA3_BB-CA3_Contra_BB,CA3_BB)</f>
        <v>0</v>
      </c>
      <c r="E10" s="7"/>
      <c r="G10" s="4" t="s">
        <v>231</v>
      </c>
      <c r="H10" s="61">
        <f>C49</f>
        <v>0</v>
      </c>
    </row>
    <row r="11" spans="1:8" ht="15">
      <c r="A11" s="78" t="str">
        <f>IF(AND(CA4_="",CA4_Contra=""),"",IF(CA4_Contra="",CA4_,CA4_&amp;", net"))</f>
        <v>Current Asset 4, net</v>
      </c>
      <c r="B11" s="60">
        <f>IF(A11=CA4_&amp;", net",CA4_EB-CA4_Contra_EB,CA4_EB)</f>
        <v>0</v>
      </c>
      <c r="C11" s="48"/>
      <c r="D11" s="57">
        <f>IF(A11=CA4_&amp;", net",CA4_BB-CA4_Contra_BB,CA4_BB)</f>
        <v>0</v>
      </c>
      <c r="E11" s="7"/>
      <c r="G11" s="4" t="s">
        <v>232</v>
      </c>
      <c r="H11" s="61">
        <f>C58</f>
        <v>0</v>
      </c>
    </row>
    <row r="12" spans="1:8" ht="15.75" thickBot="1">
      <c r="A12" s="78" t="str">
        <f>IF(CA5_="","",CA5_)</f>
        <v>Current Asset 5</v>
      </c>
      <c r="B12" s="60">
        <f>IF(CA5_EB="","",CA5_EB)</f>
        <v>0</v>
      </c>
      <c r="C12" s="48"/>
      <c r="D12" s="57">
        <f>CA5_BB</f>
        <v>0</v>
      </c>
      <c r="E12" s="7"/>
      <c r="G12" s="4" t="s">
        <v>233</v>
      </c>
      <c r="H12" s="81">
        <f>ROUND(H9-H10-H11,2)</f>
        <v>0</v>
      </c>
    </row>
    <row r="13" spans="1:8" ht="15.75" thickTop="1">
      <c r="A13" s="78" t="str">
        <f>IF(CA6_="","",CA6_)</f>
        <v>Current Asset 6</v>
      </c>
      <c r="B13" s="60">
        <f>IF(CA6_EB="","",CA6_EB)</f>
        <v>0</v>
      </c>
      <c r="C13" s="48"/>
      <c r="D13" s="57">
        <f>CA6_BB</f>
        <v>0</v>
      </c>
      <c r="E13" s="7"/>
    </row>
    <row r="14" spans="1:8" ht="15" customHeight="1">
      <c r="A14" s="78" t="str">
        <f>IF(CA7_="","",CA7_)</f>
        <v>Current Asset 7</v>
      </c>
      <c r="B14" s="60">
        <f>IF(CA7_EB="","",CA7_EB)</f>
        <v>0</v>
      </c>
      <c r="C14" s="48"/>
      <c r="D14" s="57">
        <f>CA7_BB</f>
        <v>0</v>
      </c>
      <c r="E14" s="7"/>
    </row>
    <row r="15" spans="1:8" ht="15">
      <c r="A15" s="35" t="s">
        <v>235</v>
      </c>
      <c r="B15" s="34"/>
      <c r="C15" s="70">
        <f>SUM(B8:B14)</f>
        <v>0</v>
      </c>
      <c r="D15" s="64"/>
      <c r="E15" s="74">
        <f>SUM(D8:D14)</f>
        <v>0</v>
      </c>
    </row>
    <row r="16" spans="1:8" ht="15">
      <c r="A16" s="38"/>
      <c r="B16" s="49"/>
      <c r="C16" s="47"/>
      <c r="D16" s="8"/>
      <c r="E16" s="6"/>
    </row>
    <row r="17" spans="1:7" ht="15">
      <c r="A17" s="37" t="s">
        <v>236</v>
      </c>
      <c r="B17" s="49"/>
      <c r="C17" s="47"/>
      <c r="D17" s="8"/>
      <c r="E17" s="6"/>
      <c r="G17" s="4"/>
    </row>
    <row r="18" spans="1:7" ht="15">
      <c r="A18" s="78" t="str">
        <f>IF(NCA1_="","",NCA1_)</f>
        <v>Property, Plant &amp; Equipment</v>
      </c>
      <c r="B18" s="66">
        <f>NCA1_EB</f>
        <v>0</v>
      </c>
      <c r="C18" s="47"/>
      <c r="D18" s="66">
        <f>NCA1_BB</f>
        <v>0</v>
      </c>
      <c r="E18" s="6"/>
    </row>
    <row r="19" spans="1:7" ht="15">
      <c r="A19" s="78" t="str">
        <f>IF(NCA1_Contra="","",NCA1_Contra)</f>
        <v>Accumulated Depreciation</v>
      </c>
      <c r="B19" s="60">
        <f>-NCA1_Contra_EB</f>
        <v>0</v>
      </c>
      <c r="C19" s="47"/>
      <c r="D19" s="57">
        <f>-NCA1_Contra_BB</f>
        <v>0</v>
      </c>
      <c r="E19" s="6"/>
    </row>
    <row r="20" spans="1:7" ht="15">
      <c r="A20" s="35" t="s">
        <v>237</v>
      </c>
      <c r="B20" s="71">
        <f>SUM(B18:B19)</f>
        <v>0</v>
      </c>
      <c r="C20" s="59"/>
      <c r="D20" s="71">
        <f>SUM(D18:D19)</f>
        <v>0</v>
      </c>
      <c r="E20" s="9"/>
    </row>
    <row r="21" spans="1:7" ht="15">
      <c r="A21" s="35" t="str">
        <f>IF(AND(NCA2_="",NCA2_Contra=""),"",IF(NCA2_Contra="",NCA2_,NCA2_&amp;", net"))</f>
        <v>Property, Plant &amp; Equipment, net</v>
      </c>
      <c r="B21" s="60">
        <f>IF(A21=NCA2_&amp;", net",NCA2_EB-NCA2_Contra_EB,NCA2_EB)</f>
        <v>0</v>
      </c>
      <c r="C21" s="50"/>
      <c r="D21" s="57">
        <f>IF(A21=NCA2_&amp;", net",NCA2_BB-NCA2_Contra_BB,NCA2_BB)</f>
        <v>0</v>
      </c>
      <c r="E21" s="9"/>
    </row>
    <row r="22" spans="1:7" ht="15">
      <c r="A22" s="78" t="str">
        <f>IF(NCA3_="","",NCA3_)</f>
        <v>Property, Plant &amp; Equipment</v>
      </c>
      <c r="B22" s="60">
        <f>NCA3_EB</f>
        <v>0</v>
      </c>
      <c r="C22" s="50"/>
      <c r="D22" s="57">
        <f>NCA3_BB</f>
        <v>0</v>
      </c>
      <c r="E22" s="9"/>
    </row>
    <row r="23" spans="1:7" ht="15">
      <c r="A23" s="78" t="str">
        <f>IF(NCA4_="","",NCA4_)</f>
        <v>Property, Plant &amp; Equipment</v>
      </c>
      <c r="B23" s="60">
        <f>NCA4_EB</f>
        <v>0</v>
      </c>
      <c r="C23" s="50"/>
      <c r="D23" s="57">
        <f>NCA4_BB</f>
        <v>0</v>
      </c>
      <c r="E23" s="9"/>
    </row>
    <row r="24" spans="1:7" ht="15">
      <c r="A24" s="35" t="s">
        <v>238</v>
      </c>
      <c r="B24" s="34"/>
      <c r="C24" s="70">
        <f>SUM(B20:B23)</f>
        <v>0</v>
      </c>
      <c r="D24" s="65"/>
      <c r="E24" s="74">
        <f>SUM(D20:D23)</f>
        <v>0</v>
      </c>
    </row>
    <row r="25" spans="1:7" ht="15">
      <c r="A25" s="39"/>
      <c r="B25" s="49"/>
      <c r="C25" s="47"/>
      <c r="D25" s="8"/>
      <c r="E25" s="6"/>
    </row>
    <row r="26" spans="1:7" ht="15.75" thickBot="1">
      <c r="A26" s="40" t="s">
        <v>230</v>
      </c>
      <c r="B26" s="49"/>
      <c r="C26" s="72">
        <f>C15+C24</f>
        <v>0</v>
      </c>
      <c r="D26" s="58"/>
      <c r="E26" s="73">
        <f>E15+E24</f>
        <v>0</v>
      </c>
    </row>
    <row r="27" spans="1:7" ht="16.5" thickTop="1" thickBot="1">
      <c r="A27" s="41"/>
      <c r="B27" s="51"/>
      <c r="C27" s="52"/>
      <c r="D27" s="11"/>
      <c r="E27" s="12"/>
    </row>
    <row r="28" spans="1:7" ht="16.5" thickTop="1" thickBot="1">
      <c r="A28" s="458" t="s">
        <v>239</v>
      </c>
      <c r="B28" s="459"/>
      <c r="C28" s="459"/>
      <c r="D28" s="459"/>
      <c r="E28" s="460"/>
    </row>
    <row r="29" spans="1:7" ht="16.5" thickTop="1" thickBot="1">
      <c r="A29" s="14"/>
      <c r="B29" s="461" t="str">
        <f>EndDate</f>
        <v>[EndDate]</v>
      </c>
      <c r="C29" s="462"/>
      <c r="D29" s="461" t="str">
        <f>BegDate</f>
        <v>[BegDate]</v>
      </c>
      <c r="E29" s="463"/>
    </row>
    <row r="30" spans="1:7" ht="15.75" thickTop="1">
      <c r="A30" s="42" t="s">
        <v>240</v>
      </c>
      <c r="B30" s="29"/>
      <c r="C30" s="26"/>
      <c r="D30" s="14"/>
      <c r="E30" s="27"/>
    </row>
    <row r="31" spans="1:7" ht="15">
      <c r="A31" s="79" t="str">
        <f>IF(CL1_="","",CL1_)</f>
        <v>Current Liability 1</v>
      </c>
      <c r="B31" s="67">
        <f>CL1_EB</f>
        <v>0</v>
      </c>
      <c r="C31" s="50"/>
      <c r="D31" s="66">
        <f>CL1_BB</f>
        <v>0</v>
      </c>
      <c r="E31" s="7"/>
    </row>
    <row r="32" spans="1:7" ht="15">
      <c r="A32" s="79" t="str">
        <f>IF(CL2_="","",CL2_)</f>
        <v>Current Liability 2</v>
      </c>
      <c r="B32" s="60">
        <f>CL2_EB</f>
        <v>0</v>
      </c>
      <c r="C32" s="50"/>
      <c r="D32" s="57">
        <f>CL2_BB</f>
        <v>0</v>
      </c>
      <c r="E32" s="7"/>
      <c r="G32" s="80"/>
    </row>
    <row r="33" spans="1:7" ht="15">
      <c r="A33" s="79" t="str">
        <f>IF(CL3_="","",CL3_)</f>
        <v>Current Liability 3</v>
      </c>
      <c r="B33" s="60">
        <f>CL3_EB</f>
        <v>0</v>
      </c>
      <c r="C33" s="50"/>
      <c r="D33" s="57">
        <f>CL3_BB</f>
        <v>0</v>
      </c>
      <c r="E33" s="7"/>
      <c r="G33" s="80"/>
    </row>
    <row r="34" spans="1:7" ht="15">
      <c r="A34" s="79" t="str">
        <f>IF(CL4_="","",CL4_)</f>
        <v>Current Liability 4</v>
      </c>
      <c r="B34" s="60">
        <f>CL4_EB</f>
        <v>0</v>
      </c>
      <c r="C34" s="50"/>
      <c r="D34" s="57">
        <f>CL4_BB</f>
        <v>0</v>
      </c>
      <c r="E34" s="7"/>
      <c r="G34" s="80"/>
    </row>
    <row r="35" spans="1:7" ht="15">
      <c r="A35" s="79" t="str">
        <f>IF(CL5_="","",CL5_)</f>
        <v>Current Liability 5</v>
      </c>
      <c r="B35" s="60">
        <f>CL5_EB</f>
        <v>0</v>
      </c>
      <c r="C35" s="50"/>
      <c r="D35" s="57">
        <f>CL5_BB</f>
        <v>0</v>
      </c>
      <c r="E35" s="7"/>
      <c r="G35" s="80"/>
    </row>
    <row r="36" spans="1:7" ht="15">
      <c r="A36" s="79" t="str">
        <f>IF(CL6_="","",CL6_)</f>
        <v>Current Liability 6</v>
      </c>
      <c r="B36" s="60">
        <f>CL6_EB</f>
        <v>0</v>
      </c>
      <c r="C36" s="50"/>
      <c r="D36" s="57">
        <f>CL6_BB</f>
        <v>0</v>
      </c>
      <c r="E36" s="7"/>
      <c r="G36" s="80"/>
    </row>
    <row r="37" spans="1:7" ht="15">
      <c r="A37" s="79" t="str">
        <f>IF(CL7_="","",CL7_)</f>
        <v>Current Liability 7</v>
      </c>
      <c r="B37" s="60">
        <f>CL7_EB</f>
        <v>0</v>
      </c>
      <c r="C37" s="50"/>
      <c r="D37" s="57">
        <f>CL7_BB</f>
        <v>0</v>
      </c>
      <c r="E37" s="7"/>
      <c r="G37" s="80"/>
    </row>
    <row r="38" spans="1:7" ht="15">
      <c r="A38" s="43" t="s">
        <v>241</v>
      </c>
      <c r="B38" s="34"/>
      <c r="C38" s="70">
        <f>SUM(B31:B37)</f>
        <v>0</v>
      </c>
      <c r="D38" s="64"/>
      <c r="E38" s="74">
        <f>SUM(D31:D37)</f>
        <v>0</v>
      </c>
    </row>
    <row r="39" spans="1:7" ht="15">
      <c r="A39" s="43"/>
      <c r="B39" s="49"/>
      <c r="C39" s="53"/>
      <c r="D39" s="8"/>
      <c r="E39" s="28"/>
    </row>
    <row r="40" spans="1:7" ht="15">
      <c r="A40" s="42" t="s">
        <v>242</v>
      </c>
      <c r="B40" s="49"/>
      <c r="C40" s="48"/>
      <c r="D40" s="8"/>
      <c r="E40" s="7"/>
    </row>
    <row r="41" spans="1:7" ht="15">
      <c r="A41" s="79" t="str">
        <f>IF(NCL1_="","",NCL1_)</f>
        <v>Noncurrent Liability 1</v>
      </c>
      <c r="B41" s="67">
        <f>NCL1_EB</f>
        <v>0</v>
      </c>
      <c r="C41" s="50"/>
      <c r="D41" s="66">
        <f>NCL1_BB</f>
        <v>0</v>
      </c>
      <c r="E41" s="10"/>
    </row>
    <row r="42" spans="1:7" ht="15">
      <c r="A42" s="79" t="str">
        <f>IF(NCL2_="","",NCL2_)</f>
        <v>Noncurrent Liability 2</v>
      </c>
      <c r="B42" s="60">
        <f>NCL2_EB</f>
        <v>0</v>
      </c>
      <c r="C42" s="50"/>
      <c r="D42" s="57">
        <f>NCL2_BB</f>
        <v>0</v>
      </c>
      <c r="E42" s="7"/>
    </row>
    <row r="43" spans="1:7" ht="15">
      <c r="A43" s="79" t="str">
        <f>IF(NCL3_="","",NCL3_)</f>
        <v>Noncurrent Liability 3</v>
      </c>
      <c r="B43" s="60">
        <f>NCL3_EB</f>
        <v>0</v>
      </c>
      <c r="C43" s="50"/>
      <c r="D43" s="57">
        <f>NCL3_BB</f>
        <v>0</v>
      </c>
      <c r="E43" s="7"/>
    </row>
    <row r="44" spans="1:7" ht="15">
      <c r="A44" s="79" t="str">
        <f>IF(NCL4_="","",NCL4_)</f>
        <v>Noncurrent Liability 4</v>
      </c>
      <c r="B44" s="60">
        <f>NCL4_EB</f>
        <v>0</v>
      </c>
      <c r="C44" s="50"/>
      <c r="D44" s="57">
        <f>NCL4_BB</f>
        <v>0</v>
      </c>
      <c r="E44" s="7"/>
    </row>
    <row r="45" spans="1:7" ht="15">
      <c r="A45" s="79" t="str">
        <f>IF(NCL5_="","",NCL5_)</f>
        <v>Noncurrent Liability 5</v>
      </c>
      <c r="B45" s="60">
        <f>NCL5_EB</f>
        <v>0</v>
      </c>
      <c r="C45" s="50"/>
      <c r="D45" s="57">
        <f>NCL5_BB</f>
        <v>0</v>
      </c>
      <c r="E45" s="7"/>
    </row>
    <row r="46" spans="1:7" ht="15">
      <c r="A46" s="79" t="str">
        <f>IF(NCL6_="","",NCL6_)</f>
        <v>Noncurrent Liability 6</v>
      </c>
      <c r="B46" s="60">
        <f>NCL6_EB</f>
        <v>0</v>
      </c>
      <c r="C46" s="50"/>
      <c r="D46" s="57">
        <f>NCL6_BB</f>
        <v>0</v>
      </c>
      <c r="E46" s="7"/>
    </row>
    <row r="47" spans="1:7" ht="15">
      <c r="A47" s="79" t="str">
        <f>IF(NCL7_="","",NCL7_)</f>
        <v>Noncurrent Liability 7</v>
      </c>
      <c r="B47" s="60">
        <f>NCL7_EB</f>
        <v>0</v>
      </c>
      <c r="C47" s="50"/>
      <c r="D47" s="57">
        <f>NCL7_BB</f>
        <v>0</v>
      </c>
      <c r="E47" s="7"/>
    </row>
    <row r="48" spans="1:7" ht="15.75" customHeight="1">
      <c r="A48" s="43" t="s">
        <v>243</v>
      </c>
      <c r="B48" s="34"/>
      <c r="C48" s="76">
        <f>SUM(B41:B47)</f>
        <v>0</v>
      </c>
      <c r="D48" s="64"/>
      <c r="E48" s="75">
        <f>SUM(D41:D47)</f>
        <v>0</v>
      </c>
    </row>
    <row r="49" spans="1:5" ht="15.75" customHeight="1">
      <c r="A49" s="43" t="s">
        <v>231</v>
      </c>
      <c r="B49" s="49"/>
      <c r="C49" s="76">
        <f>C38+C48</f>
        <v>0</v>
      </c>
      <c r="D49" s="8"/>
      <c r="E49" s="75">
        <f>E38+E48</f>
        <v>0</v>
      </c>
    </row>
    <row r="50" spans="1:5" ht="15.75" customHeight="1">
      <c r="A50" s="43"/>
      <c r="B50" s="54"/>
      <c r="C50" s="48"/>
      <c r="D50" s="8"/>
      <c r="E50" s="7"/>
    </row>
    <row r="51" spans="1:5" ht="16.5" customHeight="1">
      <c r="A51" s="44" t="s">
        <v>244</v>
      </c>
      <c r="B51" s="54"/>
      <c r="C51" s="48"/>
      <c r="E51" s="7"/>
    </row>
    <row r="52" spans="1:5" ht="15">
      <c r="A52" s="79" t="str">
        <f>IF(SE1_="","",SE1_)</f>
        <v>Contributed Equity 1</v>
      </c>
      <c r="B52" s="67">
        <f>SE1_EB</f>
        <v>0</v>
      </c>
      <c r="C52" s="48"/>
      <c r="D52" s="66">
        <f>SE1_BB</f>
        <v>0</v>
      </c>
      <c r="E52" s="7"/>
    </row>
    <row r="53" spans="1:5" ht="15">
      <c r="A53" s="79" t="str">
        <f>IF(SE2_="","",SE2_)</f>
        <v>Contributed Equity 2</v>
      </c>
      <c r="B53" s="67">
        <f>SE2_EB</f>
        <v>0</v>
      </c>
      <c r="C53" s="48"/>
      <c r="D53" s="57">
        <f>SE2_BB</f>
        <v>0</v>
      </c>
      <c r="E53" s="6"/>
    </row>
    <row r="54" spans="1:5" ht="15">
      <c r="A54" s="79" t="str">
        <f>IF(SE3_="","",SE3_)</f>
        <v>Contributed Equity 3</v>
      </c>
      <c r="B54" s="60">
        <f>SE3_EB</f>
        <v>0</v>
      </c>
      <c r="C54" s="48"/>
      <c r="D54" s="57">
        <f>SE3_BB</f>
        <v>0</v>
      </c>
      <c r="E54" s="6"/>
    </row>
    <row r="55" spans="1:5" ht="15">
      <c r="A55" s="79" t="str">
        <f>IF(SE4_="","",SE4_)</f>
        <v>Retained Earnings</v>
      </c>
      <c r="B55" s="60">
        <f>IF(SE4_EB_Cr&gt;0,SE4_EB_Cr,-SE4_EB_Dr)</f>
        <v>0</v>
      </c>
      <c r="C55" s="48"/>
      <c r="D55" s="57">
        <f>IF(SE4_BB_Cr&gt;0,SE4_BB_Cr,-SE4_BB_Dr)</f>
        <v>0</v>
      </c>
      <c r="E55" s="6"/>
    </row>
    <row r="56" spans="1:5" ht="15">
      <c r="A56" s="79" t="str">
        <f>IF(SE5_="","",SE5_)</f>
        <v>Accumulated Other Comp. Inc.</v>
      </c>
      <c r="B56" s="60">
        <f>IF(SE5_EB_Cr&gt;0,SE5_EB_Cr,-SE5_EB_Dr)</f>
        <v>0</v>
      </c>
      <c r="C56" s="48"/>
      <c r="D56" s="57">
        <f>IF(SE5_BB_Cr&gt;0,SE5_BB_Cr,-SE5_BB_Dr)</f>
        <v>0</v>
      </c>
      <c r="E56" s="6"/>
    </row>
    <row r="57" spans="1:5" ht="15">
      <c r="A57" s="79"/>
      <c r="B57" s="60">
        <f>-Contra_Equity_EB</f>
        <v>0</v>
      </c>
      <c r="C57" s="48"/>
      <c r="D57" s="57">
        <f>Contra_Equity_BB</f>
        <v>0</v>
      </c>
      <c r="E57" s="6"/>
    </row>
    <row r="58" spans="1:5" ht="15">
      <c r="A58" s="43" t="s">
        <v>245</v>
      </c>
      <c r="B58" s="34"/>
      <c r="C58" s="70">
        <f>SUM(B52:B57)</f>
        <v>0</v>
      </c>
      <c r="D58" s="64"/>
      <c r="E58" s="74">
        <f>SUM(D52:D57)</f>
        <v>0</v>
      </c>
    </row>
    <row r="59" spans="1:5" ht="15.75" thickBot="1">
      <c r="A59" s="45" t="s">
        <v>246</v>
      </c>
      <c r="B59" s="49"/>
      <c r="C59" s="72">
        <f>C49+C58</f>
        <v>0</v>
      </c>
      <c r="D59" s="8"/>
      <c r="E59" s="73">
        <f>E49+E58</f>
        <v>0</v>
      </c>
    </row>
    <row r="60" spans="1:5" ht="16.5" thickTop="1" thickBot="1">
      <c r="A60" s="46"/>
      <c r="B60" s="55"/>
      <c r="C60" s="56"/>
      <c r="D60" s="11"/>
      <c r="E60" s="13"/>
    </row>
    <row r="61" spans="1:5" ht="13.5" thickTop="1"/>
    <row r="62" spans="1:5" ht="13.5" thickBot="1"/>
    <row r="63" spans="1:5" ht="13.5" thickTop="1">
      <c r="A63" s="464"/>
      <c r="B63" s="465"/>
    </row>
    <row r="64" spans="1:5" ht="15.75">
      <c r="A64" s="478" t="str">
        <f>Entity</f>
        <v>ImmuCell Corp.</v>
      </c>
      <c r="B64" s="479"/>
    </row>
    <row r="65" spans="1:2" ht="15.75">
      <c r="A65" s="478" t="s">
        <v>247</v>
      </c>
      <c r="B65" s="479"/>
    </row>
    <row r="66" spans="1:2" ht="15.75">
      <c r="A66" s="488" t="str">
        <f>"for the "&amp;Period&amp;" Ended "&amp;EndDate</f>
        <v>for the [Period] Ended [EndDate]</v>
      </c>
      <c r="B66" s="489"/>
    </row>
    <row r="67" spans="1:2" ht="13.5" thickBot="1">
      <c r="A67" s="490" t="str">
        <f>"(in "&amp;Units&amp;")"</f>
        <v>(in [Units])</v>
      </c>
      <c r="B67" s="491"/>
    </row>
    <row r="68" spans="1:2" ht="13.5" thickTop="1">
      <c r="A68" s="17"/>
      <c r="B68" s="15"/>
    </row>
    <row r="69" spans="1:2">
      <c r="A69" s="18" t="str">
        <f>IF(Rev_1="","",Rev_1)</f>
        <v>Revenue 1</v>
      </c>
      <c r="B69" s="233"/>
    </row>
    <row r="70" spans="1:2">
      <c r="A70" s="18" t="str">
        <f>IF(Exp_1="","",Exp_1)</f>
        <v>Expense 1</v>
      </c>
      <c r="B70" s="234"/>
    </row>
    <row r="71" spans="1:2">
      <c r="A71" s="18" t="s">
        <v>248</v>
      </c>
      <c r="B71" s="63">
        <f>SUM(B69:B70)</f>
        <v>0</v>
      </c>
    </row>
    <row r="72" spans="1:2">
      <c r="A72" s="18" t="str">
        <f>IF(Exp_2="","",Exp_2)</f>
        <v>Expense 2</v>
      </c>
      <c r="B72" s="233"/>
    </row>
    <row r="73" spans="1:2">
      <c r="A73" s="18" t="str">
        <f>IF(Exp_3="","",Exp_3)</f>
        <v>Expense 3</v>
      </c>
      <c r="B73" s="235"/>
    </row>
    <row r="74" spans="1:2">
      <c r="A74" s="18" t="str">
        <f>IF(Exp_4="","",Exp_4)</f>
        <v>Expense 4</v>
      </c>
      <c r="B74" s="235"/>
    </row>
    <row r="75" spans="1:2">
      <c r="A75" s="18" t="str">
        <f>IF(Exp_5="","",Exp_5)</f>
        <v>Expense 5</v>
      </c>
      <c r="B75" s="235"/>
    </row>
    <row r="76" spans="1:2">
      <c r="A76" s="18" t="str">
        <f>IF(Exp_6="","",Exp_6)</f>
        <v>Expense 6</v>
      </c>
      <c r="B76" s="235"/>
    </row>
    <row r="77" spans="1:2">
      <c r="A77" s="18" t="str">
        <f>IF(Exp_7="","",Exp_7)</f>
        <v>Expense 7</v>
      </c>
      <c r="B77" s="235"/>
    </row>
    <row r="78" spans="1:2">
      <c r="A78" s="18" t="str">
        <f>IF(Exp_8="","",Exp_8)</f>
        <v>Expense 8</v>
      </c>
      <c r="B78" s="235"/>
    </row>
    <row r="79" spans="1:2">
      <c r="A79" s="18" t="s">
        <v>249</v>
      </c>
      <c r="B79" s="63">
        <f>SUM(B72:B78)</f>
        <v>0</v>
      </c>
    </row>
    <row r="80" spans="1:2">
      <c r="A80" s="18"/>
      <c r="B80" s="62"/>
    </row>
    <row r="81" spans="1:2">
      <c r="A81" s="18" t="s">
        <v>250</v>
      </c>
      <c r="B81" s="62"/>
    </row>
    <row r="82" spans="1:2">
      <c r="A82" s="18" t="str">
        <f>IF(Gain_1="","",Gain_1)</f>
        <v>Gain 1</v>
      </c>
      <c r="B82" s="233"/>
    </row>
    <row r="83" spans="1:2">
      <c r="A83" s="18" t="str">
        <f>IF(Gain_2="","",Gain_2)</f>
        <v>Gain 2</v>
      </c>
      <c r="B83" s="235"/>
    </row>
    <row r="84" spans="1:2">
      <c r="A84" s="18" t="str">
        <f>IF(Loss_1="","",Loss_1)</f>
        <v>Loss 1</v>
      </c>
      <c r="B84" s="235"/>
    </row>
    <row r="85" spans="1:2">
      <c r="A85" s="18" t="str">
        <f>IF(Loss_2="","",Loss_2)</f>
        <v>Loss 2</v>
      </c>
      <c r="B85" s="234"/>
    </row>
    <row r="86" spans="1:2">
      <c r="A86" s="18" t="s">
        <v>251</v>
      </c>
      <c r="B86" s="62">
        <f>SUM(B82:B85)</f>
        <v>0</v>
      </c>
    </row>
    <row r="87" spans="1:2" ht="13.5" thickBot="1">
      <c r="A87" s="20" t="s">
        <v>252</v>
      </c>
      <c r="B87" s="77">
        <f>B71-B79+B86</f>
        <v>0</v>
      </c>
    </row>
    <row r="88" spans="1:2" ht="14.25" thickTop="1" thickBot="1">
      <c r="A88" s="19"/>
      <c r="B88" s="16"/>
    </row>
    <row r="89" spans="1:2" ht="14.25" thickTop="1" thickBot="1"/>
    <row r="90" spans="1:2" ht="13.5" thickTop="1">
      <c r="A90" s="484"/>
      <c r="B90" s="485"/>
    </row>
    <row r="91" spans="1:2" ht="15.75">
      <c r="A91" s="486" t="str">
        <f>Entity</f>
        <v>ImmuCell Corp.</v>
      </c>
      <c r="B91" s="487"/>
    </row>
    <row r="92" spans="1:2" ht="15.75">
      <c r="A92" s="486" t="s">
        <v>253</v>
      </c>
      <c r="B92" s="487"/>
    </row>
    <row r="93" spans="1:2" ht="15.75">
      <c r="A93" s="480" t="str">
        <f>"for the "&amp;Period&amp;" Ended "&amp;EndDate&amp; " (Direct Method)"</f>
        <v>for the [Period] Ended [EndDate] (Direct Method)</v>
      </c>
      <c r="B93" s="481"/>
    </row>
    <row r="94" spans="1:2" ht="13.5" thickBot="1">
      <c r="A94" s="482" t="str">
        <f>"(in "&amp;Units&amp;")"</f>
        <v>(in [Units])</v>
      </c>
      <c r="B94" s="483"/>
    </row>
    <row r="95" spans="1:2" ht="13.5" thickTop="1">
      <c r="A95" s="17"/>
      <c r="B95" s="15"/>
    </row>
    <row r="96" spans="1:2">
      <c r="A96" s="20" t="s">
        <v>254</v>
      </c>
      <c r="B96" s="15"/>
    </row>
    <row r="97" spans="1:2">
      <c r="A97" s="18"/>
      <c r="B97" s="324"/>
    </row>
    <row r="98" spans="1:2">
      <c r="A98" s="18"/>
      <c r="B98" s="325"/>
    </row>
    <row r="99" spans="1:2">
      <c r="A99" s="18"/>
      <c r="B99" s="325"/>
    </row>
    <row r="100" spans="1:2">
      <c r="A100" s="18"/>
      <c r="B100" s="325"/>
    </row>
    <row r="101" spans="1:2">
      <c r="A101" s="18"/>
      <c r="B101" s="325"/>
    </row>
    <row r="102" spans="1:2">
      <c r="A102" s="18"/>
      <c r="B102" s="325"/>
    </row>
    <row r="103" spans="1:2">
      <c r="A103" s="18"/>
      <c r="B103" s="325"/>
    </row>
    <row r="104" spans="1:2">
      <c r="A104" s="18"/>
      <c r="B104" s="325"/>
    </row>
    <row r="105" spans="1:2">
      <c r="A105" s="18"/>
      <c r="B105" s="325"/>
    </row>
    <row r="106" spans="1:2">
      <c r="A106" s="18"/>
      <c r="B106" s="325"/>
    </row>
    <row r="107" spans="1:2">
      <c r="A107" s="18"/>
      <c r="B107" s="325"/>
    </row>
    <row r="108" spans="1:2">
      <c r="A108" s="18"/>
      <c r="B108" s="325"/>
    </row>
    <row r="109" spans="1:2">
      <c r="A109" s="18"/>
      <c r="B109" s="326"/>
    </row>
    <row r="110" spans="1:2">
      <c r="A110" s="18" t="s">
        <v>255</v>
      </c>
      <c r="B110" s="63">
        <f>SUM(B97:B109)</f>
        <v>0</v>
      </c>
    </row>
    <row r="111" spans="1:2">
      <c r="A111" s="18"/>
      <c r="B111" s="327"/>
    </row>
    <row r="112" spans="1:2">
      <c r="A112" s="20" t="s">
        <v>256</v>
      </c>
      <c r="B112" s="327"/>
    </row>
    <row r="113" spans="1:2">
      <c r="A113" s="18"/>
      <c r="B113" s="324"/>
    </row>
    <row r="114" spans="1:2">
      <c r="A114" s="18"/>
      <c r="B114" s="325"/>
    </row>
    <row r="115" spans="1:2">
      <c r="A115" s="18"/>
      <c r="B115" s="325"/>
    </row>
    <row r="116" spans="1:2">
      <c r="A116" s="18"/>
      <c r="B116" s="325"/>
    </row>
    <row r="117" spans="1:2">
      <c r="A117" s="18"/>
      <c r="B117" s="325"/>
    </row>
    <row r="118" spans="1:2">
      <c r="A118" s="18"/>
      <c r="B118" s="326"/>
    </row>
    <row r="119" spans="1:2">
      <c r="A119" s="18" t="s">
        <v>257</v>
      </c>
      <c r="B119" s="63">
        <f>SUM(B113:B118)</f>
        <v>0</v>
      </c>
    </row>
    <row r="120" spans="1:2">
      <c r="A120" s="18"/>
      <c r="B120" s="62"/>
    </row>
    <row r="121" spans="1:2">
      <c r="A121" s="20" t="s">
        <v>258</v>
      </c>
      <c r="B121" s="62"/>
    </row>
    <row r="122" spans="1:2">
      <c r="A122" s="18"/>
      <c r="B122" s="324"/>
    </row>
    <row r="123" spans="1:2">
      <c r="A123" s="18"/>
      <c r="B123" s="325"/>
    </row>
    <row r="124" spans="1:2">
      <c r="A124" s="18"/>
      <c r="B124" s="325"/>
    </row>
    <row r="125" spans="1:2">
      <c r="A125" s="18"/>
      <c r="B125" s="325"/>
    </row>
    <row r="126" spans="1:2">
      <c r="A126" s="18"/>
      <c r="B126" s="325"/>
    </row>
    <row r="127" spans="1:2">
      <c r="A127" s="18"/>
      <c r="B127" s="326"/>
    </row>
    <row r="128" spans="1:2">
      <c r="A128" s="18" t="s">
        <v>259</v>
      </c>
      <c r="B128" s="63">
        <f>SUM(B122:B127)</f>
        <v>0</v>
      </c>
    </row>
    <row r="129" spans="1:4">
      <c r="A129" s="18"/>
      <c r="B129" s="62"/>
    </row>
    <row r="130" spans="1:4">
      <c r="A130" s="18" t="str">
        <f>"Cash at "&amp;BegDate</f>
        <v>Cash at [BegDate]</v>
      </c>
      <c r="B130" s="62">
        <f>Cash_BB</f>
        <v>0</v>
      </c>
    </row>
    <row r="131" spans="1:4">
      <c r="A131" s="18" t="s">
        <v>255</v>
      </c>
      <c r="B131" s="327">
        <f>B110</f>
        <v>0</v>
      </c>
    </row>
    <row r="132" spans="1:4">
      <c r="A132" s="18" t="s">
        <v>260</v>
      </c>
      <c r="B132" s="327">
        <f>B119</f>
        <v>0</v>
      </c>
    </row>
    <row r="133" spans="1:4">
      <c r="A133" s="18" t="s">
        <v>259</v>
      </c>
      <c r="B133" s="328">
        <f>B128</f>
        <v>0</v>
      </c>
      <c r="D133" t="s">
        <v>261</v>
      </c>
    </row>
    <row r="134" spans="1:4" ht="13.5" thickBot="1">
      <c r="A134" s="18" t="str">
        <f>"Cash at "&amp;EndDate</f>
        <v>Cash at [EndDate]</v>
      </c>
      <c r="B134" s="329">
        <f>SUM(B130:B133)</f>
        <v>0</v>
      </c>
      <c r="D134" s="330">
        <f>ROUND(Cash_EB-B134,2)</f>
        <v>0</v>
      </c>
    </row>
    <row r="135" spans="1:4" ht="14.25" thickTop="1" thickBot="1">
      <c r="A135" s="19"/>
      <c r="B135" s="16"/>
    </row>
    <row r="136" spans="1:4" ht="13.5" thickTop="1">
      <c r="B136" s="4"/>
    </row>
    <row r="137" spans="1:4">
      <c r="A137" s="4" t="s">
        <v>262</v>
      </c>
      <c r="B137" s="331">
        <v>0</v>
      </c>
    </row>
    <row r="138" spans="1:4">
      <c r="A138" s="4" t="s">
        <v>263</v>
      </c>
      <c r="B138" s="332">
        <v>0</v>
      </c>
    </row>
    <row r="140" spans="1:4">
      <c r="A140" t="s">
        <v>264</v>
      </c>
    </row>
    <row r="141" spans="1:4">
      <c r="A141" s="337"/>
      <c r="B141" s="332"/>
    </row>
    <row r="142" spans="1:4">
      <c r="A142" s="69"/>
      <c r="B142" s="332"/>
    </row>
    <row r="143" spans="1:4">
      <c r="A143" s="69"/>
      <c r="B143" s="332"/>
    </row>
    <row r="144" spans="1:4">
      <c r="A144" s="69"/>
      <c r="B144" s="332"/>
    </row>
    <row r="145" spans="1:2">
      <c r="A145" s="69"/>
      <c r="B145" s="332"/>
    </row>
    <row r="146" spans="1:2">
      <c r="B146" s="333"/>
    </row>
    <row r="147" spans="1:2" ht="13.5" thickBot="1"/>
    <row r="148" spans="1:2" ht="13.5" thickTop="1">
      <c r="A148" s="484"/>
      <c r="B148" s="485"/>
    </row>
    <row r="149" spans="1:2" ht="15.75">
      <c r="A149" s="486" t="str">
        <f>Entity</f>
        <v>ImmuCell Corp.</v>
      </c>
      <c r="B149" s="487"/>
    </row>
    <row r="150" spans="1:2" ht="15.75">
      <c r="A150" s="486" t="s">
        <v>253</v>
      </c>
      <c r="B150" s="487"/>
    </row>
    <row r="151" spans="1:2" ht="15.75">
      <c r="A151" s="480" t="str">
        <f>"for the "&amp;Period&amp;" Ended "&amp;EndDate&amp; " (Indirect Method)"</f>
        <v>for the [Period] Ended [EndDate] (Indirect Method)</v>
      </c>
      <c r="B151" s="481"/>
    </row>
    <row r="152" spans="1:2" ht="13.5" thickBot="1">
      <c r="A152" s="482" t="str">
        <f>"(in "&amp;Units&amp;")"</f>
        <v>(in [Units])</v>
      </c>
      <c r="B152" s="483"/>
    </row>
    <row r="153" spans="1:2" ht="13.5" thickTop="1">
      <c r="A153" s="17"/>
      <c r="B153" s="15"/>
    </row>
    <row r="154" spans="1:2">
      <c r="A154" s="20" t="s">
        <v>265</v>
      </c>
      <c r="B154" s="15"/>
    </row>
    <row r="155" spans="1:2">
      <c r="A155" s="20"/>
      <c r="B155" s="15"/>
    </row>
    <row r="156" spans="1:2">
      <c r="A156" s="18" t="s">
        <v>252</v>
      </c>
      <c r="B156" s="334">
        <f>B87</f>
        <v>0</v>
      </c>
    </row>
    <row r="157" spans="1:2">
      <c r="A157" s="18" t="s">
        <v>266</v>
      </c>
      <c r="B157" s="15"/>
    </row>
    <row r="158" spans="1:2">
      <c r="A158" s="18"/>
      <c r="B158" s="324"/>
    </row>
    <row r="159" spans="1:2">
      <c r="A159" s="18"/>
      <c r="B159" s="325"/>
    </row>
    <row r="160" spans="1:2">
      <c r="A160" s="18"/>
      <c r="B160" s="325"/>
    </row>
    <row r="161" spans="1:4">
      <c r="A161" s="18"/>
      <c r="B161" s="325"/>
    </row>
    <row r="162" spans="1:4">
      <c r="A162" s="18"/>
      <c r="B162" s="325"/>
    </row>
    <row r="163" spans="1:4">
      <c r="A163" s="18"/>
      <c r="B163" s="325"/>
    </row>
    <row r="164" spans="1:4">
      <c r="A164" s="18"/>
      <c r="B164" s="325"/>
    </row>
    <row r="165" spans="1:4">
      <c r="A165" s="18"/>
      <c r="B165" s="325"/>
    </row>
    <row r="166" spans="1:4">
      <c r="A166" s="18"/>
      <c r="B166" s="325"/>
    </row>
    <row r="167" spans="1:4">
      <c r="A167" s="18"/>
      <c r="B167" s="325"/>
    </row>
    <row r="168" spans="1:4">
      <c r="A168" s="18"/>
      <c r="B168" s="325"/>
    </row>
    <row r="169" spans="1:4">
      <c r="A169" s="18"/>
      <c r="B169" s="325"/>
    </row>
    <row r="170" spans="1:4">
      <c r="A170" s="18"/>
      <c r="B170" s="325"/>
    </row>
    <row r="171" spans="1:4">
      <c r="A171" s="18"/>
      <c r="B171" s="325"/>
    </row>
    <row r="172" spans="1:4">
      <c r="A172" s="18"/>
      <c r="B172" s="325"/>
    </row>
    <row r="173" spans="1:4">
      <c r="A173" s="18"/>
      <c r="B173" s="326"/>
      <c r="D173" s="4" t="s">
        <v>261</v>
      </c>
    </row>
    <row r="174" spans="1:4">
      <c r="A174" s="18" t="s">
        <v>267</v>
      </c>
      <c r="B174" s="63">
        <f>SUM(B156:B173)</f>
        <v>0</v>
      </c>
      <c r="D174" s="335">
        <f>ROUND(B174-B110,2)</f>
        <v>0</v>
      </c>
    </row>
    <row r="175" spans="1:4">
      <c r="A175" s="18"/>
      <c r="B175" s="327"/>
    </row>
    <row r="176" spans="1:4">
      <c r="A176" s="20" t="s">
        <v>268</v>
      </c>
      <c r="B176" s="327"/>
    </row>
    <row r="177" spans="1:2">
      <c r="A177" t="str">
        <f>IF(A113="","",A113)</f>
        <v/>
      </c>
      <c r="B177" s="324">
        <f>B113</f>
        <v>0</v>
      </c>
    </row>
    <row r="178" spans="1:2">
      <c r="A178" t="str">
        <f t="shared" ref="A178:A182" si="0">IF(A114="","",A114)</f>
        <v/>
      </c>
      <c r="B178" s="325">
        <f>B114</f>
        <v>0</v>
      </c>
    </row>
    <row r="179" spans="1:2">
      <c r="A179" t="str">
        <f t="shared" si="0"/>
        <v/>
      </c>
      <c r="B179" s="325">
        <f t="shared" ref="B179:B182" si="1">B115</f>
        <v>0</v>
      </c>
    </row>
    <row r="180" spans="1:2">
      <c r="A180" t="str">
        <f t="shared" si="0"/>
        <v/>
      </c>
      <c r="B180" s="325">
        <f t="shared" si="1"/>
        <v>0</v>
      </c>
    </row>
    <row r="181" spans="1:2">
      <c r="A181" t="str">
        <f t="shared" si="0"/>
        <v/>
      </c>
      <c r="B181" s="325">
        <f t="shared" si="1"/>
        <v>0</v>
      </c>
    </row>
    <row r="182" spans="1:2">
      <c r="A182" t="str">
        <f t="shared" si="0"/>
        <v/>
      </c>
      <c r="B182" s="325">
        <f t="shared" si="1"/>
        <v>0</v>
      </c>
    </row>
    <row r="183" spans="1:2">
      <c r="A183" s="18" t="s">
        <v>257</v>
      </c>
      <c r="B183" s="63">
        <f>SUM(B177:B182)</f>
        <v>0</v>
      </c>
    </row>
    <row r="184" spans="1:2">
      <c r="A184" s="20" t="s">
        <v>269</v>
      </c>
      <c r="B184" s="62"/>
    </row>
    <row r="185" spans="1:2">
      <c r="A185" t="str">
        <f>IF(A122="","",A122)</f>
        <v/>
      </c>
      <c r="B185" s="324">
        <f>B122</f>
        <v>0</v>
      </c>
    </row>
    <row r="186" spans="1:2">
      <c r="A186" t="str">
        <f t="shared" ref="A186:A190" si="2">IF(A123="","",A123)</f>
        <v/>
      </c>
      <c r="B186" s="325">
        <f>B123</f>
        <v>0</v>
      </c>
    </row>
    <row r="187" spans="1:2">
      <c r="A187" t="str">
        <f t="shared" si="2"/>
        <v/>
      </c>
      <c r="B187" s="325">
        <f t="shared" ref="B187:B190" si="3">B124</f>
        <v>0</v>
      </c>
    </row>
    <row r="188" spans="1:2">
      <c r="A188" t="str">
        <f t="shared" si="2"/>
        <v/>
      </c>
      <c r="B188" s="325">
        <f t="shared" si="3"/>
        <v>0</v>
      </c>
    </row>
    <row r="189" spans="1:2">
      <c r="A189" t="str">
        <f t="shared" si="2"/>
        <v/>
      </c>
      <c r="B189" s="325">
        <f t="shared" si="3"/>
        <v>0</v>
      </c>
    </row>
    <row r="190" spans="1:2">
      <c r="A190" t="str">
        <f t="shared" si="2"/>
        <v/>
      </c>
      <c r="B190" s="325">
        <f t="shared" si="3"/>
        <v>0</v>
      </c>
    </row>
    <row r="191" spans="1:2">
      <c r="A191" s="18" t="s">
        <v>259</v>
      </c>
      <c r="B191" s="63">
        <f>SUM(B185:B190)</f>
        <v>0</v>
      </c>
    </row>
    <row r="192" spans="1:2">
      <c r="A192" s="18"/>
      <c r="B192" s="62"/>
    </row>
    <row r="193" spans="1:4">
      <c r="A193" s="18" t="s">
        <v>270</v>
      </c>
      <c r="B193" s="62">
        <f>Cash_BB</f>
        <v>0</v>
      </c>
    </row>
    <row r="194" spans="1:4">
      <c r="A194" s="18" t="s">
        <v>255</v>
      </c>
      <c r="B194" s="327">
        <f>B174</f>
        <v>0</v>
      </c>
    </row>
    <row r="195" spans="1:4">
      <c r="A195" s="18" t="s">
        <v>260</v>
      </c>
      <c r="B195" s="327">
        <f>B183</f>
        <v>0</v>
      </c>
    </row>
    <row r="196" spans="1:4">
      <c r="A196" s="18" t="s">
        <v>259</v>
      </c>
      <c r="B196" s="328">
        <f>B191</f>
        <v>0</v>
      </c>
      <c r="D196" t="s">
        <v>261</v>
      </c>
    </row>
    <row r="197" spans="1:4" ht="13.5" thickBot="1">
      <c r="A197" s="18" t="s">
        <v>271</v>
      </c>
      <c r="B197" s="329">
        <f>SUM(B193:B196)</f>
        <v>0</v>
      </c>
      <c r="D197" s="330">
        <f>ROUND(Cash_EB-B197,2)</f>
        <v>0</v>
      </c>
    </row>
    <row r="198" spans="1:4" ht="14.25" thickTop="1" thickBot="1">
      <c r="A198" s="19"/>
      <c r="B198" s="16"/>
    </row>
    <row r="199" spans="1:4" ht="13.5" thickTop="1"/>
    <row r="200" spans="1:4">
      <c r="A200" s="4" t="s">
        <v>262</v>
      </c>
      <c r="B200" s="332">
        <f>B137</f>
        <v>0</v>
      </c>
    </row>
    <row r="201" spans="1:4">
      <c r="A201" s="4" t="s">
        <v>263</v>
      </c>
      <c r="B201" s="332">
        <f>B138</f>
        <v>0</v>
      </c>
    </row>
    <row r="203" spans="1:4">
      <c r="A203" t="s">
        <v>264</v>
      </c>
    </row>
    <row r="204" spans="1:4">
      <c r="A204" s="69" t="str">
        <f>IF(A141="","",A141)</f>
        <v/>
      </c>
      <c r="B204" s="332">
        <f>B141</f>
        <v>0</v>
      </c>
    </row>
    <row r="205" spans="1:4">
      <c r="A205" s="69" t="str">
        <f t="shared" ref="A205:A208" si="4">IF(A142="","",A142)</f>
        <v/>
      </c>
      <c r="B205" s="332">
        <f t="shared" ref="B205" si="5">B142</f>
        <v>0</v>
      </c>
    </row>
    <row r="206" spans="1:4">
      <c r="A206" s="69" t="str">
        <f t="shared" si="4"/>
        <v/>
      </c>
      <c r="B206" s="332">
        <f t="shared" ref="B206" si="6">B143</f>
        <v>0</v>
      </c>
    </row>
    <row r="207" spans="1:4">
      <c r="A207" s="69" t="str">
        <f t="shared" si="4"/>
        <v/>
      </c>
      <c r="B207" s="332">
        <f t="shared" ref="B207" si="7">B144</f>
        <v>0</v>
      </c>
    </row>
    <row r="208" spans="1:4">
      <c r="A208" s="69" t="str">
        <f t="shared" si="4"/>
        <v/>
      </c>
      <c r="B208" s="332">
        <f t="shared" ref="B208" si="8">B145</f>
        <v>0</v>
      </c>
    </row>
  </sheetData>
  <mergeCells count="28">
    <mergeCell ref="A64:B64"/>
    <mergeCell ref="A151:B151"/>
    <mergeCell ref="A152:B152"/>
    <mergeCell ref="A93:B93"/>
    <mergeCell ref="A94:B94"/>
    <mergeCell ref="A148:B148"/>
    <mergeCell ref="A149:B149"/>
    <mergeCell ref="A150:B150"/>
    <mergeCell ref="A90:B90"/>
    <mergeCell ref="A91:B91"/>
    <mergeCell ref="A92:B92"/>
    <mergeCell ref="A65:B65"/>
    <mergeCell ref="A66:B66"/>
    <mergeCell ref="A67:B67"/>
    <mergeCell ref="G1:H1"/>
    <mergeCell ref="A28:E28"/>
    <mergeCell ref="B29:C29"/>
    <mergeCell ref="D29:E29"/>
    <mergeCell ref="A63:B63"/>
    <mergeCell ref="G8:H8"/>
    <mergeCell ref="G2:H2"/>
    <mergeCell ref="A1:E1"/>
    <mergeCell ref="A2:E2"/>
    <mergeCell ref="A3:E3"/>
    <mergeCell ref="A4:E4"/>
    <mergeCell ref="D6:E6"/>
    <mergeCell ref="A5:E5"/>
    <mergeCell ref="B6:C6"/>
  </mergeCells>
  <conditionalFormatting sqref="A90:B94">
    <cfRule type="expression" dxfId="132" priority="3">
      <formula>ROUND($D$134,2)=0</formula>
    </cfRule>
  </conditionalFormatting>
  <conditionalFormatting sqref="A148:B152">
    <cfRule type="expression" dxfId="131" priority="1">
      <formula>$D$197=0</formula>
    </cfRule>
  </conditionalFormatting>
  <conditionalFormatting sqref="A1:E4">
    <cfRule type="expression" dxfId="130" priority="14">
      <formula>AND($H$6=0,$H$12=0)</formula>
    </cfRule>
  </conditionalFormatting>
  <conditionalFormatting sqref="B6:C6 C26 B29:C29 C59">
    <cfRule type="expression" dxfId="129" priority="30">
      <formula>OR($H$12&gt;0,$H$12&lt;0)</formula>
    </cfRule>
  </conditionalFormatting>
  <conditionalFormatting sqref="D134 D197">
    <cfRule type="cellIs" dxfId="128" priority="4" operator="notEqual">
      <formula>0</formula>
    </cfRule>
    <cfRule type="cellIs" dxfId="127" priority="5" operator="equal">
      <formula>0</formula>
    </cfRule>
  </conditionalFormatting>
  <conditionalFormatting sqref="D174">
    <cfRule type="cellIs" dxfId="126" priority="2" operator="equal">
      <formula>0</formula>
    </cfRule>
  </conditionalFormatting>
  <conditionalFormatting sqref="D6:E6 E26 D29:E29 E59">
    <cfRule type="expression" dxfId="125" priority="34">
      <formula>OR($H$6&gt;0,$H$6&lt;0)</formula>
    </cfRule>
  </conditionalFormatting>
  <conditionalFormatting sqref="G1:H1">
    <cfRule type="expression" dxfId="124" priority="13">
      <formula>AND($H$6=0,$H$12=0)</formula>
    </cfRule>
  </conditionalFormatting>
  <conditionalFormatting sqref="G2:H2">
    <cfRule type="expression" dxfId="123" priority="12">
      <formula>$H$6=0</formula>
    </cfRule>
  </conditionalFormatting>
  <conditionalFormatting sqref="G8:H8">
    <cfRule type="expression" dxfId="122" priority="11">
      <formula>$H$6=0</formula>
    </cfRule>
  </conditionalFormatting>
  <conditionalFormatting sqref="H6 H12">
    <cfRule type="cellIs" dxfId="121" priority="21" operator="notEqual">
      <formula>0</formula>
    </cfRule>
    <cfRule type="cellIs" dxfId="120" priority="22" operator="equal">
      <formula>0</formula>
    </cfRule>
  </conditionalFormatting>
  <pageMargins left="0.7" right="0.7" top="0.75" bottom="0.75" header="0.3" footer="0.3"/>
  <pageSetup orientation="portrait" r:id="rId1"/>
  <rowBreaks count="2" manualBreakCount="2">
    <brk id="89" max="4" man="1"/>
    <brk id="147" max="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15F0-F7CA-504B-9BC5-000E2F1462A6}">
  <dimension ref="A1:N48"/>
  <sheetViews>
    <sheetView workbookViewId="0">
      <selection activeCell="A9" sqref="A9"/>
    </sheetView>
  </sheetViews>
  <sheetFormatPr defaultColWidth="9.140625" defaultRowHeight="15"/>
  <cols>
    <col min="1" max="1" width="9.140625" style="339"/>
    <col min="2" max="2" width="12.42578125" style="339" customWidth="1"/>
    <col min="3" max="3" width="13.7109375" style="339" customWidth="1"/>
    <col min="4" max="4" width="3.28515625" style="339" bestFit="1" customWidth="1"/>
    <col min="5" max="5" width="9.140625" style="339"/>
    <col min="6" max="6" width="4.28515625" style="339" customWidth="1"/>
    <col min="7" max="7" width="16.7109375" style="339" customWidth="1"/>
    <col min="8" max="8" width="13.7109375" style="339" customWidth="1"/>
    <col min="9" max="9" width="3.28515625" style="339" bestFit="1" customWidth="1"/>
    <col min="10" max="10" width="9.140625" style="339"/>
    <col min="11" max="11" width="5" style="339" customWidth="1"/>
    <col min="12" max="12" width="16" style="339" customWidth="1"/>
    <col min="13" max="13" width="16.7109375" style="339" customWidth="1"/>
    <col min="14" max="14" width="3.28515625" style="339" bestFit="1" customWidth="1"/>
    <col min="15" max="16384" width="9.140625" style="339"/>
  </cols>
  <sheetData>
    <row r="1" spans="1:14">
      <c r="A1" s="341" t="s">
        <v>272</v>
      </c>
      <c r="B1" s="342"/>
      <c r="C1" s="342"/>
      <c r="D1" s="342"/>
      <c r="E1" s="342"/>
      <c r="F1" s="342"/>
      <c r="G1" s="342"/>
      <c r="H1" s="342"/>
      <c r="I1" s="342"/>
      <c r="J1" s="342"/>
      <c r="K1" s="342"/>
      <c r="L1" s="342"/>
      <c r="M1" s="342"/>
      <c r="N1" s="343"/>
    </row>
    <row r="2" spans="1:14">
      <c r="A2" s="500" t="s">
        <v>273</v>
      </c>
      <c r="B2" s="501"/>
      <c r="C2" s="501"/>
      <c r="D2" s="501"/>
      <c r="E2" s="501"/>
      <c r="F2" s="501"/>
      <c r="G2" s="501"/>
      <c r="H2" s="501"/>
      <c r="I2" s="501"/>
      <c r="J2" s="501"/>
      <c r="K2" s="501"/>
      <c r="L2" s="501"/>
      <c r="M2" s="501"/>
      <c r="N2" s="502"/>
    </row>
    <row r="3" spans="1:14">
      <c r="A3" s="344"/>
      <c r="N3" s="389"/>
    </row>
    <row r="4" spans="1:14" ht="15.75" thickBot="1">
      <c r="A4" s="348"/>
      <c r="B4" s="514" t="s">
        <v>56</v>
      </c>
      <c r="C4" s="514"/>
      <c r="D4" s="340" t="s">
        <v>214</v>
      </c>
      <c r="E4" s="348"/>
      <c r="F4" s="340"/>
      <c r="G4" s="514" t="s">
        <v>274</v>
      </c>
      <c r="H4" s="514"/>
      <c r="I4" s="340"/>
      <c r="J4" s="348"/>
      <c r="K4" s="348"/>
      <c r="L4" s="514" t="s">
        <v>275</v>
      </c>
      <c r="M4" s="514"/>
      <c r="N4" s="389"/>
    </row>
    <row r="5" spans="1:14">
      <c r="A5" s="347" t="s">
        <v>214</v>
      </c>
      <c r="B5" s="350">
        <v>0</v>
      </c>
      <c r="C5" s="353">
        <v>638672</v>
      </c>
      <c r="D5" s="347" t="s">
        <v>214</v>
      </c>
      <c r="E5" s="348"/>
      <c r="F5" s="347" t="s">
        <v>214</v>
      </c>
      <c r="G5" s="350"/>
      <c r="H5" s="353">
        <v>0</v>
      </c>
      <c r="I5" s="347" t="s">
        <v>214</v>
      </c>
      <c r="J5" s="348"/>
      <c r="K5" s="347"/>
      <c r="L5" s="350">
        <f>B5+G5</f>
        <v>0</v>
      </c>
      <c r="M5" s="353">
        <f>C5+H5</f>
        <v>638672</v>
      </c>
      <c r="N5" s="389" t="s">
        <v>214</v>
      </c>
    </row>
    <row r="6" spans="1:14">
      <c r="A6" s="348"/>
      <c r="B6" s="355"/>
      <c r="C6" s="356"/>
      <c r="D6" s="348"/>
      <c r="E6" s="348"/>
      <c r="F6" s="348"/>
      <c r="G6" s="355"/>
      <c r="H6" s="356"/>
      <c r="I6" s="348"/>
      <c r="J6" s="348"/>
      <c r="K6" s="348"/>
      <c r="L6" s="355">
        <f t="shared" ref="L6:M9" si="0">B6+G6</f>
        <v>0</v>
      </c>
      <c r="M6" s="356">
        <f t="shared" si="0"/>
        <v>0</v>
      </c>
      <c r="N6" s="389"/>
    </row>
    <row r="7" spans="1:14">
      <c r="A7" s="348"/>
      <c r="B7" s="355"/>
      <c r="C7" s="356">
        <v>508448</v>
      </c>
      <c r="D7" s="348" t="s">
        <v>212</v>
      </c>
      <c r="E7" s="348"/>
      <c r="F7" s="348"/>
      <c r="G7" s="355"/>
      <c r="H7" s="356"/>
      <c r="I7" s="348"/>
      <c r="J7" s="348"/>
      <c r="K7" s="348"/>
      <c r="L7" s="355">
        <f t="shared" si="0"/>
        <v>0</v>
      </c>
      <c r="M7" s="356">
        <f t="shared" si="0"/>
        <v>508448</v>
      </c>
      <c r="N7" s="389"/>
    </row>
    <row r="8" spans="1:14">
      <c r="A8" s="348"/>
      <c r="B8" s="355"/>
      <c r="C8" s="356"/>
      <c r="D8" s="348"/>
      <c r="E8" s="348"/>
      <c r="F8" s="348"/>
      <c r="G8" s="355"/>
      <c r="H8" s="356"/>
      <c r="I8" s="348"/>
      <c r="J8" s="348"/>
      <c r="K8" s="348"/>
      <c r="L8" s="355">
        <f t="shared" si="0"/>
        <v>0</v>
      </c>
      <c r="M8" s="356">
        <f t="shared" si="0"/>
        <v>0</v>
      </c>
      <c r="N8" s="389"/>
    </row>
    <row r="9" spans="1:14">
      <c r="A9" s="359"/>
      <c r="B9" s="355"/>
      <c r="C9" s="356"/>
      <c r="D9" s="359"/>
      <c r="E9" s="348"/>
      <c r="F9" s="359"/>
      <c r="G9" s="355"/>
      <c r="H9" s="356"/>
      <c r="I9" s="359"/>
      <c r="J9" s="348"/>
      <c r="K9" s="359"/>
      <c r="L9" s="355">
        <f t="shared" si="0"/>
        <v>0</v>
      </c>
      <c r="M9" s="356">
        <f t="shared" si="0"/>
        <v>0</v>
      </c>
      <c r="N9" s="389"/>
    </row>
    <row r="10" spans="1:14">
      <c r="A10" s="359"/>
      <c r="B10" s="355">
        <f>IF(B11&gt;0,MAX(SUM(C5:C9)-SUM(B5:B9)+B11,0),MAX(-SUM(B5:B9)+SUM(C5:C9)-C11,0))</f>
        <v>0</v>
      </c>
      <c r="C10" s="360">
        <f>IF(C11&gt;0,MAX(-SUM(C5:C9)+SUM(B5:B9)+C11,0),MAX(SUM(B5:B9)-SUM(C5:C9)-B11,0))</f>
        <v>0</v>
      </c>
      <c r="D10" s="359"/>
      <c r="E10" s="348"/>
      <c r="F10" s="359"/>
      <c r="G10" s="355">
        <f>IF(G11&gt;0,MAX(SUM(H5:H9)-SUM(G5:G9)+G11,0),MAX(-SUM(G5:G9)+SUM(H5:H9)-H11,0))</f>
        <v>0</v>
      </c>
      <c r="H10" s="360">
        <f>IF(H11&gt;0,MAX(-SUM(H5:H9)+SUM(G5:G9)+H11,0),MAX(SUM(G5:G9)-SUM(H5:H9)-G11,0))</f>
        <v>0</v>
      </c>
      <c r="I10" s="359"/>
      <c r="J10" s="348"/>
      <c r="K10" s="359"/>
      <c r="L10" s="355"/>
      <c r="M10" s="360">
        <f>SUM(M5:M9)-SUM(L5:L9)-M11</f>
        <v>0</v>
      </c>
      <c r="N10" s="389"/>
    </row>
    <row r="11" spans="1:14" ht="15.75" thickBot="1">
      <c r="A11" s="347" t="s">
        <v>227</v>
      </c>
      <c r="B11" s="361"/>
      <c r="C11" s="364">
        <v>1147120</v>
      </c>
      <c r="D11" s="347" t="s">
        <v>227</v>
      </c>
      <c r="E11" s="348"/>
      <c r="F11" s="347" t="s">
        <v>227</v>
      </c>
      <c r="G11" s="361"/>
      <c r="H11" s="364"/>
      <c r="I11" s="347" t="s">
        <v>227</v>
      </c>
      <c r="J11" s="348"/>
      <c r="K11" s="347"/>
      <c r="L11" s="361">
        <f>MAX(B11-C11+G11-H11,0)</f>
        <v>0</v>
      </c>
      <c r="M11" s="364">
        <f>MAX(C11+H11-B11-G11,0)</f>
        <v>1147120</v>
      </c>
      <c r="N11" s="389" t="s">
        <v>227</v>
      </c>
    </row>
    <row r="12" spans="1:14" ht="15.75" thickTop="1">
      <c r="A12" s="349"/>
      <c r="B12" s="356"/>
      <c r="C12" s="356"/>
      <c r="D12" s="347"/>
      <c r="E12" s="348"/>
      <c r="F12" s="347"/>
      <c r="G12" s="356"/>
      <c r="H12" s="356"/>
      <c r="I12" s="347"/>
      <c r="J12" s="348"/>
      <c r="K12" s="347"/>
      <c r="L12" s="356"/>
      <c r="M12" s="366"/>
      <c r="N12" s="389"/>
    </row>
    <row r="13" spans="1:14" ht="15.75" thickBot="1">
      <c r="A13" s="367"/>
      <c r="B13" s="368"/>
      <c r="C13" s="368"/>
      <c r="D13" s="368"/>
      <c r="E13" s="368"/>
      <c r="F13" s="368"/>
      <c r="G13" s="368"/>
      <c r="H13" s="368"/>
      <c r="I13" s="368"/>
      <c r="J13" s="368"/>
      <c r="K13" s="368"/>
      <c r="L13" s="368"/>
      <c r="M13" s="368"/>
      <c r="N13" s="389"/>
    </row>
    <row r="14" spans="1:14">
      <c r="A14" s="344"/>
      <c r="C14" s="509" t="s">
        <v>276</v>
      </c>
      <c r="D14" s="510"/>
      <c r="E14" s="510"/>
      <c r="F14" s="510"/>
      <c r="G14" s="510"/>
      <c r="H14" s="510"/>
      <c r="I14" s="510"/>
      <c r="J14" s="510"/>
      <c r="K14" s="510"/>
      <c r="L14" s="511"/>
      <c r="M14" s="366"/>
      <c r="N14" s="389"/>
    </row>
    <row r="15" spans="1:14" ht="15.75" thickBot="1">
      <c r="A15" s="344"/>
      <c r="C15" s="512" t="s">
        <v>277</v>
      </c>
      <c r="D15" s="513"/>
      <c r="E15" s="513"/>
      <c r="F15" s="513" t="s">
        <v>278</v>
      </c>
      <c r="G15" s="513"/>
      <c r="H15" s="513" t="s">
        <v>279</v>
      </c>
      <c r="I15" s="513"/>
      <c r="J15" s="513" t="s">
        <v>280</v>
      </c>
      <c r="K15" s="513"/>
      <c r="L15" s="370" t="s">
        <v>281</v>
      </c>
      <c r="M15" s="366"/>
      <c r="N15" s="389"/>
    </row>
    <row r="16" spans="1:14">
      <c r="A16" s="344"/>
      <c r="C16" s="503"/>
      <c r="D16" s="504"/>
      <c r="E16" s="504"/>
      <c r="F16" s="504"/>
      <c r="G16" s="504"/>
      <c r="H16" s="505"/>
      <c r="I16" s="505"/>
      <c r="J16" s="505"/>
      <c r="K16" s="505"/>
      <c r="L16" s="506">
        <f>SUM(H16:I22)-SUM(J16:K22)</f>
        <v>0</v>
      </c>
      <c r="M16" s="366"/>
      <c r="N16" s="389"/>
    </row>
    <row r="17" spans="1:14">
      <c r="A17" s="344"/>
      <c r="C17" s="499"/>
      <c r="D17" s="498"/>
      <c r="E17" s="498"/>
      <c r="F17" s="498"/>
      <c r="G17" s="498"/>
      <c r="H17" s="497"/>
      <c r="I17" s="497"/>
      <c r="J17" s="497"/>
      <c r="K17" s="497"/>
      <c r="L17" s="507"/>
      <c r="M17" s="366"/>
      <c r="N17" s="389"/>
    </row>
    <row r="18" spans="1:14">
      <c r="A18" s="344"/>
      <c r="C18" s="499"/>
      <c r="D18" s="498"/>
      <c r="E18" s="498"/>
      <c r="F18" s="498"/>
      <c r="G18" s="498"/>
      <c r="H18" s="497"/>
      <c r="I18" s="497"/>
      <c r="J18" s="497"/>
      <c r="K18" s="497"/>
      <c r="L18" s="507"/>
      <c r="M18" s="366"/>
      <c r="N18" s="389"/>
    </row>
    <row r="19" spans="1:14">
      <c r="A19" s="344"/>
      <c r="C19" s="499"/>
      <c r="D19" s="498"/>
      <c r="E19" s="498"/>
      <c r="F19" s="498"/>
      <c r="G19" s="498"/>
      <c r="H19" s="497"/>
      <c r="I19" s="497"/>
      <c r="J19" s="497"/>
      <c r="K19" s="497"/>
      <c r="L19" s="507"/>
      <c r="M19" s="366"/>
      <c r="N19" s="389"/>
    </row>
    <row r="20" spans="1:14">
      <c r="A20" s="344"/>
      <c r="C20" s="495"/>
      <c r="D20" s="496"/>
      <c r="E20" s="496"/>
      <c r="F20" s="496"/>
      <c r="G20" s="496"/>
      <c r="H20" s="497"/>
      <c r="I20" s="497"/>
      <c r="J20" s="497"/>
      <c r="K20" s="497"/>
      <c r="L20" s="507"/>
      <c r="M20" s="366"/>
      <c r="N20" s="389"/>
    </row>
    <row r="21" spans="1:14">
      <c r="A21" s="349"/>
      <c r="B21" s="356"/>
      <c r="C21" s="495"/>
      <c r="D21" s="496"/>
      <c r="E21" s="496"/>
      <c r="F21" s="496"/>
      <c r="G21" s="496"/>
      <c r="H21" s="497"/>
      <c r="I21" s="497"/>
      <c r="J21" s="497"/>
      <c r="K21" s="497"/>
      <c r="L21" s="507"/>
      <c r="M21" s="366"/>
      <c r="N21" s="389"/>
    </row>
    <row r="22" spans="1:14" ht="15.75" thickBot="1">
      <c r="A22" s="344"/>
      <c r="C22" s="492"/>
      <c r="D22" s="493"/>
      <c r="E22" s="493"/>
      <c r="F22" s="493"/>
      <c r="G22" s="493"/>
      <c r="H22" s="494"/>
      <c r="I22" s="494"/>
      <c r="J22" s="494"/>
      <c r="K22" s="494"/>
      <c r="L22" s="508"/>
      <c r="N22" s="389"/>
    </row>
    <row r="23" spans="1:14">
      <c r="A23" s="344"/>
      <c r="C23" s="372"/>
      <c r="D23" s="372"/>
      <c r="E23" s="372"/>
      <c r="F23" s="372"/>
      <c r="G23" s="372"/>
      <c r="H23" s="373"/>
      <c r="I23" s="373"/>
      <c r="J23" s="373"/>
      <c r="K23" s="373"/>
      <c r="L23" s="374"/>
      <c r="N23" s="389"/>
    </row>
    <row r="24" spans="1:14" ht="15.75" thickBot="1">
      <c r="A24" s="375"/>
      <c r="B24" s="376"/>
      <c r="C24" s="377"/>
      <c r="D24" s="377"/>
      <c r="E24" s="377"/>
      <c r="F24" s="377"/>
      <c r="G24" s="377"/>
      <c r="H24" s="378"/>
      <c r="I24" s="378"/>
      <c r="J24" s="378"/>
      <c r="K24" s="378"/>
      <c r="L24" s="379"/>
      <c r="M24" s="376"/>
      <c r="N24" s="390"/>
    </row>
    <row r="25" spans="1:14">
      <c r="A25" s="341" t="s">
        <v>282</v>
      </c>
      <c r="B25" s="342"/>
      <c r="C25" s="342"/>
      <c r="D25" s="342"/>
      <c r="E25" s="342"/>
      <c r="F25" s="342"/>
      <c r="G25" s="342"/>
      <c r="H25" s="342"/>
      <c r="I25" s="342"/>
      <c r="J25" s="342"/>
      <c r="K25" s="342"/>
      <c r="L25" s="342"/>
      <c r="M25" s="342"/>
      <c r="N25" s="343"/>
    </row>
    <row r="26" spans="1:14">
      <c r="A26" s="500" t="s">
        <v>273</v>
      </c>
      <c r="B26" s="501"/>
      <c r="C26" s="501"/>
      <c r="D26" s="501"/>
      <c r="E26" s="501"/>
      <c r="F26" s="501"/>
      <c r="G26" s="501"/>
      <c r="H26" s="501"/>
      <c r="I26" s="501"/>
      <c r="J26" s="501"/>
      <c r="K26" s="501"/>
      <c r="L26" s="501"/>
      <c r="M26" s="501"/>
      <c r="N26" s="502"/>
    </row>
    <row r="27" spans="1:14">
      <c r="A27" s="344"/>
      <c r="N27" s="389"/>
    </row>
    <row r="28" spans="1:14" ht="15.75" thickBot="1">
      <c r="A28" s="348"/>
      <c r="B28" s="514"/>
      <c r="C28" s="514"/>
      <c r="D28" s="340"/>
      <c r="E28" s="348"/>
      <c r="F28" s="340"/>
      <c r="G28" s="515"/>
      <c r="H28" s="515"/>
      <c r="I28" s="347"/>
      <c r="J28" s="348"/>
      <c r="K28" s="348"/>
      <c r="L28" s="514" t="str">
        <f>B28&amp;" , Total"</f>
        <v xml:space="preserve"> , Total</v>
      </c>
      <c r="M28" s="514"/>
      <c r="N28" s="389"/>
    </row>
    <row r="29" spans="1:14">
      <c r="A29" s="347"/>
      <c r="B29" s="352"/>
      <c r="C29" s="353"/>
      <c r="D29" s="347" t="s">
        <v>214</v>
      </c>
      <c r="E29" s="348"/>
      <c r="F29" s="347" t="s">
        <v>214</v>
      </c>
      <c r="G29" s="350"/>
      <c r="H29" s="351"/>
      <c r="I29" s="347" t="s">
        <v>214</v>
      </c>
      <c r="J29" s="348"/>
      <c r="K29" s="347" t="s">
        <v>214</v>
      </c>
      <c r="L29" s="352"/>
      <c r="M29" s="353"/>
      <c r="N29" s="389" t="s">
        <v>214</v>
      </c>
    </row>
    <row r="30" spans="1:14">
      <c r="A30" s="348"/>
      <c r="B30" s="355"/>
      <c r="C30" s="356"/>
      <c r="D30" s="348"/>
      <c r="E30" s="348"/>
      <c r="F30" s="348"/>
      <c r="G30" s="355"/>
      <c r="H30" s="356"/>
      <c r="I30" s="348"/>
      <c r="J30" s="348"/>
      <c r="K30" s="348"/>
      <c r="L30" s="355"/>
      <c r="M30" s="356"/>
      <c r="N30" s="389"/>
    </row>
    <row r="31" spans="1:14">
      <c r="A31" s="348"/>
      <c r="B31" s="355"/>
      <c r="C31" s="356"/>
      <c r="D31" s="348"/>
      <c r="E31" s="348"/>
      <c r="F31" s="348"/>
      <c r="G31" s="355"/>
      <c r="H31" s="356"/>
      <c r="I31" s="348"/>
      <c r="J31" s="348"/>
      <c r="K31" s="348"/>
      <c r="L31" s="355"/>
      <c r="M31" s="356"/>
      <c r="N31" s="389"/>
    </row>
    <row r="32" spans="1:14">
      <c r="A32" s="348"/>
      <c r="B32" s="355"/>
      <c r="C32" s="356"/>
      <c r="D32" s="348"/>
      <c r="E32" s="348"/>
      <c r="F32" s="348"/>
      <c r="G32" s="355"/>
      <c r="H32" s="356"/>
      <c r="I32" s="348"/>
      <c r="J32" s="348"/>
      <c r="K32" s="348"/>
      <c r="L32" s="355"/>
      <c r="M32" s="356"/>
      <c r="N32" s="389"/>
    </row>
    <row r="33" spans="1:14">
      <c r="A33" s="359"/>
      <c r="B33" s="355"/>
      <c r="C33" s="356"/>
      <c r="D33" s="359"/>
      <c r="E33" s="348"/>
      <c r="F33" s="359"/>
      <c r="G33" s="355"/>
      <c r="H33" s="356"/>
      <c r="I33" s="359"/>
      <c r="J33" s="348"/>
      <c r="K33" s="359"/>
      <c r="L33" s="355"/>
      <c r="M33" s="356"/>
      <c r="N33" s="389"/>
    </row>
    <row r="34" spans="1:14">
      <c r="A34" s="359"/>
      <c r="B34" s="355"/>
      <c r="C34" s="360">
        <f>SUM(C29:C33)-SUM(B29:B33)-C35</f>
        <v>0</v>
      </c>
      <c r="D34" s="359"/>
      <c r="E34" s="348"/>
      <c r="F34" s="359"/>
      <c r="G34" s="355">
        <f>MAX(G35-SUM(G29:G33)+SUM(H30:H33),0)</f>
        <v>0</v>
      </c>
      <c r="H34" s="360">
        <f>MAX(0,SUM(G29:G34)-SUM(H30:H33)-G35)</f>
        <v>0</v>
      </c>
      <c r="I34" s="359"/>
      <c r="J34" s="348"/>
      <c r="K34" s="359"/>
      <c r="L34" s="355"/>
      <c r="M34" s="360">
        <f>SUM(M29:M33)-SUM(L29:L33)-M35</f>
        <v>0</v>
      </c>
      <c r="N34" s="389"/>
    </row>
    <row r="35" spans="1:14" ht="15.75" thickBot="1">
      <c r="A35" s="347"/>
      <c r="B35" s="363"/>
      <c r="C35" s="364"/>
      <c r="D35" s="347" t="s">
        <v>227</v>
      </c>
      <c r="E35" s="348"/>
      <c r="F35" s="347" t="s">
        <v>227</v>
      </c>
      <c r="G35" s="361"/>
      <c r="H35" s="362"/>
      <c r="I35" s="347"/>
      <c r="J35" s="348"/>
      <c r="K35" s="347"/>
      <c r="L35" s="363"/>
      <c r="M35" s="364"/>
      <c r="N35" s="389" t="s">
        <v>227</v>
      </c>
    </row>
    <row r="36" spans="1:14" ht="15.75" thickTop="1">
      <c r="A36" s="349"/>
      <c r="B36" s="356"/>
      <c r="C36" s="356"/>
      <c r="D36" s="347"/>
      <c r="E36" s="348"/>
      <c r="F36" s="347"/>
      <c r="G36" s="356"/>
      <c r="H36" s="356"/>
      <c r="I36" s="347"/>
      <c r="J36" s="348"/>
      <c r="K36" s="347"/>
      <c r="L36" s="356"/>
      <c r="M36" s="366"/>
      <c r="N36" s="389"/>
    </row>
    <row r="37" spans="1:14" ht="15.75" thickBot="1">
      <c r="A37" s="367"/>
      <c r="B37" s="368"/>
      <c r="C37" s="368"/>
      <c r="D37" s="368"/>
      <c r="E37" s="368"/>
      <c r="F37" s="368"/>
      <c r="G37" s="368"/>
      <c r="H37" s="368"/>
      <c r="I37" s="368"/>
      <c r="J37" s="368"/>
      <c r="K37" s="368"/>
      <c r="L37" s="368"/>
      <c r="M37" s="368"/>
      <c r="N37" s="389"/>
    </row>
    <row r="38" spans="1:14">
      <c r="A38" s="344"/>
      <c r="C38" s="509" t="s">
        <v>276</v>
      </c>
      <c r="D38" s="510"/>
      <c r="E38" s="510"/>
      <c r="F38" s="510"/>
      <c r="G38" s="510"/>
      <c r="H38" s="510"/>
      <c r="I38" s="510"/>
      <c r="J38" s="510"/>
      <c r="K38" s="510"/>
      <c r="L38" s="511"/>
      <c r="M38" s="366"/>
      <c r="N38" s="389"/>
    </row>
    <row r="39" spans="1:14" ht="15.75" thickBot="1">
      <c r="A39" s="344"/>
      <c r="C39" s="512" t="s">
        <v>277</v>
      </c>
      <c r="D39" s="513"/>
      <c r="E39" s="513"/>
      <c r="F39" s="513" t="s">
        <v>278</v>
      </c>
      <c r="G39" s="513"/>
      <c r="H39" s="513" t="s">
        <v>279</v>
      </c>
      <c r="I39" s="513"/>
      <c r="J39" s="513" t="s">
        <v>280</v>
      </c>
      <c r="K39" s="513"/>
      <c r="L39" s="370" t="s">
        <v>281</v>
      </c>
      <c r="M39" s="366"/>
      <c r="N39" s="389"/>
    </row>
    <row r="40" spans="1:14">
      <c r="A40" s="344"/>
      <c r="C40" s="503"/>
      <c r="D40" s="504"/>
      <c r="E40" s="504"/>
      <c r="F40" s="504"/>
      <c r="G40" s="504"/>
      <c r="H40" s="505"/>
      <c r="I40" s="505"/>
      <c r="J40" s="505"/>
      <c r="K40" s="505"/>
      <c r="L40" s="506">
        <f>SUM(H40:I46)-SUM(J40:K46)</f>
        <v>0</v>
      </c>
      <c r="M40" s="366"/>
      <c r="N40" s="389"/>
    </row>
    <row r="41" spans="1:14">
      <c r="A41" s="344"/>
      <c r="C41" s="499"/>
      <c r="D41" s="498"/>
      <c r="E41" s="498"/>
      <c r="F41" s="498"/>
      <c r="G41" s="498"/>
      <c r="H41" s="497"/>
      <c r="I41" s="497"/>
      <c r="J41" s="497"/>
      <c r="K41" s="497"/>
      <c r="L41" s="507"/>
      <c r="M41" s="366"/>
      <c r="N41" s="389"/>
    </row>
    <row r="42" spans="1:14">
      <c r="A42" s="344"/>
      <c r="C42" s="499"/>
      <c r="D42" s="498"/>
      <c r="E42" s="498"/>
      <c r="F42" s="498"/>
      <c r="G42" s="498"/>
      <c r="H42" s="497"/>
      <c r="I42" s="497"/>
      <c r="J42" s="497"/>
      <c r="K42" s="497"/>
      <c r="L42" s="507"/>
      <c r="M42" s="366"/>
      <c r="N42" s="389"/>
    </row>
    <row r="43" spans="1:14">
      <c r="A43" s="344"/>
      <c r="C43" s="499"/>
      <c r="D43" s="498"/>
      <c r="E43" s="498"/>
      <c r="F43" s="498"/>
      <c r="G43" s="498"/>
      <c r="H43" s="497"/>
      <c r="I43" s="497"/>
      <c r="J43" s="497"/>
      <c r="K43" s="497"/>
      <c r="L43" s="507"/>
      <c r="M43" s="366"/>
      <c r="N43" s="389"/>
    </row>
    <row r="44" spans="1:14">
      <c r="A44" s="344"/>
      <c r="C44" s="495"/>
      <c r="D44" s="496"/>
      <c r="E44" s="496"/>
      <c r="F44" s="496"/>
      <c r="G44" s="496"/>
      <c r="H44" s="497"/>
      <c r="I44" s="497"/>
      <c r="J44" s="497"/>
      <c r="K44" s="497"/>
      <c r="L44" s="507"/>
      <c r="M44" s="366"/>
      <c r="N44" s="389"/>
    </row>
    <row r="45" spans="1:14">
      <c r="A45" s="349"/>
      <c r="B45" s="356"/>
      <c r="C45" s="495"/>
      <c r="D45" s="496"/>
      <c r="E45" s="496"/>
      <c r="F45" s="496"/>
      <c r="G45" s="496"/>
      <c r="H45" s="497"/>
      <c r="I45" s="497"/>
      <c r="J45" s="497"/>
      <c r="K45" s="497"/>
      <c r="L45" s="507"/>
      <c r="M45" s="366"/>
      <c r="N45" s="389"/>
    </row>
    <row r="46" spans="1:14" ht="15.75" thickBot="1">
      <c r="A46" s="344"/>
      <c r="C46" s="492"/>
      <c r="D46" s="493"/>
      <c r="E46" s="493"/>
      <c r="F46" s="493"/>
      <c r="G46" s="493"/>
      <c r="H46" s="494"/>
      <c r="I46" s="494"/>
      <c r="J46" s="494"/>
      <c r="K46" s="494"/>
      <c r="L46" s="508"/>
      <c r="N46" s="389"/>
    </row>
    <row r="47" spans="1:14">
      <c r="A47" s="344"/>
      <c r="C47" s="372"/>
      <c r="D47" s="372"/>
      <c r="E47" s="372"/>
      <c r="F47" s="372"/>
      <c r="G47" s="372"/>
      <c r="H47" s="373"/>
      <c r="I47" s="373"/>
      <c r="J47" s="373"/>
      <c r="K47" s="373"/>
      <c r="L47" s="374"/>
      <c r="N47" s="389"/>
    </row>
    <row r="48" spans="1:14" ht="15.75" thickBot="1">
      <c r="A48" s="375"/>
      <c r="B48" s="376"/>
      <c r="C48" s="377"/>
      <c r="D48" s="377"/>
      <c r="E48" s="377"/>
      <c r="F48" s="377"/>
      <c r="G48" s="377"/>
      <c r="H48" s="378"/>
      <c r="I48" s="378"/>
      <c r="J48" s="378"/>
      <c r="K48" s="378"/>
      <c r="L48" s="379"/>
      <c r="M48" s="376"/>
      <c r="N48" s="391"/>
    </row>
  </sheetData>
  <mergeCells count="76">
    <mergeCell ref="C15:E15"/>
    <mergeCell ref="F15:G15"/>
    <mergeCell ref="H15:I15"/>
    <mergeCell ref="J15:K15"/>
    <mergeCell ref="A2:N2"/>
    <mergeCell ref="B4:C4"/>
    <mergeCell ref="G4:H4"/>
    <mergeCell ref="L4:M4"/>
    <mergeCell ref="C14:L14"/>
    <mergeCell ref="C16:E16"/>
    <mergeCell ref="F16:G16"/>
    <mergeCell ref="H16:I16"/>
    <mergeCell ref="J16:K16"/>
    <mergeCell ref="L16:L22"/>
    <mergeCell ref="C17:E17"/>
    <mergeCell ref="F17:G17"/>
    <mergeCell ref="H17:I17"/>
    <mergeCell ref="J17:K17"/>
    <mergeCell ref="C18:E18"/>
    <mergeCell ref="F18:G18"/>
    <mergeCell ref="H18:I18"/>
    <mergeCell ref="J18:K18"/>
    <mergeCell ref="C19:E19"/>
    <mergeCell ref="F19:G19"/>
    <mergeCell ref="H19:I19"/>
    <mergeCell ref="J19:K19"/>
    <mergeCell ref="B28:C28"/>
    <mergeCell ref="G28:H28"/>
    <mergeCell ref="L28:M28"/>
    <mergeCell ref="C20:E20"/>
    <mergeCell ref="F20:G20"/>
    <mergeCell ref="H20:I20"/>
    <mergeCell ref="J20:K20"/>
    <mergeCell ref="C21:E21"/>
    <mergeCell ref="F21:G21"/>
    <mergeCell ref="H21:I21"/>
    <mergeCell ref="J21:K21"/>
    <mergeCell ref="C22:E22"/>
    <mergeCell ref="F22:G22"/>
    <mergeCell ref="H22:I22"/>
    <mergeCell ref="J22:K22"/>
    <mergeCell ref="A26:N26"/>
    <mergeCell ref="C40:E40"/>
    <mergeCell ref="F40:G40"/>
    <mergeCell ref="H40:I40"/>
    <mergeCell ref="J40:K40"/>
    <mergeCell ref="L40:L46"/>
    <mergeCell ref="C38:L38"/>
    <mergeCell ref="C39:E39"/>
    <mergeCell ref="F39:G39"/>
    <mergeCell ref="H39:I39"/>
    <mergeCell ref="J39:K39"/>
    <mergeCell ref="C41:E41"/>
    <mergeCell ref="F41:G41"/>
    <mergeCell ref="H41:I41"/>
    <mergeCell ref="J41:K41"/>
    <mergeCell ref="C42:E42"/>
    <mergeCell ref="F42:G42"/>
    <mergeCell ref="H42:I42"/>
    <mergeCell ref="J42:K42"/>
    <mergeCell ref="C43:E43"/>
    <mergeCell ref="F43:G43"/>
    <mergeCell ref="H43:I43"/>
    <mergeCell ref="J43:K43"/>
    <mergeCell ref="C46:E46"/>
    <mergeCell ref="F46:G46"/>
    <mergeCell ref="H46:I46"/>
    <mergeCell ref="J46:K46"/>
    <mergeCell ref="C44:E44"/>
    <mergeCell ref="F44:G44"/>
    <mergeCell ref="H44:I44"/>
    <mergeCell ref="J44:K44"/>
    <mergeCell ref="C45:E45"/>
    <mergeCell ref="F45:G45"/>
    <mergeCell ref="H45:I45"/>
    <mergeCell ref="J45:K45"/>
  </mergeCells>
  <conditionalFormatting sqref="B10:C10">
    <cfRule type="cellIs" dxfId="119" priority="3" operator="notEqual">
      <formula>0</formula>
    </cfRule>
    <cfRule type="cellIs" dxfId="118" priority="4" operator="equal">
      <formula>0</formula>
    </cfRule>
  </conditionalFormatting>
  <conditionalFormatting sqref="B34:C34">
    <cfRule type="cellIs" dxfId="117" priority="11" operator="notEqual">
      <formula>0</formula>
    </cfRule>
    <cfRule type="cellIs" dxfId="116" priority="12" operator="equal">
      <formula>0</formula>
    </cfRule>
  </conditionalFormatting>
  <conditionalFormatting sqref="G10:H10">
    <cfRule type="cellIs" dxfId="115" priority="1" operator="notEqual">
      <formula>0</formula>
    </cfRule>
    <cfRule type="cellIs" dxfId="114" priority="2" operator="equal">
      <formula>0</formula>
    </cfRule>
  </conditionalFormatting>
  <conditionalFormatting sqref="G34:H34">
    <cfRule type="cellIs" dxfId="113" priority="7" operator="notEqual">
      <formula>0</formula>
    </cfRule>
    <cfRule type="cellIs" dxfId="112" priority="8" operator="equal">
      <formula>0</formula>
    </cfRule>
  </conditionalFormatting>
  <conditionalFormatting sqref="L10:M10">
    <cfRule type="cellIs" dxfId="111" priority="13" operator="notEqual">
      <formula>0</formula>
    </cfRule>
    <cfRule type="cellIs" dxfId="110" priority="14" operator="equal">
      <formula>0</formula>
    </cfRule>
  </conditionalFormatting>
  <conditionalFormatting sqref="L34:M34">
    <cfRule type="cellIs" dxfId="109" priority="9" operator="notEqual">
      <formula>0</formula>
    </cfRule>
    <cfRule type="cellIs" dxfId="108" priority="10" operat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0B44B-D0A1-4AC7-AE10-06E8AB2FEC17}">
  <dimension ref="A1:N50"/>
  <sheetViews>
    <sheetView tabSelected="1" topLeftCell="A3" zoomScale="175" zoomScaleNormal="175" workbookViewId="0">
      <selection activeCell="G10" sqref="G10"/>
    </sheetView>
  </sheetViews>
  <sheetFormatPr defaultColWidth="9.140625" defaultRowHeight="15"/>
  <cols>
    <col min="1" max="1" width="4.140625" style="339" customWidth="1"/>
    <col min="2" max="2" width="15.7109375" style="339" customWidth="1"/>
    <col min="3" max="3" width="17" style="339" customWidth="1"/>
    <col min="4" max="5" width="9.140625" style="339"/>
    <col min="6" max="6" width="4.28515625" style="339" customWidth="1"/>
    <col min="7" max="7" width="14.7109375" style="339" customWidth="1"/>
    <col min="8" max="8" width="13.7109375" style="339" customWidth="1"/>
    <col min="9" max="9" width="3.28515625" style="339" bestFit="1" customWidth="1"/>
    <col min="10" max="10" width="18" style="339" customWidth="1"/>
    <col min="11" max="11" width="3.28515625" style="339" bestFit="1" customWidth="1"/>
    <col min="12" max="12" width="15.42578125" style="339" customWidth="1"/>
    <col min="13" max="13" width="12.7109375" style="339" customWidth="1"/>
    <col min="14" max="16384" width="9.140625" style="339"/>
  </cols>
  <sheetData>
    <row r="1" spans="1:14">
      <c r="N1" s="340"/>
    </row>
    <row r="2" spans="1:14" ht="15.75" thickBot="1">
      <c r="N2" s="340"/>
    </row>
    <row r="3" spans="1:14">
      <c r="A3" s="341" t="s">
        <v>272</v>
      </c>
      <c r="B3" s="342"/>
      <c r="C3" s="342"/>
      <c r="D3" s="342"/>
      <c r="E3" s="342"/>
      <c r="F3" s="342"/>
      <c r="G3" s="342"/>
      <c r="H3" s="342"/>
      <c r="I3" s="342"/>
      <c r="J3" s="342"/>
      <c r="K3" s="342"/>
      <c r="L3" s="342"/>
      <c r="M3" s="342"/>
      <c r="N3" s="343"/>
    </row>
    <row r="4" spans="1:14">
      <c r="A4" s="500" t="s">
        <v>273</v>
      </c>
      <c r="B4" s="501"/>
      <c r="C4" s="501"/>
      <c r="D4" s="501"/>
      <c r="E4" s="501"/>
      <c r="F4" s="501"/>
      <c r="G4" s="501"/>
      <c r="H4" s="501"/>
      <c r="I4" s="501"/>
      <c r="J4" s="501"/>
      <c r="K4" s="501"/>
      <c r="L4" s="501"/>
      <c r="M4" s="501"/>
      <c r="N4" s="502"/>
    </row>
    <row r="5" spans="1:14">
      <c r="A5" s="344"/>
      <c r="N5" s="345"/>
    </row>
    <row r="6" spans="1:14" ht="15.75" thickBot="1">
      <c r="A6" s="346"/>
      <c r="B6" s="515" t="s">
        <v>35</v>
      </c>
      <c r="C6" s="515"/>
      <c r="D6" s="347"/>
      <c r="E6" s="348"/>
      <c r="F6" s="348"/>
      <c r="G6" s="514" t="s">
        <v>36</v>
      </c>
      <c r="H6" s="514"/>
      <c r="I6" s="340"/>
      <c r="J6" s="348"/>
      <c r="K6" s="340"/>
      <c r="L6" s="515" t="str">
        <f>B6&amp;", Net"</f>
        <v>Property, Plant &amp; Equipment, Net</v>
      </c>
      <c r="M6" s="515"/>
      <c r="N6" s="345"/>
    </row>
    <row r="7" spans="1:14">
      <c r="A7" s="349" t="s">
        <v>214</v>
      </c>
      <c r="B7" s="350">
        <v>10469358</v>
      </c>
      <c r="C7" s="351"/>
      <c r="D7" s="347"/>
      <c r="E7" s="348"/>
      <c r="F7" s="347"/>
      <c r="G7" s="352"/>
      <c r="H7" s="353">
        <v>4750544</v>
      </c>
      <c r="I7" s="347"/>
      <c r="J7" s="348"/>
      <c r="K7" s="347"/>
      <c r="L7" s="350">
        <f>B7-H7</f>
        <v>5718814</v>
      </c>
      <c r="M7" s="351"/>
      <c r="N7" s="345"/>
    </row>
    <row r="8" spans="1:14">
      <c r="A8" s="354" t="s">
        <v>80</v>
      </c>
      <c r="B8" s="355">
        <v>3586349</v>
      </c>
      <c r="C8" s="356"/>
      <c r="D8" s="348"/>
      <c r="E8" s="348"/>
      <c r="F8" s="348"/>
      <c r="G8" s="355"/>
      <c r="H8" s="356"/>
      <c r="I8" s="348"/>
      <c r="J8" s="348"/>
      <c r="K8" s="348"/>
      <c r="L8" s="355"/>
      <c r="M8" s="357"/>
      <c r="N8" s="345"/>
    </row>
    <row r="9" spans="1:14">
      <c r="A9" s="354" t="s">
        <v>283</v>
      </c>
      <c r="B9" s="355">
        <v>132000</v>
      </c>
      <c r="C9" s="356">
        <v>140901</v>
      </c>
      <c r="D9" s="348" t="s">
        <v>284</v>
      </c>
      <c r="E9" s="348"/>
      <c r="F9" s="348" t="s">
        <v>285</v>
      </c>
      <c r="G9" s="355">
        <v>84577</v>
      </c>
      <c r="H9" s="356">
        <v>783275</v>
      </c>
      <c r="I9" s="348" t="s">
        <v>286</v>
      </c>
      <c r="J9" s="348"/>
      <c r="K9" s="348"/>
      <c r="L9" s="355"/>
      <c r="M9" s="357"/>
      <c r="N9" s="345"/>
    </row>
    <row r="10" spans="1:14">
      <c r="A10" s="354" t="s">
        <v>287</v>
      </c>
      <c r="B10" s="355">
        <v>1248352</v>
      </c>
      <c r="C10" s="356"/>
      <c r="D10" s="348"/>
      <c r="E10" s="348"/>
      <c r="F10" s="348"/>
      <c r="G10" s="355"/>
      <c r="H10" s="356"/>
      <c r="I10" s="348"/>
      <c r="J10" s="348"/>
      <c r="K10" s="348"/>
      <c r="L10" s="355"/>
      <c r="M10" s="357"/>
      <c r="N10" s="345"/>
    </row>
    <row r="11" spans="1:14">
      <c r="A11" s="358"/>
      <c r="B11" s="355"/>
      <c r="C11" s="356"/>
      <c r="D11" s="359"/>
      <c r="E11" s="348"/>
      <c r="F11" s="359"/>
      <c r="G11" s="355"/>
      <c r="H11" s="356"/>
      <c r="I11" s="359"/>
      <c r="J11" s="348"/>
      <c r="K11" s="348"/>
      <c r="L11" s="355"/>
      <c r="M11" s="357"/>
      <c r="N11" s="345"/>
    </row>
    <row r="12" spans="1:14">
      <c r="A12" s="358"/>
      <c r="B12" s="355">
        <f>MAX(B13-SUM(B7:B11)+SUM(C8:C11),0)</f>
        <v>377</v>
      </c>
      <c r="C12" s="360">
        <f>MAX(0,SUM(B7:B12)-SUM(C8:C11)-B13)</f>
        <v>0</v>
      </c>
      <c r="D12" s="359"/>
      <c r="E12" s="348"/>
      <c r="F12" s="359"/>
      <c r="G12" s="355"/>
      <c r="H12" s="360">
        <f>SUM(H7:H11)-SUM(G7:G11)-H13</f>
        <v>0</v>
      </c>
      <c r="I12" s="359"/>
      <c r="J12" s="348"/>
      <c r="K12" s="348"/>
      <c r="L12" s="355">
        <f>MAX(L13-SUM(L7:L11)+SUM(M8:M11),0)</f>
        <v>4127479</v>
      </c>
      <c r="M12" s="360">
        <f>MAX(0,SUM(L7:L11)-SUM(M8:M11)-L13)</f>
        <v>0</v>
      </c>
      <c r="N12" s="345"/>
    </row>
    <row r="13" spans="1:14" ht="15.75" thickBot="1">
      <c r="A13" s="349" t="s">
        <v>227</v>
      </c>
      <c r="B13" s="361">
        <v>15295535</v>
      </c>
      <c r="C13" s="362"/>
      <c r="D13" s="347"/>
      <c r="E13" s="348"/>
      <c r="F13" s="347"/>
      <c r="G13" s="363"/>
      <c r="H13" s="364">
        <v>5449242</v>
      </c>
      <c r="I13" s="347" t="s">
        <v>227</v>
      </c>
      <c r="J13" s="348"/>
      <c r="K13" s="347" t="s">
        <v>227</v>
      </c>
      <c r="L13" s="361">
        <f>B13-H13</f>
        <v>9846293</v>
      </c>
      <c r="M13" s="365"/>
      <c r="N13" s="345"/>
    </row>
    <row r="14" spans="1:14" ht="15.75" thickTop="1">
      <c r="A14" s="349"/>
      <c r="B14" s="356"/>
      <c r="C14" s="356"/>
      <c r="D14" s="347"/>
      <c r="E14" s="348"/>
      <c r="F14" s="347"/>
      <c r="G14" s="356"/>
      <c r="H14" s="356"/>
      <c r="I14" s="347"/>
      <c r="J14" s="348"/>
      <c r="K14" s="347"/>
      <c r="L14" s="356"/>
      <c r="M14" s="366"/>
      <c r="N14" s="345"/>
    </row>
    <row r="15" spans="1:14" ht="15.75" thickBot="1">
      <c r="A15" s="367"/>
      <c r="B15" s="368"/>
      <c r="C15" s="368"/>
      <c r="D15" s="368"/>
      <c r="E15" s="368"/>
      <c r="F15" s="368"/>
      <c r="G15" s="368"/>
      <c r="H15" s="368"/>
      <c r="I15" s="368"/>
      <c r="J15" s="368"/>
      <c r="K15" s="368"/>
      <c r="L15" s="368"/>
      <c r="M15" s="368"/>
      <c r="N15" s="369"/>
    </row>
    <row r="16" spans="1:14">
      <c r="A16" s="344"/>
      <c r="C16" s="509" t="s">
        <v>276</v>
      </c>
      <c r="D16" s="510"/>
      <c r="E16" s="510"/>
      <c r="F16" s="510"/>
      <c r="G16" s="510"/>
      <c r="H16" s="510"/>
      <c r="I16" s="510"/>
      <c r="J16" s="510"/>
      <c r="K16" s="510"/>
      <c r="L16" s="511"/>
      <c r="M16" s="366"/>
      <c r="N16" s="345"/>
    </row>
    <row r="17" spans="1:14" ht="15.75" thickBot="1">
      <c r="A17" s="344"/>
      <c r="C17" s="512" t="s">
        <v>277</v>
      </c>
      <c r="D17" s="513"/>
      <c r="E17" s="513"/>
      <c r="F17" s="513" t="s">
        <v>278</v>
      </c>
      <c r="G17" s="513"/>
      <c r="H17" s="513" t="s">
        <v>279</v>
      </c>
      <c r="I17" s="513"/>
      <c r="J17" s="513" t="s">
        <v>280</v>
      </c>
      <c r="K17" s="513"/>
      <c r="L17" s="370" t="s">
        <v>281</v>
      </c>
      <c r="M17" s="366"/>
      <c r="N17" s="345"/>
    </row>
    <row r="18" spans="1:14">
      <c r="A18" s="344"/>
      <c r="C18" s="503" t="s">
        <v>36</v>
      </c>
      <c r="D18" s="504"/>
      <c r="E18" s="504"/>
      <c r="F18" s="504"/>
      <c r="G18" s="504"/>
      <c r="H18" s="505">
        <v>84577</v>
      </c>
      <c r="I18" s="505"/>
      <c r="J18" s="505"/>
      <c r="K18" s="505"/>
      <c r="L18" s="506">
        <f>SUM(H18:I24)-SUM(J18:K24)</f>
        <v>0</v>
      </c>
      <c r="M18" s="366"/>
      <c r="N18" s="345"/>
    </row>
    <row r="19" spans="1:14">
      <c r="A19" s="344"/>
      <c r="C19" s="499" t="s">
        <v>26</v>
      </c>
      <c r="D19" s="498"/>
      <c r="E19" s="498"/>
      <c r="F19" s="498"/>
      <c r="G19" s="498"/>
      <c r="H19" s="497">
        <v>30939</v>
      </c>
      <c r="I19" s="497"/>
      <c r="J19" s="497"/>
      <c r="K19" s="497"/>
      <c r="L19" s="507"/>
      <c r="M19" s="366"/>
      <c r="N19" s="371"/>
    </row>
    <row r="20" spans="1:14">
      <c r="A20" s="344"/>
      <c r="C20" s="499" t="s">
        <v>288</v>
      </c>
      <c r="D20" s="498"/>
      <c r="E20" s="498"/>
      <c r="F20" s="498"/>
      <c r="G20" s="498"/>
      <c r="H20" s="497">
        <v>25385</v>
      </c>
      <c r="I20" s="497"/>
      <c r="J20" s="497"/>
      <c r="K20" s="497"/>
      <c r="L20" s="507"/>
      <c r="M20" s="366"/>
      <c r="N20" s="371"/>
    </row>
    <row r="21" spans="1:14">
      <c r="A21" s="344"/>
      <c r="C21" s="499"/>
      <c r="D21" s="498"/>
      <c r="E21" s="498"/>
      <c r="F21" s="498" t="s">
        <v>289</v>
      </c>
      <c r="G21" s="498"/>
      <c r="H21" s="497"/>
      <c r="I21" s="497"/>
      <c r="J21" s="497">
        <v>140901</v>
      </c>
      <c r="K21" s="497"/>
      <c r="L21" s="507"/>
      <c r="M21" s="366"/>
      <c r="N21" s="371"/>
    </row>
    <row r="22" spans="1:14">
      <c r="A22" s="344"/>
      <c r="C22" s="495"/>
      <c r="D22" s="496"/>
      <c r="E22" s="496"/>
      <c r="F22" s="496"/>
      <c r="G22" s="496"/>
      <c r="H22" s="497"/>
      <c r="I22" s="497"/>
      <c r="J22" s="497"/>
      <c r="K22" s="497"/>
      <c r="L22" s="507"/>
      <c r="M22" s="366"/>
      <c r="N22" s="371"/>
    </row>
    <row r="23" spans="1:14">
      <c r="A23" s="349"/>
      <c r="B23" s="356"/>
      <c r="C23" s="495"/>
      <c r="D23" s="496"/>
      <c r="E23" s="496"/>
      <c r="F23" s="496"/>
      <c r="G23" s="496"/>
      <c r="H23" s="497"/>
      <c r="I23" s="497"/>
      <c r="J23" s="497"/>
      <c r="K23" s="497"/>
      <c r="L23" s="507"/>
      <c r="M23" s="366"/>
      <c r="N23" s="371"/>
    </row>
    <row r="24" spans="1:14" ht="15.75" thickBot="1">
      <c r="A24" s="344"/>
      <c r="C24" s="492"/>
      <c r="D24" s="493"/>
      <c r="E24" s="493"/>
      <c r="F24" s="493"/>
      <c r="G24" s="493"/>
      <c r="H24" s="494"/>
      <c r="I24" s="494"/>
      <c r="J24" s="494"/>
      <c r="K24" s="494"/>
      <c r="L24" s="508"/>
      <c r="N24" s="371"/>
    </row>
    <row r="25" spans="1:14">
      <c r="A25" s="344"/>
      <c r="C25" s="372"/>
      <c r="D25" s="372"/>
      <c r="E25" s="372"/>
      <c r="F25" s="372"/>
      <c r="G25" s="372"/>
      <c r="H25" s="373"/>
      <c r="I25" s="373"/>
      <c r="J25" s="373"/>
      <c r="K25" s="373"/>
      <c r="L25" s="374"/>
      <c r="N25" s="371"/>
    </row>
    <row r="26" spans="1:14" ht="15.75" thickBot="1">
      <c r="A26" s="375"/>
      <c r="B26" s="376"/>
      <c r="C26" s="377"/>
      <c r="D26" s="377"/>
      <c r="E26" s="377"/>
      <c r="F26" s="377"/>
      <c r="G26" s="377"/>
      <c r="H26" s="378"/>
      <c r="I26" s="378"/>
      <c r="J26" s="378"/>
      <c r="K26" s="378"/>
      <c r="L26" s="379"/>
      <c r="M26" s="376"/>
      <c r="N26" s="380"/>
    </row>
    <row r="27" spans="1:14">
      <c r="A27" s="341" t="s">
        <v>282</v>
      </c>
      <c r="B27" s="342"/>
      <c r="C27" s="381"/>
      <c r="D27" s="381"/>
      <c r="E27" s="381"/>
      <c r="F27" s="381"/>
      <c r="G27" s="381"/>
      <c r="H27" s="382"/>
      <c r="I27" s="382"/>
      <c r="J27" s="382"/>
      <c r="K27" s="382"/>
      <c r="L27" s="383"/>
      <c r="M27" s="342"/>
      <c r="N27" s="384"/>
    </row>
    <row r="28" spans="1:14">
      <c r="A28" s="500" t="s">
        <v>273</v>
      </c>
      <c r="B28" s="501"/>
      <c r="C28" s="501"/>
      <c r="D28" s="501"/>
      <c r="E28" s="501"/>
      <c r="F28" s="501"/>
      <c r="G28" s="501"/>
      <c r="H28" s="501"/>
      <c r="I28" s="501"/>
      <c r="J28" s="501"/>
      <c r="K28" s="501"/>
      <c r="L28" s="501"/>
      <c r="M28" s="501"/>
      <c r="N28" s="502"/>
    </row>
    <row r="29" spans="1:14">
      <c r="A29" s="344"/>
      <c r="N29" s="371"/>
    </row>
    <row r="30" spans="1:14" ht="15.75" thickBot="1">
      <c r="A30" s="346"/>
      <c r="B30" s="515"/>
      <c r="C30" s="515"/>
      <c r="D30" s="347"/>
      <c r="E30" s="348"/>
      <c r="F30" s="348"/>
      <c r="G30" s="514"/>
      <c r="H30" s="514"/>
      <c r="I30" s="340"/>
      <c r="J30" s="348"/>
      <c r="K30" s="340"/>
      <c r="L30" s="515" t="str">
        <f>B30&amp;", Net"</f>
        <v>, Net</v>
      </c>
      <c r="M30" s="515"/>
      <c r="N30" s="371"/>
    </row>
    <row r="31" spans="1:14">
      <c r="A31" s="349" t="s">
        <v>214</v>
      </c>
      <c r="B31" s="350"/>
      <c r="C31" s="351"/>
      <c r="D31" s="347"/>
      <c r="E31" s="348"/>
      <c r="F31" s="347"/>
      <c r="G31" s="352"/>
      <c r="H31" s="353"/>
      <c r="I31" s="347" t="s">
        <v>214</v>
      </c>
      <c r="J31" s="348"/>
      <c r="K31" s="347" t="s">
        <v>214</v>
      </c>
      <c r="L31" s="350">
        <f>B31-H31</f>
        <v>0</v>
      </c>
      <c r="M31" s="351"/>
      <c r="N31" s="371"/>
    </row>
    <row r="32" spans="1:14">
      <c r="A32" s="354"/>
      <c r="B32" s="355"/>
      <c r="C32" s="356"/>
      <c r="D32" s="348"/>
      <c r="E32" s="348"/>
      <c r="F32" s="348"/>
      <c r="G32" s="355"/>
      <c r="H32" s="356"/>
      <c r="I32" s="348"/>
      <c r="J32" s="348"/>
      <c r="K32" s="348"/>
      <c r="L32" s="355"/>
      <c r="M32" s="357"/>
      <c r="N32" s="371"/>
    </row>
    <row r="33" spans="1:14">
      <c r="A33" s="354"/>
      <c r="B33" s="355"/>
      <c r="C33" s="356"/>
      <c r="D33" s="348"/>
      <c r="E33" s="348"/>
      <c r="F33" s="348"/>
      <c r="G33" s="355"/>
      <c r="H33" s="356"/>
      <c r="I33" s="348"/>
      <c r="J33" s="348"/>
      <c r="K33" s="348"/>
      <c r="L33" s="355"/>
      <c r="M33" s="357"/>
      <c r="N33" s="371"/>
    </row>
    <row r="34" spans="1:14">
      <c r="A34" s="354"/>
      <c r="B34" s="355"/>
      <c r="C34" s="356"/>
      <c r="D34" s="348"/>
      <c r="E34" s="348"/>
      <c r="F34" s="348"/>
      <c r="G34" s="355"/>
      <c r="H34" s="356"/>
      <c r="I34" s="348"/>
      <c r="J34" s="348"/>
      <c r="K34" s="348"/>
      <c r="L34" s="355"/>
      <c r="M34" s="357"/>
      <c r="N34" s="371"/>
    </row>
    <row r="35" spans="1:14">
      <c r="A35" s="358"/>
      <c r="B35" s="355"/>
      <c r="C35" s="356"/>
      <c r="D35" s="359"/>
      <c r="E35" s="348"/>
      <c r="F35" s="359"/>
      <c r="G35" s="355"/>
      <c r="H35" s="356"/>
      <c r="I35" s="359"/>
      <c r="J35" s="348"/>
      <c r="K35" s="348"/>
      <c r="L35" s="355"/>
      <c r="M35" s="357"/>
      <c r="N35" s="371"/>
    </row>
    <row r="36" spans="1:14">
      <c r="A36" s="358"/>
      <c r="B36" s="355">
        <f>MAX(B37-SUM(B31:B35)+SUM(C32:C35),0)</f>
        <v>0</v>
      </c>
      <c r="C36" s="360">
        <f>MAX(0,SUM(B31:B36)-SUM(C32:C35)-B37)</f>
        <v>0</v>
      </c>
      <c r="D36" s="359"/>
      <c r="E36" s="348"/>
      <c r="F36" s="359"/>
      <c r="G36" s="355"/>
      <c r="H36" s="360">
        <f>SUM(H31:H35)-SUM(G31:G35)-H37</f>
        <v>0</v>
      </c>
      <c r="I36" s="359"/>
      <c r="J36" s="348"/>
      <c r="K36" s="348"/>
      <c r="L36" s="355">
        <f>MAX(L37-SUM(L31:L35)+SUM(M32:M35),0)</f>
        <v>0</v>
      </c>
      <c r="M36" s="360">
        <f>MAX(0,SUM(L31:L35)-SUM(M32:M35)-L37)</f>
        <v>0</v>
      </c>
      <c r="N36" s="371"/>
    </row>
    <row r="37" spans="1:14" ht="15.75" thickBot="1">
      <c r="A37" s="349" t="s">
        <v>227</v>
      </c>
      <c r="B37" s="361"/>
      <c r="C37" s="362"/>
      <c r="D37" s="347"/>
      <c r="E37" s="348"/>
      <c r="F37" s="347"/>
      <c r="G37" s="363"/>
      <c r="H37" s="364"/>
      <c r="I37" s="347" t="s">
        <v>227</v>
      </c>
      <c r="J37" s="348"/>
      <c r="K37" s="347" t="s">
        <v>227</v>
      </c>
      <c r="L37" s="361">
        <f>B37-H37</f>
        <v>0</v>
      </c>
      <c r="M37" s="365"/>
      <c r="N37" s="371"/>
    </row>
    <row r="38" spans="1:14" ht="15.75" thickTop="1">
      <c r="A38" s="349"/>
      <c r="B38" s="385"/>
      <c r="C38" s="356"/>
      <c r="D38" s="347"/>
      <c r="E38" s="348"/>
      <c r="F38" s="347"/>
      <c r="G38" s="356"/>
      <c r="H38" s="385"/>
      <c r="I38" s="347"/>
      <c r="J38" s="348"/>
      <c r="K38" s="347"/>
      <c r="L38" s="385"/>
      <c r="M38" s="366"/>
      <c r="N38" s="371"/>
    </row>
    <row r="39" spans="1:14" ht="15.75" thickBot="1">
      <c r="A39" s="349"/>
      <c r="B39" s="385"/>
      <c r="C39" s="356"/>
      <c r="D39" s="347"/>
      <c r="E39" s="348"/>
      <c r="F39" s="347"/>
      <c r="G39" s="356"/>
      <c r="H39" s="385"/>
      <c r="I39" s="347"/>
      <c r="J39" s="348"/>
      <c r="K39" s="347"/>
      <c r="L39" s="385"/>
      <c r="M39" s="366"/>
      <c r="N39" s="371"/>
    </row>
    <row r="40" spans="1:14">
      <c r="A40" s="367"/>
      <c r="B40" s="368"/>
      <c r="C40" s="509" t="s">
        <v>276</v>
      </c>
      <c r="D40" s="510"/>
      <c r="E40" s="510"/>
      <c r="F40" s="510"/>
      <c r="G40" s="510"/>
      <c r="H40" s="510"/>
      <c r="I40" s="510"/>
      <c r="J40" s="510"/>
      <c r="K40" s="510"/>
      <c r="L40" s="511"/>
      <c r="M40" s="368"/>
      <c r="N40" s="369"/>
    </row>
    <row r="41" spans="1:14" ht="15.75" thickBot="1">
      <c r="A41" s="349"/>
      <c r="B41" s="356"/>
      <c r="C41" s="512" t="s">
        <v>277</v>
      </c>
      <c r="D41" s="513"/>
      <c r="E41" s="513"/>
      <c r="F41" s="513" t="s">
        <v>278</v>
      </c>
      <c r="G41" s="513"/>
      <c r="H41" s="513" t="s">
        <v>279</v>
      </c>
      <c r="I41" s="513"/>
      <c r="J41" s="513" t="s">
        <v>280</v>
      </c>
      <c r="K41" s="513"/>
      <c r="L41" s="370" t="s">
        <v>281</v>
      </c>
      <c r="M41" s="366"/>
      <c r="N41" s="371"/>
    </row>
    <row r="42" spans="1:14">
      <c r="A42" s="344"/>
      <c r="C42" s="503"/>
      <c r="D42" s="504"/>
      <c r="E42" s="504"/>
      <c r="F42" s="504"/>
      <c r="G42" s="504"/>
      <c r="H42" s="505"/>
      <c r="I42" s="505"/>
      <c r="J42" s="505"/>
      <c r="K42" s="505"/>
      <c r="L42" s="506">
        <f>SUM(H42:I48)-SUM(J42:K48)</f>
        <v>0</v>
      </c>
      <c r="M42" s="366"/>
      <c r="N42" s="371"/>
    </row>
    <row r="43" spans="1:14">
      <c r="A43" s="344"/>
      <c r="C43" s="499"/>
      <c r="D43" s="498"/>
      <c r="E43" s="498"/>
      <c r="F43" s="498"/>
      <c r="G43" s="498"/>
      <c r="H43" s="497"/>
      <c r="I43" s="497"/>
      <c r="J43" s="497"/>
      <c r="K43" s="497"/>
      <c r="L43" s="507"/>
      <c r="M43" s="366"/>
      <c r="N43" s="371"/>
    </row>
    <row r="44" spans="1:14">
      <c r="A44" s="344"/>
      <c r="C44" s="499"/>
      <c r="D44" s="498"/>
      <c r="E44" s="498"/>
      <c r="F44" s="498"/>
      <c r="G44" s="498"/>
      <c r="H44" s="497"/>
      <c r="I44" s="497"/>
      <c r="J44" s="497"/>
      <c r="K44" s="497"/>
      <c r="L44" s="507"/>
      <c r="M44" s="366"/>
      <c r="N44" s="371"/>
    </row>
    <row r="45" spans="1:14">
      <c r="A45" s="344"/>
      <c r="C45" s="499"/>
      <c r="D45" s="498"/>
      <c r="E45" s="498"/>
      <c r="F45" s="498"/>
      <c r="G45" s="498"/>
      <c r="H45" s="497"/>
      <c r="I45" s="497"/>
      <c r="J45" s="497"/>
      <c r="K45" s="497"/>
      <c r="L45" s="507"/>
      <c r="M45" s="366"/>
      <c r="N45" s="371"/>
    </row>
    <row r="46" spans="1:14">
      <c r="A46" s="344"/>
      <c r="C46" s="495"/>
      <c r="D46" s="496"/>
      <c r="E46" s="496"/>
      <c r="F46" s="496"/>
      <c r="G46" s="496"/>
      <c r="H46" s="497"/>
      <c r="I46" s="497"/>
      <c r="J46" s="497"/>
      <c r="K46" s="497"/>
      <c r="L46" s="507"/>
      <c r="M46" s="366"/>
      <c r="N46" s="371"/>
    </row>
    <row r="47" spans="1:14">
      <c r="A47" s="344"/>
      <c r="C47" s="495"/>
      <c r="D47" s="496"/>
      <c r="E47" s="496"/>
      <c r="F47" s="498"/>
      <c r="G47" s="498"/>
      <c r="H47" s="497"/>
      <c r="I47" s="497"/>
      <c r="J47" s="497"/>
      <c r="K47" s="497"/>
      <c r="L47" s="507"/>
      <c r="M47" s="366"/>
      <c r="N47" s="371"/>
    </row>
    <row r="48" spans="1:14" ht="15.75" thickBot="1">
      <c r="A48" s="344"/>
      <c r="C48" s="492"/>
      <c r="D48" s="493"/>
      <c r="E48" s="493"/>
      <c r="F48" s="516"/>
      <c r="G48" s="516"/>
      <c r="H48" s="494"/>
      <c r="I48" s="494"/>
      <c r="J48" s="494"/>
      <c r="K48" s="494"/>
      <c r="L48" s="508"/>
      <c r="M48" s="366"/>
      <c r="N48" s="371"/>
    </row>
    <row r="49" spans="1:14">
      <c r="A49" s="344"/>
      <c r="K49" s="347"/>
      <c r="L49" s="356"/>
      <c r="M49" s="366"/>
      <c r="N49" s="371"/>
    </row>
    <row r="50" spans="1:14" ht="15.75" thickBot="1">
      <c r="A50" s="375"/>
      <c r="B50" s="376"/>
      <c r="C50" s="376"/>
      <c r="D50" s="376"/>
      <c r="E50" s="376"/>
      <c r="F50" s="376"/>
      <c r="G50" s="376"/>
      <c r="H50" s="376"/>
      <c r="I50" s="376"/>
      <c r="J50" s="376"/>
      <c r="K50" s="376"/>
      <c r="L50" s="376"/>
      <c r="M50" s="376"/>
      <c r="N50" s="380"/>
    </row>
  </sheetData>
  <mergeCells count="76">
    <mergeCell ref="C17:E17"/>
    <mergeCell ref="F17:G17"/>
    <mergeCell ref="H17:I17"/>
    <mergeCell ref="J17:K17"/>
    <mergeCell ref="A4:N4"/>
    <mergeCell ref="B6:C6"/>
    <mergeCell ref="G6:H6"/>
    <mergeCell ref="L6:M6"/>
    <mergeCell ref="C16:L16"/>
    <mergeCell ref="C18:E18"/>
    <mergeCell ref="F18:G18"/>
    <mergeCell ref="H18:I18"/>
    <mergeCell ref="J18:K18"/>
    <mergeCell ref="L18:L24"/>
    <mergeCell ref="C19:E19"/>
    <mergeCell ref="F19:G19"/>
    <mergeCell ref="H19:I19"/>
    <mergeCell ref="J19:K19"/>
    <mergeCell ref="C20:E20"/>
    <mergeCell ref="F20:G20"/>
    <mergeCell ref="H20:I20"/>
    <mergeCell ref="J20:K20"/>
    <mergeCell ref="C21:E21"/>
    <mergeCell ref="F21:G21"/>
    <mergeCell ref="H21:I21"/>
    <mergeCell ref="J21:K21"/>
    <mergeCell ref="B30:C30"/>
    <mergeCell ref="G30:H30"/>
    <mergeCell ref="L30:M30"/>
    <mergeCell ref="C22:E22"/>
    <mergeCell ref="F22:G22"/>
    <mergeCell ref="H22:I22"/>
    <mergeCell ref="J22:K22"/>
    <mergeCell ref="C23:E23"/>
    <mergeCell ref="F23:G23"/>
    <mergeCell ref="H23:I23"/>
    <mergeCell ref="J23:K23"/>
    <mergeCell ref="C24:E24"/>
    <mergeCell ref="F24:G24"/>
    <mergeCell ref="H24:I24"/>
    <mergeCell ref="J24:K24"/>
    <mergeCell ref="A28:N28"/>
    <mergeCell ref="C42:E42"/>
    <mergeCell ref="F42:G42"/>
    <mergeCell ref="H42:I42"/>
    <mergeCell ref="J42:K42"/>
    <mergeCell ref="L42:L48"/>
    <mergeCell ref="C40:L40"/>
    <mergeCell ref="C41:E41"/>
    <mergeCell ref="F41:G41"/>
    <mergeCell ref="H41:I41"/>
    <mergeCell ref="J41:K41"/>
    <mergeCell ref="C43:E43"/>
    <mergeCell ref="F43:G43"/>
    <mergeCell ref="H43:I43"/>
    <mergeCell ref="J43:K43"/>
    <mergeCell ref="C44:E44"/>
    <mergeCell ref="F44:G44"/>
    <mergeCell ref="H44:I44"/>
    <mergeCell ref="J44:K44"/>
    <mergeCell ref="C45:E45"/>
    <mergeCell ref="F45:G45"/>
    <mergeCell ref="H45:I45"/>
    <mergeCell ref="J45:K45"/>
    <mergeCell ref="C48:E48"/>
    <mergeCell ref="F48:G48"/>
    <mergeCell ref="H48:I48"/>
    <mergeCell ref="J48:K48"/>
    <mergeCell ref="C46:E46"/>
    <mergeCell ref="F46:G46"/>
    <mergeCell ref="H46:I46"/>
    <mergeCell ref="J46:K46"/>
    <mergeCell ref="C47:E47"/>
    <mergeCell ref="F47:G47"/>
    <mergeCell ref="H47:I47"/>
    <mergeCell ref="J47:K47"/>
  </mergeCells>
  <conditionalFormatting sqref="B12:C12">
    <cfRule type="cellIs" dxfId="107" priority="11" operator="notEqual">
      <formula>0</formula>
    </cfRule>
    <cfRule type="cellIs" dxfId="106" priority="12" operator="equal">
      <formula>0</formula>
    </cfRule>
  </conditionalFormatting>
  <conditionalFormatting sqref="B36:C36">
    <cfRule type="cellIs" dxfId="105" priority="5" operator="notEqual">
      <formula>0</formula>
    </cfRule>
    <cfRule type="cellIs" dxfId="104" priority="6" operator="equal">
      <formula>0</formula>
    </cfRule>
  </conditionalFormatting>
  <conditionalFormatting sqref="G12:H12">
    <cfRule type="cellIs" dxfId="103" priority="7" operator="notEqual">
      <formula>0</formula>
    </cfRule>
    <cfRule type="cellIs" dxfId="102" priority="8" operator="equal">
      <formula>0</formula>
    </cfRule>
  </conditionalFormatting>
  <conditionalFormatting sqref="G36:H36">
    <cfRule type="cellIs" dxfId="101" priority="1" operator="notEqual">
      <formula>0</formula>
    </cfRule>
    <cfRule type="cellIs" dxfId="100" priority="2" operator="equal">
      <formula>0</formula>
    </cfRule>
  </conditionalFormatting>
  <conditionalFormatting sqref="L12:M12">
    <cfRule type="cellIs" dxfId="99" priority="9" operator="notEqual">
      <formula>0</formula>
    </cfRule>
    <cfRule type="cellIs" dxfId="98" priority="10" operator="equal">
      <formula>0</formula>
    </cfRule>
  </conditionalFormatting>
  <conditionalFormatting sqref="L36:M36">
    <cfRule type="cellIs" dxfId="97" priority="3" operator="notEqual">
      <formula>0</formula>
    </cfRule>
    <cfRule type="cellIs" dxfId="96" priority="4" operator="equal">
      <formula>0</formula>
    </cfRule>
  </conditionalFormatting>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9A908-60A8-42A7-B6AE-276AA419232D}">
  <dimension ref="A1:N48"/>
  <sheetViews>
    <sheetView zoomScale="250" zoomScaleNormal="250" workbookViewId="0">
      <selection activeCell="B7" sqref="B7"/>
    </sheetView>
  </sheetViews>
  <sheetFormatPr defaultColWidth="9.140625" defaultRowHeight="15"/>
  <cols>
    <col min="1" max="1" width="9.140625" style="339"/>
    <col min="2" max="2" width="11.42578125" style="339" bestFit="1" customWidth="1"/>
    <col min="3" max="3" width="11.7109375" style="339" customWidth="1"/>
    <col min="4" max="4" width="3.7109375" style="339" customWidth="1"/>
    <col min="5" max="5" width="9.140625" style="339"/>
    <col min="6" max="6" width="3.28515625" style="339" bestFit="1" customWidth="1"/>
    <col min="7" max="7" width="13.28515625" style="339" customWidth="1"/>
    <col min="8" max="8" width="15.7109375" style="339" customWidth="1"/>
    <col min="9" max="9" width="2.7109375" style="339" customWidth="1"/>
    <col min="10" max="10" width="17.42578125" style="339" customWidth="1"/>
    <col min="11" max="11" width="3.28515625" style="339" bestFit="1" customWidth="1"/>
    <col min="12" max="12" width="14.28515625" style="339" customWidth="1"/>
    <col min="13" max="13" width="11.42578125" style="339" customWidth="1"/>
    <col min="14" max="14" width="3.7109375" style="339" customWidth="1"/>
    <col min="15" max="16384" width="9.140625" style="339"/>
  </cols>
  <sheetData>
    <row r="1" spans="1:14">
      <c r="A1" s="341" t="s">
        <v>272</v>
      </c>
      <c r="B1" s="342"/>
      <c r="C1" s="342"/>
      <c r="D1" s="342"/>
      <c r="E1" s="342"/>
      <c r="F1" s="342"/>
      <c r="G1" s="342"/>
      <c r="H1" s="342"/>
      <c r="I1" s="342"/>
      <c r="J1" s="342"/>
      <c r="K1" s="342"/>
      <c r="L1" s="342"/>
      <c r="M1" s="342"/>
      <c r="N1" s="343"/>
    </row>
    <row r="2" spans="1:14">
      <c r="A2" s="500" t="s">
        <v>273</v>
      </c>
      <c r="B2" s="501"/>
      <c r="C2" s="501"/>
      <c r="D2" s="501"/>
      <c r="E2" s="501"/>
      <c r="F2" s="501"/>
      <c r="G2" s="501"/>
      <c r="H2" s="501"/>
      <c r="I2" s="501"/>
      <c r="J2" s="501"/>
      <c r="K2" s="501"/>
      <c r="L2" s="501"/>
      <c r="M2" s="501"/>
      <c r="N2" s="502"/>
    </row>
    <row r="3" spans="1:14">
      <c r="A3" s="344"/>
      <c r="N3" s="345"/>
    </row>
    <row r="4" spans="1:14" ht="15.75" thickBot="1">
      <c r="A4" s="346"/>
      <c r="B4" s="515" t="s">
        <v>290</v>
      </c>
      <c r="C4" s="515"/>
      <c r="D4" s="347"/>
      <c r="E4" s="348"/>
      <c r="F4" s="340"/>
      <c r="G4" s="515" t="s">
        <v>291</v>
      </c>
      <c r="H4" s="515"/>
      <c r="I4" s="347"/>
      <c r="J4" s="348"/>
      <c r="K4" s="340"/>
      <c r="L4" s="515" t="s">
        <v>275</v>
      </c>
      <c r="M4" s="515"/>
      <c r="N4" s="345"/>
    </row>
    <row r="5" spans="1:14">
      <c r="A5" s="349" t="s">
        <v>214</v>
      </c>
      <c r="B5" s="350">
        <v>870207</v>
      </c>
      <c r="C5" s="351"/>
      <c r="D5" s="347"/>
      <c r="E5" s="348"/>
      <c r="F5" s="347" t="s">
        <v>214</v>
      </c>
      <c r="G5" s="350"/>
      <c r="H5" s="351"/>
      <c r="I5" s="347"/>
      <c r="J5" s="348"/>
      <c r="K5" s="347"/>
      <c r="L5" s="350">
        <f>B5+G5</f>
        <v>870207</v>
      </c>
      <c r="M5" s="351"/>
      <c r="N5" s="345"/>
    </row>
    <row r="6" spans="1:14">
      <c r="A6" s="354" t="s">
        <v>292</v>
      </c>
      <c r="B6" s="355">
        <v>5266958</v>
      </c>
      <c r="C6" s="386">
        <v>4123266</v>
      </c>
      <c r="D6" s="348" t="s">
        <v>293</v>
      </c>
      <c r="E6" s="348"/>
      <c r="F6" s="348"/>
      <c r="G6" s="355"/>
      <c r="H6" s="386"/>
      <c r="I6" s="348"/>
      <c r="J6" s="348"/>
      <c r="K6" s="348"/>
      <c r="L6" s="355">
        <f t="shared" ref="L6:M9" si="0">B6+G6</f>
        <v>5266958</v>
      </c>
      <c r="M6" s="386">
        <f t="shared" si="0"/>
        <v>4123266</v>
      </c>
      <c r="N6" s="345"/>
    </row>
    <row r="7" spans="1:14">
      <c r="A7" s="354" t="s">
        <v>294</v>
      </c>
      <c r="B7" s="355">
        <v>113000</v>
      </c>
      <c r="C7" s="386"/>
      <c r="D7" s="348"/>
      <c r="E7" s="348"/>
      <c r="F7" s="348"/>
      <c r="G7" s="355"/>
      <c r="H7" s="386"/>
      <c r="I7" s="348"/>
      <c r="J7" s="348"/>
      <c r="K7" s="348"/>
      <c r="L7" s="355">
        <f t="shared" si="0"/>
        <v>113000</v>
      </c>
      <c r="M7" s="386">
        <f t="shared" si="0"/>
        <v>0</v>
      </c>
      <c r="N7" s="345"/>
    </row>
    <row r="8" spans="1:14">
      <c r="A8" s="354"/>
      <c r="B8" s="355"/>
      <c r="C8" s="386"/>
      <c r="D8" s="348"/>
      <c r="E8" s="348"/>
      <c r="F8" s="348"/>
      <c r="G8" s="355"/>
      <c r="H8" s="386"/>
      <c r="I8" s="348"/>
      <c r="J8" s="348"/>
      <c r="K8" s="348"/>
      <c r="L8" s="355">
        <f t="shared" si="0"/>
        <v>0</v>
      </c>
      <c r="M8" s="386">
        <f t="shared" si="0"/>
        <v>0</v>
      </c>
      <c r="N8" s="345"/>
    </row>
    <row r="9" spans="1:14">
      <c r="A9" s="358"/>
      <c r="B9" s="355"/>
      <c r="C9" s="386"/>
      <c r="D9" s="359"/>
      <c r="E9" s="348"/>
      <c r="F9" s="359"/>
      <c r="G9" s="355"/>
      <c r="H9" s="386"/>
      <c r="I9" s="359"/>
      <c r="J9" s="348"/>
      <c r="K9" s="348"/>
      <c r="L9" s="355">
        <f t="shared" si="0"/>
        <v>0</v>
      </c>
      <c r="M9" s="386">
        <f t="shared" si="0"/>
        <v>0</v>
      </c>
      <c r="N9" s="345"/>
    </row>
    <row r="10" spans="1:14">
      <c r="A10" s="358"/>
      <c r="B10" s="355">
        <f>MAX(B11-SUM(B5:B9)+SUM(C6:C9),0)</f>
        <v>0</v>
      </c>
      <c r="C10" s="360">
        <f>MAX(0,SUM(B5:B10)-SUM(C6:C9)-B11)</f>
        <v>0</v>
      </c>
      <c r="D10" s="359"/>
      <c r="E10" s="348"/>
      <c r="F10" s="359"/>
      <c r="G10" s="355">
        <f>MAX(G11-SUM(G5:G9)+SUM(H6:H9),0)</f>
        <v>0</v>
      </c>
      <c r="H10" s="360">
        <f>MAX(0,SUM(G5:G10)-SUM(H6:H9)-G11)</f>
        <v>0</v>
      </c>
      <c r="I10" s="359"/>
      <c r="J10" s="348"/>
      <c r="K10" s="348"/>
      <c r="L10" s="355">
        <f>MAX(L11-SUM(L5:L9)+SUM(M6:M9),0)</f>
        <v>0</v>
      </c>
      <c r="M10" s="360">
        <f>MAX(0,SUM(L5:L9)-SUM(M6:M9)-L11)</f>
        <v>0</v>
      </c>
      <c r="N10" s="345"/>
    </row>
    <row r="11" spans="1:14" ht="15.75" thickBot="1">
      <c r="A11" s="349" t="s">
        <v>227</v>
      </c>
      <c r="B11" s="361">
        <v>2126899</v>
      </c>
      <c r="C11" s="362"/>
      <c r="D11" s="347"/>
      <c r="E11" s="348"/>
      <c r="F11" s="347" t="s">
        <v>227</v>
      </c>
      <c r="G11" s="361"/>
      <c r="H11" s="362"/>
      <c r="I11" s="347"/>
      <c r="J11" s="348"/>
      <c r="K11" s="347" t="s">
        <v>227</v>
      </c>
      <c r="L11" s="361">
        <f>B11-H11</f>
        <v>2126899</v>
      </c>
      <c r="M11" s="365"/>
      <c r="N11" s="345"/>
    </row>
    <row r="12" spans="1:14" ht="15.75" thickTop="1">
      <c r="A12" s="349"/>
      <c r="B12" s="386"/>
      <c r="C12" s="386"/>
      <c r="D12" s="347"/>
      <c r="E12" s="348"/>
      <c r="F12" s="347"/>
      <c r="G12" s="386"/>
      <c r="H12" s="386"/>
      <c r="I12" s="347"/>
      <c r="J12" s="348"/>
      <c r="K12" s="347"/>
      <c r="L12" s="386"/>
      <c r="M12" s="366"/>
      <c r="N12" s="345"/>
    </row>
    <row r="13" spans="1:14" ht="15.75" thickBot="1">
      <c r="A13" s="367"/>
      <c r="B13" s="368"/>
      <c r="C13" s="368"/>
      <c r="D13" s="368"/>
      <c r="E13" s="368"/>
      <c r="F13" s="368"/>
      <c r="G13" s="368"/>
      <c r="H13" s="368"/>
      <c r="I13" s="368"/>
      <c r="J13" s="368"/>
      <c r="K13" s="368"/>
      <c r="L13" s="368"/>
      <c r="M13" s="368"/>
      <c r="N13" s="369"/>
    </row>
    <row r="14" spans="1:14">
      <c r="A14" s="344"/>
      <c r="C14" s="509" t="s">
        <v>276</v>
      </c>
      <c r="D14" s="510"/>
      <c r="E14" s="510"/>
      <c r="F14" s="510"/>
      <c r="G14" s="510"/>
      <c r="H14" s="510"/>
      <c r="I14" s="510"/>
      <c r="J14" s="510"/>
      <c r="K14" s="510"/>
      <c r="L14" s="511"/>
      <c r="M14" s="366"/>
      <c r="N14" s="345"/>
    </row>
    <row r="15" spans="1:14" ht="15.75" thickBot="1">
      <c r="A15" s="344"/>
      <c r="C15" s="512" t="s">
        <v>277</v>
      </c>
      <c r="D15" s="513"/>
      <c r="E15" s="513"/>
      <c r="F15" s="513" t="s">
        <v>278</v>
      </c>
      <c r="G15" s="513"/>
      <c r="H15" s="513" t="s">
        <v>279</v>
      </c>
      <c r="I15" s="513"/>
      <c r="J15" s="513" t="s">
        <v>280</v>
      </c>
      <c r="K15" s="513"/>
      <c r="L15" s="370" t="s">
        <v>281</v>
      </c>
      <c r="M15" s="366"/>
      <c r="N15" s="345"/>
    </row>
    <row r="16" spans="1:14">
      <c r="A16" s="344"/>
      <c r="C16" s="503"/>
      <c r="D16" s="504"/>
      <c r="E16" s="504"/>
      <c r="F16" s="504"/>
      <c r="G16" s="504"/>
      <c r="H16" s="505"/>
      <c r="I16" s="505"/>
      <c r="J16" s="505"/>
      <c r="K16" s="505"/>
      <c r="L16" s="506">
        <f>SUM(H16:I22)-SUM(J16:K22)</f>
        <v>0</v>
      </c>
      <c r="M16" s="366"/>
      <c r="N16" s="345"/>
    </row>
    <row r="17" spans="1:14">
      <c r="A17" s="344"/>
      <c r="C17" s="499"/>
      <c r="D17" s="498"/>
      <c r="E17" s="498"/>
      <c r="F17" s="498"/>
      <c r="G17" s="498"/>
      <c r="H17" s="517"/>
      <c r="I17" s="517"/>
      <c r="J17" s="517"/>
      <c r="K17" s="517"/>
      <c r="L17" s="507"/>
      <c r="M17" s="366"/>
      <c r="N17" s="371"/>
    </row>
    <row r="18" spans="1:14">
      <c r="A18" s="344"/>
      <c r="C18" s="499"/>
      <c r="D18" s="498"/>
      <c r="E18" s="498"/>
      <c r="F18" s="498"/>
      <c r="G18" s="498"/>
      <c r="H18" s="517"/>
      <c r="I18" s="517"/>
      <c r="J18" s="517"/>
      <c r="K18" s="517"/>
      <c r="L18" s="507"/>
      <c r="M18" s="366"/>
      <c r="N18" s="371"/>
    </row>
    <row r="19" spans="1:14">
      <c r="A19" s="344"/>
      <c r="C19" s="499"/>
      <c r="D19" s="498"/>
      <c r="E19" s="498"/>
      <c r="F19" s="498"/>
      <c r="G19" s="498"/>
      <c r="H19" s="517"/>
      <c r="I19" s="517"/>
      <c r="J19" s="517"/>
      <c r="K19" s="517"/>
      <c r="L19" s="507"/>
      <c r="M19" s="366"/>
      <c r="N19" s="371"/>
    </row>
    <row r="20" spans="1:14">
      <c r="A20" s="344"/>
      <c r="C20" s="495"/>
      <c r="D20" s="496"/>
      <c r="E20" s="496"/>
      <c r="F20" s="496"/>
      <c r="G20" s="496"/>
      <c r="H20" s="517"/>
      <c r="I20" s="517"/>
      <c r="J20" s="517"/>
      <c r="K20" s="517"/>
      <c r="L20" s="507"/>
      <c r="M20" s="366"/>
      <c r="N20" s="371"/>
    </row>
    <row r="21" spans="1:14">
      <c r="A21" s="349"/>
      <c r="B21" s="386"/>
      <c r="C21" s="495"/>
      <c r="D21" s="496"/>
      <c r="E21" s="496"/>
      <c r="F21" s="496"/>
      <c r="G21" s="496"/>
      <c r="H21" s="517"/>
      <c r="I21" s="517"/>
      <c r="J21" s="517"/>
      <c r="K21" s="517"/>
      <c r="L21" s="507"/>
      <c r="M21" s="366"/>
      <c r="N21" s="371"/>
    </row>
    <row r="22" spans="1:14" ht="15.75" thickBot="1">
      <c r="A22" s="344"/>
      <c r="C22" s="492"/>
      <c r="D22" s="493"/>
      <c r="E22" s="493"/>
      <c r="F22" s="493"/>
      <c r="G22" s="493"/>
      <c r="H22" s="494"/>
      <c r="I22" s="494"/>
      <c r="J22" s="494"/>
      <c r="K22" s="494"/>
      <c r="L22" s="508"/>
      <c r="N22" s="371"/>
    </row>
    <row r="23" spans="1:14">
      <c r="A23" s="344"/>
      <c r="C23" s="372"/>
      <c r="D23" s="372"/>
      <c r="E23" s="372"/>
      <c r="F23" s="372"/>
      <c r="G23" s="372"/>
      <c r="H23" s="387"/>
      <c r="I23" s="387"/>
      <c r="J23" s="387"/>
      <c r="K23" s="387"/>
      <c r="L23" s="388"/>
      <c r="N23" s="371"/>
    </row>
    <row r="24" spans="1:14" ht="15.75" thickBot="1">
      <c r="A24" s="375"/>
      <c r="B24" s="376"/>
      <c r="C24" s="377"/>
      <c r="D24" s="377"/>
      <c r="E24" s="377"/>
      <c r="F24" s="377"/>
      <c r="G24" s="377"/>
      <c r="H24" s="378"/>
      <c r="I24" s="378"/>
      <c r="J24" s="378"/>
      <c r="K24" s="378"/>
      <c r="L24" s="379"/>
      <c r="M24" s="376"/>
      <c r="N24" s="380"/>
    </row>
    <row r="25" spans="1:14">
      <c r="A25" s="341" t="s">
        <v>282</v>
      </c>
      <c r="B25" s="342"/>
      <c r="C25" s="381"/>
      <c r="D25" s="381"/>
      <c r="E25" s="381"/>
      <c r="F25" s="381"/>
      <c r="G25" s="381"/>
      <c r="H25" s="382"/>
      <c r="I25" s="382"/>
      <c r="J25" s="382"/>
      <c r="K25" s="382"/>
      <c r="L25" s="383"/>
      <c r="M25" s="342"/>
      <c r="N25" s="384"/>
    </row>
    <row r="26" spans="1:14">
      <c r="A26" s="500" t="s">
        <v>273</v>
      </c>
      <c r="B26" s="501"/>
      <c r="C26" s="501"/>
      <c r="D26" s="501"/>
      <c r="E26" s="501"/>
      <c r="F26" s="501"/>
      <c r="G26" s="501"/>
      <c r="H26" s="501"/>
      <c r="I26" s="501"/>
      <c r="J26" s="501"/>
      <c r="K26" s="501"/>
      <c r="L26" s="501"/>
      <c r="M26" s="501"/>
      <c r="N26" s="502"/>
    </row>
    <row r="27" spans="1:14">
      <c r="A27" s="344"/>
      <c r="N27" s="345"/>
    </row>
    <row r="28" spans="1:14" ht="15.75" thickBot="1">
      <c r="A28" s="346"/>
      <c r="B28" s="515" t="s">
        <v>295</v>
      </c>
      <c r="C28" s="515"/>
      <c r="D28" s="347"/>
      <c r="E28" s="348"/>
      <c r="F28" s="340"/>
      <c r="G28" s="515" t="s">
        <v>291</v>
      </c>
      <c r="H28" s="515"/>
      <c r="I28" s="347"/>
      <c r="J28" s="348"/>
      <c r="K28" s="340"/>
      <c r="L28" s="515" t="s">
        <v>275</v>
      </c>
      <c r="M28" s="515"/>
      <c r="N28" s="345"/>
    </row>
    <row r="29" spans="1:14">
      <c r="A29" s="349" t="s">
        <v>214</v>
      </c>
      <c r="B29" s="350"/>
      <c r="C29" s="351"/>
      <c r="D29" s="347"/>
      <c r="E29" s="348"/>
      <c r="F29" s="347" t="s">
        <v>214</v>
      </c>
      <c r="G29" s="350"/>
      <c r="H29" s="351"/>
      <c r="I29" s="347"/>
      <c r="J29" s="348"/>
      <c r="K29" s="347"/>
      <c r="L29" s="350">
        <f>B29+G29</f>
        <v>0</v>
      </c>
      <c r="M29" s="351"/>
      <c r="N29" s="345"/>
    </row>
    <row r="30" spans="1:14">
      <c r="A30" s="354"/>
      <c r="B30" s="355"/>
      <c r="C30" s="386"/>
      <c r="D30" s="348"/>
      <c r="E30" s="348"/>
      <c r="F30" s="348"/>
      <c r="G30" s="355"/>
      <c r="H30" s="386"/>
      <c r="I30" s="348"/>
      <c r="J30" s="348"/>
      <c r="K30" s="348"/>
      <c r="L30" s="355">
        <f t="shared" ref="L30:M33" si="1">B30+G30</f>
        <v>0</v>
      </c>
      <c r="M30" s="386">
        <f t="shared" si="1"/>
        <v>0</v>
      </c>
      <c r="N30" s="345"/>
    </row>
    <row r="31" spans="1:14">
      <c r="A31" s="354"/>
      <c r="B31" s="355"/>
      <c r="C31" s="386"/>
      <c r="D31" s="348"/>
      <c r="E31" s="348"/>
      <c r="F31" s="348"/>
      <c r="G31" s="355"/>
      <c r="H31" s="386"/>
      <c r="I31" s="348"/>
      <c r="J31" s="348"/>
      <c r="K31" s="348"/>
      <c r="L31" s="355">
        <f t="shared" si="1"/>
        <v>0</v>
      </c>
      <c r="M31" s="386">
        <f t="shared" si="1"/>
        <v>0</v>
      </c>
      <c r="N31" s="345"/>
    </row>
    <row r="32" spans="1:14">
      <c r="A32" s="354"/>
      <c r="B32" s="355"/>
      <c r="C32" s="386"/>
      <c r="D32" s="348"/>
      <c r="E32" s="348"/>
      <c r="F32" s="348"/>
      <c r="G32" s="355"/>
      <c r="H32" s="386"/>
      <c r="I32" s="348"/>
      <c r="J32" s="348"/>
      <c r="K32" s="348"/>
      <c r="L32" s="355">
        <f t="shared" si="1"/>
        <v>0</v>
      </c>
      <c r="M32" s="386">
        <f t="shared" si="1"/>
        <v>0</v>
      </c>
      <c r="N32" s="345"/>
    </row>
    <row r="33" spans="1:14">
      <c r="A33" s="358"/>
      <c r="B33" s="355"/>
      <c r="C33" s="386"/>
      <c r="D33" s="359"/>
      <c r="E33" s="348"/>
      <c r="F33" s="359"/>
      <c r="G33" s="355"/>
      <c r="H33" s="386"/>
      <c r="I33" s="359"/>
      <c r="J33" s="348"/>
      <c r="K33" s="348"/>
      <c r="L33" s="355">
        <f t="shared" si="1"/>
        <v>0</v>
      </c>
      <c r="M33" s="386">
        <f t="shared" si="1"/>
        <v>0</v>
      </c>
      <c r="N33" s="345"/>
    </row>
    <row r="34" spans="1:14">
      <c r="A34" s="358"/>
      <c r="B34" s="355">
        <f>MAX(B35-SUM(B29:B33)+SUM(C30:C33),0)</f>
        <v>0</v>
      </c>
      <c r="C34" s="360">
        <f>MAX(0,SUM(B29:B34)-SUM(C30:C33)-B35)</f>
        <v>0</v>
      </c>
      <c r="D34" s="359"/>
      <c r="E34" s="348"/>
      <c r="F34" s="359"/>
      <c r="G34" s="355">
        <f>MAX(G35-SUM(G29:G33)+SUM(H30:H33),0)</f>
        <v>0</v>
      </c>
      <c r="H34" s="360">
        <f>MAX(0,SUM(G29:G34)-SUM(H30:H33)-G35)</f>
        <v>0</v>
      </c>
      <c r="I34" s="359"/>
      <c r="J34" s="348"/>
      <c r="K34" s="348"/>
      <c r="L34" s="355">
        <f>MAX(L35-SUM(L29:L33)+SUM(M30:M33),0)</f>
        <v>0</v>
      </c>
      <c r="M34" s="360">
        <f>MAX(0,SUM(L29:L33)-SUM(M30:M33)-L35)</f>
        <v>0</v>
      </c>
      <c r="N34" s="345"/>
    </row>
    <row r="35" spans="1:14" ht="15.75" thickBot="1">
      <c r="A35" s="349" t="s">
        <v>227</v>
      </c>
      <c r="B35" s="361"/>
      <c r="C35" s="362"/>
      <c r="D35" s="347"/>
      <c r="E35" s="348"/>
      <c r="F35" s="347" t="s">
        <v>227</v>
      </c>
      <c r="G35" s="361"/>
      <c r="H35" s="362"/>
      <c r="I35" s="347"/>
      <c r="J35" s="348"/>
      <c r="K35" s="347" t="s">
        <v>227</v>
      </c>
      <c r="L35" s="361">
        <f>B35-H35</f>
        <v>0</v>
      </c>
      <c r="M35" s="365"/>
      <c r="N35" s="345"/>
    </row>
    <row r="36" spans="1:14" ht="15.75" thickTop="1">
      <c r="A36" s="349"/>
      <c r="B36" s="386"/>
      <c r="C36" s="386"/>
      <c r="D36" s="347"/>
      <c r="E36" s="348"/>
      <c r="F36" s="347"/>
      <c r="G36" s="386"/>
      <c r="H36" s="386"/>
      <c r="I36" s="347"/>
      <c r="J36" s="348"/>
      <c r="K36" s="347"/>
      <c r="L36" s="386"/>
      <c r="M36" s="366"/>
      <c r="N36" s="345"/>
    </row>
    <row r="37" spans="1:14" ht="15.75" thickBot="1">
      <c r="A37" s="367"/>
      <c r="B37" s="368"/>
      <c r="C37" s="368"/>
      <c r="D37" s="368"/>
      <c r="E37" s="368"/>
      <c r="F37" s="368"/>
      <c r="G37" s="368"/>
      <c r="H37" s="368"/>
      <c r="I37" s="368"/>
      <c r="J37" s="368"/>
      <c r="K37" s="368"/>
      <c r="L37" s="368"/>
      <c r="M37" s="368"/>
      <c r="N37" s="369"/>
    </row>
    <row r="38" spans="1:14">
      <c r="A38" s="344"/>
      <c r="C38" s="509" t="s">
        <v>276</v>
      </c>
      <c r="D38" s="510"/>
      <c r="E38" s="510"/>
      <c r="F38" s="510"/>
      <c r="G38" s="510"/>
      <c r="H38" s="510"/>
      <c r="I38" s="510"/>
      <c r="J38" s="510"/>
      <c r="K38" s="510"/>
      <c r="L38" s="511"/>
      <c r="M38" s="366"/>
      <c r="N38" s="345"/>
    </row>
    <row r="39" spans="1:14" ht="15.75" thickBot="1">
      <c r="A39" s="344"/>
      <c r="C39" s="512" t="s">
        <v>277</v>
      </c>
      <c r="D39" s="513"/>
      <c r="E39" s="513"/>
      <c r="F39" s="513" t="s">
        <v>278</v>
      </c>
      <c r="G39" s="513"/>
      <c r="H39" s="513" t="s">
        <v>279</v>
      </c>
      <c r="I39" s="513"/>
      <c r="J39" s="513" t="s">
        <v>280</v>
      </c>
      <c r="K39" s="513"/>
      <c r="L39" s="370" t="s">
        <v>281</v>
      </c>
      <c r="M39" s="366"/>
      <c r="N39" s="345"/>
    </row>
    <row r="40" spans="1:14">
      <c r="A40" s="344"/>
      <c r="C40" s="503"/>
      <c r="D40" s="504"/>
      <c r="E40" s="504"/>
      <c r="F40" s="504"/>
      <c r="G40" s="504"/>
      <c r="H40" s="505"/>
      <c r="I40" s="505"/>
      <c r="J40" s="505"/>
      <c r="K40" s="505"/>
      <c r="L40" s="506">
        <f>SUM(H40:I46)-SUM(J40:K46)</f>
        <v>0</v>
      </c>
      <c r="M40" s="366"/>
      <c r="N40" s="345"/>
    </row>
    <row r="41" spans="1:14">
      <c r="A41" s="344"/>
      <c r="C41" s="499"/>
      <c r="D41" s="498"/>
      <c r="E41" s="498"/>
      <c r="F41" s="498"/>
      <c r="G41" s="498"/>
      <c r="H41" s="517"/>
      <c r="I41" s="517"/>
      <c r="J41" s="517"/>
      <c r="K41" s="517"/>
      <c r="L41" s="507"/>
      <c r="M41" s="366"/>
      <c r="N41" s="371"/>
    </row>
    <row r="42" spans="1:14">
      <c r="A42" s="344"/>
      <c r="C42" s="499"/>
      <c r="D42" s="498"/>
      <c r="E42" s="498"/>
      <c r="F42" s="498"/>
      <c r="G42" s="498"/>
      <c r="H42" s="517"/>
      <c r="I42" s="517"/>
      <c r="J42" s="517"/>
      <c r="K42" s="517"/>
      <c r="L42" s="507"/>
      <c r="M42" s="366"/>
      <c r="N42" s="371"/>
    </row>
    <row r="43" spans="1:14">
      <c r="A43" s="344"/>
      <c r="C43" s="499"/>
      <c r="D43" s="498"/>
      <c r="E43" s="498"/>
      <c r="F43" s="498"/>
      <c r="G43" s="498"/>
      <c r="H43" s="517"/>
      <c r="I43" s="517"/>
      <c r="J43" s="517"/>
      <c r="K43" s="517"/>
      <c r="L43" s="507"/>
      <c r="M43" s="366"/>
      <c r="N43" s="371"/>
    </row>
    <row r="44" spans="1:14">
      <c r="A44" s="344"/>
      <c r="C44" s="495"/>
      <c r="D44" s="496"/>
      <c r="E44" s="496"/>
      <c r="F44" s="496"/>
      <c r="G44" s="496"/>
      <c r="H44" s="517"/>
      <c r="I44" s="517"/>
      <c r="J44" s="517"/>
      <c r="K44" s="517"/>
      <c r="L44" s="507"/>
      <c r="M44" s="366"/>
      <c r="N44" s="371"/>
    </row>
    <row r="45" spans="1:14">
      <c r="A45" s="349"/>
      <c r="B45" s="386"/>
      <c r="C45" s="495"/>
      <c r="D45" s="496"/>
      <c r="E45" s="496"/>
      <c r="F45" s="496"/>
      <c r="G45" s="496"/>
      <c r="H45" s="517"/>
      <c r="I45" s="517"/>
      <c r="J45" s="517"/>
      <c r="K45" s="517"/>
      <c r="L45" s="507"/>
      <c r="M45" s="366"/>
      <c r="N45" s="371"/>
    </row>
    <row r="46" spans="1:14" ht="15.75" thickBot="1">
      <c r="A46" s="344"/>
      <c r="C46" s="492"/>
      <c r="D46" s="493"/>
      <c r="E46" s="493"/>
      <c r="F46" s="493"/>
      <c r="G46" s="493"/>
      <c r="H46" s="494"/>
      <c r="I46" s="494"/>
      <c r="J46" s="494"/>
      <c r="K46" s="494"/>
      <c r="L46" s="508"/>
      <c r="N46" s="371"/>
    </row>
    <row r="47" spans="1:14">
      <c r="A47" s="344"/>
      <c r="C47" s="372"/>
      <c r="D47" s="372"/>
      <c r="E47" s="372"/>
      <c r="F47" s="372"/>
      <c r="G47" s="372"/>
      <c r="H47" s="387"/>
      <c r="I47" s="387"/>
      <c r="J47" s="387"/>
      <c r="K47" s="387"/>
      <c r="L47" s="388"/>
      <c r="N47" s="371"/>
    </row>
    <row r="48" spans="1:14" ht="15.75" thickBot="1">
      <c r="A48" s="375"/>
      <c r="B48" s="376"/>
      <c r="C48" s="377"/>
      <c r="D48" s="377"/>
      <c r="E48" s="377"/>
      <c r="F48" s="377"/>
      <c r="G48" s="377"/>
      <c r="H48" s="378"/>
      <c r="I48" s="378"/>
      <c r="J48" s="378"/>
      <c r="K48" s="378"/>
      <c r="L48" s="379"/>
      <c r="M48" s="376"/>
      <c r="N48" s="380"/>
    </row>
  </sheetData>
  <mergeCells count="76">
    <mergeCell ref="C15:E15"/>
    <mergeCell ref="F15:G15"/>
    <mergeCell ref="H15:I15"/>
    <mergeCell ref="J15:K15"/>
    <mergeCell ref="A2:N2"/>
    <mergeCell ref="B4:C4"/>
    <mergeCell ref="G4:H4"/>
    <mergeCell ref="L4:M4"/>
    <mergeCell ref="C14:L14"/>
    <mergeCell ref="C16:E16"/>
    <mergeCell ref="F16:G16"/>
    <mergeCell ref="H16:I16"/>
    <mergeCell ref="J16:K16"/>
    <mergeCell ref="L16:L22"/>
    <mergeCell ref="C17:E17"/>
    <mergeCell ref="F17:G17"/>
    <mergeCell ref="H17:I17"/>
    <mergeCell ref="J17:K17"/>
    <mergeCell ref="C18:E18"/>
    <mergeCell ref="F18:G18"/>
    <mergeCell ref="H18:I18"/>
    <mergeCell ref="J18:K18"/>
    <mergeCell ref="C19:E19"/>
    <mergeCell ref="F19:G19"/>
    <mergeCell ref="H19:I19"/>
    <mergeCell ref="J19:K19"/>
    <mergeCell ref="B28:C28"/>
    <mergeCell ref="G28:H28"/>
    <mergeCell ref="L28:M28"/>
    <mergeCell ref="C20:E20"/>
    <mergeCell ref="F20:G20"/>
    <mergeCell ref="H20:I20"/>
    <mergeCell ref="J20:K20"/>
    <mergeCell ref="C21:E21"/>
    <mergeCell ref="F21:G21"/>
    <mergeCell ref="H21:I21"/>
    <mergeCell ref="J21:K21"/>
    <mergeCell ref="C22:E22"/>
    <mergeCell ref="F22:G22"/>
    <mergeCell ref="H22:I22"/>
    <mergeCell ref="J22:K22"/>
    <mergeCell ref="A26:N26"/>
    <mergeCell ref="C40:E40"/>
    <mergeCell ref="F40:G40"/>
    <mergeCell ref="H40:I40"/>
    <mergeCell ref="J40:K40"/>
    <mergeCell ref="L40:L46"/>
    <mergeCell ref="C38:L38"/>
    <mergeCell ref="C39:E39"/>
    <mergeCell ref="F39:G39"/>
    <mergeCell ref="H39:I39"/>
    <mergeCell ref="J39:K39"/>
    <mergeCell ref="C41:E41"/>
    <mergeCell ref="F41:G41"/>
    <mergeCell ref="H41:I41"/>
    <mergeCell ref="J41:K41"/>
    <mergeCell ref="C42:E42"/>
    <mergeCell ref="F42:G42"/>
    <mergeCell ref="H42:I42"/>
    <mergeCell ref="J42:K42"/>
    <mergeCell ref="C43:E43"/>
    <mergeCell ref="F43:G43"/>
    <mergeCell ref="H43:I43"/>
    <mergeCell ref="J43:K43"/>
    <mergeCell ref="C46:E46"/>
    <mergeCell ref="F46:G46"/>
    <mergeCell ref="H46:I46"/>
    <mergeCell ref="J46:K46"/>
    <mergeCell ref="C44:E44"/>
    <mergeCell ref="F44:G44"/>
    <mergeCell ref="H44:I44"/>
    <mergeCell ref="J44:K44"/>
    <mergeCell ref="C45:E45"/>
    <mergeCell ref="F45:G45"/>
    <mergeCell ref="H45:I45"/>
    <mergeCell ref="J45:K45"/>
  </mergeCells>
  <conditionalFormatting sqref="B10:C10">
    <cfRule type="cellIs" dxfId="95" priority="11" operator="notEqual">
      <formula>0</formula>
    </cfRule>
    <cfRule type="cellIs" dxfId="94" priority="12" operator="equal">
      <formula>0</formula>
    </cfRule>
  </conditionalFormatting>
  <conditionalFormatting sqref="B34:C34">
    <cfRule type="cellIs" dxfId="93" priority="5" operator="notEqual">
      <formula>0</formula>
    </cfRule>
    <cfRule type="cellIs" dxfId="92" priority="6" operator="equal">
      <formula>0</formula>
    </cfRule>
  </conditionalFormatting>
  <conditionalFormatting sqref="G10:H10">
    <cfRule type="cellIs" dxfId="91" priority="7" operator="notEqual">
      <formula>0</formula>
    </cfRule>
    <cfRule type="cellIs" dxfId="90" priority="8" operator="equal">
      <formula>0</formula>
    </cfRule>
  </conditionalFormatting>
  <conditionalFormatting sqref="G34:H34">
    <cfRule type="cellIs" dxfId="89" priority="1" operator="notEqual">
      <formula>0</formula>
    </cfRule>
    <cfRule type="cellIs" dxfId="88" priority="2" operator="equal">
      <formula>0</formula>
    </cfRule>
  </conditionalFormatting>
  <conditionalFormatting sqref="L10:M10">
    <cfRule type="cellIs" dxfId="87" priority="9" operator="notEqual">
      <formula>0</formula>
    </cfRule>
    <cfRule type="cellIs" dxfId="86" priority="10" operator="equal">
      <formula>0</formula>
    </cfRule>
  </conditionalFormatting>
  <conditionalFormatting sqref="L34:M34">
    <cfRule type="cellIs" dxfId="85" priority="3" operator="notEqual">
      <formula>0</formula>
    </cfRule>
    <cfRule type="cellIs" dxfId="84" priority="4"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6135B-F8A0-4020-8DCE-D8F099A611FC}">
  <dimension ref="A1:N48"/>
  <sheetViews>
    <sheetView zoomScale="145" zoomScaleNormal="145" workbookViewId="0">
      <selection activeCell="O9" sqref="O9"/>
    </sheetView>
  </sheetViews>
  <sheetFormatPr defaultColWidth="9.140625" defaultRowHeight="15"/>
  <cols>
    <col min="1" max="1" width="9.140625" style="339"/>
    <col min="2" max="2" width="10.28515625" style="339" bestFit="1" customWidth="1"/>
    <col min="3" max="3" width="9.140625" style="339"/>
    <col min="4" max="4" width="3.7109375" style="339" customWidth="1"/>
    <col min="5" max="5" width="9.140625" style="339"/>
    <col min="6" max="6" width="3.28515625" style="339" bestFit="1" customWidth="1"/>
    <col min="7" max="7" width="13.28515625" style="339" customWidth="1"/>
    <col min="8" max="8" width="15.7109375" style="339" customWidth="1"/>
    <col min="9" max="9" width="2.7109375" style="339" customWidth="1"/>
    <col min="10" max="10" width="17.42578125" style="339" customWidth="1"/>
    <col min="11" max="11" width="3.28515625" style="339" bestFit="1" customWidth="1"/>
    <col min="12" max="12" width="14.28515625" style="339" customWidth="1"/>
    <col min="13" max="13" width="11.42578125" style="339" customWidth="1"/>
    <col min="14" max="14" width="3.7109375" style="339" customWidth="1"/>
    <col min="15" max="16384" width="9.140625" style="339"/>
  </cols>
  <sheetData>
    <row r="1" spans="1:14">
      <c r="A1" s="341" t="s">
        <v>272</v>
      </c>
      <c r="B1" s="342"/>
      <c r="C1" s="342"/>
      <c r="D1" s="342"/>
      <c r="E1" s="342"/>
      <c r="F1" s="342"/>
      <c r="G1" s="342"/>
      <c r="H1" s="342"/>
      <c r="I1" s="342"/>
      <c r="J1" s="342"/>
      <c r="K1" s="342"/>
      <c r="L1" s="342"/>
      <c r="M1" s="342"/>
      <c r="N1" s="343"/>
    </row>
    <row r="2" spans="1:14">
      <c r="A2" s="500" t="s">
        <v>273</v>
      </c>
      <c r="B2" s="501"/>
      <c r="C2" s="501"/>
      <c r="D2" s="501"/>
      <c r="E2" s="501"/>
      <c r="F2" s="501"/>
      <c r="G2" s="501"/>
      <c r="H2" s="501"/>
      <c r="I2" s="501"/>
      <c r="J2" s="501"/>
      <c r="K2" s="501"/>
      <c r="L2" s="501"/>
      <c r="M2" s="501"/>
      <c r="N2" s="502"/>
    </row>
    <row r="3" spans="1:14">
      <c r="A3" s="344"/>
      <c r="N3" s="345"/>
    </row>
    <row r="4" spans="1:14" ht="15.75" thickBot="1">
      <c r="A4" s="346"/>
      <c r="B4" s="515" t="s">
        <v>296</v>
      </c>
      <c r="C4" s="515"/>
      <c r="D4" s="347"/>
      <c r="E4" s="348"/>
      <c r="F4" s="340"/>
      <c r="G4" s="515" t="s">
        <v>297</v>
      </c>
      <c r="H4" s="515"/>
      <c r="I4" s="347"/>
      <c r="J4" s="348"/>
      <c r="K4" s="340"/>
      <c r="L4" s="515" t="s">
        <v>275</v>
      </c>
      <c r="M4" s="515"/>
      <c r="N4" s="345"/>
    </row>
    <row r="5" spans="1:14">
      <c r="A5" s="349" t="s">
        <v>214</v>
      </c>
      <c r="B5" s="350"/>
      <c r="C5" s="351"/>
      <c r="D5" s="347"/>
      <c r="E5" s="348"/>
      <c r="F5" s="347" t="s">
        <v>214</v>
      </c>
      <c r="G5" s="350"/>
      <c r="H5" s="351"/>
      <c r="I5" s="347"/>
      <c r="J5" s="348"/>
      <c r="K5" s="347"/>
      <c r="L5" s="350">
        <f>B5+G5</f>
        <v>0</v>
      </c>
      <c r="M5" s="351"/>
      <c r="N5" s="345"/>
    </row>
    <row r="6" spans="1:14">
      <c r="A6" s="354"/>
      <c r="B6" s="355"/>
      <c r="C6" s="386"/>
      <c r="D6" s="348"/>
      <c r="E6" s="348"/>
      <c r="F6" s="348"/>
      <c r="G6" s="355"/>
      <c r="H6" s="386"/>
      <c r="I6" s="348"/>
      <c r="J6" s="348"/>
      <c r="K6" s="348"/>
      <c r="L6" s="355">
        <f t="shared" ref="L6:M9" si="0">B6+G6</f>
        <v>0</v>
      </c>
      <c r="M6" s="386">
        <f t="shared" si="0"/>
        <v>0</v>
      </c>
      <c r="N6" s="345"/>
    </row>
    <row r="7" spans="1:14">
      <c r="A7" s="354"/>
      <c r="B7" s="355"/>
      <c r="C7" s="386"/>
      <c r="D7" s="348"/>
      <c r="E7" s="348"/>
      <c r="F7" s="348"/>
      <c r="G7" s="355"/>
      <c r="H7" s="386"/>
      <c r="I7" s="348"/>
      <c r="J7" s="348"/>
      <c r="K7" s="348"/>
      <c r="L7" s="355">
        <f t="shared" si="0"/>
        <v>0</v>
      </c>
      <c r="M7" s="386">
        <f t="shared" si="0"/>
        <v>0</v>
      </c>
      <c r="N7" s="345"/>
    </row>
    <row r="8" spans="1:14">
      <c r="A8" s="354"/>
      <c r="B8" s="355"/>
      <c r="C8" s="386"/>
      <c r="D8" s="348"/>
      <c r="E8" s="348"/>
      <c r="F8" s="348"/>
      <c r="G8" s="355"/>
      <c r="H8" s="386"/>
      <c r="I8" s="348"/>
      <c r="J8" s="348"/>
      <c r="K8" s="348"/>
      <c r="L8" s="355">
        <f t="shared" si="0"/>
        <v>0</v>
      </c>
      <c r="M8" s="386">
        <f t="shared" si="0"/>
        <v>0</v>
      </c>
      <c r="N8" s="345"/>
    </row>
    <row r="9" spans="1:14">
      <c r="A9" s="358"/>
      <c r="B9" s="355"/>
      <c r="C9" s="386"/>
      <c r="D9" s="359"/>
      <c r="E9" s="348"/>
      <c r="F9" s="359"/>
      <c r="G9" s="355"/>
      <c r="H9" s="386"/>
      <c r="I9" s="359"/>
      <c r="J9" s="348"/>
      <c r="K9" s="348"/>
      <c r="L9" s="355">
        <f t="shared" si="0"/>
        <v>0</v>
      </c>
      <c r="M9" s="386">
        <f t="shared" si="0"/>
        <v>0</v>
      </c>
      <c r="N9" s="345"/>
    </row>
    <row r="10" spans="1:14">
      <c r="A10" s="358"/>
      <c r="B10" s="355">
        <f>MAX(B11-SUM(B5:B9)+SUM(C6:C9),0)</f>
        <v>0</v>
      </c>
      <c r="C10" s="360">
        <f>MAX(0,SUM(B5:B10)-SUM(C6:C9)-B11)</f>
        <v>0</v>
      </c>
      <c r="D10" s="359"/>
      <c r="E10" s="348"/>
      <c r="F10" s="359"/>
      <c r="G10" s="355">
        <f>MAX(G11-SUM(G5:G9)+SUM(H6:H9),0)</f>
        <v>0</v>
      </c>
      <c r="H10" s="360">
        <f>MAX(0,SUM(G5:G10)-SUM(H6:H9)-G11)</f>
        <v>0</v>
      </c>
      <c r="I10" s="359"/>
      <c r="J10" s="348"/>
      <c r="K10" s="348"/>
      <c r="L10" s="355">
        <f>MAX(L11-SUM(L5:L9)+SUM(M6:M9),0)</f>
        <v>0</v>
      </c>
      <c r="M10" s="360">
        <f>MAX(0,SUM(L5:L9)-SUM(M6:M9)-L11)</f>
        <v>0</v>
      </c>
      <c r="N10" s="345"/>
    </row>
    <row r="11" spans="1:14" ht="15.75" thickBot="1">
      <c r="A11" s="349" t="s">
        <v>227</v>
      </c>
      <c r="B11" s="361"/>
      <c r="C11" s="362"/>
      <c r="D11" s="347"/>
      <c r="E11" s="348"/>
      <c r="F11" s="347" t="s">
        <v>227</v>
      </c>
      <c r="G11" s="361"/>
      <c r="H11" s="362"/>
      <c r="I11" s="347"/>
      <c r="J11" s="348"/>
      <c r="K11" s="347" t="s">
        <v>227</v>
      </c>
      <c r="L11" s="361">
        <f>B11-H11</f>
        <v>0</v>
      </c>
      <c r="M11" s="365"/>
      <c r="N11" s="345"/>
    </row>
    <row r="12" spans="1:14" ht="15.75" thickTop="1">
      <c r="A12" s="349"/>
      <c r="B12" s="386"/>
      <c r="C12" s="386"/>
      <c r="D12" s="347"/>
      <c r="E12" s="348"/>
      <c r="F12" s="347"/>
      <c r="G12" s="386"/>
      <c r="H12" s="386"/>
      <c r="I12" s="347"/>
      <c r="J12" s="348"/>
      <c r="K12" s="347"/>
      <c r="L12" s="386"/>
      <c r="M12" s="366"/>
      <c r="N12" s="345"/>
    </row>
    <row r="13" spans="1:14" ht="15.75" thickBot="1">
      <c r="A13" s="367"/>
      <c r="B13" s="368"/>
      <c r="C13" s="368"/>
      <c r="D13" s="368"/>
      <c r="E13" s="368"/>
      <c r="F13" s="368"/>
      <c r="G13" s="368"/>
      <c r="H13" s="368"/>
      <c r="I13" s="368"/>
      <c r="J13" s="368"/>
      <c r="K13" s="368"/>
      <c r="L13" s="368"/>
      <c r="M13" s="368"/>
      <c r="N13" s="369"/>
    </row>
    <row r="14" spans="1:14">
      <c r="A14" s="344"/>
      <c r="C14" s="509" t="s">
        <v>276</v>
      </c>
      <c r="D14" s="510"/>
      <c r="E14" s="510"/>
      <c r="F14" s="510"/>
      <c r="G14" s="510"/>
      <c r="H14" s="510"/>
      <c r="I14" s="510"/>
      <c r="J14" s="510"/>
      <c r="K14" s="510"/>
      <c r="L14" s="511"/>
      <c r="M14" s="366"/>
      <c r="N14" s="345"/>
    </row>
    <row r="15" spans="1:14" ht="15.75" thickBot="1">
      <c r="A15" s="344"/>
      <c r="C15" s="512" t="s">
        <v>277</v>
      </c>
      <c r="D15" s="513"/>
      <c r="E15" s="513"/>
      <c r="F15" s="513" t="s">
        <v>278</v>
      </c>
      <c r="G15" s="513"/>
      <c r="H15" s="513" t="s">
        <v>279</v>
      </c>
      <c r="I15" s="513"/>
      <c r="J15" s="513" t="s">
        <v>280</v>
      </c>
      <c r="K15" s="513"/>
      <c r="L15" s="370" t="s">
        <v>281</v>
      </c>
      <c r="M15" s="366"/>
      <c r="N15" s="345"/>
    </row>
    <row r="16" spans="1:14">
      <c r="A16" s="344"/>
      <c r="C16" s="503"/>
      <c r="D16" s="504"/>
      <c r="E16" s="504"/>
      <c r="F16" s="504"/>
      <c r="G16" s="504"/>
      <c r="H16" s="505"/>
      <c r="I16" s="505"/>
      <c r="J16" s="505"/>
      <c r="K16" s="505"/>
      <c r="L16" s="506">
        <f>SUM(H16:I22)-SUM(J16:K22)</f>
        <v>0</v>
      </c>
      <c r="M16" s="366"/>
      <c r="N16" s="345"/>
    </row>
    <row r="17" spans="1:14">
      <c r="A17" s="344"/>
      <c r="C17" s="499"/>
      <c r="D17" s="498"/>
      <c r="E17" s="498"/>
      <c r="F17" s="498"/>
      <c r="G17" s="498"/>
      <c r="H17" s="517"/>
      <c r="I17" s="517"/>
      <c r="J17" s="517"/>
      <c r="K17" s="517"/>
      <c r="L17" s="507"/>
      <c r="M17" s="366"/>
      <c r="N17" s="371"/>
    </row>
    <row r="18" spans="1:14">
      <c r="A18" s="344"/>
      <c r="C18" s="499"/>
      <c r="D18" s="498"/>
      <c r="E18" s="498"/>
      <c r="F18" s="498"/>
      <c r="G18" s="498"/>
      <c r="H18" s="517"/>
      <c r="I18" s="517"/>
      <c r="J18" s="517"/>
      <c r="K18" s="517"/>
      <c r="L18" s="507"/>
      <c r="M18" s="366"/>
      <c r="N18" s="371"/>
    </row>
    <row r="19" spans="1:14">
      <c r="A19" s="344"/>
      <c r="C19" s="499"/>
      <c r="D19" s="498"/>
      <c r="E19" s="498"/>
      <c r="F19" s="498"/>
      <c r="G19" s="498"/>
      <c r="H19" s="517"/>
      <c r="I19" s="517"/>
      <c r="J19" s="517"/>
      <c r="K19" s="517"/>
      <c r="L19" s="507"/>
      <c r="M19" s="366"/>
      <c r="N19" s="371"/>
    </row>
    <row r="20" spans="1:14">
      <c r="A20" s="344"/>
      <c r="C20" s="495"/>
      <c r="D20" s="496"/>
      <c r="E20" s="496"/>
      <c r="F20" s="496"/>
      <c r="G20" s="496"/>
      <c r="H20" s="517"/>
      <c r="I20" s="517"/>
      <c r="J20" s="517"/>
      <c r="K20" s="517"/>
      <c r="L20" s="507"/>
      <c r="M20" s="366"/>
      <c r="N20" s="371"/>
    </row>
    <row r="21" spans="1:14">
      <c r="A21" s="349"/>
      <c r="B21" s="386"/>
      <c r="C21" s="495"/>
      <c r="D21" s="496"/>
      <c r="E21" s="496"/>
      <c r="F21" s="496"/>
      <c r="G21" s="496"/>
      <c r="H21" s="517"/>
      <c r="I21" s="517"/>
      <c r="J21" s="517"/>
      <c r="K21" s="517"/>
      <c r="L21" s="507"/>
      <c r="M21" s="366"/>
      <c r="N21" s="371"/>
    </row>
    <row r="22" spans="1:14" ht="15.75" thickBot="1">
      <c r="A22" s="344"/>
      <c r="C22" s="492"/>
      <c r="D22" s="493"/>
      <c r="E22" s="493"/>
      <c r="F22" s="493"/>
      <c r="G22" s="493"/>
      <c r="H22" s="494"/>
      <c r="I22" s="494"/>
      <c r="J22" s="494"/>
      <c r="K22" s="494"/>
      <c r="L22" s="508"/>
      <c r="N22" s="371"/>
    </row>
    <row r="23" spans="1:14">
      <c r="A23" s="344"/>
      <c r="C23" s="372"/>
      <c r="D23" s="372"/>
      <c r="E23" s="372"/>
      <c r="F23" s="372"/>
      <c r="G23" s="372"/>
      <c r="H23" s="387"/>
      <c r="I23" s="387"/>
      <c r="J23" s="387"/>
      <c r="K23" s="387"/>
      <c r="L23" s="388"/>
      <c r="N23" s="371"/>
    </row>
    <row r="24" spans="1:14" ht="15.75" thickBot="1">
      <c r="A24" s="375"/>
      <c r="B24" s="376"/>
      <c r="C24" s="377"/>
      <c r="D24" s="377"/>
      <c r="E24" s="377"/>
      <c r="F24" s="377"/>
      <c r="G24" s="377"/>
      <c r="H24" s="378"/>
      <c r="I24" s="378"/>
      <c r="J24" s="378"/>
      <c r="K24" s="378"/>
      <c r="L24" s="379"/>
      <c r="M24" s="376"/>
      <c r="N24" s="380"/>
    </row>
    <row r="25" spans="1:14">
      <c r="A25" s="341" t="s">
        <v>282</v>
      </c>
      <c r="B25" s="342"/>
      <c r="C25" s="381"/>
      <c r="D25" s="381"/>
      <c r="E25" s="381"/>
      <c r="F25" s="381"/>
      <c r="G25" s="381"/>
      <c r="H25" s="382"/>
      <c r="I25" s="382"/>
      <c r="J25" s="382"/>
      <c r="K25" s="382"/>
      <c r="L25" s="383"/>
      <c r="M25" s="342"/>
      <c r="N25" s="384"/>
    </row>
    <row r="26" spans="1:14">
      <c r="A26" s="500" t="s">
        <v>273</v>
      </c>
      <c r="B26" s="501"/>
      <c r="C26" s="501"/>
      <c r="D26" s="501"/>
      <c r="E26" s="501"/>
      <c r="F26" s="501"/>
      <c r="G26" s="501"/>
      <c r="H26" s="501"/>
      <c r="I26" s="501"/>
      <c r="J26" s="501"/>
      <c r="K26" s="501"/>
      <c r="L26" s="501"/>
      <c r="M26" s="501"/>
      <c r="N26" s="502"/>
    </row>
    <row r="27" spans="1:14">
      <c r="A27" s="344"/>
      <c r="N27" s="345"/>
    </row>
    <row r="28" spans="1:14" ht="15.75" thickBot="1">
      <c r="A28" s="346"/>
      <c r="B28" s="515" t="s">
        <v>295</v>
      </c>
      <c r="C28" s="515"/>
      <c r="D28" s="347"/>
      <c r="E28" s="348"/>
      <c r="F28" s="340"/>
      <c r="G28" s="515" t="s">
        <v>291</v>
      </c>
      <c r="H28" s="515"/>
      <c r="I28" s="347"/>
      <c r="J28" s="348"/>
      <c r="K28" s="340"/>
      <c r="L28" s="515" t="s">
        <v>275</v>
      </c>
      <c r="M28" s="515"/>
      <c r="N28" s="345"/>
    </row>
    <row r="29" spans="1:14">
      <c r="A29" s="349" t="s">
        <v>214</v>
      </c>
      <c r="B29" s="350"/>
      <c r="C29" s="351"/>
      <c r="D29" s="347"/>
      <c r="E29" s="348"/>
      <c r="F29" s="347" t="s">
        <v>214</v>
      </c>
      <c r="G29" s="350"/>
      <c r="H29" s="351"/>
      <c r="I29" s="347"/>
      <c r="J29" s="348"/>
      <c r="K29" s="347"/>
      <c r="L29" s="350">
        <f>B29+G29</f>
        <v>0</v>
      </c>
      <c r="M29" s="351"/>
      <c r="N29" s="345"/>
    </row>
    <row r="30" spans="1:14">
      <c r="A30" s="354"/>
      <c r="B30" s="355"/>
      <c r="C30" s="386"/>
      <c r="D30" s="348"/>
      <c r="E30" s="348"/>
      <c r="F30" s="348"/>
      <c r="G30" s="355"/>
      <c r="H30" s="386"/>
      <c r="I30" s="348"/>
      <c r="J30" s="348"/>
      <c r="K30" s="348"/>
      <c r="L30" s="355">
        <f t="shared" ref="L30:M33" si="1">B30+G30</f>
        <v>0</v>
      </c>
      <c r="M30" s="386">
        <f t="shared" si="1"/>
        <v>0</v>
      </c>
      <c r="N30" s="345"/>
    </row>
    <row r="31" spans="1:14">
      <c r="A31" s="354"/>
      <c r="B31" s="355"/>
      <c r="C31" s="386"/>
      <c r="D31" s="348"/>
      <c r="E31" s="348"/>
      <c r="F31" s="348"/>
      <c r="G31" s="355"/>
      <c r="H31" s="386"/>
      <c r="I31" s="348"/>
      <c r="J31" s="348"/>
      <c r="K31" s="348"/>
      <c r="L31" s="355">
        <f t="shared" si="1"/>
        <v>0</v>
      </c>
      <c r="M31" s="386">
        <f t="shared" si="1"/>
        <v>0</v>
      </c>
      <c r="N31" s="345"/>
    </row>
    <row r="32" spans="1:14">
      <c r="A32" s="354"/>
      <c r="B32" s="355"/>
      <c r="C32" s="386"/>
      <c r="D32" s="348"/>
      <c r="E32" s="348"/>
      <c r="F32" s="348"/>
      <c r="G32" s="355"/>
      <c r="H32" s="386"/>
      <c r="I32" s="348"/>
      <c r="J32" s="348"/>
      <c r="K32" s="348"/>
      <c r="L32" s="355">
        <f t="shared" si="1"/>
        <v>0</v>
      </c>
      <c r="M32" s="386">
        <f t="shared" si="1"/>
        <v>0</v>
      </c>
      <c r="N32" s="345"/>
    </row>
    <row r="33" spans="1:14">
      <c r="A33" s="358"/>
      <c r="B33" s="355"/>
      <c r="C33" s="386"/>
      <c r="D33" s="359"/>
      <c r="E33" s="348"/>
      <c r="F33" s="359"/>
      <c r="G33" s="355"/>
      <c r="H33" s="386"/>
      <c r="I33" s="359"/>
      <c r="J33" s="348"/>
      <c r="K33" s="348"/>
      <c r="L33" s="355">
        <f t="shared" si="1"/>
        <v>0</v>
      </c>
      <c r="M33" s="386">
        <f t="shared" si="1"/>
        <v>0</v>
      </c>
      <c r="N33" s="345"/>
    </row>
    <row r="34" spans="1:14">
      <c r="A34" s="358"/>
      <c r="B34" s="355">
        <f>MAX(B35-SUM(B29:B33)+SUM(C30:C33),0)</f>
        <v>0</v>
      </c>
      <c r="C34" s="360">
        <f>MAX(0,SUM(B29:B34)-SUM(C30:C33)-B35)</f>
        <v>0</v>
      </c>
      <c r="D34" s="359"/>
      <c r="E34" s="348"/>
      <c r="F34" s="359"/>
      <c r="G34" s="355">
        <f>MAX(G35-SUM(G29:G33)+SUM(H30:H33),0)</f>
        <v>0</v>
      </c>
      <c r="H34" s="360">
        <f>MAX(0,SUM(G29:G34)-SUM(H30:H33)-G35)</f>
        <v>0</v>
      </c>
      <c r="I34" s="359"/>
      <c r="J34" s="348"/>
      <c r="K34" s="348"/>
      <c r="L34" s="355">
        <f>MAX(L35-SUM(L29:L33)+SUM(M30:M33),0)</f>
        <v>0</v>
      </c>
      <c r="M34" s="360">
        <f>MAX(0,SUM(L29:L33)-SUM(M30:M33)-L35)</f>
        <v>0</v>
      </c>
      <c r="N34" s="345"/>
    </row>
    <row r="35" spans="1:14" ht="15.75" thickBot="1">
      <c r="A35" s="349" t="s">
        <v>227</v>
      </c>
      <c r="B35" s="361"/>
      <c r="C35" s="362"/>
      <c r="D35" s="347"/>
      <c r="E35" s="348"/>
      <c r="F35" s="347" t="s">
        <v>227</v>
      </c>
      <c r="G35" s="361"/>
      <c r="H35" s="362"/>
      <c r="I35" s="347"/>
      <c r="J35" s="348"/>
      <c r="K35" s="347" t="s">
        <v>227</v>
      </c>
      <c r="L35" s="361">
        <f>B35-H35</f>
        <v>0</v>
      </c>
      <c r="M35" s="365"/>
      <c r="N35" s="345"/>
    </row>
    <row r="36" spans="1:14" ht="15.75" thickTop="1">
      <c r="A36" s="349"/>
      <c r="B36" s="386"/>
      <c r="C36" s="386"/>
      <c r="D36" s="347"/>
      <c r="E36" s="348"/>
      <c r="F36" s="347"/>
      <c r="G36" s="386"/>
      <c r="H36" s="386"/>
      <c r="I36" s="347"/>
      <c r="J36" s="348"/>
      <c r="K36" s="347"/>
      <c r="L36" s="386"/>
      <c r="M36" s="366"/>
      <c r="N36" s="345"/>
    </row>
    <row r="37" spans="1:14" ht="15.75" thickBot="1">
      <c r="A37" s="367"/>
      <c r="B37" s="368"/>
      <c r="C37" s="368"/>
      <c r="D37" s="368"/>
      <c r="E37" s="368"/>
      <c r="F37" s="368"/>
      <c r="G37" s="368"/>
      <c r="H37" s="368"/>
      <c r="I37" s="368"/>
      <c r="J37" s="368"/>
      <c r="K37" s="368"/>
      <c r="L37" s="368"/>
      <c r="M37" s="368"/>
      <c r="N37" s="369"/>
    </row>
    <row r="38" spans="1:14">
      <c r="A38" s="344"/>
      <c r="C38" s="509" t="s">
        <v>276</v>
      </c>
      <c r="D38" s="510"/>
      <c r="E38" s="510"/>
      <c r="F38" s="510"/>
      <c r="G38" s="510"/>
      <c r="H38" s="510"/>
      <c r="I38" s="510"/>
      <c r="J38" s="510"/>
      <c r="K38" s="510"/>
      <c r="L38" s="511"/>
      <c r="M38" s="366"/>
      <c r="N38" s="345"/>
    </row>
    <row r="39" spans="1:14" ht="15.75" thickBot="1">
      <c r="A39" s="344"/>
      <c r="C39" s="512" t="s">
        <v>277</v>
      </c>
      <c r="D39" s="513"/>
      <c r="E39" s="513"/>
      <c r="F39" s="513" t="s">
        <v>278</v>
      </c>
      <c r="G39" s="513"/>
      <c r="H39" s="513" t="s">
        <v>279</v>
      </c>
      <c r="I39" s="513"/>
      <c r="J39" s="513" t="s">
        <v>280</v>
      </c>
      <c r="K39" s="513"/>
      <c r="L39" s="370" t="s">
        <v>281</v>
      </c>
      <c r="M39" s="366"/>
      <c r="N39" s="345"/>
    </row>
    <row r="40" spans="1:14">
      <c r="A40" s="344"/>
      <c r="C40" s="503"/>
      <c r="D40" s="504"/>
      <c r="E40" s="504"/>
      <c r="F40" s="504"/>
      <c r="G40" s="504"/>
      <c r="H40" s="505"/>
      <c r="I40" s="505"/>
      <c r="J40" s="505"/>
      <c r="K40" s="505"/>
      <c r="L40" s="506">
        <f>SUM(H40:I46)-SUM(J40:K46)</f>
        <v>0</v>
      </c>
      <c r="M40" s="366"/>
      <c r="N40" s="345"/>
    </row>
    <row r="41" spans="1:14">
      <c r="A41" s="344"/>
      <c r="C41" s="499"/>
      <c r="D41" s="498"/>
      <c r="E41" s="498"/>
      <c r="F41" s="498"/>
      <c r="G41" s="498"/>
      <c r="H41" s="517"/>
      <c r="I41" s="517"/>
      <c r="J41" s="517"/>
      <c r="K41" s="517"/>
      <c r="L41" s="507"/>
      <c r="M41" s="366"/>
      <c r="N41" s="371"/>
    </row>
    <row r="42" spans="1:14">
      <c r="A42" s="344"/>
      <c r="C42" s="499"/>
      <c r="D42" s="498"/>
      <c r="E42" s="498"/>
      <c r="F42" s="498"/>
      <c r="G42" s="498"/>
      <c r="H42" s="517"/>
      <c r="I42" s="517"/>
      <c r="J42" s="517"/>
      <c r="K42" s="517"/>
      <c r="L42" s="507"/>
      <c r="M42" s="366"/>
      <c r="N42" s="371"/>
    </row>
    <row r="43" spans="1:14">
      <c r="A43" s="344"/>
      <c r="C43" s="499"/>
      <c r="D43" s="498"/>
      <c r="E43" s="498"/>
      <c r="F43" s="498"/>
      <c r="G43" s="498"/>
      <c r="H43" s="517"/>
      <c r="I43" s="517"/>
      <c r="J43" s="517"/>
      <c r="K43" s="517"/>
      <c r="L43" s="507"/>
      <c r="M43" s="366"/>
      <c r="N43" s="371"/>
    </row>
    <row r="44" spans="1:14">
      <c r="A44" s="344"/>
      <c r="C44" s="495"/>
      <c r="D44" s="496"/>
      <c r="E44" s="496"/>
      <c r="F44" s="496"/>
      <c r="G44" s="496"/>
      <c r="H44" s="517"/>
      <c r="I44" s="517"/>
      <c r="J44" s="517"/>
      <c r="K44" s="517"/>
      <c r="L44" s="507"/>
      <c r="M44" s="366"/>
      <c r="N44" s="371"/>
    </row>
    <row r="45" spans="1:14">
      <c r="A45" s="349"/>
      <c r="B45" s="386"/>
      <c r="C45" s="495"/>
      <c r="D45" s="496"/>
      <c r="E45" s="496"/>
      <c r="F45" s="496"/>
      <c r="G45" s="496"/>
      <c r="H45" s="517"/>
      <c r="I45" s="517"/>
      <c r="J45" s="517"/>
      <c r="K45" s="517"/>
      <c r="L45" s="507"/>
      <c r="M45" s="366"/>
      <c r="N45" s="371"/>
    </row>
    <row r="46" spans="1:14" ht="15.75" thickBot="1">
      <c r="A46" s="344"/>
      <c r="C46" s="492"/>
      <c r="D46" s="493"/>
      <c r="E46" s="493"/>
      <c r="F46" s="493"/>
      <c r="G46" s="493"/>
      <c r="H46" s="494"/>
      <c r="I46" s="494"/>
      <c r="J46" s="494"/>
      <c r="K46" s="494"/>
      <c r="L46" s="508"/>
      <c r="N46" s="371"/>
    </row>
    <row r="47" spans="1:14">
      <c r="A47" s="344"/>
      <c r="C47" s="372"/>
      <c r="D47" s="372"/>
      <c r="E47" s="372"/>
      <c r="F47" s="372"/>
      <c r="G47" s="372"/>
      <c r="H47" s="387"/>
      <c r="I47" s="387"/>
      <c r="J47" s="387"/>
      <c r="K47" s="387"/>
      <c r="L47" s="388"/>
      <c r="N47" s="371"/>
    </row>
    <row r="48" spans="1:14" ht="15.75" thickBot="1">
      <c r="A48" s="375"/>
      <c r="B48" s="376"/>
      <c r="C48" s="377"/>
      <c r="D48" s="377"/>
      <c r="E48" s="377"/>
      <c r="F48" s="377"/>
      <c r="G48" s="377"/>
      <c r="H48" s="378"/>
      <c r="I48" s="378"/>
      <c r="J48" s="378"/>
      <c r="K48" s="378"/>
      <c r="L48" s="379"/>
      <c r="M48" s="376"/>
      <c r="N48" s="380"/>
    </row>
  </sheetData>
  <mergeCells count="76">
    <mergeCell ref="C46:E46"/>
    <mergeCell ref="F46:G46"/>
    <mergeCell ref="H46:I46"/>
    <mergeCell ref="J46:K46"/>
    <mergeCell ref="C44:E44"/>
    <mergeCell ref="F44:G44"/>
    <mergeCell ref="H44:I44"/>
    <mergeCell ref="J44:K44"/>
    <mergeCell ref="C45:E45"/>
    <mergeCell ref="F45:G45"/>
    <mergeCell ref="H45:I45"/>
    <mergeCell ref="J45:K45"/>
    <mergeCell ref="F42:G42"/>
    <mergeCell ref="H42:I42"/>
    <mergeCell ref="J42:K42"/>
    <mergeCell ref="C43:E43"/>
    <mergeCell ref="F43:G43"/>
    <mergeCell ref="H43:I43"/>
    <mergeCell ref="J43:K43"/>
    <mergeCell ref="A26:N26"/>
    <mergeCell ref="C40:E40"/>
    <mergeCell ref="F40:G40"/>
    <mergeCell ref="H40:I40"/>
    <mergeCell ref="J40:K40"/>
    <mergeCell ref="L40:L46"/>
    <mergeCell ref="C38:L38"/>
    <mergeCell ref="C39:E39"/>
    <mergeCell ref="F39:G39"/>
    <mergeCell ref="H39:I39"/>
    <mergeCell ref="J39:K39"/>
    <mergeCell ref="C41:E41"/>
    <mergeCell ref="F41:G41"/>
    <mergeCell ref="H41:I41"/>
    <mergeCell ref="J41:K41"/>
    <mergeCell ref="C42:E42"/>
    <mergeCell ref="J19:K19"/>
    <mergeCell ref="B28:C28"/>
    <mergeCell ref="G28:H28"/>
    <mergeCell ref="L28:M28"/>
    <mergeCell ref="C20:E20"/>
    <mergeCell ref="F20:G20"/>
    <mergeCell ref="H20:I20"/>
    <mergeCell ref="J20:K20"/>
    <mergeCell ref="C21:E21"/>
    <mergeCell ref="F21:G21"/>
    <mergeCell ref="H21:I21"/>
    <mergeCell ref="J21:K21"/>
    <mergeCell ref="C22:E22"/>
    <mergeCell ref="F22:G22"/>
    <mergeCell ref="H22:I22"/>
    <mergeCell ref="J22:K22"/>
    <mergeCell ref="C16:E16"/>
    <mergeCell ref="F16:G16"/>
    <mergeCell ref="H16:I16"/>
    <mergeCell ref="J16:K16"/>
    <mergeCell ref="L16:L22"/>
    <mergeCell ref="C17:E17"/>
    <mergeCell ref="F17:G17"/>
    <mergeCell ref="H17:I17"/>
    <mergeCell ref="J17:K17"/>
    <mergeCell ref="C18:E18"/>
    <mergeCell ref="F18:G18"/>
    <mergeCell ref="H18:I18"/>
    <mergeCell ref="J18:K18"/>
    <mergeCell ref="C19:E19"/>
    <mergeCell ref="F19:G19"/>
    <mergeCell ref="H19:I19"/>
    <mergeCell ref="C15:E15"/>
    <mergeCell ref="F15:G15"/>
    <mergeCell ref="H15:I15"/>
    <mergeCell ref="J15:K15"/>
    <mergeCell ref="A2:N2"/>
    <mergeCell ref="B4:C4"/>
    <mergeCell ref="G4:H4"/>
    <mergeCell ref="L4:M4"/>
    <mergeCell ref="C14:L14"/>
  </mergeCells>
  <conditionalFormatting sqref="B10:C10">
    <cfRule type="cellIs" dxfId="83" priority="11" operator="notEqual">
      <formula>0</formula>
    </cfRule>
    <cfRule type="cellIs" dxfId="82" priority="12" operator="equal">
      <formula>0</formula>
    </cfRule>
  </conditionalFormatting>
  <conditionalFormatting sqref="B34:C34">
    <cfRule type="cellIs" dxfId="81" priority="5" operator="notEqual">
      <formula>0</formula>
    </cfRule>
    <cfRule type="cellIs" dxfId="80" priority="6" operator="equal">
      <formula>0</formula>
    </cfRule>
  </conditionalFormatting>
  <conditionalFormatting sqref="G10:H10">
    <cfRule type="cellIs" dxfId="79" priority="7" operator="notEqual">
      <formula>0</formula>
    </cfRule>
    <cfRule type="cellIs" dxfId="78" priority="8" operator="equal">
      <formula>0</formula>
    </cfRule>
  </conditionalFormatting>
  <conditionalFormatting sqref="G34:H34">
    <cfRule type="cellIs" dxfId="77" priority="1" operator="notEqual">
      <formula>0</formula>
    </cfRule>
    <cfRule type="cellIs" dxfId="76" priority="2" operator="equal">
      <formula>0</formula>
    </cfRule>
  </conditionalFormatting>
  <conditionalFormatting sqref="L10:M10">
    <cfRule type="cellIs" dxfId="75" priority="9" operator="notEqual">
      <formula>0</formula>
    </cfRule>
    <cfRule type="cellIs" dxfId="74" priority="10" operator="equal">
      <formula>0</formula>
    </cfRule>
  </conditionalFormatting>
  <conditionalFormatting sqref="L34:M34">
    <cfRule type="cellIs" dxfId="73" priority="3" operator="notEqual">
      <formula>0</formula>
    </cfRule>
    <cfRule type="cellIs" dxfId="72" priority="4" operator="equal">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D421C-B5C4-4FFB-A57D-0E69C63D3C86}">
  <dimension ref="A1:N48"/>
  <sheetViews>
    <sheetView topLeftCell="A3" zoomScale="145" zoomScaleNormal="145" workbookViewId="0">
      <selection activeCell="D12" sqref="D12"/>
    </sheetView>
  </sheetViews>
  <sheetFormatPr defaultColWidth="9.140625" defaultRowHeight="15"/>
  <cols>
    <col min="1" max="1" width="9.140625" style="339"/>
    <col min="2" max="2" width="15" style="339" customWidth="1"/>
    <col min="3" max="3" width="14.42578125" style="339" customWidth="1"/>
    <col min="4" max="4" width="3.28515625" style="339" bestFit="1" customWidth="1"/>
    <col min="5" max="5" width="9.7109375" style="339" customWidth="1"/>
    <col min="6" max="6" width="3.28515625" style="339" bestFit="1" customWidth="1"/>
    <col min="7" max="7" width="17.140625" style="339" customWidth="1"/>
    <col min="8" max="8" width="17.7109375" style="339" customWidth="1"/>
    <col min="9" max="9" width="3.28515625" style="339" bestFit="1" customWidth="1"/>
    <col min="10" max="10" width="18.140625" style="339" customWidth="1"/>
    <col min="11" max="11" width="3.28515625" style="339" bestFit="1" customWidth="1"/>
    <col min="12" max="12" width="16.140625" style="339" customWidth="1"/>
    <col min="13" max="13" width="12.28515625" style="339" customWidth="1"/>
    <col min="14" max="14" width="3.28515625" style="339" bestFit="1" customWidth="1"/>
    <col min="15" max="16384" width="9.140625" style="339"/>
  </cols>
  <sheetData>
    <row r="1" spans="1:14">
      <c r="A1" s="341" t="s">
        <v>272</v>
      </c>
      <c r="B1" s="342"/>
      <c r="C1" s="342"/>
      <c r="D1" s="342"/>
      <c r="E1" s="342"/>
      <c r="F1" s="342"/>
      <c r="G1" s="342"/>
      <c r="H1" s="342"/>
      <c r="I1" s="342"/>
      <c r="J1" s="342"/>
      <c r="K1" s="342"/>
      <c r="L1" s="342"/>
      <c r="M1" s="342"/>
      <c r="N1" s="343"/>
    </row>
    <row r="2" spans="1:14">
      <c r="A2" s="500" t="s">
        <v>273</v>
      </c>
      <c r="B2" s="501"/>
      <c r="C2" s="501"/>
      <c r="D2" s="501"/>
      <c r="E2" s="501"/>
      <c r="F2" s="501"/>
      <c r="G2" s="501"/>
      <c r="H2" s="501"/>
      <c r="I2" s="501"/>
      <c r="J2" s="501"/>
      <c r="K2" s="501"/>
      <c r="L2" s="501"/>
      <c r="M2" s="501"/>
      <c r="N2" s="502"/>
    </row>
    <row r="3" spans="1:14">
      <c r="A3" s="344"/>
      <c r="N3" s="389"/>
    </row>
    <row r="4" spans="1:14" ht="15.75" thickBot="1">
      <c r="A4" s="348"/>
      <c r="B4" s="514" t="s">
        <v>298</v>
      </c>
      <c r="C4" s="514"/>
      <c r="D4" s="340"/>
      <c r="E4" s="348"/>
      <c r="F4" s="340"/>
      <c r="G4" s="515"/>
      <c r="H4" s="515"/>
      <c r="I4" s="347"/>
      <c r="J4" s="348"/>
      <c r="K4" s="348"/>
      <c r="L4" s="514" t="str">
        <f>B4&amp;" ,net"</f>
        <v>Interest Rate Swaps ,net</v>
      </c>
      <c r="M4" s="514"/>
      <c r="N4" s="389"/>
    </row>
    <row r="5" spans="1:14">
      <c r="A5" s="347"/>
      <c r="B5" s="352"/>
      <c r="C5" s="353">
        <v>78525</v>
      </c>
      <c r="D5" s="347" t="s">
        <v>214</v>
      </c>
      <c r="E5" s="348"/>
      <c r="F5" s="347" t="s">
        <v>214</v>
      </c>
      <c r="G5" s="350"/>
      <c r="H5" s="351"/>
      <c r="I5" s="347" t="s">
        <v>214</v>
      </c>
      <c r="J5" s="348"/>
      <c r="K5" s="347" t="s">
        <v>214</v>
      </c>
      <c r="L5" s="352"/>
      <c r="M5" s="353"/>
      <c r="N5" s="389" t="s">
        <v>214</v>
      </c>
    </row>
    <row r="6" spans="1:14">
      <c r="A6" s="348" t="s">
        <v>299</v>
      </c>
      <c r="B6" s="355">
        <v>41179</v>
      </c>
      <c r="C6" s="356"/>
      <c r="D6" s="348"/>
      <c r="E6" s="348"/>
      <c r="F6" s="348"/>
      <c r="G6" s="355"/>
      <c r="H6" s="356"/>
      <c r="I6" s="348"/>
      <c r="J6" s="348"/>
      <c r="K6" s="348"/>
      <c r="L6" s="355"/>
      <c r="M6" s="356"/>
      <c r="N6" s="389"/>
    </row>
    <row r="7" spans="1:14">
      <c r="A7" s="348"/>
      <c r="B7" s="355"/>
      <c r="C7" s="356"/>
      <c r="D7" s="348"/>
      <c r="E7" s="348"/>
      <c r="F7" s="348"/>
      <c r="G7" s="355"/>
      <c r="H7" s="356"/>
      <c r="I7" s="348"/>
      <c r="J7" s="348"/>
      <c r="K7" s="348"/>
      <c r="L7" s="355"/>
      <c r="M7" s="356"/>
      <c r="N7" s="389"/>
    </row>
    <row r="8" spans="1:14">
      <c r="A8" s="348"/>
      <c r="B8" s="355"/>
      <c r="C8" s="356"/>
      <c r="D8" s="348"/>
      <c r="E8" s="348"/>
      <c r="F8" s="348"/>
      <c r="G8" s="355"/>
      <c r="H8" s="356"/>
      <c r="I8" s="348"/>
      <c r="J8" s="348"/>
      <c r="K8" s="348"/>
      <c r="L8" s="355"/>
      <c r="M8" s="356"/>
      <c r="N8" s="389"/>
    </row>
    <row r="9" spans="1:14">
      <c r="A9" s="359"/>
      <c r="B9" s="355"/>
      <c r="C9" s="356"/>
      <c r="D9" s="359"/>
      <c r="E9" s="348"/>
      <c r="F9" s="359"/>
      <c r="G9" s="355"/>
      <c r="H9" s="356"/>
      <c r="I9" s="359"/>
      <c r="J9" s="348"/>
      <c r="K9" s="359"/>
      <c r="L9" s="355"/>
      <c r="M9" s="356"/>
      <c r="N9" s="389"/>
    </row>
    <row r="10" spans="1:14">
      <c r="A10" s="359"/>
      <c r="B10" s="355"/>
      <c r="C10" s="360">
        <f>SUM(C5:C9)-SUM(B5:B9)-C11</f>
        <v>0</v>
      </c>
      <c r="D10" s="359"/>
      <c r="E10" s="348"/>
      <c r="F10" s="359"/>
      <c r="G10" s="355">
        <f>MAX(G11-SUM(G5:G9)+SUM(H6:H9),0)</f>
        <v>0</v>
      </c>
      <c r="H10" s="360">
        <f>MAX(0,SUM(G5:G10)-SUM(H6:H9)-G11)</f>
        <v>0</v>
      </c>
      <c r="I10" s="359"/>
      <c r="J10" s="348"/>
      <c r="K10" s="359"/>
      <c r="L10" s="355"/>
      <c r="M10" s="360">
        <f>SUM(M5:M9)-SUM(L5:L9)-M11</f>
        <v>0</v>
      </c>
      <c r="N10" s="389"/>
    </row>
    <row r="11" spans="1:14" ht="15.75" thickBot="1">
      <c r="A11" s="347"/>
      <c r="B11" s="363"/>
      <c r="C11" s="364">
        <v>37346</v>
      </c>
      <c r="D11" s="347" t="s">
        <v>227</v>
      </c>
      <c r="E11" s="348"/>
      <c r="F11" s="347" t="s">
        <v>227</v>
      </c>
      <c r="G11" s="361"/>
      <c r="H11" s="362"/>
      <c r="I11" s="347"/>
      <c r="J11" s="348"/>
      <c r="K11" s="347"/>
      <c r="L11" s="363"/>
      <c r="M11" s="364"/>
      <c r="N11" s="389" t="s">
        <v>227</v>
      </c>
    </row>
    <row r="12" spans="1:14" ht="15.75" thickTop="1">
      <c r="A12" s="349"/>
      <c r="B12" s="356"/>
      <c r="C12" s="356"/>
      <c r="D12" s="347"/>
      <c r="E12" s="348"/>
      <c r="F12" s="347"/>
      <c r="G12" s="356"/>
      <c r="H12" s="356"/>
      <c r="I12" s="347"/>
      <c r="J12" s="348"/>
      <c r="K12" s="347"/>
      <c r="L12" s="356"/>
      <c r="M12" s="366"/>
      <c r="N12" s="389"/>
    </row>
    <row r="13" spans="1:14" ht="15.75" thickBot="1">
      <c r="A13" s="367"/>
      <c r="B13" s="368"/>
      <c r="C13" s="368"/>
      <c r="D13" s="368"/>
      <c r="E13" s="368"/>
      <c r="F13" s="368"/>
      <c r="G13" s="368"/>
      <c r="H13" s="368"/>
      <c r="I13" s="368"/>
      <c r="J13" s="368"/>
      <c r="K13" s="368"/>
      <c r="L13" s="368"/>
      <c r="M13" s="368"/>
      <c r="N13" s="389"/>
    </row>
    <row r="14" spans="1:14">
      <c r="A14" s="344"/>
      <c r="C14" s="509" t="s">
        <v>276</v>
      </c>
      <c r="D14" s="510"/>
      <c r="E14" s="510"/>
      <c r="F14" s="510"/>
      <c r="G14" s="510"/>
      <c r="H14" s="510"/>
      <c r="I14" s="510"/>
      <c r="J14" s="510"/>
      <c r="K14" s="510"/>
      <c r="L14" s="511"/>
      <c r="M14" s="366"/>
      <c r="N14" s="389"/>
    </row>
    <row r="15" spans="1:14" ht="15.75" thickBot="1">
      <c r="A15" s="344"/>
      <c r="C15" s="512" t="s">
        <v>277</v>
      </c>
      <c r="D15" s="513"/>
      <c r="E15" s="513"/>
      <c r="F15" s="513" t="s">
        <v>278</v>
      </c>
      <c r="G15" s="513"/>
      <c r="H15" s="513" t="s">
        <v>279</v>
      </c>
      <c r="I15" s="513"/>
      <c r="J15" s="513" t="s">
        <v>280</v>
      </c>
      <c r="K15" s="513"/>
      <c r="L15" s="370" t="s">
        <v>281</v>
      </c>
      <c r="M15" s="366"/>
      <c r="N15" s="389"/>
    </row>
    <row r="16" spans="1:14">
      <c r="A16" s="344"/>
      <c r="C16" s="503" t="s">
        <v>298</v>
      </c>
      <c r="D16" s="504"/>
      <c r="E16" s="504"/>
      <c r="F16" s="504"/>
      <c r="G16" s="504"/>
      <c r="H16" s="505">
        <v>41179</v>
      </c>
      <c r="I16" s="505"/>
      <c r="J16" s="505"/>
      <c r="K16" s="505"/>
      <c r="L16" s="506">
        <f>SUM(H16:I22)-SUM(J16:K22)</f>
        <v>0</v>
      </c>
      <c r="M16" s="366"/>
      <c r="N16" s="389"/>
    </row>
    <row r="17" spans="1:14">
      <c r="A17" s="344"/>
      <c r="C17" s="499"/>
      <c r="D17" s="498"/>
      <c r="E17" s="498"/>
      <c r="F17" s="498" t="s">
        <v>300</v>
      </c>
      <c r="G17" s="498"/>
      <c r="H17" s="497"/>
      <c r="I17" s="497"/>
      <c r="J17" s="497">
        <v>41179</v>
      </c>
      <c r="K17" s="497"/>
      <c r="L17" s="507"/>
      <c r="M17" s="366"/>
      <c r="N17" s="389"/>
    </row>
    <row r="18" spans="1:14">
      <c r="A18" s="344"/>
      <c r="C18" s="499"/>
      <c r="D18" s="498"/>
      <c r="E18" s="498"/>
      <c r="F18" s="498"/>
      <c r="G18" s="498"/>
      <c r="H18" s="497"/>
      <c r="I18" s="497"/>
      <c r="J18" s="497"/>
      <c r="K18" s="497"/>
      <c r="L18" s="507"/>
      <c r="M18" s="366"/>
      <c r="N18" s="389"/>
    </row>
    <row r="19" spans="1:14">
      <c r="A19" s="344"/>
      <c r="C19" s="499"/>
      <c r="D19" s="498"/>
      <c r="E19" s="498"/>
      <c r="F19" s="498"/>
      <c r="G19" s="498"/>
      <c r="H19" s="497"/>
      <c r="I19" s="497"/>
      <c r="J19" s="497"/>
      <c r="K19" s="497"/>
      <c r="L19" s="507"/>
      <c r="M19" s="366"/>
      <c r="N19" s="389"/>
    </row>
    <row r="20" spans="1:14">
      <c r="A20" s="344"/>
      <c r="C20" s="495"/>
      <c r="D20" s="496"/>
      <c r="E20" s="496"/>
      <c r="F20" s="496"/>
      <c r="G20" s="496"/>
      <c r="H20" s="497"/>
      <c r="I20" s="497"/>
      <c r="J20" s="497"/>
      <c r="K20" s="497"/>
      <c r="L20" s="507"/>
      <c r="M20" s="366"/>
      <c r="N20" s="389"/>
    </row>
    <row r="21" spans="1:14">
      <c r="A21" s="349"/>
      <c r="B21" s="356"/>
      <c r="C21" s="495"/>
      <c r="D21" s="496"/>
      <c r="E21" s="496"/>
      <c r="F21" s="496"/>
      <c r="G21" s="496"/>
      <c r="H21" s="497"/>
      <c r="I21" s="497"/>
      <c r="J21" s="497"/>
      <c r="K21" s="497"/>
      <c r="L21" s="507"/>
      <c r="M21" s="366"/>
      <c r="N21" s="389"/>
    </row>
    <row r="22" spans="1:14" ht="15.75" thickBot="1">
      <c r="A22" s="344"/>
      <c r="C22" s="492"/>
      <c r="D22" s="493"/>
      <c r="E22" s="493"/>
      <c r="F22" s="493"/>
      <c r="G22" s="493"/>
      <c r="H22" s="494"/>
      <c r="I22" s="494"/>
      <c r="J22" s="494"/>
      <c r="K22" s="494"/>
      <c r="L22" s="508"/>
      <c r="N22" s="389"/>
    </row>
    <row r="23" spans="1:14">
      <c r="A23" s="344"/>
      <c r="C23" s="372"/>
      <c r="D23" s="372"/>
      <c r="E23" s="372"/>
      <c r="F23" s="372"/>
      <c r="G23" s="372"/>
      <c r="H23" s="373"/>
      <c r="I23" s="373"/>
      <c r="J23" s="373"/>
      <c r="K23" s="373"/>
      <c r="L23" s="374"/>
      <c r="N23" s="389"/>
    </row>
    <row r="24" spans="1:14" ht="15.75" thickBot="1">
      <c r="A24" s="375"/>
      <c r="B24" s="376"/>
      <c r="C24" s="377"/>
      <c r="D24" s="377"/>
      <c r="E24" s="377"/>
      <c r="F24" s="377"/>
      <c r="G24" s="377"/>
      <c r="H24" s="378"/>
      <c r="I24" s="378"/>
      <c r="J24" s="378"/>
      <c r="K24" s="378"/>
      <c r="L24" s="379"/>
      <c r="M24" s="376"/>
      <c r="N24" s="390"/>
    </row>
    <row r="25" spans="1:14">
      <c r="A25" s="341" t="s">
        <v>282</v>
      </c>
      <c r="B25" s="342"/>
      <c r="C25" s="342"/>
      <c r="D25" s="342"/>
      <c r="E25" s="342"/>
      <c r="F25" s="342"/>
      <c r="G25" s="342"/>
      <c r="H25" s="342"/>
      <c r="I25" s="342"/>
      <c r="J25" s="342"/>
      <c r="K25" s="342"/>
      <c r="L25" s="342"/>
      <c r="M25" s="342"/>
      <c r="N25" s="343"/>
    </row>
    <row r="26" spans="1:14">
      <c r="A26" s="500" t="s">
        <v>273</v>
      </c>
      <c r="B26" s="501"/>
      <c r="C26" s="501"/>
      <c r="D26" s="501"/>
      <c r="E26" s="501"/>
      <c r="F26" s="501"/>
      <c r="G26" s="501"/>
      <c r="H26" s="501"/>
      <c r="I26" s="501"/>
      <c r="J26" s="501"/>
      <c r="K26" s="501"/>
      <c r="L26" s="501"/>
      <c r="M26" s="501"/>
      <c r="N26" s="502"/>
    </row>
    <row r="27" spans="1:14">
      <c r="A27" s="344"/>
      <c r="N27" s="389"/>
    </row>
    <row r="28" spans="1:14" ht="15.75" thickBot="1">
      <c r="A28" s="348"/>
      <c r="B28" s="514"/>
      <c r="C28" s="514"/>
      <c r="D28" s="340"/>
      <c r="E28" s="348"/>
      <c r="F28" s="340"/>
      <c r="G28" s="515"/>
      <c r="H28" s="515"/>
      <c r="I28" s="347"/>
      <c r="J28" s="348"/>
      <c r="K28" s="348"/>
      <c r="L28" s="514" t="str">
        <f>B28&amp;" ,net"</f>
        <v xml:space="preserve"> ,net</v>
      </c>
      <c r="M28" s="514"/>
      <c r="N28" s="389"/>
    </row>
    <row r="29" spans="1:14">
      <c r="A29" s="347"/>
      <c r="B29" s="352"/>
      <c r="C29" s="353"/>
      <c r="D29" s="347" t="s">
        <v>214</v>
      </c>
      <c r="E29" s="348"/>
      <c r="F29" s="347" t="s">
        <v>214</v>
      </c>
      <c r="G29" s="350"/>
      <c r="H29" s="351"/>
      <c r="I29" s="347" t="s">
        <v>214</v>
      </c>
      <c r="J29" s="348"/>
      <c r="K29" s="347" t="s">
        <v>214</v>
      </c>
      <c r="L29" s="352"/>
      <c r="M29" s="353"/>
      <c r="N29" s="389" t="s">
        <v>214</v>
      </c>
    </row>
    <row r="30" spans="1:14">
      <c r="A30" s="348"/>
      <c r="B30" s="355"/>
      <c r="C30" s="356"/>
      <c r="D30" s="348"/>
      <c r="E30" s="348"/>
      <c r="F30" s="348"/>
      <c r="G30" s="355"/>
      <c r="H30" s="356"/>
      <c r="I30" s="348"/>
      <c r="J30" s="348"/>
      <c r="K30" s="348"/>
      <c r="L30" s="355"/>
      <c r="M30" s="356"/>
      <c r="N30" s="389"/>
    </row>
    <row r="31" spans="1:14">
      <c r="A31" s="348"/>
      <c r="B31" s="355"/>
      <c r="C31" s="356"/>
      <c r="D31" s="348"/>
      <c r="E31" s="348"/>
      <c r="F31" s="348"/>
      <c r="G31" s="355"/>
      <c r="H31" s="356"/>
      <c r="I31" s="348"/>
      <c r="J31" s="348"/>
      <c r="K31" s="348"/>
      <c r="L31" s="355"/>
      <c r="M31" s="356"/>
      <c r="N31" s="389"/>
    </row>
    <row r="32" spans="1:14">
      <c r="A32" s="348"/>
      <c r="B32" s="355"/>
      <c r="C32" s="356"/>
      <c r="D32" s="348"/>
      <c r="E32" s="348"/>
      <c r="F32" s="348"/>
      <c r="G32" s="355"/>
      <c r="H32" s="356"/>
      <c r="I32" s="348"/>
      <c r="J32" s="348"/>
      <c r="K32" s="348"/>
      <c r="L32" s="355"/>
      <c r="M32" s="356"/>
      <c r="N32" s="389"/>
    </row>
    <row r="33" spans="1:14">
      <c r="A33" s="359"/>
      <c r="B33" s="355"/>
      <c r="C33" s="356"/>
      <c r="D33" s="359"/>
      <c r="E33" s="348"/>
      <c r="F33" s="359"/>
      <c r="G33" s="355"/>
      <c r="H33" s="356"/>
      <c r="I33" s="359"/>
      <c r="J33" s="348"/>
      <c r="K33" s="359"/>
      <c r="L33" s="355"/>
      <c r="M33" s="356"/>
      <c r="N33" s="389"/>
    </row>
    <row r="34" spans="1:14">
      <c r="A34" s="359"/>
      <c r="B34" s="355"/>
      <c r="C34" s="360">
        <f>SUM(C29:C33)-SUM(B29:B33)-C35</f>
        <v>0</v>
      </c>
      <c r="D34" s="359"/>
      <c r="E34" s="348"/>
      <c r="F34" s="359"/>
      <c r="G34" s="355">
        <f>MAX(G35-SUM(G29:G33)+SUM(H30:H33),0)</f>
        <v>0</v>
      </c>
      <c r="H34" s="360">
        <f>MAX(0,SUM(G29:G34)-SUM(H30:H33)-G35)</f>
        <v>0</v>
      </c>
      <c r="I34" s="359"/>
      <c r="J34" s="348"/>
      <c r="K34" s="359"/>
      <c r="L34" s="355"/>
      <c r="M34" s="360">
        <f>SUM(M29:M33)-SUM(L29:L33)-M35</f>
        <v>0</v>
      </c>
      <c r="N34" s="389"/>
    </row>
    <row r="35" spans="1:14" ht="15.75" thickBot="1">
      <c r="A35" s="347"/>
      <c r="B35" s="363"/>
      <c r="C35" s="364"/>
      <c r="D35" s="347" t="s">
        <v>227</v>
      </c>
      <c r="E35" s="348"/>
      <c r="F35" s="347" t="s">
        <v>227</v>
      </c>
      <c r="G35" s="361"/>
      <c r="H35" s="362"/>
      <c r="I35" s="347"/>
      <c r="J35" s="348"/>
      <c r="K35" s="347"/>
      <c r="L35" s="363"/>
      <c r="M35" s="364"/>
      <c r="N35" s="389" t="s">
        <v>227</v>
      </c>
    </row>
    <row r="36" spans="1:14" ht="15.75" thickTop="1">
      <c r="A36" s="349"/>
      <c r="B36" s="356"/>
      <c r="C36" s="356"/>
      <c r="D36" s="347"/>
      <c r="E36" s="348"/>
      <c r="F36" s="347"/>
      <c r="G36" s="356"/>
      <c r="H36" s="356"/>
      <c r="I36" s="347"/>
      <c r="J36" s="348"/>
      <c r="K36" s="347"/>
      <c r="L36" s="356"/>
      <c r="M36" s="366"/>
      <c r="N36" s="389"/>
    </row>
    <row r="37" spans="1:14" ht="15.75" thickBot="1">
      <c r="A37" s="367"/>
      <c r="B37" s="368"/>
      <c r="C37" s="368"/>
      <c r="D37" s="368"/>
      <c r="E37" s="368"/>
      <c r="F37" s="368"/>
      <c r="G37" s="368"/>
      <c r="H37" s="368"/>
      <c r="I37" s="368"/>
      <c r="J37" s="368"/>
      <c r="K37" s="368"/>
      <c r="L37" s="368"/>
      <c r="M37" s="368"/>
      <c r="N37" s="389"/>
    </row>
    <row r="38" spans="1:14">
      <c r="A38" s="344"/>
      <c r="C38" s="509" t="s">
        <v>276</v>
      </c>
      <c r="D38" s="510"/>
      <c r="E38" s="510"/>
      <c r="F38" s="510"/>
      <c r="G38" s="510"/>
      <c r="H38" s="510"/>
      <c r="I38" s="510"/>
      <c r="J38" s="510"/>
      <c r="K38" s="510"/>
      <c r="L38" s="511"/>
      <c r="M38" s="366"/>
      <c r="N38" s="389"/>
    </row>
    <row r="39" spans="1:14" ht="15.75" thickBot="1">
      <c r="A39" s="344"/>
      <c r="C39" s="512" t="s">
        <v>277</v>
      </c>
      <c r="D39" s="513"/>
      <c r="E39" s="513"/>
      <c r="F39" s="513" t="s">
        <v>278</v>
      </c>
      <c r="G39" s="513"/>
      <c r="H39" s="513" t="s">
        <v>279</v>
      </c>
      <c r="I39" s="513"/>
      <c r="J39" s="513" t="s">
        <v>280</v>
      </c>
      <c r="K39" s="513"/>
      <c r="L39" s="370" t="s">
        <v>281</v>
      </c>
      <c r="M39" s="366"/>
      <c r="N39" s="389"/>
    </row>
    <row r="40" spans="1:14">
      <c r="A40" s="344"/>
      <c r="C40" s="503"/>
      <c r="D40" s="504"/>
      <c r="E40" s="504"/>
      <c r="F40" s="504"/>
      <c r="G40" s="504"/>
      <c r="H40" s="505"/>
      <c r="I40" s="505"/>
      <c r="J40" s="505"/>
      <c r="K40" s="505"/>
      <c r="L40" s="506">
        <f>SUM(H40:I46)-SUM(J40:K46)</f>
        <v>0</v>
      </c>
      <c r="M40" s="366"/>
      <c r="N40" s="389"/>
    </row>
    <row r="41" spans="1:14">
      <c r="A41" s="344"/>
      <c r="C41" s="499"/>
      <c r="D41" s="498"/>
      <c r="E41" s="498"/>
      <c r="F41" s="498"/>
      <c r="G41" s="498"/>
      <c r="H41" s="497"/>
      <c r="I41" s="497"/>
      <c r="J41" s="497"/>
      <c r="K41" s="497"/>
      <c r="L41" s="507"/>
      <c r="M41" s="366"/>
      <c r="N41" s="389"/>
    </row>
    <row r="42" spans="1:14">
      <c r="A42" s="344"/>
      <c r="C42" s="499"/>
      <c r="D42" s="498"/>
      <c r="E42" s="498"/>
      <c r="F42" s="498"/>
      <c r="G42" s="498"/>
      <c r="H42" s="497"/>
      <c r="I42" s="497"/>
      <c r="J42" s="497"/>
      <c r="K42" s="497"/>
      <c r="L42" s="507"/>
      <c r="M42" s="366"/>
      <c r="N42" s="389"/>
    </row>
    <row r="43" spans="1:14">
      <c r="A43" s="344"/>
      <c r="C43" s="499"/>
      <c r="D43" s="498"/>
      <c r="E43" s="498"/>
      <c r="F43" s="498"/>
      <c r="G43" s="498"/>
      <c r="H43" s="497"/>
      <c r="I43" s="497"/>
      <c r="J43" s="497"/>
      <c r="K43" s="497"/>
      <c r="L43" s="507"/>
      <c r="M43" s="366"/>
      <c r="N43" s="389"/>
    </row>
    <row r="44" spans="1:14">
      <c r="A44" s="344"/>
      <c r="C44" s="495"/>
      <c r="D44" s="496"/>
      <c r="E44" s="496"/>
      <c r="F44" s="496"/>
      <c r="G44" s="496"/>
      <c r="H44" s="497"/>
      <c r="I44" s="497"/>
      <c r="J44" s="497"/>
      <c r="K44" s="497"/>
      <c r="L44" s="507"/>
      <c r="M44" s="366"/>
      <c r="N44" s="389"/>
    </row>
    <row r="45" spans="1:14">
      <c r="A45" s="349"/>
      <c r="B45" s="356"/>
      <c r="C45" s="495"/>
      <c r="D45" s="496"/>
      <c r="E45" s="496"/>
      <c r="F45" s="496"/>
      <c r="G45" s="496"/>
      <c r="H45" s="497"/>
      <c r="I45" s="497"/>
      <c r="J45" s="497"/>
      <c r="K45" s="497"/>
      <c r="L45" s="507"/>
      <c r="M45" s="366"/>
      <c r="N45" s="389"/>
    </row>
    <row r="46" spans="1:14" ht="15.75" thickBot="1">
      <c r="A46" s="344"/>
      <c r="C46" s="492"/>
      <c r="D46" s="493"/>
      <c r="E46" s="493"/>
      <c r="F46" s="493"/>
      <c r="G46" s="493"/>
      <c r="H46" s="494"/>
      <c r="I46" s="494"/>
      <c r="J46" s="494"/>
      <c r="K46" s="494"/>
      <c r="L46" s="508"/>
      <c r="N46" s="389"/>
    </row>
    <row r="47" spans="1:14">
      <c r="A47" s="344"/>
      <c r="C47" s="372"/>
      <c r="D47" s="372"/>
      <c r="E47" s="372"/>
      <c r="F47" s="372"/>
      <c r="G47" s="372"/>
      <c r="H47" s="373"/>
      <c r="I47" s="373"/>
      <c r="J47" s="373"/>
      <c r="K47" s="373"/>
      <c r="L47" s="374"/>
      <c r="N47" s="389"/>
    </row>
    <row r="48" spans="1:14" ht="15.75" thickBot="1">
      <c r="A48" s="375"/>
      <c r="B48" s="376"/>
      <c r="C48" s="377"/>
      <c r="D48" s="377"/>
      <c r="E48" s="377"/>
      <c r="F48" s="377"/>
      <c r="G48" s="377"/>
      <c r="H48" s="378"/>
      <c r="I48" s="378"/>
      <c r="J48" s="378"/>
      <c r="K48" s="378"/>
      <c r="L48" s="379"/>
      <c r="M48" s="376"/>
      <c r="N48" s="391"/>
    </row>
  </sheetData>
  <mergeCells count="76">
    <mergeCell ref="C15:E15"/>
    <mergeCell ref="F15:G15"/>
    <mergeCell ref="H15:I15"/>
    <mergeCell ref="J15:K15"/>
    <mergeCell ref="A2:N2"/>
    <mergeCell ref="B4:C4"/>
    <mergeCell ref="G4:H4"/>
    <mergeCell ref="L4:M4"/>
    <mergeCell ref="C14:L14"/>
    <mergeCell ref="C16:E16"/>
    <mergeCell ref="F16:G16"/>
    <mergeCell ref="H16:I16"/>
    <mergeCell ref="J16:K16"/>
    <mergeCell ref="L16:L22"/>
    <mergeCell ref="C17:E17"/>
    <mergeCell ref="F17:G17"/>
    <mergeCell ref="H17:I17"/>
    <mergeCell ref="J17:K17"/>
    <mergeCell ref="C18:E18"/>
    <mergeCell ref="F18:G18"/>
    <mergeCell ref="H18:I18"/>
    <mergeCell ref="J18:K18"/>
    <mergeCell ref="C19:E19"/>
    <mergeCell ref="F19:G19"/>
    <mergeCell ref="H19:I19"/>
    <mergeCell ref="J19:K19"/>
    <mergeCell ref="B28:C28"/>
    <mergeCell ref="G28:H28"/>
    <mergeCell ref="L28:M28"/>
    <mergeCell ref="C20:E20"/>
    <mergeCell ref="F20:G20"/>
    <mergeCell ref="H20:I20"/>
    <mergeCell ref="J20:K20"/>
    <mergeCell ref="C21:E21"/>
    <mergeCell ref="F21:G21"/>
    <mergeCell ref="H21:I21"/>
    <mergeCell ref="J21:K21"/>
    <mergeCell ref="C22:E22"/>
    <mergeCell ref="F22:G22"/>
    <mergeCell ref="H22:I22"/>
    <mergeCell ref="J22:K22"/>
    <mergeCell ref="A26:N26"/>
    <mergeCell ref="C40:E40"/>
    <mergeCell ref="F40:G40"/>
    <mergeCell ref="H40:I40"/>
    <mergeCell ref="J40:K40"/>
    <mergeCell ref="L40:L46"/>
    <mergeCell ref="C38:L38"/>
    <mergeCell ref="C39:E39"/>
    <mergeCell ref="F39:G39"/>
    <mergeCell ref="H39:I39"/>
    <mergeCell ref="J39:K39"/>
    <mergeCell ref="C41:E41"/>
    <mergeCell ref="F41:G41"/>
    <mergeCell ref="H41:I41"/>
    <mergeCell ref="J41:K41"/>
    <mergeCell ref="C42:E42"/>
    <mergeCell ref="F42:G42"/>
    <mergeCell ref="H42:I42"/>
    <mergeCell ref="J42:K42"/>
    <mergeCell ref="C43:E43"/>
    <mergeCell ref="F43:G43"/>
    <mergeCell ref="H43:I43"/>
    <mergeCell ref="J43:K43"/>
    <mergeCell ref="C46:E46"/>
    <mergeCell ref="F46:G46"/>
    <mergeCell ref="H46:I46"/>
    <mergeCell ref="J46:K46"/>
    <mergeCell ref="C44:E44"/>
    <mergeCell ref="F44:G44"/>
    <mergeCell ref="H44:I44"/>
    <mergeCell ref="J44:K44"/>
    <mergeCell ref="C45:E45"/>
    <mergeCell ref="F45:G45"/>
    <mergeCell ref="H45:I45"/>
    <mergeCell ref="J45:K45"/>
  </mergeCells>
  <conditionalFormatting sqref="B10:C10">
    <cfRule type="cellIs" dxfId="71" priority="11" operator="notEqual">
      <formula>0</formula>
    </cfRule>
    <cfRule type="cellIs" dxfId="70" priority="12" operator="equal">
      <formula>0</formula>
    </cfRule>
  </conditionalFormatting>
  <conditionalFormatting sqref="B34:C34">
    <cfRule type="cellIs" dxfId="69" priority="5" operator="notEqual">
      <formula>0</formula>
    </cfRule>
    <cfRule type="cellIs" dxfId="68" priority="6" operator="equal">
      <formula>0</formula>
    </cfRule>
  </conditionalFormatting>
  <conditionalFormatting sqref="G10:H10">
    <cfRule type="cellIs" dxfId="67" priority="7" operator="notEqual">
      <formula>0</formula>
    </cfRule>
    <cfRule type="cellIs" dxfId="66" priority="8" operator="equal">
      <formula>0</formula>
    </cfRule>
  </conditionalFormatting>
  <conditionalFormatting sqref="G34:H34">
    <cfRule type="cellIs" dxfId="65" priority="1" operator="notEqual">
      <formula>0</formula>
    </cfRule>
    <cfRule type="cellIs" dxfId="64" priority="2" operator="equal">
      <formula>0</formula>
    </cfRule>
  </conditionalFormatting>
  <conditionalFormatting sqref="L10:M10">
    <cfRule type="cellIs" dxfId="63" priority="9" operator="notEqual">
      <formula>0</formula>
    </cfRule>
    <cfRule type="cellIs" dxfId="62" priority="10" operator="equal">
      <formula>0</formula>
    </cfRule>
  </conditionalFormatting>
  <conditionalFormatting sqref="L34:M34">
    <cfRule type="cellIs" dxfId="61" priority="3" operator="notEqual">
      <formula>0</formula>
    </cfRule>
    <cfRule type="cellIs" dxfId="60" priority="4" operator="equal">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380A2-5E1E-47A9-A611-72B87A35B99E}">
  <dimension ref="A1:N48"/>
  <sheetViews>
    <sheetView workbookViewId="0">
      <selection activeCell="A51" sqref="A51"/>
    </sheetView>
  </sheetViews>
  <sheetFormatPr defaultColWidth="9.140625" defaultRowHeight="15"/>
  <cols>
    <col min="1" max="1" width="9.140625" style="339"/>
    <col min="2" max="2" width="12.42578125" style="339" customWidth="1"/>
    <col min="3" max="3" width="13.7109375" style="339" customWidth="1"/>
    <col min="4" max="4" width="3.28515625" style="339" bestFit="1" customWidth="1"/>
    <col min="5" max="5" width="9.140625" style="339"/>
    <col min="6" max="6" width="4.28515625" style="339" customWidth="1"/>
    <col min="7" max="7" width="16.7109375" style="339" customWidth="1"/>
    <col min="8" max="8" width="13.7109375" style="339" customWidth="1"/>
    <col min="9" max="9" width="3.28515625" style="339" bestFit="1" customWidth="1"/>
    <col min="10" max="10" width="9.140625" style="339"/>
    <col min="11" max="11" width="5" style="339" customWidth="1"/>
    <col min="12" max="12" width="16" style="339" customWidth="1"/>
    <col min="13" max="13" width="16.7109375" style="339" customWidth="1"/>
    <col min="14" max="14" width="3.28515625" style="339" bestFit="1" customWidth="1"/>
    <col min="15" max="16384" width="9.140625" style="339"/>
  </cols>
  <sheetData>
    <row r="1" spans="1:14">
      <c r="A1" s="341" t="s">
        <v>272</v>
      </c>
      <c r="B1" s="342"/>
      <c r="C1" s="342"/>
      <c r="D1" s="342"/>
      <c r="E1" s="342"/>
      <c r="F1" s="342"/>
      <c r="G1" s="342"/>
      <c r="H1" s="342"/>
      <c r="I1" s="342"/>
      <c r="J1" s="342"/>
      <c r="K1" s="342"/>
      <c r="L1" s="342"/>
      <c r="M1" s="342"/>
      <c r="N1" s="343"/>
    </row>
    <row r="2" spans="1:14">
      <c r="A2" s="500" t="s">
        <v>273</v>
      </c>
      <c r="B2" s="501"/>
      <c r="C2" s="501"/>
      <c r="D2" s="501"/>
      <c r="E2" s="501"/>
      <c r="F2" s="501"/>
      <c r="G2" s="501"/>
      <c r="H2" s="501"/>
      <c r="I2" s="501"/>
      <c r="J2" s="501"/>
      <c r="K2" s="501"/>
      <c r="L2" s="501"/>
      <c r="M2" s="501"/>
      <c r="N2" s="502"/>
    </row>
    <row r="3" spans="1:14">
      <c r="A3" s="344"/>
      <c r="N3" s="389"/>
    </row>
    <row r="4" spans="1:14" ht="15.75" thickBot="1">
      <c r="A4" s="348"/>
      <c r="B4" s="514"/>
      <c r="C4" s="514"/>
      <c r="D4" s="340"/>
      <c r="E4" s="348"/>
      <c r="F4" s="340"/>
      <c r="G4" s="514"/>
      <c r="H4" s="514"/>
      <c r="I4" s="340"/>
      <c r="J4" s="348"/>
      <c r="K4" s="348"/>
      <c r="L4" s="514" t="s">
        <v>275</v>
      </c>
      <c r="M4" s="514"/>
      <c r="N4" s="389"/>
    </row>
    <row r="5" spans="1:14">
      <c r="A5" s="347"/>
      <c r="B5" s="352"/>
      <c r="C5" s="353"/>
      <c r="D5" s="347" t="s">
        <v>214</v>
      </c>
      <c r="E5" s="348"/>
      <c r="F5" s="347"/>
      <c r="G5" s="352"/>
      <c r="H5" s="353"/>
      <c r="I5" s="347" t="s">
        <v>214</v>
      </c>
      <c r="J5" s="348"/>
      <c r="K5" s="347"/>
      <c r="L5" s="352">
        <f>B5+G5</f>
        <v>0</v>
      </c>
      <c r="M5" s="353">
        <f>C5+H5</f>
        <v>0</v>
      </c>
      <c r="N5" s="389" t="s">
        <v>214</v>
      </c>
    </row>
    <row r="6" spans="1:14">
      <c r="A6" s="348"/>
      <c r="B6" s="355"/>
      <c r="C6" s="356"/>
      <c r="D6" s="348"/>
      <c r="E6" s="348"/>
      <c r="F6" s="348"/>
      <c r="G6" s="355"/>
      <c r="H6" s="356"/>
      <c r="I6" s="348"/>
      <c r="J6" s="348"/>
      <c r="K6" s="348"/>
      <c r="L6" s="355">
        <f t="shared" ref="L6:M9" si="0">B6+G6</f>
        <v>0</v>
      </c>
      <c r="M6" s="356">
        <f t="shared" si="0"/>
        <v>0</v>
      </c>
      <c r="N6" s="389"/>
    </row>
    <row r="7" spans="1:14">
      <c r="A7" s="348"/>
      <c r="B7" s="355"/>
      <c r="C7" s="356"/>
      <c r="D7" s="348"/>
      <c r="E7" s="348"/>
      <c r="F7" s="348"/>
      <c r="G7" s="355"/>
      <c r="H7" s="356"/>
      <c r="I7" s="348"/>
      <c r="J7" s="348"/>
      <c r="K7" s="348"/>
      <c r="L7" s="355">
        <f t="shared" si="0"/>
        <v>0</v>
      </c>
      <c r="M7" s="356">
        <f t="shared" si="0"/>
        <v>0</v>
      </c>
      <c r="N7" s="389"/>
    </row>
    <row r="8" spans="1:14">
      <c r="A8" s="348"/>
      <c r="B8" s="355"/>
      <c r="C8" s="356"/>
      <c r="D8" s="348"/>
      <c r="E8" s="348"/>
      <c r="F8" s="348"/>
      <c r="G8" s="355"/>
      <c r="H8" s="356"/>
      <c r="I8" s="348"/>
      <c r="J8" s="348"/>
      <c r="K8" s="348"/>
      <c r="L8" s="355">
        <f t="shared" si="0"/>
        <v>0</v>
      </c>
      <c r="M8" s="356">
        <f t="shared" si="0"/>
        <v>0</v>
      </c>
      <c r="N8" s="389"/>
    </row>
    <row r="9" spans="1:14">
      <c r="A9" s="359"/>
      <c r="B9" s="355"/>
      <c r="C9" s="356"/>
      <c r="D9" s="359"/>
      <c r="E9" s="348"/>
      <c r="F9" s="359"/>
      <c r="G9" s="355"/>
      <c r="H9" s="356"/>
      <c r="I9" s="359"/>
      <c r="J9" s="348"/>
      <c r="K9" s="359"/>
      <c r="L9" s="355">
        <f t="shared" si="0"/>
        <v>0</v>
      </c>
      <c r="M9" s="356">
        <f t="shared" si="0"/>
        <v>0</v>
      </c>
      <c r="N9" s="389"/>
    </row>
    <row r="10" spans="1:14">
      <c r="A10" s="359"/>
      <c r="B10" s="355"/>
      <c r="C10" s="360">
        <f>SUM(C5:C9)-SUM(B5:B9)-C11</f>
        <v>0</v>
      </c>
      <c r="D10" s="359"/>
      <c r="E10" s="348"/>
      <c r="F10" s="359"/>
      <c r="G10" s="355"/>
      <c r="H10" s="360">
        <f>SUM(H5:H9)-SUM(G5:G9)-H11</f>
        <v>0</v>
      </c>
      <c r="I10" s="359"/>
      <c r="J10" s="348"/>
      <c r="K10" s="359"/>
      <c r="L10" s="355"/>
      <c r="M10" s="360">
        <f>SUM(M5:M9)-SUM(L5:L9)-M11</f>
        <v>0</v>
      </c>
      <c r="N10" s="389"/>
    </row>
    <row r="11" spans="1:14" ht="15.75" thickBot="1">
      <c r="A11" s="347"/>
      <c r="B11" s="363"/>
      <c r="C11" s="364"/>
      <c r="D11" s="347" t="s">
        <v>227</v>
      </c>
      <c r="E11" s="348"/>
      <c r="F11" s="347"/>
      <c r="G11" s="363"/>
      <c r="H11" s="364"/>
      <c r="I11" s="347" t="s">
        <v>227</v>
      </c>
      <c r="J11" s="348"/>
      <c r="K11" s="347"/>
      <c r="L11" s="363"/>
      <c r="M11" s="364">
        <f>C11+H11</f>
        <v>0</v>
      </c>
      <c r="N11" s="389" t="s">
        <v>227</v>
      </c>
    </row>
    <row r="12" spans="1:14" ht="15.75" thickTop="1">
      <c r="A12" s="349"/>
      <c r="B12" s="356"/>
      <c r="C12" s="356"/>
      <c r="D12" s="347"/>
      <c r="E12" s="348"/>
      <c r="F12" s="347"/>
      <c r="G12" s="356"/>
      <c r="H12" s="356"/>
      <c r="I12" s="347"/>
      <c r="J12" s="348"/>
      <c r="K12" s="347"/>
      <c r="L12" s="356"/>
      <c r="M12" s="366"/>
      <c r="N12" s="389"/>
    </row>
    <row r="13" spans="1:14" ht="15.75" thickBot="1">
      <c r="A13" s="367"/>
      <c r="B13" s="368"/>
      <c r="C13" s="368"/>
      <c r="D13" s="368"/>
      <c r="E13" s="368"/>
      <c r="F13" s="368"/>
      <c r="G13" s="368"/>
      <c r="H13" s="368"/>
      <c r="I13" s="368"/>
      <c r="J13" s="368"/>
      <c r="K13" s="368"/>
      <c r="L13" s="368"/>
      <c r="M13" s="368"/>
      <c r="N13" s="389"/>
    </row>
    <row r="14" spans="1:14">
      <c r="A14" s="344"/>
      <c r="C14" s="509" t="s">
        <v>276</v>
      </c>
      <c r="D14" s="510"/>
      <c r="E14" s="510"/>
      <c r="F14" s="510"/>
      <c r="G14" s="510"/>
      <c r="H14" s="510"/>
      <c r="I14" s="510"/>
      <c r="J14" s="510"/>
      <c r="K14" s="510"/>
      <c r="L14" s="511"/>
      <c r="M14" s="366"/>
      <c r="N14" s="389"/>
    </row>
    <row r="15" spans="1:14" ht="15.75" thickBot="1">
      <c r="A15" s="344"/>
      <c r="C15" s="512" t="s">
        <v>277</v>
      </c>
      <c r="D15" s="513"/>
      <c r="E15" s="513"/>
      <c r="F15" s="513" t="s">
        <v>278</v>
      </c>
      <c r="G15" s="513"/>
      <c r="H15" s="513" t="s">
        <v>279</v>
      </c>
      <c r="I15" s="513"/>
      <c r="J15" s="513" t="s">
        <v>280</v>
      </c>
      <c r="K15" s="513"/>
      <c r="L15" s="370" t="s">
        <v>281</v>
      </c>
      <c r="M15" s="366"/>
      <c r="N15" s="389"/>
    </row>
    <row r="16" spans="1:14">
      <c r="A16" s="344"/>
      <c r="C16" s="503"/>
      <c r="D16" s="504"/>
      <c r="E16" s="504"/>
      <c r="F16" s="504"/>
      <c r="G16" s="504"/>
      <c r="H16" s="505"/>
      <c r="I16" s="505"/>
      <c r="J16" s="505"/>
      <c r="K16" s="505"/>
      <c r="L16" s="506">
        <f>SUM(H16:I22)-SUM(J16:K22)</f>
        <v>0</v>
      </c>
      <c r="M16" s="366"/>
      <c r="N16" s="389"/>
    </row>
    <row r="17" spans="1:14">
      <c r="A17" s="344"/>
      <c r="C17" s="499"/>
      <c r="D17" s="498"/>
      <c r="E17" s="498"/>
      <c r="F17" s="498"/>
      <c r="G17" s="498"/>
      <c r="H17" s="497"/>
      <c r="I17" s="497"/>
      <c r="J17" s="497"/>
      <c r="K17" s="497"/>
      <c r="L17" s="507"/>
      <c r="M17" s="366"/>
      <c r="N17" s="389"/>
    </row>
    <row r="18" spans="1:14">
      <c r="A18" s="344"/>
      <c r="C18" s="499"/>
      <c r="D18" s="498"/>
      <c r="E18" s="498"/>
      <c r="F18" s="498"/>
      <c r="G18" s="498"/>
      <c r="H18" s="497"/>
      <c r="I18" s="497"/>
      <c r="J18" s="497"/>
      <c r="K18" s="497"/>
      <c r="L18" s="507"/>
      <c r="M18" s="366"/>
      <c r="N18" s="389"/>
    </row>
    <row r="19" spans="1:14">
      <c r="A19" s="344"/>
      <c r="C19" s="499"/>
      <c r="D19" s="498"/>
      <c r="E19" s="498"/>
      <c r="F19" s="498"/>
      <c r="G19" s="498"/>
      <c r="H19" s="497"/>
      <c r="I19" s="497"/>
      <c r="J19" s="497"/>
      <c r="K19" s="497"/>
      <c r="L19" s="507"/>
      <c r="M19" s="366"/>
      <c r="N19" s="389"/>
    </row>
    <row r="20" spans="1:14">
      <c r="A20" s="344"/>
      <c r="C20" s="495"/>
      <c r="D20" s="496"/>
      <c r="E20" s="496"/>
      <c r="F20" s="496"/>
      <c r="G20" s="496"/>
      <c r="H20" s="497"/>
      <c r="I20" s="497"/>
      <c r="J20" s="497"/>
      <c r="K20" s="497"/>
      <c r="L20" s="507"/>
      <c r="M20" s="366"/>
      <c r="N20" s="389"/>
    </row>
    <row r="21" spans="1:14">
      <c r="A21" s="349"/>
      <c r="B21" s="356"/>
      <c r="C21" s="495"/>
      <c r="D21" s="496"/>
      <c r="E21" s="496"/>
      <c r="F21" s="496"/>
      <c r="G21" s="496"/>
      <c r="H21" s="497"/>
      <c r="I21" s="497"/>
      <c r="J21" s="497"/>
      <c r="K21" s="497"/>
      <c r="L21" s="507"/>
      <c r="M21" s="366"/>
      <c r="N21" s="389"/>
    </row>
    <row r="22" spans="1:14" ht="15.75" thickBot="1">
      <c r="A22" s="344"/>
      <c r="C22" s="492"/>
      <c r="D22" s="493"/>
      <c r="E22" s="493"/>
      <c r="F22" s="493"/>
      <c r="G22" s="493"/>
      <c r="H22" s="494"/>
      <c r="I22" s="494"/>
      <c r="J22" s="494"/>
      <c r="K22" s="494"/>
      <c r="L22" s="508"/>
      <c r="N22" s="389"/>
    </row>
    <row r="23" spans="1:14">
      <c r="A23" s="344"/>
      <c r="C23" s="372"/>
      <c r="D23" s="372"/>
      <c r="E23" s="372"/>
      <c r="F23" s="372"/>
      <c r="G23" s="372"/>
      <c r="H23" s="373"/>
      <c r="I23" s="373"/>
      <c r="J23" s="373"/>
      <c r="K23" s="373"/>
      <c r="L23" s="374"/>
      <c r="N23" s="389"/>
    </row>
    <row r="24" spans="1:14" ht="15.75" thickBot="1">
      <c r="A24" s="375"/>
      <c r="B24" s="376"/>
      <c r="C24" s="377"/>
      <c r="D24" s="377"/>
      <c r="E24" s="377"/>
      <c r="F24" s="377"/>
      <c r="G24" s="377"/>
      <c r="H24" s="378"/>
      <c r="I24" s="378"/>
      <c r="J24" s="378"/>
      <c r="K24" s="378"/>
      <c r="L24" s="379"/>
      <c r="M24" s="376"/>
      <c r="N24" s="390"/>
    </row>
    <row r="25" spans="1:14">
      <c r="A25" s="341" t="s">
        <v>282</v>
      </c>
      <c r="B25" s="342"/>
      <c r="C25" s="342"/>
      <c r="D25" s="342"/>
      <c r="E25" s="342"/>
      <c r="F25" s="342"/>
      <c r="G25" s="342"/>
      <c r="H25" s="342"/>
      <c r="I25" s="342"/>
      <c r="J25" s="342"/>
      <c r="K25" s="342"/>
      <c r="L25" s="342"/>
      <c r="M25" s="342"/>
      <c r="N25" s="343"/>
    </row>
    <row r="26" spans="1:14">
      <c r="A26" s="500" t="s">
        <v>273</v>
      </c>
      <c r="B26" s="501"/>
      <c r="C26" s="501"/>
      <c r="D26" s="501"/>
      <c r="E26" s="501"/>
      <c r="F26" s="501"/>
      <c r="G26" s="501"/>
      <c r="H26" s="501"/>
      <c r="I26" s="501"/>
      <c r="J26" s="501"/>
      <c r="K26" s="501"/>
      <c r="L26" s="501"/>
      <c r="M26" s="501"/>
      <c r="N26" s="502"/>
    </row>
    <row r="27" spans="1:14">
      <c r="A27" s="344"/>
      <c r="N27" s="389"/>
    </row>
    <row r="28" spans="1:14" ht="15.75" thickBot="1">
      <c r="A28" s="348"/>
      <c r="B28" s="514"/>
      <c r="C28" s="514"/>
      <c r="D28" s="340"/>
      <c r="E28" s="348"/>
      <c r="F28" s="340"/>
      <c r="G28" s="515"/>
      <c r="H28" s="515"/>
      <c r="I28" s="347"/>
      <c r="J28" s="348"/>
      <c r="K28" s="348"/>
      <c r="L28" s="514" t="str">
        <f>B28&amp;" , Total"</f>
        <v xml:space="preserve"> , Total</v>
      </c>
      <c r="M28" s="514"/>
      <c r="N28" s="389"/>
    </row>
    <row r="29" spans="1:14">
      <c r="A29" s="347"/>
      <c r="B29" s="352"/>
      <c r="C29" s="353"/>
      <c r="D29" s="347" t="s">
        <v>214</v>
      </c>
      <c r="E29" s="348"/>
      <c r="F29" s="347" t="s">
        <v>214</v>
      </c>
      <c r="G29" s="350"/>
      <c r="H29" s="351"/>
      <c r="I29" s="347" t="s">
        <v>214</v>
      </c>
      <c r="J29" s="348"/>
      <c r="K29" s="347" t="s">
        <v>214</v>
      </c>
      <c r="L29" s="352">
        <f>B29+G29</f>
        <v>0</v>
      </c>
      <c r="M29" s="353">
        <f>C29+H29</f>
        <v>0</v>
      </c>
      <c r="N29" s="389" t="s">
        <v>214</v>
      </c>
    </row>
    <row r="30" spans="1:14">
      <c r="A30" s="348"/>
      <c r="B30" s="355"/>
      <c r="C30" s="356"/>
      <c r="D30" s="348"/>
      <c r="E30" s="348"/>
      <c r="F30" s="348"/>
      <c r="G30" s="355"/>
      <c r="H30" s="356"/>
      <c r="I30" s="348"/>
      <c r="J30" s="348"/>
      <c r="K30" s="348"/>
      <c r="L30" s="355">
        <f t="shared" ref="L30:M33" si="1">B30+G30</f>
        <v>0</v>
      </c>
      <c r="M30" s="356">
        <f t="shared" si="1"/>
        <v>0</v>
      </c>
      <c r="N30" s="389"/>
    </row>
    <row r="31" spans="1:14">
      <c r="A31" s="348"/>
      <c r="B31" s="355"/>
      <c r="C31" s="356"/>
      <c r="D31" s="348"/>
      <c r="E31" s="348"/>
      <c r="F31" s="348"/>
      <c r="G31" s="355"/>
      <c r="H31" s="356"/>
      <c r="I31" s="348"/>
      <c r="J31" s="348"/>
      <c r="K31" s="348"/>
      <c r="L31" s="355">
        <f t="shared" si="1"/>
        <v>0</v>
      </c>
      <c r="M31" s="356">
        <f t="shared" si="1"/>
        <v>0</v>
      </c>
      <c r="N31" s="389"/>
    </row>
    <row r="32" spans="1:14">
      <c r="A32" s="348"/>
      <c r="B32" s="355"/>
      <c r="C32" s="356"/>
      <c r="D32" s="348"/>
      <c r="E32" s="348"/>
      <c r="F32" s="348"/>
      <c r="G32" s="355"/>
      <c r="H32" s="356"/>
      <c r="I32" s="348"/>
      <c r="J32" s="348"/>
      <c r="K32" s="348"/>
      <c r="L32" s="355">
        <f t="shared" si="1"/>
        <v>0</v>
      </c>
      <c r="M32" s="356">
        <f t="shared" si="1"/>
        <v>0</v>
      </c>
      <c r="N32" s="389"/>
    </row>
    <row r="33" spans="1:14">
      <c r="A33" s="359"/>
      <c r="B33" s="355"/>
      <c r="C33" s="356"/>
      <c r="D33" s="359"/>
      <c r="E33" s="348"/>
      <c r="F33" s="359"/>
      <c r="G33" s="355"/>
      <c r="H33" s="356"/>
      <c r="I33" s="359"/>
      <c r="J33" s="348"/>
      <c r="K33" s="359"/>
      <c r="L33" s="355">
        <f t="shared" si="1"/>
        <v>0</v>
      </c>
      <c r="M33" s="356">
        <f t="shared" si="1"/>
        <v>0</v>
      </c>
      <c r="N33" s="389"/>
    </row>
    <row r="34" spans="1:14">
      <c r="A34" s="359"/>
      <c r="B34" s="355"/>
      <c r="C34" s="360">
        <f>SUM(C29:C33)-SUM(B29:B33)-C35</f>
        <v>0</v>
      </c>
      <c r="D34" s="359"/>
      <c r="E34" s="348"/>
      <c r="F34" s="359"/>
      <c r="G34" s="355">
        <f>MAX(G35-SUM(G29:G33)+SUM(H30:H33),0)</f>
        <v>0</v>
      </c>
      <c r="H34" s="360">
        <f>MAX(0,SUM(G29:G34)-SUM(H30:H33)-G35)</f>
        <v>0</v>
      </c>
      <c r="I34" s="359"/>
      <c r="J34" s="348"/>
      <c r="K34" s="359"/>
      <c r="L34" s="355"/>
      <c r="M34" s="360">
        <f>SUM(M29:M33)-SUM(L29:L33)-M35</f>
        <v>0</v>
      </c>
      <c r="N34" s="389"/>
    </row>
    <row r="35" spans="1:14" ht="15.75" thickBot="1">
      <c r="A35" s="347"/>
      <c r="B35" s="363"/>
      <c r="C35" s="364"/>
      <c r="D35" s="347" t="s">
        <v>227</v>
      </c>
      <c r="E35" s="348"/>
      <c r="F35" s="347" t="s">
        <v>227</v>
      </c>
      <c r="G35" s="392"/>
      <c r="H35" s="393"/>
      <c r="I35" s="347"/>
      <c r="J35" s="348"/>
      <c r="K35" s="347"/>
      <c r="L35" s="363"/>
      <c r="M35" s="364"/>
      <c r="N35" s="389" t="s">
        <v>227</v>
      </c>
    </row>
    <row r="36" spans="1:14" ht="15.75" thickTop="1">
      <c r="A36" s="349"/>
      <c r="B36" s="356"/>
      <c r="C36" s="356"/>
      <c r="D36" s="347"/>
      <c r="E36" s="348"/>
      <c r="F36" s="347"/>
      <c r="G36" s="356"/>
      <c r="H36" s="356"/>
      <c r="I36" s="347"/>
      <c r="J36" s="348"/>
      <c r="K36" s="347"/>
      <c r="L36" s="356"/>
      <c r="M36" s="366"/>
      <c r="N36" s="389"/>
    </row>
    <row r="37" spans="1:14" ht="15.75" thickBot="1">
      <c r="A37" s="367"/>
      <c r="B37" s="368"/>
      <c r="C37" s="368"/>
      <c r="D37" s="368"/>
      <c r="E37" s="368"/>
      <c r="F37" s="368"/>
      <c r="G37" s="368"/>
      <c r="H37" s="368"/>
      <c r="I37" s="368"/>
      <c r="J37" s="368"/>
      <c r="K37" s="368"/>
      <c r="L37" s="368"/>
      <c r="M37" s="368"/>
      <c r="N37" s="389"/>
    </row>
    <row r="38" spans="1:14">
      <c r="A38" s="344"/>
      <c r="C38" s="509" t="s">
        <v>276</v>
      </c>
      <c r="D38" s="510"/>
      <c r="E38" s="510"/>
      <c r="F38" s="510"/>
      <c r="G38" s="510"/>
      <c r="H38" s="510"/>
      <c r="I38" s="510"/>
      <c r="J38" s="510"/>
      <c r="K38" s="510"/>
      <c r="L38" s="511"/>
      <c r="M38" s="366"/>
      <c r="N38" s="389"/>
    </row>
    <row r="39" spans="1:14" ht="15.75" thickBot="1">
      <c r="A39" s="344"/>
      <c r="C39" s="512" t="s">
        <v>277</v>
      </c>
      <c r="D39" s="513"/>
      <c r="E39" s="513"/>
      <c r="F39" s="513" t="s">
        <v>278</v>
      </c>
      <c r="G39" s="513"/>
      <c r="H39" s="513" t="s">
        <v>279</v>
      </c>
      <c r="I39" s="513"/>
      <c r="J39" s="513" t="s">
        <v>280</v>
      </c>
      <c r="K39" s="513"/>
      <c r="L39" s="370" t="s">
        <v>281</v>
      </c>
      <c r="M39" s="366"/>
      <c r="N39" s="389"/>
    </row>
    <row r="40" spans="1:14">
      <c r="A40" s="344"/>
      <c r="C40" s="503"/>
      <c r="D40" s="504"/>
      <c r="E40" s="504"/>
      <c r="F40" s="504"/>
      <c r="G40" s="504"/>
      <c r="H40" s="505"/>
      <c r="I40" s="505"/>
      <c r="J40" s="505"/>
      <c r="K40" s="505"/>
      <c r="L40" s="506">
        <f>SUM(H40:I46)-SUM(J40:K46)</f>
        <v>0</v>
      </c>
      <c r="M40" s="366"/>
      <c r="N40" s="389"/>
    </row>
    <row r="41" spans="1:14">
      <c r="A41" s="344"/>
      <c r="C41" s="499"/>
      <c r="D41" s="498"/>
      <c r="E41" s="498"/>
      <c r="F41" s="498"/>
      <c r="G41" s="498"/>
      <c r="H41" s="497"/>
      <c r="I41" s="497"/>
      <c r="J41" s="497"/>
      <c r="K41" s="497"/>
      <c r="L41" s="507"/>
      <c r="M41" s="366"/>
      <c r="N41" s="389"/>
    </row>
    <row r="42" spans="1:14">
      <c r="A42" s="344"/>
      <c r="C42" s="499"/>
      <c r="D42" s="498"/>
      <c r="E42" s="498"/>
      <c r="F42" s="498"/>
      <c r="G42" s="498"/>
      <c r="H42" s="497"/>
      <c r="I42" s="497"/>
      <c r="J42" s="497"/>
      <c r="K42" s="497"/>
      <c r="L42" s="507"/>
      <c r="M42" s="366"/>
      <c r="N42" s="389"/>
    </row>
    <row r="43" spans="1:14">
      <c r="A43" s="344"/>
      <c r="C43" s="499"/>
      <c r="D43" s="498"/>
      <c r="E43" s="498"/>
      <c r="F43" s="498"/>
      <c r="G43" s="498"/>
      <c r="H43" s="497"/>
      <c r="I43" s="497"/>
      <c r="J43" s="497"/>
      <c r="K43" s="497"/>
      <c r="L43" s="507"/>
      <c r="M43" s="366"/>
      <c r="N43" s="389"/>
    </row>
    <row r="44" spans="1:14">
      <c r="A44" s="344"/>
      <c r="C44" s="495"/>
      <c r="D44" s="496"/>
      <c r="E44" s="496"/>
      <c r="F44" s="496"/>
      <c r="G44" s="496"/>
      <c r="H44" s="497"/>
      <c r="I44" s="497"/>
      <c r="J44" s="497"/>
      <c r="K44" s="497"/>
      <c r="L44" s="507"/>
      <c r="M44" s="366"/>
      <c r="N44" s="389"/>
    </row>
    <row r="45" spans="1:14">
      <c r="A45" s="349"/>
      <c r="B45" s="356"/>
      <c r="C45" s="495"/>
      <c r="D45" s="496"/>
      <c r="E45" s="496"/>
      <c r="F45" s="496"/>
      <c r="G45" s="496"/>
      <c r="H45" s="497"/>
      <c r="I45" s="497"/>
      <c r="J45" s="497"/>
      <c r="K45" s="497"/>
      <c r="L45" s="507"/>
      <c r="M45" s="366"/>
      <c r="N45" s="389"/>
    </row>
    <row r="46" spans="1:14" ht="15.75" thickBot="1">
      <c r="A46" s="344"/>
      <c r="C46" s="492"/>
      <c r="D46" s="493"/>
      <c r="E46" s="493"/>
      <c r="F46" s="493"/>
      <c r="G46" s="493"/>
      <c r="H46" s="494"/>
      <c r="I46" s="494"/>
      <c r="J46" s="494"/>
      <c r="K46" s="494"/>
      <c r="L46" s="508"/>
      <c r="N46" s="389"/>
    </row>
    <row r="47" spans="1:14">
      <c r="A47" s="344"/>
      <c r="C47" s="372"/>
      <c r="D47" s="372"/>
      <c r="E47" s="372"/>
      <c r="F47" s="372"/>
      <c r="G47" s="372"/>
      <c r="H47" s="373"/>
      <c r="I47" s="373"/>
      <c r="J47" s="373"/>
      <c r="K47" s="373"/>
      <c r="L47" s="374"/>
      <c r="N47" s="389"/>
    </row>
    <row r="48" spans="1:14" ht="15.75" thickBot="1">
      <c r="A48" s="375"/>
      <c r="B48" s="376"/>
      <c r="C48" s="377"/>
      <c r="D48" s="377"/>
      <c r="E48" s="377"/>
      <c r="F48" s="377"/>
      <c r="G48" s="377"/>
      <c r="H48" s="378"/>
      <c r="I48" s="378"/>
      <c r="J48" s="378"/>
      <c r="K48" s="378"/>
      <c r="L48" s="379"/>
      <c r="M48" s="376"/>
      <c r="N48" s="391"/>
    </row>
  </sheetData>
  <mergeCells count="76">
    <mergeCell ref="C15:E15"/>
    <mergeCell ref="F15:G15"/>
    <mergeCell ref="H15:I15"/>
    <mergeCell ref="J15:K15"/>
    <mergeCell ref="A2:N2"/>
    <mergeCell ref="B4:C4"/>
    <mergeCell ref="G4:H4"/>
    <mergeCell ref="L4:M4"/>
    <mergeCell ref="C14:L14"/>
    <mergeCell ref="C16:E16"/>
    <mergeCell ref="F16:G16"/>
    <mergeCell ref="H16:I16"/>
    <mergeCell ref="J16:K16"/>
    <mergeCell ref="L16:L22"/>
    <mergeCell ref="C17:E17"/>
    <mergeCell ref="F17:G17"/>
    <mergeCell ref="H17:I17"/>
    <mergeCell ref="J17:K17"/>
    <mergeCell ref="C18:E18"/>
    <mergeCell ref="F18:G18"/>
    <mergeCell ref="H18:I18"/>
    <mergeCell ref="J18:K18"/>
    <mergeCell ref="C19:E19"/>
    <mergeCell ref="F19:G19"/>
    <mergeCell ref="H19:I19"/>
    <mergeCell ref="J19:K19"/>
    <mergeCell ref="B28:C28"/>
    <mergeCell ref="G28:H28"/>
    <mergeCell ref="L28:M28"/>
    <mergeCell ref="C20:E20"/>
    <mergeCell ref="F20:G20"/>
    <mergeCell ref="H20:I20"/>
    <mergeCell ref="J20:K20"/>
    <mergeCell ref="C21:E21"/>
    <mergeCell ref="F21:G21"/>
    <mergeCell ref="H21:I21"/>
    <mergeCell ref="J21:K21"/>
    <mergeCell ref="C22:E22"/>
    <mergeCell ref="F22:G22"/>
    <mergeCell ref="H22:I22"/>
    <mergeCell ref="J22:K22"/>
    <mergeCell ref="A26:N26"/>
    <mergeCell ref="C40:E40"/>
    <mergeCell ref="F40:G40"/>
    <mergeCell ref="H40:I40"/>
    <mergeCell ref="J40:K40"/>
    <mergeCell ref="L40:L46"/>
    <mergeCell ref="C38:L38"/>
    <mergeCell ref="C39:E39"/>
    <mergeCell ref="F39:G39"/>
    <mergeCell ref="H39:I39"/>
    <mergeCell ref="J39:K39"/>
    <mergeCell ref="C41:E41"/>
    <mergeCell ref="F41:G41"/>
    <mergeCell ref="H41:I41"/>
    <mergeCell ref="J41:K41"/>
    <mergeCell ref="C42:E42"/>
    <mergeCell ref="F42:G42"/>
    <mergeCell ref="H42:I42"/>
    <mergeCell ref="J42:K42"/>
    <mergeCell ref="C43:E43"/>
    <mergeCell ref="F43:G43"/>
    <mergeCell ref="H43:I43"/>
    <mergeCell ref="J43:K43"/>
    <mergeCell ref="C46:E46"/>
    <mergeCell ref="F46:G46"/>
    <mergeCell ref="H46:I46"/>
    <mergeCell ref="J46:K46"/>
    <mergeCell ref="C44:E44"/>
    <mergeCell ref="F44:G44"/>
    <mergeCell ref="H44:I44"/>
    <mergeCell ref="J44:K44"/>
    <mergeCell ref="C45:E45"/>
    <mergeCell ref="F45:G45"/>
    <mergeCell ref="H45:I45"/>
    <mergeCell ref="J45:K45"/>
  </mergeCells>
  <conditionalFormatting sqref="B10:C10">
    <cfRule type="cellIs" dxfId="59" priority="11" operator="notEqual">
      <formula>0</formula>
    </cfRule>
    <cfRule type="cellIs" dxfId="58" priority="12" operator="equal">
      <formula>0</formula>
    </cfRule>
  </conditionalFormatting>
  <conditionalFormatting sqref="B34:C34">
    <cfRule type="cellIs" dxfId="57" priority="7" operator="notEqual">
      <formula>0</formula>
    </cfRule>
    <cfRule type="cellIs" dxfId="56" priority="8" operator="equal">
      <formula>0</formula>
    </cfRule>
  </conditionalFormatting>
  <conditionalFormatting sqref="G10:H10">
    <cfRule type="cellIs" dxfId="55" priority="1" operator="notEqual">
      <formula>0</formula>
    </cfRule>
    <cfRule type="cellIs" dxfId="54" priority="2" operator="equal">
      <formula>0</formula>
    </cfRule>
  </conditionalFormatting>
  <conditionalFormatting sqref="G34:H34">
    <cfRule type="cellIs" dxfId="53" priority="3" operator="notEqual">
      <formula>0</formula>
    </cfRule>
    <cfRule type="cellIs" dxfId="52" priority="4" operator="equal">
      <formula>0</formula>
    </cfRule>
  </conditionalFormatting>
  <conditionalFormatting sqref="L10:M10">
    <cfRule type="cellIs" dxfId="51" priority="9" operator="notEqual">
      <formula>0</formula>
    </cfRule>
    <cfRule type="cellIs" dxfId="50" priority="10" operator="equal">
      <formula>0</formula>
    </cfRule>
  </conditionalFormatting>
  <conditionalFormatting sqref="L34:M34">
    <cfRule type="cellIs" dxfId="49" priority="5" operator="notEqual">
      <formula>0</formula>
    </cfRule>
    <cfRule type="cellIs" dxfId="48" priority="6" operator="equal">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980C1-FC56-4E0B-B89F-16B11A46F30E}">
  <dimension ref="A1:R50"/>
  <sheetViews>
    <sheetView workbookViewId="0">
      <selection activeCell="A51" sqref="A51"/>
    </sheetView>
  </sheetViews>
  <sheetFormatPr defaultColWidth="9.140625" defaultRowHeight="15"/>
  <cols>
    <col min="1" max="1" width="9.140625" style="339"/>
    <col min="2" max="2" width="12.42578125" style="339" customWidth="1"/>
    <col min="3" max="3" width="13.7109375" style="339" customWidth="1"/>
    <col min="4" max="4" width="3.28515625" style="339" bestFit="1" customWidth="1"/>
    <col min="5" max="5" width="9.140625" style="339"/>
    <col min="6" max="6" width="4.28515625" style="339" customWidth="1"/>
    <col min="7" max="7" width="16.7109375" style="339" customWidth="1"/>
    <col min="8" max="8" width="13.7109375" style="339" customWidth="1"/>
    <col min="9" max="9" width="3.28515625" style="339" bestFit="1" customWidth="1"/>
    <col min="10" max="10" width="14.7109375" style="339" customWidth="1"/>
    <col min="11" max="11" width="5" style="339" customWidth="1"/>
    <col min="12" max="12" width="16" style="339" customWidth="1"/>
    <col min="13" max="13" width="16.7109375" style="339" customWidth="1"/>
    <col min="14" max="14" width="3.28515625" style="339" bestFit="1" customWidth="1"/>
    <col min="15" max="15" width="3.42578125" style="339" customWidth="1"/>
    <col min="16" max="16" width="16.7109375" style="339" customWidth="1"/>
    <col min="17" max="17" width="15.28515625" style="339" customWidth="1"/>
    <col min="18" max="18" width="3.28515625" style="339" bestFit="1" customWidth="1"/>
    <col min="19" max="19" width="6.42578125" style="339" customWidth="1"/>
    <col min="20" max="16384" width="9.140625" style="339"/>
  </cols>
  <sheetData>
    <row r="1" spans="1:18">
      <c r="A1" s="341" t="s">
        <v>272</v>
      </c>
      <c r="B1" s="342"/>
      <c r="C1" s="342"/>
      <c r="D1" s="342"/>
      <c r="E1" s="342"/>
      <c r="F1" s="342"/>
      <c r="G1" s="342"/>
      <c r="H1" s="342"/>
      <c r="I1" s="342"/>
      <c r="J1" s="342"/>
      <c r="K1" s="342"/>
      <c r="L1" s="342"/>
      <c r="M1" s="342"/>
      <c r="N1" s="394"/>
      <c r="O1" s="342"/>
      <c r="P1" s="342"/>
      <c r="Q1" s="342"/>
      <c r="R1" s="384"/>
    </row>
    <row r="2" spans="1:18">
      <c r="A2" s="500" t="s">
        <v>273</v>
      </c>
      <c r="B2" s="501"/>
      <c r="C2" s="501"/>
      <c r="D2" s="501"/>
      <c r="E2" s="501"/>
      <c r="F2" s="501"/>
      <c r="G2" s="501"/>
      <c r="H2" s="501"/>
      <c r="I2" s="501"/>
      <c r="J2" s="501"/>
      <c r="K2" s="501"/>
      <c r="L2" s="501"/>
      <c r="M2" s="501"/>
      <c r="N2" s="501"/>
      <c r="R2" s="371"/>
    </row>
    <row r="3" spans="1:18">
      <c r="A3" s="344"/>
      <c r="N3" s="395"/>
      <c r="R3" s="371"/>
    </row>
    <row r="4" spans="1:18" ht="15.75" thickBot="1">
      <c r="A4" s="354"/>
      <c r="B4" s="514" t="s">
        <v>301</v>
      </c>
      <c r="C4" s="514"/>
      <c r="D4" s="340"/>
      <c r="E4" s="348"/>
      <c r="F4" s="340"/>
      <c r="G4" s="514" t="s">
        <v>302</v>
      </c>
      <c r="H4" s="514"/>
      <c r="I4" s="340"/>
      <c r="J4" s="348"/>
      <c r="K4" s="340"/>
      <c r="L4" s="515" t="s">
        <v>303</v>
      </c>
      <c r="M4" s="515"/>
      <c r="N4" s="347"/>
      <c r="O4" s="348"/>
      <c r="P4" s="514" t="s">
        <v>304</v>
      </c>
      <c r="Q4" s="514"/>
      <c r="R4" s="389"/>
    </row>
    <row r="5" spans="1:18">
      <c r="A5" s="349"/>
      <c r="B5" s="352"/>
      <c r="C5" s="353"/>
      <c r="D5" s="347" t="s">
        <v>214</v>
      </c>
      <c r="E5" s="348"/>
      <c r="F5" s="347"/>
      <c r="G5" s="352"/>
      <c r="H5" s="353"/>
      <c r="I5" s="347" t="s">
        <v>214</v>
      </c>
      <c r="J5" s="348"/>
      <c r="K5" s="347" t="s">
        <v>214</v>
      </c>
      <c r="L5" s="350"/>
      <c r="M5" s="351"/>
      <c r="N5" s="347"/>
      <c r="O5" s="347"/>
      <c r="P5" s="352"/>
      <c r="Q5" s="353">
        <f>H5-L5+C5</f>
        <v>0</v>
      </c>
      <c r="R5" s="389" t="s">
        <v>214</v>
      </c>
    </row>
    <row r="6" spans="1:18">
      <c r="A6" s="354"/>
      <c r="B6" s="355"/>
      <c r="C6" s="356"/>
      <c r="D6" s="348"/>
      <c r="E6" s="348"/>
      <c r="F6" s="348"/>
      <c r="G6" s="355"/>
      <c r="H6" s="356"/>
      <c r="I6" s="348"/>
      <c r="J6" s="348"/>
      <c r="K6" s="348"/>
      <c r="L6" s="355"/>
      <c r="M6" s="356"/>
      <c r="N6" s="348"/>
      <c r="O6" s="348"/>
      <c r="P6" s="355">
        <f>G6+L6+B6</f>
        <v>0</v>
      </c>
      <c r="Q6" s="356">
        <f t="shared" ref="Q6:Q9" si="0">H6+M6+C6</f>
        <v>0</v>
      </c>
      <c r="R6" s="389"/>
    </row>
    <row r="7" spans="1:18">
      <c r="A7" s="354"/>
      <c r="B7" s="355"/>
      <c r="C7" s="356"/>
      <c r="D7" s="348"/>
      <c r="E7" s="348"/>
      <c r="F7" s="348"/>
      <c r="G7" s="355"/>
      <c r="H7" s="356"/>
      <c r="I7" s="348"/>
      <c r="J7" s="348"/>
      <c r="K7" s="348"/>
      <c r="L7" s="355"/>
      <c r="M7" s="356"/>
      <c r="N7" s="348"/>
      <c r="O7" s="348"/>
      <c r="P7" s="355">
        <f t="shared" ref="P7:P9" si="1">G7+L7+B7</f>
        <v>0</v>
      </c>
      <c r="Q7" s="356">
        <f t="shared" si="0"/>
        <v>0</v>
      </c>
      <c r="R7" s="389"/>
    </row>
    <row r="8" spans="1:18">
      <c r="A8" s="354"/>
      <c r="B8" s="355"/>
      <c r="C8" s="356"/>
      <c r="D8" s="348"/>
      <c r="E8" s="348"/>
      <c r="F8" s="348"/>
      <c r="G8" s="355"/>
      <c r="H8" s="356"/>
      <c r="I8" s="348"/>
      <c r="J8" s="348"/>
      <c r="K8" s="348"/>
      <c r="L8" s="355"/>
      <c r="M8" s="356"/>
      <c r="N8" s="348"/>
      <c r="O8" s="348"/>
      <c r="P8" s="355">
        <f t="shared" si="1"/>
        <v>0</v>
      </c>
      <c r="Q8" s="356">
        <f t="shared" si="0"/>
        <v>0</v>
      </c>
      <c r="R8" s="389"/>
    </row>
    <row r="9" spans="1:18">
      <c r="A9" s="358"/>
      <c r="B9" s="355"/>
      <c r="C9" s="356"/>
      <c r="D9" s="359"/>
      <c r="E9" s="348"/>
      <c r="F9" s="359"/>
      <c r="G9" s="355"/>
      <c r="H9" s="356"/>
      <c r="I9" s="359"/>
      <c r="J9" s="348"/>
      <c r="K9" s="359"/>
      <c r="L9" s="355"/>
      <c r="M9" s="356"/>
      <c r="N9" s="359"/>
      <c r="O9" s="359"/>
      <c r="P9" s="355">
        <f t="shared" si="1"/>
        <v>0</v>
      </c>
      <c r="Q9" s="356">
        <f t="shared" si="0"/>
        <v>0</v>
      </c>
      <c r="R9" s="389"/>
    </row>
    <row r="10" spans="1:18">
      <c r="A10" s="358"/>
      <c r="B10" s="355"/>
      <c r="C10" s="360">
        <f>SUM(C5:C9)-SUM(B5:B9)-C11</f>
        <v>0</v>
      </c>
      <c r="D10" s="359"/>
      <c r="E10" s="348"/>
      <c r="F10" s="359"/>
      <c r="G10" s="355"/>
      <c r="H10" s="360">
        <f>SUM(H5:H9)-SUM(G5:G9)-H11</f>
        <v>0</v>
      </c>
      <c r="I10" s="359"/>
      <c r="J10" s="348"/>
      <c r="K10" s="359"/>
      <c r="L10" s="355">
        <f>MAX(L11-SUM(L5:L9)+SUM(M6:M9),0)</f>
        <v>0</v>
      </c>
      <c r="M10" s="360">
        <f>MAX(0,SUM(L5:L10)-SUM(M6:M9)-L11)</f>
        <v>0</v>
      </c>
      <c r="N10" s="359"/>
      <c r="O10" s="359"/>
      <c r="P10" s="355"/>
      <c r="Q10" s="360">
        <f>SUM(Q5:Q9)-SUM(P5:P9)-Q11</f>
        <v>0</v>
      </c>
      <c r="R10" s="389"/>
    </row>
    <row r="11" spans="1:18" ht="15.75" thickBot="1">
      <c r="A11" s="349"/>
      <c r="B11" s="363"/>
      <c r="C11" s="364"/>
      <c r="D11" s="347" t="s">
        <v>227</v>
      </c>
      <c r="E11" s="348"/>
      <c r="F11" s="347"/>
      <c r="G11" s="363"/>
      <c r="H11" s="364"/>
      <c r="I11" s="347" t="s">
        <v>227</v>
      </c>
      <c r="J11" s="348"/>
      <c r="K11" s="347" t="s">
        <v>227</v>
      </c>
      <c r="L11" s="361">
        <f>SUM(L5:L9)-SUM(M6:M9)</f>
        <v>0</v>
      </c>
      <c r="M11" s="362"/>
      <c r="N11" s="347"/>
      <c r="O11" s="347"/>
      <c r="P11" s="363"/>
      <c r="Q11" s="364">
        <f>H11-L11+C11</f>
        <v>0</v>
      </c>
      <c r="R11" s="389" t="s">
        <v>227</v>
      </c>
    </row>
    <row r="12" spans="1:18" ht="15.75" thickTop="1">
      <c r="A12" s="349"/>
      <c r="B12" s="356"/>
      <c r="C12" s="356"/>
      <c r="D12" s="347"/>
      <c r="E12" s="348"/>
      <c r="F12" s="347"/>
      <c r="G12" s="356"/>
      <c r="H12" s="356"/>
      <c r="I12" s="347"/>
      <c r="J12" s="348"/>
      <c r="K12" s="347"/>
      <c r="L12" s="356"/>
      <c r="M12" s="366"/>
      <c r="N12" s="395"/>
      <c r="R12" s="371"/>
    </row>
    <row r="13" spans="1:18" ht="15.75" thickBot="1">
      <c r="A13" s="367"/>
      <c r="B13" s="368"/>
      <c r="C13" s="368"/>
      <c r="D13" s="368"/>
      <c r="E13" s="368"/>
      <c r="F13" s="368"/>
      <c r="G13" s="368"/>
      <c r="H13" s="368"/>
      <c r="I13" s="368"/>
      <c r="J13" s="368"/>
      <c r="K13" s="368"/>
      <c r="L13" s="368"/>
      <c r="M13" s="368"/>
      <c r="N13" s="395"/>
      <c r="R13" s="371"/>
    </row>
    <row r="14" spans="1:18">
      <c r="A14" s="344"/>
      <c r="C14" s="509" t="s">
        <v>276</v>
      </c>
      <c r="D14" s="510"/>
      <c r="E14" s="510"/>
      <c r="F14" s="510"/>
      <c r="G14" s="510"/>
      <c r="H14" s="510"/>
      <c r="I14" s="510"/>
      <c r="J14" s="510"/>
      <c r="K14" s="510"/>
      <c r="L14" s="511"/>
      <c r="M14" s="366"/>
      <c r="N14" s="395"/>
      <c r="R14" s="371"/>
    </row>
    <row r="15" spans="1:18" ht="15.75" thickBot="1">
      <c r="A15" s="344"/>
      <c r="C15" s="512" t="s">
        <v>277</v>
      </c>
      <c r="D15" s="513"/>
      <c r="E15" s="513"/>
      <c r="F15" s="513" t="s">
        <v>278</v>
      </c>
      <c r="G15" s="513"/>
      <c r="H15" s="513" t="s">
        <v>279</v>
      </c>
      <c r="I15" s="513"/>
      <c r="J15" s="513" t="s">
        <v>280</v>
      </c>
      <c r="K15" s="513"/>
      <c r="L15" s="370" t="s">
        <v>281</v>
      </c>
      <c r="M15" s="366"/>
      <c r="N15" s="395"/>
      <c r="R15" s="371"/>
    </row>
    <row r="16" spans="1:18">
      <c r="A16" s="344"/>
      <c r="C16" s="503"/>
      <c r="D16" s="504"/>
      <c r="E16" s="504"/>
      <c r="F16" s="504"/>
      <c r="G16" s="504"/>
      <c r="H16" s="505"/>
      <c r="I16" s="505"/>
      <c r="J16" s="505"/>
      <c r="K16" s="505"/>
      <c r="L16" s="506">
        <f>SUM(H16:I23)-SUM(J16:K23)</f>
        <v>0</v>
      </c>
      <c r="M16" s="366"/>
      <c r="N16" s="395"/>
      <c r="R16" s="371"/>
    </row>
    <row r="17" spans="1:18">
      <c r="A17" s="344"/>
      <c r="C17" s="499"/>
      <c r="D17" s="498"/>
      <c r="E17" s="498"/>
      <c r="F17" s="498"/>
      <c r="G17" s="498"/>
      <c r="H17" s="497"/>
      <c r="I17" s="497"/>
      <c r="J17" s="497"/>
      <c r="K17" s="497"/>
      <c r="L17" s="507"/>
      <c r="M17" s="366"/>
      <c r="N17" s="395"/>
      <c r="R17" s="371"/>
    </row>
    <row r="18" spans="1:18">
      <c r="A18" s="344"/>
      <c r="C18" s="499"/>
      <c r="D18" s="498"/>
      <c r="E18" s="498"/>
      <c r="F18" s="498"/>
      <c r="G18" s="498"/>
      <c r="H18" s="497"/>
      <c r="I18" s="497"/>
      <c r="J18" s="497"/>
      <c r="K18" s="497"/>
      <c r="L18" s="507"/>
      <c r="M18" s="366"/>
      <c r="N18" s="395"/>
      <c r="R18" s="371"/>
    </row>
    <row r="19" spans="1:18">
      <c r="A19" s="344"/>
      <c r="C19" s="499"/>
      <c r="D19" s="498"/>
      <c r="E19" s="498"/>
      <c r="F19" s="498"/>
      <c r="G19" s="498"/>
      <c r="H19" s="497"/>
      <c r="I19" s="497"/>
      <c r="J19" s="497"/>
      <c r="K19" s="497"/>
      <c r="L19" s="507"/>
      <c r="M19" s="366"/>
      <c r="N19" s="395"/>
      <c r="R19" s="371"/>
    </row>
    <row r="20" spans="1:18">
      <c r="A20" s="344"/>
      <c r="C20" s="495"/>
      <c r="D20" s="496"/>
      <c r="E20" s="496"/>
      <c r="F20" s="498"/>
      <c r="G20" s="498"/>
      <c r="H20" s="497"/>
      <c r="I20" s="497"/>
      <c r="J20" s="497"/>
      <c r="K20" s="497"/>
      <c r="L20" s="507"/>
      <c r="M20" s="366"/>
      <c r="N20" s="395"/>
      <c r="R20" s="371"/>
    </row>
    <row r="21" spans="1:18">
      <c r="A21" s="344"/>
      <c r="C21" s="499"/>
      <c r="D21" s="498"/>
      <c r="E21" s="498"/>
      <c r="F21" s="498"/>
      <c r="G21" s="498"/>
      <c r="H21" s="518"/>
      <c r="I21" s="518"/>
      <c r="J21" s="519"/>
      <c r="K21" s="519"/>
      <c r="L21" s="507"/>
      <c r="M21" s="366"/>
      <c r="N21" s="395"/>
      <c r="R21" s="371"/>
    </row>
    <row r="22" spans="1:18">
      <c r="A22" s="349"/>
      <c r="B22" s="356"/>
      <c r="C22" s="499"/>
      <c r="D22" s="498"/>
      <c r="E22" s="498"/>
      <c r="F22" s="496"/>
      <c r="G22" s="496"/>
      <c r="H22" s="497"/>
      <c r="I22" s="497"/>
      <c r="J22" s="497"/>
      <c r="K22" s="497"/>
      <c r="L22" s="507"/>
      <c r="M22" s="366"/>
      <c r="N22" s="395"/>
      <c r="R22" s="371"/>
    </row>
    <row r="23" spans="1:18" ht="15.75" thickBot="1">
      <c r="A23" s="344"/>
      <c r="C23" s="492"/>
      <c r="D23" s="493"/>
      <c r="E23" s="493"/>
      <c r="F23" s="516"/>
      <c r="G23" s="516"/>
      <c r="H23" s="494"/>
      <c r="I23" s="494"/>
      <c r="J23" s="494"/>
      <c r="K23" s="494"/>
      <c r="L23" s="508"/>
      <c r="N23" s="395"/>
      <c r="R23" s="371"/>
    </row>
    <row r="24" spans="1:18">
      <c r="A24" s="344"/>
      <c r="C24" s="372"/>
      <c r="D24" s="372"/>
      <c r="E24" s="372"/>
      <c r="F24" s="372"/>
      <c r="G24" s="372"/>
      <c r="H24" s="373"/>
      <c r="I24" s="373"/>
      <c r="J24" s="373"/>
      <c r="K24" s="373"/>
      <c r="L24" s="374"/>
      <c r="N24" s="395"/>
      <c r="R24" s="371"/>
    </row>
    <row r="25" spans="1:18" ht="15.75" thickBot="1">
      <c r="A25" s="375"/>
      <c r="B25" s="376"/>
      <c r="C25" s="377"/>
      <c r="D25" s="377"/>
      <c r="E25" s="377"/>
      <c r="F25" s="377"/>
      <c r="G25" s="377"/>
      <c r="H25" s="378"/>
      <c r="I25" s="378"/>
      <c r="J25" s="378"/>
      <c r="K25" s="378"/>
      <c r="L25" s="379"/>
      <c r="M25" s="376"/>
      <c r="N25" s="396"/>
      <c r="O25" s="376"/>
      <c r="P25" s="376"/>
      <c r="Q25" s="376"/>
      <c r="R25" s="380"/>
    </row>
    <row r="26" spans="1:18">
      <c r="A26" s="341" t="s">
        <v>282</v>
      </c>
      <c r="B26" s="342"/>
      <c r="C26" s="342"/>
      <c r="D26" s="342"/>
      <c r="E26" s="342"/>
      <c r="F26" s="342"/>
      <c r="G26" s="342"/>
      <c r="H26" s="342"/>
      <c r="I26" s="342"/>
      <c r="J26" s="342"/>
      <c r="K26" s="342"/>
      <c r="L26" s="342"/>
      <c r="M26" s="342"/>
      <c r="N26" s="394"/>
      <c r="O26" s="342"/>
      <c r="P26" s="342"/>
      <c r="Q26" s="342"/>
      <c r="R26" s="384"/>
    </row>
    <row r="27" spans="1:18">
      <c r="A27" s="500" t="s">
        <v>273</v>
      </c>
      <c r="B27" s="501"/>
      <c r="C27" s="501"/>
      <c r="D27" s="501"/>
      <c r="E27" s="501"/>
      <c r="F27" s="501"/>
      <c r="G27" s="501"/>
      <c r="H27" s="501"/>
      <c r="I27" s="501"/>
      <c r="J27" s="501"/>
      <c r="K27" s="501"/>
      <c r="L27" s="501"/>
      <c r="M27" s="501"/>
      <c r="N27" s="501"/>
      <c r="R27" s="371"/>
    </row>
    <row r="28" spans="1:18">
      <c r="A28" s="344"/>
      <c r="N28" s="395"/>
      <c r="R28" s="371"/>
    </row>
    <row r="29" spans="1:18" ht="15.75" thickBot="1">
      <c r="A29" s="354"/>
      <c r="B29" s="514" t="s">
        <v>301</v>
      </c>
      <c r="C29" s="514"/>
      <c r="D29" s="340"/>
      <c r="E29" s="348"/>
      <c r="F29" s="340"/>
      <c r="G29" s="514" t="s">
        <v>302</v>
      </c>
      <c r="H29" s="514"/>
      <c r="I29" s="340"/>
      <c r="J29" s="348"/>
      <c r="K29" s="340"/>
      <c r="L29" s="515" t="s">
        <v>303</v>
      </c>
      <c r="M29" s="515"/>
      <c r="N29" s="347"/>
      <c r="O29" s="348"/>
      <c r="P29" s="514" t="s">
        <v>304</v>
      </c>
      <c r="Q29" s="514"/>
      <c r="R29" s="389"/>
    </row>
    <row r="30" spans="1:18">
      <c r="A30" s="349"/>
      <c r="B30" s="352"/>
      <c r="C30" s="353"/>
      <c r="D30" s="347" t="s">
        <v>214</v>
      </c>
      <c r="E30" s="348"/>
      <c r="F30" s="347"/>
      <c r="G30" s="352"/>
      <c r="H30" s="353"/>
      <c r="I30" s="347" t="s">
        <v>214</v>
      </c>
      <c r="J30" s="348"/>
      <c r="K30" s="347" t="s">
        <v>214</v>
      </c>
      <c r="L30" s="350"/>
      <c r="M30" s="351"/>
      <c r="N30" s="347"/>
      <c r="O30" s="347"/>
      <c r="P30" s="352"/>
      <c r="Q30" s="353">
        <f>H30-L30+C30</f>
        <v>0</v>
      </c>
      <c r="R30" s="389" t="s">
        <v>214</v>
      </c>
    </row>
    <row r="31" spans="1:18">
      <c r="A31" s="354"/>
      <c r="B31" s="355"/>
      <c r="C31" s="356"/>
      <c r="D31" s="348"/>
      <c r="E31" s="348"/>
      <c r="F31" s="348"/>
      <c r="G31" s="355"/>
      <c r="H31" s="356"/>
      <c r="I31" s="348"/>
      <c r="J31" s="348"/>
      <c r="K31" s="348"/>
      <c r="L31" s="355"/>
      <c r="M31" s="356"/>
      <c r="N31" s="348"/>
      <c r="O31" s="348"/>
      <c r="P31" s="355">
        <f>G31+L31+B31</f>
        <v>0</v>
      </c>
      <c r="Q31" s="356">
        <f t="shared" ref="Q31:Q34" si="2">H31+M31+C31</f>
        <v>0</v>
      </c>
      <c r="R31" s="389"/>
    </row>
    <row r="32" spans="1:18">
      <c r="A32" s="354"/>
      <c r="B32" s="355"/>
      <c r="C32" s="356"/>
      <c r="D32" s="348"/>
      <c r="E32" s="348"/>
      <c r="F32" s="348"/>
      <c r="G32" s="355"/>
      <c r="H32" s="356"/>
      <c r="I32" s="348"/>
      <c r="J32" s="348"/>
      <c r="K32" s="348"/>
      <c r="L32" s="355"/>
      <c r="M32" s="356"/>
      <c r="N32" s="348"/>
      <c r="O32" s="348"/>
      <c r="P32" s="355">
        <f t="shared" ref="P32:P34" si="3">G32+L32+B32</f>
        <v>0</v>
      </c>
      <c r="Q32" s="356">
        <f t="shared" si="2"/>
        <v>0</v>
      </c>
      <c r="R32" s="389"/>
    </row>
    <row r="33" spans="1:18">
      <c r="A33" s="354"/>
      <c r="B33" s="355"/>
      <c r="C33" s="356"/>
      <c r="D33" s="348"/>
      <c r="E33" s="348"/>
      <c r="F33" s="348"/>
      <c r="G33" s="355"/>
      <c r="H33" s="356"/>
      <c r="I33" s="348"/>
      <c r="J33" s="348"/>
      <c r="K33" s="348"/>
      <c r="L33" s="355"/>
      <c r="M33" s="356"/>
      <c r="N33" s="348"/>
      <c r="O33" s="348"/>
      <c r="P33" s="355">
        <f t="shared" si="3"/>
        <v>0</v>
      </c>
      <c r="Q33" s="356">
        <f t="shared" si="2"/>
        <v>0</v>
      </c>
      <c r="R33" s="389"/>
    </row>
    <row r="34" spans="1:18">
      <c r="A34" s="358"/>
      <c r="B34" s="355"/>
      <c r="C34" s="356"/>
      <c r="D34" s="359"/>
      <c r="E34" s="348"/>
      <c r="F34" s="359"/>
      <c r="G34" s="355"/>
      <c r="H34" s="356"/>
      <c r="I34" s="359"/>
      <c r="J34" s="348"/>
      <c r="K34" s="359"/>
      <c r="L34" s="355"/>
      <c r="M34" s="356"/>
      <c r="N34" s="359"/>
      <c r="O34" s="359"/>
      <c r="P34" s="355">
        <f t="shared" si="3"/>
        <v>0</v>
      </c>
      <c r="Q34" s="356">
        <f t="shared" si="2"/>
        <v>0</v>
      </c>
      <c r="R34" s="389"/>
    </row>
    <row r="35" spans="1:18">
      <c r="A35" s="358"/>
      <c r="B35" s="355"/>
      <c r="C35" s="360">
        <f>SUM(C30:C34)-SUM(B30:B34)-C36</f>
        <v>0</v>
      </c>
      <c r="D35" s="359"/>
      <c r="E35" s="348"/>
      <c r="F35" s="359"/>
      <c r="G35" s="355"/>
      <c r="H35" s="360">
        <f>SUM(H30:H34)-SUM(G30:G34)-H36</f>
        <v>0</v>
      </c>
      <c r="I35" s="359"/>
      <c r="J35" s="348"/>
      <c r="K35" s="359"/>
      <c r="L35" s="355">
        <f>MAX(L36-SUM(L30:L34)+SUM(M31:M34),0)</f>
        <v>0</v>
      </c>
      <c r="M35" s="360">
        <f>MAX(0,SUM(L30:L35)-SUM(M31:M34)-L36)</f>
        <v>0</v>
      </c>
      <c r="N35" s="359"/>
      <c r="O35" s="359"/>
      <c r="P35" s="355"/>
      <c r="Q35" s="360">
        <f>SUM(Q30:Q34)-SUM(P30:P34)-Q36</f>
        <v>0</v>
      </c>
      <c r="R35" s="389"/>
    </row>
    <row r="36" spans="1:18" ht="15.75" thickBot="1">
      <c r="A36" s="349"/>
      <c r="B36" s="363"/>
      <c r="C36" s="364"/>
      <c r="D36" s="347" t="s">
        <v>227</v>
      </c>
      <c r="E36" s="348"/>
      <c r="F36" s="347"/>
      <c r="G36" s="363"/>
      <c r="H36" s="364"/>
      <c r="I36" s="347" t="s">
        <v>227</v>
      </c>
      <c r="J36" s="348"/>
      <c r="K36" s="347" t="s">
        <v>227</v>
      </c>
      <c r="L36" s="361">
        <f>SUM(L30:L34)-SUM(M31:M34)</f>
        <v>0</v>
      </c>
      <c r="M36" s="362"/>
      <c r="N36" s="347"/>
      <c r="O36" s="347"/>
      <c r="P36" s="363"/>
      <c r="Q36" s="364">
        <f>H36-L36+C36</f>
        <v>0</v>
      </c>
      <c r="R36" s="389" t="s">
        <v>227</v>
      </c>
    </row>
    <row r="37" spans="1:18" ht="15.75" thickTop="1">
      <c r="A37" s="349"/>
      <c r="B37" s="356"/>
      <c r="C37" s="356"/>
      <c r="D37" s="347"/>
      <c r="E37" s="348"/>
      <c r="F37" s="347"/>
      <c r="G37" s="356"/>
      <c r="H37" s="356"/>
      <c r="I37" s="347"/>
      <c r="J37" s="348"/>
      <c r="K37" s="347"/>
      <c r="L37" s="356"/>
      <c r="M37" s="366"/>
      <c r="N37" s="395"/>
      <c r="R37" s="371"/>
    </row>
    <row r="38" spans="1:18" ht="15.75" thickBot="1">
      <c r="A38" s="367"/>
      <c r="B38" s="368"/>
      <c r="C38" s="368"/>
      <c r="D38" s="368"/>
      <c r="E38" s="368"/>
      <c r="F38" s="368"/>
      <c r="G38" s="368"/>
      <c r="H38" s="368"/>
      <c r="I38" s="368"/>
      <c r="J38" s="368"/>
      <c r="K38" s="368"/>
      <c r="L38" s="368"/>
      <c r="M38" s="368"/>
      <c r="N38" s="395"/>
      <c r="R38" s="371"/>
    </row>
    <row r="39" spans="1:18">
      <c r="A39" s="344"/>
      <c r="C39" s="509" t="s">
        <v>276</v>
      </c>
      <c r="D39" s="510"/>
      <c r="E39" s="510"/>
      <c r="F39" s="510"/>
      <c r="G39" s="510"/>
      <c r="H39" s="510"/>
      <c r="I39" s="510"/>
      <c r="J39" s="510"/>
      <c r="K39" s="510"/>
      <c r="L39" s="511"/>
      <c r="M39" s="366"/>
      <c r="N39" s="395"/>
      <c r="R39" s="371"/>
    </row>
    <row r="40" spans="1:18" ht="15.75" thickBot="1">
      <c r="A40" s="344"/>
      <c r="C40" s="512" t="s">
        <v>277</v>
      </c>
      <c r="D40" s="513"/>
      <c r="E40" s="513"/>
      <c r="F40" s="513" t="s">
        <v>278</v>
      </c>
      <c r="G40" s="513"/>
      <c r="H40" s="513" t="s">
        <v>279</v>
      </c>
      <c r="I40" s="513"/>
      <c r="J40" s="513" t="s">
        <v>280</v>
      </c>
      <c r="K40" s="513"/>
      <c r="L40" s="370" t="s">
        <v>281</v>
      </c>
      <c r="M40" s="366"/>
      <c r="N40" s="395"/>
      <c r="R40" s="371"/>
    </row>
    <row r="41" spans="1:18">
      <c r="A41" s="344"/>
      <c r="C41" s="503"/>
      <c r="D41" s="504"/>
      <c r="E41" s="504"/>
      <c r="F41" s="504"/>
      <c r="G41" s="504"/>
      <c r="H41" s="505"/>
      <c r="I41" s="505"/>
      <c r="J41" s="505"/>
      <c r="K41" s="505"/>
      <c r="L41" s="506">
        <f>SUM(H41:I48)-SUM(J41:K48)</f>
        <v>0</v>
      </c>
      <c r="M41" s="366"/>
      <c r="N41" s="395"/>
      <c r="R41" s="371"/>
    </row>
    <row r="42" spans="1:18">
      <c r="A42" s="344"/>
      <c r="C42" s="499"/>
      <c r="D42" s="498"/>
      <c r="E42" s="498"/>
      <c r="F42" s="498"/>
      <c r="G42" s="498"/>
      <c r="H42" s="497"/>
      <c r="I42" s="497"/>
      <c r="J42" s="497"/>
      <c r="K42" s="497"/>
      <c r="L42" s="507"/>
      <c r="M42" s="366"/>
      <c r="N42" s="395"/>
      <c r="R42" s="371"/>
    </row>
    <row r="43" spans="1:18">
      <c r="A43" s="344"/>
      <c r="C43" s="499"/>
      <c r="D43" s="498"/>
      <c r="E43" s="498"/>
      <c r="F43" s="498"/>
      <c r="G43" s="498"/>
      <c r="H43" s="497"/>
      <c r="I43" s="497"/>
      <c r="J43" s="497"/>
      <c r="K43" s="497"/>
      <c r="L43" s="507"/>
      <c r="M43" s="366"/>
      <c r="N43" s="395"/>
      <c r="R43" s="371"/>
    </row>
    <row r="44" spans="1:18">
      <c r="A44" s="344"/>
      <c r="C44" s="499"/>
      <c r="D44" s="498"/>
      <c r="E44" s="498"/>
      <c r="F44" s="498"/>
      <c r="G44" s="498"/>
      <c r="H44" s="497"/>
      <c r="I44" s="497"/>
      <c r="J44" s="497"/>
      <c r="K44" s="497"/>
      <c r="L44" s="507"/>
      <c r="M44" s="366"/>
      <c r="N44" s="395"/>
      <c r="R44" s="371"/>
    </row>
    <row r="45" spans="1:18">
      <c r="A45" s="344"/>
      <c r="C45" s="495"/>
      <c r="D45" s="496"/>
      <c r="E45" s="496"/>
      <c r="F45" s="498"/>
      <c r="G45" s="498"/>
      <c r="H45" s="497"/>
      <c r="I45" s="497"/>
      <c r="J45" s="497"/>
      <c r="K45" s="497"/>
      <c r="L45" s="507"/>
      <c r="M45" s="366"/>
      <c r="N45" s="395"/>
      <c r="R45" s="371"/>
    </row>
    <row r="46" spans="1:18">
      <c r="A46" s="344"/>
      <c r="C46" s="499"/>
      <c r="D46" s="498"/>
      <c r="E46" s="498"/>
      <c r="F46" s="498"/>
      <c r="G46" s="498"/>
      <c r="H46" s="518"/>
      <c r="I46" s="518"/>
      <c r="J46" s="519"/>
      <c r="K46" s="519"/>
      <c r="L46" s="507"/>
      <c r="M46" s="366"/>
      <c r="N46" s="395"/>
      <c r="R46" s="371"/>
    </row>
    <row r="47" spans="1:18">
      <c r="A47" s="349"/>
      <c r="B47" s="356"/>
      <c r="C47" s="499"/>
      <c r="D47" s="498"/>
      <c r="E47" s="498"/>
      <c r="F47" s="496"/>
      <c r="G47" s="496"/>
      <c r="H47" s="497"/>
      <c r="I47" s="497"/>
      <c r="J47" s="497"/>
      <c r="K47" s="497"/>
      <c r="L47" s="507"/>
      <c r="M47" s="366"/>
      <c r="N47" s="395"/>
      <c r="R47" s="371"/>
    </row>
    <row r="48" spans="1:18" ht="15.75" thickBot="1">
      <c r="A48" s="344"/>
      <c r="C48" s="492"/>
      <c r="D48" s="493"/>
      <c r="E48" s="493"/>
      <c r="F48" s="516"/>
      <c r="G48" s="516"/>
      <c r="H48" s="494"/>
      <c r="I48" s="494"/>
      <c r="J48" s="494"/>
      <c r="K48" s="494"/>
      <c r="L48" s="508"/>
      <c r="N48" s="395"/>
      <c r="R48" s="371"/>
    </row>
    <row r="49" spans="1:18">
      <c r="A49" s="344"/>
      <c r="C49" s="372"/>
      <c r="D49" s="372"/>
      <c r="E49" s="372"/>
      <c r="F49" s="372"/>
      <c r="G49" s="372"/>
      <c r="H49" s="373"/>
      <c r="I49" s="373"/>
      <c r="J49" s="373"/>
      <c r="K49" s="373"/>
      <c r="L49" s="374"/>
      <c r="N49" s="395"/>
      <c r="R49" s="371"/>
    </row>
    <row r="50" spans="1:18" ht="15.75" thickBot="1">
      <c r="A50" s="375"/>
      <c r="B50" s="376"/>
      <c r="C50" s="377"/>
      <c r="D50" s="377"/>
      <c r="E50" s="377"/>
      <c r="F50" s="377"/>
      <c r="G50" s="377"/>
      <c r="H50" s="378"/>
      <c r="I50" s="378"/>
      <c r="J50" s="378"/>
      <c r="K50" s="378"/>
      <c r="L50" s="379"/>
      <c r="M50" s="376"/>
      <c r="N50" s="396"/>
      <c r="O50" s="376"/>
      <c r="P50" s="376"/>
      <c r="Q50" s="376"/>
      <c r="R50" s="380"/>
    </row>
  </sheetData>
  <mergeCells count="86">
    <mergeCell ref="A2:N2"/>
    <mergeCell ref="B4:C4"/>
    <mergeCell ref="G4:H4"/>
    <mergeCell ref="L4:M4"/>
    <mergeCell ref="P4:Q4"/>
    <mergeCell ref="C15:E15"/>
    <mergeCell ref="F15:G15"/>
    <mergeCell ref="H15:I15"/>
    <mergeCell ref="J15:K15"/>
    <mergeCell ref="C14:L14"/>
    <mergeCell ref="C16:E16"/>
    <mergeCell ref="F16:G16"/>
    <mergeCell ref="H16:I16"/>
    <mergeCell ref="J16:K16"/>
    <mergeCell ref="F19:G19"/>
    <mergeCell ref="H19:I19"/>
    <mergeCell ref="J19:K19"/>
    <mergeCell ref="C20:E20"/>
    <mergeCell ref="F20:G20"/>
    <mergeCell ref="H20:I20"/>
    <mergeCell ref="J20:K20"/>
    <mergeCell ref="C19:E19"/>
    <mergeCell ref="H21:I21"/>
    <mergeCell ref="J21:K21"/>
    <mergeCell ref="C22:E22"/>
    <mergeCell ref="F22:G22"/>
    <mergeCell ref="H22:I22"/>
    <mergeCell ref="J22:K22"/>
    <mergeCell ref="C23:E23"/>
    <mergeCell ref="F23:G23"/>
    <mergeCell ref="H23:I23"/>
    <mergeCell ref="J23:K23"/>
    <mergeCell ref="A27:N27"/>
    <mergeCell ref="L16:L23"/>
    <mergeCell ref="C17:E17"/>
    <mergeCell ref="F17:G17"/>
    <mergeCell ref="H17:I17"/>
    <mergeCell ref="J17:K17"/>
    <mergeCell ref="C18:E18"/>
    <mergeCell ref="F18:G18"/>
    <mergeCell ref="H18:I18"/>
    <mergeCell ref="J18:K18"/>
    <mergeCell ref="C21:E21"/>
    <mergeCell ref="F21:G21"/>
    <mergeCell ref="P29:Q29"/>
    <mergeCell ref="C39:L39"/>
    <mergeCell ref="C40:E40"/>
    <mergeCell ref="F40:G40"/>
    <mergeCell ref="H40:I40"/>
    <mergeCell ref="J40:K40"/>
    <mergeCell ref="B29:C29"/>
    <mergeCell ref="G29:H29"/>
    <mergeCell ref="L29:M29"/>
    <mergeCell ref="C41:E41"/>
    <mergeCell ref="F41:G41"/>
    <mergeCell ref="H41:I41"/>
    <mergeCell ref="J41:K41"/>
    <mergeCell ref="L41:L48"/>
    <mergeCell ref="C42:E42"/>
    <mergeCell ref="F42:G42"/>
    <mergeCell ref="H42:I42"/>
    <mergeCell ref="J42:K42"/>
    <mergeCell ref="C43:E43"/>
    <mergeCell ref="F43:G43"/>
    <mergeCell ref="H43:I43"/>
    <mergeCell ref="J43:K43"/>
    <mergeCell ref="C44:E44"/>
    <mergeCell ref="F44:G44"/>
    <mergeCell ref="H44:I44"/>
    <mergeCell ref="J44:K44"/>
    <mergeCell ref="C45:E45"/>
    <mergeCell ref="F45:G45"/>
    <mergeCell ref="H45:I45"/>
    <mergeCell ref="J45:K45"/>
    <mergeCell ref="C48:E48"/>
    <mergeCell ref="F48:G48"/>
    <mergeCell ref="H48:I48"/>
    <mergeCell ref="J48:K48"/>
    <mergeCell ref="C46:E46"/>
    <mergeCell ref="F46:G46"/>
    <mergeCell ref="H46:I46"/>
    <mergeCell ref="J46:K46"/>
    <mergeCell ref="C47:E47"/>
    <mergeCell ref="F47:G47"/>
    <mergeCell ref="H47:I47"/>
    <mergeCell ref="J47:K47"/>
  </mergeCells>
  <conditionalFormatting sqref="B10:C10">
    <cfRule type="cellIs" dxfId="47" priority="15" operator="notEqual">
      <formula>0</formula>
    </cfRule>
    <cfRule type="cellIs" dxfId="46" priority="16" operator="equal">
      <formula>0</formula>
    </cfRule>
  </conditionalFormatting>
  <conditionalFormatting sqref="B35:C35">
    <cfRule type="cellIs" dxfId="45" priority="7" operator="notEqual">
      <formula>0</formula>
    </cfRule>
    <cfRule type="cellIs" dxfId="44" priority="8" operator="equal">
      <formula>0</formula>
    </cfRule>
  </conditionalFormatting>
  <conditionalFormatting sqref="G10:H10">
    <cfRule type="cellIs" dxfId="43" priority="11" operator="notEqual">
      <formula>0</formula>
    </cfRule>
    <cfRule type="cellIs" dxfId="42" priority="12" operator="equal">
      <formula>0</formula>
    </cfRule>
  </conditionalFormatting>
  <conditionalFormatting sqref="G35:H35">
    <cfRule type="cellIs" dxfId="41" priority="3" operator="notEqual">
      <formula>0</formula>
    </cfRule>
    <cfRule type="cellIs" dxfId="40" priority="4" operator="equal">
      <formula>0</formula>
    </cfRule>
  </conditionalFormatting>
  <conditionalFormatting sqref="L10:M10">
    <cfRule type="cellIs" dxfId="39" priority="9" operator="notEqual">
      <formula>0</formula>
    </cfRule>
    <cfRule type="cellIs" dxfId="38" priority="10" operator="equal">
      <formula>0</formula>
    </cfRule>
  </conditionalFormatting>
  <conditionalFormatting sqref="L35:M35">
    <cfRule type="cellIs" dxfId="37" priority="1" operator="notEqual">
      <formula>0</formula>
    </cfRule>
    <cfRule type="cellIs" dxfId="36" priority="2" operator="equal">
      <formula>0</formula>
    </cfRule>
  </conditionalFormatting>
  <conditionalFormatting sqref="P10:Q10">
    <cfRule type="cellIs" dxfId="35" priority="13" operator="notEqual">
      <formula>0</formula>
    </cfRule>
    <cfRule type="cellIs" dxfId="34" priority="14" operator="equal">
      <formula>0</formula>
    </cfRule>
  </conditionalFormatting>
  <conditionalFormatting sqref="P35:Q35">
    <cfRule type="cellIs" dxfId="33" priority="5" operator="notEqual">
      <formula>0</formula>
    </cfRule>
    <cfRule type="cellIs" dxfId="32" priority="6" operator="equal">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2EB75-2FAF-4E4B-B8A6-64ECFEC4F8D7}">
  <dimension ref="A1:R50"/>
  <sheetViews>
    <sheetView workbookViewId="0">
      <selection activeCell="C5" sqref="C5"/>
    </sheetView>
  </sheetViews>
  <sheetFormatPr defaultColWidth="9.140625" defaultRowHeight="15"/>
  <cols>
    <col min="1" max="1" width="9.140625" style="339"/>
    <col min="2" max="2" width="13.28515625" style="339" customWidth="1"/>
    <col min="3" max="3" width="13.140625" style="339" customWidth="1"/>
    <col min="4" max="4" width="3.42578125" style="339" customWidth="1"/>
    <col min="5" max="5" width="11.42578125" style="339" customWidth="1"/>
    <col min="6" max="6" width="3.42578125" style="339" customWidth="1"/>
    <col min="7" max="7" width="15.7109375" style="339" customWidth="1"/>
    <col min="8" max="8" width="14.42578125" style="339" customWidth="1"/>
    <col min="9" max="9" width="3.42578125" style="339" customWidth="1"/>
    <col min="10" max="10" width="17.7109375" style="339" customWidth="1"/>
    <col min="11" max="11" width="4.140625" style="339" customWidth="1"/>
    <col min="12" max="12" width="15.28515625" style="339" customWidth="1"/>
    <col min="13" max="13" width="17.28515625" style="339" customWidth="1"/>
    <col min="14" max="14" width="4.7109375" style="339" customWidth="1"/>
    <col min="15" max="15" width="4.42578125" style="339" customWidth="1"/>
    <col min="16" max="16" width="9.7109375" style="339" customWidth="1"/>
    <col min="17" max="17" width="10.7109375" style="339" customWidth="1"/>
    <col min="18" max="18" width="3.28515625" style="339" bestFit="1" customWidth="1"/>
    <col min="19" max="16384" width="9.140625" style="339"/>
  </cols>
  <sheetData>
    <row r="1" spans="1:18">
      <c r="A1" s="341" t="s">
        <v>272</v>
      </c>
      <c r="B1" s="342"/>
      <c r="C1" s="342"/>
      <c r="D1" s="342"/>
      <c r="E1" s="342"/>
      <c r="F1" s="342"/>
      <c r="G1" s="342"/>
      <c r="H1" s="342"/>
      <c r="I1" s="342"/>
      <c r="J1" s="342"/>
      <c r="K1" s="342"/>
      <c r="L1" s="342"/>
      <c r="M1" s="342"/>
      <c r="N1" s="394"/>
      <c r="O1" s="342"/>
      <c r="P1" s="342"/>
      <c r="Q1" s="342"/>
      <c r="R1" s="384"/>
    </row>
    <row r="2" spans="1:18">
      <c r="A2" s="500" t="s">
        <v>273</v>
      </c>
      <c r="B2" s="501"/>
      <c r="C2" s="501"/>
      <c r="D2" s="501"/>
      <c r="E2" s="501"/>
      <c r="F2" s="501"/>
      <c r="G2" s="501"/>
      <c r="H2" s="501"/>
      <c r="I2" s="501"/>
      <c r="J2" s="501"/>
      <c r="K2" s="501"/>
      <c r="L2" s="501"/>
      <c r="M2" s="501"/>
      <c r="N2" s="501"/>
      <c r="R2" s="371"/>
    </row>
    <row r="3" spans="1:18">
      <c r="A3" s="344"/>
      <c r="N3" s="395"/>
      <c r="R3" s="371"/>
    </row>
    <row r="4" spans="1:18" ht="15.75" thickBot="1">
      <c r="A4" s="354"/>
      <c r="B4" s="514" t="s">
        <v>305</v>
      </c>
      <c r="C4" s="514"/>
      <c r="D4" s="340"/>
      <c r="E4" s="348"/>
      <c r="F4" s="340"/>
      <c r="G4" s="514" t="s">
        <v>306</v>
      </c>
      <c r="H4" s="514"/>
      <c r="I4" s="340"/>
      <c r="J4" s="348"/>
      <c r="K4" s="340"/>
      <c r="L4" s="515" t="s">
        <v>303</v>
      </c>
      <c r="M4" s="515"/>
      <c r="N4" s="347"/>
      <c r="O4" s="348"/>
      <c r="P4" s="514" t="s">
        <v>304</v>
      </c>
      <c r="Q4" s="514"/>
      <c r="R4" s="389"/>
    </row>
    <row r="5" spans="1:18">
      <c r="A5" s="349"/>
      <c r="B5" s="352"/>
      <c r="C5" s="353"/>
      <c r="D5" s="347" t="s">
        <v>214</v>
      </c>
      <c r="E5" s="348"/>
      <c r="F5" s="347"/>
      <c r="G5" s="352"/>
      <c r="H5" s="353"/>
      <c r="I5" s="347" t="s">
        <v>214</v>
      </c>
      <c r="J5" s="348"/>
      <c r="K5" s="347" t="s">
        <v>214</v>
      </c>
      <c r="L5" s="350"/>
      <c r="M5" s="351"/>
      <c r="N5" s="347"/>
      <c r="O5" s="347"/>
      <c r="P5" s="352"/>
      <c r="Q5" s="353">
        <f>H5-L5+C5</f>
        <v>0</v>
      </c>
      <c r="R5" s="389" t="s">
        <v>214</v>
      </c>
    </row>
    <row r="6" spans="1:18">
      <c r="A6" s="354"/>
      <c r="B6" s="355"/>
      <c r="C6" s="356"/>
      <c r="D6" s="348"/>
      <c r="E6" s="348"/>
      <c r="F6" s="348"/>
      <c r="G6" s="355"/>
      <c r="H6" s="356"/>
      <c r="I6" s="348"/>
      <c r="J6" s="348"/>
      <c r="K6" s="348"/>
      <c r="L6" s="355"/>
      <c r="M6" s="356"/>
      <c r="N6" s="348"/>
      <c r="O6" s="348"/>
      <c r="P6" s="355">
        <f>G6+L6+B6</f>
        <v>0</v>
      </c>
      <c r="Q6" s="356">
        <f t="shared" ref="Q6:Q9" si="0">H6+M6+C6</f>
        <v>0</v>
      </c>
      <c r="R6" s="389"/>
    </row>
    <row r="7" spans="1:18">
      <c r="A7" s="354"/>
      <c r="B7" s="355"/>
      <c r="C7" s="356"/>
      <c r="D7" s="348"/>
      <c r="E7" s="348"/>
      <c r="F7" s="348"/>
      <c r="G7" s="355"/>
      <c r="H7" s="356"/>
      <c r="I7" s="348"/>
      <c r="J7" s="348"/>
      <c r="K7" s="348"/>
      <c r="L7" s="355"/>
      <c r="M7" s="356"/>
      <c r="N7" s="348"/>
      <c r="O7" s="348"/>
      <c r="P7" s="355">
        <f t="shared" ref="P7:P9" si="1">G7+L7+B7</f>
        <v>0</v>
      </c>
      <c r="Q7" s="356">
        <f t="shared" si="0"/>
        <v>0</v>
      </c>
      <c r="R7" s="389"/>
    </row>
    <row r="8" spans="1:18">
      <c r="A8" s="354"/>
      <c r="B8" s="355"/>
      <c r="C8" s="356"/>
      <c r="D8" s="348"/>
      <c r="E8" s="348"/>
      <c r="F8" s="348"/>
      <c r="G8" s="355"/>
      <c r="H8" s="356"/>
      <c r="I8" s="348"/>
      <c r="J8" s="348"/>
      <c r="K8" s="348"/>
      <c r="L8" s="355"/>
      <c r="M8" s="356"/>
      <c r="N8" s="348"/>
      <c r="O8" s="348"/>
      <c r="P8" s="355">
        <f t="shared" si="1"/>
        <v>0</v>
      </c>
      <c r="Q8" s="356">
        <f t="shared" si="0"/>
        <v>0</v>
      </c>
      <c r="R8" s="389"/>
    </row>
    <row r="9" spans="1:18">
      <c r="A9" s="358"/>
      <c r="B9" s="355"/>
      <c r="C9" s="356"/>
      <c r="D9" s="359"/>
      <c r="E9" s="348"/>
      <c r="F9" s="359"/>
      <c r="G9" s="355"/>
      <c r="H9" s="356"/>
      <c r="I9" s="359"/>
      <c r="J9" s="348"/>
      <c r="K9" s="359"/>
      <c r="L9" s="355"/>
      <c r="M9" s="356"/>
      <c r="N9" s="359"/>
      <c r="O9" s="359"/>
      <c r="P9" s="355">
        <f t="shared" si="1"/>
        <v>0</v>
      </c>
      <c r="Q9" s="356">
        <f t="shared" si="0"/>
        <v>0</v>
      </c>
      <c r="R9" s="389"/>
    </row>
    <row r="10" spans="1:18">
      <c r="A10" s="358"/>
      <c r="B10" s="355"/>
      <c r="C10" s="360">
        <f>SUM(C5:C9)-SUM(B5:B9)-C11</f>
        <v>0</v>
      </c>
      <c r="D10" s="359"/>
      <c r="E10" s="348"/>
      <c r="F10" s="359"/>
      <c r="G10" s="355"/>
      <c r="H10" s="360">
        <f>SUM(H5:H9)-SUM(G5:G9)-H11</f>
        <v>0</v>
      </c>
      <c r="I10" s="359"/>
      <c r="J10" s="348"/>
      <c r="K10" s="359"/>
      <c r="L10" s="355">
        <f>MAX(L11-SUM(L5:L9)+SUM(M6:M9),0)</f>
        <v>0</v>
      </c>
      <c r="M10" s="360">
        <f>MAX(0,SUM(L5:L10)-SUM(M6:M9)-L11)</f>
        <v>0</v>
      </c>
      <c r="N10" s="359"/>
      <c r="O10" s="359"/>
      <c r="P10" s="355"/>
      <c r="Q10" s="360">
        <f>SUM(Q5:Q9)-SUM(P5:P9)-Q11</f>
        <v>0</v>
      </c>
      <c r="R10" s="389"/>
    </row>
    <row r="11" spans="1:18" ht="15.75" thickBot="1">
      <c r="A11" s="349"/>
      <c r="B11" s="363"/>
      <c r="C11" s="364"/>
      <c r="D11" s="347" t="s">
        <v>227</v>
      </c>
      <c r="E11" s="348"/>
      <c r="F11" s="347"/>
      <c r="G11" s="363"/>
      <c r="H11" s="364"/>
      <c r="I11" s="347" t="s">
        <v>227</v>
      </c>
      <c r="J11" s="348"/>
      <c r="K11" s="347" t="s">
        <v>227</v>
      </c>
      <c r="L11" s="361">
        <f>SUM(L5:L9)-SUM(M6:M9)</f>
        <v>0</v>
      </c>
      <c r="M11" s="362"/>
      <c r="N11" s="347"/>
      <c r="O11" s="347"/>
      <c r="P11" s="363"/>
      <c r="Q11" s="364">
        <f>H11-L11+C11</f>
        <v>0</v>
      </c>
      <c r="R11" s="389" t="s">
        <v>227</v>
      </c>
    </row>
    <row r="12" spans="1:18" ht="15.75" thickTop="1">
      <c r="A12" s="349"/>
      <c r="B12" s="356"/>
      <c r="C12" s="356"/>
      <c r="D12" s="347"/>
      <c r="E12" s="348"/>
      <c r="F12" s="347"/>
      <c r="G12" s="356"/>
      <c r="H12" s="356"/>
      <c r="I12" s="347"/>
      <c r="J12" s="348"/>
      <c r="K12" s="347"/>
      <c r="L12" s="356"/>
      <c r="M12" s="366"/>
      <c r="N12" s="395"/>
      <c r="R12" s="371"/>
    </row>
    <row r="13" spans="1:18" ht="15.75" thickBot="1">
      <c r="A13" s="367"/>
      <c r="B13" s="368"/>
      <c r="C13" s="368"/>
      <c r="D13" s="368"/>
      <c r="E13" s="368"/>
      <c r="F13" s="368"/>
      <c r="G13" s="368"/>
      <c r="H13" s="368"/>
      <c r="I13" s="368"/>
      <c r="J13" s="368"/>
      <c r="K13" s="368"/>
      <c r="L13" s="368"/>
      <c r="M13" s="368"/>
      <c r="N13" s="395"/>
      <c r="R13" s="371"/>
    </row>
    <row r="14" spans="1:18">
      <c r="A14" s="344"/>
      <c r="C14" s="509" t="s">
        <v>276</v>
      </c>
      <c r="D14" s="510"/>
      <c r="E14" s="510"/>
      <c r="F14" s="510"/>
      <c r="G14" s="510"/>
      <c r="H14" s="510"/>
      <c r="I14" s="510"/>
      <c r="J14" s="510"/>
      <c r="K14" s="510"/>
      <c r="L14" s="511"/>
      <c r="M14" s="366"/>
      <c r="N14" s="395"/>
      <c r="R14" s="371"/>
    </row>
    <row r="15" spans="1:18" ht="15.75" thickBot="1">
      <c r="A15" s="344"/>
      <c r="C15" s="512" t="s">
        <v>277</v>
      </c>
      <c r="D15" s="513"/>
      <c r="E15" s="513"/>
      <c r="F15" s="513" t="s">
        <v>278</v>
      </c>
      <c r="G15" s="513"/>
      <c r="H15" s="513" t="s">
        <v>279</v>
      </c>
      <c r="I15" s="513"/>
      <c r="J15" s="513" t="s">
        <v>280</v>
      </c>
      <c r="K15" s="513"/>
      <c r="L15" s="370" t="s">
        <v>281</v>
      </c>
      <c r="M15" s="366"/>
      <c r="N15" s="395"/>
      <c r="R15" s="371"/>
    </row>
    <row r="16" spans="1:18">
      <c r="A16" s="344"/>
      <c r="C16" s="503"/>
      <c r="D16" s="504"/>
      <c r="E16" s="504"/>
      <c r="F16" s="504"/>
      <c r="G16" s="504"/>
      <c r="H16" s="505"/>
      <c r="I16" s="505"/>
      <c r="J16" s="505"/>
      <c r="K16" s="505"/>
      <c r="L16" s="506">
        <f>SUM(H16:I23)-SUM(J16:K23)</f>
        <v>0</v>
      </c>
      <c r="M16" s="366"/>
      <c r="N16" s="395"/>
      <c r="R16" s="371"/>
    </row>
    <row r="17" spans="1:18">
      <c r="A17" s="344"/>
      <c r="C17" s="499"/>
      <c r="D17" s="498"/>
      <c r="E17" s="498"/>
      <c r="F17" s="498"/>
      <c r="G17" s="498"/>
      <c r="H17" s="497"/>
      <c r="I17" s="497"/>
      <c r="J17" s="497"/>
      <c r="K17" s="497"/>
      <c r="L17" s="507"/>
      <c r="M17" s="366"/>
      <c r="N17" s="395"/>
      <c r="R17" s="371"/>
    </row>
    <row r="18" spans="1:18">
      <c r="A18" s="344"/>
      <c r="C18" s="499"/>
      <c r="D18" s="498"/>
      <c r="E18" s="498"/>
      <c r="F18" s="498"/>
      <c r="G18" s="498"/>
      <c r="H18" s="497"/>
      <c r="I18" s="497"/>
      <c r="J18" s="497"/>
      <c r="K18" s="497"/>
      <c r="L18" s="507"/>
      <c r="M18" s="366"/>
      <c r="N18" s="395"/>
      <c r="R18" s="371"/>
    </row>
    <row r="19" spans="1:18">
      <c r="A19" s="344"/>
      <c r="C19" s="499"/>
      <c r="D19" s="498"/>
      <c r="E19" s="498"/>
      <c r="F19" s="498"/>
      <c r="G19" s="498"/>
      <c r="H19" s="497"/>
      <c r="I19" s="497"/>
      <c r="J19" s="497"/>
      <c r="K19" s="497"/>
      <c r="L19" s="507"/>
      <c r="M19" s="366"/>
      <c r="N19" s="395"/>
      <c r="R19" s="371"/>
    </row>
    <row r="20" spans="1:18">
      <c r="A20" s="344"/>
      <c r="C20" s="495"/>
      <c r="D20" s="496"/>
      <c r="E20" s="496"/>
      <c r="F20" s="498"/>
      <c r="G20" s="498"/>
      <c r="H20" s="497"/>
      <c r="I20" s="497"/>
      <c r="J20" s="497"/>
      <c r="K20" s="497"/>
      <c r="L20" s="507"/>
      <c r="M20" s="366"/>
      <c r="N20" s="395"/>
      <c r="R20" s="371"/>
    </row>
    <row r="21" spans="1:18">
      <c r="A21" s="344"/>
      <c r="C21" s="499"/>
      <c r="D21" s="498"/>
      <c r="E21" s="498"/>
      <c r="F21" s="498"/>
      <c r="G21" s="498"/>
      <c r="H21" s="518"/>
      <c r="I21" s="518"/>
      <c r="J21" s="519"/>
      <c r="K21" s="519"/>
      <c r="L21" s="507"/>
      <c r="M21" s="366"/>
      <c r="N21" s="395"/>
      <c r="R21" s="371"/>
    </row>
    <row r="22" spans="1:18">
      <c r="A22" s="349"/>
      <c r="B22" s="356"/>
      <c r="C22" s="499"/>
      <c r="D22" s="498"/>
      <c r="E22" s="498"/>
      <c r="F22" s="496"/>
      <c r="G22" s="496"/>
      <c r="H22" s="497"/>
      <c r="I22" s="497"/>
      <c r="J22" s="497"/>
      <c r="K22" s="497"/>
      <c r="L22" s="507"/>
      <c r="M22" s="366"/>
      <c r="N22" s="395"/>
      <c r="R22" s="371"/>
    </row>
    <row r="23" spans="1:18" ht="15.75" thickBot="1">
      <c r="A23" s="344"/>
      <c r="C23" s="492"/>
      <c r="D23" s="493"/>
      <c r="E23" s="493"/>
      <c r="F23" s="516"/>
      <c r="G23" s="516"/>
      <c r="H23" s="494"/>
      <c r="I23" s="494"/>
      <c r="J23" s="494"/>
      <c r="K23" s="494"/>
      <c r="L23" s="508"/>
      <c r="N23" s="395"/>
      <c r="R23" s="371"/>
    </row>
    <row r="24" spans="1:18">
      <c r="A24" s="344"/>
      <c r="C24" s="372"/>
      <c r="D24" s="372"/>
      <c r="E24" s="372"/>
      <c r="F24" s="372"/>
      <c r="G24" s="372"/>
      <c r="H24" s="373"/>
      <c r="I24" s="373"/>
      <c r="J24" s="373"/>
      <c r="K24" s="373"/>
      <c r="L24" s="374"/>
      <c r="N24" s="395"/>
      <c r="R24" s="371"/>
    </row>
    <row r="25" spans="1:18" ht="15.75" thickBot="1">
      <c r="A25" s="375"/>
      <c r="B25" s="376"/>
      <c r="C25" s="377"/>
      <c r="D25" s="377"/>
      <c r="E25" s="377"/>
      <c r="F25" s="377"/>
      <c r="G25" s="377"/>
      <c r="H25" s="378"/>
      <c r="I25" s="378"/>
      <c r="J25" s="378"/>
      <c r="K25" s="378"/>
      <c r="L25" s="379"/>
      <c r="M25" s="376"/>
      <c r="N25" s="396"/>
      <c r="O25" s="376"/>
      <c r="P25" s="376"/>
      <c r="Q25" s="376"/>
      <c r="R25" s="380"/>
    </row>
    <row r="26" spans="1:18">
      <c r="A26" s="341" t="s">
        <v>282</v>
      </c>
      <c r="B26" s="342"/>
      <c r="C26" s="342"/>
      <c r="D26" s="342"/>
      <c r="E26" s="342"/>
      <c r="F26" s="342"/>
      <c r="G26" s="342"/>
      <c r="H26" s="342"/>
      <c r="I26" s="342"/>
      <c r="J26" s="342"/>
      <c r="K26" s="342"/>
      <c r="L26" s="342"/>
      <c r="M26" s="342"/>
      <c r="N26" s="394"/>
      <c r="O26" s="342"/>
      <c r="P26" s="342"/>
      <c r="Q26" s="342"/>
      <c r="R26" s="384"/>
    </row>
    <row r="27" spans="1:18">
      <c r="A27" s="500" t="s">
        <v>273</v>
      </c>
      <c r="B27" s="501"/>
      <c r="C27" s="501"/>
      <c r="D27" s="501"/>
      <c r="E27" s="501"/>
      <c r="F27" s="501"/>
      <c r="G27" s="501"/>
      <c r="H27" s="501"/>
      <c r="I27" s="501"/>
      <c r="J27" s="501"/>
      <c r="K27" s="501"/>
      <c r="L27" s="501"/>
      <c r="M27" s="501"/>
      <c r="N27" s="501"/>
      <c r="R27" s="371"/>
    </row>
    <row r="28" spans="1:18">
      <c r="A28" s="344"/>
      <c r="N28" s="395"/>
      <c r="R28" s="371"/>
    </row>
    <row r="29" spans="1:18" ht="15.75" thickBot="1">
      <c r="A29" s="354"/>
      <c r="B29" s="514" t="s">
        <v>305</v>
      </c>
      <c r="C29" s="514"/>
      <c r="D29" s="340"/>
      <c r="E29" s="348"/>
      <c r="F29" s="340"/>
      <c r="G29" s="514" t="s">
        <v>306</v>
      </c>
      <c r="H29" s="514"/>
      <c r="I29" s="340"/>
      <c r="J29" s="348"/>
      <c r="K29" s="340"/>
      <c r="L29" s="515" t="s">
        <v>303</v>
      </c>
      <c r="M29" s="515"/>
      <c r="N29" s="347"/>
      <c r="O29" s="348"/>
      <c r="P29" s="514" t="s">
        <v>304</v>
      </c>
      <c r="Q29" s="514"/>
      <c r="R29" s="389"/>
    </row>
    <row r="30" spans="1:18">
      <c r="A30" s="349"/>
      <c r="B30" s="352"/>
      <c r="C30" s="353"/>
      <c r="D30" s="347" t="s">
        <v>214</v>
      </c>
      <c r="E30" s="348"/>
      <c r="F30" s="347"/>
      <c r="G30" s="352"/>
      <c r="H30" s="353"/>
      <c r="I30" s="347" t="s">
        <v>214</v>
      </c>
      <c r="J30" s="348"/>
      <c r="K30" s="347" t="s">
        <v>214</v>
      </c>
      <c r="L30" s="350"/>
      <c r="M30" s="351"/>
      <c r="N30" s="347"/>
      <c r="O30" s="347"/>
      <c r="P30" s="352"/>
      <c r="Q30" s="353">
        <f>H30-L30+C30</f>
        <v>0</v>
      </c>
      <c r="R30" s="389" t="s">
        <v>214</v>
      </c>
    </row>
    <row r="31" spans="1:18">
      <c r="A31" s="354"/>
      <c r="B31" s="355"/>
      <c r="C31" s="356"/>
      <c r="D31" s="348"/>
      <c r="E31" s="348"/>
      <c r="F31" s="348"/>
      <c r="G31" s="355"/>
      <c r="H31" s="356"/>
      <c r="I31" s="348"/>
      <c r="J31" s="348"/>
      <c r="K31" s="348"/>
      <c r="L31" s="355"/>
      <c r="M31" s="356"/>
      <c r="N31" s="348"/>
      <c r="O31" s="348"/>
      <c r="P31" s="355">
        <f>G31+L31+B31</f>
        <v>0</v>
      </c>
      <c r="Q31" s="356">
        <f t="shared" ref="Q31:Q34" si="2">H31+M31+C31</f>
        <v>0</v>
      </c>
      <c r="R31" s="389"/>
    </row>
    <row r="32" spans="1:18">
      <c r="A32" s="354"/>
      <c r="B32" s="355"/>
      <c r="C32" s="356"/>
      <c r="D32" s="348"/>
      <c r="E32" s="348"/>
      <c r="F32" s="348"/>
      <c r="G32" s="355"/>
      <c r="H32" s="356"/>
      <c r="I32" s="348"/>
      <c r="J32" s="348"/>
      <c r="K32" s="348"/>
      <c r="L32" s="355"/>
      <c r="M32" s="356"/>
      <c r="N32" s="348"/>
      <c r="O32" s="348"/>
      <c r="P32" s="355">
        <f t="shared" ref="P32:P34" si="3">G32+L32+B32</f>
        <v>0</v>
      </c>
      <c r="Q32" s="356">
        <f t="shared" si="2"/>
        <v>0</v>
      </c>
      <c r="R32" s="389"/>
    </row>
    <row r="33" spans="1:18">
      <c r="A33" s="354"/>
      <c r="B33" s="355"/>
      <c r="C33" s="356"/>
      <c r="D33" s="348"/>
      <c r="E33" s="348"/>
      <c r="F33" s="348"/>
      <c r="G33" s="355"/>
      <c r="H33" s="356"/>
      <c r="I33" s="348"/>
      <c r="J33" s="348"/>
      <c r="K33" s="348"/>
      <c r="L33" s="355"/>
      <c r="M33" s="356"/>
      <c r="N33" s="348"/>
      <c r="O33" s="348"/>
      <c r="P33" s="355">
        <f t="shared" si="3"/>
        <v>0</v>
      </c>
      <c r="Q33" s="356">
        <f t="shared" si="2"/>
        <v>0</v>
      </c>
      <c r="R33" s="389"/>
    </row>
    <row r="34" spans="1:18">
      <c r="A34" s="358"/>
      <c r="B34" s="355"/>
      <c r="C34" s="356"/>
      <c r="D34" s="359"/>
      <c r="E34" s="348"/>
      <c r="F34" s="359"/>
      <c r="G34" s="355"/>
      <c r="H34" s="356"/>
      <c r="I34" s="359"/>
      <c r="J34" s="348"/>
      <c r="K34" s="359"/>
      <c r="L34" s="355"/>
      <c r="M34" s="356"/>
      <c r="N34" s="359"/>
      <c r="O34" s="359"/>
      <c r="P34" s="355">
        <f t="shared" si="3"/>
        <v>0</v>
      </c>
      <c r="Q34" s="356">
        <f t="shared" si="2"/>
        <v>0</v>
      </c>
      <c r="R34" s="389"/>
    </row>
    <row r="35" spans="1:18">
      <c r="A35" s="358"/>
      <c r="B35" s="355"/>
      <c r="C35" s="360">
        <f>SUM(C30:C34)-SUM(B30:B34)-C36</f>
        <v>0</v>
      </c>
      <c r="D35" s="359"/>
      <c r="E35" s="348"/>
      <c r="F35" s="359"/>
      <c r="G35" s="355"/>
      <c r="H35" s="360">
        <f>SUM(H30:H34)-SUM(G30:G34)-H36</f>
        <v>0</v>
      </c>
      <c r="I35" s="359"/>
      <c r="J35" s="348"/>
      <c r="K35" s="359"/>
      <c r="L35" s="355">
        <f>MAX(L36-SUM(L30:L34)+SUM(M31:M34),0)</f>
        <v>0</v>
      </c>
      <c r="M35" s="360">
        <f>MAX(0,SUM(L30:L35)-SUM(M31:M34)-L36)</f>
        <v>0</v>
      </c>
      <c r="N35" s="359"/>
      <c r="O35" s="359"/>
      <c r="P35" s="355"/>
      <c r="Q35" s="360">
        <f>SUM(Q30:Q34)-SUM(P30:P34)-Q36</f>
        <v>0</v>
      </c>
      <c r="R35" s="389"/>
    </row>
    <row r="36" spans="1:18" ht="15.75" thickBot="1">
      <c r="A36" s="349"/>
      <c r="B36" s="363"/>
      <c r="C36" s="364"/>
      <c r="D36" s="347" t="s">
        <v>227</v>
      </c>
      <c r="E36" s="348"/>
      <c r="F36" s="347"/>
      <c r="G36" s="363"/>
      <c r="H36" s="364"/>
      <c r="I36" s="347" t="s">
        <v>227</v>
      </c>
      <c r="J36" s="348"/>
      <c r="K36" s="347" t="s">
        <v>227</v>
      </c>
      <c r="L36" s="361">
        <f>SUM(L30:L34)-SUM(M31:M34)</f>
        <v>0</v>
      </c>
      <c r="M36" s="362"/>
      <c r="N36" s="347"/>
      <c r="O36" s="347"/>
      <c r="P36" s="363"/>
      <c r="Q36" s="364">
        <f>H36-L36+C36</f>
        <v>0</v>
      </c>
      <c r="R36" s="389" t="s">
        <v>227</v>
      </c>
    </row>
    <row r="37" spans="1:18" ht="15.75" thickTop="1">
      <c r="A37" s="349"/>
      <c r="B37" s="356"/>
      <c r="C37" s="356"/>
      <c r="D37" s="347"/>
      <c r="E37" s="348"/>
      <c r="F37" s="347"/>
      <c r="G37" s="356"/>
      <c r="H37" s="356"/>
      <c r="I37" s="347"/>
      <c r="J37" s="348"/>
      <c r="K37" s="347"/>
      <c r="L37" s="356"/>
      <c r="M37" s="366"/>
      <c r="N37" s="395"/>
      <c r="R37" s="371"/>
    </row>
    <row r="38" spans="1:18" ht="15.75" thickBot="1">
      <c r="A38" s="367"/>
      <c r="B38" s="368"/>
      <c r="C38" s="368"/>
      <c r="D38" s="368"/>
      <c r="E38" s="368"/>
      <c r="F38" s="368"/>
      <c r="G38" s="368"/>
      <c r="H38" s="368"/>
      <c r="I38" s="368"/>
      <c r="J38" s="368"/>
      <c r="K38" s="368"/>
      <c r="L38" s="368"/>
      <c r="M38" s="368"/>
      <c r="N38" s="395"/>
      <c r="R38" s="371"/>
    </row>
    <row r="39" spans="1:18">
      <c r="A39" s="344"/>
      <c r="C39" s="509" t="s">
        <v>276</v>
      </c>
      <c r="D39" s="510"/>
      <c r="E39" s="510"/>
      <c r="F39" s="510"/>
      <c r="G39" s="510"/>
      <c r="H39" s="510"/>
      <c r="I39" s="510"/>
      <c r="J39" s="510"/>
      <c r="K39" s="510"/>
      <c r="L39" s="511"/>
      <c r="M39" s="366"/>
      <c r="N39" s="395"/>
      <c r="R39" s="371"/>
    </row>
    <row r="40" spans="1:18" ht="15.75" thickBot="1">
      <c r="A40" s="344"/>
      <c r="C40" s="512" t="s">
        <v>277</v>
      </c>
      <c r="D40" s="513"/>
      <c r="E40" s="513"/>
      <c r="F40" s="513" t="s">
        <v>278</v>
      </c>
      <c r="G40" s="513"/>
      <c r="H40" s="513" t="s">
        <v>279</v>
      </c>
      <c r="I40" s="513"/>
      <c r="J40" s="513" t="s">
        <v>280</v>
      </c>
      <c r="K40" s="513"/>
      <c r="L40" s="370" t="s">
        <v>281</v>
      </c>
      <c r="M40" s="366"/>
      <c r="N40" s="395"/>
      <c r="R40" s="371"/>
    </row>
    <row r="41" spans="1:18">
      <c r="A41" s="344"/>
      <c r="C41" s="503"/>
      <c r="D41" s="504"/>
      <c r="E41" s="504"/>
      <c r="F41" s="504"/>
      <c r="G41" s="504"/>
      <c r="H41" s="505"/>
      <c r="I41" s="505"/>
      <c r="J41" s="505"/>
      <c r="K41" s="505"/>
      <c r="L41" s="506">
        <f>SUM(H41:I48)-SUM(J41:K48)</f>
        <v>0</v>
      </c>
      <c r="M41" s="366"/>
      <c r="N41" s="395"/>
      <c r="R41" s="371"/>
    </row>
    <row r="42" spans="1:18">
      <c r="A42" s="344"/>
      <c r="C42" s="499"/>
      <c r="D42" s="498"/>
      <c r="E42" s="498"/>
      <c r="F42" s="498"/>
      <c r="G42" s="498"/>
      <c r="H42" s="497"/>
      <c r="I42" s="497"/>
      <c r="J42" s="497"/>
      <c r="K42" s="497"/>
      <c r="L42" s="507"/>
      <c r="M42" s="366"/>
      <c r="N42" s="395"/>
      <c r="R42" s="371"/>
    </row>
    <row r="43" spans="1:18">
      <c r="A43" s="344"/>
      <c r="C43" s="499"/>
      <c r="D43" s="498"/>
      <c r="E43" s="498"/>
      <c r="F43" s="498"/>
      <c r="G43" s="498"/>
      <c r="H43" s="497"/>
      <c r="I43" s="497"/>
      <c r="J43" s="497"/>
      <c r="K43" s="497"/>
      <c r="L43" s="507"/>
      <c r="M43" s="366"/>
      <c r="N43" s="395"/>
      <c r="R43" s="371"/>
    </row>
    <row r="44" spans="1:18">
      <c r="A44" s="344"/>
      <c r="C44" s="499"/>
      <c r="D44" s="498"/>
      <c r="E44" s="498"/>
      <c r="F44" s="498"/>
      <c r="G44" s="498"/>
      <c r="H44" s="497"/>
      <c r="I44" s="497"/>
      <c r="J44" s="497"/>
      <c r="K44" s="497"/>
      <c r="L44" s="507"/>
      <c r="M44" s="366"/>
      <c r="N44" s="395"/>
      <c r="R44" s="371"/>
    </row>
    <row r="45" spans="1:18">
      <c r="A45" s="344"/>
      <c r="C45" s="495"/>
      <c r="D45" s="496"/>
      <c r="E45" s="496"/>
      <c r="F45" s="498"/>
      <c r="G45" s="498"/>
      <c r="H45" s="497"/>
      <c r="I45" s="497"/>
      <c r="J45" s="497"/>
      <c r="K45" s="497"/>
      <c r="L45" s="507"/>
      <c r="M45" s="366"/>
      <c r="N45" s="395"/>
      <c r="R45" s="371"/>
    </row>
    <row r="46" spans="1:18">
      <c r="A46" s="344"/>
      <c r="C46" s="499"/>
      <c r="D46" s="498"/>
      <c r="E46" s="498"/>
      <c r="F46" s="498"/>
      <c r="G46" s="498"/>
      <c r="H46" s="518"/>
      <c r="I46" s="518"/>
      <c r="J46" s="519"/>
      <c r="K46" s="519"/>
      <c r="L46" s="507"/>
      <c r="M46" s="366"/>
      <c r="N46" s="395"/>
      <c r="R46" s="371"/>
    </row>
    <row r="47" spans="1:18">
      <c r="A47" s="349"/>
      <c r="B47" s="356"/>
      <c r="C47" s="499"/>
      <c r="D47" s="498"/>
      <c r="E47" s="498"/>
      <c r="F47" s="496"/>
      <c r="G47" s="496"/>
      <c r="H47" s="497"/>
      <c r="I47" s="497"/>
      <c r="J47" s="497"/>
      <c r="K47" s="497"/>
      <c r="L47" s="507"/>
      <c r="M47" s="366"/>
      <c r="N47" s="395"/>
      <c r="R47" s="371"/>
    </row>
    <row r="48" spans="1:18" ht="15.75" thickBot="1">
      <c r="A48" s="344"/>
      <c r="C48" s="492"/>
      <c r="D48" s="493"/>
      <c r="E48" s="493"/>
      <c r="F48" s="516"/>
      <c r="G48" s="516"/>
      <c r="H48" s="494"/>
      <c r="I48" s="494"/>
      <c r="J48" s="494"/>
      <c r="K48" s="494"/>
      <c r="L48" s="508"/>
      <c r="N48" s="395"/>
      <c r="R48" s="371"/>
    </row>
    <row r="49" spans="1:18">
      <c r="A49" s="344"/>
      <c r="C49" s="372"/>
      <c r="D49" s="372"/>
      <c r="E49" s="372"/>
      <c r="F49" s="372"/>
      <c r="G49" s="372"/>
      <c r="H49" s="373"/>
      <c r="I49" s="373"/>
      <c r="J49" s="373"/>
      <c r="K49" s="373"/>
      <c r="L49" s="374"/>
      <c r="N49" s="395"/>
      <c r="R49" s="371"/>
    </row>
    <row r="50" spans="1:18" ht="15.75" thickBot="1">
      <c r="A50" s="375"/>
      <c r="B50" s="376"/>
      <c r="C50" s="377"/>
      <c r="D50" s="377"/>
      <c r="E50" s="377"/>
      <c r="F50" s="377"/>
      <c r="G50" s="377"/>
      <c r="H50" s="378"/>
      <c r="I50" s="378"/>
      <c r="J50" s="378"/>
      <c r="K50" s="378"/>
      <c r="L50" s="379"/>
      <c r="M50" s="376"/>
      <c r="N50" s="396"/>
      <c r="O50" s="376"/>
      <c r="P50" s="376"/>
      <c r="Q50" s="376"/>
      <c r="R50" s="380"/>
    </row>
  </sheetData>
  <mergeCells count="86">
    <mergeCell ref="A2:N2"/>
    <mergeCell ref="B4:C4"/>
    <mergeCell ref="G4:H4"/>
    <mergeCell ref="L4:M4"/>
    <mergeCell ref="P4:Q4"/>
    <mergeCell ref="C15:E15"/>
    <mergeCell ref="F15:G15"/>
    <mergeCell ref="H15:I15"/>
    <mergeCell ref="J15:K15"/>
    <mergeCell ref="C14:L14"/>
    <mergeCell ref="C16:E16"/>
    <mergeCell ref="F16:G16"/>
    <mergeCell ref="H16:I16"/>
    <mergeCell ref="J16:K16"/>
    <mergeCell ref="F19:G19"/>
    <mergeCell ref="H19:I19"/>
    <mergeCell ref="J19:K19"/>
    <mergeCell ref="C20:E20"/>
    <mergeCell ref="F20:G20"/>
    <mergeCell ref="H20:I20"/>
    <mergeCell ref="J20:K20"/>
    <mergeCell ref="C19:E19"/>
    <mergeCell ref="H21:I21"/>
    <mergeCell ref="J21:K21"/>
    <mergeCell ref="C22:E22"/>
    <mergeCell ref="F22:G22"/>
    <mergeCell ref="H22:I22"/>
    <mergeCell ref="J22:K22"/>
    <mergeCell ref="C23:E23"/>
    <mergeCell ref="F23:G23"/>
    <mergeCell ref="H23:I23"/>
    <mergeCell ref="J23:K23"/>
    <mergeCell ref="A27:N27"/>
    <mergeCell ref="L16:L23"/>
    <mergeCell ref="C17:E17"/>
    <mergeCell ref="F17:G17"/>
    <mergeCell ref="H17:I17"/>
    <mergeCell ref="J17:K17"/>
    <mergeCell ref="C18:E18"/>
    <mergeCell ref="F18:G18"/>
    <mergeCell ref="H18:I18"/>
    <mergeCell ref="J18:K18"/>
    <mergeCell ref="C21:E21"/>
    <mergeCell ref="F21:G21"/>
    <mergeCell ref="P29:Q29"/>
    <mergeCell ref="C39:L39"/>
    <mergeCell ref="C40:E40"/>
    <mergeCell ref="F40:G40"/>
    <mergeCell ref="H40:I40"/>
    <mergeCell ref="J40:K40"/>
    <mergeCell ref="B29:C29"/>
    <mergeCell ref="G29:H29"/>
    <mergeCell ref="L29:M29"/>
    <mergeCell ref="C41:E41"/>
    <mergeCell ref="F41:G41"/>
    <mergeCell ref="H41:I41"/>
    <mergeCell ref="J41:K41"/>
    <mergeCell ref="L41:L48"/>
    <mergeCell ref="C42:E42"/>
    <mergeCell ref="F42:G42"/>
    <mergeCell ref="H42:I42"/>
    <mergeCell ref="J42:K42"/>
    <mergeCell ref="C43:E43"/>
    <mergeCell ref="F43:G43"/>
    <mergeCell ref="H43:I43"/>
    <mergeCell ref="J43:K43"/>
    <mergeCell ref="C44:E44"/>
    <mergeCell ref="F44:G44"/>
    <mergeCell ref="H44:I44"/>
    <mergeCell ref="J44:K44"/>
    <mergeCell ref="C45:E45"/>
    <mergeCell ref="F45:G45"/>
    <mergeCell ref="H45:I45"/>
    <mergeCell ref="J45:K45"/>
    <mergeCell ref="C48:E48"/>
    <mergeCell ref="F48:G48"/>
    <mergeCell ref="H48:I48"/>
    <mergeCell ref="J48:K48"/>
    <mergeCell ref="C46:E46"/>
    <mergeCell ref="F46:G46"/>
    <mergeCell ref="H46:I46"/>
    <mergeCell ref="J46:K46"/>
    <mergeCell ref="C47:E47"/>
    <mergeCell ref="F47:G47"/>
    <mergeCell ref="H47:I47"/>
    <mergeCell ref="J47:K47"/>
  </mergeCells>
  <conditionalFormatting sqref="B10:C10">
    <cfRule type="cellIs" dxfId="31" priority="15" operator="notEqual">
      <formula>0</formula>
    </cfRule>
    <cfRule type="cellIs" dxfId="30" priority="16" operator="equal">
      <formula>0</formula>
    </cfRule>
  </conditionalFormatting>
  <conditionalFormatting sqref="B35:C35">
    <cfRule type="cellIs" dxfId="29" priority="7" operator="notEqual">
      <formula>0</formula>
    </cfRule>
    <cfRule type="cellIs" dxfId="28" priority="8" operator="equal">
      <formula>0</formula>
    </cfRule>
  </conditionalFormatting>
  <conditionalFormatting sqref="G10:H10">
    <cfRule type="cellIs" dxfId="27" priority="11" operator="notEqual">
      <formula>0</formula>
    </cfRule>
    <cfRule type="cellIs" dxfId="26" priority="12" operator="equal">
      <formula>0</formula>
    </cfRule>
  </conditionalFormatting>
  <conditionalFormatting sqref="G35:H35">
    <cfRule type="cellIs" dxfId="25" priority="3" operator="notEqual">
      <formula>0</formula>
    </cfRule>
    <cfRule type="cellIs" dxfId="24" priority="4" operator="equal">
      <formula>0</formula>
    </cfRule>
  </conditionalFormatting>
  <conditionalFormatting sqref="L10:M10">
    <cfRule type="cellIs" dxfId="23" priority="9" operator="notEqual">
      <formula>0</formula>
    </cfRule>
    <cfRule type="cellIs" dxfId="22" priority="10" operator="equal">
      <formula>0</formula>
    </cfRule>
  </conditionalFormatting>
  <conditionalFormatting sqref="L35:M35">
    <cfRule type="cellIs" dxfId="21" priority="1" operator="notEqual">
      <formula>0</formula>
    </cfRule>
    <cfRule type="cellIs" dxfId="20" priority="2" operator="equal">
      <formula>0</formula>
    </cfRule>
  </conditionalFormatting>
  <conditionalFormatting sqref="P10:Q10">
    <cfRule type="cellIs" dxfId="19" priority="13" operator="notEqual">
      <formula>0</formula>
    </cfRule>
    <cfRule type="cellIs" dxfId="18" priority="14" operator="equal">
      <formula>0</formula>
    </cfRule>
  </conditionalFormatting>
  <conditionalFormatting sqref="P35:Q35">
    <cfRule type="cellIs" dxfId="17" priority="5" operator="notEqual">
      <formula>0</formula>
    </cfRule>
    <cfRule type="cellIs" dxfId="16" priority="6" operator="equal">
      <formula>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10091-B2E9-40C1-B9E5-FF243D7D75A5}">
  <dimension ref="A1:N48"/>
  <sheetViews>
    <sheetView zoomScale="130" zoomScaleNormal="130" workbookViewId="0">
      <selection activeCell="G11" sqref="G11"/>
    </sheetView>
  </sheetViews>
  <sheetFormatPr defaultColWidth="9.140625" defaultRowHeight="15"/>
  <cols>
    <col min="1" max="1" width="9.140625" style="339"/>
    <col min="2" max="2" width="12.42578125" style="339" customWidth="1"/>
    <col min="3" max="3" width="13.7109375" style="339" customWidth="1"/>
    <col min="4" max="4" width="3.28515625" style="339" bestFit="1" customWidth="1"/>
    <col min="5" max="5" width="9.140625" style="339"/>
    <col min="6" max="6" width="4.28515625" style="339" customWidth="1"/>
    <col min="7" max="7" width="16.7109375" style="339" customWidth="1"/>
    <col min="8" max="8" width="13.7109375" style="339" customWidth="1"/>
    <col min="9" max="9" width="3.28515625" style="339" bestFit="1" customWidth="1"/>
    <col min="10" max="10" width="9.140625" style="339"/>
    <col min="11" max="11" width="5" style="339" customWidth="1"/>
    <col min="12" max="12" width="16" style="339" customWidth="1"/>
    <col min="13" max="13" width="16.7109375" style="339" customWidth="1"/>
    <col min="14" max="14" width="3.28515625" style="339" bestFit="1" customWidth="1"/>
    <col min="15" max="16384" width="9.140625" style="339"/>
  </cols>
  <sheetData>
    <row r="1" spans="1:14">
      <c r="A1" s="341" t="s">
        <v>272</v>
      </c>
      <c r="B1" s="342"/>
      <c r="C1" s="342"/>
      <c r="D1" s="342"/>
      <c r="E1" s="342"/>
      <c r="F1" s="342"/>
      <c r="G1" s="342"/>
      <c r="H1" s="342"/>
      <c r="I1" s="342"/>
      <c r="J1" s="342"/>
      <c r="K1" s="342"/>
      <c r="L1" s="342"/>
      <c r="M1" s="342"/>
      <c r="N1" s="343"/>
    </row>
    <row r="2" spans="1:14">
      <c r="A2" s="500" t="s">
        <v>273</v>
      </c>
      <c r="B2" s="501"/>
      <c r="C2" s="501"/>
      <c r="D2" s="501"/>
      <c r="E2" s="501"/>
      <c r="F2" s="501"/>
      <c r="G2" s="501"/>
      <c r="H2" s="501"/>
      <c r="I2" s="501"/>
      <c r="J2" s="501"/>
      <c r="K2" s="501"/>
      <c r="L2" s="501"/>
      <c r="M2" s="501"/>
      <c r="N2" s="502"/>
    </row>
    <row r="3" spans="1:14">
      <c r="A3" s="344"/>
      <c r="N3" s="389"/>
    </row>
    <row r="4" spans="1:14" ht="15.75" thickBot="1">
      <c r="A4" s="348"/>
      <c r="B4" s="514" t="s">
        <v>56</v>
      </c>
      <c r="C4" s="514"/>
      <c r="D4" s="340"/>
      <c r="E4" s="348"/>
      <c r="F4" s="340"/>
      <c r="G4" s="514" t="s">
        <v>274</v>
      </c>
      <c r="H4" s="514"/>
      <c r="I4" s="340"/>
      <c r="J4" s="348"/>
      <c r="K4" s="348"/>
      <c r="L4" s="514" t="s">
        <v>275</v>
      </c>
      <c r="M4" s="514"/>
      <c r="N4" s="389"/>
    </row>
    <row r="5" spans="1:14">
      <c r="A5" s="347" t="s">
        <v>214</v>
      </c>
      <c r="B5" s="350">
        <v>0</v>
      </c>
      <c r="C5" s="353"/>
      <c r="D5" s="347" t="s">
        <v>214</v>
      </c>
      <c r="E5" s="348"/>
      <c r="F5" s="347" t="s">
        <v>214</v>
      </c>
      <c r="G5" s="350"/>
      <c r="H5" s="353">
        <v>0</v>
      </c>
      <c r="I5" s="347" t="s">
        <v>214</v>
      </c>
      <c r="J5" s="348"/>
      <c r="K5" s="347"/>
      <c r="L5" s="350">
        <f>B5+G5</f>
        <v>0</v>
      </c>
      <c r="M5" s="353">
        <f>C5+H5</f>
        <v>0</v>
      </c>
      <c r="N5" s="389" t="s">
        <v>214</v>
      </c>
    </row>
    <row r="6" spans="1:14">
      <c r="A6" s="348"/>
      <c r="B6" s="355"/>
      <c r="C6" s="356"/>
      <c r="D6" s="348"/>
      <c r="E6" s="348"/>
      <c r="F6" s="348"/>
      <c r="G6" s="355"/>
      <c r="H6" s="356"/>
      <c r="I6" s="348"/>
      <c r="J6" s="348"/>
      <c r="K6" s="348"/>
      <c r="L6" s="355">
        <f t="shared" ref="L6:M9" si="0">B6+G6</f>
        <v>0</v>
      </c>
      <c r="M6" s="356">
        <f t="shared" si="0"/>
        <v>0</v>
      </c>
      <c r="N6" s="389"/>
    </row>
    <row r="7" spans="1:14">
      <c r="A7" s="348"/>
      <c r="B7" s="355"/>
      <c r="C7" s="356"/>
      <c r="D7" s="348"/>
      <c r="E7" s="348"/>
      <c r="F7" s="348"/>
      <c r="G7" s="355"/>
      <c r="H7" s="356"/>
      <c r="I7" s="348"/>
      <c r="J7" s="348"/>
      <c r="K7" s="348"/>
      <c r="L7" s="355">
        <f t="shared" si="0"/>
        <v>0</v>
      </c>
      <c r="M7" s="356">
        <f t="shared" si="0"/>
        <v>0</v>
      </c>
      <c r="N7" s="389"/>
    </row>
    <row r="8" spans="1:14">
      <c r="A8" s="348"/>
      <c r="B8" s="355"/>
      <c r="C8" s="356"/>
      <c r="D8" s="348"/>
      <c r="E8" s="348"/>
      <c r="F8" s="348"/>
      <c r="G8" s="355"/>
      <c r="H8" s="356"/>
      <c r="I8" s="348"/>
      <c r="J8" s="348"/>
      <c r="K8" s="348"/>
      <c r="L8" s="355">
        <f t="shared" si="0"/>
        <v>0</v>
      </c>
      <c r="M8" s="356">
        <f t="shared" si="0"/>
        <v>0</v>
      </c>
      <c r="N8" s="389"/>
    </row>
    <row r="9" spans="1:14">
      <c r="A9" s="359"/>
      <c r="B9" s="355"/>
      <c r="C9" s="356"/>
      <c r="D9" s="359"/>
      <c r="E9" s="348"/>
      <c r="F9" s="359"/>
      <c r="G9" s="355"/>
      <c r="H9" s="356"/>
      <c r="I9" s="359"/>
      <c r="J9" s="348"/>
      <c r="K9" s="359"/>
      <c r="L9" s="355">
        <f t="shared" si="0"/>
        <v>0</v>
      </c>
      <c r="M9" s="356">
        <f t="shared" si="0"/>
        <v>0</v>
      </c>
      <c r="N9" s="389"/>
    </row>
    <row r="10" spans="1:14">
      <c r="A10" s="359"/>
      <c r="B10" s="355">
        <f>IF(B11&gt;0,MAX(SUM(C5:C9)-SUM(B5:B9)+B11,0),MAX(-SUM(B5:B9)+SUM(C5:C9)-C11,0))</f>
        <v>0</v>
      </c>
      <c r="C10" s="360">
        <f>IF(C11&gt;0,MAX(-SUM(C5:C9)+SUM(B5:B9)+C11,0),MAX(SUM(B5:B9)-SUM(C5:C9)-B11,0))</f>
        <v>0</v>
      </c>
      <c r="D10" s="359"/>
      <c r="E10" s="348"/>
      <c r="F10" s="359"/>
      <c r="G10" s="355">
        <f>IF(G11&gt;0,MAX(SUM(H5:H9)-SUM(G5:G9)+G11,0),MAX(-SUM(G5:G9)+SUM(H5:H9)-H11,0))</f>
        <v>0</v>
      </c>
      <c r="H10" s="360">
        <f>IF(H11&gt;0,MAX(-SUM(H5:H9)+SUM(G5:G9)+H11,0),MAX(SUM(G5:G9)-SUM(H5:H9)-G11,0))</f>
        <v>0</v>
      </c>
      <c r="I10" s="359"/>
      <c r="J10" s="348"/>
      <c r="K10" s="359"/>
      <c r="L10" s="355"/>
      <c r="M10" s="360">
        <f>SUM(M5:M9)-SUM(L5:L9)-M11</f>
        <v>0</v>
      </c>
      <c r="N10" s="389"/>
    </row>
    <row r="11" spans="1:14" ht="15.75" thickBot="1">
      <c r="A11" s="347" t="s">
        <v>227</v>
      </c>
      <c r="B11" s="361"/>
      <c r="C11" s="364"/>
      <c r="D11" s="347" t="s">
        <v>227</v>
      </c>
      <c r="E11" s="348"/>
      <c r="F11" s="347" t="s">
        <v>227</v>
      </c>
      <c r="G11" s="361"/>
      <c r="H11" s="364"/>
      <c r="I11" s="347" t="s">
        <v>227</v>
      </c>
      <c r="J11" s="348"/>
      <c r="K11" s="347"/>
      <c r="L11" s="361">
        <f>MAX(B11-C11+G11-H11,0)</f>
        <v>0</v>
      </c>
      <c r="M11" s="364">
        <f>MAX(C11+H11-B11-G11,0)</f>
        <v>0</v>
      </c>
      <c r="N11" s="389" t="s">
        <v>227</v>
      </c>
    </row>
    <row r="12" spans="1:14" ht="15.75" thickTop="1">
      <c r="A12" s="349"/>
      <c r="B12" s="356"/>
      <c r="C12" s="356"/>
      <c r="D12" s="347"/>
      <c r="E12" s="348"/>
      <c r="F12" s="347"/>
      <c r="G12" s="356"/>
      <c r="H12" s="356"/>
      <c r="I12" s="347"/>
      <c r="J12" s="348"/>
      <c r="K12" s="347"/>
      <c r="L12" s="356"/>
      <c r="M12" s="366"/>
      <c r="N12" s="389"/>
    </row>
    <row r="13" spans="1:14" ht="15.75" thickBot="1">
      <c r="A13" s="367"/>
      <c r="B13" s="368"/>
      <c r="C13" s="368"/>
      <c r="D13" s="368"/>
      <c r="E13" s="368"/>
      <c r="F13" s="368"/>
      <c r="G13" s="368"/>
      <c r="H13" s="368"/>
      <c r="I13" s="368"/>
      <c r="J13" s="368"/>
      <c r="K13" s="368"/>
      <c r="L13" s="368"/>
      <c r="M13" s="368"/>
      <c r="N13" s="389"/>
    </row>
    <row r="14" spans="1:14">
      <c r="A14" s="344"/>
      <c r="C14" s="509" t="s">
        <v>276</v>
      </c>
      <c r="D14" s="510"/>
      <c r="E14" s="510"/>
      <c r="F14" s="510"/>
      <c r="G14" s="510"/>
      <c r="H14" s="510"/>
      <c r="I14" s="510"/>
      <c r="J14" s="510"/>
      <c r="K14" s="510"/>
      <c r="L14" s="511"/>
      <c r="M14" s="366"/>
      <c r="N14" s="389"/>
    </row>
    <row r="15" spans="1:14" ht="15.75" thickBot="1">
      <c r="A15" s="344"/>
      <c r="C15" s="512" t="s">
        <v>277</v>
      </c>
      <c r="D15" s="513"/>
      <c r="E15" s="513"/>
      <c r="F15" s="513" t="s">
        <v>278</v>
      </c>
      <c r="G15" s="513"/>
      <c r="H15" s="513" t="s">
        <v>279</v>
      </c>
      <c r="I15" s="513"/>
      <c r="J15" s="513" t="s">
        <v>280</v>
      </c>
      <c r="K15" s="513"/>
      <c r="L15" s="370" t="s">
        <v>281</v>
      </c>
      <c r="M15" s="366"/>
      <c r="N15" s="389"/>
    </row>
    <row r="16" spans="1:14">
      <c r="A16" s="344"/>
      <c r="C16" s="503"/>
      <c r="D16" s="504"/>
      <c r="E16" s="504"/>
      <c r="F16" s="504"/>
      <c r="G16" s="504"/>
      <c r="H16" s="505"/>
      <c r="I16" s="505"/>
      <c r="J16" s="505"/>
      <c r="K16" s="505"/>
      <c r="L16" s="506">
        <f>SUM(H16:I22)-SUM(J16:K22)</f>
        <v>0</v>
      </c>
      <c r="M16" s="366"/>
      <c r="N16" s="389"/>
    </row>
    <row r="17" spans="1:14">
      <c r="A17" s="344"/>
      <c r="C17" s="499"/>
      <c r="D17" s="498"/>
      <c r="E17" s="498"/>
      <c r="F17" s="498"/>
      <c r="G17" s="498"/>
      <c r="H17" s="497"/>
      <c r="I17" s="497"/>
      <c r="J17" s="497"/>
      <c r="K17" s="497"/>
      <c r="L17" s="507"/>
      <c r="M17" s="366"/>
      <c r="N17" s="389"/>
    </row>
    <row r="18" spans="1:14">
      <c r="A18" s="344"/>
      <c r="C18" s="499"/>
      <c r="D18" s="498"/>
      <c r="E18" s="498"/>
      <c r="F18" s="498"/>
      <c r="G18" s="498"/>
      <c r="H18" s="497"/>
      <c r="I18" s="497"/>
      <c r="J18" s="497"/>
      <c r="K18" s="497"/>
      <c r="L18" s="507"/>
      <c r="M18" s="366"/>
      <c r="N18" s="389"/>
    </row>
    <row r="19" spans="1:14">
      <c r="A19" s="344"/>
      <c r="C19" s="499"/>
      <c r="D19" s="498"/>
      <c r="E19" s="498"/>
      <c r="F19" s="498"/>
      <c r="G19" s="498"/>
      <c r="H19" s="497"/>
      <c r="I19" s="497"/>
      <c r="J19" s="497"/>
      <c r="K19" s="497"/>
      <c r="L19" s="507"/>
      <c r="M19" s="366"/>
      <c r="N19" s="389"/>
    </row>
    <row r="20" spans="1:14">
      <c r="A20" s="344"/>
      <c r="C20" s="495"/>
      <c r="D20" s="496"/>
      <c r="E20" s="496"/>
      <c r="F20" s="496"/>
      <c r="G20" s="496"/>
      <c r="H20" s="497"/>
      <c r="I20" s="497"/>
      <c r="J20" s="497"/>
      <c r="K20" s="497"/>
      <c r="L20" s="507"/>
      <c r="M20" s="366"/>
      <c r="N20" s="389"/>
    </row>
    <row r="21" spans="1:14">
      <c r="A21" s="349"/>
      <c r="B21" s="356"/>
      <c r="C21" s="495"/>
      <c r="D21" s="496"/>
      <c r="E21" s="496"/>
      <c r="F21" s="496"/>
      <c r="G21" s="496"/>
      <c r="H21" s="497"/>
      <c r="I21" s="497"/>
      <c r="J21" s="497"/>
      <c r="K21" s="497"/>
      <c r="L21" s="507"/>
      <c r="M21" s="366"/>
      <c r="N21" s="389"/>
    </row>
    <row r="22" spans="1:14" ht="15.75" thickBot="1">
      <c r="A22" s="344"/>
      <c r="C22" s="492"/>
      <c r="D22" s="493"/>
      <c r="E22" s="493"/>
      <c r="F22" s="493"/>
      <c r="G22" s="493"/>
      <c r="H22" s="494"/>
      <c r="I22" s="494"/>
      <c r="J22" s="494"/>
      <c r="K22" s="494"/>
      <c r="L22" s="508"/>
      <c r="N22" s="389"/>
    </row>
    <row r="23" spans="1:14">
      <c r="A23" s="344"/>
      <c r="C23" s="372"/>
      <c r="D23" s="372"/>
      <c r="E23" s="372"/>
      <c r="F23" s="372"/>
      <c r="G23" s="372"/>
      <c r="H23" s="373"/>
      <c r="I23" s="373"/>
      <c r="J23" s="373"/>
      <c r="K23" s="373"/>
      <c r="L23" s="374"/>
      <c r="N23" s="389"/>
    </row>
    <row r="24" spans="1:14" ht="15.75" thickBot="1">
      <c r="A24" s="375"/>
      <c r="B24" s="376"/>
      <c r="C24" s="377"/>
      <c r="D24" s="377"/>
      <c r="E24" s="377"/>
      <c r="F24" s="377"/>
      <c r="G24" s="377"/>
      <c r="H24" s="378"/>
      <c r="I24" s="378"/>
      <c r="J24" s="378"/>
      <c r="K24" s="378"/>
      <c r="L24" s="379"/>
      <c r="M24" s="376"/>
      <c r="N24" s="390"/>
    </row>
    <row r="25" spans="1:14">
      <c r="A25" s="341" t="s">
        <v>282</v>
      </c>
      <c r="B25" s="342"/>
      <c r="C25" s="342"/>
      <c r="D25" s="342"/>
      <c r="E25" s="342"/>
      <c r="F25" s="342"/>
      <c r="G25" s="342"/>
      <c r="H25" s="342"/>
      <c r="I25" s="342"/>
      <c r="J25" s="342"/>
      <c r="K25" s="342"/>
      <c r="L25" s="342"/>
      <c r="M25" s="342"/>
      <c r="N25" s="343"/>
    </row>
    <row r="26" spans="1:14">
      <c r="A26" s="500" t="s">
        <v>273</v>
      </c>
      <c r="B26" s="501"/>
      <c r="C26" s="501"/>
      <c r="D26" s="501"/>
      <c r="E26" s="501"/>
      <c r="F26" s="501"/>
      <c r="G26" s="501"/>
      <c r="H26" s="501"/>
      <c r="I26" s="501"/>
      <c r="J26" s="501"/>
      <c r="K26" s="501"/>
      <c r="L26" s="501"/>
      <c r="M26" s="501"/>
      <c r="N26" s="502"/>
    </row>
    <row r="27" spans="1:14">
      <c r="A27" s="344"/>
      <c r="N27" s="389"/>
    </row>
    <row r="28" spans="1:14" ht="15.75" thickBot="1">
      <c r="A28" s="348"/>
      <c r="B28" s="514"/>
      <c r="C28" s="514"/>
      <c r="D28" s="340"/>
      <c r="E28" s="348"/>
      <c r="F28" s="340"/>
      <c r="G28" s="515"/>
      <c r="H28" s="515"/>
      <c r="I28" s="347"/>
      <c r="J28" s="348"/>
      <c r="K28" s="348"/>
      <c r="L28" s="514" t="str">
        <f>B28&amp;" , Total"</f>
        <v xml:space="preserve"> , Total</v>
      </c>
      <c r="M28" s="514"/>
      <c r="N28" s="389"/>
    </row>
    <row r="29" spans="1:14">
      <c r="A29" s="347"/>
      <c r="B29" s="352"/>
      <c r="C29" s="353"/>
      <c r="D29" s="347" t="s">
        <v>214</v>
      </c>
      <c r="E29" s="348"/>
      <c r="F29" s="347" t="s">
        <v>214</v>
      </c>
      <c r="G29" s="350"/>
      <c r="H29" s="351"/>
      <c r="I29" s="347" t="s">
        <v>214</v>
      </c>
      <c r="J29" s="348"/>
      <c r="K29" s="347" t="s">
        <v>214</v>
      </c>
      <c r="L29" s="352"/>
      <c r="M29" s="353"/>
      <c r="N29" s="389" t="s">
        <v>214</v>
      </c>
    </row>
    <row r="30" spans="1:14">
      <c r="A30" s="348"/>
      <c r="B30" s="355"/>
      <c r="C30" s="356"/>
      <c r="D30" s="348"/>
      <c r="E30" s="348"/>
      <c r="F30" s="348"/>
      <c r="G30" s="355"/>
      <c r="H30" s="356"/>
      <c r="I30" s="348"/>
      <c r="J30" s="348"/>
      <c r="K30" s="348"/>
      <c r="L30" s="355"/>
      <c r="M30" s="356"/>
      <c r="N30" s="389"/>
    </row>
    <row r="31" spans="1:14">
      <c r="A31" s="348"/>
      <c r="B31" s="355"/>
      <c r="C31" s="356"/>
      <c r="D31" s="348"/>
      <c r="E31" s="348"/>
      <c r="F31" s="348"/>
      <c r="G31" s="355"/>
      <c r="H31" s="356"/>
      <c r="I31" s="348"/>
      <c r="J31" s="348"/>
      <c r="K31" s="348"/>
      <c r="L31" s="355"/>
      <c r="M31" s="356"/>
      <c r="N31" s="389"/>
    </row>
    <row r="32" spans="1:14">
      <c r="A32" s="348"/>
      <c r="B32" s="355"/>
      <c r="C32" s="356"/>
      <c r="D32" s="348"/>
      <c r="E32" s="348"/>
      <c r="F32" s="348"/>
      <c r="G32" s="355"/>
      <c r="H32" s="356"/>
      <c r="I32" s="348"/>
      <c r="J32" s="348"/>
      <c r="K32" s="348"/>
      <c r="L32" s="355"/>
      <c r="M32" s="356"/>
      <c r="N32" s="389"/>
    </row>
    <row r="33" spans="1:14">
      <c r="A33" s="359"/>
      <c r="B33" s="355"/>
      <c r="C33" s="356"/>
      <c r="D33" s="359"/>
      <c r="E33" s="348"/>
      <c r="F33" s="359"/>
      <c r="G33" s="355"/>
      <c r="H33" s="356"/>
      <c r="I33" s="359"/>
      <c r="J33" s="348"/>
      <c r="K33" s="359"/>
      <c r="L33" s="355"/>
      <c r="M33" s="356"/>
      <c r="N33" s="389"/>
    </row>
    <row r="34" spans="1:14">
      <c r="A34" s="359"/>
      <c r="B34" s="355"/>
      <c r="C34" s="360">
        <f>SUM(C29:C33)-SUM(B29:B33)-C35</f>
        <v>0</v>
      </c>
      <c r="D34" s="359"/>
      <c r="E34" s="348"/>
      <c r="F34" s="359"/>
      <c r="G34" s="355">
        <f>MAX(G35-SUM(G29:G33)+SUM(H30:H33),0)</f>
        <v>0</v>
      </c>
      <c r="H34" s="360">
        <f>MAX(0,SUM(G29:G34)-SUM(H30:H33)-G35)</f>
        <v>0</v>
      </c>
      <c r="I34" s="359"/>
      <c r="J34" s="348"/>
      <c r="K34" s="359"/>
      <c r="L34" s="355"/>
      <c r="M34" s="360">
        <f>SUM(M29:M33)-SUM(L29:L33)-M35</f>
        <v>0</v>
      </c>
      <c r="N34" s="389"/>
    </row>
    <row r="35" spans="1:14" ht="15.75" thickBot="1">
      <c r="A35" s="347"/>
      <c r="B35" s="363"/>
      <c r="C35" s="364"/>
      <c r="D35" s="347" t="s">
        <v>227</v>
      </c>
      <c r="E35" s="348"/>
      <c r="F35" s="347" t="s">
        <v>227</v>
      </c>
      <c r="G35" s="361"/>
      <c r="H35" s="362"/>
      <c r="I35" s="347"/>
      <c r="J35" s="348"/>
      <c r="K35" s="347"/>
      <c r="L35" s="363"/>
      <c r="M35" s="364"/>
      <c r="N35" s="389" t="s">
        <v>227</v>
      </c>
    </row>
    <row r="36" spans="1:14" ht="15.75" thickTop="1">
      <c r="A36" s="349"/>
      <c r="B36" s="356"/>
      <c r="C36" s="356"/>
      <c r="D36" s="347"/>
      <c r="E36" s="348"/>
      <c r="F36" s="347"/>
      <c r="G36" s="356"/>
      <c r="H36" s="356"/>
      <c r="I36" s="347"/>
      <c r="J36" s="348"/>
      <c r="K36" s="347"/>
      <c r="L36" s="356"/>
      <c r="M36" s="366"/>
      <c r="N36" s="389"/>
    </row>
    <row r="37" spans="1:14" ht="15.75" thickBot="1">
      <c r="A37" s="367"/>
      <c r="B37" s="368"/>
      <c r="C37" s="368"/>
      <c r="D37" s="368"/>
      <c r="E37" s="368"/>
      <c r="F37" s="368"/>
      <c r="G37" s="368"/>
      <c r="H37" s="368"/>
      <c r="I37" s="368"/>
      <c r="J37" s="368"/>
      <c r="K37" s="368"/>
      <c r="L37" s="368"/>
      <c r="M37" s="368"/>
      <c r="N37" s="389"/>
    </row>
    <row r="38" spans="1:14">
      <c r="A38" s="344"/>
      <c r="C38" s="509" t="s">
        <v>276</v>
      </c>
      <c r="D38" s="510"/>
      <c r="E38" s="510"/>
      <c r="F38" s="510"/>
      <c r="G38" s="510"/>
      <c r="H38" s="510"/>
      <c r="I38" s="510"/>
      <c r="J38" s="510"/>
      <c r="K38" s="510"/>
      <c r="L38" s="511"/>
      <c r="M38" s="366"/>
      <c r="N38" s="389"/>
    </row>
    <row r="39" spans="1:14" ht="15.75" thickBot="1">
      <c r="A39" s="344"/>
      <c r="C39" s="512" t="s">
        <v>277</v>
      </c>
      <c r="D39" s="513"/>
      <c r="E39" s="513"/>
      <c r="F39" s="513" t="s">
        <v>278</v>
      </c>
      <c r="G39" s="513"/>
      <c r="H39" s="513" t="s">
        <v>279</v>
      </c>
      <c r="I39" s="513"/>
      <c r="J39" s="513" t="s">
        <v>280</v>
      </c>
      <c r="K39" s="513"/>
      <c r="L39" s="370" t="s">
        <v>281</v>
      </c>
      <c r="M39" s="366"/>
      <c r="N39" s="389"/>
    </row>
    <row r="40" spans="1:14">
      <c r="A40" s="344"/>
      <c r="C40" s="503"/>
      <c r="D40" s="504"/>
      <c r="E40" s="504"/>
      <c r="F40" s="504"/>
      <c r="G40" s="504"/>
      <c r="H40" s="505"/>
      <c r="I40" s="505"/>
      <c r="J40" s="505"/>
      <c r="K40" s="505"/>
      <c r="L40" s="506">
        <f>SUM(H40:I46)-SUM(J40:K46)</f>
        <v>0</v>
      </c>
      <c r="M40" s="366"/>
      <c r="N40" s="389"/>
    </row>
    <row r="41" spans="1:14">
      <c r="A41" s="344"/>
      <c r="C41" s="499"/>
      <c r="D41" s="498"/>
      <c r="E41" s="498"/>
      <c r="F41" s="498"/>
      <c r="G41" s="498"/>
      <c r="H41" s="497"/>
      <c r="I41" s="497"/>
      <c r="J41" s="497"/>
      <c r="K41" s="497"/>
      <c r="L41" s="507"/>
      <c r="M41" s="366"/>
      <c r="N41" s="389"/>
    </row>
    <row r="42" spans="1:14">
      <c r="A42" s="344"/>
      <c r="C42" s="499"/>
      <c r="D42" s="498"/>
      <c r="E42" s="498"/>
      <c r="F42" s="498"/>
      <c r="G42" s="498"/>
      <c r="H42" s="497"/>
      <c r="I42" s="497"/>
      <c r="J42" s="497"/>
      <c r="K42" s="497"/>
      <c r="L42" s="507"/>
      <c r="M42" s="366"/>
      <c r="N42" s="389"/>
    </row>
    <row r="43" spans="1:14">
      <c r="A43" s="344"/>
      <c r="C43" s="499"/>
      <c r="D43" s="498"/>
      <c r="E43" s="498"/>
      <c r="F43" s="498"/>
      <c r="G43" s="498"/>
      <c r="H43" s="497"/>
      <c r="I43" s="497"/>
      <c r="J43" s="497"/>
      <c r="K43" s="497"/>
      <c r="L43" s="507"/>
      <c r="M43" s="366"/>
      <c r="N43" s="389"/>
    </row>
    <row r="44" spans="1:14">
      <c r="A44" s="344"/>
      <c r="C44" s="495"/>
      <c r="D44" s="496"/>
      <c r="E44" s="496"/>
      <c r="F44" s="496"/>
      <c r="G44" s="496"/>
      <c r="H44" s="497"/>
      <c r="I44" s="497"/>
      <c r="J44" s="497"/>
      <c r="K44" s="497"/>
      <c r="L44" s="507"/>
      <c r="M44" s="366"/>
      <c r="N44" s="389"/>
    </row>
    <row r="45" spans="1:14">
      <c r="A45" s="349"/>
      <c r="B45" s="356"/>
      <c r="C45" s="495"/>
      <c r="D45" s="496"/>
      <c r="E45" s="496"/>
      <c r="F45" s="496"/>
      <c r="G45" s="496"/>
      <c r="H45" s="497"/>
      <c r="I45" s="497"/>
      <c r="J45" s="497"/>
      <c r="K45" s="497"/>
      <c r="L45" s="507"/>
      <c r="M45" s="366"/>
      <c r="N45" s="389"/>
    </row>
    <row r="46" spans="1:14" ht="15.75" thickBot="1">
      <c r="A46" s="344"/>
      <c r="C46" s="492"/>
      <c r="D46" s="493"/>
      <c r="E46" s="493"/>
      <c r="F46" s="493"/>
      <c r="G46" s="493"/>
      <c r="H46" s="494"/>
      <c r="I46" s="494"/>
      <c r="J46" s="494"/>
      <c r="K46" s="494"/>
      <c r="L46" s="508"/>
      <c r="N46" s="389"/>
    </row>
    <row r="47" spans="1:14">
      <c r="A47" s="344"/>
      <c r="C47" s="372"/>
      <c r="D47" s="372"/>
      <c r="E47" s="372"/>
      <c r="F47" s="372"/>
      <c r="G47" s="372"/>
      <c r="H47" s="373"/>
      <c r="I47" s="373"/>
      <c r="J47" s="373"/>
      <c r="K47" s="373"/>
      <c r="L47" s="374"/>
      <c r="N47" s="389"/>
    </row>
    <row r="48" spans="1:14" ht="15.75" thickBot="1">
      <c r="A48" s="375"/>
      <c r="B48" s="376"/>
      <c r="C48" s="377"/>
      <c r="D48" s="377"/>
      <c r="E48" s="377"/>
      <c r="F48" s="377"/>
      <c r="G48" s="377"/>
      <c r="H48" s="378"/>
      <c r="I48" s="378"/>
      <c r="J48" s="378"/>
      <c r="K48" s="378"/>
      <c r="L48" s="379"/>
      <c r="M48" s="376"/>
      <c r="N48" s="391"/>
    </row>
  </sheetData>
  <mergeCells count="76">
    <mergeCell ref="C15:E15"/>
    <mergeCell ref="F15:G15"/>
    <mergeCell ref="H15:I15"/>
    <mergeCell ref="J15:K15"/>
    <mergeCell ref="A2:N2"/>
    <mergeCell ref="B4:C4"/>
    <mergeCell ref="G4:H4"/>
    <mergeCell ref="L4:M4"/>
    <mergeCell ref="C14:L14"/>
    <mergeCell ref="C16:E16"/>
    <mergeCell ref="F16:G16"/>
    <mergeCell ref="H16:I16"/>
    <mergeCell ref="J16:K16"/>
    <mergeCell ref="L16:L22"/>
    <mergeCell ref="C17:E17"/>
    <mergeCell ref="F17:G17"/>
    <mergeCell ref="H17:I17"/>
    <mergeCell ref="J17:K17"/>
    <mergeCell ref="C18:E18"/>
    <mergeCell ref="F18:G18"/>
    <mergeCell ref="H18:I18"/>
    <mergeCell ref="J18:K18"/>
    <mergeCell ref="C19:E19"/>
    <mergeCell ref="F19:G19"/>
    <mergeCell ref="H19:I19"/>
    <mergeCell ref="J19:K19"/>
    <mergeCell ref="B28:C28"/>
    <mergeCell ref="G28:H28"/>
    <mergeCell ref="L28:M28"/>
    <mergeCell ref="C20:E20"/>
    <mergeCell ref="F20:G20"/>
    <mergeCell ref="H20:I20"/>
    <mergeCell ref="J20:K20"/>
    <mergeCell ref="C21:E21"/>
    <mergeCell ref="F21:G21"/>
    <mergeCell ref="H21:I21"/>
    <mergeCell ref="J21:K21"/>
    <mergeCell ref="C22:E22"/>
    <mergeCell ref="F22:G22"/>
    <mergeCell ref="H22:I22"/>
    <mergeCell ref="J22:K22"/>
    <mergeCell ref="A26:N26"/>
    <mergeCell ref="C40:E40"/>
    <mergeCell ref="F40:G40"/>
    <mergeCell ref="H40:I40"/>
    <mergeCell ref="J40:K40"/>
    <mergeCell ref="L40:L46"/>
    <mergeCell ref="C38:L38"/>
    <mergeCell ref="C39:E39"/>
    <mergeCell ref="F39:G39"/>
    <mergeCell ref="H39:I39"/>
    <mergeCell ref="J39:K39"/>
    <mergeCell ref="C41:E41"/>
    <mergeCell ref="F41:G41"/>
    <mergeCell ref="H41:I41"/>
    <mergeCell ref="J41:K41"/>
    <mergeCell ref="C42:E42"/>
    <mergeCell ref="F42:G42"/>
    <mergeCell ref="H42:I42"/>
    <mergeCell ref="J42:K42"/>
    <mergeCell ref="C43:E43"/>
    <mergeCell ref="F43:G43"/>
    <mergeCell ref="H43:I43"/>
    <mergeCell ref="J43:K43"/>
    <mergeCell ref="C46:E46"/>
    <mergeCell ref="F46:G46"/>
    <mergeCell ref="H46:I46"/>
    <mergeCell ref="J46:K46"/>
    <mergeCell ref="C44:E44"/>
    <mergeCell ref="F44:G44"/>
    <mergeCell ref="H44:I44"/>
    <mergeCell ref="J44:K44"/>
    <mergeCell ref="C45:E45"/>
    <mergeCell ref="F45:G45"/>
    <mergeCell ref="H45:I45"/>
    <mergeCell ref="J45:K45"/>
  </mergeCells>
  <conditionalFormatting sqref="B10:C10">
    <cfRule type="cellIs" dxfId="15" priority="3" operator="notEqual">
      <formula>0</formula>
    </cfRule>
    <cfRule type="cellIs" dxfId="14" priority="4" operator="equal">
      <formula>0</formula>
    </cfRule>
  </conditionalFormatting>
  <conditionalFormatting sqref="B34:C34">
    <cfRule type="cellIs" dxfId="13" priority="11" operator="notEqual">
      <formula>0</formula>
    </cfRule>
    <cfRule type="cellIs" dxfId="12" priority="12" operator="equal">
      <formula>0</formula>
    </cfRule>
  </conditionalFormatting>
  <conditionalFormatting sqref="G10:H10">
    <cfRule type="cellIs" dxfId="11" priority="1" operator="notEqual">
      <formula>0</formula>
    </cfRule>
    <cfRule type="cellIs" dxfId="10" priority="2" operator="equal">
      <formula>0</formula>
    </cfRule>
  </conditionalFormatting>
  <conditionalFormatting sqref="G34:H34">
    <cfRule type="cellIs" dxfId="9" priority="7" operator="notEqual">
      <formula>0</formula>
    </cfRule>
    <cfRule type="cellIs" dxfId="8" priority="8" operator="equal">
      <formula>0</formula>
    </cfRule>
  </conditionalFormatting>
  <conditionalFormatting sqref="L10:M10">
    <cfRule type="cellIs" dxfId="7" priority="13" operator="notEqual">
      <formula>0</formula>
    </cfRule>
    <cfRule type="cellIs" dxfId="6" priority="14" operator="equal">
      <formula>0</formula>
    </cfRule>
  </conditionalFormatting>
  <conditionalFormatting sqref="L34:M34">
    <cfRule type="cellIs" dxfId="5" priority="9" operator="notEqual">
      <formula>0</formula>
    </cfRule>
    <cfRule type="cellIs" dxfId="4" priority="10" operator="equal">
      <formula>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2"/>
  <sheetViews>
    <sheetView workbookViewId="0">
      <selection activeCell="C64" sqref="C64"/>
    </sheetView>
  </sheetViews>
  <sheetFormatPr defaultColWidth="8.7109375" defaultRowHeight="12.75"/>
  <cols>
    <col min="1" max="1" width="19.42578125" customWidth="1"/>
    <col min="2" max="2" width="4.7109375" customWidth="1"/>
    <col min="3" max="3" width="58.28515625" customWidth="1"/>
  </cols>
  <sheetData>
    <row r="1" spans="1:3" ht="13.5" thickBot="1">
      <c r="A1" s="82" t="s">
        <v>307</v>
      </c>
      <c r="B1" s="68"/>
      <c r="C1" s="232" t="str">
        <f ca="1">IF(AND(B2="-",B3="-",B4="-",B5="-",B6="-",B7="-",B8="-",B9="-",B10="-"),"","Error")</f>
        <v/>
      </c>
    </row>
    <row r="2" spans="1:3">
      <c r="A2" s="4" t="s">
        <v>308</v>
      </c>
      <c r="B2" s="31" t="str">
        <f>IF(C2="","-","X")</f>
        <v>-</v>
      </c>
      <c r="C2" t="str">
        <f>IF('Basic Inputs'!D8=0,"","Beginning balance sheet not entered correctly")</f>
        <v/>
      </c>
    </row>
    <row r="3" spans="1:3">
      <c r="A3" s="4" t="s">
        <v>309</v>
      </c>
      <c r="B3" s="31" t="str">
        <f t="shared" ref="B3:B10" si="0">IF(C3="","-","X")</f>
        <v>-</v>
      </c>
      <c r="C3" t="str">
        <f>IF(SUM(Journal!F3:F78)-SUM(Journal!G3:G78)=0,"","Total Debits not equal to total Credits")</f>
        <v/>
      </c>
    </row>
    <row r="4" spans="1:3">
      <c r="A4" s="4" t="s">
        <v>310</v>
      </c>
      <c r="B4" s="31" t="str">
        <f t="shared" ca="1" si="0"/>
        <v>-</v>
      </c>
      <c r="C4" t="str">
        <f ca="1">IF('T accnts'!Q4=0,"","Some amounts not posted")</f>
        <v/>
      </c>
    </row>
    <row r="5" spans="1:3">
      <c r="A5" s="4" t="s">
        <v>310</v>
      </c>
      <c r="B5" s="31" t="str">
        <f t="shared" si="0"/>
        <v>-</v>
      </c>
      <c r="C5" t="str">
        <f>IF('T accnts'!R4=0,"","Total Debits posted to T-accounts not equal to total Debits in Journal")</f>
        <v/>
      </c>
    </row>
    <row r="6" spans="1:3">
      <c r="A6" s="4" t="s">
        <v>310</v>
      </c>
      <c r="B6" s="31" t="str">
        <f t="shared" ca="1" si="0"/>
        <v>-</v>
      </c>
      <c r="C6" t="str">
        <f ca="1">IF('T accnts'!S4=0,"","Total Credits posted to T-accounts not equal to total Credits in Journal")</f>
        <v/>
      </c>
    </row>
    <row r="7" spans="1:3">
      <c r="A7" s="4" t="s">
        <v>311</v>
      </c>
      <c r="B7" s="31" t="str">
        <f t="shared" si="0"/>
        <v>-</v>
      </c>
      <c r="C7" t="str">
        <f>IF('T accnts'!Q2=0,"","Accounts not in balance")</f>
        <v/>
      </c>
    </row>
    <row r="8" spans="1:3">
      <c r="A8" s="4" t="s">
        <v>311</v>
      </c>
      <c r="B8" s="31" t="str">
        <f t="shared" si="0"/>
        <v>-</v>
      </c>
      <c r="C8" t="str">
        <f>IF('T accnts'!U2=0,"","All temporary accounts not closed")</f>
        <v/>
      </c>
    </row>
    <row r="9" spans="1:3">
      <c r="A9" s="4" t="s">
        <v>312</v>
      </c>
      <c r="B9" s="31" t="str">
        <f t="shared" si="0"/>
        <v>-</v>
      </c>
      <c r="C9" t="str">
        <f>IF('Financial Statements'!H6=0,"","Beginning balance sheet not in balance")</f>
        <v/>
      </c>
    </row>
    <row r="10" spans="1:3">
      <c r="A10" s="4" t="s">
        <v>312</v>
      </c>
      <c r="B10" s="31" t="str">
        <f t="shared" si="0"/>
        <v>-</v>
      </c>
      <c r="C10" t="str">
        <f>IF('Financial Statements'!H12=0,"","Ending balance sheet not in balance")</f>
        <v/>
      </c>
    </row>
    <row r="12" spans="1:3">
      <c r="C12" s="30" t="str">
        <f ca="1">IF(AND(B2="-",B3="-",B4="-",B5="-",B6="-",B7="-",B8="-",B9="-",B10="-"),"CONGRATULATIONS! Your work is internally consistent","Keep working!")</f>
        <v>CONGRATULATIONS! Your work is internally consistent</v>
      </c>
    </row>
  </sheetData>
  <conditionalFormatting sqref="C1">
    <cfRule type="containsText" dxfId="3" priority="1" operator="containsText" text="Error">
      <formula>NOT(ISERROR(SEARCH("Error",C1)))</formula>
    </cfRule>
  </conditionalFormatting>
  <conditionalFormatting sqref="C12">
    <cfRule type="beginsWith" dxfId="2" priority="8" operator="beginsWith" text="Keep">
      <formula>LEFT(C12,LEN("Keep"))="Keep"</formula>
    </cfRule>
    <cfRule type="beginsWith" dxfId="1" priority="9" operator="beginsWith" text="CON">
      <formula>LEFT(C12,LEN("CON"))="CON"</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notContainsText" priority="10" operator="notContains" id="{90567FC7-5392-4260-B540-B9A20338034C}">
            <xm:f>ISERROR(SEARCH("-",B2))</xm:f>
            <xm:f>"-"</xm:f>
            <x14:dxf>
              <fill>
                <patternFill>
                  <bgColor rgb="FFFF0000"/>
                </patternFill>
              </fill>
            </x14:dxf>
          </x14:cfRule>
          <xm:sqref>B2:B10</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4"/>
  <sheetViews>
    <sheetView workbookViewId="0">
      <selection activeCell="C20" sqref="C20"/>
    </sheetView>
  </sheetViews>
  <sheetFormatPr defaultColWidth="8.7109375" defaultRowHeight="12.75"/>
  <cols>
    <col min="1" max="1" width="15.7109375" bestFit="1" customWidth="1"/>
    <col min="2" max="2" width="37.42578125" bestFit="1" customWidth="1"/>
    <col min="3" max="3" width="34.140625" bestFit="1" customWidth="1"/>
    <col min="4" max="4" width="27.140625" bestFit="1" customWidth="1"/>
    <col min="5" max="5" width="30.42578125" bestFit="1" customWidth="1"/>
    <col min="6" max="6" width="31.42578125" bestFit="1" customWidth="1"/>
  </cols>
  <sheetData>
    <row r="1" spans="1:6" ht="15.75" thickBot="1">
      <c r="A1" s="242" t="s">
        <v>313</v>
      </c>
      <c r="B1" s="242" t="s">
        <v>25</v>
      </c>
      <c r="C1" s="242" t="s">
        <v>37</v>
      </c>
      <c r="D1" s="242" t="s">
        <v>52</v>
      </c>
      <c r="E1" s="242" t="s">
        <v>61</v>
      </c>
      <c r="F1" s="242" t="s">
        <v>314</v>
      </c>
    </row>
    <row r="2" spans="1:6">
      <c r="A2" t="s">
        <v>25</v>
      </c>
      <c r="B2" t="s">
        <v>26</v>
      </c>
      <c r="C2" t="s">
        <v>38</v>
      </c>
      <c r="D2" t="s">
        <v>53</v>
      </c>
      <c r="E2" s="4" t="s">
        <v>62</v>
      </c>
      <c r="F2" s="4" t="s">
        <v>315</v>
      </c>
    </row>
    <row r="3" spans="1:6">
      <c r="A3" t="s">
        <v>37</v>
      </c>
      <c r="B3" t="s">
        <v>27</v>
      </c>
      <c r="C3" t="s">
        <v>39</v>
      </c>
      <c r="D3" t="s">
        <v>54</v>
      </c>
      <c r="E3" s="4" t="s">
        <v>63</v>
      </c>
      <c r="F3" s="4" t="s">
        <v>316</v>
      </c>
    </row>
    <row r="4" spans="1:6">
      <c r="A4" t="s">
        <v>52</v>
      </c>
      <c r="B4" t="s">
        <v>28</v>
      </c>
      <c r="C4" t="s">
        <v>40</v>
      </c>
      <c r="D4" t="s">
        <v>55</v>
      </c>
      <c r="E4" s="4" t="s">
        <v>64</v>
      </c>
    </row>
    <row r="5" spans="1:6">
      <c r="A5" s="4" t="s">
        <v>61</v>
      </c>
      <c r="B5" t="s">
        <v>29</v>
      </c>
      <c r="C5" t="s">
        <v>41</v>
      </c>
      <c r="D5" t="s">
        <v>56</v>
      </c>
      <c r="E5" s="4" t="s">
        <v>65</v>
      </c>
    </row>
    <row r="6" spans="1:6">
      <c r="B6" t="s">
        <v>30</v>
      </c>
      <c r="C6" t="s">
        <v>42</v>
      </c>
      <c r="D6" t="s">
        <v>57</v>
      </c>
      <c r="E6" s="4" t="s">
        <v>66</v>
      </c>
    </row>
    <row r="7" spans="1:6">
      <c r="B7" t="s">
        <v>31</v>
      </c>
      <c r="C7" t="s">
        <v>43</v>
      </c>
      <c r="D7" t="s">
        <v>58</v>
      </c>
      <c r="E7" s="4" t="s">
        <v>67</v>
      </c>
    </row>
    <row r="8" spans="1:6">
      <c r="B8" t="s">
        <v>30</v>
      </c>
      <c r="C8" t="s">
        <v>44</v>
      </c>
      <c r="E8" s="4" t="s">
        <v>68</v>
      </c>
    </row>
    <row r="9" spans="1:6">
      <c r="B9" t="s">
        <v>32</v>
      </c>
      <c r="C9" s="4" t="s">
        <v>45</v>
      </c>
      <c r="E9" s="4" t="s">
        <v>69</v>
      </c>
    </row>
    <row r="10" spans="1:6">
      <c r="B10" t="s">
        <v>33</v>
      </c>
      <c r="C10" s="4" t="s">
        <v>46</v>
      </c>
      <c r="E10" s="4" t="s">
        <v>70</v>
      </c>
    </row>
    <row r="11" spans="1:6">
      <c r="B11" t="s">
        <v>34</v>
      </c>
      <c r="C11" s="4" t="s">
        <v>47</v>
      </c>
      <c r="E11" s="4" t="s">
        <v>72</v>
      </c>
    </row>
    <row r="12" spans="1:6" ht="15">
      <c r="A12" s="400" t="s">
        <v>317</v>
      </c>
      <c r="B12" s="4" t="s">
        <v>318</v>
      </c>
      <c r="C12" s="4" t="s">
        <v>48</v>
      </c>
      <c r="E12" s="4" t="s">
        <v>73</v>
      </c>
    </row>
    <row r="13" spans="1:6">
      <c r="A13" s="318" t="s">
        <v>222</v>
      </c>
      <c r="B13" s="4" t="s">
        <v>319</v>
      </c>
      <c r="C13" s="4" t="s">
        <v>49</v>
      </c>
      <c r="E13" s="4" t="s">
        <v>74</v>
      </c>
    </row>
    <row r="14" spans="1:6">
      <c r="A14" s="318" t="s">
        <v>225</v>
      </c>
      <c r="B14" s="4" t="s">
        <v>320</v>
      </c>
      <c r="C14" s="4" t="s">
        <v>50</v>
      </c>
      <c r="E14" s="4" t="s">
        <v>75</v>
      </c>
    </row>
    <row r="15" spans="1:6">
      <c r="B15" s="4" t="s">
        <v>321</v>
      </c>
      <c r="C15" s="4" t="s">
        <v>51</v>
      </c>
    </row>
    <row r="16" spans="1:6">
      <c r="B16" s="4" t="s">
        <v>322</v>
      </c>
    </row>
    <row r="17" spans="1:2">
      <c r="B17" s="4" t="s">
        <v>323</v>
      </c>
    </row>
    <row r="20" spans="1:2">
      <c r="B20" t="s">
        <v>6</v>
      </c>
    </row>
    <row r="21" spans="1:2">
      <c r="B21" t="s">
        <v>25</v>
      </c>
    </row>
    <row r="22" spans="1:2" ht="15">
      <c r="A22" s="83"/>
      <c r="B22" t="s">
        <v>37</v>
      </c>
    </row>
    <row r="23" spans="1:2">
      <c r="B23" t="s">
        <v>52</v>
      </c>
    </row>
    <row r="24" spans="1:2">
      <c r="B24" t="s">
        <v>61</v>
      </c>
    </row>
  </sheetData>
  <phoneticPr fontId="36" type="noConversion"/>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ColWidth="9.140625" defaultRowHeight="12.75"/>
  <cols>
    <col min="1" max="16384" width="9.140625" style="2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Dell Computer Corporation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2001-08-03T23:05:22Z</dcterms:created>
  <dcterms:modified xsi:type="dcterms:W3CDTF">2025-04-07T22:01:12Z</dcterms:modified>
  <cp:category/>
  <cp:contentStatus/>
</cp:coreProperties>
</file>