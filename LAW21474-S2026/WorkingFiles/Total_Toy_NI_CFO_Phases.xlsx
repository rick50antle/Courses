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LAW21474/LAW21474-S2026/WorkingFiles/"/>
    </mc:Choice>
  </mc:AlternateContent>
  <xr:revisionPtr revIDLastSave="67" documentId="8_{46902B2C-D584-4EBB-95AF-00B3D90E2ADC}" xr6:coauthVersionLast="47" xr6:coauthVersionMax="47" xr10:uidLastSave="{03B8EA35-C95F-4236-901A-706CAA437946}"/>
  <bookViews>
    <workbookView xWindow="-98" yWindow="-98" windowWidth="21795" windowHeight="13875" xr2:uid="{280A36E9-1E9F-4A05-B03C-046E92A8F2BB}"/>
  </bookViews>
  <sheets>
    <sheet name="NI-CFO-Phases-Tool" sheetId="7" r:id="rId1"/>
  </sheets>
  <definedNames>
    <definedName name="Cost" localSheetId="0">'NI-CFO-Phases-Tool'!$D$35</definedName>
    <definedName name="Cost">#REF!</definedName>
    <definedName name="Decline" localSheetId="0">'NI-CFO-Phases-Tool'!$I$35</definedName>
    <definedName name="Decline">#REF!</definedName>
    <definedName name="Growth">#REF!</definedName>
    <definedName name="Price" localSheetId="0">'NI-CFO-Phases-Tool'!$D$30</definedName>
    <definedName name="Price">#REF!</definedName>
    <definedName name="Sales_Growth" localSheetId="0">'NI-CFO-Phases-Tool'!$I$30</definedName>
    <definedName name="Steady_State">'NI-CFO-Phases-Tool'!$C$63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7" l="1" a="1"/>
  <c r="C67" i="7" s="1"/>
  <c r="C66" i="7"/>
  <c r="D66" i="7" s="1"/>
  <c r="G65" i="7" s="1"/>
  <c r="C65" i="7" a="1"/>
  <c r="C65" i="7" s="1"/>
  <c r="G2" i="7" l="1"/>
  <c r="E65" i="7"/>
  <c r="D65" i="7"/>
  <c r="G68" i="7" s="1"/>
  <c r="B71" i="7"/>
  <c r="E67" i="7"/>
  <c r="H68" i="7" s="1"/>
  <c r="B74" i="7" s="1"/>
  <c r="D67" i="7"/>
  <c r="E66" i="7"/>
  <c r="H65" i="7" s="1"/>
  <c r="B72" i="7" s="1"/>
  <c r="B73" i="7" l="1"/>
  <c r="J65" i="7"/>
  <c r="B69" i="7" s="1"/>
  <c r="I65" i="7"/>
  <c r="B7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<sst xmlns="http://schemas.openxmlformats.org/spreadsheetml/2006/main" count="19" uniqueCount="18">
  <si>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Total Revenue and Total Cost Curves</t>
  </si>
  <si>
    <t>Sales</t>
  </si>
  <si>
    <t>Price</t>
  </si>
  <si>
    <t>Growth</t>
  </si>
  <si>
    <t>Cost</t>
  </si>
  <si>
    <t>Decline</t>
  </si>
  <si>
    <t>Calculations:</t>
  </si>
  <si>
    <t>Steady_State</t>
  </si>
  <si>
    <t>CoGS</t>
  </si>
  <si>
    <t>Revenues</t>
  </si>
  <si>
    <t>Expenses</t>
  </si>
  <si>
    <t>Net Income</t>
  </si>
  <si>
    <t>Cash Flow</t>
  </si>
  <si>
    <t>Month - 1</t>
  </si>
  <si>
    <t>Month</t>
  </si>
  <si>
    <t>Month + 1</t>
  </si>
  <si>
    <t>Receipts</t>
  </si>
  <si>
    <t>Disbursements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</si>
</sst>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&quot;$&quot;* #,##0.0_);_(&quot;$&quot;* \(#,##0.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6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6" fontId="0" fillId="0" borderId="0" xfId="2" applyNumberFormat="1" applyFont="1"/>
    <xf numFmtId="0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Total Toy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0" i="0" baseline="0">
                <a:effectLst/>
              </a:rPr>
              <a:t>Net Income and Cash Flows in Month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Revenues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263A5E6-6B33-4F12-A7E3-199F760EBE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945-4C44-A098-56116EB6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'NI-CFO-Phases-Tool'!$G$65</c:f>
              <c:numCache>
                <c:formatCode>_(* #,##0.0_);_(* \(#,##0.0\);_(* "-"??_);_(@_)</c:formatCode>
                <c:ptCount val="1"/>
                <c:pt idx="0">
                  <c:v>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'NI-CFO-Phases-Tool'!$B$71</c15:f>
                <c15:dlblRangeCache>
                  <c:ptCount val="1"/>
                  <c:pt idx="0">
                    <c:v>Revenues: $36.0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945-4C44-A098-56116EB62516}"/>
            </c:ext>
          </c:extLst>
        </c:ser>
        <c:ser>
          <c:idx val="4"/>
          <c:order val="1"/>
          <c:tx>
            <c:v>Expenses</c:v>
          </c:tx>
          <c:spPr>
            <a:solidFill>
              <a:srgbClr val="FF0000"/>
            </a:solidFill>
            <a:ln>
              <a:solidFill>
                <a:srgbClr val="00B05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969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5-4C44-A098-56116EB6251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F94C793-15AF-4BC4-A37B-EDB38F958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945-4C44-A098-56116EB6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'NI-CFO-Phases-Tool'!$H$65</c:f>
              <c:numCache>
                <c:formatCode>_(* #,##0.0_);_(* \(#,##0.0\);_(* "-"??_);_(@_)</c:formatCode>
                <c:ptCount val="1"/>
                <c:pt idx="0">
                  <c:v>28.8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'NI-CFO-Phases-Tool'!$B$72</c15:f>
                <c15:dlblRangeCache>
                  <c:ptCount val="1"/>
                  <c:pt idx="0">
                    <c:v>Expenses: $28.8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945-4C44-A098-56116EB62516}"/>
            </c:ext>
          </c:extLst>
        </c:ser>
        <c:ser>
          <c:idx val="0"/>
          <c:order val="2"/>
          <c:tx>
            <c:v>Net Income</c:v>
          </c:tx>
          <c:spPr>
            <a:solidFill>
              <a:srgbClr val="000000"/>
            </a:solidFill>
            <a:ln>
              <a:noFill/>
            </a:ln>
            <a:effectLst/>
          </c:spPr>
          <c:invertIfNegative val="1"/>
          <c:dPt>
            <c:idx val="1"/>
            <c:invertIfNegative val="1"/>
            <c:bubble3D val="0"/>
            <c:spPr>
              <a:solidFill>
                <a:srgbClr val="00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945-4C44-A098-56116EB6251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A29BAE-A2BA-4B86-A887-F6F61C579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945-4C44-A098-56116EB6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'NI-CFO-Phases-Tool'!$I$65</c:f>
              <c:numCache>
                <c:formatCode>_("$"* #,##0.0_);_("$"* \(#,##0.0\);_("$"* "-"??_);_(@_)</c:formatCode>
                <c:ptCount val="1"/>
                <c:pt idx="0">
                  <c:v>7.1999999999999993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datalabelsRange>
                <c15:f>'NI-CFO-Phases-Tool'!$B$70</c15:f>
                <c15:dlblRangeCache>
                  <c:ptCount val="1"/>
                  <c:pt idx="0">
                    <c:v>Net Income: $7.2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5945-4C44-A098-56116EB62516}"/>
            </c:ext>
          </c:extLst>
        </c:ser>
        <c:ser>
          <c:idx val="6"/>
          <c:order val="3"/>
          <c:tx>
            <c:v>Blank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5945-4C44-A098-56116EB62516}"/>
            </c:ext>
          </c:extLst>
        </c:ser>
        <c:ser>
          <c:idx val="3"/>
          <c:order val="4"/>
          <c:tx>
            <c:v>Cash Receipts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0C49A7-4B69-4CF3-9AAF-CA11F7DB4E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945-4C44-A098-56116EB6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'NI-CFO-Phases-Tool'!$G$68</c:f>
              <c:numCache>
                <c:formatCode>_(* #,##0.0_);_(* \(#,##0.0\);_(* "-"??_);_(@_)</c:formatCode>
                <c:ptCount val="1"/>
                <c:pt idx="0">
                  <c:v>48.36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'NI-CFO-Phases-Tool'!$B$73</c15:f>
                <c15:dlblRangeCache>
                  <c:ptCount val="1"/>
                  <c:pt idx="0">
                    <c:v>Cash Receipts: $48.4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945-4C44-A098-56116EB62516}"/>
            </c:ext>
          </c:extLst>
        </c:ser>
        <c:ser>
          <c:idx val="5"/>
          <c:order val="5"/>
          <c:tx>
            <c:v>Cash Disbursements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D2F4945-6D38-40C6-AEB2-568D3AF5B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945-4C44-A098-56116EB6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'NI-CFO-Phases-Tool'!$H$68</c:f>
              <c:numCache>
                <c:formatCode>_(* #,##0.0_);_(* \(#,##0.0\);_(* "-"??_);_(@_)</c:formatCode>
                <c:ptCount val="1"/>
                <c:pt idx="0">
                  <c:v>18.911999999999999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'NI-CFO-Phases-Tool'!$B$74</c15:f>
                <c15:dlblRangeCache>
                  <c:ptCount val="1"/>
                  <c:pt idx="0">
                    <c:v>Cash Disbursements: $18.9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945-4C44-A098-56116EB62516}"/>
            </c:ext>
          </c:extLst>
        </c:ser>
        <c:ser>
          <c:idx val="1"/>
          <c:order val="6"/>
          <c:tx>
            <c:v>Cash Flow</c:v>
          </c:tx>
          <c:spPr>
            <a:solidFill>
              <a:srgbClr val="000000"/>
            </a:solidFill>
            <a:ln>
              <a:noFill/>
            </a:ln>
            <a:effectLst/>
          </c:spPr>
          <c:invertIfNegative val="1"/>
          <c:dLbls>
            <c:dLbl>
              <c:idx val="0"/>
              <c:tx>
                <c:rich>
                  <a:bodyPr/>
                  <a:lstStyle/>
                  <a:p>
                    <a:fld id="{F8E36844-756C-4B88-BCB7-4881A7A64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945-4C44-A098-56116EB6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'NI-CFO-Phases-Tool'!$J$65</c:f>
              <c:numCache>
                <c:formatCode>_("$"* #,##0.0_);_("$"* \(#,##0.0\);_("$"* "-"??_);_(@_)</c:formatCode>
                <c:ptCount val="1"/>
                <c:pt idx="0">
                  <c:v>29.448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datalabelsRange>
                <c15:f>'NI-CFO-Phases-Tool'!$B$69</c15:f>
                <c15:dlblRangeCache>
                  <c:ptCount val="1"/>
                  <c:pt idx="0">
                    <c:v>Cash Flow: $29.4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945-4C44-A098-56116EB62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119864"/>
        <c:axId val="1289119208"/>
      </c:barChart>
      <c:catAx>
        <c:axId val="12891198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289119208"/>
        <c:crosses val="autoZero"/>
        <c:auto val="1"/>
        <c:lblAlgn val="ctr"/>
        <c:lblOffset val="100"/>
        <c:noMultiLvlLbl val="0"/>
      </c:catAx>
      <c:valAx>
        <c:axId val="1289119208"/>
        <c:scaling>
          <c:orientation val="minMax"/>
          <c:max val="8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19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Toy</a:t>
            </a:r>
          </a:p>
          <a:p>
            <a:pPr>
              <a:defRPr/>
            </a:pPr>
            <a:r>
              <a:rPr lang="en-US" baseline="0"/>
              <a:t>Revenues, Expenses, Cash Receipts, Cash Disbursements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'NI-CFO-Phases-Tool'!$D$63</c:f>
              <c:strCache>
                <c:ptCount val="1"/>
                <c:pt idx="0">
                  <c:v>Sales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numFmt formatCode="#,##0.0" sourceLinked="0"/>
              <c:spPr>
                <a:noFill/>
                <a:ln w="38100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D8C-42C5-99D8-9EC6870A2BC0}"/>
                </c:ext>
              </c:extLst>
            </c:dLbl>
            <c:dLbl>
              <c:idx val="1"/>
              <c:numFmt formatCode="#,##0.0" sourceLinked="0"/>
              <c:spPr>
                <a:noFill/>
                <a:ln w="38100">
                  <a:solidFill>
                    <a:srgbClr val="92D05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D8C-42C5-99D8-9EC6870A2B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8C-42C5-99D8-9EC6870A2BC0}"/>
                </c:ext>
              </c:extLst>
            </c:dLbl>
            <c:numFmt formatCode="#,##0.0" sourceLinked="0"/>
            <c:spPr>
              <a:solidFill>
                <a:schemeClr val="accent6"/>
              </a:solidFill>
              <a:ln w="38100">
                <a:solidFill>
                  <a:schemeClr val="accent6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'NI-CFO-Phases-Tool'!$B$65:$B$67</c:f>
              <c:strCache>
                <c:ptCount val="3"/>
                <c:pt idx="0">
                  <c:v>Month - 1</c:v>
                </c:pt>
                <c:pt idx="1">
                  <c:v>Month</c:v>
                </c:pt>
                <c:pt idx="2">
                  <c:v>Month + 1</c:v>
                </c:pt>
              </c:strCache>
            </c:strRef>
          </c:cat>
          <c:val>
            <c:numRef>
              <c:f>'NI-CFO-Phases-Tool'!$D$65:$D$67</c:f>
              <c:numCache>
                <c:formatCode>0.0</c:formatCode>
                <c:ptCount val="3"/>
                <c:pt idx="0">
                  <c:v>48.36</c:v>
                </c:pt>
                <c:pt idx="1">
                  <c:v>36</c:v>
                </c:pt>
                <c:pt idx="2">
                  <c:v>23.64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C-42C5-99D8-9EC6870A2BC0}"/>
            </c:ext>
          </c:extLst>
        </c:ser>
        <c:ser>
          <c:idx val="2"/>
          <c:order val="1"/>
          <c:tx>
            <c:strRef>
              <c:f>'NI-CFO-Phases-Tool'!$E$63</c:f>
              <c:strCache>
                <c:ptCount val="1"/>
                <c:pt idx="0">
                  <c:v>CoGS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8C-42C5-99D8-9EC6870A2BC0}"/>
                </c:ext>
              </c:extLst>
            </c:dLbl>
            <c:dLbl>
              <c:idx val="1"/>
              <c:numFmt formatCode="#,##0.0" sourceLinked="0"/>
              <c:spPr>
                <a:noFill/>
                <a:ln w="38100" cmpd="sng">
                  <a:solidFill>
                    <a:srgbClr val="FF6969">
                      <a:alpha val="98824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FD8C-42C5-99D8-9EC6870A2BC0}"/>
                </c:ext>
              </c:extLst>
            </c:dLbl>
            <c:dLbl>
              <c:idx val="2"/>
              <c:numFmt formatCode="#,##0.0" sourceLinked="0"/>
              <c:spPr>
                <a:noFill/>
                <a:ln w="38100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D8C-42C5-99D8-9EC6870A2BC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'NI-CFO-Phases-Tool'!$B$65:$B$67</c:f>
              <c:strCache>
                <c:ptCount val="3"/>
                <c:pt idx="0">
                  <c:v>Month - 1</c:v>
                </c:pt>
                <c:pt idx="1">
                  <c:v>Month</c:v>
                </c:pt>
                <c:pt idx="2">
                  <c:v>Month + 1</c:v>
                </c:pt>
              </c:strCache>
            </c:strRef>
          </c:cat>
          <c:val>
            <c:numRef>
              <c:f>'NI-CFO-Phases-Tool'!$E$65:$E$67</c:f>
              <c:numCache>
                <c:formatCode>0.0</c:formatCode>
                <c:ptCount val="3"/>
                <c:pt idx="0">
                  <c:v>38.688000000000002</c:v>
                </c:pt>
                <c:pt idx="1">
                  <c:v>28.8</c:v>
                </c:pt>
                <c:pt idx="2">
                  <c:v>18.911999999999999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8C-42C5-99D8-9EC6870A2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33968"/>
        <c:axId val="295032984"/>
      </c:lineChart>
      <c:catAx>
        <c:axId val="29503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32984"/>
        <c:crosses val="autoZero"/>
        <c:auto val="1"/>
        <c:lblAlgn val="ctr"/>
        <c:lblOffset val="100"/>
        <c:noMultiLvlLbl val="0"/>
      </c:catAx>
      <c:valAx>
        <c:axId val="29503298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3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D$30" horiz="1" max="40" min="30" page="10" val="30"/>
</file>

<file path=xl/ctrlProps/ctrlProp2.xml><?xml version="1.0" encoding="utf-8"?>
<formControlPr xmlns="http://schemas.microsoft.com/office/spreadsheetml/2009/9/main" objectType="Scroll" dx="26" fmlaLink="$D$35" horiz="1" max="30" min="20" page="10" val="24"/>
</file>

<file path=xl/ctrlProps/ctrlProp3.xml><?xml version="1.0" encoding="utf-8"?>
<formControlPr xmlns="http://schemas.microsoft.com/office/spreadsheetml/2009/9/main" objectType="Scroll" dx="26" fmlaLink="$I$30" horiz="1" inc="10" max="700" page="10" val="601"/>
</file>

<file path=xl/ctrlProps/ctrlProp4.xml><?xml version="1.0" encoding="utf-8"?>
<formControlPr xmlns="http://schemas.microsoft.com/office/spreadsheetml/2009/9/main" objectType="Scroll" dx="26" fmlaLink="$I$35" horiz="1" inc="10" max="700" page="10" val="412"/>
</file>

<file path=xl/ctrlProps/ctrlProp5.xml><?xml version="1.0" encoding="utf-8"?>
<formControlPr xmlns="http://schemas.microsoft.com/office/spreadsheetml/2009/9/main" objectType="Radio" firstButton="1" fmlaLink="$C$68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647700</xdr:colOff>
          <xdr:row>30</xdr:row>
          <xdr:rowOff>23813</xdr:rowOff>
        </xdr:from>
        <xdr:to>
          <xdr:col>6</xdr:col>
          <xdr:colOff>166688</xdr:colOff>
          <xdr:row>33</xdr:row>
          <xdr:rowOff>14288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647700</xdr:colOff>
          <xdr:row>34</xdr:row>
          <xdr:rowOff>176213</xdr:rowOff>
        </xdr:from>
        <xdr:to>
          <xdr:col>6</xdr:col>
          <xdr:colOff>166688</xdr:colOff>
          <xdr:row>37</xdr:row>
          <xdr:rowOff>166688</xdr:rowOff>
        </xdr:to>
        <xdr:sp macro="" textlink="">
          <xdr:nvSpPr>
            <xdr:cNvPr id="7170" name="Scroll Ba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23813</xdr:colOff>
          <xdr:row>30</xdr:row>
          <xdr:rowOff>14288</xdr:rowOff>
        </xdr:from>
        <xdr:to>
          <xdr:col>11</xdr:col>
          <xdr:colOff>176213</xdr:colOff>
          <xdr:row>33</xdr:row>
          <xdr:rowOff>9525</xdr:rowOff>
        </xdr:to>
        <xdr:sp macro="" textlink="">
          <xdr:nvSpPr>
            <xdr:cNvPr id="7171" name="Scroll Ba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0</xdr:colOff>
      <xdr:row>1</xdr:row>
      <xdr:rowOff>184537</xdr:rowOff>
    </xdr:from>
    <xdr:to>
      <xdr:col>22</xdr:col>
      <xdr:colOff>384810</xdr:colOff>
      <xdr:row>29</xdr:row>
      <xdr:rowOff>6626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657225</xdr:colOff>
          <xdr:row>35</xdr:row>
          <xdr:rowOff>61913</xdr:rowOff>
        </xdr:from>
        <xdr:to>
          <xdr:col>11</xdr:col>
          <xdr:colOff>161925</xdr:colOff>
          <xdr:row>38</xdr:row>
          <xdr:rowOff>52388</xdr:rowOff>
        </xdr:to>
        <xdr:sp macro="" textlink="">
          <xdr:nvSpPr>
            <xdr:cNvPr id="7172" name="Scroll Ba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28824</xdr:colOff>
      <xdr:row>2</xdr:row>
      <xdr:rowOff>26504</xdr:rowOff>
    </xdr:from>
    <xdr:to>
      <xdr:col>11</xdr:col>
      <xdr:colOff>569844</xdr:colOff>
      <xdr:row>28</xdr:row>
      <xdr:rowOff>181554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79582" y="392110"/>
          <a:ext cx="6169429" cy="4907929"/>
          <a:chOff x="2559986" y="1040294"/>
          <a:chExt cx="5961159" cy="497884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>
            <a:graphicFrameLocks/>
          </xdr:cNvGraphicFramePr>
        </xdr:nvGraphicFramePr>
        <xdr:xfrm>
          <a:off x="2559986" y="1040294"/>
          <a:ext cx="5961159" cy="49788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5367126" y="1722781"/>
            <a:ext cx="689113" cy="3929270"/>
          </a:xfrm>
          <a:prstGeom prst="rect">
            <a:avLst/>
          </a:prstGeom>
          <a:solidFill>
            <a:schemeClr val="bg1">
              <a:alpha val="0"/>
            </a:schemeClr>
          </a:solidFill>
          <a:ln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106018</xdr:colOff>
      <xdr:row>2</xdr:row>
      <xdr:rowOff>35615</xdr:rowOff>
    </xdr:from>
    <xdr:to>
      <xdr:col>1</xdr:col>
      <xdr:colOff>432767</xdr:colOff>
      <xdr:row>7</xdr:row>
      <xdr:rowOff>111402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06018" y="401221"/>
          <a:ext cx="952128" cy="989802"/>
          <a:chOff x="510209" y="2776330"/>
          <a:chExt cx="907774" cy="980662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510209" y="2776330"/>
            <a:ext cx="907774" cy="980662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73" name="Option Button 5" hidden="1">
                <a:extLst>
                  <a:ext uri="{63B3BB69-23CF-44E3-9099-C40C66FF867C}">
                    <a14:compatExt spid="_x0000_s7173"/>
                  </a:ext>
                  <a:ext uri="{FF2B5EF4-FFF2-40B4-BE49-F238E27FC236}">
                    <a16:creationId xmlns:a16="http://schemas.microsoft.com/office/drawing/2014/main" id="{00000000-0008-0000-0000-0000051C0000}"/>
                  </a:ext>
                </a:extLst>
              </xdr:cNvPr>
              <xdr:cNvSpPr/>
            </xdr:nvSpPr>
            <xdr:spPr bwMode="auto">
              <a:xfrm>
                <a:off x="564543" y="3084311"/>
                <a:ext cx="747638" cy="2240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50292" rIns="0" bIns="50292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Growth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74" name="Option Button 6" hidden="1">
                <a:extLst>
                  <a:ext uri="{63B3BB69-23CF-44E3-9099-C40C66FF867C}">
                    <a14:compatExt spid="_x0000_s7174"/>
                  </a:ext>
                  <a:ext uri="{FF2B5EF4-FFF2-40B4-BE49-F238E27FC236}">
                    <a16:creationId xmlns:a16="http://schemas.microsoft.com/office/drawing/2014/main" id="{00000000-0008-0000-0000-0000061C0000}"/>
                  </a:ext>
                </a:extLst>
              </xdr:cNvPr>
              <xdr:cNvSpPr/>
            </xdr:nvSpPr>
            <xdr:spPr bwMode="auto">
              <a:xfrm>
                <a:off x="564543" y="3430998"/>
                <a:ext cx="747638" cy="2240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50292" rIns="0" bIns="50292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Decline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75" name="Option Button 7" hidden="1">
                <a:extLst>
                  <a:ext uri="{63B3BB69-23CF-44E3-9099-C40C66FF867C}">
                    <a14:compatExt spid="_x0000_s7175"/>
                  </a:ext>
                  <a:ext uri="{FF2B5EF4-FFF2-40B4-BE49-F238E27FC236}">
                    <a16:creationId xmlns:a16="http://schemas.microsoft.com/office/drawing/2014/main" id="{00000000-0008-0000-0000-0000071C0000}"/>
                  </a:ext>
                </a:extLst>
              </xdr:cNvPr>
              <xdr:cNvSpPr/>
            </xdr:nvSpPr>
            <xdr:spPr bwMode="auto">
              <a:xfrm>
                <a:off x="564543" y="3257887"/>
                <a:ext cx="746760" cy="22363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50292" rIns="0" bIns="50292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Steady State</a:t>
                </a:r>
              </a:p>
            </xdr:txBody>
          </xdr:sp>
        </mc:Choice>
        <mc:Fallback/>
      </mc:AlternateContent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675860" y="2842591"/>
            <a:ext cx="53245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Phase</a:t>
            </a:r>
          </a:p>
        </xdr:txBody>
      </xdr:sp>
    </xdr:grpSp>
    <xdr:clientData/>
  </xdr:twoCellAnchor>
  <xdr:twoCellAnchor>
    <xdr:from>
      <xdr:col>8</xdr:col>
      <xdr:colOff>386138</xdr:colOff>
      <xdr:row>5</xdr:row>
      <xdr:rowOff>167023</xdr:rowOff>
    </xdr:from>
    <xdr:to>
      <xdr:col>11</xdr:col>
      <xdr:colOff>406932</xdr:colOff>
      <xdr:row>10</xdr:row>
      <xdr:rowOff>35592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389168" y="1081038"/>
          <a:ext cx="1896931" cy="782584"/>
          <a:chOff x="5092259" y="7166715"/>
          <a:chExt cx="1833770" cy="788277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5423050" y="7166715"/>
            <a:ext cx="1502979" cy="78827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100"/>
              <a:t>Revenues</a:t>
            </a:r>
          </a:p>
          <a:p>
            <a:pPr algn="l"/>
            <a:r>
              <a:rPr lang="en-US" sz="1100"/>
              <a:t>Expenses</a:t>
            </a:r>
          </a:p>
          <a:p>
            <a:pPr algn="l"/>
            <a:r>
              <a:rPr lang="en-US" sz="1100"/>
              <a:t>Cash</a:t>
            </a:r>
            <a:r>
              <a:rPr lang="en-US" sz="1100" baseline="0"/>
              <a:t> Receipts</a:t>
            </a:r>
          </a:p>
          <a:p>
            <a:pPr algn="l"/>
            <a:r>
              <a:rPr lang="en-US" sz="1100" baseline="0"/>
              <a:t>Cash Disbursements</a:t>
            </a:r>
            <a:endParaRPr lang="en-US" sz="1100"/>
          </a:p>
        </xdr:txBody>
      </xdr: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/>
        </xdr:nvGrpSpPr>
        <xdr:grpSpPr>
          <a:xfrm>
            <a:off x="5092259" y="7173308"/>
            <a:ext cx="420416" cy="767255"/>
            <a:chOff x="4892565" y="7183819"/>
            <a:chExt cx="404649" cy="767255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>
            <a:xfrm>
              <a:off x="4892565" y="7183819"/>
              <a:ext cx="404649" cy="76725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4995043" y="7215354"/>
              <a:ext cx="155027" cy="641129"/>
              <a:chOff x="5236780" y="7225864"/>
              <a:chExt cx="155027" cy="641129"/>
            </a:xfrm>
          </xdr:grpSpPr>
          <xdr:sp macro="" textlink="">
            <xdr:nvSpPr>
              <xdr:cNvPr id="28" name="Oval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>
              <a:xfrm>
                <a:off x="5239408" y="7394029"/>
                <a:ext cx="152399" cy="120867"/>
              </a:xfrm>
              <a:prstGeom prst="ellipse">
                <a:avLst/>
              </a:prstGeom>
              <a:noFill/>
              <a:ln w="31750">
                <a:solidFill>
                  <a:srgbClr val="FF6969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8" name="Rectangle 17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>
              <a:xfrm>
                <a:off x="5252545" y="7567448"/>
                <a:ext cx="126125" cy="110359"/>
              </a:xfrm>
              <a:prstGeom prst="rect">
                <a:avLst/>
              </a:prstGeom>
              <a:noFill/>
              <a:ln w="25400">
                <a:solidFill>
                  <a:srgbClr val="00B05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GrpSpPr/>
            </xdr:nvGrpSpPr>
            <xdr:grpSpPr>
              <a:xfrm>
                <a:off x="5236780" y="7225864"/>
                <a:ext cx="152399" cy="641129"/>
                <a:chOff x="5236780" y="7225864"/>
                <a:chExt cx="152399" cy="641129"/>
              </a:xfrm>
            </xdr:grpSpPr>
            <xdr:sp macro="" textlink="">
              <xdr:nvSpPr>
                <xdr:cNvPr id="15" name="Oval 14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/>
              </xdr:nvSpPr>
              <xdr:spPr>
                <a:xfrm>
                  <a:off x="5236780" y="7225864"/>
                  <a:ext cx="152399" cy="120867"/>
                </a:xfrm>
                <a:prstGeom prst="ellipse">
                  <a:avLst/>
                </a:prstGeom>
                <a:noFill/>
                <a:ln w="31750">
                  <a:solidFill>
                    <a:srgbClr val="92D05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0" name="Rectangle 29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SpPr/>
              </xdr:nvSpPr>
              <xdr:spPr>
                <a:xfrm>
                  <a:off x="5249917" y="7756634"/>
                  <a:ext cx="126125" cy="110359"/>
                </a:xfrm>
                <a:prstGeom prst="rect">
                  <a:avLst/>
                </a:prstGeom>
                <a:noFill/>
                <a:ln w="254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2181-3038-4160-ABB4-3D5CE162C4B2}">
  <dimension ref="A1:J74"/>
  <sheetViews>
    <sheetView tabSelected="1" zoomScale="99" zoomScaleNormal="115" workbookViewId="0">
      <selection activeCell="F32" sqref="F32"/>
    </sheetView>
  </sheetViews>
  <sheetFormatPr defaultColWidth="8.73046875" defaultRowHeight="14.25" x14ac:dyDescent="0.45"/>
  <cols>
    <col min="3" max="8" width="8.73046875" customWidth="1"/>
  </cols>
  <sheetData>
    <row r="1" spans="1:9" x14ac:dyDescent="0.45">
      <c r="A1" s="1" t="s">
        <v>0</v>
      </c>
    </row>
    <row r="2" spans="1:9" x14ac:dyDescent="0.45">
      <c r="F2" s="1" t="s">
        <v>1</v>
      </c>
      <c r="G2">
        <f>C66</f>
        <v>1200</v>
      </c>
    </row>
    <row r="12" spans="1:9" x14ac:dyDescent="0.45">
      <c r="I12" s="4"/>
    </row>
    <row r="13" spans="1:9" x14ac:dyDescent="0.45">
      <c r="I13" s="4"/>
    </row>
    <row r="14" spans="1:9" x14ac:dyDescent="0.45">
      <c r="I14" s="5"/>
    </row>
    <row r="30" spans="3:9" x14ac:dyDescent="0.45">
      <c r="C30" t="s">
        <v>2</v>
      </c>
      <c r="D30" s="2">
        <v>30</v>
      </c>
      <c r="H30" t="s">
        <v>3</v>
      </c>
      <c r="I30">
        <v>601</v>
      </c>
    </row>
    <row r="35" spans="3:9" x14ac:dyDescent="0.45">
      <c r="C35" t="s">
        <v>4</v>
      </c>
      <c r="D35" s="2">
        <v>24</v>
      </c>
      <c r="H35" t="s">
        <v>5</v>
      </c>
      <c r="I35">
        <v>412</v>
      </c>
    </row>
    <row r="60" spans="2:10" x14ac:dyDescent="0.45">
      <c r="B60" t="s">
        <v>6</v>
      </c>
    </row>
    <row r="63" spans="2:10" x14ac:dyDescent="0.45">
      <c r="B63" t="s">
        <v>7</v>
      </c>
      <c r="C63">
        <v>1800</v>
      </c>
      <c r="D63" t="s">
        <v>1</v>
      </c>
      <c r="E63" t="s">
        <v>8</v>
      </c>
    </row>
    <row r="64" spans="2:10" x14ac:dyDescent="0.45">
      <c r="C64">
        <v>1200</v>
      </c>
      <c r="E64">
        <v>0</v>
      </c>
      <c r="G64" t="s">
        <v>9</v>
      </c>
      <c r="H64" t="s">
        <v>10</v>
      </c>
      <c r="I64" t="s">
        <v>11</v>
      </c>
      <c r="J64" t="s">
        <v>12</v>
      </c>
    </row>
    <row r="65" spans="2:10" x14ac:dyDescent="0.45">
      <c r="B65" t="s">
        <v>13</v>
      </c>
      <c r="C65" cm="1">
        <f t="array" ref="C65">_xlfn.IFS($C$68=1,C64-Sales_Growth,$C$68=2,C64+Decline,$C$68=3,Steady_State)</f>
        <v>1612</v>
      </c>
      <c r="D65" s="3">
        <f>Price*C65/1000</f>
        <v>48.36</v>
      </c>
      <c r="E65" s="3">
        <f>C65*Cost/1000</f>
        <v>38.688000000000002</v>
      </c>
      <c r="G65" s="4">
        <f>D66</f>
        <v>36</v>
      </c>
      <c r="H65" s="4">
        <f>E66</f>
        <v>28.8</v>
      </c>
      <c r="I65" s="6">
        <f>G65-H65</f>
        <v>7.1999999999999993</v>
      </c>
      <c r="J65" s="6">
        <f>G68-H68</f>
        <v>29.448</v>
      </c>
    </row>
    <row r="66" spans="2:10" x14ac:dyDescent="0.45">
      <c r="B66" t="s">
        <v>14</v>
      </c>
      <c r="C66">
        <f>IF($C$68&lt;&gt;3,C64,Steady_State)</f>
        <v>1200</v>
      </c>
      <c r="D66" s="3">
        <f>Price*C66/1000</f>
        <v>36</v>
      </c>
      <c r="E66" s="3">
        <f>C66*Cost/1000</f>
        <v>28.8</v>
      </c>
    </row>
    <row r="67" spans="2:10" x14ac:dyDescent="0.45">
      <c r="B67" t="s">
        <v>15</v>
      </c>
      <c r="C67" cm="1">
        <f t="array" ref="C67">_xlfn.IFS($C$68=1,C64+Sales_Growth,$C$68=2,C64-Decline,$C68=3,Steady_State)</f>
        <v>788</v>
      </c>
      <c r="D67" s="3">
        <f>Price*C67/1000</f>
        <v>23.64</v>
      </c>
      <c r="E67" s="3">
        <f>C67*Cost/1000</f>
        <v>18.911999999999999</v>
      </c>
      <c r="G67" t="s">
        <v>16</v>
      </c>
      <c r="H67" t="s">
        <v>17</v>
      </c>
    </row>
    <row r="68" spans="2:10" x14ac:dyDescent="0.45">
      <c r="C68">
        <v>2</v>
      </c>
      <c r="G68" s="4">
        <f>D65</f>
        <v>48.36</v>
      </c>
      <c r="H68" s="4">
        <f>E67</f>
        <v>18.911999999999999</v>
      </c>
    </row>
    <row r="69" spans="2:10" x14ac:dyDescent="0.45">
      <c r="B69" s="7" t="str">
        <f xml:space="preserve"> "Cash Flow: " &amp;TEXT(J65,"$#,##0.0_);($#,##0.0)")</f>
        <v xml:space="preserve">Cash Flow: $29.4 </v>
      </c>
    </row>
    <row r="70" spans="2:10" x14ac:dyDescent="0.45">
      <c r="B70" t="str">
        <f xml:space="preserve"> "Net Income: "&amp;TEXT(I65,"$#,##0.0_);($#,##0.0)")</f>
        <v xml:space="preserve">Net Income: $7.2 </v>
      </c>
    </row>
    <row r="71" spans="2:10" x14ac:dyDescent="0.45">
      <c r="B71" t="str">
        <f xml:space="preserve"> "Revenues: "&amp;TEXT(G65,"$#,##0.0_);($#,##0.0)")</f>
        <v xml:space="preserve">Revenues: $36.0 </v>
      </c>
    </row>
    <row r="72" spans="2:10" x14ac:dyDescent="0.45">
      <c r="B72" t="str">
        <f xml:space="preserve"> "Expenses: "&amp;TEXT(H65,"$#,##0.0_);($#,##0.0)")</f>
        <v xml:space="preserve">Expenses: $28.8 </v>
      </c>
    </row>
    <row r="73" spans="2:10" x14ac:dyDescent="0.45">
      <c r="B73" t="str">
        <f xml:space="preserve"> "Cash Receipts: "&amp;TEXT(G68,"$#,##0.0_);($#,##0.0)")</f>
        <v xml:space="preserve">Cash Receipts: $48.4 </v>
      </c>
    </row>
    <row r="74" spans="2:10" x14ac:dyDescent="0.45">
      <c r="B74" t="str">
        <f xml:space="preserve"> "Cash Disbursements: "&amp;TEXT(H68,"$#,##0.0_);($#,##0.0)")</f>
        <v xml:space="preserve">Cash Disbursements: $18.9 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croll Bar 1">
              <controlPr defaultSize="0" autoPict="0">
                <anchor moveWithCells="1">
                  <from>
                    <xdr:col>1</xdr:col>
                    <xdr:colOff>647700</xdr:colOff>
                    <xdr:row>30</xdr:row>
                    <xdr:rowOff>23813</xdr:rowOff>
                  </from>
                  <to>
                    <xdr:col>6</xdr:col>
                    <xdr:colOff>166688</xdr:colOff>
                    <xdr:row>33</xdr:row>
                    <xdr:rowOff>14288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Scroll Bar 2">
              <controlPr defaultSize="0" autoPict="0">
                <anchor moveWithCells="1">
                  <from>
                    <xdr:col>1</xdr:col>
                    <xdr:colOff>647700</xdr:colOff>
                    <xdr:row>34</xdr:row>
                    <xdr:rowOff>176213</xdr:rowOff>
                  </from>
                  <to>
                    <xdr:col>6</xdr:col>
                    <xdr:colOff>166688</xdr:colOff>
                    <xdr:row>37</xdr:row>
                    <xdr:rowOff>166688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Scroll Bar 3">
              <controlPr defaultSize="0" autoPict="0">
                <anchor moveWithCells="1">
                  <from>
                    <xdr:col>7</xdr:col>
                    <xdr:colOff>23813</xdr:colOff>
                    <xdr:row>30</xdr:row>
                    <xdr:rowOff>14288</xdr:rowOff>
                  </from>
                  <to>
                    <xdr:col>11</xdr:col>
                    <xdr:colOff>176213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Scroll Bar 4">
              <controlPr defaultSize="0" autoPict="0">
                <anchor moveWithCells="1">
                  <from>
                    <xdr:col>6</xdr:col>
                    <xdr:colOff>657225</xdr:colOff>
                    <xdr:row>35</xdr:row>
                    <xdr:rowOff>61913</xdr:rowOff>
                  </from>
                  <to>
                    <xdr:col>11</xdr:col>
                    <xdr:colOff>161925</xdr:colOff>
                    <xdr:row>38</xdr:row>
                    <xdr:rowOff>52388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Option Button 5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161925</xdr:rowOff>
                  </from>
                  <to>
                    <xdr:col>1</xdr:col>
                    <xdr:colOff>323850</xdr:colOff>
                    <xdr:row>5</xdr:row>
                    <xdr:rowOff>23813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Option Button 6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147638</xdr:rowOff>
                  </from>
                  <to>
                    <xdr:col>1</xdr:col>
                    <xdr:colOff>323850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Option Button 7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157163</xdr:rowOff>
                  </from>
                  <to>
                    <xdr:col>1</xdr:col>
                    <xdr:colOff>319088</xdr:colOff>
                    <xdr:row>6</xdr:row>
                    <xdr:rowOff>14288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NI-CFO-Phases-Tool</vt:lpstr>
      <vt:lpstr>'NI-CFO-Phases-Tool'!Cost</vt:lpstr>
      <vt:lpstr>'NI-CFO-Phases-Tool'!Decline</vt:lpstr>
      <vt:lpstr>'NI-CFO-Phases-Tool'!Price</vt:lpstr>
      <vt:lpstr>'NI-CFO-Phases-Tool'!Sales_Growth</vt:lpstr>
      <vt:lpstr>Steady_State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2020-10-28T00:07:44Z</dcterms:created>
  <dcterms:modified xsi:type="dcterms:W3CDTF">2026-02-16T22:00:22Z</dcterms:modified>
  <cp:category/>
  <cp:contentStatus/>
</cp:coreProperties>
</file>