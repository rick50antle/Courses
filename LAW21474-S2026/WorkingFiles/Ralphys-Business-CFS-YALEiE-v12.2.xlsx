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LAW21474/LAW21474-S2026/WorkingFiles/"/>
    </mc:Choice>
  </mc:AlternateContent>
  <xr:revisionPtr revIDLastSave="299" documentId="8_{BECCF312-7F0C-44A7-9DB9-0724860DEB0E}" xr6:coauthVersionLast="47" xr6:coauthVersionMax="47" xr10:uidLastSave="{FF674943-5333-44FB-9401-46F5C97B70E3}"/>
  <workbookProtection workbookAlgorithmName="SHA-512" workbookHashValue="bpmyOGk+dKlO2pCV8NMr4nHHB02OHeREHVDpWcEzEismPES0cXe6RrslF0lAv9+HxLoaFBPzb7eSJoD11bRsqg==" workbookSaltValue="6oF7SrndpqFytIhbd4b9Wg==" workbookSpinCount="100000" lockStructure="1"/>
  <bookViews>
    <workbookView xWindow="2268" yWindow="2268" windowWidth="16068" windowHeight="13560" tabRatio="673" firstSheet="1" activeTab="2"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20" l="1" a="1"/>
  <c r="G49" i="20" s="1"/>
  <c r="L36" i="40"/>
  <c r="L37" i="40"/>
  <c r="L38" i="40"/>
  <c r="L39" i="40"/>
  <c r="L40" i="40"/>
  <c r="L41" i="40"/>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L14" i="40" l="1"/>
  <c r="L13" i="40"/>
  <c r="L12" i="40"/>
  <c r="L11"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3"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9" i="40"/>
  <c r="BE117" i="40" s="1"/>
  <c r="BE68" i="40"/>
  <c r="BE116" i="40" s="1"/>
  <c r="BE67" i="40"/>
  <c r="BE115" i="40" s="1"/>
  <c r="BE66" i="40"/>
  <c r="BE114" i="40" s="1"/>
  <c r="BE65" i="40"/>
  <c r="BE113" i="40" s="1"/>
  <c r="BE64" i="40"/>
  <c r="BE112" i="40" s="1"/>
  <c r="BE62" i="40"/>
  <c r="BE110" i="40" s="1"/>
  <c r="BE61" i="40"/>
  <c r="BE109" i="40" s="1"/>
  <c r="BE60" i="40"/>
  <c r="BE108" i="40" s="1"/>
  <c r="BE58" i="40"/>
  <c r="BE106"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5" i="40"/>
  <c r="BE104" i="40" s="1"/>
  <c r="BE44" i="40"/>
  <c r="BE103" i="40" s="1"/>
  <c r="BE42" i="40"/>
  <c r="BE101" i="40" s="1"/>
  <c r="BE40" i="40"/>
  <c r="BE99"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1"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F34" i="40"/>
  <c r="L51" i="40"/>
  <c r="L50" i="40"/>
  <c r="L49" i="40"/>
  <c r="L48" i="40"/>
  <c r="L47" i="40"/>
  <c r="L46" i="40"/>
  <c r="L23" i="40"/>
  <c r="L20" i="40"/>
  <c r="L31" i="40"/>
  <c r="L30" i="40"/>
  <c r="L29" i="40"/>
  <c r="L28" i="40"/>
  <c r="L21"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J81" i="20" s="1"/>
  <c r="BZ76" i="20" a="1"/>
  <c r="BZ76" i="20" s="1"/>
  <c r="BF76" i="20" s="1" a="1"/>
  <c r="BN79" i="20" s="1"/>
  <c r="I56" i="1"/>
  <c r="D20" i="40" s="1"/>
  <c r="E242" i="2"/>
  <c r="I160" i="1" s="1"/>
  <c r="J29" i="40" s="1"/>
  <c r="I74" i="1"/>
  <c r="I75" i="1"/>
  <c r="I76" i="1"/>
  <c r="I77" i="1"/>
  <c r="I78" i="1"/>
  <c r="G13" i="20"/>
  <c r="H13" i="20"/>
  <c r="H12" i="20" s="1" a="1"/>
  <c r="H12" i="20" s="1"/>
  <c r="G23" i="20"/>
  <c r="H23" i="20"/>
  <c r="AA4" i="20"/>
  <c r="AB4" i="20"/>
  <c r="I108" i="1"/>
  <c r="D71" i="40" s="1"/>
  <c r="E71" i="40" s="1"/>
  <c r="I109" i="1"/>
  <c r="I110" i="1"/>
  <c r="I111" i="1"/>
  <c r="I124" i="1"/>
  <c r="I125" i="1"/>
  <c r="I126" i="1"/>
  <c r="I127" i="1"/>
  <c r="I128" i="1"/>
  <c r="E187" i="2"/>
  <c r="G187" i="2" s="1"/>
  <c r="AG73" i="20" a="1"/>
  <c r="AG73" i="20" s="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I103" i="14" s="1" a="1"/>
  <c r="I103" i="14" s="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s="1"/>
  <c r="AS27" i="38" a="1"/>
  <c r="AS27" i="38" s="1"/>
  <c r="AS28" i="38" a="1"/>
  <c r="AS28" i="38"/>
  <c r="AS29" i="38" a="1"/>
  <c r="AS29" i="38"/>
  <c r="AS30" i="38" a="1"/>
  <c r="AS30" i="38" s="1"/>
  <c r="AS31" i="38" a="1"/>
  <c r="AS31" i="38" s="1"/>
  <c r="AS32" i="38" a="1"/>
  <c r="AS32" i="38" s="1"/>
  <c r="AS33" i="38" a="1"/>
  <c r="AS33" i="38" s="1"/>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s="1"/>
  <c r="AR26" i="38" a="1"/>
  <c r="AR26" i="38" s="1"/>
  <c r="AR27" i="38" a="1"/>
  <c r="AR27" i="38" s="1"/>
  <c r="AR28" i="38" a="1"/>
  <c r="AR28" i="38"/>
  <c r="AR29" i="38" a="1"/>
  <c r="AR29" i="38"/>
  <c r="AR30" i="38" a="1"/>
  <c r="AR30" i="38"/>
  <c r="AR31" i="38" a="1"/>
  <c r="AR31" i="38"/>
  <c r="AR32" i="38" a="1"/>
  <c r="AR32" i="38" s="1"/>
  <c r="AR33" i="38" a="1"/>
  <c r="AR33" i="38" s="1"/>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s="1"/>
  <c r="F51" i="9"/>
  <c r="F50" i="9"/>
  <c r="F49" i="9"/>
  <c r="F48" i="9"/>
  <c r="F47" i="9"/>
  <c r="F46"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s="1"/>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C14" i="38" a="1"/>
  <c r="C14" i="38" s="1"/>
  <c r="D103" i="38"/>
  <c r="D108" i="38"/>
  <c r="BH85" i="40"/>
  <c r="BH86" i="40"/>
  <c r="BC87" i="40"/>
  <c r="BA87" i="40" s="1"/>
  <c r="BC88" i="40"/>
  <c r="BA88" i="40" s="1"/>
  <c r="BC89" i="40"/>
  <c r="BA89" i="40" s="1"/>
  <c r="BH90" i="40"/>
  <c r="BH91" i="40"/>
  <c r="BC92" i="40"/>
  <c r="BA92" i="40" s="1"/>
  <c r="BC93" i="40"/>
  <c r="BA93" i="40" s="1"/>
  <c r="BC94" i="40"/>
  <c r="BA94" i="40" s="1"/>
  <c r="BH68" i="40"/>
  <c r="BC40" i="40"/>
  <c r="BA40" i="40" s="1"/>
  <c r="BC64" i="40"/>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83" i="38"/>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3" i="38"/>
  <c r="AL83" i="38"/>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c r="V52" i="27"/>
  <c r="V145" i="27"/>
  <c r="V53" i="27"/>
  <c r="V146" i="27"/>
  <c r="V54" i="27"/>
  <c r="V147" i="27"/>
  <c r="V55" i="27"/>
  <c r="V148" i="27"/>
  <c r="V56" i="27"/>
  <c r="V149" i="27"/>
  <c r="V57" i="27"/>
  <c r="V150" i="27"/>
  <c r="V58" i="27"/>
  <c r="V151" i="27"/>
  <c r="V59" i="27"/>
  <c r="V152" i="27"/>
  <c r="V60" i="27"/>
  <c r="V153"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278" i="38" s="1" a="1"/>
  <c r="I278"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s="1"/>
  <c r="Y14" i="40" a="1"/>
  <c r="Y14" i="40" s="1"/>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C24" i="40"/>
  <c r="BA24" i="40" s="1"/>
  <c r="BH23" i="40"/>
  <c r="BC22" i="40"/>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c r="AD467" i="1" a="1"/>
  <c r="AD467" i="1"/>
  <c r="AC467" i="1" a="1"/>
  <c r="AC467" i="1"/>
  <c r="AG466" i="1" a="1"/>
  <c r="AG466" i="1"/>
  <c r="AF466" i="1" a="1"/>
  <c r="AF466" i="1"/>
  <c r="AE466" i="1" a="1"/>
  <c r="AE466" i="1"/>
  <c r="AD466" i="1" a="1"/>
  <c r="AD466" i="1"/>
  <c r="AC466" i="1" a="1"/>
  <c r="AC466" i="1"/>
  <c r="AG465" i="1" a="1"/>
  <c r="AG465" i="1"/>
  <c r="AF465" i="1" a="1"/>
  <c r="AF465" i="1"/>
  <c r="AE465" i="1" a="1"/>
  <c r="AE465" i="1"/>
  <c r="AD465" i="1" a="1"/>
  <c r="AD465" i="1"/>
  <c r="AC465" i="1" a="1"/>
  <c r="AC465" i="1"/>
  <c r="AG464" i="1" a="1"/>
  <c r="AG464" i="1"/>
  <c r="AF464" i="1" a="1"/>
  <c r="AF464" i="1"/>
  <c r="AE464" i="1" a="1"/>
  <c r="AE464" i="1"/>
  <c r="AD464" i="1" a="1"/>
  <c r="AD464" i="1"/>
  <c r="AC464" i="1" a="1"/>
  <c r="AC464" i="1"/>
  <c r="AG463" i="1" a="1"/>
  <c r="AG463" i="1"/>
  <c r="AF463" i="1" a="1"/>
  <c r="AF463" i="1"/>
  <c r="AE463" i="1" a="1"/>
  <c r="AE463" i="1"/>
  <c r="AD463" i="1" a="1"/>
  <c r="AD463" i="1"/>
  <c r="AC463" i="1" a="1"/>
  <c r="AC463" i="1"/>
  <c r="AG462" i="1" a="1"/>
  <c r="AG462" i="1"/>
  <c r="AF462" i="1" a="1"/>
  <c r="AF462" i="1"/>
  <c r="AE462" i="1" a="1"/>
  <c r="AE462" i="1"/>
  <c r="AD462" i="1" a="1"/>
  <c r="AD462" i="1"/>
  <c r="AC462" i="1" a="1"/>
  <c r="AC462" i="1"/>
  <c r="AG461" i="1" a="1"/>
  <c r="AG461" i="1"/>
  <c r="AF461" i="1" a="1"/>
  <c r="AF461" i="1"/>
  <c r="AE461" i="1" a="1"/>
  <c r="AE461" i="1"/>
  <c r="AD461" i="1" a="1"/>
  <c r="AD461" i="1"/>
  <c r="AC461" i="1" a="1"/>
  <c r="AC461" i="1"/>
  <c r="AG460" i="1" a="1"/>
  <c r="AG460" i="1"/>
  <c r="AF460" i="1" a="1"/>
  <c r="AF460" i="1"/>
  <c r="AE460" i="1" a="1"/>
  <c r="AE460" i="1"/>
  <c r="AD460" i="1" a="1"/>
  <c r="AD460" i="1"/>
  <c r="AC460" i="1" a="1"/>
  <c r="AC460" i="1"/>
  <c r="AG459" i="1" a="1"/>
  <c r="AG459" i="1"/>
  <c r="AF459" i="1" a="1"/>
  <c r="AF459" i="1"/>
  <c r="AE459" i="1" a="1"/>
  <c r="AE459" i="1"/>
  <c r="AD459" i="1" a="1"/>
  <c r="AD459" i="1"/>
  <c r="AC459" i="1" a="1"/>
  <c r="AC459" i="1"/>
  <c r="AG458" i="1" a="1"/>
  <c r="AG458" i="1"/>
  <c r="AF458" i="1" a="1"/>
  <c r="AF458" i="1"/>
  <c r="AE458" i="1" a="1"/>
  <c r="AE458" i="1"/>
  <c r="AD458" i="1" a="1"/>
  <c r="AD458" i="1"/>
  <c r="AC458" i="1" a="1"/>
  <c r="AC458" i="1"/>
  <c r="AG457" i="1" a="1"/>
  <c r="AG457" i="1"/>
  <c r="AF457" i="1" a="1"/>
  <c r="AF457" i="1"/>
  <c r="AE457" i="1" a="1"/>
  <c r="AE457" i="1"/>
  <c r="AD457" i="1" a="1"/>
  <c r="AD457" i="1"/>
  <c r="AC457" i="1" a="1"/>
  <c r="AC457" i="1"/>
  <c r="AG456" i="1" a="1"/>
  <c r="AG456" i="1"/>
  <c r="AF456" i="1" a="1"/>
  <c r="AF456" i="1"/>
  <c r="AE456" i="1" a="1"/>
  <c r="AE456" i="1"/>
  <c r="AD456" i="1" a="1"/>
  <c r="AD456" i="1"/>
  <c r="AC456" i="1" a="1"/>
  <c r="AC456" i="1"/>
  <c r="AG455" i="1" a="1"/>
  <c r="AG455" i="1"/>
  <c r="AF455" i="1" a="1"/>
  <c r="AF455" i="1"/>
  <c r="AE455" i="1" a="1"/>
  <c r="AE455" i="1"/>
  <c r="AD455" i="1" a="1"/>
  <c r="AD455" i="1"/>
  <c r="AC455" i="1" a="1"/>
  <c r="AC455" i="1"/>
  <c r="AG454" i="1" a="1"/>
  <c r="AG454" i="1"/>
  <c r="AF454" i="1" a="1"/>
  <c r="AF454" i="1"/>
  <c r="AE454" i="1" a="1"/>
  <c r="AE454" i="1"/>
  <c r="AD454" i="1" a="1"/>
  <c r="AD454" i="1"/>
  <c r="AC454" i="1" a="1"/>
  <c r="AC454" i="1"/>
  <c r="AG453" i="1" a="1"/>
  <c r="AG453" i="1"/>
  <c r="AF453" i="1" a="1"/>
  <c r="AF453" i="1"/>
  <c r="AE453" i="1" a="1"/>
  <c r="AE453" i="1"/>
  <c r="AD453" i="1" a="1"/>
  <c r="AD453" i="1"/>
  <c r="AC453" i="1" a="1"/>
  <c r="AC453" i="1"/>
  <c r="AG452" i="1" a="1"/>
  <c r="AG452" i="1"/>
  <c r="AF452" i="1" a="1"/>
  <c r="AF452" i="1"/>
  <c r="AE452" i="1" a="1"/>
  <c r="AE452" i="1"/>
  <c r="AD452" i="1" a="1"/>
  <c r="AD452" i="1"/>
  <c r="AI509" i="1"/>
  <c r="AI508" i="1"/>
  <c r="AI507" i="1"/>
  <c r="AI506" i="1"/>
  <c r="AI505" i="1"/>
  <c r="AI504" i="1"/>
  <c r="AI503" i="1"/>
  <c r="AI502" i="1"/>
  <c r="AI501" i="1"/>
  <c r="AI500" i="1"/>
  <c r="AI499" i="1"/>
  <c r="AI498" i="1"/>
  <c r="AI497" i="1"/>
  <c r="AB450" i="1"/>
  <c r="H420" i="1" a="1"/>
  <c r="H420" i="1" s="1"/>
  <c r="D64" i="13" a="1"/>
  <c r="D64" i="13" s="1"/>
  <c r="Q61" i="13"/>
  <c r="I74" i="13"/>
  <c r="I75" i="13"/>
  <c r="E70" i="13"/>
  <c r="C102" i="14"/>
  <c r="C103" i="14"/>
  <c r="C100" i="14" a="1"/>
  <c r="C100" i="14" s="1"/>
  <c r="C107" i="14" s="1"/>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s="1"/>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c r="E111" i="13" a="1"/>
  <c r="E111" i="13"/>
  <c r="E110" i="13" a="1"/>
  <c r="E110" i="13"/>
  <c r="E109" i="13" a="1"/>
  <c r="E109" i="13"/>
  <c r="E108" i="13" a="1"/>
  <c r="E108" i="13"/>
  <c r="E107" i="13" a="1"/>
  <c r="E107" i="13"/>
  <c r="E106" i="13" a="1"/>
  <c r="E106" i="13"/>
  <c r="D101" i="13"/>
  <c r="E101" i="13" a="1"/>
  <c r="E101" i="13"/>
  <c r="D100" i="13"/>
  <c r="E100" i="13" a="1"/>
  <c r="E100" i="13"/>
  <c r="D99" i="13"/>
  <c r="E99" i="13" a="1"/>
  <c r="E99" i="13"/>
  <c r="D98" i="13"/>
  <c r="E98" i="13" a="1"/>
  <c r="E98" i="13"/>
  <c r="D97" i="13"/>
  <c r="E97" i="13" a="1"/>
  <c r="E97" i="13"/>
  <c r="D96" i="13"/>
  <c r="E96" i="13" a="1"/>
  <c r="E96" i="13"/>
  <c r="D95" i="13"/>
  <c r="E95" i="13" a="1"/>
  <c r="E95" i="13"/>
  <c r="D94" i="13"/>
  <c r="E94" i="13" a="1"/>
  <c r="E94" i="13"/>
  <c r="D90" i="13"/>
  <c r="D89" i="13"/>
  <c r="D88" i="13"/>
  <c r="D87" i="13"/>
  <c r="D86" i="13"/>
  <c r="D85" i="13"/>
  <c r="D84" i="13"/>
  <c r="E84" i="13" a="1"/>
  <c r="E84" i="13"/>
  <c r="D83" i="13"/>
  <c r="E83" i="13" a="1"/>
  <c r="E83" i="13"/>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62" i="3"/>
  <c r="J130" i="3"/>
  <c r="J114" i="3"/>
  <c r="J177" i="3"/>
  <c r="J169" i="3"/>
  <c r="J161" i="3"/>
  <c r="J153" i="3"/>
  <c r="J137" i="3"/>
  <c r="J129" i="3"/>
  <c r="J121" i="3"/>
  <c r="J113" i="3"/>
  <c r="J170" i="3"/>
  <c r="J154" i="3"/>
  <c r="J138" i="3"/>
  <c r="J12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192" i="3" s="1"/>
  <c r="J193" i="3" s="1"/>
  <c r="J194" i="3" s="1"/>
  <c r="J9" i="3"/>
  <c r="J10" i="3" s="1"/>
  <c r="J11" i="3"/>
  <c r="J12" i="3"/>
  <c r="J13" i="3"/>
  <c r="J14" i="3"/>
  <c r="K9" i="3" a="1"/>
  <c r="K9" i="3" s="1"/>
  <c r="K10" i="3" a="1"/>
  <c r="K10" i="3" s="1"/>
  <c r="K11" i="3" a="1"/>
  <c r="K11" i="3" s="1"/>
  <c r="J15" i="3"/>
  <c r="J16" i="3"/>
  <c r="K12" i="3" a="1"/>
  <c r="K12" i="3" s="1"/>
  <c r="K13" i="3" a="1"/>
  <c r="K13" i="3" s="1"/>
  <c r="K14" i="3" a="1"/>
  <c r="K14" i="3" s="1"/>
  <c r="K15" i="3" a="1"/>
  <c r="K15" i="3" s="1"/>
  <c r="J17" i="3"/>
  <c r="J18" i="3"/>
  <c r="K16" i="3" a="1"/>
  <c r="K16" i="3" s="1"/>
  <c r="J19" i="3"/>
  <c r="K17" i="3" a="1"/>
  <c r="K17" i="3" s="1"/>
  <c r="J27" i="3"/>
  <c r="J28" i="3"/>
  <c r="J20" i="3"/>
  <c r="K18" i="3" a="1"/>
  <c r="K18" i="3" s="1"/>
  <c r="J21" i="3"/>
  <c r="J22" i="3" s="1"/>
  <c r="K19" i="3" a="1"/>
  <c r="K19" i="3" s="1"/>
  <c r="K26" i="3" a="1"/>
  <c r="K26" i="3" s="1"/>
  <c r="K20" i="3" a="1"/>
  <c r="K20" i="3" s="1"/>
  <c r="J23" i="3"/>
  <c r="J24" i="3"/>
  <c r="J25" i="3"/>
  <c r="J26" i="3"/>
  <c r="J29" i="3"/>
  <c r="J30" i="3"/>
  <c r="J31" i="3" s="1"/>
  <c r="K27" i="3" a="1"/>
  <c r="K27" i="3" s="1"/>
  <c r="K21" i="3" a="1"/>
  <c r="K21" i="3" s="1"/>
  <c r="K28" i="3" a="1"/>
  <c r="K28" i="3" s="1"/>
  <c r="K22" i="3" a="1"/>
  <c r="K22" i="3" s="1"/>
  <c r="K29" i="3" a="1"/>
  <c r="K29" i="3" s="1"/>
  <c r="J32" i="3"/>
  <c r="J33" i="3"/>
  <c r="J34" i="3"/>
  <c r="K24" i="3" a="1"/>
  <c r="K24" i="3" s="1"/>
  <c r="K23" i="3" a="1"/>
  <c r="K23" i="3" s="1"/>
  <c r="K30" i="3" a="1"/>
  <c r="K30" i="3" s="1"/>
  <c r="K25" i="3" a="1"/>
  <c r="K25" i="3" s="1"/>
  <c r="K31" i="3" a="1"/>
  <c r="K31" i="3" s="1"/>
  <c r="K32" i="3" a="1"/>
  <c r="K32" i="3" s="1"/>
  <c r="J35" i="3"/>
  <c r="J36" i="3"/>
  <c r="J37" i="3"/>
  <c r="J38" i="3"/>
  <c r="K33" i="3" a="1"/>
  <c r="K33" i="3" s="1"/>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s="1"/>
  <c r="K37" i="3" a="1"/>
  <c r="K37" i="3" s="1"/>
  <c r="K47" i="3" a="1"/>
  <c r="K47" i="3" s="1"/>
  <c r="K38" i="3" a="1"/>
  <c r="K38" i="3" s="1"/>
  <c r="K48" i="3" a="1"/>
  <c r="K48" i="3" s="1"/>
  <c r="K39" i="3" a="1"/>
  <c r="K39" i="3" s="1"/>
  <c r="K49" i="3" a="1"/>
  <c r="K49" i="3" s="1"/>
  <c r="K40" i="3" a="1"/>
  <c r="K40" i="3" s="1"/>
  <c r="K50" i="3" a="1"/>
  <c r="K50" i="3" s="1"/>
  <c r="K42" i="3" a="1"/>
  <c r="K42" i="3" s="1"/>
  <c r="K51" i="3" a="1"/>
  <c r="K51" i="3" s="1"/>
  <c r="K41" i="3" a="1"/>
  <c r="K41" i="3" s="1"/>
  <c r="K43" i="3" a="1"/>
  <c r="K43" i="3" s="1"/>
  <c r="K53" i="3" a="1"/>
  <c r="K53" i="3" s="1"/>
  <c r="K52" i="3" a="1"/>
  <c r="K52" i="3" s="1"/>
  <c r="K54" i="3" a="1"/>
  <c r="K54" i="3" s="1"/>
  <c r="K55" i="3" a="1"/>
  <c r="K55" i="3" s="1"/>
  <c r="K56" i="3" a="1"/>
  <c r="K56" i="3" s="1"/>
  <c r="K61" i="3" a="1"/>
  <c r="K61" i="3" s="1"/>
  <c r="K57" i="3" a="1"/>
  <c r="K57" i="3" s="1"/>
  <c r="K60" i="3" a="1"/>
  <c r="K60" i="3" s="1"/>
  <c r="K59" i="3" a="1"/>
  <c r="K59" i="3" s="1"/>
  <c r="K62" i="3" a="1"/>
  <c r="K62" i="3" s="1"/>
  <c r="K58" i="3" a="1"/>
  <c r="K58" i="3" s="1"/>
  <c r="K69" i="3" a="1"/>
  <c r="K69" i="3" s="1"/>
  <c r="K63" i="3" a="1"/>
  <c r="K63" i="3" s="1"/>
  <c r="K70" i="3" a="1"/>
  <c r="K70" i="3" s="1"/>
  <c r="K71" i="3" a="1"/>
  <c r="K71" i="3" s="1"/>
  <c r="K64" i="3" a="1"/>
  <c r="K64" i="3" s="1"/>
  <c r="K65" i="3" a="1"/>
  <c r="K65" i="3" s="1"/>
  <c r="K72" i="3" a="1"/>
  <c r="K72" i="3" s="1"/>
  <c r="K66" i="3" a="1"/>
  <c r="K66" i="3" s="1"/>
  <c r="K73" i="3" a="1"/>
  <c r="K73" i="3" s="1"/>
  <c r="K67" i="3" a="1"/>
  <c r="K67" i="3" s="1"/>
  <c r="K74" i="3" a="1"/>
  <c r="K74" i="3" s="1"/>
  <c r="K68" i="3" a="1"/>
  <c r="K68" i="3" s="1"/>
  <c r="K75" i="3" a="1"/>
  <c r="K75" i="3" s="1"/>
  <c r="K76" i="3" a="1"/>
  <c r="K76" i="3" s="1"/>
  <c r="K77" i="3" a="1"/>
  <c r="K77" i="3" s="1"/>
  <c r="K78" i="3" a="1"/>
  <c r="K78" i="3" s="1"/>
  <c r="K79" i="3" a="1"/>
  <c r="K79" i="3" s="1"/>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s="1"/>
  <c r="K87" i="3" a="1"/>
  <c r="K87" i="3" s="1"/>
  <c r="K88" i="3" a="1"/>
  <c r="K88" i="3" s="1"/>
  <c r="K89" i="3" a="1"/>
  <c r="K89" i="3" s="1"/>
  <c r="K90" i="3" a="1"/>
  <c r="K90" i="3" s="1"/>
  <c r="K91" i="3" a="1"/>
  <c r="K91" i="3" s="1"/>
  <c r="K92" i="3" a="1"/>
  <c r="K92" i="3" s="1"/>
  <c r="K93" i="3" a="1"/>
  <c r="K93" i="3" s="1"/>
  <c r="K94" i="3" a="1"/>
  <c r="K94" i="3" s="1"/>
  <c r="J109" i="3"/>
  <c r="K96" i="3" a="1"/>
  <c r="K96" i="3" s="1"/>
  <c r="Q127" i="14"/>
  <c r="Q32" i="14" s="1"/>
  <c r="Q130" i="14"/>
  <c r="Q35" i="14" s="1"/>
  <c r="Q129" i="14"/>
  <c r="Q34" i="14" s="1"/>
  <c r="B9" i="14" a="1"/>
  <c r="B9" i="14" s="1"/>
  <c r="B29" i="14" a="1"/>
  <c r="B29" i="14" s="1"/>
  <c r="Q128" i="14"/>
  <c r="Q33" i="14" s="1"/>
  <c r="C9" i="14" a="1"/>
  <c r="C9" i="14" s="1"/>
  <c r="Q115" i="14"/>
  <c r="Q20" i="14" s="1"/>
  <c r="Q114" i="14"/>
  <c r="Q19" i="14" s="1"/>
  <c r="Q116" i="14"/>
  <c r="Q21" i="14" s="1"/>
  <c r="Q113" i="14"/>
  <c r="Q18" i="14" s="1"/>
  <c r="E29" i="14" a="1"/>
  <c r="E29" i="14" s="1"/>
  <c r="Q122" i="14"/>
  <c r="Q27" i="14" s="1"/>
  <c r="Q103" i="14"/>
  <c r="Q8" i="14" s="1"/>
  <c r="D9" i="14" a="1"/>
  <c r="D9" i="14" s="1"/>
  <c r="Q104" i="14"/>
  <c r="Q9" i="14" s="1"/>
  <c r="Q123" i="14"/>
  <c r="Q28" i="14" s="1"/>
  <c r="E9" i="14" a="1"/>
  <c r="E9" i="14" s="1"/>
  <c r="D29" i="14" a="1"/>
  <c r="D29" i="14" s="1"/>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s="1"/>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s="1"/>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s="1"/>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s="1"/>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K108" i="3" a="1"/>
  <c r="K108" i="3" s="1"/>
  <c r="I2" i="3"/>
  <c r="H124" i="35"/>
  <c r="H125" i="35"/>
  <c r="J31" i="35"/>
  <c r="J32" i="35"/>
  <c r="M107" i="14" a="1"/>
  <c r="M107" i="14"/>
  <c r="L107" i="14" a="1"/>
  <c r="L107" i="14"/>
  <c r="K107" i="14" a="1"/>
  <c r="K107" i="14"/>
  <c r="I107" i="14" a="1"/>
  <c r="I107" i="14"/>
  <c r="J107" i="14" a="1"/>
  <c r="J107" i="14"/>
  <c r="Q431" i="35"/>
  <c r="E203" i="35"/>
  <c r="E165" i="35"/>
  <c r="AI496" i="1"/>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AI465" i="1"/>
  <c r="AH465" i="1" s="1" a="1"/>
  <c r="AH465" i="1" s="1"/>
  <c r="AI461" i="1"/>
  <c r="AH461" i="1" s="1" a="1"/>
  <c r="AH461" i="1" s="1"/>
  <c r="AI459" i="1"/>
  <c r="AH459" i="1" s="1" a="1"/>
  <c r="AH459" i="1" s="1"/>
  <c r="AI455" i="1"/>
  <c r="AH455" i="1" a="1"/>
  <c r="AH455" i="1" s="1"/>
  <c r="AI460" i="1"/>
  <c r="AI458" i="1"/>
  <c r="AH458" i="1" a="1"/>
  <c r="AH458" i="1" s="1"/>
  <c r="AI462" i="1"/>
  <c r="AH462" i="1" s="1" a="1"/>
  <c r="AH462" i="1" s="1"/>
  <c r="AI466" i="1"/>
  <c r="AI463" i="1"/>
  <c r="AH463" i="1" s="1" a="1"/>
  <c r="AH463" i="1" s="1"/>
  <c r="AI452" i="1"/>
  <c r="AI457" i="1"/>
  <c r="AH457" i="1" s="1" a="1"/>
  <c r="AH457" i="1" s="1"/>
  <c r="E46" i="13"/>
  <c r="C51" i="13" a="1"/>
  <c r="C51" i="13"/>
  <c r="AH460" i="1" a="1"/>
  <c r="AH460" i="1" s="1"/>
  <c r="AH466" i="1" a="1"/>
  <c r="AH466" i="1" s="1"/>
  <c r="D114" i="13"/>
  <c r="D115" i="13"/>
  <c r="AP83" i="38"/>
  <c r="AJ84" i="38"/>
  <c r="AL84" i="38"/>
  <c r="AJ82" i="38"/>
  <c r="AL82" i="38"/>
  <c r="AJ87" i="38"/>
  <c r="AL87" i="38"/>
  <c r="AJ86" i="38"/>
  <c r="AL86" i="38"/>
  <c r="AJ85" i="38"/>
  <c r="AL85" i="38"/>
  <c r="AJ90" i="38"/>
  <c r="AL90" i="38"/>
  <c r="AC75" i="38"/>
  <c r="AE75" i="38"/>
  <c r="AC64" i="38"/>
  <c r="AE64" i="38"/>
  <c r="AJ88" i="38"/>
  <c r="AL88" i="38"/>
  <c r="AF66" i="38"/>
  <c r="AH66" i="38"/>
  <c r="AF77" i="38"/>
  <c r="AH77" i="38"/>
  <c r="AF81" i="38"/>
  <c r="AH81" i="38"/>
  <c r="AC90" i="38"/>
  <c r="AE90" i="38"/>
  <c r="AF83" i="38"/>
  <c r="AH83" i="38"/>
  <c r="AF86" i="38"/>
  <c r="AH86" i="38"/>
  <c r="AF87" i="38"/>
  <c r="AH87" i="38"/>
  <c r="AF88" i="38"/>
  <c r="AH88" i="38"/>
  <c r="AF55" i="38"/>
  <c r="AH55" i="38"/>
  <c r="AF85" i="38"/>
  <c r="AH85" i="38"/>
  <c r="AJ74" i="38"/>
  <c r="AL74" i="38"/>
  <c r="AJ75" i="38"/>
  <c r="AL75" i="38"/>
  <c r="AF43" i="38"/>
  <c r="AH43" i="38"/>
  <c r="AJ76" i="38"/>
  <c r="AL76" i="38"/>
  <c r="AF45" i="38"/>
  <c r="AH45" i="38"/>
  <c r="AJ77" i="38"/>
  <c r="AL77" i="38"/>
  <c r="AF51" i="38"/>
  <c r="AH51" i="38"/>
  <c r="AJ78" i="38"/>
  <c r="AL78" i="38"/>
  <c r="AF56" i="38"/>
  <c r="AH56" i="38"/>
  <c r="AJ79" i="38"/>
  <c r="AL79" i="38"/>
  <c r="AF75" i="38"/>
  <c r="AH75" i="38"/>
  <c r="AJ80" i="38"/>
  <c r="AL80" i="38"/>
  <c r="AJ81" i="38"/>
  <c r="AL81" i="38"/>
  <c r="AN64" i="38"/>
  <c r="AP64" i="38"/>
  <c r="AN66" i="38"/>
  <c r="AP66" i="38"/>
  <c r="AN67" i="38"/>
  <c r="AP67" i="38"/>
  <c r="AF49" i="38"/>
  <c r="AH49" i="38"/>
  <c r="AN68" i="38"/>
  <c r="AP68" i="38"/>
  <c r="AN69" i="38"/>
  <c r="AP69" i="38"/>
  <c r="AF52" i="38"/>
  <c r="AH52" i="38"/>
  <c r="AN70" i="38"/>
  <c r="AP70" i="38"/>
  <c r="AC58" i="38"/>
  <c r="AE58" i="38"/>
  <c r="AF54" i="38"/>
  <c r="AH54" i="38"/>
  <c r="AN71" i="38"/>
  <c r="AP71" i="38"/>
  <c r="AC60" i="38"/>
  <c r="AE60" i="38"/>
  <c r="AN72" i="38"/>
  <c r="AP72" i="38"/>
  <c r="AN73" i="38"/>
  <c r="AP73" i="38"/>
  <c r="AF67" i="38"/>
  <c r="AH67" i="38"/>
  <c r="AN88" i="38"/>
  <c r="AP88" i="38"/>
  <c r="AN89" i="38"/>
  <c r="AP89" i="38"/>
  <c r="AN90" i="38"/>
  <c r="AP90" i="38"/>
  <c r="AF65" i="38"/>
  <c r="AH65" i="38"/>
  <c r="AF59" i="38"/>
  <c r="AH59" i="38"/>
  <c r="AN56" i="38"/>
  <c r="AP56" i="38"/>
  <c r="AN57" i="38"/>
  <c r="AP57" i="38"/>
  <c r="AN58" i="38"/>
  <c r="AP58" i="38"/>
  <c r="AN59" i="38"/>
  <c r="AP59" i="38"/>
  <c r="AN60" i="38"/>
  <c r="AP60" i="38"/>
  <c r="AN61" i="38"/>
  <c r="AP61" i="38"/>
  <c r="AN62" i="38"/>
  <c r="AP62" i="38"/>
  <c r="AN63" i="38"/>
  <c r="AP63" i="38"/>
  <c r="AI456" i="1"/>
  <c r="AH456" i="1" s="1" a="1"/>
  <c r="AH456" i="1" s="1"/>
  <c r="AI453" i="1"/>
  <c r="AI454" i="1"/>
  <c r="AH454" i="1" a="1"/>
  <c r="AH454" i="1"/>
  <c r="AI467" i="1"/>
  <c r="AH467" i="1" s="1" a="1"/>
  <c r="AH467" i="1" s="1"/>
  <c r="AI464" i="1"/>
  <c r="AH464" i="1" s="1" a="1"/>
  <c r="AH464" i="1" s="1"/>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c r="BH25" i="40"/>
  <c r="BH26" i="40"/>
  <c r="BH21" i="40"/>
  <c r="BH22" i="40"/>
  <c r="BC23" i="40"/>
  <c r="BA23" i="40" s="1"/>
  <c r="L112" i="15" a="1"/>
  <c r="L112" i="15" s="1"/>
  <c r="N112" i="15" s="1"/>
  <c r="AN84" i="38"/>
  <c r="AP84" i="38"/>
  <c r="AC76" i="38"/>
  <c r="AE76" i="38"/>
  <c r="AC45" i="38"/>
  <c r="AE45" i="38"/>
  <c r="AC77" i="38"/>
  <c r="AE77" i="38"/>
  <c r="AF68" i="38"/>
  <c r="AH68" i="38"/>
  <c r="AN85" i="38"/>
  <c r="AP85" i="38"/>
  <c r="AC46" i="38"/>
  <c r="AE46" i="38"/>
  <c r="AC78" i="38"/>
  <c r="AE78" i="38"/>
  <c r="AF69" i="38"/>
  <c r="AH69" i="38"/>
  <c r="AN54" i="38"/>
  <c r="AP54" i="38"/>
  <c r="AN86" i="38"/>
  <c r="AP86" i="38"/>
  <c r="AC47" i="38"/>
  <c r="AE47" i="38"/>
  <c r="AC79" i="38"/>
  <c r="AE79" i="38"/>
  <c r="AF70" i="38"/>
  <c r="AH70" i="38"/>
  <c r="AN55" i="38"/>
  <c r="AP55" i="38"/>
  <c r="AN87" i="38"/>
  <c r="AP87" i="38"/>
  <c r="AC48" i="38"/>
  <c r="AE48" i="38"/>
  <c r="AC80" i="38"/>
  <c r="AE80" i="38"/>
  <c r="AF71" i="38"/>
  <c r="AH71" i="38"/>
  <c r="AC49" i="38"/>
  <c r="AE49" i="38"/>
  <c r="AC81" i="38"/>
  <c r="AE81" i="38"/>
  <c r="AF72" i="38"/>
  <c r="AH72" i="38"/>
  <c r="AC50" i="38"/>
  <c r="AE50" i="38"/>
  <c r="AC82" i="38"/>
  <c r="AE82" i="38"/>
  <c r="AF41" i="38"/>
  <c r="AH41" i="38"/>
  <c r="AF73" i="38"/>
  <c r="AH73" i="38"/>
  <c r="AC51" i="38"/>
  <c r="AE51" i="38"/>
  <c r="AC83" i="38"/>
  <c r="AE83" i="38"/>
  <c r="AF42" i="38"/>
  <c r="AH42" i="38"/>
  <c r="AF74" i="38"/>
  <c r="AH74" i="38"/>
  <c r="AC52" i="38"/>
  <c r="AE52" i="38"/>
  <c r="AC84" i="38"/>
  <c r="AE84" i="38"/>
  <c r="AC53" i="38"/>
  <c r="AE53" i="38"/>
  <c r="AC85" i="38"/>
  <c r="AE85" i="38"/>
  <c r="AF44" i="38"/>
  <c r="AH44" i="38"/>
  <c r="AF76" i="38"/>
  <c r="AH76" i="38"/>
  <c r="AC55" i="38"/>
  <c r="AE55" i="38"/>
  <c r="AC87" i="38"/>
  <c r="AE87" i="38"/>
  <c r="AF46" i="38"/>
  <c r="AH46" i="38"/>
  <c r="AF78" i="38"/>
  <c r="AH78" i="38"/>
  <c r="AC56" i="38"/>
  <c r="AE56" i="38"/>
  <c r="AC88" i="38"/>
  <c r="AE88" i="38"/>
  <c r="AF47" i="38"/>
  <c r="AH47" i="38"/>
  <c r="AF79" i="38"/>
  <c r="AH79" i="38"/>
  <c r="AC54" i="38"/>
  <c r="AE54" i="38"/>
  <c r="AC86" i="38"/>
  <c r="AE86" i="38"/>
  <c r="AC57" i="38"/>
  <c r="AE57" i="38"/>
  <c r="AC89" i="38"/>
  <c r="AE89" i="38"/>
  <c r="AF48" i="38"/>
  <c r="AH48" i="38"/>
  <c r="AF80" i="38"/>
  <c r="AH80" i="38"/>
  <c r="AN65" i="38"/>
  <c r="AP65" i="38"/>
  <c r="AC59" i="38"/>
  <c r="AE59" i="38"/>
  <c r="AF50" i="38"/>
  <c r="AH50" i="38"/>
  <c r="AF82" i="38"/>
  <c r="AH82" i="38"/>
  <c r="AC61" i="38"/>
  <c r="AE61" i="38"/>
  <c r="AF84" i="38"/>
  <c r="AH84" i="38"/>
  <c r="AC62" i="38"/>
  <c r="AE62" i="38"/>
  <c r="AF53" i="38"/>
  <c r="AH53" i="38"/>
  <c r="AC66" i="38"/>
  <c r="AE66" i="38"/>
  <c r="AF57" i="38"/>
  <c r="AH57" i="38"/>
  <c r="AF89" i="38"/>
  <c r="AH89" i="38"/>
  <c r="AN74" i="38"/>
  <c r="AP74" i="38"/>
  <c r="AC63" i="38"/>
  <c r="AE63" i="38"/>
  <c r="AC65" i="38"/>
  <c r="AE65" i="38"/>
  <c r="AC67" i="38"/>
  <c r="AE67" i="38"/>
  <c r="AF58" i="38"/>
  <c r="AH58" i="38"/>
  <c r="AF90" i="38"/>
  <c r="AH90" i="38"/>
  <c r="AN75" i="38"/>
  <c r="AP75" i="38"/>
  <c r="AC68" i="38"/>
  <c r="AE68" i="38"/>
  <c r="AN76" i="38"/>
  <c r="AP76" i="38"/>
  <c r="AC69" i="38"/>
  <c r="AE69" i="38"/>
  <c r="AF60" i="38"/>
  <c r="AH60" i="38"/>
  <c r="AN77" i="38"/>
  <c r="AP77" i="38"/>
  <c r="AC70" i="38"/>
  <c r="AE70" i="38"/>
  <c r="AF61" i="38"/>
  <c r="AH61" i="38"/>
  <c r="AJ89" i="38"/>
  <c r="AL89" i="38"/>
  <c r="AN78" i="38"/>
  <c r="AP78" i="38"/>
  <c r="AC71" i="38"/>
  <c r="AE71" i="38"/>
  <c r="AF62" i="38"/>
  <c r="AH62" i="38"/>
  <c r="AN79" i="38"/>
  <c r="AP79" i="38"/>
  <c r="AC72" i="38"/>
  <c r="AE72" i="38"/>
  <c r="AF63" i="38"/>
  <c r="AH63" i="38"/>
  <c r="AN80" i="38"/>
  <c r="AP80" i="38"/>
  <c r="AC73" i="38"/>
  <c r="AE73" i="38"/>
  <c r="AF64" i="38"/>
  <c r="AH64" i="38"/>
  <c r="AN81" i="38"/>
  <c r="AP81" i="38"/>
  <c r="AC74" i="38"/>
  <c r="AE74" i="38"/>
  <c r="AN82" i="38"/>
  <c r="AP82" i="38"/>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M104" i="14" a="1"/>
  <c r="M104" i="14"/>
  <c r="L104" i="14" a="1"/>
  <c r="L104" i="14"/>
  <c r="K104" i="14" a="1"/>
  <c r="K104" i="14"/>
  <c r="J104" i="14" a="1"/>
  <c r="J104" i="14"/>
  <c r="I104" i="14" a="1"/>
  <c r="I104" i="14"/>
  <c r="O108" i="14"/>
  <c r="O113" i="14"/>
  <c r="O109" i="14"/>
  <c r="O120" i="14"/>
  <c r="O115" i="14"/>
  <c r="O116" i="14"/>
  <c r="O111" i="14"/>
  <c r="O117" i="14"/>
  <c r="O107" i="14"/>
  <c r="O118" i="14"/>
  <c r="O112" i="14"/>
  <c r="C104" i="14"/>
  <c r="BH61" i="40"/>
  <c r="BC61" i="40"/>
  <c r="BA61" i="40" s="1"/>
  <c r="BC85" i="40"/>
  <c r="BA85" i="40" s="1"/>
  <c r="BH89" i="40"/>
  <c r="BH87" i="40"/>
  <c r="BC86" i="40"/>
  <c r="BA86" i="40" s="1"/>
  <c r="BC15" i="40"/>
  <c r="BA15" i="40" s="1"/>
  <c r="L61" i="3" a="1"/>
  <c r="L61" i="3" s="1"/>
  <c r="L60" i="3" a="1"/>
  <c r="L60" i="3" s="1"/>
  <c r="L62" i="3" a="1"/>
  <c r="L62" i="3" s="1"/>
  <c r="L48" i="3" a="1"/>
  <c r="L48" i="3" s="1"/>
  <c r="L20" i="3" a="1"/>
  <c r="L20" i="3" s="1"/>
  <c r="L29" i="3" a="1"/>
  <c r="L29" i="3" s="1"/>
  <c r="N29" i="3" s="1"/>
  <c r="L87" i="3" a="1"/>
  <c r="L87" i="3" s="1"/>
  <c r="L88" i="3" a="1"/>
  <c r="L88" i="3" s="1"/>
  <c r="L89" i="3" a="1"/>
  <c r="L89" i="3" s="1"/>
  <c r="M89" i="3" s="1"/>
  <c r="L90" i="3" a="1"/>
  <c r="L90" i="3" s="1"/>
  <c r="L91" i="3" a="1"/>
  <c r="L91" i="3" s="1"/>
  <c r="L92" i="3" a="1"/>
  <c r="L92" i="3" s="1"/>
  <c r="L57" i="3" a="1"/>
  <c r="L57" i="3" s="1"/>
  <c r="L45" i="3" a="1"/>
  <c r="L45" i="3" s="1"/>
  <c r="L23" i="3" a="1"/>
  <c r="L23" i="3" s="1"/>
  <c r="L26" i="3" a="1"/>
  <c r="L26" i="3" s="1"/>
  <c r="N26" i="3" s="1"/>
  <c r="L35" i="3" a="1"/>
  <c r="L35" i="3" s="1"/>
  <c r="L54" i="3" a="1"/>
  <c r="L54" i="3" s="1"/>
  <c r="L14" i="3" a="1"/>
  <c r="L14" i="3" s="1"/>
  <c r="L75" i="3" a="1"/>
  <c r="L75" i="3" s="1"/>
  <c r="L76" i="3" a="1"/>
  <c r="L76" i="3" s="1"/>
  <c r="L74" i="3" a="1"/>
  <c r="L74" i="3" s="1"/>
  <c r="L42" i="3" a="1"/>
  <c r="L42" i="3" s="1"/>
  <c r="L51" i="3" a="1"/>
  <c r="L51"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L32" i="3" a="1"/>
  <c r="L32" i="3" s="1"/>
  <c r="L38" i="3" a="1"/>
  <c r="L38" i="3" s="1"/>
  <c r="L17" i="3" a="1"/>
  <c r="L17" i="3" s="1"/>
  <c r="BA25" i="40"/>
  <c r="BC11" i="40"/>
  <c r="BH94" i="40"/>
  <c r="BC12" i="40"/>
  <c r="BA12" i="40" s="1"/>
  <c r="BH93" i="40"/>
  <c r="BC13" i="40"/>
  <c r="BA13" i="40" s="1"/>
  <c r="BH92" i="40"/>
  <c r="BA22" i="40"/>
  <c r="BC14" i="40"/>
  <c r="BA14" i="40" s="1"/>
  <c r="BH88" i="40"/>
  <c r="BC66" i="40"/>
  <c r="BA66" i="40" s="1"/>
  <c r="I216" i="2"/>
  <c r="I215" i="2"/>
  <c r="BC67" i="40"/>
  <c r="BA67" i="40" s="1"/>
  <c r="BC17" i="40"/>
  <c r="BA17" i="40" s="1"/>
  <c r="I170" i="2"/>
  <c r="I171" i="2"/>
  <c r="I169" i="2"/>
  <c r="I168" i="2"/>
  <c r="I201" i="2"/>
  <c r="I200" i="2"/>
  <c r="I198" i="2"/>
  <c r="I199" i="2"/>
  <c r="I197" i="2"/>
  <c r="I196" i="2"/>
  <c r="G173" i="2"/>
  <c r="G171" i="2"/>
  <c r="G170" i="2"/>
  <c r="J166" i="2"/>
  <c r="G169" i="2"/>
  <c r="G166" i="2"/>
  <c r="J200" i="2"/>
  <c r="G195" i="2"/>
  <c r="J201" i="2"/>
  <c r="BC113" i="40"/>
  <c r="BH65" i="40"/>
  <c r="E141" i="15"/>
  <c r="G141" i="15" s="1"/>
  <c r="BC70" i="40"/>
  <c r="BA70" i="40" s="1"/>
  <c r="I174" i="2"/>
  <c r="I173" i="2"/>
  <c r="BH99" i="40"/>
  <c r="BC68" i="40"/>
  <c r="BA68" i="40" s="1"/>
  <c r="I192" i="2"/>
  <c r="G176" i="2"/>
  <c r="G175" i="2"/>
  <c r="G174" i="2"/>
  <c r="G172" i="2"/>
  <c r="BH50" i="40"/>
  <c r="J176" i="2"/>
  <c r="J177" i="2"/>
  <c r="G213" i="2"/>
  <c r="BH114" i="40"/>
  <c r="BC45" i="40"/>
  <c r="BA45" i="40" s="1"/>
  <c r="BH45" i="40"/>
  <c r="BH46" i="40"/>
  <c r="D9" i="1"/>
  <c r="D8" i="1"/>
  <c r="D132" i="15"/>
  <c r="D131" i="15"/>
  <c r="D125" i="15"/>
  <c r="D166" i="15"/>
  <c r="D127" i="15"/>
  <c r="D124" i="15"/>
  <c r="BC44" i="40"/>
  <c r="BA44" i="40" s="1"/>
  <c r="F141" i="15"/>
  <c r="H141" i="15" s="1"/>
  <c r="BH40" i="40"/>
  <c r="BH16" i="40"/>
  <c r="J195" i="2"/>
  <c r="I193" i="2"/>
  <c r="I191" i="2"/>
  <c r="G193" i="2"/>
  <c r="G191" i="2"/>
  <c r="E140" i="15"/>
  <c r="G140" i="15" s="1"/>
  <c r="D133" i="15"/>
  <c r="E164" i="15"/>
  <c r="E163" i="15"/>
  <c r="G163" i="15" s="1"/>
  <c r="J197" i="2"/>
  <c r="J198" i="2"/>
  <c r="D157" i="15"/>
  <c r="E172" i="15"/>
  <c r="BC116" i="40"/>
  <c r="I194" i="2"/>
  <c r="D140" i="15"/>
  <c r="F175" i="15"/>
  <c r="H175" i="15" s="1"/>
  <c r="D34" i="40"/>
  <c r="E34" i="40" s="1"/>
  <c r="B34" i="40" s="1" a="1"/>
  <c r="B34" i="40" s="1"/>
  <c r="BC71" i="40"/>
  <c r="BA71" i="40" s="1"/>
  <c r="D186" i="15"/>
  <c r="F173" i="15"/>
  <c r="H173" i="15" s="1"/>
  <c r="E116" i="15"/>
  <c r="BC72" i="40"/>
  <c r="F172" i="15"/>
  <c r="H172" i="15" s="1"/>
  <c r="BC112" i="40"/>
  <c r="J175" i="2"/>
  <c r="D173" i="15"/>
  <c r="G196" i="2"/>
  <c r="G194" i="2"/>
  <c r="G192" i="2"/>
  <c r="BN19" i="40"/>
  <c r="BO19" i="40" s="1"/>
  <c r="BL19" i="40" s="1" a="1"/>
  <c r="BL19" i="40" s="1"/>
  <c r="F154" i="15"/>
  <c r="H154" i="15" s="1"/>
  <c r="F153" i="15"/>
  <c r="H153" i="15" s="1"/>
  <c r="BN18" i="40"/>
  <c r="BO18" i="40" s="1"/>
  <c r="F189" i="15"/>
  <c r="H189" i="15" s="1"/>
  <c r="E165" i="15"/>
  <c r="G165" i="15" s="1"/>
  <c r="F188" i="15"/>
  <c r="H188" i="15" s="1"/>
  <c r="F132" i="15"/>
  <c r="H132" i="15" s="1"/>
  <c r="E150" i="15"/>
  <c r="G150" i="15" s="1"/>
  <c r="F127" i="15"/>
  <c r="H127" i="15" s="1"/>
  <c r="F164" i="15"/>
  <c r="H164" i="15" s="1"/>
  <c r="E195" i="15"/>
  <c r="G195" i="15" s="1"/>
  <c r="F123" i="15"/>
  <c r="BN33" i="40"/>
  <c r="F107" i="38"/>
  <c r="F108" i="38"/>
  <c r="O105" i="14"/>
  <c r="O104" i="14"/>
  <c r="BC58" i="40"/>
  <c r="BA58" i="40" s="1"/>
  <c r="BC83" i="40"/>
  <c r="BA83" i="40" s="1"/>
  <c r="BC31" i="40"/>
  <c r="BA31" i="40" s="1"/>
  <c r="E212" i="2"/>
  <c r="I212" i="2" s="1"/>
  <c r="AG79" i="20" a="1"/>
  <c r="AG79" i="20" s="1"/>
  <c r="F45" i="9"/>
  <c r="F44" i="9"/>
  <c r="BH60" i="40"/>
  <c r="E189" i="2"/>
  <c r="G189" i="2" s="1"/>
  <c r="E190" i="2"/>
  <c r="I190" i="2" s="1"/>
  <c r="AG77" i="20" a="1"/>
  <c r="AG77" i="20" s="1"/>
  <c r="AP77" i="20" s="1"/>
  <c r="AQ77" i="20" s="1" a="1"/>
  <c r="AQ77" i="20" s="1"/>
  <c r="AG78" i="20" a="1"/>
  <c r="AG78" i="20" s="1"/>
  <c r="E188" i="2"/>
  <c r="J188" i="2" s="1"/>
  <c r="Q121" i="14"/>
  <c r="Q26" i="14" s="1"/>
  <c r="Q120" i="14"/>
  <c r="Q25" i="14" s="1"/>
  <c r="R13" i="14" a="1"/>
  <c r="R13" i="14" s="1"/>
  <c r="R6" i="14" a="1"/>
  <c r="R6" i="14" s="1"/>
  <c r="Q102" i="14"/>
  <c r="Q7" i="14" s="1"/>
  <c r="R10" i="14" a="1"/>
  <c r="R10" i="14" s="1"/>
  <c r="AG76" i="20" a="1"/>
  <c r="AG76" i="20" s="1"/>
  <c r="AG75" i="20" a="1"/>
  <c r="AG75" i="20" s="1"/>
  <c r="AG74" i="20" a="1"/>
  <c r="AG74" i="20" s="1"/>
  <c r="R7" i="14" a="1"/>
  <c r="R7" i="14" s="1"/>
  <c r="BC42" i="40"/>
  <c r="BH42" i="40"/>
  <c r="W166" i="38"/>
  <c r="X166" i="38" s="1"/>
  <c r="W165" i="38"/>
  <c r="X165" i="38" s="1"/>
  <c r="W164" i="38"/>
  <c r="X164" i="38" s="1"/>
  <c r="W214" i="38"/>
  <c r="X214" i="38" s="1"/>
  <c r="W190" i="38"/>
  <c r="X190" i="38" s="1"/>
  <c r="W189" i="38"/>
  <c r="X189" i="38" s="1"/>
  <c r="W188" i="38"/>
  <c r="X188" i="38" s="1"/>
  <c r="BC101" i="40"/>
  <c r="BH101" i="40"/>
  <c r="Q10" i="14"/>
  <c r="R12" i="14" a="1"/>
  <c r="R12" i="14" s="1"/>
  <c r="R11" i="14" a="1"/>
  <c r="R11" i="14" s="1"/>
  <c r="E163" i="2"/>
  <c r="G163" i="2" s="1"/>
  <c r="E164" i="2"/>
  <c r="J164" i="2" s="1"/>
  <c r="R9" i="14" a="1"/>
  <c r="R9" i="14" s="1"/>
  <c r="R8" i="14" a="1"/>
  <c r="R8" i="14" s="1"/>
  <c r="J187" i="2"/>
  <c r="I187" i="2"/>
  <c r="AE210" i="38"/>
  <c r="E191" i="35"/>
  <c r="E202" i="35"/>
  <c r="E210" i="38"/>
  <c r="E186" i="35"/>
  <c r="E189" i="38"/>
  <c r="E190" i="38"/>
  <c r="AE189" i="38"/>
  <c r="AE190" i="38"/>
  <c r="E184" i="35"/>
  <c r="E183" i="35"/>
  <c r="E185" i="35"/>
  <c r="E188" i="38"/>
  <c r="E187" i="38"/>
  <c r="AE188" i="38"/>
  <c r="AE187" i="38"/>
  <c r="AE175" i="38"/>
  <c r="AE174" i="38"/>
  <c r="E175" i="38"/>
  <c r="E174" i="38"/>
  <c r="E172" i="35"/>
  <c r="E173" i="35"/>
  <c r="J451" i="38"/>
  <c r="K451" i="38"/>
  <c r="C143" i="35"/>
  <c r="C141" i="35"/>
  <c r="C142" i="35"/>
  <c r="J449" i="38"/>
  <c r="J450" i="38"/>
  <c r="J445" i="38"/>
  <c r="J446" i="38"/>
  <c r="J447" i="38"/>
  <c r="J448" i="38"/>
  <c r="C137" i="35"/>
  <c r="C138" i="35"/>
  <c r="C139" i="35"/>
  <c r="C140" i="35"/>
  <c r="K450" i="38"/>
  <c r="K449" i="38"/>
  <c r="K448" i="38"/>
  <c r="K446" i="38"/>
  <c r="K445" i="38"/>
  <c r="K447"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J98" i="20"/>
  <c r="BJ99" i="20"/>
  <c r="BJ97" i="20"/>
  <c r="BJ96" i="20"/>
  <c r="BJ94" i="20"/>
  <c r="BJ95" i="20"/>
  <c r="BJ93"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92" i="15"/>
  <c r="L92" i="15" a="1"/>
  <c r="L92" i="15" s="1"/>
  <c r="C77" i="15"/>
  <c r="L77" i="15" a="1"/>
  <c r="L77" i="15" s="1"/>
  <c r="N77" i="15" s="1"/>
  <c r="C68" i="15"/>
  <c r="L68" i="15" a="1"/>
  <c r="L68" i="15" s="1"/>
  <c r="C88" i="15"/>
  <c r="L88" i="15" a="1"/>
  <c r="L88" i="15" s="1"/>
  <c r="M88" i="15" s="1"/>
  <c r="C85" i="15"/>
  <c r="L85" i="15" a="1"/>
  <c r="L85" i="15" s="1"/>
  <c r="C83" i="15"/>
  <c r="L83" i="15" a="1"/>
  <c r="L83" i="15" s="1"/>
  <c r="C72" i="15"/>
  <c r="L72" i="15" a="1"/>
  <c r="L72" i="15" s="1"/>
  <c r="C76" i="15"/>
  <c r="C91" i="15"/>
  <c r="L91" i="15" a="1"/>
  <c r="L91" i="15" s="1"/>
  <c r="M91" i="15" s="1"/>
  <c r="C70" i="15"/>
  <c r="L70" i="15" a="1"/>
  <c r="L70" i="15" s="1"/>
  <c r="C82" i="15"/>
  <c r="L82" i="15" a="1"/>
  <c r="L82" i="15" s="1"/>
  <c r="N82" i="15" s="1"/>
  <c r="C84" i="15"/>
  <c r="C75" i="15"/>
  <c r="L75" i="15" a="1"/>
  <c r="L75" i="15" s="1"/>
  <c r="M75" i="15" s="1"/>
  <c r="C69" i="15"/>
  <c r="L69" i="15" a="1"/>
  <c r="L69" i="15" s="1"/>
  <c r="N69" i="15" s="1"/>
  <c r="C78" i="15"/>
  <c r="L78" i="15" a="1"/>
  <c r="L78" i="15" s="1"/>
  <c r="N78" i="15" s="1"/>
  <c r="C87" i="15"/>
  <c r="L87" i="15" a="1"/>
  <c r="L87" i="15" s="1"/>
  <c r="C81" i="15"/>
  <c r="L81" i="15" a="1"/>
  <c r="L81" i="15" s="1"/>
  <c r="C71" i="15"/>
  <c r="C74" i="15"/>
  <c r="L74" i="15" a="1"/>
  <c r="L74" i="15" s="1"/>
  <c r="N74" i="15" s="1"/>
  <c r="C94" i="15"/>
  <c r="L94" i="15" a="1"/>
  <c r="L94" i="15" s="1"/>
  <c r="N94" i="15" s="1"/>
  <c r="C79" i="15"/>
  <c r="L79" i="15" a="1"/>
  <c r="L79" i="15" s="1"/>
  <c r="M79" i="15" s="1"/>
  <c r="C93" i="15"/>
  <c r="L93" i="15" a="1"/>
  <c r="L93" i="15" s="1"/>
  <c r="N93" i="15" s="1"/>
  <c r="C95" i="15"/>
  <c r="L95" i="15" a="1"/>
  <c r="L95" i="15" s="1"/>
  <c r="N95" i="15" s="1"/>
  <c r="C90" i="15"/>
  <c r="L90" i="15" a="1"/>
  <c r="L90" i="15" s="1"/>
  <c r="N90" i="15" s="1"/>
  <c r="C73" i="15"/>
  <c r="L73" i="15" a="1"/>
  <c r="L73" i="15" s="1"/>
  <c r="C89" i="15"/>
  <c r="L89" i="15" a="1"/>
  <c r="L8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84" i="15" a="1"/>
  <c r="L84" i="15" s="1"/>
  <c r="M84" i="15" s="1"/>
  <c r="L71" i="15" a="1"/>
  <c r="L71" i="15" s="1"/>
  <c r="N71" i="15" s="1"/>
  <c r="AI495" i="1"/>
  <c r="AH453" i="1" a="1"/>
  <c r="AH453" i="1"/>
  <c r="AD513" i="1" a="1"/>
  <c r="AD513" i="1" s="1"/>
  <c r="AB518" i="1" s="1"/>
  <c r="AB521" i="1"/>
  <c r="D167" i="13" s="1" a="1"/>
  <c r="D167" i="13" s="1"/>
  <c r="AE511" i="1"/>
  <c r="E157" i="13" s="1"/>
  <c r="E158" i="13" s="1"/>
  <c r="AF511" i="1"/>
  <c r="F157" i="13" s="1"/>
  <c r="F158" i="13" s="1"/>
  <c r="AG511" i="1"/>
  <c r="G157" i="13" s="1"/>
  <c r="G158" i="13" s="1"/>
  <c r="AB522" i="1"/>
  <c r="AC513" i="1" a="1"/>
  <c r="AC513" i="1" s="1"/>
  <c r="AB517" i="1" s="1"/>
  <c r="AD511" i="1"/>
  <c r="D157" i="13" s="1"/>
  <c r="D158" i="13" s="1"/>
  <c r="J68" i="15"/>
  <c r="D68"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O370" i="35" a="1"/>
  <c r="O370" i="35"/>
  <c r="O371" i="35" a="1"/>
  <c r="O371" i="35"/>
  <c r="J80" i="15"/>
  <c r="F80" i="15" s="1"/>
  <c r="H80" i="15" s="1"/>
  <c r="J81" i="15"/>
  <c r="J82" i="15"/>
  <c r="D82" i="15" s="1"/>
  <c r="J83" i="15"/>
  <c r="E83" i="15" s="1"/>
  <c r="J84" i="15"/>
  <c r="E84" i="15" s="1"/>
  <c r="G84" i="15" s="1"/>
  <c r="J85" i="15"/>
  <c r="D85" i="15" s="1"/>
  <c r="J86" i="15"/>
  <c r="D86" i="15" s="1"/>
  <c r="J87" i="15"/>
  <c r="D87" i="15" s="1"/>
  <c r="J88" i="15"/>
  <c r="F88" i="15" s="1"/>
  <c r="H88" i="15" s="1"/>
  <c r="J89" i="15"/>
  <c r="E89" i="15" s="1"/>
  <c r="G89" i="15" s="1"/>
  <c r="J90" i="15"/>
  <c r="D90" i="15" s="1"/>
  <c r="J91" i="15"/>
  <c r="E91" i="15" s="1"/>
  <c r="J92" i="15"/>
  <c r="E92" i="15" s="1"/>
  <c r="G92" i="15" s="1"/>
  <c r="J93" i="15"/>
  <c r="J94" i="15"/>
  <c r="E94" i="15" s="1"/>
  <c r="J95" i="15"/>
  <c r="O130" i="14"/>
  <c r="O140" i="14"/>
  <c r="O141" i="14"/>
  <c r="O142" i="14"/>
  <c r="O129" i="14"/>
  <c r="O136" i="14"/>
  <c r="O139" i="14"/>
  <c r="O131" i="14"/>
  <c r="O134" i="14"/>
  <c r="O135" i="14"/>
  <c r="O133" i="14"/>
  <c r="O127" i="14"/>
  <c r="O128" i="14"/>
  <c r="O137" i="14"/>
  <c r="O132" i="14"/>
  <c r="O138" i="14"/>
  <c r="O126" i="14"/>
  <c r="J96" i="15"/>
  <c r="D96" i="15" s="1"/>
  <c r="O125" i="14"/>
  <c r="J97" i="15"/>
  <c r="E97" i="15" s="1"/>
  <c r="J98" i="15"/>
  <c r="D98" i="15" s="1"/>
  <c r="J99" i="15"/>
  <c r="F99" i="15" s="1"/>
  <c r="H99" i="15" s="1"/>
  <c r="J100" i="15"/>
  <c r="D100" i="15" s="1"/>
  <c r="J101" i="15"/>
  <c r="D101" i="15" s="1"/>
  <c r="P127" i="35"/>
  <c r="P129" i="35"/>
  <c r="P128" i="35"/>
  <c r="P131" i="35"/>
  <c r="P130" i="35"/>
  <c r="J102" i="15"/>
  <c r="D102" i="15" s="1"/>
  <c r="J103" i="15"/>
  <c r="E103" i="15" s="1"/>
  <c r="G103" i="15" s="1"/>
  <c r="J104" i="15"/>
  <c r="E104" i="15" s="1"/>
  <c r="P126" i="35"/>
  <c r="J105" i="15"/>
  <c r="E105" i="15" s="1"/>
  <c r="P123" i="35"/>
  <c r="P125" i="35"/>
  <c r="P124" i="35"/>
  <c r="J106" i="15"/>
  <c r="D106" i="15" s="1"/>
  <c r="J107" i="15"/>
  <c r="D107" i="15" s="1"/>
  <c r="J108" i="15"/>
  <c r="D108" i="15" s="1"/>
  <c r="J109" i="15"/>
  <c r="F109" i="15" s="1"/>
  <c r="H109" i="15" s="1"/>
  <c r="J110" i="15"/>
  <c r="E110" i="15" s="1"/>
  <c r="J111" i="15"/>
  <c r="D111" i="15" s="1"/>
  <c r="V202" i="35"/>
  <c r="V191" i="35"/>
  <c r="V186" i="35"/>
  <c r="V183" i="35"/>
  <c r="V184" i="35"/>
  <c r="V185" i="35"/>
  <c r="V173" i="35"/>
  <c r="V172" i="35"/>
  <c r="H122" i="35"/>
  <c r="H121" i="35"/>
  <c r="H120" i="35"/>
  <c r="H116" i="35"/>
  <c r="H119" i="35"/>
  <c r="H118" i="35"/>
  <c r="H117" i="35"/>
  <c r="H123" i="35"/>
  <c r="T143" i="35"/>
  <c r="T140" i="35"/>
  <c r="T141" i="35"/>
  <c r="T139" i="35"/>
  <c r="T137" i="35"/>
  <c r="T142" i="35"/>
  <c r="T138"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s="1"/>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s="1"/>
  <c r="AY26" i="40" s="1"/>
  <c r="AV27" i="40" a="1"/>
  <c r="AV27" i="40" s="1"/>
  <c r="AY27" i="40" s="1"/>
  <c r="BJ88" i="40"/>
  <c r="BJ39" i="40"/>
  <c r="BJ22" i="40"/>
  <c r="BR64" i="40" a="1"/>
  <c r="BR64" i="40" s="1"/>
  <c r="AV43" i="40" a="1"/>
  <c r="AV43" i="40" s="1"/>
  <c r="AY43" i="40" s="1"/>
  <c r="BR16" i="40" a="1"/>
  <c r="BR16" i="40" s="1"/>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s="1"/>
  <c r="AY22" i="40" s="1"/>
  <c r="BR44" i="40" a="1"/>
  <c r="BR44" i="40" s="1"/>
  <c r="AV11" i="40" a="1"/>
  <c r="AV11" i="40" s="1"/>
  <c r="AY11" i="40" s="1"/>
  <c r="AV40" i="40" a="1"/>
  <c r="AV40" i="40" s="1"/>
  <c r="AY40" i="40" s="1"/>
  <c r="AV12" i="40" a="1"/>
  <c r="AV12" i="40" s="1"/>
  <c r="AY12" i="40" s="1"/>
  <c r="AV15" i="40" a="1"/>
  <c r="AV15" i="40" s="1"/>
  <c r="AY15" i="40" s="1"/>
  <c r="BR41" i="40" a="1"/>
  <c r="BR41" i="40" s="1"/>
  <c r="AV25" i="40" a="1"/>
  <c r="AV25" i="40" s="1"/>
  <c r="AY25" i="40" s="1"/>
  <c r="BR17" i="40" a="1"/>
  <c r="BR17" i="40" s="1"/>
  <c r="BR66" i="40" a="1"/>
  <c r="BR66" i="40" s="1"/>
  <c r="BJ86" i="40"/>
  <c r="BR42" i="40" a="1"/>
  <c r="BR42" i="40" s="1"/>
  <c r="AV23" i="40" a="1"/>
  <c r="AV23" i="40" s="1"/>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s="1"/>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4" i="35"/>
  <c r="L118" i="35"/>
  <c r="L117" i="35"/>
  <c r="L116" i="35"/>
  <c r="L113" i="35"/>
  <c r="L111" i="35"/>
  <c r="L112" i="35"/>
  <c r="L119" i="35"/>
  <c r="L115" i="35"/>
  <c r="L120" i="35"/>
  <c r="L110" i="35"/>
  <c r="L109" i="35"/>
  <c r="L108" i="35"/>
  <c r="BJ57" i="40"/>
  <c r="BR68" i="40" a="1"/>
  <c r="BR68" i="40" s="1"/>
  <c r="AV13" i="40" a="1"/>
  <c r="AV13" i="40" s="1"/>
  <c r="AY13" i="40" s="1"/>
  <c r="BJ58" i="40"/>
  <c r="AV35" i="40" a="1"/>
  <c r="AV35" i="40" s="1"/>
  <c r="AY35" i="40" s="1"/>
  <c r="AV29" i="40" a="1"/>
  <c r="AV29" i="40" s="1"/>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s="1"/>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AV41" i="40" a="1"/>
  <c r="AV41" i="40" s="1"/>
  <c r="AY41" i="40" s="1"/>
  <c r="BR63" i="40" a="1"/>
  <c r="BR63" i="40" s="1"/>
  <c r="AV28" i="40" a="1"/>
  <c r="AV28" i="40" s="1"/>
  <c r="AY28" i="40" s="1"/>
  <c r="BJ15" i="40"/>
  <c r="U456" i="38"/>
  <c r="R431" i="38"/>
  <c r="AF30" i="38"/>
  <c r="AF35" i="38"/>
  <c r="AF31" i="38"/>
  <c r="R428" i="38"/>
  <c r="AF32" i="38"/>
  <c r="R433" i="38"/>
  <c r="R429" i="38"/>
  <c r="R427" i="38"/>
  <c r="R430" i="38"/>
  <c r="AF39" i="38"/>
  <c r="R438" i="38"/>
  <c r="AF38" i="38"/>
  <c r="R434" i="38"/>
  <c r="R437" i="38"/>
  <c r="AF33" i="38"/>
  <c r="AH33" i="38"/>
  <c r="AF37" i="38"/>
  <c r="R432" i="38"/>
  <c r="AF34" i="38"/>
  <c r="AF36" i="38"/>
  <c r="AH36" i="38"/>
  <c r="AF29" i="38"/>
  <c r="R436" i="38"/>
  <c r="AF40" i="38"/>
  <c r="R435" i="38"/>
  <c r="U470" i="38"/>
  <c r="AJ60" i="38"/>
  <c r="U462" i="38"/>
  <c r="U469" i="38"/>
  <c r="U467" i="38"/>
  <c r="AK63" i="38"/>
  <c r="AK58" i="38"/>
  <c r="AJ58" i="38"/>
  <c r="AK68" i="38"/>
  <c r="AK73" i="38"/>
  <c r="AJ57" i="38"/>
  <c r="AJ69" i="38"/>
  <c r="U465" i="38"/>
  <c r="AJ68" i="38"/>
  <c r="AJ70" i="38"/>
  <c r="AJ71" i="38"/>
  <c r="U464" i="38"/>
  <c r="U466" i="38"/>
  <c r="AJ72" i="38"/>
  <c r="AJ67" i="38"/>
  <c r="AJ62" i="38"/>
  <c r="AK72" i="38"/>
  <c r="U463" i="38"/>
  <c r="AK67" i="38"/>
  <c r="U471" i="38"/>
  <c r="AK65" i="38"/>
  <c r="AK57" i="38"/>
  <c r="AK66" i="38"/>
  <c r="U460" i="38"/>
  <c r="AJ63" i="38"/>
  <c r="AK64" i="38"/>
  <c r="AK59" i="38"/>
  <c r="AK60" i="38"/>
  <c r="AJ61" i="38"/>
  <c r="AJ66" i="38"/>
  <c r="AK62" i="38"/>
  <c r="U458" i="38"/>
  <c r="AK70" i="38"/>
  <c r="U468" i="38"/>
  <c r="AK61" i="38"/>
  <c r="U455" i="38"/>
  <c r="U459" i="38"/>
  <c r="AK71" i="38"/>
  <c r="AJ64" i="38"/>
  <c r="AK69" i="38"/>
  <c r="U457" i="38"/>
  <c r="U461" i="38"/>
  <c r="AJ65" i="38"/>
  <c r="AJ59" i="38"/>
  <c r="AJ73" i="38"/>
  <c r="Y451" i="38"/>
  <c r="Z451" i="38"/>
  <c r="AN48" i="38"/>
  <c r="AN47" i="38"/>
  <c r="AO48" i="38"/>
  <c r="Y445" i="38"/>
  <c r="Z445" i="38"/>
  <c r="Y449" i="38"/>
  <c r="Z449" i="38"/>
  <c r="AN49" i="38"/>
  <c r="AO53" i="38"/>
  <c r="AN52" i="38"/>
  <c r="AO47" i="38"/>
  <c r="Y447" i="38"/>
  <c r="Z447" i="38"/>
  <c r="AO49" i="38"/>
  <c r="AO52" i="38"/>
  <c r="Y448" i="38"/>
  <c r="Z448" i="38"/>
  <c r="AN51" i="38"/>
  <c r="Y446" i="38"/>
  <c r="Z446" i="38"/>
  <c r="AO51" i="38"/>
  <c r="AN50" i="38"/>
  <c r="Y450" i="38"/>
  <c r="Z450" i="38"/>
  <c r="AO50" i="38"/>
  <c r="AN53" i="38"/>
  <c r="AC38" i="38"/>
  <c r="N440" i="38"/>
  <c r="N438" i="38"/>
  <c r="AC36" i="38"/>
  <c r="N439" i="38"/>
  <c r="N441" i="38"/>
  <c r="N433" i="38"/>
  <c r="AD36" i="38"/>
  <c r="AC41" i="38"/>
  <c r="AD39" i="38"/>
  <c r="N434" i="38"/>
  <c r="AC44" i="38"/>
  <c r="AC40" i="38"/>
  <c r="N431" i="38"/>
  <c r="AC35" i="38"/>
  <c r="AC34" i="38"/>
  <c r="AD35" i="38"/>
  <c r="AD37" i="38"/>
  <c r="AC42" i="38"/>
  <c r="AD40" i="38"/>
  <c r="AD38" i="38"/>
  <c r="N432" i="38"/>
  <c r="AC39" i="38"/>
  <c r="AC37" i="38"/>
  <c r="AC43" i="38"/>
  <c r="AD43" i="38"/>
  <c r="AD33" i="38"/>
  <c r="AD44" i="38"/>
  <c r="AC33" i="38"/>
  <c r="N437" i="38"/>
  <c r="N442" i="38"/>
  <c r="AD42" i="38"/>
  <c r="AD41" i="38"/>
  <c r="N436" i="38"/>
  <c r="AD34" i="38"/>
  <c r="N435" i="38"/>
  <c r="AH32" i="38"/>
  <c r="AL71" i="38"/>
  <c r="AH30" i="38"/>
  <c r="AH38" i="38"/>
  <c r="AH39" i="38"/>
  <c r="AH31" i="38"/>
  <c r="AH35" i="38"/>
  <c r="AH40" i="38"/>
  <c r="AH37" i="38"/>
  <c r="AP53" i="38"/>
  <c r="AH29" i="38"/>
  <c r="AH34" i="38"/>
  <c r="AP52" i="38"/>
  <c r="AL65" i="38"/>
  <c r="AL60" i="38"/>
  <c r="AL72" i="38"/>
  <c r="AL64" i="38"/>
  <c r="AL61" i="38"/>
  <c r="AL62" i="38"/>
  <c r="AE39" i="38"/>
  <c r="AL73" i="38"/>
  <c r="AE40" i="38"/>
  <c r="AL59" i="38"/>
  <c r="AL66" i="38"/>
  <c r="AE38" i="38"/>
  <c r="AL63" i="38"/>
  <c r="AL67" i="38"/>
  <c r="AL57" i="38"/>
  <c r="AL58" i="38"/>
  <c r="AL70" i="38"/>
  <c r="AL68" i="38"/>
  <c r="AL69" i="38"/>
  <c r="AE42" i="38"/>
  <c r="AE34" i="38"/>
  <c r="AE33" i="38"/>
  <c r="AE36" i="38"/>
  <c r="AE44" i="38"/>
  <c r="AP47" i="38"/>
  <c r="AP51" i="38"/>
  <c r="AP48" i="38"/>
  <c r="AE35" i="38"/>
  <c r="AE37" i="38"/>
  <c r="AE43" i="38"/>
  <c r="AP50" i="38"/>
  <c r="AP49" i="38"/>
  <c r="AE41" i="38"/>
  <c r="AV61" i="20" a="1"/>
  <c r="AV90" i="20" a="1"/>
  <c r="AV73" i="20" a="1"/>
  <c r="AU74" i="20" a="1"/>
  <c r="AV100" i="20" a="1"/>
  <c r="AU65" i="20" a="1"/>
  <c r="AU101" i="20" a="1"/>
  <c r="H240" i="2"/>
  <c r="AV72" i="20" a="1"/>
  <c r="AU70" i="20" a="1"/>
  <c r="AU95" i="20" a="1"/>
  <c r="AA240" i="2"/>
  <c r="AV104" i="20" a="1"/>
  <c r="AB240" i="2"/>
  <c r="AU103" i="20" a="1"/>
  <c r="AV102" i="20" a="1"/>
  <c r="AV87" i="20" a="1"/>
  <c r="AU88" i="20" a="1"/>
  <c r="AU59" i="20" a="1"/>
  <c r="AU77" i="20" a="1"/>
  <c r="AL240" i="2"/>
  <c r="AU76" i="20" a="1"/>
  <c r="AU75" i="20" a="1"/>
  <c r="W240" i="2"/>
  <c r="AG240" i="2"/>
  <c r="AU82" i="20" a="1"/>
  <c r="AU80" i="20" a="1"/>
  <c r="AI240" i="2"/>
  <c r="Q240" i="2"/>
  <c r="AU86" i="20" a="1"/>
  <c r="T240" i="2"/>
  <c r="I240" i="2"/>
  <c r="P240" i="2"/>
  <c r="N240" i="2"/>
  <c r="AU100" i="20" a="1"/>
  <c r="AU78" i="20" a="1"/>
  <c r="AD240" i="2"/>
  <c r="AV64" i="20" a="1"/>
  <c r="AK240" i="2"/>
  <c r="AM240" i="2"/>
  <c r="AV92" i="20" a="1"/>
  <c r="AU67" i="20" a="1"/>
  <c r="AU99" i="20" a="1"/>
  <c r="AU63" i="20" a="1"/>
  <c r="F240" i="2"/>
  <c r="U240" i="2"/>
  <c r="AV76" i="20" a="1"/>
  <c r="AU68" i="20" a="1"/>
  <c r="AV80" i="20" a="1"/>
  <c r="AV66" i="20" a="1"/>
  <c r="AU79" i="20" a="1"/>
  <c r="AU61" i="20" a="1"/>
  <c r="AV93" i="20" a="1"/>
  <c r="AV77" i="20" a="1"/>
  <c r="Y240" i="2"/>
  <c r="AV88" i="20" a="1"/>
  <c r="M240" i="2"/>
  <c r="AV96" i="20" a="1"/>
  <c r="AV62" i="20" a="1"/>
  <c r="S240" i="2"/>
  <c r="O240" i="2"/>
  <c r="Z240" i="2"/>
  <c r="AU84" i="20" a="1"/>
  <c r="AU98" i="20" a="1"/>
  <c r="AV69" i="20" a="1"/>
  <c r="AU62" i="20" a="1"/>
  <c r="AV82" i="20" a="1"/>
  <c r="AV59" i="20" a="1"/>
  <c r="AJ240" i="2"/>
  <c r="AV79" i="20" a="1"/>
  <c r="AU60" i="20" a="1"/>
  <c r="AU69" i="20" a="1"/>
  <c r="AV85" i="20" a="1"/>
  <c r="AC240" i="2"/>
  <c r="AV101" i="20" a="1"/>
  <c r="E240" i="2"/>
  <c r="J240" i="2"/>
  <c r="AU96" i="20" a="1"/>
  <c r="AU97" i="20" a="1"/>
  <c r="AV91" i="20" a="1"/>
  <c r="AU72" i="20" a="1"/>
  <c r="AU91" i="20" a="1"/>
  <c r="AU94" i="20" a="1"/>
  <c r="AU92" i="20" a="1"/>
  <c r="R240" i="2"/>
  <c r="AV65" i="20" a="1"/>
  <c r="AU83" i="20" a="1"/>
  <c r="AU93" i="20" a="1"/>
  <c r="AV71" i="20" a="1"/>
  <c r="AV68" i="20" a="1"/>
  <c r="AV97" i="20" a="1"/>
  <c r="AE240" i="2"/>
  <c r="K240" i="2"/>
  <c r="AV81" i="20" a="1"/>
  <c r="AU87" i="20" a="1"/>
  <c r="I76" i="13" a="1"/>
  <c r="AV70" i="20" a="1"/>
  <c r="AV63" i="20" a="1"/>
  <c r="AU104" i="20" a="1"/>
  <c r="AU73" i="20" a="1"/>
  <c r="AU102" i="20" a="1"/>
  <c r="AV60" i="20" a="1"/>
  <c r="AU71" i="20" a="1"/>
  <c r="AV86" i="20" a="1"/>
  <c r="AV89" i="20" a="1"/>
  <c r="AV95" i="20" a="1"/>
  <c r="AV94" i="20" a="1"/>
  <c r="AV67" i="20" a="1"/>
  <c r="AU66" i="20" a="1"/>
  <c r="AV99" i="20" a="1"/>
  <c r="X240" i="2"/>
  <c r="AU85" i="20" a="1"/>
  <c r="AU89" i="20" a="1"/>
  <c r="AU64" i="20" a="1"/>
  <c r="AV84" i="20" a="1"/>
  <c r="X109" i="14" a="1"/>
  <c r="G240" i="2"/>
  <c r="AF240" i="2"/>
  <c r="AV98" i="20" a="1"/>
  <c r="L240" i="2"/>
  <c r="AV74" i="20" a="1"/>
  <c r="AV78" i="20" a="1"/>
  <c r="AV75" i="20" a="1"/>
  <c r="C73" i="13" a="1"/>
  <c r="V240" i="2"/>
  <c r="AU81" i="20" a="1"/>
  <c r="AV83" i="20" a="1"/>
  <c r="AV105" i="20" a="1"/>
  <c r="AU105" i="20" a="1"/>
  <c r="AH240" i="2"/>
  <c r="AU90" i="20" a="1"/>
  <c r="AV103" i="20" a="1"/>
  <c r="Q62" i="13"/>
  <c r="BJ92" i="20" l="1"/>
  <c r="BN89" i="20"/>
  <c r="BN88" i="20"/>
  <c r="BJ91" i="20"/>
  <c r="BN87" i="20"/>
  <c r="BJ90" i="20"/>
  <c r="D106" i="14"/>
  <c r="D107" i="14"/>
  <c r="C106" i="14"/>
  <c r="BN86" i="20"/>
  <c r="BJ89" i="20"/>
  <c r="BN85" i="20"/>
  <c r="BJ88" i="20"/>
  <c r="BJ87" i="20"/>
  <c r="BN84" i="20"/>
  <c r="BN83" i="20"/>
  <c r="BN82" i="20"/>
  <c r="BJ86" i="20"/>
  <c r="BJ85" i="20"/>
  <c r="BN81" i="20"/>
  <c r="BJ84" i="20"/>
  <c r="BJ83" i="20"/>
  <c r="BN80" i="20"/>
  <c r="BJ82" i="20"/>
  <c r="K125" i="38"/>
  <c r="AD130" i="38" s="1"/>
  <c r="K116" i="38"/>
  <c r="V118" i="38" s="1"/>
  <c r="F104" i="38"/>
  <c r="AD119" i="38" s="1"/>
  <c r="F105" i="38"/>
  <c r="S129" i="38" s="1"/>
  <c r="L25" i="3" a="1"/>
  <c r="L25" i="3" s="1"/>
  <c r="M25" i="3" s="1"/>
  <c r="L24" i="3" a="1"/>
  <c r="L24" i="3" s="1"/>
  <c r="N24" i="3" s="1"/>
  <c r="L18" i="3" a="1"/>
  <c r="L18" i="3" s="1"/>
  <c r="M18" i="3" s="1"/>
  <c r="L19" i="3" a="1"/>
  <c r="L19" i="3" s="1"/>
  <c r="N19" i="3" s="1"/>
  <c r="L15" i="3" a="1"/>
  <c r="L15" i="3" s="1"/>
  <c r="M15" i="3" s="1"/>
  <c r="L16" i="3" a="1"/>
  <c r="L16" i="3" s="1"/>
  <c r="M16" i="3" s="1"/>
  <c r="L44" i="3" a="1"/>
  <c r="L44" i="3" s="1"/>
  <c r="M44" i="3" s="1"/>
  <c r="L43" i="3" a="1"/>
  <c r="L43" i="3" s="1"/>
  <c r="L27" i="3" a="1"/>
  <c r="L27" i="3" s="1"/>
  <c r="N27" i="3" s="1"/>
  <c r="L28" i="3" a="1"/>
  <c r="L28" i="3" s="1"/>
  <c r="L10" i="40" s="1"/>
  <c r="L15" i="40" s="1"/>
  <c r="L50" i="3" a="1"/>
  <c r="L50" i="3" s="1"/>
  <c r="N50" i="3" s="1"/>
  <c r="L49" i="3" a="1"/>
  <c r="L49" i="3" s="1"/>
  <c r="N49" i="3" s="1"/>
  <c r="L41" i="3" a="1"/>
  <c r="L41" i="3" s="1"/>
  <c r="M41" i="3" s="1"/>
  <c r="L40" i="3" a="1"/>
  <c r="L40" i="3" s="1"/>
  <c r="L26" i="40" s="1"/>
  <c r="L39" i="3" a="1"/>
  <c r="L39" i="3" s="1"/>
  <c r="M39" i="3" s="1"/>
  <c r="L33" i="3" a="1"/>
  <c r="L33" i="3" s="1"/>
  <c r="N33" i="3" s="1"/>
  <c r="L34" i="3" a="1"/>
  <c r="L34" i="3" s="1"/>
  <c r="M34" i="3" s="1"/>
  <c r="L31" i="3" a="1"/>
  <c r="L31" i="3" s="1"/>
  <c r="N31" i="3" s="1"/>
  <c r="L30" i="3" a="1"/>
  <c r="L30" i="3" s="1"/>
  <c r="L19" i="40" s="1"/>
  <c r="L186" i="3" a="1"/>
  <c r="L186" i="3" s="1"/>
  <c r="N186" i="3" s="1"/>
  <c r="L188" i="3" a="1"/>
  <c r="L188" i="3" s="1"/>
  <c r="M188" i="3" s="1"/>
  <c r="L189" i="3" a="1"/>
  <c r="L189" i="3" s="1"/>
  <c r="M189" i="3" s="1"/>
  <c r="L190" i="3" a="1"/>
  <c r="L190" i="3" s="1"/>
  <c r="M190" i="3" s="1"/>
  <c r="L193" i="3" a="1"/>
  <c r="L193" i="3" s="1"/>
  <c r="M193" i="3" s="1"/>
  <c r="L187" i="3" a="1"/>
  <c r="L187" i="3" s="1"/>
  <c r="M187" i="3" s="1"/>
  <c r="L191" i="3" a="1"/>
  <c r="L191" i="3" s="1"/>
  <c r="M191" i="3" s="1"/>
  <c r="L192" i="3" a="1"/>
  <c r="L192" i="3" s="1"/>
  <c r="N192" i="3" s="1"/>
  <c r="L194" i="3" a="1"/>
  <c r="L194" i="3" s="1"/>
  <c r="N194" i="3" s="1"/>
  <c r="L56" i="3" a="1"/>
  <c r="L56" i="3" s="1"/>
  <c r="N56" i="3" s="1"/>
  <c r="L55" i="3" a="1"/>
  <c r="L55" i="3" s="1"/>
  <c r="L25" i="40" s="1"/>
  <c r="L36" i="3" a="1"/>
  <c r="L36" i="3" s="1"/>
  <c r="M36" i="3" s="1"/>
  <c r="L37" i="3" a="1"/>
  <c r="L37" i="3" s="1"/>
  <c r="M37" i="3" s="1"/>
  <c r="L21" i="3" a="1"/>
  <c r="L21" i="3" s="1"/>
  <c r="M21" i="3" s="1"/>
  <c r="L22" i="3" a="1"/>
  <c r="L22" i="3" s="1"/>
  <c r="M22" i="3" s="1"/>
  <c r="L52" i="3" a="1"/>
  <c r="L52" i="3" s="1"/>
  <c r="L24" i="40" s="1"/>
  <c r="L53" i="3" a="1"/>
  <c r="L53" i="3" s="1"/>
  <c r="N53" i="3" s="1"/>
  <c r="L47" i="3" a="1"/>
  <c r="L47" i="3" s="1"/>
  <c r="N47" i="3" s="1"/>
  <c r="BE63" i="40" s="1"/>
  <c r="L46" i="3" a="1"/>
  <c r="L46" i="3" s="1"/>
  <c r="M46" i="3" s="1"/>
  <c r="L58" i="3" a="1"/>
  <c r="L58" i="3" s="1"/>
  <c r="L22" i="40" s="1"/>
  <c r="L59" i="3" a="1"/>
  <c r="L59" i="3" s="1"/>
  <c r="M59" i="3" s="1"/>
  <c r="L13" i="3" a="1"/>
  <c r="L13" i="3" s="1"/>
  <c r="M13" i="3" s="1"/>
  <c r="L12" i="3" a="1"/>
  <c r="L12" i="3" s="1"/>
  <c r="N12" i="3" s="1"/>
  <c r="C38" i="14"/>
  <c r="J101" i="14" a="1"/>
  <c r="J101" i="14" s="1"/>
  <c r="I102" i="14" a="1"/>
  <c r="I102" i="14" s="1"/>
  <c r="M101" i="14" a="1"/>
  <c r="M101" i="14" s="1"/>
  <c r="D38" i="14"/>
  <c r="C39" i="14" s="1"/>
  <c r="L103" i="14" a="1"/>
  <c r="L103" i="14" s="1"/>
  <c r="K101" i="14" a="1"/>
  <c r="K101" i="14" s="1"/>
  <c r="J103" i="14" a="1"/>
  <c r="J103" i="14" s="1"/>
  <c r="K103" i="14" a="1"/>
  <c r="K103" i="14" s="1"/>
  <c r="M103" i="14" a="1"/>
  <c r="M103" i="14" s="1"/>
  <c r="L11" i="3" a="1"/>
  <c r="L11" i="3" s="1"/>
  <c r="K102" i="14" a="1"/>
  <c r="K102" i="14" s="1"/>
  <c r="L102" i="14" a="1"/>
  <c r="L102" i="14" s="1"/>
  <c r="M102" i="14" a="1"/>
  <c r="M102" i="14" s="1"/>
  <c r="J102" i="14" a="1"/>
  <c r="J102" i="14" s="1"/>
  <c r="L10" i="3" a="1"/>
  <c r="L10" i="3" s="1"/>
  <c r="I6" i="14"/>
  <c r="I101" i="14" s="1" a="1"/>
  <c r="I101" i="14" s="1"/>
  <c r="L101" i="14" a="1"/>
  <c r="L101" i="14" s="1"/>
  <c r="G22" i="20" a="1"/>
  <c r="G22" i="20" s="1"/>
  <c r="G12" i="20" a="1"/>
  <c r="G12" i="20" s="1"/>
  <c r="L9" i="3" a="1"/>
  <c r="L9" i="3" s="1"/>
  <c r="N9" i="3" s="1"/>
  <c r="E98" i="38"/>
  <c r="O101" i="38" s="1"/>
  <c r="AD121" i="38"/>
  <c r="K117" i="38"/>
  <c r="V112" i="38" s="1"/>
  <c r="I302" i="38" a="1"/>
  <c r="I302" i="38" s="1"/>
  <c r="K118" i="38"/>
  <c r="V131" i="38" s="1"/>
  <c r="K119" i="38"/>
  <c r="V132" i="38" s="1"/>
  <c r="I314" i="38" a="1"/>
  <c r="I314" i="38" s="1"/>
  <c r="K120" i="38"/>
  <c r="Z132" i="38" s="1"/>
  <c r="K126" i="38"/>
  <c r="AD114" i="38" s="1"/>
  <c r="K124" i="38"/>
  <c r="Z120" i="38" s="1"/>
  <c r="K123" i="38"/>
  <c r="Z110" i="38" s="1"/>
  <c r="K128" i="38"/>
  <c r="K127" i="38"/>
  <c r="AD148" i="38" s="1"/>
  <c r="K122" i="38"/>
  <c r="Q30" i="40" s="1"/>
  <c r="K121" i="38"/>
  <c r="E184" i="15"/>
  <c r="E170" i="15"/>
  <c r="G170" i="15" s="1"/>
  <c r="D180" i="15"/>
  <c r="D19" i="40"/>
  <c r="E19" i="40" s="1"/>
  <c r="B19" i="40" s="1" a="1"/>
  <c r="B19" i="40" s="1"/>
  <c r="D175" i="15"/>
  <c r="D139" i="15"/>
  <c r="D181" i="15"/>
  <c r="F119" i="15"/>
  <c r="H119" i="15" s="1"/>
  <c r="E171" i="15"/>
  <c r="G171" i="15" s="1"/>
  <c r="F170" i="15"/>
  <c r="D155" i="15"/>
  <c r="F138" i="15"/>
  <c r="H138" i="15" s="1"/>
  <c r="E139" i="15"/>
  <c r="G139" i="15" s="1"/>
  <c r="E119" i="15"/>
  <c r="G119" i="15" s="1"/>
  <c r="E153" i="15"/>
  <c r="G153" i="15" s="1"/>
  <c r="E155" i="15"/>
  <c r="G155" i="15" s="1"/>
  <c r="E137" i="15"/>
  <c r="I137" i="15" s="1" a="1"/>
  <c r="I137" i="15" s="1"/>
  <c r="D123" i="15"/>
  <c r="E151" i="15"/>
  <c r="G151" i="15" s="1"/>
  <c r="D151" i="15"/>
  <c r="D137" i="15"/>
  <c r="D169" i="15"/>
  <c r="F168" i="15"/>
  <c r="H168" i="15" s="1"/>
  <c r="E167" i="15"/>
  <c r="G167" i="15" s="1"/>
  <c r="D147" i="15"/>
  <c r="E115" i="15"/>
  <c r="G115" i="15" s="1"/>
  <c r="F179" i="15"/>
  <c r="H179" i="15" s="1"/>
  <c r="F147" i="15"/>
  <c r="H147" i="15" s="1"/>
  <c r="F115" i="15"/>
  <c r="H115" i="15" s="1"/>
  <c r="D179" i="15"/>
  <c r="F120" i="15"/>
  <c r="H120" i="15" s="1"/>
  <c r="D136" i="15"/>
  <c r="J14" i="40"/>
  <c r="E159" i="15"/>
  <c r="G159" i="15" s="1"/>
  <c r="F149" i="15"/>
  <c r="H149" i="15" s="1"/>
  <c r="D197" i="15"/>
  <c r="F167" i="15"/>
  <c r="H167" i="15" s="1"/>
  <c r="D191" i="15"/>
  <c r="F135" i="15"/>
  <c r="H135" i="15" s="1"/>
  <c r="D135" i="15"/>
  <c r="E168" i="15"/>
  <c r="G168" i="15" s="1"/>
  <c r="F136" i="15"/>
  <c r="H136" i="15" s="1"/>
  <c r="F191" i="15"/>
  <c r="H191" i="15" s="1"/>
  <c r="D154" i="15"/>
  <c r="C118" i="40"/>
  <c r="R196" i="38"/>
  <c r="V18" i="14"/>
  <c r="Y18" i="14"/>
  <c r="D7" i="38"/>
  <c r="Y4" i="38" s="1"/>
  <c r="L213" i="35"/>
  <c r="R193" i="38"/>
  <c r="C112" i="38"/>
  <c r="B38" i="14"/>
  <c r="AE3" i="40"/>
  <c r="L188" i="35"/>
  <c r="L174" i="35"/>
  <c r="L199" i="35"/>
  <c r="C10" i="9"/>
  <c r="T4" i="35"/>
  <c r="R187" i="38"/>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I188" i="2"/>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F118" i="15"/>
  <c r="H118" i="15" s="1"/>
  <c r="F190" i="15"/>
  <c r="H190" i="15" s="1"/>
  <c r="E174" i="15"/>
  <c r="G174" i="15" s="1"/>
  <c r="F174" i="15"/>
  <c r="H174" i="15" s="1"/>
  <c r="J165" i="2"/>
  <c r="G188" i="2"/>
  <c r="I165" i="2"/>
  <c r="I204" i="2"/>
  <c r="G204" i="2"/>
  <c r="B5" i="40"/>
  <c r="R160" i="38"/>
  <c r="L184" i="35"/>
  <c r="N157" i="3"/>
  <c r="M157" i="3"/>
  <c r="D193" i="15"/>
  <c r="L191" i="35"/>
  <c r="F113" i="15"/>
  <c r="H113" i="15" s="1"/>
  <c r="R172" i="38"/>
  <c r="C648" i="1"/>
  <c r="C4" i="35"/>
  <c r="F159" i="15"/>
  <c r="H159" i="15" s="1"/>
  <c r="R185" i="38"/>
  <c r="C110" i="38"/>
  <c r="B21" i="14"/>
  <c r="L197" i="35"/>
  <c r="G217" i="2"/>
  <c r="R176" i="38"/>
  <c r="AP4" i="40"/>
  <c r="L202" i="35"/>
  <c r="D161" i="15"/>
  <c r="R179" i="38"/>
  <c r="C8" i="9"/>
  <c r="R190" i="38"/>
  <c r="U233" i="38"/>
  <c r="R162" i="38"/>
  <c r="BL5" i="40"/>
  <c r="E177" i="15"/>
  <c r="G177" i="15" s="1"/>
  <c r="D129" i="15"/>
  <c r="C111" i="38"/>
  <c r="U232" i="38"/>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BL6" i="40"/>
  <c r="E2" i="3"/>
  <c r="AE5" i="40"/>
  <c r="C2" i="35"/>
  <c r="D128" i="15"/>
  <c r="S6" i="40"/>
  <c r="H6" i="40"/>
  <c r="B6" i="40"/>
  <c r="AP5" i="40"/>
  <c r="C2" i="36"/>
  <c r="BM91" i="20"/>
  <c r="BI102" i="20"/>
  <c r="BM102" i="20"/>
  <c r="BI113" i="20"/>
  <c r="BM81" i="20"/>
  <c r="BM113" i="20"/>
  <c r="BI93" i="20"/>
  <c r="BI92" i="20"/>
  <c r="BM92" i="20"/>
  <c r="BI103" i="20"/>
  <c r="BM103" i="20"/>
  <c r="BI114" i="20"/>
  <c r="BM82" i="20"/>
  <c r="BM114" i="20"/>
  <c r="BM93" i="20"/>
  <c r="BI104" i="20"/>
  <c r="BM104" i="20"/>
  <c r="BI116" i="20"/>
  <c r="BM116" i="20"/>
  <c r="BI115" i="20"/>
  <c r="BM83" i="20"/>
  <c r="BM115" i="20"/>
  <c r="BM84" i="20"/>
  <c r="BI94" i="20"/>
  <c r="BM94" i="20"/>
  <c r="BI105" i="20"/>
  <c r="BM105" i="20"/>
  <c r="BI95" i="20"/>
  <c r="BM95" i="20"/>
  <c r="BI106" i="20"/>
  <c r="BM106" i="20"/>
  <c r="BM85" i="20"/>
  <c r="BI96" i="20"/>
  <c r="BF76" i="20"/>
  <c r="BM76" i="20" s="1"/>
  <c r="BM96" i="20"/>
  <c r="BI107" i="20"/>
  <c r="BM107" i="20"/>
  <c r="BM86" i="20"/>
  <c r="BI97" i="20"/>
  <c r="BM97" i="20"/>
  <c r="BI108" i="20"/>
  <c r="BM77" i="20"/>
  <c r="BM108" i="20"/>
  <c r="BM87" i="20"/>
  <c r="BI98" i="20"/>
  <c r="BM98" i="20"/>
  <c r="BI109" i="20"/>
  <c r="BM78" i="20"/>
  <c r="BM109" i="20"/>
  <c r="BI88" i="20"/>
  <c r="BM88" i="20"/>
  <c r="BI99" i="20"/>
  <c r="BM99" i="20"/>
  <c r="BI110" i="20"/>
  <c r="BM79" i="20"/>
  <c r="BM110" i="20"/>
  <c r="BM89" i="20"/>
  <c r="BI100" i="20"/>
  <c r="BN76" i="20"/>
  <c r="BM100" i="20"/>
  <c r="BI111" i="20"/>
  <c r="BN77" i="20"/>
  <c r="BM111" i="20"/>
  <c r="BN78" i="20"/>
  <c r="BM90" i="20"/>
  <c r="BI101" i="20"/>
  <c r="BM101" i="20"/>
  <c r="BI112" i="20"/>
  <c r="BM80" i="20"/>
  <c r="BM112" i="20"/>
  <c r="BD76" i="20"/>
  <c r="BL77" i="20" s="1"/>
  <c r="BI77" i="20"/>
  <c r="BI78" i="20"/>
  <c r="BI79" i="20"/>
  <c r="BJ77" i="20"/>
  <c r="BJ78" i="20"/>
  <c r="BJ79" i="20"/>
  <c r="BJ80" i="20"/>
  <c r="BI80" i="20"/>
  <c r="N45" i="3"/>
  <c r="M45" i="3"/>
  <c r="F160" i="15"/>
  <c r="H160" i="15" s="1"/>
  <c r="L52" i="40"/>
  <c r="E152" i="15"/>
  <c r="G152" i="15" s="1"/>
  <c r="E243" i="2"/>
  <c r="D20" i="1" s="1"/>
  <c r="G218" i="2"/>
  <c r="D160" i="15"/>
  <c r="F131" i="15"/>
  <c r="H131" i="15" s="1"/>
  <c r="F152" i="15"/>
  <c r="H152" i="15" s="1"/>
  <c r="D184" i="15"/>
  <c r="M106" i="3"/>
  <c r="N106" i="3"/>
  <c r="M128" i="3"/>
  <c r="N128" i="3"/>
  <c r="D11" i="38"/>
  <c r="D10" i="38"/>
  <c r="N4" i="38"/>
  <c r="N119" i="3"/>
  <c r="M119" i="3"/>
  <c r="N148" i="3"/>
  <c r="M148" i="3"/>
  <c r="F144" i="15"/>
  <c r="H144" i="15" s="1"/>
  <c r="J203" i="2"/>
  <c r="G167" i="2"/>
  <c r="G168" i="2"/>
  <c r="J199" i="2"/>
  <c r="J167" i="2"/>
  <c r="E144" i="15"/>
  <c r="G144" i="15" s="1"/>
  <c r="I189" i="2"/>
  <c r="AD113" i="38"/>
  <c r="AD105" i="38"/>
  <c r="BR57" i="40"/>
  <c r="BD88" i="40"/>
  <c r="BC99" i="40"/>
  <c r="BD23" i="40"/>
  <c r="BD22" i="40"/>
  <c r="BD21" i="40"/>
  <c r="BD26" i="40"/>
  <c r="BD20" i="40"/>
  <c r="BD24" i="40"/>
  <c r="BD25" i="40"/>
  <c r="BD15" i="40"/>
  <c r="BD11" i="40"/>
  <c r="BA11" i="40"/>
  <c r="BD14" i="40"/>
  <c r="BD13" i="40"/>
  <c r="BD12" i="40"/>
  <c r="N42" i="40"/>
  <c r="BR34" i="40"/>
  <c r="BR20" i="40"/>
  <c r="AY34" i="40"/>
  <c r="BR71" i="40"/>
  <c r="AY24" i="40"/>
  <c r="BU33" i="40"/>
  <c r="E107" i="38"/>
  <c r="S136" i="38" s="1"/>
  <c r="E106" i="38"/>
  <c r="E108" i="38"/>
  <c r="O551" i="38" s="1"/>
  <c r="E103" i="38"/>
  <c r="E105" i="38"/>
  <c r="AG101" i="38" s="1"/>
  <c r="T652" i="38" s="1" a="1"/>
  <c r="T652" i="38" s="1"/>
  <c r="E102" i="38"/>
  <c r="S109" i="38" s="1"/>
  <c r="E101" i="38"/>
  <c r="S104" i="38" s="1"/>
  <c r="AH7" i="40"/>
  <c r="V126" i="38"/>
  <c r="V137" i="38"/>
  <c r="AI98" i="20"/>
  <c r="AL98" i="20"/>
  <c r="AH98" i="20"/>
  <c r="AP98" i="20"/>
  <c r="AQ98" i="20" s="1" a="1"/>
  <c r="AQ98" i="20" s="1"/>
  <c r="AJ98" i="20"/>
  <c r="AI75" i="20"/>
  <c r="AJ75"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H73" i="20"/>
  <c r="AP73" i="20"/>
  <c r="AQ73" i="20" s="1" a="1"/>
  <c r="AQ73" i="20" s="1"/>
  <c r="AJ73" i="20"/>
  <c r="AM121" i="20" a="1"/>
  <c r="AM121" i="20" s="1"/>
  <c r="AJ121" i="20"/>
  <c r="AH121" i="20"/>
  <c r="AP121" i="20"/>
  <c r="AQ121" i="20" s="1" a="1"/>
  <c r="AQ121" i="20" s="1"/>
  <c r="AI121" i="20"/>
  <c r="AP89" i="20"/>
  <c r="AQ89" i="20" s="1" a="1"/>
  <c r="AQ89" i="20" s="1"/>
  <c r="AM89" i="20" a="1"/>
  <c r="AM89" i="20" s="1"/>
  <c r="AH89" i="20"/>
  <c r="AM78" i="20" a="1"/>
  <c r="AM78" i="20" s="1"/>
  <c r="AP78" i="20"/>
  <c r="AQ78" i="20" s="1" a="1"/>
  <c r="AQ78" i="20" s="1"/>
  <c r="AL7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L75" i="20"/>
  <c r="AI134" i="20"/>
  <c r="AP75" i="20"/>
  <c r="AQ75" i="20" s="1" a="1"/>
  <c r="AQ75" i="20" s="1"/>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M76" i="20" a="1"/>
  <c r="AM76" i="20" s="1"/>
  <c r="AL76" i="20"/>
  <c r="AH76" i="20"/>
  <c r="AP76" i="20"/>
  <c r="AQ76" i="20" s="1" a="1"/>
  <c r="AQ76" i="20" s="1"/>
  <c r="AI76"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M87" i="20" a="1"/>
  <c r="AM87" i="20" s="1"/>
  <c r="AH87" i="20"/>
  <c r="AI87" i="20"/>
  <c r="AJ87" i="20"/>
  <c r="AL87" i="20"/>
  <c r="AP87" i="20"/>
  <c r="AQ87" i="20" s="1" a="1"/>
  <c r="AQ87" i="20" s="1"/>
  <c r="AI74" i="20"/>
  <c r="AJ74" i="20"/>
  <c r="AH74" i="20"/>
  <c r="AM74" i="20" a="1"/>
  <c r="AM74" i="20" s="1"/>
  <c r="AL74" i="20"/>
  <c r="AP74" i="20"/>
  <c r="AQ74" i="20" s="1" a="1"/>
  <c r="AQ74"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I77" i="20"/>
  <c r="AH78" i="20"/>
  <c r="AJ77" i="20"/>
  <c r="AL77" i="20"/>
  <c r="AH77" i="20"/>
  <c r="AM86" i="20" a="1"/>
  <c r="AM86" i="20" s="1"/>
  <c r="AM136" i="20" a="1"/>
  <c r="AM136" i="20" s="1"/>
  <c r="AM73" i="20" a="1"/>
  <c r="AM73" i="20" s="1"/>
  <c r="AH75" i="20"/>
  <c r="AI82" i="20"/>
  <c r="AI112" i="20"/>
  <c r="AJ100" i="20"/>
  <c r="AM112" i="20" a="1"/>
  <c r="AM112" i="20" s="1"/>
  <c r="AM138" i="20" a="1"/>
  <c r="AM138" i="20" s="1"/>
  <c r="AI107" i="20"/>
  <c r="AJ114" i="20"/>
  <c r="AL73" i="20"/>
  <c r="AP82" i="20"/>
  <c r="AQ82" i="20" s="1" a="1"/>
  <c r="AQ82" i="20" s="1"/>
  <c r="AI89" i="20"/>
  <c r="AL82" i="20"/>
  <c r="AJ84" i="20"/>
  <c r="AJ107" i="20"/>
  <c r="AI73"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M75" i="20" a="1"/>
  <c r="AM75" i="20" s="1"/>
  <c r="AJ137" i="20"/>
  <c r="AP128" i="20"/>
  <c r="AQ128" i="20" s="1" a="1"/>
  <c r="AQ128" i="20" s="1"/>
  <c r="AJ127" i="20"/>
  <c r="AJ111" i="20"/>
  <c r="BN70" i="40"/>
  <c r="BU70" i="40" s="1"/>
  <c r="D57" i="40"/>
  <c r="E57" i="40" s="1"/>
  <c r="B57" i="40" s="1" a="1"/>
  <c r="B57" i="40" s="1"/>
  <c r="D6" i="1"/>
  <c r="J202" i="2"/>
  <c r="G202" i="2"/>
  <c r="I177" i="2"/>
  <c r="I163" i="2"/>
  <c r="J163" i="2"/>
  <c r="I164" i="2"/>
  <c r="I219" i="2"/>
  <c r="G214" i="2"/>
  <c r="BN56" i="40"/>
  <c r="BO56" i="40" s="1"/>
  <c r="J31" i="40"/>
  <c r="I203" i="2"/>
  <c r="G220" i="2"/>
  <c r="J189" i="2"/>
  <c r="J172" i="2"/>
  <c r="D5" i="1"/>
  <c r="D11" i="1"/>
  <c r="J190" i="2"/>
  <c r="D10" i="1"/>
  <c r="G190" i="2"/>
  <c r="D7" i="1"/>
  <c r="C146" i="38" a="1"/>
  <c r="F515" i="1" a="1"/>
  <c r="F515" i="1" s="1"/>
  <c r="C70" i="9" s="1" a="1"/>
  <c r="C70" i="9" s="1"/>
  <c r="AD146" i="38"/>
  <c r="M110" i="3"/>
  <c r="N110" i="3"/>
  <c r="N87" i="3"/>
  <c r="M87" i="3"/>
  <c r="M135" i="3"/>
  <c r="N135" i="3"/>
  <c r="N42" i="3"/>
  <c r="M42" i="3"/>
  <c r="M74" i="3"/>
  <c r="N74" i="3"/>
  <c r="N17" i="3"/>
  <c r="M17" i="3"/>
  <c r="M76" i="3"/>
  <c r="N76" i="3"/>
  <c r="M93" i="3"/>
  <c r="N93" i="3"/>
  <c r="M54" i="3"/>
  <c r="N54" i="3"/>
  <c r="M126" i="3"/>
  <c r="N126" i="3"/>
  <c r="M38" i="3"/>
  <c r="N38" i="3"/>
  <c r="N96" i="3"/>
  <c r="M96" i="3"/>
  <c r="N61" i="3"/>
  <c r="M61" i="3"/>
  <c r="M67" i="3"/>
  <c r="N67" i="3"/>
  <c r="M108" i="3"/>
  <c r="N108" i="3"/>
  <c r="M173" i="3"/>
  <c r="N173" i="3"/>
  <c r="N143" i="3"/>
  <c r="M143" i="3"/>
  <c r="M71" i="3"/>
  <c r="N71" i="3"/>
  <c r="M68" i="3"/>
  <c r="N68" i="3"/>
  <c r="N171" i="3"/>
  <c r="M171" i="3"/>
  <c r="N112" i="3"/>
  <c r="M112" i="3"/>
  <c r="M170" i="3"/>
  <c r="N170" i="3"/>
  <c r="K184" i="15" a="1"/>
  <c r="K184" i="15" s="1"/>
  <c r="E197" i="15"/>
  <c r="G197" i="15" s="1"/>
  <c r="BC47" i="40"/>
  <c r="BA47" i="40" s="1"/>
  <c r="D195" i="15"/>
  <c r="F133" i="15"/>
  <c r="H133" i="15" s="1"/>
  <c r="BC114" i="40"/>
  <c r="BH113" i="40"/>
  <c r="D165" i="15"/>
  <c r="BH49" i="40"/>
  <c r="M51" i="3"/>
  <c r="N51" i="3"/>
  <c r="M88" i="3"/>
  <c r="N88" i="3"/>
  <c r="M109" i="3"/>
  <c r="N109" i="3"/>
  <c r="M104" i="3"/>
  <c r="N104" i="3"/>
  <c r="N155" i="3"/>
  <c r="M155" i="3"/>
  <c r="M154" i="3"/>
  <c r="N154" i="3"/>
  <c r="M180" i="3"/>
  <c r="N180" i="3"/>
  <c r="N66" i="3"/>
  <c r="M66" i="3"/>
  <c r="N23" i="3"/>
  <c r="M23" i="3"/>
  <c r="M102" i="3"/>
  <c r="N102" i="3"/>
  <c r="M118" i="3"/>
  <c r="N118" i="3"/>
  <c r="N73" i="3"/>
  <c r="M73" i="3"/>
  <c r="M62" i="3"/>
  <c r="N62" i="3"/>
  <c r="N101" i="3"/>
  <c r="M101" i="3"/>
  <c r="M100" i="3"/>
  <c r="N100" i="3"/>
  <c r="M116" i="3"/>
  <c r="N116" i="3"/>
  <c r="N99" i="3"/>
  <c r="M99" i="3"/>
  <c r="M142" i="3"/>
  <c r="N142" i="3"/>
  <c r="M69" i="3"/>
  <c r="N69" i="3"/>
  <c r="M98" i="3"/>
  <c r="N98" i="3"/>
  <c r="N141" i="3"/>
  <c r="M141" i="3"/>
  <c r="N92" i="3"/>
  <c r="M92" i="3"/>
  <c r="N164" i="3"/>
  <c r="M164" i="3"/>
  <c r="N97" i="3"/>
  <c r="BC69" i="40"/>
  <c r="BA69" i="40" s="1"/>
  <c r="M29" i="3"/>
  <c r="M26" i="3"/>
  <c r="BH83" i="40"/>
  <c r="E118" i="15"/>
  <c r="G118" i="15" s="1"/>
  <c r="M64" i="3"/>
  <c r="M112" i="15"/>
  <c r="BH31" i="40"/>
  <c r="D187" i="15"/>
  <c r="BH69" i="40"/>
  <c r="F84" i="15"/>
  <c r="H84" i="15" s="1"/>
  <c r="D148" i="15"/>
  <c r="F187" i="15"/>
  <c r="H187" i="15" s="1"/>
  <c r="D126" i="15"/>
  <c r="E180" i="15"/>
  <c r="G180" i="15" s="1"/>
  <c r="D189" i="15"/>
  <c r="D156" i="15"/>
  <c r="D182" i="15"/>
  <c r="BH58" i="40"/>
  <c r="E124" i="15"/>
  <c r="G124" i="15" s="1"/>
  <c r="BH106" i="40"/>
  <c r="BA33" i="40"/>
  <c r="BH112" i="40"/>
  <c r="BH116" i="40"/>
  <c r="F182" i="15"/>
  <c r="H182" i="15" s="1"/>
  <c r="BH64" i="40"/>
  <c r="BH44" i="40"/>
  <c r="N70" i="3"/>
  <c r="M70" i="3"/>
  <c r="N182" i="3"/>
  <c r="M182" i="3"/>
  <c r="M156" i="3"/>
  <c r="N156" i="3"/>
  <c r="N133" i="3"/>
  <c r="M133" i="3"/>
  <c r="N181" i="3"/>
  <c r="M181" i="3"/>
  <c r="N132" i="3"/>
  <c r="M132" i="3"/>
  <c r="M131" i="3"/>
  <c r="N131" i="3"/>
  <c r="N11" i="3"/>
  <c r="M11" i="3"/>
  <c r="BA16" i="40"/>
  <c r="BD17" i="40"/>
  <c r="BD16" i="40"/>
  <c r="N130" i="3"/>
  <c r="M130" i="3"/>
  <c r="N179" i="3"/>
  <c r="M179" i="3"/>
  <c r="M129" i="3"/>
  <c r="N129" i="3"/>
  <c r="N178" i="3"/>
  <c r="M178" i="3"/>
  <c r="N153" i="3"/>
  <c r="M153" i="3"/>
  <c r="M177" i="3"/>
  <c r="N177" i="3"/>
  <c r="N152" i="3"/>
  <c r="M152" i="3"/>
  <c r="N107" i="3"/>
  <c r="M107" i="3"/>
  <c r="M176" i="3"/>
  <c r="N176" i="3"/>
  <c r="N151" i="3"/>
  <c r="M151" i="3"/>
  <c r="M127" i="3"/>
  <c r="N127" i="3"/>
  <c r="M175" i="3"/>
  <c r="N175" i="3"/>
  <c r="N150" i="3"/>
  <c r="M150" i="3"/>
  <c r="N174" i="3"/>
  <c r="M174" i="3"/>
  <c r="N149" i="3"/>
  <c r="M149" i="3"/>
  <c r="N105" i="3"/>
  <c r="M105" i="3"/>
  <c r="BA64" i="40"/>
  <c r="BH109" i="40"/>
  <c r="BC109" i="40"/>
  <c r="N32" i="3"/>
  <c r="M32" i="3"/>
  <c r="BH103" i="40"/>
  <c r="BC103" i="40"/>
  <c r="M172" i="3"/>
  <c r="N172" i="3"/>
  <c r="N147" i="3"/>
  <c r="M147" i="3"/>
  <c r="M124" i="3"/>
  <c r="N124" i="3"/>
  <c r="M57" i="3"/>
  <c r="N57" i="3"/>
  <c r="M20" i="3"/>
  <c r="N20" i="3"/>
  <c r="M103" i="3"/>
  <c r="N103" i="3"/>
  <c r="M146" i="3"/>
  <c r="N146" i="3"/>
  <c r="N123" i="3"/>
  <c r="M123" i="3"/>
  <c r="M188" i="15"/>
  <c r="N188" i="15"/>
  <c r="N145" i="3"/>
  <c r="M145" i="3"/>
  <c r="N122" i="3"/>
  <c r="M122" i="3"/>
  <c r="M94" i="3"/>
  <c r="N94" i="3"/>
  <c r="N144" i="3"/>
  <c r="M144" i="3"/>
  <c r="M121" i="3"/>
  <c r="N121" i="3"/>
  <c r="M120" i="3"/>
  <c r="N120" i="3"/>
  <c r="BC104" i="40"/>
  <c r="BH104" i="40"/>
  <c r="M169" i="3"/>
  <c r="N169" i="3"/>
  <c r="N63" i="3"/>
  <c r="M63" i="3"/>
  <c r="M90" i="3"/>
  <c r="N90" i="3"/>
  <c r="N168" i="3"/>
  <c r="M168" i="3"/>
  <c r="F106" i="38"/>
  <c r="F103" i="38"/>
  <c r="F101" i="38"/>
  <c r="F102" i="38"/>
  <c r="M65" i="3"/>
  <c r="N65" i="3"/>
  <c r="N95" i="3"/>
  <c r="M95" i="3"/>
  <c r="N167" i="3"/>
  <c r="M167" i="3"/>
  <c r="B5" i="36" a="1"/>
  <c r="B5" i="36" s="1"/>
  <c r="N75" i="3"/>
  <c r="M75" i="3"/>
  <c r="M166" i="3"/>
  <c r="N166" i="3"/>
  <c r="N91" i="3"/>
  <c r="M91" i="3"/>
  <c r="N60" i="3"/>
  <c r="M60" i="3"/>
  <c r="N165" i="3"/>
  <c r="M165" i="3"/>
  <c r="M117" i="3"/>
  <c r="N117" i="3"/>
  <c r="N48" i="3"/>
  <c r="M48" i="3"/>
  <c r="N14" i="3"/>
  <c r="M14" i="3"/>
  <c r="N163" i="3"/>
  <c r="M163" i="3"/>
  <c r="M140" i="3"/>
  <c r="N140" i="3"/>
  <c r="M115" i="3"/>
  <c r="N115" i="3"/>
  <c r="BA49" i="40"/>
  <c r="N162" i="3"/>
  <c r="M162" i="3"/>
  <c r="N139" i="3"/>
  <c r="M139" i="3"/>
  <c r="M114" i="3"/>
  <c r="N114" i="3"/>
  <c r="BA48" i="40"/>
  <c r="M161" i="3"/>
  <c r="N161" i="3"/>
  <c r="N138" i="3"/>
  <c r="M138" i="3"/>
  <c r="M113" i="3"/>
  <c r="N113" i="3"/>
  <c r="N160" i="3"/>
  <c r="M160" i="3"/>
  <c r="N137" i="3"/>
  <c r="M137" i="3"/>
  <c r="N159" i="3"/>
  <c r="M159" i="3"/>
  <c r="N136" i="3"/>
  <c r="M136" i="3"/>
  <c r="BA34" i="40"/>
  <c r="N35" i="3"/>
  <c r="M35" i="3"/>
  <c r="M185" i="3"/>
  <c r="N185" i="3"/>
  <c r="N158" i="3"/>
  <c r="M158" i="3"/>
  <c r="M111" i="3"/>
  <c r="N111" i="3"/>
  <c r="N184" i="3"/>
  <c r="M184" i="3"/>
  <c r="BH110" i="40"/>
  <c r="BC110" i="40"/>
  <c r="N72" i="3"/>
  <c r="M72" i="3"/>
  <c r="N183" i="3"/>
  <c r="M183" i="3"/>
  <c r="M134" i="3"/>
  <c r="N134" i="3"/>
  <c r="BC62" i="40"/>
  <c r="BH117" i="40"/>
  <c r="U243" i="38" a="1"/>
  <c r="U243" i="38" s="1"/>
  <c r="Y243" i="38" a="1"/>
  <c r="Y243" i="38" s="1"/>
  <c r="E71" i="15"/>
  <c r="I71" i="15" s="1" a="1"/>
  <c r="I71" i="15" s="1"/>
  <c r="BC60" i="40"/>
  <c r="D71" i="15"/>
  <c r="G164" i="2"/>
  <c r="BA72" i="40"/>
  <c r="AD128" i="38"/>
  <c r="BA42" i="40"/>
  <c r="BH48" i="40"/>
  <c r="D84" i="15"/>
  <c r="N89" i="3"/>
  <c r="BH62" i="40"/>
  <c r="S135" i="38"/>
  <c r="AD137" i="38"/>
  <c r="G212" i="2"/>
  <c r="AD103" i="38"/>
  <c r="I123" i="15" a="1"/>
  <c r="I123" i="15" s="1"/>
  <c r="I172" i="15" a="1"/>
  <c r="I172" i="15" s="1"/>
  <c r="E157" i="15"/>
  <c r="G157" i="15" s="1"/>
  <c r="D185" i="15"/>
  <c r="F106" i="15"/>
  <c r="H106" i="15" s="1"/>
  <c r="D188" i="15"/>
  <c r="F146" i="15"/>
  <c r="H146" i="15" s="1"/>
  <c r="E80" i="15"/>
  <c r="K80" i="15" s="1" a="1"/>
  <c r="K80" i="15" s="1"/>
  <c r="E125" i="15"/>
  <c r="G125" i="15" s="1"/>
  <c r="E185" i="15"/>
  <c r="G185" i="15" s="1"/>
  <c r="F94" i="15"/>
  <c r="H94" i="15" s="1"/>
  <c r="F117" i="15"/>
  <c r="H117" i="15" s="1"/>
  <c r="D149" i="15"/>
  <c r="F116" i="15"/>
  <c r="H116" i="15" s="1"/>
  <c r="E156" i="15"/>
  <c r="E146" i="15"/>
  <c r="G146" i="15" s="1"/>
  <c r="E148" i="15"/>
  <c r="G148" i="15" s="1"/>
  <c r="N192" i="15"/>
  <c r="M192" i="15"/>
  <c r="D77" i="15"/>
  <c r="E77" i="15"/>
  <c r="I77" i="15" s="1" a="1"/>
  <c r="I77" i="15" s="1"/>
  <c r="H123" i="15"/>
  <c r="K123" i="15" s="1" a="1"/>
  <c r="K123" i="15" s="1"/>
  <c r="I184" i="15" a="1"/>
  <c r="I184" i="15" s="1"/>
  <c r="D94" i="15"/>
  <c r="E169" i="15"/>
  <c r="G169" i="15" s="1"/>
  <c r="D78" i="15"/>
  <c r="K30" i="40"/>
  <c r="H30" i="40" s="1" a="1"/>
  <c r="H30" i="40" s="1"/>
  <c r="I141" i="15" a="1"/>
  <c r="I141" i="15" s="1"/>
  <c r="K153" i="15" a="1"/>
  <c r="K153" i="15" s="1"/>
  <c r="M160" i="15"/>
  <c r="N160" i="15"/>
  <c r="N155" i="15"/>
  <c r="M155" i="15"/>
  <c r="N111" i="15"/>
  <c r="M111" i="15"/>
  <c r="G194" i="15"/>
  <c r="M109" i="15"/>
  <c r="M100" i="15"/>
  <c r="E106" i="15"/>
  <c r="G106" i="15" s="1"/>
  <c r="I153" i="15" a="1"/>
  <c r="I153" i="15" s="1"/>
  <c r="F85" i="15"/>
  <c r="H85" i="15" s="1"/>
  <c r="D165" i="13" a="1"/>
  <c r="D165" i="13" s="1"/>
  <c r="N75" i="15"/>
  <c r="E101" i="15"/>
  <c r="F83" i="15"/>
  <c r="H83" i="15" s="1"/>
  <c r="F101" i="15"/>
  <c r="H101" i="15" s="1"/>
  <c r="D83" i="15"/>
  <c r="M71" i="15"/>
  <c r="M110" i="15"/>
  <c r="N118" i="15"/>
  <c r="M118" i="15"/>
  <c r="N72" i="15"/>
  <c r="M72" i="15"/>
  <c r="M142" i="15"/>
  <c r="N142" i="15"/>
  <c r="H169" i="15"/>
  <c r="M81" i="15"/>
  <c r="N81" i="15"/>
  <c r="M135" i="15"/>
  <c r="N135" i="15"/>
  <c r="M163" i="15"/>
  <c r="N163" i="15"/>
  <c r="M191" i="15"/>
  <c r="N191" i="15"/>
  <c r="M131" i="15"/>
  <c r="N131" i="15"/>
  <c r="H129" i="15"/>
  <c r="N101" i="15"/>
  <c r="M101" i="15"/>
  <c r="M157" i="15"/>
  <c r="N157" i="15"/>
  <c r="D109" i="15"/>
  <c r="BU19" i="40"/>
  <c r="F150" i="15"/>
  <c r="H150" i="15" s="1"/>
  <c r="K140" i="15" a="1"/>
  <c r="K140" i="15" s="1"/>
  <c r="M78" i="15"/>
  <c r="K132" i="15" a="1"/>
  <c r="K132" i="15" s="1"/>
  <c r="E120" i="15"/>
  <c r="G120" i="15" s="1"/>
  <c r="K164" i="15" a="1"/>
  <c r="K164" i="15" s="1"/>
  <c r="D91" i="15"/>
  <c r="F192" i="15"/>
  <c r="H192" i="15" s="1"/>
  <c r="K141" i="15" a="1"/>
  <c r="K141" i="15" s="1"/>
  <c r="M99" i="15"/>
  <c r="I189" i="15" a="1"/>
  <c r="I189" i="15" s="1"/>
  <c r="D192" i="15"/>
  <c r="D117" i="15"/>
  <c r="F166" i="15"/>
  <c r="H166" i="15" s="1"/>
  <c r="I164" i="15" a="1"/>
  <c r="I164" i="15" s="1"/>
  <c r="E99" i="15"/>
  <c r="G99" i="15" s="1"/>
  <c r="N91" i="15"/>
  <c r="I119" i="15" a="1"/>
  <c r="I119" i="15" s="1"/>
  <c r="F122" i="15"/>
  <c r="H122" i="15" s="1"/>
  <c r="K174" i="15" a="1"/>
  <c r="K174" i="15" s="1"/>
  <c r="F68" i="15"/>
  <c r="H68" i="15" s="1"/>
  <c r="K189" i="15" a="1"/>
  <c r="K189" i="15" s="1"/>
  <c r="G116" i="15"/>
  <c r="I170" i="15" a="1"/>
  <c r="I170" i="15" s="1"/>
  <c r="E90" i="15"/>
  <c r="G137" i="15"/>
  <c r="F171" i="15"/>
  <c r="I171" i="15" s="1" a="1"/>
  <c r="I171" i="15" s="1"/>
  <c r="I151" i="1"/>
  <c r="J20" i="40" s="1"/>
  <c r="D103" i="15"/>
  <c r="I150" i="1"/>
  <c r="J19" i="40" s="1"/>
  <c r="N86" i="15"/>
  <c r="D176" i="15"/>
  <c r="D138" i="15"/>
  <c r="D80" i="15"/>
  <c r="F176" i="15"/>
  <c r="H176" i="15" s="1"/>
  <c r="D88" i="15"/>
  <c r="M74" i="15"/>
  <c r="BO33" i="40"/>
  <c r="BL33" i="40" s="1" a="1"/>
  <c r="BL33" i="40" s="1"/>
  <c r="E246" i="2" a="1"/>
  <c r="E837" i="2" s="1"/>
  <c r="M143" i="15"/>
  <c r="N143" i="15"/>
  <c r="M115" i="15"/>
  <c r="N115" i="15"/>
  <c r="O14" i="40"/>
  <c r="K14" i="40"/>
  <c r="H14" i="40" s="1" a="1"/>
  <c r="H14" i="40" s="1"/>
  <c r="M196" i="15"/>
  <c r="N196" i="15"/>
  <c r="N114" i="15"/>
  <c r="M114" i="15"/>
  <c r="K173" i="15" a="1"/>
  <c r="K173" i="15" s="1"/>
  <c r="I173" i="15" a="1"/>
  <c r="I173" i="15" s="1"/>
  <c r="G173" i="15"/>
  <c r="M140" i="15"/>
  <c r="N140" i="15"/>
  <c r="M165" i="15"/>
  <c r="N165" i="15"/>
  <c r="N139" i="15"/>
  <c r="M139" i="15"/>
  <c r="M138" i="15"/>
  <c r="N138" i="15"/>
  <c r="H195" i="15"/>
  <c r="K195" i="15" s="1" a="1"/>
  <c r="K195" i="15" s="1"/>
  <c r="I195" i="15" a="1"/>
  <c r="I195" i="15" s="1"/>
  <c r="N137" i="15"/>
  <c r="M137" i="15"/>
  <c r="G113" i="15"/>
  <c r="N87" i="15"/>
  <c r="M87" i="15"/>
  <c r="M136" i="15"/>
  <c r="N136" i="15"/>
  <c r="M68" i="15"/>
  <c r="N68" i="15"/>
  <c r="G193" i="15"/>
  <c r="N190" i="15"/>
  <c r="M190" i="15"/>
  <c r="G138" i="15"/>
  <c r="K138" i="15" a="1"/>
  <c r="K138" i="15" s="1"/>
  <c r="I138" i="15" a="1"/>
  <c r="I138" i="15" s="1"/>
  <c r="G94" i="15"/>
  <c r="N73" i="15"/>
  <c r="M73" i="15"/>
  <c r="G135" i="15"/>
  <c r="N97" i="15"/>
  <c r="M97" i="15"/>
  <c r="K188" i="15" a="1"/>
  <c r="K188" i="15" s="1"/>
  <c r="I188" i="15" a="1"/>
  <c r="I188" i="15" s="1"/>
  <c r="G188" i="15"/>
  <c r="G187" i="15"/>
  <c r="G133" i="15"/>
  <c r="N129" i="15"/>
  <c r="M129" i="15"/>
  <c r="K41" i="40"/>
  <c r="H41" i="40" s="1" a="1"/>
  <c r="H41" i="40" s="1"/>
  <c r="O41" i="40"/>
  <c r="G160" i="15"/>
  <c r="N92" i="15"/>
  <c r="M92" i="15"/>
  <c r="M127" i="15"/>
  <c r="N127" i="15"/>
  <c r="G131" i="15"/>
  <c r="N194" i="15"/>
  <c r="M194" i="15"/>
  <c r="M153" i="15"/>
  <c r="N153" i="15"/>
  <c r="M178" i="15"/>
  <c r="N178" i="15"/>
  <c r="N151" i="15"/>
  <c r="M151" i="15"/>
  <c r="I127" i="15" a="1"/>
  <c r="I127" i="15" s="1"/>
  <c r="G127" i="15"/>
  <c r="M195" i="15"/>
  <c r="N195" i="15"/>
  <c r="M177" i="15"/>
  <c r="N177" i="15"/>
  <c r="M150" i="15"/>
  <c r="N150" i="15"/>
  <c r="G126" i="15"/>
  <c r="N96" i="15"/>
  <c r="M96" i="15"/>
  <c r="M83" i="15"/>
  <c r="N83" i="15"/>
  <c r="G178" i="15"/>
  <c r="H125" i="15"/>
  <c r="M113" i="15"/>
  <c r="N113" i="15"/>
  <c r="M148" i="15"/>
  <c r="N148" i="15"/>
  <c r="N174" i="15"/>
  <c r="M174" i="15"/>
  <c r="G176" i="15"/>
  <c r="G121" i="15"/>
  <c r="M104" i="15"/>
  <c r="E20" i="40"/>
  <c r="B20" i="40" s="1" a="1"/>
  <c r="B20" i="40" s="1"/>
  <c r="D92" i="15"/>
  <c r="E72" i="15"/>
  <c r="K72" i="15" s="1" a="1"/>
  <c r="K72" i="15" s="1"/>
  <c r="N79" i="15"/>
  <c r="I151" i="15" a="1"/>
  <c r="I151" i="15" s="1"/>
  <c r="I140" i="15" a="1"/>
  <c r="I140" i="15" s="1"/>
  <c r="D163" i="15"/>
  <c r="E88" i="15"/>
  <c r="K88" i="15" s="1" a="1"/>
  <c r="K88" i="15" s="1"/>
  <c r="D72" i="15"/>
  <c r="I174" i="15" a="1"/>
  <c r="I174" i="15" s="1"/>
  <c r="I106" i="1"/>
  <c r="F91" i="15"/>
  <c r="H91" i="15" s="1"/>
  <c r="I104" i="1"/>
  <c r="K165" i="15" a="1"/>
  <c r="K165" i="15" s="1"/>
  <c r="I103" i="1"/>
  <c r="I190" i="1"/>
  <c r="J50" i="40" s="1"/>
  <c r="I139" i="1"/>
  <c r="J13" i="40" s="1"/>
  <c r="I102" i="1"/>
  <c r="I73" i="1"/>
  <c r="I188" i="1"/>
  <c r="J48" i="40" s="1"/>
  <c r="I136" i="1"/>
  <c r="J10" i="40" s="1"/>
  <c r="I99" i="1"/>
  <c r="I71" i="1"/>
  <c r="E109" i="15"/>
  <c r="G109" i="15" s="1"/>
  <c r="E122" i="15"/>
  <c r="I187" i="1"/>
  <c r="J47" i="40" s="1"/>
  <c r="I98" i="1"/>
  <c r="I69" i="1"/>
  <c r="I186" i="1"/>
  <c r="J46" i="40" s="1"/>
  <c r="I97" i="1"/>
  <c r="I68" i="1"/>
  <c r="BU18" i="40"/>
  <c r="F121" i="15"/>
  <c r="H121" i="15" s="1"/>
  <c r="I96" i="1"/>
  <c r="I67" i="1"/>
  <c r="I95" i="1"/>
  <c r="I64" i="1"/>
  <c r="I94" i="1"/>
  <c r="I63" i="1"/>
  <c r="K151" i="15" a="1"/>
  <c r="K151" i="15" s="1"/>
  <c r="I91" i="1"/>
  <c r="I62" i="1"/>
  <c r="M106" i="15"/>
  <c r="I90" i="1"/>
  <c r="I61" i="1"/>
  <c r="I176" i="1"/>
  <c r="J40" i="40" s="1"/>
  <c r="I60" i="1"/>
  <c r="I175" i="1"/>
  <c r="J39" i="40" s="1"/>
  <c r="I59" i="1"/>
  <c r="M90" i="15"/>
  <c r="I165" i="15" a="1"/>
  <c r="I165" i="15" s="1"/>
  <c r="D112" i="15"/>
  <c r="M105" i="15"/>
  <c r="F90" i="15"/>
  <c r="H90" i="15" s="1"/>
  <c r="M77" i="15"/>
  <c r="E68" i="15"/>
  <c r="G68" i="15" s="1"/>
  <c r="N84" i="15"/>
  <c r="D105" i="15"/>
  <c r="F98" i="15"/>
  <c r="H98" i="15" s="1"/>
  <c r="E98" i="15"/>
  <c r="G98" i="15" s="1"/>
  <c r="M80" i="15"/>
  <c r="K119" i="15" a="1"/>
  <c r="K119" i="15" s="1"/>
  <c r="D121" i="15"/>
  <c r="E834" i="2"/>
  <c r="M93" i="15"/>
  <c r="F89" i="15"/>
  <c r="H89" i="15" s="1"/>
  <c r="F73" i="15"/>
  <c r="H73" i="15" s="1"/>
  <c r="K73" i="15" s="1" a="1"/>
  <c r="K73" i="15" s="1"/>
  <c r="BL18" i="40" a="1"/>
  <c r="BL18" i="40" s="1"/>
  <c r="K127" i="15" a="1"/>
  <c r="K127" i="15" s="1"/>
  <c r="M94" i="15"/>
  <c r="E112" i="15"/>
  <c r="K112" i="15" s="1" a="1"/>
  <c r="K112" i="15" s="1"/>
  <c r="D73" i="15"/>
  <c r="M95" i="15"/>
  <c r="D89" i="15"/>
  <c r="F183" i="15"/>
  <c r="I183" i="15" s="1" a="1"/>
  <c r="I183" i="15" s="1"/>
  <c r="D183" i="15"/>
  <c r="E128" i="15"/>
  <c r="K128" i="15" s="1" a="1"/>
  <c r="K128" i="15" s="1"/>
  <c r="F181" i="15"/>
  <c r="H181" i="15" s="1"/>
  <c r="E100" i="15"/>
  <c r="G100" i="15" s="1"/>
  <c r="M193" i="15"/>
  <c r="E161" i="15"/>
  <c r="G161" i="15" s="1"/>
  <c r="F186" i="15"/>
  <c r="H186" i="15" s="1"/>
  <c r="I159" i="1"/>
  <c r="J28" i="40" s="1"/>
  <c r="K172" i="15" a="1"/>
  <c r="K172" i="15" s="1"/>
  <c r="I158" i="1"/>
  <c r="J27" i="40" s="1"/>
  <c r="F100" i="15"/>
  <c r="H100" i="15" s="1"/>
  <c r="E85" i="15"/>
  <c r="G85" i="15" s="1"/>
  <c r="E76" i="15"/>
  <c r="I157" i="1"/>
  <c r="J26" i="40" s="1"/>
  <c r="D76" i="15"/>
  <c r="I155" i="1"/>
  <c r="J24" i="40" s="1"/>
  <c r="I153" i="1"/>
  <c r="J22" i="40" s="1"/>
  <c r="F92" i="15"/>
  <c r="I92" i="15" s="1" a="1"/>
  <c r="I92" i="15" s="1"/>
  <c r="I152" i="1"/>
  <c r="J21" i="40" s="1"/>
  <c r="G104" i="15"/>
  <c r="G105" i="15"/>
  <c r="N70" i="15"/>
  <c r="M70" i="15"/>
  <c r="G78" i="15"/>
  <c r="E81" i="15"/>
  <c r="F81" i="15"/>
  <c r="H81" i="15" s="1"/>
  <c r="F103" i="15"/>
  <c r="H103" i="15" s="1"/>
  <c r="D99" i="15"/>
  <c r="N108" i="15"/>
  <c r="F110" i="15"/>
  <c r="H110" i="15" s="1"/>
  <c r="D110" i="15"/>
  <c r="E96" i="15"/>
  <c r="F96" i="15"/>
  <c r="H96" i="15" s="1"/>
  <c r="G91" i="15"/>
  <c r="D95" i="15"/>
  <c r="E95" i="15"/>
  <c r="E87" i="15"/>
  <c r="F87" i="15"/>
  <c r="H87" i="15" s="1"/>
  <c r="E93" i="15"/>
  <c r="D93" i="15"/>
  <c r="F93" i="15"/>
  <c r="H93" i="15" s="1"/>
  <c r="F70" i="15"/>
  <c r="H70" i="15" s="1"/>
  <c r="D70" i="15"/>
  <c r="N85" i="15"/>
  <c r="M85" i="15"/>
  <c r="D75" i="15"/>
  <c r="F75" i="15"/>
  <c r="H75" i="15" s="1"/>
  <c r="M76" i="15"/>
  <c r="N76" i="15"/>
  <c r="F105" i="15"/>
  <c r="H105" i="15" s="1"/>
  <c r="D81" i="15"/>
  <c r="F82" i="15"/>
  <c r="H82" i="15" s="1"/>
  <c r="F108" i="15"/>
  <c r="H108" i="15" s="1"/>
  <c r="D104" i="15"/>
  <c r="F102" i="15"/>
  <c r="H102" i="15" s="1"/>
  <c r="F97" i="15"/>
  <c r="H97" i="15" s="1"/>
  <c r="E82" i="15"/>
  <c r="N89" i="15"/>
  <c r="M89" i="15"/>
  <c r="E108" i="15"/>
  <c r="E102" i="15"/>
  <c r="D97" i="15"/>
  <c r="G83" i="15"/>
  <c r="N88" i="15"/>
  <c r="F104" i="15"/>
  <c r="H104" i="15" s="1"/>
  <c r="M102" i="15"/>
  <c r="M69" i="15"/>
  <c r="F78" i="15"/>
  <c r="H78" i="15" s="1"/>
  <c r="E69" i="15"/>
  <c r="F111" i="15"/>
  <c r="H111" i="15" s="1"/>
  <c r="D69" i="15"/>
  <c r="E111" i="15"/>
  <c r="G97" i="15"/>
  <c r="M103" i="15"/>
  <c r="N103" i="15"/>
  <c r="G110" i="15"/>
  <c r="M107" i="15"/>
  <c r="D79" i="15"/>
  <c r="D74" i="15"/>
  <c r="E107" i="15"/>
  <c r="F86" i="15"/>
  <c r="H86" i="15" s="1"/>
  <c r="E79" i="15"/>
  <c r="G75" i="15"/>
  <c r="F107" i="15"/>
  <c r="H107" i="15" s="1"/>
  <c r="M98" i="15"/>
  <c r="E86" i="15"/>
  <c r="E74" i="15"/>
  <c r="E70" i="15"/>
  <c r="F95" i="15"/>
  <c r="H95" i="15" s="1"/>
  <c r="M82" i="15"/>
  <c r="M170" i="15"/>
  <c r="N170" i="15"/>
  <c r="M169" i="15"/>
  <c r="N169" i="15"/>
  <c r="N147" i="15"/>
  <c r="M147" i="15"/>
  <c r="M126" i="15"/>
  <c r="N126" i="15"/>
  <c r="M168" i="15"/>
  <c r="N168" i="15"/>
  <c r="N146" i="15"/>
  <c r="M146" i="15"/>
  <c r="M125" i="15"/>
  <c r="N125" i="15"/>
  <c r="G147" i="15"/>
  <c r="M167" i="15"/>
  <c r="N167" i="15"/>
  <c r="M145" i="15"/>
  <c r="N145" i="15"/>
  <c r="M124" i="15"/>
  <c r="N124" i="15"/>
  <c r="N166" i="15"/>
  <c r="M166" i="15"/>
  <c r="N144" i="15"/>
  <c r="M144" i="15"/>
  <c r="M123" i="15"/>
  <c r="N123" i="15"/>
  <c r="M122" i="15"/>
  <c r="N122" i="15"/>
  <c r="N121" i="15"/>
  <c r="M121" i="15"/>
  <c r="G166" i="15"/>
  <c r="H143" i="15"/>
  <c r="K143" i="15" s="1" a="1"/>
  <c r="K143" i="15" s="1"/>
  <c r="I143" i="15" a="1"/>
  <c r="I143" i="15" s="1"/>
  <c r="M120" i="15"/>
  <c r="N120" i="15"/>
  <c r="G186" i="15"/>
  <c r="M189" i="15"/>
  <c r="N189" i="15"/>
  <c r="M119" i="15"/>
  <c r="N119" i="15"/>
  <c r="H185" i="15"/>
  <c r="H124" i="15"/>
  <c r="N141" i="15"/>
  <c r="M141" i="15"/>
  <c r="G123" i="15"/>
  <c r="M162" i="15"/>
  <c r="N162" i="15"/>
  <c r="M117" i="15"/>
  <c r="N117" i="15"/>
  <c r="G183" i="15"/>
  <c r="I163" i="15" a="1"/>
  <c r="I163" i="15" s="1"/>
  <c r="H163" i="15"/>
  <c r="K163" i="15" s="1" a="1"/>
  <c r="K163" i="15" s="1"/>
  <c r="M161" i="15"/>
  <c r="N161" i="15"/>
  <c r="N116" i="15"/>
  <c r="M116" i="15"/>
  <c r="G182" i="15"/>
  <c r="H162" i="15"/>
  <c r="H139" i="15"/>
  <c r="K139" i="15" s="1" a="1"/>
  <c r="K139" i="15" s="1"/>
  <c r="I139" i="15" a="1"/>
  <c r="I139" i="15" s="1"/>
  <c r="K51" i="40"/>
  <c r="H51" i="40" s="1" a="1"/>
  <c r="H51" i="40" s="1"/>
  <c r="O51" i="40"/>
  <c r="N186" i="15"/>
  <c r="M186" i="15"/>
  <c r="G181" i="15"/>
  <c r="H161" i="15"/>
  <c r="N185" i="15"/>
  <c r="M185" i="15"/>
  <c r="H180" i="15"/>
  <c r="M184" i="15"/>
  <c r="N184" i="15"/>
  <c r="N159" i="15"/>
  <c r="M159" i="15"/>
  <c r="K179" i="15" a="1"/>
  <c r="K179" i="15" s="1"/>
  <c r="G179" i="15"/>
  <c r="I179" i="15" a="1"/>
  <c r="I179" i="15" s="1"/>
  <c r="N183" i="15"/>
  <c r="M183" i="15"/>
  <c r="M158" i="15"/>
  <c r="N158" i="15"/>
  <c r="H137" i="15"/>
  <c r="K137" i="15" s="1" a="1"/>
  <c r="K137" i="15" s="1"/>
  <c r="M182" i="15"/>
  <c r="N182" i="15"/>
  <c r="G136" i="15"/>
  <c r="N181" i="15"/>
  <c r="M181" i="15"/>
  <c r="G117" i="15"/>
  <c r="M180" i="15"/>
  <c r="N180" i="15"/>
  <c r="N156" i="15"/>
  <c r="M156" i="15"/>
  <c r="K29" i="40"/>
  <c r="H29" i="40" s="1" a="1"/>
  <c r="H29" i="40" s="1"/>
  <c r="O29" i="40"/>
  <c r="M179" i="15"/>
  <c r="N179" i="15"/>
  <c r="H157" i="15"/>
  <c r="H156" i="15"/>
  <c r="M154" i="15"/>
  <c r="N154" i="15"/>
  <c r="M134" i="15"/>
  <c r="N134" i="15"/>
  <c r="G196" i="15"/>
  <c r="H155" i="15"/>
  <c r="K155" i="15" s="1" a="1"/>
  <c r="K155" i="15" s="1"/>
  <c r="I155" i="15" a="1"/>
  <c r="I155" i="15" s="1"/>
  <c r="K190" i="15" a="1"/>
  <c r="K190"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G130" i="15"/>
  <c r="N173" i="15"/>
  <c r="M173" i="15"/>
  <c r="G192" i="15"/>
  <c r="M172" i="15"/>
  <c r="N172" i="15"/>
  <c r="N149" i="15"/>
  <c r="M149" i="15"/>
  <c r="N128" i="15"/>
  <c r="M128" i="15"/>
  <c r="G191" i="15"/>
  <c r="N171" i="15"/>
  <c r="M171" i="15"/>
  <c r="G149" i="15"/>
  <c r="D196" i="15"/>
  <c r="O30" i="40"/>
  <c r="M164" i="15"/>
  <c r="I156" i="1"/>
  <c r="J25" i="40" s="1"/>
  <c r="I107" i="1"/>
  <c r="I72" i="1"/>
  <c r="I132" i="15" a="1"/>
  <c r="I132" i="15" s="1"/>
  <c r="I154" i="1"/>
  <c r="I105" i="1"/>
  <c r="I70" i="1"/>
  <c r="H170" i="15"/>
  <c r="K170" i="15" s="1" a="1"/>
  <c r="K170" i="15" s="1"/>
  <c r="I101" i="1"/>
  <c r="I66" i="1"/>
  <c r="I189" i="1"/>
  <c r="I100" i="1"/>
  <c r="I65" i="1"/>
  <c r="F196" i="15"/>
  <c r="H196" i="15" s="1"/>
  <c r="G172" i="15"/>
  <c r="G164" i="15"/>
  <c r="I138" i="1"/>
  <c r="J12" i="40" s="1"/>
  <c r="I93" i="1"/>
  <c r="I58" i="1"/>
  <c r="E826" i="2"/>
  <c r="I137" i="1"/>
  <c r="I92" i="1"/>
  <c r="I57" i="1"/>
  <c r="E840" i="2"/>
  <c r="G190" i="15"/>
  <c r="G184" i="15"/>
  <c r="I174" i="1"/>
  <c r="J38" i="40" s="1"/>
  <c r="I89" i="1"/>
  <c r="I173" i="1"/>
  <c r="J37" i="40" s="1"/>
  <c r="I88" i="1"/>
  <c r="I172" i="1"/>
  <c r="I87" i="1"/>
  <c r="I123" i="1"/>
  <c r="I86" i="1"/>
  <c r="I122" i="1"/>
  <c r="I85" i="1"/>
  <c r="E814" i="2"/>
  <c r="I121" i="1"/>
  <c r="I84" i="1"/>
  <c r="E830" i="2"/>
  <c r="E838" i="2"/>
  <c r="F263" i="2"/>
  <c r="F276" i="2"/>
  <c r="M187" i="15"/>
  <c r="I120" i="1"/>
  <c r="I83" i="1"/>
  <c r="E841" i="2"/>
  <c r="F258" i="2"/>
  <c r="F247" i="2"/>
  <c r="I119" i="1"/>
  <c r="I118" i="1"/>
  <c r="B71" i="40" a="1"/>
  <c r="B71" i="40" s="1"/>
  <c r="I117" i="1"/>
  <c r="AV76" i="20"/>
  <c r="AV81" i="20"/>
  <c r="AV67" i="20"/>
  <c r="AV82" i="20"/>
  <c r="AU78" i="20"/>
  <c r="AV87" i="20"/>
  <c r="AV60" i="20"/>
  <c r="AU92" i="20"/>
  <c r="AV73" i="20"/>
  <c r="AU90" i="20"/>
  <c r="AU59" i="20"/>
  <c r="AU103" i="20"/>
  <c r="AU68" i="20"/>
  <c r="AU89" i="20"/>
  <c r="AV62" i="20"/>
  <c r="AV92" i="20"/>
  <c r="AU67" i="20"/>
  <c r="AU93" i="20"/>
  <c r="AU73" i="20"/>
  <c r="AU85" i="20"/>
  <c r="AU76" i="20"/>
  <c r="AV86" i="20"/>
  <c r="AV71" i="20"/>
  <c r="AV103" i="20"/>
  <c r="AU69" i="20"/>
  <c r="AV102" i="20"/>
  <c r="AV72" i="20"/>
  <c r="AU87" i="20"/>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138" i="20" a="1"/>
  <c r="AK104" i="20" a="1"/>
  <c r="AK105" i="20" a="1"/>
  <c r="AK113" i="20" a="1"/>
  <c r="AK132" i="20" a="1"/>
  <c r="C109" i="14" a="1"/>
  <c r="AK139" i="20" a="1"/>
  <c r="AK131" i="20" a="1"/>
  <c r="AK101" i="20" a="1"/>
  <c r="AK98" i="20" a="1"/>
  <c r="AK119" i="20" a="1"/>
  <c r="AK91" i="20" a="1"/>
  <c r="AK80" i="20" a="1"/>
  <c r="AK126" i="20" a="1"/>
  <c r="AK95" i="20" a="1"/>
  <c r="AK124" i="20" a="1"/>
  <c r="AK92" i="20" a="1"/>
  <c r="AK85" i="20" a="1"/>
  <c r="AK99" i="20" a="1"/>
  <c r="AK134" i="20" a="1"/>
  <c r="AK122" i="20" a="1"/>
  <c r="AK87" i="20" a="1"/>
  <c r="AK106" i="20" a="1"/>
  <c r="AK115" i="20" a="1"/>
  <c r="D109" i="14" a="1"/>
  <c r="AK110" i="20" a="1"/>
  <c r="AK74" i="20" a="1"/>
  <c r="AK73" i="20" a="1"/>
  <c r="AK78" i="20" a="1"/>
  <c r="AK83" i="20" a="1"/>
  <c r="AK129" i="20" a="1"/>
  <c r="AK108" i="20" a="1"/>
  <c r="AK102" i="20" a="1"/>
  <c r="AK130" i="20" a="1"/>
  <c r="AK89" i="20" a="1"/>
  <c r="AK93" i="20" a="1"/>
  <c r="AK112" i="20" a="1"/>
  <c r="AK109" i="20" a="1"/>
  <c r="AK81" i="20" a="1"/>
  <c r="AK76" i="20" a="1"/>
  <c r="AK82" i="20" a="1"/>
  <c r="AK118" i="20" a="1"/>
  <c r="AK100" i="20" a="1"/>
  <c r="AK103" i="20" a="1"/>
  <c r="AK117" i="20" a="1"/>
  <c r="AK88" i="20" a="1"/>
  <c r="C134" i="14" a="1"/>
  <c r="AK116" i="20" a="1"/>
  <c r="AK77" i="20" a="1"/>
  <c r="AK120" i="20" a="1"/>
  <c r="AK125" i="20" a="1"/>
  <c r="AK90" i="20" a="1"/>
  <c r="AK97" i="20" a="1"/>
  <c r="AK84" i="20" a="1"/>
  <c r="AK86" i="20" a="1"/>
  <c r="W109" i="14" a="1"/>
  <c r="AK96" i="20" a="1"/>
  <c r="AK107" i="20" a="1"/>
  <c r="AK127" i="20" a="1"/>
  <c r="AK128" i="20" a="1"/>
  <c r="AK111" i="20" a="1"/>
  <c r="AK94" i="20" a="1"/>
  <c r="AK136" i="20" a="1"/>
  <c r="AK135" i="20" a="1"/>
  <c r="AK75" i="20" a="1"/>
  <c r="AK137" i="20" a="1"/>
  <c r="AK121" i="20" a="1"/>
  <c r="AK114" i="20" a="1"/>
  <c r="AK79" i="20" a="1"/>
  <c r="AK123" i="20" a="1"/>
  <c r="AK133" i="20" a="1"/>
  <c r="S122" i="38" l="1"/>
  <c r="AD111" i="38"/>
  <c r="BI91" i="20"/>
  <c r="BI90" i="20"/>
  <c r="BI89" i="20"/>
  <c r="D109" i="14"/>
  <c r="D101" i="14" a="1"/>
  <c r="D101" i="14" s="1"/>
  <c r="C101" i="14" a="1"/>
  <c r="C101" i="14" s="1"/>
  <c r="BI87" i="20"/>
  <c r="BI86" i="20"/>
  <c r="BI85" i="20"/>
  <c r="BI84" i="20"/>
  <c r="BI83" i="20"/>
  <c r="BI82" i="20"/>
  <c r="BI81" i="20"/>
  <c r="Q14" i="40"/>
  <c r="Q51" i="40"/>
  <c r="Q41" i="40"/>
  <c r="Z112" i="38"/>
  <c r="O106" i="38"/>
  <c r="Z118" i="38"/>
  <c r="V111" i="38"/>
  <c r="O111" i="38"/>
  <c r="O115" i="38"/>
  <c r="AG129" i="38" s="1"/>
  <c r="O122" i="38"/>
  <c r="O110" i="38"/>
  <c r="O103" i="38"/>
  <c r="O113" i="38"/>
  <c r="AG122" i="38" s="1"/>
  <c r="O117" i="38"/>
  <c r="AG141" i="38" s="1"/>
  <c r="Q20" i="40"/>
  <c r="AD122" i="38"/>
  <c r="AD106" i="38"/>
  <c r="V125" i="38"/>
  <c r="O105" i="38"/>
  <c r="V119" i="38"/>
  <c r="AD139" i="38"/>
  <c r="O121" i="38"/>
  <c r="O120" i="38"/>
  <c r="O114" i="38"/>
  <c r="AG123" i="38" s="1"/>
  <c r="AB589" i="38" s="1" a="1"/>
  <c r="O116" i="38"/>
  <c r="AG136" i="38" s="1"/>
  <c r="O102" i="38"/>
  <c r="N55" i="3"/>
  <c r="N191" i="3"/>
  <c r="M47" i="3"/>
  <c r="M24" i="3"/>
  <c r="N58" i="3"/>
  <c r="N25" i="3"/>
  <c r="BE57" i="40"/>
  <c r="BE105" i="40" s="1"/>
  <c r="BC105" i="40" s="1"/>
  <c r="N59" i="3"/>
  <c r="BE59" i="40" s="1"/>
  <c r="BC59" i="40" s="1"/>
  <c r="BA59" i="40" s="1"/>
  <c r="N41" i="3"/>
  <c r="N187" i="3"/>
  <c r="M12" i="3"/>
  <c r="N16" i="3"/>
  <c r="N44" i="3"/>
  <c r="M30" i="3"/>
  <c r="M55" i="3"/>
  <c r="M31" i="3"/>
  <c r="N30" i="3"/>
  <c r="N18" i="3"/>
  <c r="BE41" i="40" s="1"/>
  <c r="M192" i="3"/>
  <c r="N22" i="3"/>
  <c r="N46" i="3"/>
  <c r="M52" i="3"/>
  <c r="M58" i="3"/>
  <c r="N36" i="3"/>
  <c r="N39" i="3"/>
  <c r="M194" i="3"/>
  <c r="M40" i="3"/>
  <c r="N13" i="3"/>
  <c r="N40" i="3"/>
  <c r="N34" i="3"/>
  <c r="N52" i="3"/>
  <c r="N37" i="3"/>
  <c r="N190" i="3"/>
  <c r="N188" i="3"/>
  <c r="M49" i="3"/>
  <c r="M43" i="3"/>
  <c r="L27" i="40"/>
  <c r="L32" i="40" s="1"/>
  <c r="M50" i="3"/>
  <c r="M56" i="3"/>
  <c r="N189" i="3"/>
  <c r="M27" i="3"/>
  <c r="N193" i="3"/>
  <c r="N43" i="3"/>
  <c r="M186" i="3"/>
  <c r="M33" i="3"/>
  <c r="M28" i="3"/>
  <c r="N21" i="3"/>
  <c r="N15" i="3"/>
  <c r="BE43" i="40" s="1"/>
  <c r="M19" i="3"/>
  <c r="M53" i="3"/>
  <c r="BE30" i="40"/>
  <c r="BE82" i="40"/>
  <c r="BE111" i="40"/>
  <c r="BH63" i="40"/>
  <c r="N28" i="3"/>
  <c r="BC63" i="40"/>
  <c r="BA63" i="40" s="1"/>
  <c r="O102" i="14"/>
  <c r="M10" i="3"/>
  <c r="BE84" i="40"/>
  <c r="BE32" i="40"/>
  <c r="N10" i="3"/>
  <c r="O103" i="14"/>
  <c r="M9" i="3"/>
  <c r="O101" i="14"/>
  <c r="O119" i="38"/>
  <c r="O112" i="38"/>
  <c r="O118" i="38"/>
  <c r="O104" i="38"/>
  <c r="Q31" i="40"/>
  <c r="Q29" i="40"/>
  <c r="O108" i="38"/>
  <c r="O109" i="38"/>
  <c r="O123" i="38"/>
  <c r="O124" i="38"/>
  <c r="O107" i="38"/>
  <c r="S137" i="38"/>
  <c r="Z138" i="38"/>
  <c r="N54" i="40"/>
  <c r="Y22" i="40" s="1"/>
  <c r="AD107" i="38"/>
  <c r="AD115" i="38"/>
  <c r="AD123" i="38"/>
  <c r="BR72" i="40"/>
  <c r="BR85" i="40" s="1"/>
  <c r="I190" i="15" a="1"/>
  <c r="I190" i="15" s="1"/>
  <c r="BN61" i="40"/>
  <c r="D62" i="40"/>
  <c r="E62" i="40" s="1"/>
  <c r="B62" i="40" s="1" a="1"/>
  <c r="B62" i="40" s="1"/>
  <c r="K136" i="15" a="1"/>
  <c r="K136" i="15" s="1"/>
  <c r="I142" i="15" a="1"/>
  <c r="I142" i="15" s="1"/>
  <c r="I147" i="15" a="1"/>
  <c r="I147" i="15" s="1"/>
  <c r="K147" i="15" a="1"/>
  <c r="K147" i="15" s="1"/>
  <c r="K168" i="15" a="1"/>
  <c r="K168" i="15" s="1"/>
  <c r="I168" i="15" a="1"/>
  <c r="I168" i="15" s="1"/>
  <c r="K191" i="15" a="1"/>
  <c r="K191" i="15" s="1"/>
  <c r="K114" i="15" a="1"/>
  <c r="K114" i="15" s="1"/>
  <c r="K135" i="15" a="1"/>
  <c r="K135" i="15" s="1"/>
  <c r="I167" i="15" a="1"/>
  <c r="I167" i="15" s="1"/>
  <c r="K115" i="15" a="1"/>
  <c r="K115" i="15" s="1"/>
  <c r="G142" i="15"/>
  <c r="I191" i="15" a="1"/>
  <c r="I191" i="15" s="1"/>
  <c r="K167" i="15" a="1"/>
  <c r="K167" i="15" s="1"/>
  <c r="I135" i="15" a="1"/>
  <c r="I135" i="15" s="1"/>
  <c r="I118" i="15" a="1"/>
  <c r="I118" i="15" s="1"/>
  <c r="I136" i="15" a="1"/>
  <c r="I136" i="15" s="1"/>
  <c r="I178" i="15" a="1"/>
  <c r="I178" i="15" s="1"/>
  <c r="I126" i="15" a="1"/>
  <c r="I126" i="15" s="1"/>
  <c r="K130" i="15" a="1"/>
  <c r="K130" i="15" s="1"/>
  <c r="I149" i="15" a="1"/>
  <c r="I149" i="15" s="1"/>
  <c r="K194" i="15" a="1"/>
  <c r="K194" i="15" s="1"/>
  <c r="I115" i="15" a="1"/>
  <c r="I115" i="15" s="1"/>
  <c r="K126" i="15" a="1"/>
  <c r="K126" i="15" s="1"/>
  <c r="I130" i="15" a="1"/>
  <c r="I130" i="15" s="1"/>
  <c r="K131" i="15" a="1"/>
  <c r="K131" i="15" s="1"/>
  <c r="I159" i="15" a="1"/>
  <c r="I159" i="15" s="1"/>
  <c r="K149" i="15" a="1"/>
  <c r="K149" i="15" s="1"/>
  <c r="I194" i="15" a="1"/>
  <c r="I194" i="15" s="1"/>
  <c r="K159" i="15" a="1"/>
  <c r="K159" i="15" s="1"/>
  <c r="I114" i="15" a="1"/>
  <c r="I114" i="15" s="1"/>
  <c r="K124" i="15" a="1"/>
  <c r="K124" i="15" s="1"/>
  <c r="I124" i="15" a="1"/>
  <c r="I124" i="15" s="1"/>
  <c r="K178" i="15" a="1"/>
  <c r="K178" i="15" s="1"/>
  <c r="I113" i="15" a="1"/>
  <c r="I113" i="15" s="1"/>
  <c r="K113" i="15" a="1"/>
  <c r="K113" i="15" s="1"/>
  <c r="I162" i="15" a="1"/>
  <c r="I162" i="15" s="1"/>
  <c r="I131" i="15" a="1"/>
  <c r="I131" i="15" s="1"/>
  <c r="K162" i="15" a="1"/>
  <c r="K162" i="15" s="1"/>
  <c r="K193" i="15" a="1"/>
  <c r="K193" i="15" s="1"/>
  <c r="I145" i="15" a="1"/>
  <c r="I145" i="15" s="1"/>
  <c r="K145" i="15" a="1"/>
  <c r="K145" i="15" s="1"/>
  <c r="I193" i="15" a="1"/>
  <c r="I193" i="15" s="1"/>
  <c r="P5" i="14" a="1"/>
  <c r="P5" i="14" s="1"/>
  <c r="D9" i="38"/>
  <c r="AV51" i="40"/>
  <c r="AF14" i="40"/>
  <c r="BH79" i="20"/>
  <c r="BK79" i="20" s="1"/>
  <c r="BL78" i="20"/>
  <c r="BO78" i="20" s="1"/>
  <c r="AK97" i="20"/>
  <c r="AO97" i="20" s="1" a="1"/>
  <c r="AO97" i="20" s="1"/>
  <c r="BH78" i="20"/>
  <c r="BK78" i="20" s="1"/>
  <c r="D17" i="1"/>
  <c r="D15" i="1"/>
  <c r="D19" i="1"/>
  <c r="D18" i="1"/>
  <c r="K15" i="1" s="1" a="1"/>
  <c r="K15" i="1" s="1"/>
  <c r="D16" i="1"/>
  <c r="K134" i="15" a="1"/>
  <c r="K134"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K116" i="15" a="1"/>
  <c r="K116" i="15" s="1"/>
  <c r="K182" i="15" a="1"/>
  <c r="K182" i="15" s="1"/>
  <c r="BO77" i="20"/>
  <c r="BH80" i="20"/>
  <c r="BK80" i="20" s="1"/>
  <c r="BH77" i="20"/>
  <c r="BK77" i="20" s="1"/>
  <c r="BL76" i="20"/>
  <c r="BO76" i="20" s="1"/>
  <c r="BH102" i="20"/>
  <c r="BK102" i="20" s="1"/>
  <c r="BL102" i="20"/>
  <c r="BO102" i="20" s="1"/>
  <c r="BH81" i="20"/>
  <c r="BH113" i="20"/>
  <c r="BK113" i="20" s="1"/>
  <c r="BL81" i="20"/>
  <c r="BO81" i="20" s="1"/>
  <c r="BL113" i="20"/>
  <c r="BO113" i="20" s="1"/>
  <c r="BH92" i="20"/>
  <c r="BK92" i="20" s="1"/>
  <c r="BL92" i="20"/>
  <c r="BO92" i="20" s="1"/>
  <c r="BH103" i="20"/>
  <c r="BK103" i="20" s="1"/>
  <c r="BL103" i="20"/>
  <c r="BO103" i="20" s="1"/>
  <c r="BH82" i="20"/>
  <c r="BH114" i="20"/>
  <c r="BK114" i="20" s="1"/>
  <c r="BL82" i="20"/>
  <c r="BO82" i="20" s="1"/>
  <c r="BL114" i="20"/>
  <c r="BO114" i="20" s="1"/>
  <c r="BH104" i="20"/>
  <c r="BK104" i="20" s="1"/>
  <c r="BH93" i="20"/>
  <c r="BK93" i="20" s="1"/>
  <c r="BL93" i="20"/>
  <c r="BO93" i="20" s="1"/>
  <c r="BL104" i="20"/>
  <c r="BO104" i="20" s="1"/>
  <c r="BH83" i="20"/>
  <c r="BH115" i="20"/>
  <c r="BK115" i="20" s="1"/>
  <c r="BL83" i="20"/>
  <c r="BO83" i="20" s="1"/>
  <c r="BL115" i="20"/>
  <c r="BO115" i="20" s="1"/>
  <c r="BL95" i="20"/>
  <c r="BO95" i="20" s="1"/>
  <c r="BH94" i="20"/>
  <c r="BK94" i="20" s="1"/>
  <c r="BL94" i="20"/>
  <c r="BO94" i="20" s="1"/>
  <c r="BH105" i="20"/>
  <c r="BK105" i="20" s="1"/>
  <c r="BL105" i="20"/>
  <c r="BO105" i="20" s="1"/>
  <c r="BH76" i="20"/>
  <c r="BH84" i="20"/>
  <c r="BH116" i="20"/>
  <c r="BK116" i="20" s="1"/>
  <c r="BL84" i="20"/>
  <c r="BO84" i="20" s="1"/>
  <c r="BL116" i="20"/>
  <c r="BO116" i="20" s="1"/>
  <c r="BH95" i="20"/>
  <c r="BK95" i="20" s="1"/>
  <c r="BH106" i="20"/>
  <c r="BK106" i="20" s="1"/>
  <c r="BL106" i="20"/>
  <c r="BO106" i="20" s="1"/>
  <c r="BH85" i="20"/>
  <c r="BL85" i="20"/>
  <c r="BO85" i="20" s="1"/>
  <c r="BI76" i="20"/>
  <c r="BH96" i="20"/>
  <c r="BK96" i="20" s="1"/>
  <c r="BL96" i="20"/>
  <c r="BO96" i="20" s="1"/>
  <c r="BH107" i="20"/>
  <c r="BK107" i="20" s="1"/>
  <c r="BL107" i="20"/>
  <c r="BO107" i="20" s="1"/>
  <c r="BH86" i="20"/>
  <c r="BL86" i="20"/>
  <c r="BO86" i="20" s="1"/>
  <c r="BH97" i="20"/>
  <c r="BK97" i="20" s="1"/>
  <c r="BL97" i="20"/>
  <c r="BO97" i="20" s="1"/>
  <c r="BH108" i="20"/>
  <c r="BK108" i="20" s="1"/>
  <c r="BL108" i="20"/>
  <c r="BO108" i="20" s="1"/>
  <c r="BH87" i="20"/>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L89" i="20"/>
  <c r="BO89" i="20" s="1"/>
  <c r="BH100" i="20"/>
  <c r="BK100" i="20" s="1"/>
  <c r="BL100" i="20"/>
  <c r="BO100" i="20" s="1"/>
  <c r="BH111" i="20"/>
  <c r="BK111" i="20" s="1"/>
  <c r="BL111" i="20"/>
  <c r="BO111" i="20" s="1"/>
  <c r="BH90" i="20"/>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K144" i="15" a="1"/>
  <c r="K144" i="15" s="1"/>
  <c r="D33" i="40"/>
  <c r="E33" i="40" s="1"/>
  <c r="B33" i="40" s="1" a="1"/>
  <c r="B33" i="40" s="1"/>
  <c r="BN32" i="40"/>
  <c r="I84" i="15" a="1"/>
  <c r="I84" i="15" s="1"/>
  <c r="M559" i="38" a="1"/>
  <c r="M559" i="38" s="1"/>
  <c r="M562" i="38" a="1"/>
  <c r="M562" i="38" s="1"/>
  <c r="M560" i="38" a="1"/>
  <c r="M560" i="38" s="1"/>
  <c r="M558" i="38" a="1"/>
  <c r="AG98" i="38"/>
  <c r="T635" i="38" s="1" a="1"/>
  <c r="T635" i="38" s="1"/>
  <c r="M557" i="38" a="1"/>
  <c r="M557" i="38" s="1"/>
  <c r="AG135" i="38"/>
  <c r="BR35" i="40"/>
  <c r="BE77" i="40"/>
  <c r="BE78" i="40"/>
  <c r="BC106" i="40"/>
  <c r="AT58" i="40"/>
  <c r="AT57" i="40"/>
  <c r="S145" i="38"/>
  <c r="S130" i="38"/>
  <c r="S131" i="38" s="1"/>
  <c r="AF20" i="40"/>
  <c r="AF19" i="40"/>
  <c r="AF17" i="40"/>
  <c r="AF18" i="40"/>
  <c r="AF15" i="40"/>
  <c r="AF12" i="40"/>
  <c r="AF11" i="40"/>
  <c r="AF10" i="40"/>
  <c r="AF9" i="40"/>
  <c r="W10" i="40"/>
  <c r="L42" i="40"/>
  <c r="C146" i="38"/>
  <c r="AK136" i="20"/>
  <c r="AO136" i="20" s="1" a="1"/>
  <c r="AO136" i="20" s="1"/>
  <c r="AK75" i="20"/>
  <c r="AO75" i="20" s="1" a="1"/>
  <c r="AO75" i="20" s="1"/>
  <c r="AK98" i="20"/>
  <c r="AN98" i="20" s="1" a="1"/>
  <c r="AN98" i="20" s="1"/>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O76" i="20" s="1" a="1"/>
  <c r="AO76" i="20" s="1"/>
  <c r="AK104" i="20"/>
  <c r="AN104" i="20" s="1" a="1"/>
  <c r="AN104" i="20" s="1"/>
  <c r="AK77" i="20"/>
  <c r="AN77" i="20" s="1" a="1"/>
  <c r="AN77" i="20" s="1"/>
  <c r="AK74" i="20"/>
  <c r="AN74" i="20" s="1" a="1"/>
  <c r="AN74"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73" i="20"/>
  <c r="AN73" i="20" s="1" a="1"/>
  <c r="AN73" i="20" s="1"/>
  <c r="AK84" i="20"/>
  <c r="AN84" i="20" s="1" a="1"/>
  <c r="AN84" i="20" s="1"/>
  <c r="AK91" i="20"/>
  <c r="AN91" i="20" s="1" a="1"/>
  <c r="AN91" i="20" s="1"/>
  <c r="AK95" i="20"/>
  <c r="AO95" i="20" s="1" a="1"/>
  <c r="AO95" i="20" s="1"/>
  <c r="AK105" i="20"/>
  <c r="AN105" i="20" s="1" a="1"/>
  <c r="AN105" i="20" s="1"/>
  <c r="AK116" i="20"/>
  <c r="AO116" i="20" s="1" a="1"/>
  <c r="AO116" i="20" s="1"/>
  <c r="AK106" i="20"/>
  <c r="AO106" i="20" s="1" a="1"/>
  <c r="AO106" i="20" s="1"/>
  <c r="AK78" i="20"/>
  <c r="AO78" i="20" s="1" a="1"/>
  <c r="AO78"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89" i="20"/>
  <c r="AN89" i="20" s="1" a="1"/>
  <c r="AN89" i="20" s="1"/>
  <c r="AK108" i="20"/>
  <c r="AO108" i="20" s="1" a="1"/>
  <c r="AO108" i="20" s="1"/>
  <c r="BL56" i="40" a="1"/>
  <c r="BL56" i="40" s="1"/>
  <c r="BO70" i="40"/>
  <c r="BL70" i="40" s="1" a="1"/>
  <c r="BL70" i="40" s="1"/>
  <c r="BU56" i="40"/>
  <c r="T656" i="38" a="1"/>
  <c r="T656" i="38" s="1"/>
  <c r="T670" i="38" a="1"/>
  <c r="T670" i="38" s="1"/>
  <c r="I197" i="15" a="1"/>
  <c r="I197" i="15" s="1"/>
  <c r="K118" i="15" a="1"/>
  <c r="K118" i="15" s="1"/>
  <c r="K197" i="15" a="1"/>
  <c r="K197" i="15" s="1"/>
  <c r="K71" i="15" a="1"/>
  <c r="K71" i="15" s="1"/>
  <c r="K187" i="15" a="1"/>
  <c r="K187" i="15" s="1"/>
  <c r="I187" i="15" a="1"/>
  <c r="I187" i="15" s="1"/>
  <c r="BC115" i="40"/>
  <c r="BH115" i="40"/>
  <c r="K180" i="15" a="1"/>
  <c r="K180" i="15" s="1"/>
  <c r="BA62" i="40"/>
  <c r="L552" i="38"/>
  <c r="S108" i="38"/>
  <c r="K157" i="38"/>
  <c r="L562" i="38" s="1"/>
  <c r="L551" i="38"/>
  <c r="S103" i="38"/>
  <c r="S105" i="38" s="1"/>
  <c r="D157" i="38"/>
  <c r="J6" i="38"/>
  <c r="BA60" i="40"/>
  <c r="S115" i="38"/>
  <c r="Z130" i="38"/>
  <c r="S157" i="38"/>
  <c r="Z137" i="38"/>
  <c r="AE551" i="38"/>
  <c r="AE552" i="38"/>
  <c r="AD157" i="38"/>
  <c r="S144" i="38"/>
  <c r="AE553" i="38"/>
  <c r="F257" i="2"/>
  <c r="BH108" i="40"/>
  <c r="BC108" i="40"/>
  <c r="K106" i="15" a="1"/>
  <c r="K106" i="15" s="1"/>
  <c r="K166" i="15" a="1"/>
  <c r="K166" i="15" s="1"/>
  <c r="I166" i="15" a="1"/>
  <c r="I166" i="15" s="1"/>
  <c r="I80" i="15" a="1"/>
  <c r="I80" i="15" s="1"/>
  <c r="K125" i="15" a="1"/>
  <c r="K125" i="15" s="1"/>
  <c r="I125" i="15" a="1"/>
  <c r="I125" i="15" s="1"/>
  <c r="K157" i="15" a="1"/>
  <c r="K157" i="15" s="1"/>
  <c r="I157" i="15" a="1"/>
  <c r="I157" i="15" s="1"/>
  <c r="G80" i="15"/>
  <c r="K101" i="15" a="1"/>
  <c r="K101" i="15" s="1"/>
  <c r="K169" i="15" a="1"/>
  <c r="K169" i="15" s="1"/>
  <c r="I106" i="15" a="1"/>
  <c r="I106" i="15" s="1"/>
  <c r="I146" i="15" a="1"/>
  <c r="I146" i="15" s="1"/>
  <c r="I148" i="15" a="1"/>
  <c r="I148" i="15" s="1"/>
  <c r="K94" i="15" a="1"/>
  <c r="K94" i="15" s="1"/>
  <c r="I94" i="15" a="1"/>
  <c r="I94" i="15" s="1"/>
  <c r="G101" i="15"/>
  <c r="K156" i="15" a="1"/>
  <c r="K156" i="15" s="1"/>
  <c r="K185" i="15" a="1"/>
  <c r="K185" i="15" s="1"/>
  <c r="K146" i="15" a="1"/>
  <c r="K146" i="15" s="1"/>
  <c r="I185" i="15" a="1"/>
  <c r="I185" i="15" s="1"/>
  <c r="I192" i="15" a="1"/>
  <c r="I192" i="15" s="1"/>
  <c r="K192" i="15" a="1"/>
  <c r="K192" i="15" s="1"/>
  <c r="K117" i="15" a="1"/>
  <c r="K117" i="15" s="1"/>
  <c r="I117" i="15" a="1"/>
  <c r="I117" i="15" s="1"/>
  <c r="I83" i="15" a="1"/>
  <c r="I83" i="15" s="1"/>
  <c r="K83" i="15" a="1"/>
  <c r="K83" i="15" s="1"/>
  <c r="K148" i="15" a="1"/>
  <c r="K148" i="15" s="1"/>
  <c r="G156" i="15"/>
  <c r="I156" i="15" a="1"/>
  <c r="I156" i="15" s="1"/>
  <c r="I116" i="15" a="1"/>
  <c r="I116" i="15" s="1"/>
  <c r="E246" i="2"/>
  <c r="F246" i="2"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E843" i="2"/>
  <c r="E846" i="2"/>
  <c r="F255" i="2"/>
  <c r="F420" i="2" s="1" a="1"/>
  <c r="F420" i="2" s="1"/>
  <c r="G420" i="2" s="1"/>
  <c r="E842" i="2"/>
  <c r="F252" i="2"/>
  <c r="G252" i="2" s="1"/>
  <c r="F376" i="2" s="1" a="1"/>
  <c r="F376" i="2" s="1"/>
  <c r="G376" i="2" s="1"/>
  <c r="E829" i="2"/>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E817" i="2"/>
  <c r="I120" i="15" a="1"/>
  <c r="I120" i="15" s="1"/>
  <c r="E833" i="2"/>
  <c r="I68" i="15" a="1"/>
  <c r="I68" i="15" s="1"/>
  <c r="F261" i="2"/>
  <c r="G261" i="2" s="1"/>
  <c r="F511" i="2" s="1" a="1"/>
  <c r="F511" i="2" s="1"/>
  <c r="G511" i="2" s="1"/>
  <c r="K150" i="15" a="1"/>
  <c r="K150" i="15" s="1"/>
  <c r="K100" i="15" a="1"/>
  <c r="K100" i="15" s="1"/>
  <c r="I150" i="15" a="1"/>
  <c r="I150" i="15" s="1"/>
  <c r="I90" i="15" a="1"/>
  <c r="I90" i="15" s="1"/>
  <c r="I98" i="15" a="1"/>
  <c r="I98" i="15" s="1"/>
  <c r="I101" i="15" a="1"/>
  <c r="I101" i="15" s="1"/>
  <c r="K176" i="15" a="1"/>
  <c r="K176" i="15" s="1"/>
  <c r="E845" i="2"/>
  <c r="E821" i="2"/>
  <c r="E832" i="2"/>
  <c r="F260" i="2"/>
  <c r="G260" i="2" s="1"/>
  <c r="F496" i="2" s="1" a="1"/>
  <c r="F496" i="2" s="1"/>
  <c r="G496" i="2" s="1"/>
  <c r="F280" i="2"/>
  <c r="F795" i="2" s="1" a="1"/>
  <c r="F795" i="2" s="1"/>
  <c r="G795" i="2" s="1"/>
  <c r="E831" i="2"/>
  <c r="K120" i="15" a="1"/>
  <c r="K120" i="15" s="1"/>
  <c r="F256" i="2"/>
  <c r="E815" i="2"/>
  <c r="F271" i="2"/>
  <c r="F279" i="2"/>
  <c r="G90" i="15"/>
  <c r="I89" i="15" a="1"/>
  <c r="I89" i="15" s="1"/>
  <c r="F251" i="2"/>
  <c r="K89" i="15" a="1"/>
  <c r="K89" i="15" s="1"/>
  <c r="G72" i="15"/>
  <c r="E820" i="2"/>
  <c r="F249" i="2"/>
  <c r="F330" i="2" s="1" a="1"/>
  <c r="F330" i="2" s="1"/>
  <c r="G330" i="2" s="1"/>
  <c r="E836" i="2"/>
  <c r="E818" i="2"/>
  <c r="E825" i="2"/>
  <c r="E844" i="2"/>
  <c r="E819" i="2"/>
  <c r="F274" i="2"/>
  <c r="G274" i="2"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O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Q27" i="40"/>
  <c r="K98" i="15" a="1"/>
  <c r="K98" i="15" s="1"/>
  <c r="K121" i="15" a="1"/>
  <c r="K121" i="15" s="1"/>
  <c r="D14" i="40"/>
  <c r="BN13" i="40"/>
  <c r="O40" i="40"/>
  <c r="K40" i="40"/>
  <c r="H40" i="40" s="1" a="1"/>
  <c r="H40" i="40" s="1"/>
  <c r="Q40" i="40"/>
  <c r="BN55" i="40"/>
  <c r="D56" i="40"/>
  <c r="E56" i="40" s="1"/>
  <c r="B56" i="40" s="1" a="1"/>
  <c r="B56" i="40" s="1"/>
  <c r="K103" i="15" a="1"/>
  <c r="K103" i="15" s="1"/>
  <c r="BN27" i="40"/>
  <c r="D28" i="40"/>
  <c r="BN54" i="40"/>
  <c r="D55" i="40"/>
  <c r="K21" i="40"/>
  <c r="H21" i="40" s="1" a="1"/>
  <c r="H21" i="40" s="1"/>
  <c r="Q21" i="40"/>
  <c r="O21" i="40"/>
  <c r="K28" i="40"/>
  <c r="H28" i="40" s="1" a="1"/>
  <c r="H28" i="40" s="1"/>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O22" i="40"/>
  <c r="K22" i="40"/>
  <c r="H22" i="40" s="1" a="1"/>
  <c r="H22" i="40" s="1"/>
  <c r="Q22" i="40"/>
  <c r="BN15" i="40"/>
  <c r="D16" i="40"/>
  <c r="E16" i="40" s="1"/>
  <c r="B16" i="40" s="1" a="1"/>
  <c r="B16" i="40" s="1"/>
  <c r="BN48" i="40"/>
  <c r="D49" i="40"/>
  <c r="E49" i="40" s="1"/>
  <c r="B49" i="40" s="1" a="1"/>
  <c r="B49" i="40" s="1"/>
  <c r="K109" i="15" a="1"/>
  <c r="K109" i="15" s="1"/>
  <c r="I109" i="15" a="1"/>
  <c r="I109" i="15" s="1"/>
  <c r="D31" i="40"/>
  <c r="E31" i="40" s="1"/>
  <c r="B31" i="40" s="1" a="1"/>
  <c r="B31" i="40" s="1"/>
  <c r="BN30" i="40"/>
  <c r="BN62" i="40"/>
  <c r="D63" i="40"/>
  <c r="G112" i="15"/>
  <c r="O10" i="40"/>
  <c r="K10" i="40"/>
  <c r="H10" i="40" s="1" a="1"/>
  <c r="H10" i="40" s="1"/>
  <c r="Q10" i="40"/>
  <c r="K76" i="15" a="1"/>
  <c r="K76" i="15" s="1"/>
  <c r="BN16" i="40"/>
  <c r="D17" i="40"/>
  <c r="K48" i="40"/>
  <c r="H48" i="40" s="1" a="1"/>
  <c r="H48" i="40" s="1"/>
  <c r="Q48" i="40"/>
  <c r="O48" i="40"/>
  <c r="K91" i="15" a="1"/>
  <c r="K91" i="15" s="1"/>
  <c r="O24" i="40"/>
  <c r="Q24" i="40"/>
  <c r="K85" i="15" a="1"/>
  <c r="K85" i="15" s="1"/>
  <c r="I73" i="15" a="1"/>
  <c r="I73" i="15" s="1"/>
  <c r="H92" i="15"/>
  <c r="K92" i="15" s="1" a="1"/>
  <c r="K92" i="15" s="1"/>
  <c r="D52" i="40"/>
  <c r="BN51" i="40"/>
  <c r="I103" i="15" a="1"/>
  <c r="I103" i="15" s="1"/>
  <c r="K68" i="15" a="1"/>
  <c r="K68" i="15" s="1"/>
  <c r="G88" i="15"/>
  <c r="I100" i="15" a="1"/>
  <c r="I100" i="15" s="1"/>
  <c r="D18" i="40"/>
  <c r="E18" i="40" s="1"/>
  <c r="B18" i="40" s="1" a="1"/>
  <c r="B18" i="40" s="1"/>
  <c r="BN17" i="40"/>
  <c r="BN65" i="40"/>
  <c r="D66" i="40"/>
  <c r="I105" i="15" a="1"/>
  <c r="I105" i="15" s="1"/>
  <c r="O26" i="40"/>
  <c r="Q26" i="40"/>
  <c r="D53" i="40"/>
  <c r="BN52" i="40"/>
  <c r="O13" i="40"/>
  <c r="Q13" i="40"/>
  <c r="K13" i="40"/>
  <c r="H13" i="40" s="1" a="1"/>
  <c r="H13" i="40" s="1"/>
  <c r="O28" i="40"/>
  <c r="I128" i="15" a="1"/>
  <c r="I128" i="15" s="1"/>
  <c r="G128" i="15"/>
  <c r="O50" i="40"/>
  <c r="K50" i="40"/>
  <c r="H50" i="40" s="1" a="1"/>
  <c r="H50" i="40" s="1"/>
  <c r="Q50" i="40"/>
  <c r="BN66" i="40"/>
  <c r="D67" i="40"/>
  <c r="E67" i="40" s="1"/>
  <c r="B67" i="40" s="1" a="1"/>
  <c r="B67" i="40" s="1"/>
  <c r="K186" i="15" a="1"/>
  <c r="K186" i="15" s="1"/>
  <c r="I112" i="15" a="1"/>
  <c r="I112" i="15" s="1"/>
  <c r="I91" i="15" a="1"/>
  <c r="I91" i="15" s="1"/>
  <c r="I186" i="15" a="1"/>
  <c r="I186" i="15" s="1"/>
  <c r="I97" i="15" a="1"/>
  <c r="I97" i="15" s="1"/>
  <c r="I85" i="15" a="1"/>
  <c r="I85" i="15" s="1"/>
  <c r="H183" i="15"/>
  <c r="K183" i="15" s="1" a="1"/>
  <c r="K183" i="15" s="1"/>
  <c r="C109" i="14"/>
  <c r="W109" i="14"/>
  <c r="X108" i="14" s="1"/>
  <c r="C134" i="14"/>
  <c r="B134" i="14" s="1"/>
  <c r="BN42" i="40"/>
  <c r="D43" i="40"/>
  <c r="AC55" i="1" a="1"/>
  <c r="AC55" i="1" s="1"/>
  <c r="BN10" i="40"/>
  <c r="AB55" i="1" a="1"/>
  <c r="AB55" i="1" s="1"/>
  <c r="D11" i="40"/>
  <c r="C40" i="9" a="1"/>
  <c r="G277" i="2"/>
  <c r="F751" i="2" s="1" a="1"/>
  <c r="F751" i="2" s="1"/>
  <c r="G751" i="2" s="1"/>
  <c r="AF58" i="20" a="1"/>
  <c r="BN29" i="40"/>
  <c r="D30" i="40"/>
  <c r="J11" i="40"/>
  <c r="P101" i="14" a="1"/>
  <c r="P101" i="14" s="1"/>
  <c r="Q6" i="14" s="1"/>
  <c r="L135" i="1" a="1"/>
  <c r="L135" i="1" s="1"/>
  <c r="C55" i="9" a="1"/>
  <c r="C55" i="9" s="1"/>
  <c r="D69" i="40"/>
  <c r="BN68" i="40"/>
  <c r="G87" i="15"/>
  <c r="K87" i="15" a="1"/>
  <c r="K87" i="15" s="1"/>
  <c r="I87" i="15" a="1"/>
  <c r="I87" i="15" s="1"/>
  <c r="L149" i="1" a="1"/>
  <c r="L149" i="1" s="1"/>
  <c r="E55" i="9" a="1"/>
  <c r="E55" i="9" s="1"/>
  <c r="J23" i="40"/>
  <c r="K26" i="40" s="1"/>
  <c r="H26" i="40" s="1" a="1"/>
  <c r="H26" i="40" s="1"/>
  <c r="P107" i="14" a="1"/>
  <c r="G82" i="15"/>
  <c r="I82" i="15" a="1"/>
  <c r="I82" i="15" s="1"/>
  <c r="K82" i="15" a="1"/>
  <c r="K82" i="15" s="1"/>
  <c r="BN49" i="40"/>
  <c r="D50" i="40"/>
  <c r="D44" i="40"/>
  <c r="BN43" i="40"/>
  <c r="F690" i="2" a="1"/>
  <c r="F690" i="2" s="1"/>
  <c r="G690" i="2" s="1"/>
  <c r="K95" i="15" a="1"/>
  <c r="K95" i="15" s="1"/>
  <c r="I95" i="15" a="1"/>
  <c r="I95" i="15" s="1"/>
  <c r="G95" i="15"/>
  <c r="BN78" i="40"/>
  <c r="D79" i="40"/>
  <c r="D83" i="40"/>
  <c r="BN82" i="40"/>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I78" i="15" a="1"/>
  <c r="I78" i="15" s="1"/>
  <c r="K105" i="15" a="1"/>
  <c r="K105" i="15" s="1"/>
  <c r="O12" i="40"/>
  <c r="K12" i="40"/>
  <c r="H12" i="40" s="1" a="1"/>
  <c r="H12" i="40" s="1"/>
  <c r="Q12" i="40"/>
  <c r="BN31" i="40"/>
  <c r="D32" i="40"/>
  <c r="K78" i="15" a="1"/>
  <c r="K78" i="15" s="1"/>
  <c r="I104" i="15" a="1"/>
  <c r="I104" i="15" s="1"/>
  <c r="O25" i="40"/>
  <c r="Q25" i="40"/>
  <c r="K196" i="15" a="1"/>
  <c r="K196" i="15" s="1"/>
  <c r="K104" i="15" a="1"/>
  <c r="K104" i="15" s="1"/>
  <c r="J36" i="40"/>
  <c r="L171" i="1" a="1"/>
  <c r="L171" i="1" s="1"/>
  <c r="G55" i="9" a="1"/>
  <c r="G55" i="9" s="1"/>
  <c r="P119" i="14" a="1"/>
  <c r="P119" i="14" s="1"/>
  <c r="I196" i="15" a="1"/>
  <c r="I196" i="15" s="1"/>
  <c r="L83" i="1" a="1"/>
  <c r="L83" i="1" s="1"/>
  <c r="BN40" i="40"/>
  <c r="E40" i="9" a="1"/>
  <c r="F43" i="9" s="1"/>
  <c r="D41" i="40"/>
  <c r="G111" i="15"/>
  <c r="I111" i="15" a="1"/>
  <c r="I111" i="15" s="1"/>
  <c r="K111" i="15" a="1"/>
  <c r="K111" i="15" s="1"/>
  <c r="BN79" i="40"/>
  <c r="D80" i="40"/>
  <c r="D46" i="40"/>
  <c r="BN45" i="40"/>
  <c r="H260" i="2"/>
  <c r="F497" i="2" s="1" a="1"/>
  <c r="F497" i="2" s="1"/>
  <c r="G497" i="2" s="1"/>
  <c r="O37" i="40"/>
  <c r="K37" i="40"/>
  <c r="H37" i="40" s="1" a="1"/>
  <c r="H37" i="40" s="1"/>
  <c r="Q37" i="40"/>
  <c r="BN81" i="40"/>
  <c r="D82" i="40"/>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I93" i="15" a="1"/>
  <c r="I93" i="15" s="1"/>
  <c r="G93" i="15"/>
  <c r="K93" i="15" a="1"/>
  <c r="K93" i="15" s="1"/>
  <c r="F675" i="2" a="1"/>
  <c r="F675" i="2" s="1"/>
  <c r="G675" i="2" s="1"/>
  <c r="G272" i="2"/>
  <c r="L56" i="1" a="1"/>
  <c r="L56" i="1" s="1"/>
  <c r="K86" i="15" a="1"/>
  <c r="K86" i="15" s="1"/>
  <c r="G86" i="15"/>
  <c r="I86" i="15" a="1"/>
  <c r="I86" i="15" s="1"/>
  <c r="K81" i="15" a="1"/>
  <c r="K81" i="15" s="1"/>
  <c r="G81" i="15"/>
  <c r="I81" i="15" a="1"/>
  <c r="I81" i="15" s="1"/>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F450" i="2" a="1"/>
  <c r="F450" i="2" s="1"/>
  <c r="G450" i="2" s="1"/>
  <c r="G257" i="2"/>
  <c r="F451" i="2" s="1" a="1"/>
  <c r="F451" i="2" s="1"/>
  <c r="G451" i="2" s="1"/>
  <c r="I108" i="15" a="1"/>
  <c r="I108" i="15" s="1"/>
  <c r="G108" i="15"/>
  <c r="K108" i="15" a="1"/>
  <c r="K108"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BK87" i="20" l="1"/>
  <c r="BK89" i="20"/>
  <c r="BK90" i="20"/>
  <c r="D108" i="14"/>
  <c r="BK86" i="20"/>
  <c r="BK83" i="20"/>
  <c r="BK85" i="20"/>
  <c r="BK81" i="20"/>
  <c r="BK84" i="20"/>
  <c r="BK82" i="20"/>
  <c r="Y21" i="40"/>
  <c r="AG130" i="38"/>
  <c r="AG115" i="38"/>
  <c r="S116" i="38"/>
  <c r="AG116" i="38"/>
  <c r="AB575" i="38" s="1" a="1"/>
  <c r="Z142" i="38"/>
  <c r="S124" i="38"/>
  <c r="BC57" i="40"/>
  <c r="BD60" i="40" s="1"/>
  <c r="BH59" i="40"/>
  <c r="BH57" i="40"/>
  <c r="BE39" i="40"/>
  <c r="BE98" i="40" s="1"/>
  <c r="BC98" i="40" s="1"/>
  <c r="BD98" i="40" s="1"/>
  <c r="BA98" i="40" s="1"/>
  <c r="BE107" i="40"/>
  <c r="BH107" i="40" s="1"/>
  <c r="U212" i="38" a="1"/>
  <c r="W213" i="38" s="1"/>
  <c r="X213" i="38" s="1"/>
  <c r="U160" i="38" a="1"/>
  <c r="U186" i="38" a="1"/>
  <c r="W187" i="38" s="1"/>
  <c r="X187" i="38" s="1"/>
  <c r="BH105" i="40"/>
  <c r="BH111" i="40"/>
  <c r="BC111" i="40"/>
  <c r="L54" i="40"/>
  <c r="W22" i="40" s="1"/>
  <c r="BE102" i="40"/>
  <c r="BH43" i="40"/>
  <c r="BC43" i="40"/>
  <c r="BE100" i="40"/>
  <c r="BH41" i="40"/>
  <c r="BC41" i="40"/>
  <c r="BH82" i="40"/>
  <c r="BC82" i="40"/>
  <c r="O27" i="40"/>
  <c r="BH30" i="40"/>
  <c r="BC30" i="40"/>
  <c r="BC32" i="40"/>
  <c r="BH32" i="40"/>
  <c r="BH84" i="40"/>
  <c r="BC84" i="40"/>
  <c r="Y23" i="40"/>
  <c r="K24" i="40"/>
  <c r="H24" i="40" s="1" a="1"/>
  <c r="H24" i="40" s="1"/>
  <c r="AG72" i="20" a="1"/>
  <c r="AG72" i="20" s="1"/>
  <c r="F390" i="2" a="1"/>
  <c r="F390" i="2" s="1"/>
  <c r="G390" i="2" s="1"/>
  <c r="C40" i="9"/>
  <c r="D40" i="9" s="1"/>
  <c r="D46" i="9"/>
  <c r="D42" i="9"/>
  <c r="D45" i="9"/>
  <c r="D43" i="9"/>
  <c r="D41" i="9"/>
  <c r="D44" i="9"/>
  <c r="K25" i="40"/>
  <c r="H25" i="40" s="1" a="1"/>
  <c r="H25" i="40" s="1"/>
  <c r="L15" i="1" a="1"/>
  <c r="L15" i="1" s="1"/>
  <c r="P107" i="14"/>
  <c r="Q108" i="14"/>
  <c r="Q110" i="14"/>
  <c r="Q111" i="14"/>
  <c r="Q112" i="14"/>
  <c r="Q17" i="14"/>
  <c r="Q13" i="14"/>
  <c r="Q14" i="14"/>
  <c r="Q15" i="14"/>
  <c r="Q16" i="14"/>
  <c r="Q109" i="14"/>
  <c r="AF58" i="20"/>
  <c r="AG59" i="20" a="1"/>
  <c r="AG59" i="20" s="1"/>
  <c r="AG60" i="20" a="1"/>
  <c r="AG60"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G70" i="20" a="1"/>
  <c r="AG70" i="20" s="1"/>
  <c r="AM70" i="20" s="1" a="1"/>
  <c r="AG71" i="20" a="1"/>
  <c r="AG71" i="20" s="1"/>
  <c r="AE55" i="20"/>
  <c r="AE57" i="20" s="1"/>
  <c r="E40" i="9"/>
  <c r="F40" i="9" s="1"/>
  <c r="F41" i="9"/>
  <c r="F42" i="9"/>
  <c r="BO61" i="40"/>
  <c r="BL61" i="40" s="1" a="1"/>
  <c r="BL61" i="40" s="1"/>
  <c r="BU61" i="40"/>
  <c r="AN97" i="20" a="1"/>
  <c r="AN97" i="20" s="1"/>
  <c r="K27" i="40"/>
  <c r="H27" i="40" s="1" a="1"/>
  <c r="H27" i="40" s="1"/>
  <c r="E17" i="40"/>
  <c r="B17" i="40" s="1" a="1"/>
  <c r="B17" i="40" s="1"/>
  <c r="E15" i="40"/>
  <c r="B15" i="40" s="1" a="1"/>
  <c r="B15" i="40" s="1"/>
  <c r="S146" i="38"/>
  <c r="S125" i="38" s="1"/>
  <c r="S126" i="38" s="1"/>
  <c r="F525" i="2" a="1"/>
  <c r="F525" i="2" s="1"/>
  <c r="G525" i="2" s="1"/>
  <c r="F315" i="2" a="1"/>
  <c r="F315" i="2" s="1"/>
  <c r="G315" i="2" s="1"/>
  <c r="F375" i="2" a="1"/>
  <c r="F375" i="2" s="1"/>
  <c r="G375" i="2" s="1"/>
  <c r="G266" i="2"/>
  <c r="G278" i="2"/>
  <c r="F766" i="2" s="1" a="1"/>
  <c r="F766" i="2" s="1"/>
  <c r="G766" i="2" s="1"/>
  <c r="F615" i="2" a="1"/>
  <c r="F615" i="2" s="1"/>
  <c r="G615" i="2" s="1"/>
  <c r="G280" i="2"/>
  <c r="F796" i="2" s="1" a="1"/>
  <c r="F796" i="2" s="1"/>
  <c r="G796" i="2" s="1"/>
  <c r="AO73" i="20" a="1"/>
  <c r="AO73" i="20" s="1"/>
  <c r="BK76" i="20"/>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116" i="20" a="1"/>
  <c r="AN116" i="20" s="1"/>
  <c r="AN95" i="20" a="1"/>
  <c r="AN95" i="20" s="1"/>
  <c r="AO105" i="20" a="1"/>
  <c r="AO105" i="20" s="1"/>
  <c r="M558" i="38"/>
  <c r="AN78" i="20" a="1"/>
  <c r="AN78" i="20" s="1"/>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128" i="20" a="1"/>
  <c r="AN128" i="20" s="1"/>
  <c r="AN135" i="20" a="1"/>
  <c r="AN135" i="20" s="1"/>
  <c r="AO130" i="20" a="1"/>
  <c r="AO130" i="20" s="1"/>
  <c r="AN113" i="20" a="1"/>
  <c r="AN113" i="20" s="1"/>
  <c r="AN96" i="20" a="1"/>
  <c r="AN96" i="20" s="1"/>
  <c r="AO92" i="20" a="1"/>
  <c r="AO92" i="20" s="1"/>
  <c r="AO89" i="20" a="1"/>
  <c r="AO89" i="20" s="1"/>
  <c r="AN75" i="20" a="1"/>
  <c r="AN75" i="20" s="1"/>
  <c r="AN108" i="20" a="1"/>
  <c r="AN108" i="20" s="1"/>
  <c r="AO134" i="20" a="1"/>
  <c r="AO134" i="20" s="1"/>
  <c r="AO138" i="20" a="1"/>
  <c r="AO138"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N127" i="20" a="1"/>
  <c r="AN127" i="20" s="1"/>
  <c r="AN103" i="20" a="1"/>
  <c r="AN103" i="20" s="1"/>
  <c r="AO88" i="20" a="1"/>
  <c r="AO88" i="20" s="1"/>
  <c r="AN106" i="20" a="1"/>
  <c r="AN106" i="20" s="1"/>
  <c r="AN119" i="20" a="1"/>
  <c r="AN119" i="20" s="1"/>
  <c r="AO111" i="20" a="1"/>
  <c r="AO111" i="20" s="1"/>
  <c r="AN118" i="20" a="1"/>
  <c r="AN118" i="20" s="1"/>
  <c r="AN93" i="20" a="1"/>
  <c r="AN93" i="20" s="1"/>
  <c r="AN112" i="20" a="1"/>
  <c r="AN112" i="20" s="1"/>
  <c r="BG7" i="40"/>
  <c r="AN114" i="20" a="1"/>
  <c r="AN114" i="20" s="1"/>
  <c r="AN109" i="20" a="1"/>
  <c r="AN109" i="20" s="1"/>
  <c r="AO101" i="20" a="1"/>
  <c r="AO101" i="20" s="1"/>
  <c r="AO123" i="20" a="1"/>
  <c r="AO123" i="20" s="1"/>
  <c r="AO125" i="20" a="1"/>
  <c r="AO125" i="20" s="1"/>
  <c r="AO74" i="20" a="1"/>
  <c r="AO74" i="20" s="1"/>
  <c r="AN82" i="20" a="1"/>
  <c r="AN82" i="20" s="1"/>
  <c r="AN86" i="20" a="1"/>
  <c r="AN86" i="20" s="1"/>
  <c r="AO81" i="20" a="1"/>
  <c r="AO81" i="20" s="1"/>
  <c r="AN85" i="20" a="1"/>
  <c r="AN85" i="20" s="1"/>
  <c r="AN139" i="20" a="1"/>
  <c r="AN139" i="20" s="1"/>
  <c r="AO102" i="20" a="1"/>
  <c r="AO102" i="20" s="1"/>
  <c r="B109" i="14"/>
  <c r="F510" i="2" a="1"/>
  <c r="F510" i="2" s="1"/>
  <c r="G510" i="2" s="1"/>
  <c r="E813" i="2"/>
  <c r="F813" i="2" s="1" a="1"/>
  <c r="F813" i="2" s="1"/>
  <c r="F345" i="2" a="1"/>
  <c r="F345" i="2" s="1"/>
  <c r="G345" i="2" s="1"/>
  <c r="S173" i="38"/>
  <c r="P173" i="38" s="1"/>
  <c r="S167" i="38"/>
  <c r="P167" i="38" s="1"/>
  <c r="S192" i="38"/>
  <c r="P192" i="38" s="1"/>
  <c r="S180" i="38"/>
  <c r="P180" i="38" s="1"/>
  <c r="S175" i="38"/>
  <c r="P175" i="38" s="1"/>
  <c r="S166" i="38"/>
  <c r="P166" i="38" s="1"/>
  <c r="S161" i="38"/>
  <c r="P161" i="38" s="1"/>
  <c r="S191" i="38"/>
  <c r="P191" i="38" s="1"/>
  <c r="S174" i="38"/>
  <c r="P174" i="38" s="1"/>
  <c r="S168" i="38"/>
  <c r="P168" i="38" s="1"/>
  <c r="E551" i="38"/>
  <c r="E553" i="38"/>
  <c r="B553" i="38" a="1"/>
  <c r="B553" i="38" s="1"/>
  <c r="E552" i="38"/>
  <c r="V130" i="38"/>
  <c r="V133" i="38" s="1"/>
  <c r="B665" i="38" s="1" a="1"/>
  <c r="V124" i="38"/>
  <c r="V127" i="38" s="1"/>
  <c r="V105" i="38"/>
  <c r="B649" i="38" s="1" a="1"/>
  <c r="B649" i="38" s="1"/>
  <c r="V136" i="38"/>
  <c r="V110" i="38"/>
  <c r="V113" i="38" s="1"/>
  <c r="V104" i="38"/>
  <c r="B574" i="38" s="1" a="1"/>
  <c r="B574" i="38" s="1"/>
  <c r="V106" i="38"/>
  <c r="V117" i="38"/>
  <c r="V120" i="38" s="1"/>
  <c r="B589" i="38" s="1" a="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69" i="2"/>
  <c r="F632" i="2" s="1" a="1"/>
  <c r="F632" i="2" s="1"/>
  <c r="G632" i="2" s="1"/>
  <c r="BU62" i="40"/>
  <c r="BO62" i="40"/>
  <c r="BL62" i="40" s="1" a="1"/>
  <c r="BL62" i="40" s="1"/>
  <c r="BO14" i="40"/>
  <c r="BL14" i="40" s="1" a="1"/>
  <c r="BL14" i="40" s="1"/>
  <c r="BU14" i="40"/>
  <c r="E14" i="40"/>
  <c r="B14" i="40" s="1" a="1"/>
  <c r="B14" i="40" s="1"/>
  <c r="F586" i="2" a="1"/>
  <c r="F586" i="2" s="1"/>
  <c r="G586" i="2" s="1"/>
  <c r="H266" i="2"/>
  <c r="F587" i="2" s="1" a="1"/>
  <c r="F587" i="2" s="1"/>
  <c r="G587" i="2" s="1"/>
  <c r="F421" i="2" a="1"/>
  <c r="F421" i="2" s="1"/>
  <c r="G421"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E186" i="2" s="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O15" i="40" s="1"/>
  <c r="K11" i="40"/>
  <c r="H11" i="40" s="1" a="1"/>
  <c r="H11" i="40" s="1"/>
  <c r="I88" i="40" a="1"/>
  <c r="I88" i="40" s="1"/>
  <c r="Q11" i="40"/>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N56" i="1" a="1"/>
  <c r="N56" i="1" s="1"/>
  <c r="O56" i="1" s="1" a="1"/>
  <c r="O56" i="1" s="1"/>
  <c r="K155" i="2" a="1"/>
  <c r="K155" i="2" s="1"/>
  <c r="BO45" i="40"/>
  <c r="BL45" i="40" s="1" a="1"/>
  <c r="BL45" i="40" s="1"/>
  <c r="BU45" i="40"/>
  <c r="H264" i="2"/>
  <c r="BU77" i="40"/>
  <c r="E46" i="40"/>
  <c r="B46" i="40" s="1" a="1"/>
  <c r="B46" i="40" s="1"/>
  <c r="I253" i="2"/>
  <c r="J253" i="2"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1" i="14"/>
  <c r="Q12" i="14"/>
  <c r="Q107" i="14"/>
  <c r="BO42" i="40"/>
  <c r="BL42" i="40" s="1" a="1"/>
  <c r="BL42" i="40" s="1"/>
  <c r="BU42" i="40"/>
  <c r="K23" i="40"/>
  <c r="H23" i="40" s="1" a="1"/>
  <c r="H23" i="40" s="1"/>
  <c r="O23" i="40"/>
  <c r="Q23" i="40"/>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E59" i="20" a="1"/>
  <c r="BH118" i="20" l="1" a="1"/>
  <c r="BH118" i="20" s="1"/>
  <c r="U282" i="38" a="1"/>
  <c r="U282" i="38" s="1"/>
  <c r="T657" i="38" s="1" a="1"/>
  <c r="T657" i="38" s="1"/>
  <c r="BD63" i="40"/>
  <c r="BD70" i="40"/>
  <c r="BD65" i="40"/>
  <c r="BD57" i="40"/>
  <c r="BD71" i="40"/>
  <c r="BD66" i="40"/>
  <c r="BD64" i="40"/>
  <c r="BD68" i="40"/>
  <c r="S110" i="38"/>
  <c r="S111" i="38" s="1"/>
  <c r="Z105" i="38" s="1"/>
  <c r="BD58" i="40"/>
  <c r="BD59" i="40"/>
  <c r="BA57" i="40"/>
  <c r="BD69" i="40"/>
  <c r="AG121" i="38"/>
  <c r="AG124" i="38" s="1"/>
  <c r="BD62" i="40"/>
  <c r="BD67" i="40"/>
  <c r="BD72" i="40"/>
  <c r="BD61" i="40"/>
  <c r="BH98" i="40"/>
  <c r="U302" i="38" s="1" a="1"/>
  <c r="U302" i="38" s="1"/>
  <c r="T671" i="38" s="1" a="1"/>
  <c r="T671" i="38" s="1"/>
  <c r="BC107" i="40"/>
  <c r="BC39" i="40"/>
  <c r="BD45" i="40" s="1"/>
  <c r="BH39" i="40"/>
  <c r="W163" i="38"/>
  <c r="X163" i="38" s="1"/>
  <c r="W162" i="38"/>
  <c r="X162" i="38" s="1"/>
  <c r="W161" i="38"/>
  <c r="X161" i="38" s="1"/>
  <c r="V236" i="38"/>
  <c r="U186" i="38"/>
  <c r="W186" i="38"/>
  <c r="V235" i="38"/>
  <c r="W160" i="38"/>
  <c r="U160" i="38"/>
  <c r="V237" i="38"/>
  <c r="W212" i="38"/>
  <c r="U212" i="38"/>
  <c r="BD99" i="40"/>
  <c r="BA99" i="40" s="1"/>
  <c r="BA43" i="40"/>
  <c r="BE7" i="40"/>
  <c r="BE118" i="40" s="1"/>
  <c r="W21" i="40"/>
  <c r="W23" i="40" s="1"/>
  <c r="AF16" i="40" s="1"/>
  <c r="BD82" i="40"/>
  <c r="BA82" i="40"/>
  <c r="BD83" i="40"/>
  <c r="BA30" i="40"/>
  <c r="BD31" i="40"/>
  <c r="BD30" i="40"/>
  <c r="J160" i="38" a="1"/>
  <c r="J160" i="38" s="1"/>
  <c r="BA41" i="40"/>
  <c r="BC102" i="40"/>
  <c r="BH102" i="40"/>
  <c r="AF13" i="40"/>
  <c r="S181" i="38" s="1"/>
  <c r="P181" i="38" s="1"/>
  <c r="BC100" i="40"/>
  <c r="BH100" i="40"/>
  <c r="BA84" i="40"/>
  <c r="BD90" i="40"/>
  <c r="BD87" i="40"/>
  <c r="BD93" i="40"/>
  <c r="BD94" i="40"/>
  <c r="BD92" i="40"/>
  <c r="BD89" i="40"/>
  <c r="BD85" i="40"/>
  <c r="BD86" i="40"/>
  <c r="BD91" i="40"/>
  <c r="BD84" i="40"/>
  <c r="BA32" i="40"/>
  <c r="BD32" i="40"/>
  <c r="J172" i="38" a="1"/>
  <c r="J172" i="38" s="1"/>
  <c r="I585" i="38" s="1" a="1"/>
  <c r="K558" i="38" s="1"/>
  <c r="L558" i="38" s="1"/>
  <c r="AG140" i="38"/>
  <c r="AG142" i="38" s="1"/>
  <c r="AG109" i="38"/>
  <c r="AB574" i="38" s="1" a="1"/>
  <c r="AB574" i="38" s="1"/>
  <c r="BG118" i="40"/>
  <c r="BG73" i="40"/>
  <c r="C210" i="2"/>
  <c r="E210" i="2" s="1"/>
  <c r="E211" i="2"/>
  <c r="G186" i="2"/>
  <c r="I186" i="2"/>
  <c r="J186" i="2"/>
  <c r="C156" i="2"/>
  <c r="E156" i="2" s="1"/>
  <c r="E157" i="2"/>
  <c r="E158" i="2"/>
  <c r="E159" i="2"/>
  <c r="E160" i="2"/>
  <c r="E161" i="2"/>
  <c r="E162" i="2"/>
  <c r="H280" i="2"/>
  <c r="F797" i="2" s="1" a="1"/>
  <c r="F797" i="2" s="1"/>
  <c r="G797" i="2" s="1"/>
  <c r="AH72" i="20"/>
  <c r="AP72" i="20" s="1"/>
  <c r="AE59" i="20"/>
  <c r="AM70" i="20"/>
  <c r="C183" i="2"/>
  <c r="E183" i="2" s="1"/>
  <c r="F46" i="40" s="1"/>
  <c r="E184" i="2"/>
  <c r="E185" i="2"/>
  <c r="AH71" i="20"/>
  <c r="AJ71" i="20" s="1"/>
  <c r="AP70" i="20"/>
  <c r="AQ70" i="20" s="1" a="1"/>
  <c r="AH70" i="20"/>
  <c r="AI70" i="20"/>
  <c r="AJ70" i="20"/>
  <c r="AL70" i="20"/>
  <c r="AH69" i="20"/>
  <c r="AI69" i="20" s="1"/>
  <c r="AH68" i="20"/>
  <c r="AL68" i="20" s="1"/>
  <c r="AH67" i="20"/>
  <c r="AP67" i="20" s="1"/>
  <c r="AH66" i="20"/>
  <c r="AP66" i="20" s="1"/>
  <c r="AJ66" i="20"/>
  <c r="AP65" i="20"/>
  <c r="AQ65" i="20" s="1" a="1"/>
  <c r="AQ65" i="20" s="1"/>
  <c r="AH65" i="20"/>
  <c r="AI65" i="20"/>
  <c r="AM65" i="20" a="1"/>
  <c r="AM65" i="20" s="1"/>
  <c r="AL65" i="20"/>
  <c r="AJ65" i="20"/>
  <c r="AH64" i="20"/>
  <c r="AP64" i="20" s="1"/>
  <c r="AH63" i="20"/>
  <c r="AI63" i="20" s="1"/>
  <c r="AH62" i="20"/>
  <c r="AI62" i="20" s="1"/>
  <c r="AL62" i="20"/>
  <c r="AH61" i="20"/>
  <c r="AP61" i="20" s="1"/>
  <c r="AJ61" i="20"/>
  <c r="AL61" i="20"/>
  <c r="AH60" i="20"/>
  <c r="AL60" i="20" s="1"/>
  <c r="AH59" i="20"/>
  <c r="AJ59" i="20" s="1"/>
  <c r="AL59" i="20"/>
  <c r="AG128" i="38"/>
  <c r="AG131" i="38" s="1"/>
  <c r="AB650" i="38" s="1" a="1"/>
  <c r="AG111" i="38"/>
  <c r="AB729" i="38" s="1" a="1"/>
  <c r="AB729" i="38" s="1"/>
  <c r="Y6" i="38"/>
  <c r="AG114" i="38"/>
  <c r="AG117" i="38" s="1"/>
  <c r="B729" i="38" a="1"/>
  <c r="B729" i="38" s="1"/>
  <c r="AG110" i="38"/>
  <c r="AB649" i="38" s="1" a="1"/>
  <c r="AB649" i="38" s="1"/>
  <c r="S117" i="38"/>
  <c r="S118" i="38" s="1"/>
  <c r="Z131" i="38" s="1"/>
  <c r="Z133" i="38" s="1"/>
  <c r="AG134" i="38"/>
  <c r="AG137" i="38" s="1"/>
  <c r="AB665" i="38" s="1" a="1"/>
  <c r="AB665" i="38" s="1"/>
  <c r="I252" i="2"/>
  <c r="F378" i="2" s="1" a="1"/>
  <c r="F378" i="2" s="1"/>
  <c r="G378" i="2" s="1"/>
  <c r="BP81" i="40"/>
  <c r="S193" i="38" s="1" a="1"/>
  <c r="S193" i="38" s="1"/>
  <c r="I270" i="2"/>
  <c r="J270" i="2" s="1"/>
  <c r="F649" i="2" s="1" a="1"/>
  <c r="F649" i="2" s="1"/>
  <c r="G649" i="2" s="1"/>
  <c r="I276" i="2"/>
  <c r="J276" i="2" s="1"/>
  <c r="F739" i="2" s="1" a="1"/>
  <c r="F739" i="2" s="1"/>
  <c r="G739" i="2" s="1"/>
  <c r="I280" i="2"/>
  <c r="J280" i="2" s="1"/>
  <c r="F799" i="2" s="1" a="1"/>
  <c r="F799" i="2" s="1"/>
  <c r="G799" i="2" s="1"/>
  <c r="BP82" i="40"/>
  <c r="BS82" i="40" s="1"/>
  <c r="BP80" i="40"/>
  <c r="BP79" i="40"/>
  <c r="S187" i="38" s="1" a="1"/>
  <c r="S187" i="38" s="1"/>
  <c r="BP78" i="40"/>
  <c r="BP77" i="40"/>
  <c r="S169" i="38" s="1" a="1"/>
  <c r="S169" i="38" s="1"/>
  <c r="BP76" i="40"/>
  <c r="F83" i="40"/>
  <c r="F82" i="40"/>
  <c r="S190" i="38" s="1" a="1"/>
  <c r="S190" i="38" s="1"/>
  <c r="F81" i="40"/>
  <c r="S179" i="38" s="1" a="1"/>
  <c r="S179" i="38" s="1"/>
  <c r="F80" i="40"/>
  <c r="S185" i="38" s="1" a="1"/>
  <c r="S185" i="38" s="1"/>
  <c r="F79" i="40"/>
  <c r="S172" i="38" s="1" a="1"/>
  <c r="S172" i="38" s="1"/>
  <c r="F78" i="40"/>
  <c r="S165" i="38" s="1" a="1"/>
  <c r="S165" i="38" s="1"/>
  <c r="F77" i="40"/>
  <c r="F25" i="40"/>
  <c r="F20" i="40"/>
  <c r="F19" i="40"/>
  <c r="F17" i="40"/>
  <c r="F16" i="40"/>
  <c r="F15" i="40"/>
  <c r="F14" i="40"/>
  <c r="F13" i="40"/>
  <c r="F12" i="40"/>
  <c r="F11" i="40"/>
  <c r="C160" i="38" s="1" a="1"/>
  <c r="D566" i="38" s="1"/>
  <c r="F26" i="40"/>
  <c r="F27" i="40"/>
  <c r="F28" i="40"/>
  <c r="F29" i="40"/>
  <c r="F30" i="40"/>
  <c r="F31" i="40"/>
  <c r="F32" i="40"/>
  <c r="F33" i="40"/>
  <c r="AF27" i="40"/>
  <c r="AF28" i="40" s="1" a="1"/>
  <c r="AF28" i="40" s="1"/>
  <c r="S566" i="38" s="1"/>
  <c r="J252" i="2"/>
  <c r="K252" i="2" s="1"/>
  <c r="F380" i="2" s="1" a="1"/>
  <c r="F380" i="2" s="1"/>
  <c r="G380" i="2" s="1"/>
  <c r="F64" i="40"/>
  <c r="F63" i="40"/>
  <c r="F62" i="40"/>
  <c r="C196" i="38" s="1" a="1"/>
  <c r="E196" i="38" s="1"/>
  <c r="E206" i="38" s="1"/>
  <c r="E569" i="38" s="1"/>
  <c r="F57" i="40"/>
  <c r="F56" i="40"/>
  <c r="F55" i="40"/>
  <c r="F54" i="40"/>
  <c r="F53" i="40"/>
  <c r="F52" i="40"/>
  <c r="F51" i="40"/>
  <c r="F50" i="40"/>
  <c r="F49" i="40"/>
  <c r="F48" i="40"/>
  <c r="F47" i="40"/>
  <c r="F43" i="40"/>
  <c r="F70" i="40"/>
  <c r="F69" i="40"/>
  <c r="F67" i="40"/>
  <c r="F66" i="40"/>
  <c r="F65" i="40"/>
  <c r="AT51" i="40"/>
  <c r="H254" i="2"/>
  <c r="I254" i="2" s="1"/>
  <c r="F331" i="2" a="1"/>
  <c r="F331" i="2" s="1"/>
  <c r="G331" i="2" s="1"/>
  <c r="B665" i="38"/>
  <c r="B589" i="38"/>
  <c r="I262" i="2"/>
  <c r="F528" i="2" s="1" a="1"/>
  <c r="F528" i="2" s="1"/>
  <c r="G528" i="2" s="1"/>
  <c r="B575" i="38" a="1"/>
  <c r="I273" i="2"/>
  <c r="J273" i="2" s="1"/>
  <c r="F694" i="2" s="1" a="1"/>
  <c r="F694" i="2" s="1"/>
  <c r="G694" i="2" s="1"/>
  <c r="I257" i="2"/>
  <c r="F453" i="2" s="1" a="1"/>
  <c r="F453" i="2" s="1"/>
  <c r="G453" i="2" s="1"/>
  <c r="AD138" i="38"/>
  <c r="AD99" i="38"/>
  <c r="AD100" i="38"/>
  <c r="AD112" i="38"/>
  <c r="AD116" i="38" s="1"/>
  <c r="T594" i="38" s="1" a="1"/>
  <c r="T594" i="38" s="1"/>
  <c r="AD104" i="38"/>
  <c r="AD108" i="38" s="1"/>
  <c r="T569" i="38" s="1" a="1"/>
  <c r="T569" i="38" s="1"/>
  <c r="AD120" i="38"/>
  <c r="AD124" i="38" s="1"/>
  <c r="T614" i="38" s="1" a="1"/>
  <c r="T614" i="38" s="1"/>
  <c r="AD147" i="38"/>
  <c r="U6" i="38"/>
  <c r="AD129" i="38"/>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K276" i="2"/>
  <c r="F740" i="2" s="1" a="1"/>
  <c r="F740" i="2" s="1"/>
  <c r="G740" i="2" s="1"/>
  <c r="F407" i="2" a="1"/>
  <c r="F407" i="2" s="1"/>
  <c r="G407" i="2" s="1"/>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BP19" i="40"/>
  <c r="BS19" i="40" s="1"/>
  <c r="G156" i="2"/>
  <c r="BP30" i="40"/>
  <c r="BS30" i="40" s="1"/>
  <c r="C4" i="20"/>
  <c r="BP31" i="40"/>
  <c r="BS31" i="40" s="1"/>
  <c r="BP26" i="40"/>
  <c r="BS26" i="40" s="1"/>
  <c r="BP16" i="40"/>
  <c r="BS16" i="40" s="1"/>
  <c r="BP12" i="40"/>
  <c r="BS12" i="40" s="1"/>
  <c r="BP11" i="40"/>
  <c r="BS11" i="40" s="1"/>
  <c r="BP29" i="40"/>
  <c r="BS29" i="40" s="1"/>
  <c r="BP17" i="40"/>
  <c r="BS17" i="40" s="1"/>
  <c r="BP28" i="40"/>
  <c r="BS28" i="40" s="1"/>
  <c r="BP27" i="40"/>
  <c r="BS27" i="40" s="1"/>
  <c r="BP33" i="40"/>
  <c r="BS33" i="40" s="1"/>
  <c r="BP25" i="40"/>
  <c r="BS25" i="40" s="1"/>
  <c r="BP32" i="40"/>
  <c r="BS32" i="40" s="1"/>
  <c r="BP13" i="40"/>
  <c r="BS13" i="40" s="1"/>
  <c r="J156" i="2"/>
  <c r="I156" i="2"/>
  <c r="BP18" i="40"/>
  <c r="BS18" i="40" s="1"/>
  <c r="BP10" i="40"/>
  <c r="BP15" i="40"/>
  <c r="BS15" i="40" s="1"/>
  <c r="BP14" i="40"/>
  <c r="BS14" i="40" s="1"/>
  <c r="BP24" i="40"/>
  <c r="F498" i="2" a="1"/>
  <c r="F498" i="2" s="1"/>
  <c r="G498" i="2" s="1"/>
  <c r="K280" i="2"/>
  <c r="F557" i="2" a="1"/>
  <c r="F557" i="2" s="1"/>
  <c r="G557" i="2" s="1"/>
  <c r="L130" i="38" a="1"/>
  <c r="L130" i="38" s="1"/>
  <c r="F542" i="2" a="1"/>
  <c r="F542" i="2" s="1"/>
  <c r="G542" i="2" s="1"/>
  <c r="F677" i="2" a="1"/>
  <c r="F677" i="2" s="1"/>
  <c r="G677" i="2" s="1"/>
  <c r="I272" i="2"/>
  <c r="F678" i="2" s="1" a="1"/>
  <c r="F678" i="2" s="1"/>
  <c r="G678" i="2" s="1"/>
  <c r="Z109" i="38"/>
  <c r="L553" i="38"/>
  <c r="J196" i="38" s="1" a="1"/>
  <c r="J196" i="38" s="1"/>
  <c r="Z117" i="38"/>
  <c r="BP49" i="40"/>
  <c r="BS49" i="40" s="1"/>
  <c r="BP43" i="40"/>
  <c r="BS43" i="40" s="1"/>
  <c r="BP53" i="40"/>
  <c r="BS53" i="40" s="1"/>
  <c r="BP41" i="40"/>
  <c r="BS41" i="40" s="1"/>
  <c r="BP70" i="40"/>
  <c r="BS70" i="40" s="1"/>
  <c r="BP68" i="40"/>
  <c r="BS68" i="40" s="1"/>
  <c r="G183" i="2"/>
  <c r="BP52" i="40"/>
  <c r="BS52" i="40" s="1"/>
  <c r="BP69" i="40"/>
  <c r="BS69" i="40" s="1"/>
  <c r="BP64" i="40"/>
  <c r="BS64" i="40" s="1"/>
  <c r="I183" i="2"/>
  <c r="BP63" i="40"/>
  <c r="BS63" i="40" s="1"/>
  <c r="BP48" i="40"/>
  <c r="BS48" i="40" s="1"/>
  <c r="BP54" i="40"/>
  <c r="BS54" i="40" s="1"/>
  <c r="BP55" i="40"/>
  <c r="BS55" i="40" s="1"/>
  <c r="BP61" i="40"/>
  <c r="AC196" i="38" s="1" a="1"/>
  <c r="AD569" i="38" s="1"/>
  <c r="AE569" i="38" s="1"/>
  <c r="X741" i="38" s="1" a="1"/>
  <c r="X741" i="38" s="1"/>
  <c r="BP40" i="40"/>
  <c r="BP42" i="40"/>
  <c r="BS42" i="40" s="1"/>
  <c r="BP65" i="40"/>
  <c r="BS65" i="40" s="1"/>
  <c r="BP45" i="40"/>
  <c r="BS45" i="40" s="1"/>
  <c r="BP46" i="40"/>
  <c r="BS46" i="40" s="1"/>
  <c r="BP50" i="40"/>
  <c r="BS50" i="40" s="1"/>
  <c r="J183" i="2"/>
  <c r="BP62" i="40"/>
  <c r="BS62" i="40" s="1"/>
  <c r="BP51" i="40"/>
  <c r="BS51" i="40" s="1"/>
  <c r="BP47" i="40"/>
  <c r="BS47" i="40" s="1"/>
  <c r="BP66" i="40"/>
  <c r="BS66" i="40" s="1"/>
  <c r="BP44" i="40"/>
  <c r="BS44" i="40" s="1"/>
  <c r="BP56" i="40"/>
  <c r="BS56" i="40" s="1"/>
  <c r="BP67" i="40"/>
  <c r="BS67" i="40" s="1"/>
  <c r="J263" i="2"/>
  <c r="I268" i="2"/>
  <c r="F467" i="2" a="1"/>
  <c r="F467" i="2" s="1"/>
  <c r="G467" i="2" s="1"/>
  <c r="F648" i="2" a="1"/>
  <c r="F648" i="2" s="1"/>
  <c r="G648" i="2" s="1"/>
  <c r="F572" i="2" a="1"/>
  <c r="F572" i="2" s="1"/>
  <c r="G572" i="2" s="1"/>
  <c r="I265" i="2"/>
  <c r="F573" i="2" s="1" a="1"/>
  <c r="F573" i="2" s="1"/>
  <c r="G573" i="2" s="1"/>
  <c r="L252" i="2"/>
  <c r="F393" i="2" a="1"/>
  <c r="F393" i="2" s="1"/>
  <c r="G393" i="2" s="1"/>
  <c r="L253" i="2"/>
  <c r="F396" i="2" s="1" a="1"/>
  <c r="F396" i="2" s="1"/>
  <c r="G396"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M177" i="35" a="1"/>
  <c r="M177" i="35" s="1"/>
  <c r="I210" i="2"/>
  <c r="G210" i="2"/>
  <c r="M172" i="35" a="1"/>
  <c r="M172" i="35" s="1"/>
  <c r="M202" i="35" a="1"/>
  <c r="M202" i="35" s="1"/>
  <c r="M184" i="35" a="1"/>
  <c r="M184" i="35" s="1"/>
  <c r="M197" i="35" a="1"/>
  <c r="M197" i="35" s="1"/>
  <c r="F738" i="2" a="1"/>
  <c r="F738" i="2" s="1"/>
  <c r="G738" i="2" s="1"/>
  <c r="AS45" i="40"/>
  <c r="AP45" i="40" s="1" a="1"/>
  <c r="AP45" i="40" s="1"/>
  <c r="AS20" i="40"/>
  <c r="AP20" i="40" s="1" a="1"/>
  <c r="AP20" i="40" s="1"/>
  <c r="AS28" i="40"/>
  <c r="AP28" i="40" s="1" a="1"/>
  <c r="AP28" i="40" s="1"/>
  <c r="AS15" i="40"/>
  <c r="AP15" i="40" s="1" a="1"/>
  <c r="AP15" i="40" s="1"/>
  <c r="AS26" i="40"/>
  <c r="AP26" i="40" s="1" a="1"/>
  <c r="AP26" i="40" s="1"/>
  <c r="AS40" i="40"/>
  <c r="AP40" i="40" s="1" a="1"/>
  <c r="AP40" i="40" s="1"/>
  <c r="AP47" i="40"/>
  <c r="AS38" i="40"/>
  <c r="AP38" i="40" s="1" a="1"/>
  <c r="AP38" i="40" s="1"/>
  <c r="AS12" i="40"/>
  <c r="AP12" i="40" s="1" a="1"/>
  <c r="AP12"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22" i="40"/>
  <c r="AP22" i="40" s="1" a="1"/>
  <c r="AP22" i="40" s="1"/>
  <c r="AS25" i="40"/>
  <c r="AP25" i="40" s="1" a="1"/>
  <c r="AP25" i="40" s="1"/>
  <c r="AS21" i="40"/>
  <c r="AP21" i="40" s="1" a="1"/>
  <c r="AP21" i="40" s="1"/>
  <c r="Z10" i="40"/>
  <c r="AB10" i="40"/>
  <c r="AS35" i="40"/>
  <c r="AP35" i="40" s="1" a="1"/>
  <c r="AP35" i="40" s="1"/>
  <c r="AS13" i="40"/>
  <c r="AP13" i="40" s="1" a="1"/>
  <c r="AP13"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K65" i="20" a="1"/>
  <c r="AK70" i="20" a="1"/>
  <c r="AM62" i="20" a="1"/>
  <c r="AJ63" i="20" l="1"/>
  <c r="AL64" i="20"/>
  <c r="AP68" i="20"/>
  <c r="AI68" i="20"/>
  <c r="AI60" i="20"/>
  <c r="AL72" i="20"/>
  <c r="AP60" i="20"/>
  <c r="AJ72" i="20"/>
  <c r="AI72" i="20"/>
  <c r="AP62" i="20"/>
  <c r="AJ62" i="20"/>
  <c r="AJ60" i="20"/>
  <c r="AJ68" i="20"/>
  <c r="Z108" i="38"/>
  <c r="Z116" i="38"/>
  <c r="N6" i="38"/>
  <c r="Z104" i="38"/>
  <c r="BA39" i="40"/>
  <c r="BD46" i="40"/>
  <c r="BD42" i="40"/>
  <c r="BD47" i="40"/>
  <c r="BD40" i="40"/>
  <c r="BD50" i="40"/>
  <c r="BD44" i="40"/>
  <c r="BD43" i="40"/>
  <c r="BD39" i="40"/>
  <c r="BD49" i="40"/>
  <c r="BD41" i="40"/>
  <c r="BD48" i="40"/>
  <c r="W211" i="38"/>
  <c r="AD149" i="38" s="1"/>
  <c r="AD150" i="38" s="1"/>
  <c r="X212" i="38"/>
  <c r="BE73" i="40"/>
  <c r="X160" i="38"/>
  <c r="W159" i="38"/>
  <c r="AD131" i="38" s="1"/>
  <c r="AD132" i="38" s="1"/>
  <c r="V239" i="38"/>
  <c r="X186" i="38"/>
  <c r="W185" i="38"/>
  <c r="AD140" i="38" s="1"/>
  <c r="AD141" i="38" s="1"/>
  <c r="BD102" i="40"/>
  <c r="BA102" i="40" s="1"/>
  <c r="BD103" i="40"/>
  <c r="BA103" i="40" s="1"/>
  <c r="BD100" i="40"/>
  <c r="BA100" i="40" s="1"/>
  <c r="BD110" i="40"/>
  <c r="BA110" i="40" s="1"/>
  <c r="BD105" i="40"/>
  <c r="BA105" i="40" s="1"/>
  <c r="BD113" i="40"/>
  <c r="BA113" i="40" s="1"/>
  <c r="BD114" i="40"/>
  <c r="BA114" i="40" s="1"/>
  <c r="BD112" i="40"/>
  <c r="BA112" i="40" s="1"/>
  <c r="BD116" i="40"/>
  <c r="BA116" i="40" s="1"/>
  <c r="BD117" i="40"/>
  <c r="BA117" i="40" s="1"/>
  <c r="BD106" i="40"/>
  <c r="BA106" i="40" s="1"/>
  <c r="BD115" i="40"/>
  <c r="BA115" i="40" s="1"/>
  <c r="BD108" i="40"/>
  <c r="BA108" i="40" s="1"/>
  <c r="BD101" i="40"/>
  <c r="BA101" i="40" s="1"/>
  <c r="BD107" i="40"/>
  <c r="BA107" i="40" s="1"/>
  <c r="BD104" i="40"/>
  <c r="BA104" i="40" s="1"/>
  <c r="BD109" i="40"/>
  <c r="BA109" i="40" s="1"/>
  <c r="I575" i="38" a="1"/>
  <c r="K557" i="38" s="1"/>
  <c r="L557" i="38" s="1"/>
  <c r="BD111" i="40"/>
  <c r="BA111" i="40" s="1"/>
  <c r="Q620" i="38" a="1"/>
  <c r="Q620" i="38" s="1"/>
  <c r="BS79" i="40"/>
  <c r="AF7" i="40"/>
  <c r="Z139" i="38" s="1"/>
  <c r="S186" i="38"/>
  <c r="P186" i="38" s="1"/>
  <c r="Q610" i="38" s="1" a="1"/>
  <c r="Q610" i="38" s="1"/>
  <c r="S189" i="38" a="1"/>
  <c r="S189" i="38" s="1"/>
  <c r="S556" i="38" s="1"/>
  <c r="S564" i="38" s="1"/>
  <c r="Q580" i="38" a="1"/>
  <c r="Q580" i="38" s="1"/>
  <c r="C160" i="38"/>
  <c r="B576" i="38" s="1" a="1"/>
  <c r="B576" i="38" s="1"/>
  <c r="Q292" i="38" a="1"/>
  <c r="Q292" i="38" s="1"/>
  <c r="AP69" i="20"/>
  <c r="AL69" i="20"/>
  <c r="C170" i="35" a="1"/>
  <c r="C172" i="38" a="1"/>
  <c r="F84" i="40"/>
  <c r="S160" i="38" a="1"/>
  <c r="S160" i="38" s="1"/>
  <c r="C208" i="38" a="1"/>
  <c r="S162" i="38" a="1"/>
  <c r="S162" i="38" s="1"/>
  <c r="AC208" i="38" a="1"/>
  <c r="BS78" i="40"/>
  <c r="S176" i="38" a="1"/>
  <c r="S176" i="38" s="1"/>
  <c r="Q590" i="38" s="1" a="1"/>
  <c r="Q590" i="38" s="1"/>
  <c r="BS80" i="40"/>
  <c r="S182" i="38" a="1"/>
  <c r="S182" i="38" s="1"/>
  <c r="Q600" i="38" s="1" a="1"/>
  <c r="Q600" i="38" s="1"/>
  <c r="AL63" i="20"/>
  <c r="S164" i="38" a="1"/>
  <c r="S164" i="38" s="1"/>
  <c r="S552" i="38" s="1"/>
  <c r="S560" i="38" s="1"/>
  <c r="J262" i="2"/>
  <c r="E163" i="38"/>
  <c r="G162" i="2"/>
  <c r="I162" i="2"/>
  <c r="J162" i="2"/>
  <c r="E161" i="38"/>
  <c r="G161" i="2"/>
  <c r="J161" i="2"/>
  <c r="I161" i="2"/>
  <c r="BS77" i="40"/>
  <c r="F68" i="40"/>
  <c r="E162" i="38"/>
  <c r="G160" i="2"/>
  <c r="J160" i="2"/>
  <c r="I160" i="2"/>
  <c r="E160" i="38"/>
  <c r="E164" i="38"/>
  <c r="G159" i="2"/>
  <c r="J159" i="2"/>
  <c r="I159" i="2"/>
  <c r="G158" i="2"/>
  <c r="I158" i="2"/>
  <c r="J158" i="2"/>
  <c r="F71" i="40"/>
  <c r="G157" i="2"/>
  <c r="J157" i="2"/>
  <c r="I157" i="2"/>
  <c r="F379" i="2" a="1"/>
  <c r="F379" i="2" s="1"/>
  <c r="G379" i="2" s="1"/>
  <c r="F41" i="40"/>
  <c r="F58" i="40" s="1"/>
  <c r="AC172" i="38" a="1"/>
  <c r="F42" i="40"/>
  <c r="F44" i="40"/>
  <c r="AC160" i="38" a="1"/>
  <c r="T567" i="38" a="1"/>
  <c r="T567" i="38" s="1"/>
  <c r="F45" i="40"/>
  <c r="G211" i="2"/>
  <c r="I211" i="2"/>
  <c r="Q293" i="38" a="1"/>
  <c r="Q293" i="38" s="1"/>
  <c r="F18" i="40"/>
  <c r="F21" i="40" s="1"/>
  <c r="AJ69" i="20"/>
  <c r="AM62" i="20"/>
  <c r="AK70" i="20"/>
  <c r="AQ70" i="20"/>
  <c r="AK65" i="20"/>
  <c r="AI59" i="20"/>
  <c r="AL66" i="20"/>
  <c r="AP59" i="20"/>
  <c r="AI67" i="20"/>
  <c r="AL67" i="20"/>
  <c r="AJ67" i="20"/>
  <c r="AI61" i="20"/>
  <c r="C184" i="38" a="1"/>
  <c r="AE196" i="38"/>
  <c r="AE206" i="38" s="1"/>
  <c r="C196" i="38"/>
  <c r="B666" i="38" s="1" a="1"/>
  <c r="B666" i="38" s="1"/>
  <c r="AP63" i="20"/>
  <c r="AJ64" i="20"/>
  <c r="AP71" i="20"/>
  <c r="D569" i="38"/>
  <c r="B675" i="38" s="1" a="1"/>
  <c r="B675" i="38" s="1"/>
  <c r="AI64" i="20"/>
  <c r="AL71" i="20"/>
  <c r="AC184" i="38" a="1"/>
  <c r="AC196" i="38"/>
  <c r="AB666" i="38" s="1" a="1"/>
  <c r="AB666" i="38" s="1"/>
  <c r="AI71" i="20"/>
  <c r="G185" i="2"/>
  <c r="I185" i="2"/>
  <c r="J185" i="2"/>
  <c r="G184" i="2"/>
  <c r="I184" i="2"/>
  <c r="J184" i="2"/>
  <c r="AD225" i="38"/>
  <c r="AI66" i="20"/>
  <c r="B106" i="20"/>
  <c r="B143" i="20"/>
  <c r="B237" i="20"/>
  <c r="B87" i="20"/>
  <c r="B71" i="20"/>
  <c r="B115" i="20"/>
  <c r="B169" i="20"/>
  <c r="B94" i="20"/>
  <c r="B58" i="20"/>
  <c r="B233" i="20"/>
  <c r="B206" i="20"/>
  <c r="B173" i="20"/>
  <c r="B129" i="20"/>
  <c r="B172" i="20"/>
  <c r="B109" i="20"/>
  <c r="B140" i="20"/>
  <c r="B234" i="20"/>
  <c r="B226" i="20"/>
  <c r="B224" i="20"/>
  <c r="B64" i="20"/>
  <c r="B168" i="20"/>
  <c r="B79" i="20"/>
  <c r="B95" i="20"/>
  <c r="B126" i="20"/>
  <c r="B218" i="20"/>
  <c r="B228" i="20"/>
  <c r="B200" i="20"/>
  <c r="B175" i="20"/>
  <c r="B161" i="20"/>
  <c r="B196" i="20"/>
  <c r="B188" i="20"/>
  <c r="B179" i="20"/>
  <c r="B215" i="20"/>
  <c r="B124" i="20"/>
  <c r="B198" i="20"/>
  <c r="B107" i="20"/>
  <c r="B82" i="20"/>
  <c r="B116" i="20"/>
  <c r="B182" i="20"/>
  <c r="B113" i="20"/>
  <c r="B184" i="20"/>
  <c r="B114" i="20"/>
  <c r="B151" i="20"/>
  <c r="B144" i="20"/>
  <c r="B135" i="20"/>
  <c r="B170" i="20"/>
  <c r="B101" i="20"/>
  <c r="B160" i="20"/>
  <c r="B177" i="20"/>
  <c r="B152" i="20"/>
  <c r="B118" i="20"/>
  <c r="B137" i="20"/>
  <c r="B163" i="20"/>
  <c r="B139" i="20"/>
  <c r="B148" i="20"/>
  <c r="B117" i="20"/>
  <c r="B189" i="20"/>
  <c r="B77" i="20"/>
  <c r="B88" i="20"/>
  <c r="B72" i="20"/>
  <c r="B66" i="20"/>
  <c r="B102" i="20"/>
  <c r="B209" i="20"/>
  <c r="B122" i="20"/>
  <c r="B235" i="20"/>
  <c r="B54" i="20"/>
  <c r="B185" i="20"/>
  <c r="B89" i="20"/>
  <c r="B207" i="20"/>
  <c r="B133" i="20"/>
  <c r="B128" i="20"/>
  <c r="B56" i="20"/>
  <c r="B190" i="20"/>
  <c r="B227" i="20"/>
  <c r="B59" i="20"/>
  <c r="B181" i="20"/>
  <c r="B162" i="20"/>
  <c r="B60" i="20"/>
  <c r="B201" i="20"/>
  <c r="B166" i="20"/>
  <c r="B149" i="20"/>
  <c r="B121" i="20"/>
  <c r="B108" i="20"/>
  <c r="B138" i="20"/>
  <c r="B180" i="20"/>
  <c r="B216" i="20"/>
  <c r="B73" i="20"/>
  <c r="B193" i="20"/>
  <c r="B83" i="20"/>
  <c r="B127" i="20"/>
  <c r="B154" i="20"/>
  <c r="B65" i="20"/>
  <c r="B191" i="20"/>
  <c r="B119" i="20"/>
  <c r="B57" i="20"/>
  <c r="B80" i="20"/>
  <c r="B69" i="20"/>
  <c r="B96" i="20"/>
  <c r="B136" i="20"/>
  <c r="B171" i="20"/>
  <c r="B125" i="20"/>
  <c r="B199" i="20"/>
  <c r="B93" i="20"/>
  <c r="B236" i="20"/>
  <c r="B208" i="20"/>
  <c r="B110" i="20"/>
  <c r="B147" i="20"/>
  <c r="B68" i="20"/>
  <c r="B76" i="20"/>
  <c r="B86" i="20"/>
  <c r="B74" i="20"/>
  <c r="B81" i="20"/>
  <c r="B197" i="20"/>
  <c r="B186" i="20"/>
  <c r="B238" i="20"/>
  <c r="B98" i="20"/>
  <c r="B183" i="20"/>
  <c r="B219" i="20"/>
  <c r="B210" i="20"/>
  <c r="B61" i="20"/>
  <c r="B155" i="20"/>
  <c r="B141" i="20"/>
  <c r="B90" i="20"/>
  <c r="B130" i="20"/>
  <c r="B111" i="20"/>
  <c r="B230" i="20"/>
  <c r="B105" i="20"/>
  <c r="B84" i="20"/>
  <c r="B103" i="20"/>
  <c r="B202" i="20"/>
  <c r="B145" i="20"/>
  <c r="B192" i="20"/>
  <c r="B213" i="20"/>
  <c r="B53" i="20"/>
  <c r="B205" i="20"/>
  <c r="B164" i="20"/>
  <c r="B239" i="20"/>
  <c r="B99" i="20"/>
  <c r="B222" i="20"/>
  <c r="B62" i="20"/>
  <c r="B211" i="20"/>
  <c r="B194" i="20"/>
  <c r="B112" i="20"/>
  <c r="B231" i="20"/>
  <c r="B91" i="20"/>
  <c r="B131" i="20"/>
  <c r="B104" i="20"/>
  <c r="B158" i="20"/>
  <c r="B97" i="20"/>
  <c r="B142" i="20"/>
  <c r="B146" i="20"/>
  <c r="B157" i="20"/>
  <c r="B70" i="20"/>
  <c r="B85" i="20"/>
  <c r="B221" i="20"/>
  <c r="B100" i="20"/>
  <c r="B223" i="20"/>
  <c r="B63" i="20"/>
  <c r="B212" i="20"/>
  <c r="B225" i="20"/>
  <c r="B240" i="20"/>
  <c r="B165" i="20"/>
  <c r="B178" i="20"/>
  <c r="B214" i="20"/>
  <c r="B167" i="20"/>
  <c r="B78" i="20"/>
  <c r="B174" i="20"/>
  <c r="B75" i="20"/>
  <c r="B120" i="20"/>
  <c r="B220" i="20"/>
  <c r="B156" i="20"/>
  <c r="B195" i="20"/>
  <c r="B232" i="20"/>
  <c r="B134" i="20"/>
  <c r="B176" i="20"/>
  <c r="B123" i="20"/>
  <c r="B204" i="20"/>
  <c r="B187" i="20"/>
  <c r="B92" i="20"/>
  <c r="B132" i="20"/>
  <c r="B229" i="20"/>
  <c r="B159" i="20"/>
  <c r="B203" i="20"/>
  <c r="B153" i="20"/>
  <c r="B150" i="20"/>
  <c r="B55" i="20"/>
  <c r="B67" i="20"/>
  <c r="B217" i="20"/>
  <c r="AB675" i="38" a="1"/>
  <c r="AB675" i="38" s="1"/>
  <c r="R6" i="38"/>
  <c r="Z126" i="38"/>
  <c r="I585" i="38"/>
  <c r="I664" i="38" s="1" a="1"/>
  <c r="I664" i="38" s="1"/>
  <c r="Z127" i="38"/>
  <c r="K273" i="2"/>
  <c r="F695" i="2" s="1" a="1"/>
  <c r="F695" i="2" s="1"/>
  <c r="G695" i="2" s="1"/>
  <c r="M212" i="35"/>
  <c r="F693" i="2" a="1"/>
  <c r="F693" i="2" s="1"/>
  <c r="G693" i="2" s="1"/>
  <c r="AT52" i="40"/>
  <c r="AT53" i="40" s="1"/>
  <c r="AU52" i="40"/>
  <c r="AX52" i="40" s="1"/>
  <c r="AV52" i="40"/>
  <c r="AV53" i="40" s="1"/>
  <c r="F35" i="40"/>
  <c r="F72" i="40"/>
  <c r="J266" i="2"/>
  <c r="F589" i="2" s="1" a="1"/>
  <c r="F589" i="2" s="1"/>
  <c r="G589" i="2" s="1"/>
  <c r="J257" i="2"/>
  <c r="B650" i="38"/>
  <c r="B585" i="38" a="1"/>
  <c r="B585" i="38" s="1"/>
  <c r="B575" i="38"/>
  <c r="AB650" i="38"/>
  <c r="Q619" i="38" a="1"/>
  <c r="Q619" i="38" s="1"/>
  <c r="Q599" i="38" a="1"/>
  <c r="Q599" i="38" s="1"/>
  <c r="Q569" i="38" a="1"/>
  <c r="Q569" i="38" s="1"/>
  <c r="Q609" i="38" a="1"/>
  <c r="Q609" i="38" s="1"/>
  <c r="Q579" i="38" a="1"/>
  <c r="Q579" i="38" s="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F618" i="2" a="1"/>
  <c r="F618" i="2" s="1"/>
  <c r="G618" i="2" s="1"/>
  <c r="J268" i="2"/>
  <c r="F348" i="2" a="1"/>
  <c r="F348" i="2" s="1"/>
  <c r="G348" i="2" s="1"/>
  <c r="J250" i="2"/>
  <c r="K250" i="2" s="1"/>
  <c r="F350" i="2" s="1" a="1"/>
  <c r="F350" i="2" s="1"/>
  <c r="G350" i="2" s="1"/>
  <c r="I619" i="38" a="1"/>
  <c r="I619" i="38" s="1"/>
  <c r="I620" i="38" a="1"/>
  <c r="K559" i="38" s="1"/>
  <c r="J272" i="2"/>
  <c r="K272" i="2" s="1"/>
  <c r="F680" i="2" s="1" a="1"/>
  <c r="F680" i="2" s="1"/>
  <c r="G680" i="2" s="1"/>
  <c r="Z113" i="38"/>
  <c r="BP34" i="40"/>
  <c r="BS24" i="40"/>
  <c r="C180" i="35" a="1"/>
  <c r="C200" i="35" a="1"/>
  <c r="V233" i="38"/>
  <c r="T629" i="38" s="1" a="1"/>
  <c r="T629" i="38" s="1"/>
  <c r="BP20" i="40"/>
  <c r="BS10" i="40"/>
  <c r="F381" i="2" a="1"/>
  <c r="F381" i="2" s="1"/>
  <c r="G381" i="2" s="1"/>
  <c r="M252" i="2"/>
  <c r="F382" i="2" s="1" a="1"/>
  <c r="F382" i="2" s="1"/>
  <c r="G382" i="2" s="1"/>
  <c r="C190" i="35" a="1"/>
  <c r="V232" i="38"/>
  <c r="C160" i="35" a="1"/>
  <c r="F529" i="2" a="1"/>
  <c r="F529" i="2" s="1"/>
  <c r="G529" i="2" s="1"/>
  <c r="BP57" i="40"/>
  <c r="BS40" i="40"/>
  <c r="BE116" i="20"/>
  <c r="AC4" i="20"/>
  <c r="K4" i="20" s="1"/>
  <c r="BF116" i="20" s="1"/>
  <c r="AD4" i="20"/>
  <c r="L4" i="20" s="1"/>
  <c r="BP71" i="40"/>
  <c r="BS61" i="40"/>
  <c r="K263" i="2"/>
  <c r="F545" i="2" s="1" a="1"/>
  <c r="F545" i="2" s="1"/>
  <c r="G545" i="2" s="1"/>
  <c r="F800" i="2" a="1"/>
  <c r="F800" i="2" s="1"/>
  <c r="G800" i="2" s="1"/>
  <c r="I634" i="38" a="1"/>
  <c r="I634" i="38" s="1"/>
  <c r="I635" i="38" a="1"/>
  <c r="K560" i="38" s="1"/>
  <c r="K262" i="2"/>
  <c r="F530" i="2" s="1" a="1"/>
  <c r="F530" i="2" s="1"/>
  <c r="G530" i="2" s="1"/>
  <c r="L280" i="2"/>
  <c r="M280" i="2" s="1"/>
  <c r="F802" i="2" s="1" a="1"/>
  <c r="F802" i="2" s="1"/>
  <c r="G802" i="2" s="1"/>
  <c r="K247" i="2"/>
  <c r="L247" i="2" s="1"/>
  <c r="F306" i="2" s="1" a="1"/>
  <c r="F306" i="2" s="1"/>
  <c r="G306" i="2" s="1"/>
  <c r="F454" i="2" a="1"/>
  <c r="F454" i="2" s="1"/>
  <c r="G454" i="2" s="1"/>
  <c r="F499" i="2" a="1"/>
  <c r="F499" i="2" s="1"/>
  <c r="G499" i="2" s="1"/>
  <c r="L260" i="2"/>
  <c r="K257" i="2"/>
  <c r="F455" i="2" s="1" a="1"/>
  <c r="F455" i="2" s="1"/>
  <c r="G455" i="2" s="1"/>
  <c r="J264" i="2"/>
  <c r="F559" i="2" s="1" a="1"/>
  <c r="F559" i="2" s="1"/>
  <c r="G559" i="2" s="1"/>
  <c r="BS76" i="40"/>
  <c r="K258" i="2"/>
  <c r="F470" i="2" s="1" a="1"/>
  <c r="F470" i="2" s="1"/>
  <c r="G470" i="2" s="1"/>
  <c r="F544" i="2" a="1"/>
  <c r="F544" i="2" s="1"/>
  <c r="G544" i="2" s="1"/>
  <c r="K268" i="2"/>
  <c r="F620" i="2" s="1" a="1"/>
  <c r="F620" i="2" s="1"/>
  <c r="G620" i="2" s="1"/>
  <c r="J221" i="38" a="1"/>
  <c r="J221" i="38" s="1"/>
  <c r="AR51" i="40"/>
  <c r="AW51" i="40"/>
  <c r="AM66" i="20" a="1"/>
  <c r="AM68" i="20" a="1"/>
  <c r="AQ68" i="20" a="1"/>
  <c r="AK63" i="20" a="1"/>
  <c r="AM61" i="20" a="1"/>
  <c r="AQ72" i="20" a="1"/>
  <c r="AM60" i="20" a="1"/>
  <c r="AK71" i="20" a="1"/>
  <c r="AM72" i="20" a="1"/>
  <c r="AK60" i="20" a="1"/>
  <c r="AQ71" i="20" a="1"/>
  <c r="AM67" i="20" a="1"/>
  <c r="AK59" i="20" a="1"/>
  <c r="AK72" i="20" a="1"/>
  <c r="AM69" i="20" a="1"/>
  <c r="AK64" i="20" a="1"/>
  <c r="AQ61" i="20" a="1"/>
  <c r="AM64" i="20" a="1"/>
  <c r="AM59" i="20" a="1"/>
  <c r="AQ64" i="20" a="1"/>
  <c r="AK66" i="20" a="1"/>
  <c r="AK61" i="20" a="1"/>
  <c r="AQ66" i="20" a="1"/>
  <c r="AK68" i="20" a="1"/>
  <c r="AK69" i="20" a="1"/>
  <c r="AQ63" i="20" a="1"/>
  <c r="AQ62" i="20" a="1"/>
  <c r="AK67" i="20" a="1"/>
  <c r="Y109" i="14" a="1"/>
  <c r="AQ60" i="20" a="1"/>
  <c r="E109" i="14" a="1"/>
  <c r="AQ67" i="20" a="1"/>
  <c r="AM71" i="20" a="1"/>
  <c r="AM63" i="20" a="1"/>
  <c r="AQ69" i="20" a="1"/>
  <c r="AK62" i="20" a="1"/>
  <c r="AQ59" i="20" a="1"/>
  <c r="AM68" i="20" l="1"/>
  <c r="AM72" i="20"/>
  <c r="AM60" i="20"/>
  <c r="AD151" i="38"/>
  <c r="AD152" i="38" s="1"/>
  <c r="T616" i="38" s="1" a="1"/>
  <c r="T616" i="38" s="1"/>
  <c r="Q282" i="38" a="1"/>
  <c r="Q282" i="38" s="1"/>
  <c r="AD133" i="38"/>
  <c r="AD134" i="38" s="1"/>
  <c r="T571" i="38" s="1" a="1"/>
  <c r="T571" i="38" s="1"/>
  <c r="AD142" i="38"/>
  <c r="AD143" i="38" s="1"/>
  <c r="T596" i="38" s="1" a="1"/>
  <c r="T596" i="38" s="1"/>
  <c r="S184" i="38" a="1"/>
  <c r="S184" i="38" s="1"/>
  <c r="S555" i="38" s="1"/>
  <c r="S563" i="38" s="1"/>
  <c r="I575" i="38"/>
  <c r="I649" i="38" s="1" a="1"/>
  <c r="I649" i="38" s="1"/>
  <c r="Q283" i="38" a="1"/>
  <c r="Q283" i="38" s="1"/>
  <c r="S178" i="38" a="1"/>
  <c r="S178" i="38" s="1"/>
  <c r="S554" i="38" s="1"/>
  <c r="S562" i="38" s="1"/>
  <c r="AK69" i="20"/>
  <c r="AK63" i="20"/>
  <c r="AQ72" i="20"/>
  <c r="AK72" i="20"/>
  <c r="AM63" i="20"/>
  <c r="E109" i="14"/>
  <c r="C108" i="14" s="1"/>
  <c r="C8" i="14" s="1"/>
  <c r="Y109" i="14"/>
  <c r="W108" i="14" s="1"/>
  <c r="W5" i="14" s="1"/>
  <c r="AQ60" i="20"/>
  <c r="AK60" i="20"/>
  <c r="AQ62" i="20"/>
  <c r="AK62" i="20"/>
  <c r="AN62" i="20" s="1" a="1"/>
  <c r="AN62" i="20" s="1"/>
  <c r="C65" i="20" s="1"/>
  <c r="C190" i="35"/>
  <c r="F190" i="35" s="1"/>
  <c r="D216" i="35"/>
  <c r="E216" i="35" s="1"/>
  <c r="E190" i="35"/>
  <c r="C200" i="35"/>
  <c r="F200" i="35" s="1"/>
  <c r="D218" i="35"/>
  <c r="B284" i="35" a="1"/>
  <c r="B284" i="35" s="1"/>
  <c r="E200" i="35"/>
  <c r="E201" i="35"/>
  <c r="AD566" i="38"/>
  <c r="AE163" i="38"/>
  <c r="AE164" i="38"/>
  <c r="AE162" i="38"/>
  <c r="AE161" i="38"/>
  <c r="AD221" i="38"/>
  <c r="AE160" i="38"/>
  <c r="AC160" i="38"/>
  <c r="AB576" i="38" s="1" a="1"/>
  <c r="AD567" i="38"/>
  <c r="AE173" i="38"/>
  <c r="AC172" i="38"/>
  <c r="AB590" i="38" s="1" a="1"/>
  <c r="AB590" i="38" s="1"/>
  <c r="AE172" i="38"/>
  <c r="AD222" i="38"/>
  <c r="L273" i="2"/>
  <c r="M273" i="2" s="1"/>
  <c r="S171" i="38" a="1"/>
  <c r="S171" i="38" s="1"/>
  <c r="S553" i="38" s="1"/>
  <c r="S561" i="38" s="1"/>
  <c r="AD557" i="38"/>
  <c r="AE557" i="38" s="1"/>
  <c r="AE209" i="38"/>
  <c r="AD227" i="38"/>
  <c r="AC208" i="38"/>
  <c r="AB730" i="38" s="1" a="1"/>
  <c r="AE208" i="38"/>
  <c r="S196" i="38"/>
  <c r="E209" i="38"/>
  <c r="E208" i="38"/>
  <c r="C208" i="38"/>
  <c r="D557" i="38"/>
  <c r="Q570" i="38" a="1"/>
  <c r="Q570" i="38" s="1"/>
  <c r="S195" i="38"/>
  <c r="S159" i="38" a="1"/>
  <c r="S159" i="38" s="1"/>
  <c r="S551" i="38" s="1"/>
  <c r="S559" i="38" s="1"/>
  <c r="E170" i="38"/>
  <c r="E173" i="38"/>
  <c r="D567" i="38"/>
  <c r="C172" i="38"/>
  <c r="B590" i="38" s="1" a="1"/>
  <c r="E172" i="38"/>
  <c r="C170" i="35"/>
  <c r="F170" i="35" s="1"/>
  <c r="B246" i="35" s="1" a="1"/>
  <c r="B246" i="35" s="1"/>
  <c r="E171" i="35"/>
  <c r="D213" i="35"/>
  <c r="E170" i="35"/>
  <c r="C160" i="35"/>
  <c r="F160" i="35" s="1"/>
  <c r="B236" i="35" s="1" a="1"/>
  <c r="B236" i="35" s="1"/>
  <c r="E164" i="35"/>
  <c r="E160" i="35"/>
  <c r="E163" i="35"/>
  <c r="E162" i="35"/>
  <c r="E161" i="35"/>
  <c r="D212" i="35"/>
  <c r="E212" i="35" s="1"/>
  <c r="AQ71" i="20"/>
  <c r="AQ63" i="20"/>
  <c r="AQ69" i="20"/>
  <c r="AK61" i="20"/>
  <c r="AM61" i="20"/>
  <c r="AQ61" i="20"/>
  <c r="AK67" i="20"/>
  <c r="AM67" i="20"/>
  <c r="AQ67" i="20"/>
  <c r="AQ59" i="20"/>
  <c r="AK64" i="20"/>
  <c r="AM64" i="20"/>
  <c r="AQ64" i="20"/>
  <c r="AK59" i="20"/>
  <c r="AM59" i="20"/>
  <c r="AM69" i="20"/>
  <c r="AK66" i="20"/>
  <c r="AM66" i="20"/>
  <c r="AQ66" i="20"/>
  <c r="AQ68" i="20"/>
  <c r="AK68" i="20"/>
  <c r="AK71" i="20"/>
  <c r="AM71" i="20"/>
  <c r="P124" i="20"/>
  <c r="P122" i="20"/>
  <c r="P123" i="20"/>
  <c r="P121" i="20"/>
  <c r="W128" i="20"/>
  <c r="W130" i="20"/>
  <c r="W127" i="20"/>
  <c r="W129" i="20"/>
  <c r="C121" i="20"/>
  <c r="D121" i="20"/>
  <c r="AA127" i="20"/>
  <c r="AB127" i="20"/>
  <c r="P82" i="20"/>
  <c r="P81" i="20"/>
  <c r="AA87" i="20"/>
  <c r="AB87" i="20"/>
  <c r="W87" i="20"/>
  <c r="W88" i="20"/>
  <c r="W89" i="20"/>
  <c r="P84" i="20"/>
  <c r="W90" i="20"/>
  <c r="P83" i="20"/>
  <c r="W109" i="20"/>
  <c r="P103" i="20"/>
  <c r="W108" i="20"/>
  <c r="W110" i="20"/>
  <c r="P101" i="20"/>
  <c r="AA107" i="20"/>
  <c r="P104" i="20"/>
  <c r="AB107" i="20"/>
  <c r="P102" i="20"/>
  <c r="W107" i="20"/>
  <c r="C109" i="20"/>
  <c r="AA115" i="20"/>
  <c r="W116" i="20"/>
  <c r="AB115" i="20"/>
  <c r="P109" i="20"/>
  <c r="D109" i="20"/>
  <c r="W118" i="20"/>
  <c r="W117" i="20"/>
  <c r="W115" i="20"/>
  <c r="P112" i="20"/>
  <c r="P110" i="20"/>
  <c r="P111" i="20"/>
  <c r="W138" i="20"/>
  <c r="P130" i="20"/>
  <c r="D129" i="20"/>
  <c r="AB135" i="20"/>
  <c r="AA135" i="20"/>
  <c r="W136" i="20"/>
  <c r="P132" i="20"/>
  <c r="W135" i="20"/>
  <c r="W137" i="20"/>
  <c r="P131" i="20"/>
  <c r="P129" i="20"/>
  <c r="C129" i="20"/>
  <c r="E186" i="38"/>
  <c r="E185" i="38"/>
  <c r="C184" i="38"/>
  <c r="B651" i="38" s="1" a="1"/>
  <c r="E184" i="38"/>
  <c r="D568" i="38"/>
  <c r="D137" i="20"/>
  <c r="W144" i="20"/>
  <c r="AA143" i="20"/>
  <c r="AB143" i="20"/>
  <c r="C137" i="20"/>
  <c r="P137" i="20"/>
  <c r="P139" i="20"/>
  <c r="P138" i="20"/>
  <c r="W146" i="20"/>
  <c r="W143" i="20"/>
  <c r="W145" i="20"/>
  <c r="P140" i="20"/>
  <c r="P184" i="20"/>
  <c r="C181" i="20"/>
  <c r="D181" i="20"/>
  <c r="AA187" i="20"/>
  <c r="W189" i="20"/>
  <c r="W188" i="20"/>
  <c r="AB187" i="20"/>
  <c r="W187" i="20"/>
  <c r="P182" i="20"/>
  <c r="P181" i="20"/>
  <c r="P183" i="20"/>
  <c r="W190" i="20"/>
  <c r="C173" i="20"/>
  <c r="W181" i="20"/>
  <c r="P173" i="20"/>
  <c r="P176" i="20"/>
  <c r="P175" i="20"/>
  <c r="P174" i="20"/>
  <c r="D173" i="20"/>
  <c r="AA179" i="20"/>
  <c r="AB179" i="20"/>
  <c r="W182" i="20"/>
  <c r="W179" i="20"/>
  <c r="W180" i="20"/>
  <c r="P235" i="20"/>
  <c r="P234" i="20"/>
  <c r="P233" i="20"/>
  <c r="W241" i="20"/>
  <c r="W239" i="20"/>
  <c r="W242" i="20"/>
  <c r="P236" i="20"/>
  <c r="W240" i="20"/>
  <c r="C233" i="20"/>
  <c r="D233" i="20"/>
  <c r="AA239" i="20"/>
  <c r="AB239" i="20"/>
  <c r="AD568" i="38"/>
  <c r="AE186" i="38"/>
  <c r="AE185" i="38"/>
  <c r="AC184" i="38"/>
  <c r="AB651" i="38" s="1" a="1"/>
  <c r="AB651" i="38" s="1"/>
  <c r="AE184" i="38"/>
  <c r="AD224" i="38"/>
  <c r="AD226" i="38" s="1"/>
  <c r="P115" i="20"/>
  <c r="P113" i="20"/>
  <c r="P114" i="20"/>
  <c r="W122" i="20"/>
  <c r="W119" i="20"/>
  <c r="W120" i="20"/>
  <c r="C113" i="20"/>
  <c r="D113" i="20"/>
  <c r="AA119" i="20"/>
  <c r="AB119" i="20"/>
  <c r="W121" i="20"/>
  <c r="P116" i="20"/>
  <c r="W235" i="20"/>
  <c r="C229" i="20"/>
  <c r="W238" i="20"/>
  <c r="P232" i="20"/>
  <c r="P231" i="20"/>
  <c r="D229" i="20"/>
  <c r="AA235" i="20"/>
  <c r="W237" i="20"/>
  <c r="P230" i="20"/>
  <c r="AB235" i="20"/>
  <c r="W236" i="20"/>
  <c r="P229" i="20"/>
  <c r="D205" i="20"/>
  <c r="P208" i="20"/>
  <c r="AA211" i="20"/>
  <c r="P206" i="20"/>
  <c r="C205" i="20"/>
  <c r="W212" i="20"/>
  <c r="AB211" i="20"/>
  <c r="W213" i="20"/>
  <c r="P207" i="20"/>
  <c r="P205" i="20"/>
  <c r="W211" i="20"/>
  <c r="W214" i="20"/>
  <c r="W101" i="20"/>
  <c r="W100" i="20"/>
  <c r="AB99" i="20"/>
  <c r="P96" i="20"/>
  <c r="W102" i="20"/>
  <c r="P95" i="20"/>
  <c r="AA99" i="20"/>
  <c r="P94" i="20"/>
  <c r="P93" i="20"/>
  <c r="W99" i="20"/>
  <c r="P172" i="20"/>
  <c r="W176" i="20"/>
  <c r="P169" i="20"/>
  <c r="W175" i="20"/>
  <c r="P171" i="20"/>
  <c r="W178" i="20"/>
  <c r="AA175" i="20"/>
  <c r="P170" i="20"/>
  <c r="W177" i="20"/>
  <c r="C169" i="20"/>
  <c r="D169" i="20"/>
  <c r="AB175" i="20"/>
  <c r="W61" i="20"/>
  <c r="W60" i="20"/>
  <c r="P53" i="20"/>
  <c r="W59" i="20"/>
  <c r="W62" i="20"/>
  <c r="AA59" i="20"/>
  <c r="AB59" i="20"/>
  <c r="P56" i="20"/>
  <c r="P54" i="20"/>
  <c r="P55" i="20"/>
  <c r="C133" i="20"/>
  <c r="AA139" i="20"/>
  <c r="D133" i="20"/>
  <c r="AB139" i="20"/>
  <c r="P135" i="20"/>
  <c r="P136" i="20"/>
  <c r="P134" i="20"/>
  <c r="P133" i="20"/>
  <c r="W141" i="20"/>
  <c r="W139" i="20"/>
  <c r="W142" i="20"/>
  <c r="W140" i="20"/>
  <c r="W220" i="20"/>
  <c r="W219" i="20"/>
  <c r="W221" i="20"/>
  <c r="P216" i="20"/>
  <c r="P215" i="20"/>
  <c r="P214" i="20"/>
  <c r="W222" i="20"/>
  <c r="P213" i="20"/>
  <c r="AB219" i="20"/>
  <c r="C213" i="20"/>
  <c r="AA219" i="20"/>
  <c r="D213" i="20"/>
  <c r="AB131" i="20"/>
  <c r="P127" i="20"/>
  <c r="P128" i="20"/>
  <c r="AA131" i="20"/>
  <c r="P126" i="20"/>
  <c r="W131" i="20"/>
  <c r="P125" i="20"/>
  <c r="W133" i="20"/>
  <c r="W132" i="20"/>
  <c r="C125" i="20"/>
  <c r="W134" i="20"/>
  <c r="D125" i="20"/>
  <c r="AA95" i="20"/>
  <c r="AB95" i="20"/>
  <c r="P92" i="20"/>
  <c r="W95" i="20"/>
  <c r="W96" i="20"/>
  <c r="P91" i="20"/>
  <c r="W97" i="20"/>
  <c r="P90" i="20"/>
  <c r="W98" i="20"/>
  <c r="P89" i="20"/>
  <c r="P186" i="20"/>
  <c r="P187" i="20"/>
  <c r="P185" i="20"/>
  <c r="D185" i="20"/>
  <c r="C185" i="20"/>
  <c r="W192" i="20"/>
  <c r="W191" i="20"/>
  <c r="AA191" i="20"/>
  <c r="W194" i="20"/>
  <c r="P188" i="20"/>
  <c r="AB191" i="20"/>
  <c r="W193" i="20"/>
  <c r="W246" i="20"/>
  <c r="C237" i="20"/>
  <c r="W245" i="20"/>
  <c r="W244" i="20"/>
  <c r="W243" i="20"/>
  <c r="D237" i="20"/>
  <c r="AA243" i="20"/>
  <c r="AB243" i="20"/>
  <c r="N240" i="20"/>
  <c r="N239" i="20"/>
  <c r="N238" i="20"/>
  <c r="P237" i="20"/>
  <c r="AN65" i="20" a="1"/>
  <c r="AN65" i="20" s="1"/>
  <c r="C77" i="20" s="1"/>
  <c r="AO65" i="20" a="1"/>
  <c r="AO65" i="20" s="1"/>
  <c r="D77" i="20" s="1"/>
  <c r="P177" i="20"/>
  <c r="W186" i="20"/>
  <c r="W185" i="20"/>
  <c r="W183" i="20"/>
  <c r="P178" i="20"/>
  <c r="W184" i="20"/>
  <c r="C177" i="20"/>
  <c r="D177" i="20"/>
  <c r="P180" i="20"/>
  <c r="AA183" i="20"/>
  <c r="AB183" i="20"/>
  <c r="P179" i="20"/>
  <c r="P71" i="20"/>
  <c r="P70" i="20"/>
  <c r="AA75" i="20"/>
  <c r="P69" i="20"/>
  <c r="W76" i="20"/>
  <c r="AB75" i="20"/>
  <c r="W75" i="20"/>
  <c r="W77" i="20"/>
  <c r="P72" i="20"/>
  <c r="W78" i="20"/>
  <c r="AN70" i="20" a="1"/>
  <c r="AN70" i="20" s="1"/>
  <c r="C97" i="20" s="1"/>
  <c r="AO70" i="20" a="1"/>
  <c r="AO70" i="20" s="1"/>
  <c r="D97" i="20" s="1"/>
  <c r="P226" i="20"/>
  <c r="P227" i="20"/>
  <c r="P228" i="20"/>
  <c r="W234" i="20"/>
  <c r="P225" i="20"/>
  <c r="W231" i="20"/>
  <c r="W233" i="20"/>
  <c r="W232" i="20"/>
  <c r="C225" i="20"/>
  <c r="D225" i="20"/>
  <c r="AA231" i="20"/>
  <c r="AB231" i="20"/>
  <c r="W113" i="20"/>
  <c r="P108" i="20"/>
  <c r="W112" i="20"/>
  <c r="P107" i="20"/>
  <c r="P105" i="20"/>
  <c r="P106" i="20"/>
  <c r="W114" i="20"/>
  <c r="AA111" i="20"/>
  <c r="W111" i="20"/>
  <c r="AB111" i="20"/>
  <c r="P59" i="20"/>
  <c r="P60" i="20"/>
  <c r="W65" i="20"/>
  <c r="P58" i="20"/>
  <c r="AB63" i="20"/>
  <c r="P57" i="20"/>
  <c r="AA63" i="20"/>
  <c r="W63" i="20"/>
  <c r="W66" i="20"/>
  <c r="W64" i="20"/>
  <c r="W216" i="20"/>
  <c r="W215" i="20"/>
  <c r="AB215" i="20"/>
  <c r="W217" i="20"/>
  <c r="W218" i="20"/>
  <c r="C209" i="20"/>
  <c r="P212" i="20"/>
  <c r="D209" i="20"/>
  <c r="P211" i="20"/>
  <c r="P210" i="20"/>
  <c r="P209" i="20"/>
  <c r="AA215" i="20"/>
  <c r="W204" i="20"/>
  <c r="W203" i="20"/>
  <c r="W205" i="20"/>
  <c r="W206" i="20"/>
  <c r="P200" i="20"/>
  <c r="P199" i="20"/>
  <c r="AA203" i="20"/>
  <c r="P198" i="20"/>
  <c r="P197" i="20"/>
  <c r="C197" i="20"/>
  <c r="D197" i="20"/>
  <c r="AB203" i="20"/>
  <c r="P165" i="20"/>
  <c r="P168" i="20"/>
  <c r="W172" i="20"/>
  <c r="P166" i="20"/>
  <c r="P167" i="20"/>
  <c r="C165" i="20"/>
  <c r="D165" i="20"/>
  <c r="AA171" i="20"/>
  <c r="AB171" i="20"/>
  <c r="W173" i="20"/>
  <c r="W171" i="20"/>
  <c r="W174" i="20"/>
  <c r="P163" i="20"/>
  <c r="P161" i="20"/>
  <c r="W167" i="20"/>
  <c r="AA167" i="20"/>
  <c r="C161" i="20"/>
  <c r="D161" i="20"/>
  <c r="AB167" i="20"/>
  <c r="P164" i="20"/>
  <c r="P162" i="20"/>
  <c r="W169" i="20"/>
  <c r="W170" i="20"/>
  <c r="W168" i="20"/>
  <c r="P204" i="20"/>
  <c r="P203" i="20"/>
  <c r="P202" i="20"/>
  <c r="W210" i="20"/>
  <c r="W208" i="20"/>
  <c r="W207" i="20"/>
  <c r="W209" i="20"/>
  <c r="D201" i="20"/>
  <c r="C201" i="20"/>
  <c r="AB207" i="20"/>
  <c r="AA207" i="20"/>
  <c r="P201" i="20"/>
  <c r="C180" i="35"/>
  <c r="F180" i="35" s="1"/>
  <c r="E181" i="35"/>
  <c r="D215" i="35"/>
  <c r="E182" i="35"/>
  <c r="E180" i="35"/>
  <c r="W225" i="20"/>
  <c r="P217" i="20"/>
  <c r="D217" i="20"/>
  <c r="P218" i="20"/>
  <c r="P219" i="20"/>
  <c r="AB223" i="20"/>
  <c r="AA223" i="20"/>
  <c r="W226" i="20"/>
  <c r="P220" i="20"/>
  <c r="W223" i="20"/>
  <c r="W224" i="20"/>
  <c r="C217" i="20"/>
  <c r="W71" i="20"/>
  <c r="W72" i="20"/>
  <c r="W74" i="20"/>
  <c r="P68" i="20"/>
  <c r="AA71" i="20"/>
  <c r="P65" i="20"/>
  <c r="AB71" i="20"/>
  <c r="P66" i="20"/>
  <c r="P67" i="20"/>
  <c r="W73" i="20"/>
  <c r="W106" i="20"/>
  <c r="AA103" i="20"/>
  <c r="P100" i="20"/>
  <c r="AB103" i="20"/>
  <c r="P99" i="20"/>
  <c r="W105" i="20"/>
  <c r="P98" i="20"/>
  <c r="P97" i="20"/>
  <c r="W104" i="20"/>
  <c r="W103" i="20"/>
  <c r="AB155" i="20"/>
  <c r="W157" i="20"/>
  <c r="W156" i="20"/>
  <c r="P150" i="20"/>
  <c r="P149" i="20"/>
  <c r="C149" i="20"/>
  <c r="W155" i="20"/>
  <c r="W158" i="20"/>
  <c r="D149" i="20"/>
  <c r="AA155" i="20"/>
  <c r="P152" i="20"/>
  <c r="P151" i="20"/>
  <c r="AB227" i="20"/>
  <c r="D221" i="20"/>
  <c r="P222" i="20"/>
  <c r="W227" i="20"/>
  <c r="P224" i="20"/>
  <c r="P223" i="20"/>
  <c r="P221" i="20"/>
  <c r="C221" i="20"/>
  <c r="AA227" i="20"/>
  <c r="W228" i="20"/>
  <c r="W229" i="20"/>
  <c r="W230" i="20"/>
  <c r="P87" i="20"/>
  <c r="P85" i="20"/>
  <c r="W93" i="20"/>
  <c r="W92" i="20"/>
  <c r="W94" i="20"/>
  <c r="AA91" i="20"/>
  <c r="AB91" i="20"/>
  <c r="P88" i="20"/>
  <c r="W91" i="20"/>
  <c r="P86" i="20"/>
  <c r="W148" i="20"/>
  <c r="P142" i="20"/>
  <c r="W147" i="20"/>
  <c r="P143" i="20"/>
  <c r="P141" i="20"/>
  <c r="P144" i="20"/>
  <c r="AA147" i="20"/>
  <c r="W149" i="20"/>
  <c r="D141" i="20"/>
  <c r="C141" i="20"/>
  <c r="AB147" i="20"/>
  <c r="W150" i="20"/>
  <c r="P80" i="20"/>
  <c r="P79" i="20"/>
  <c r="AB83" i="20"/>
  <c r="AA83" i="20"/>
  <c r="P78" i="20"/>
  <c r="W86" i="20"/>
  <c r="P77" i="20"/>
  <c r="W85" i="20"/>
  <c r="W84" i="20"/>
  <c r="W83" i="20"/>
  <c r="W151" i="20"/>
  <c r="W152" i="20"/>
  <c r="C145" i="20"/>
  <c r="P148" i="20"/>
  <c r="AA151" i="20"/>
  <c r="P147" i="20"/>
  <c r="D145" i="20"/>
  <c r="W154" i="20"/>
  <c r="P146" i="20"/>
  <c r="AB151" i="20"/>
  <c r="P145" i="20"/>
  <c r="W153" i="20"/>
  <c r="W198" i="20"/>
  <c r="W197" i="20"/>
  <c r="C189" i="20"/>
  <c r="D189" i="20"/>
  <c r="AA195" i="20"/>
  <c r="AB195" i="20"/>
  <c r="P192" i="20"/>
  <c r="W195" i="20"/>
  <c r="P191" i="20"/>
  <c r="W196" i="20"/>
  <c r="P190" i="20"/>
  <c r="P189" i="20"/>
  <c r="C153" i="20"/>
  <c r="W162" i="20"/>
  <c r="D153" i="20"/>
  <c r="AB159" i="20"/>
  <c r="AA159" i="20"/>
  <c r="P156" i="20"/>
  <c r="W161" i="20"/>
  <c r="P155" i="20"/>
  <c r="P154" i="20"/>
  <c r="W160" i="20"/>
  <c r="P153" i="20"/>
  <c r="W159" i="20"/>
  <c r="P157" i="20"/>
  <c r="AB163" i="20"/>
  <c r="W163" i="20"/>
  <c r="W166" i="20"/>
  <c r="W165" i="20"/>
  <c r="W164" i="20"/>
  <c r="AA163" i="20"/>
  <c r="P160" i="20"/>
  <c r="P159" i="20"/>
  <c r="P158" i="20"/>
  <c r="C157" i="20"/>
  <c r="D157" i="20"/>
  <c r="W67" i="20"/>
  <c r="P64" i="20"/>
  <c r="W70" i="20"/>
  <c r="W68" i="20"/>
  <c r="P61" i="20"/>
  <c r="AA67" i="20"/>
  <c r="AB67" i="20"/>
  <c r="P63" i="20"/>
  <c r="W69" i="20"/>
  <c r="P62" i="20"/>
  <c r="P193" i="20"/>
  <c r="AA199" i="20"/>
  <c r="W199" i="20"/>
  <c r="P195" i="20"/>
  <c r="P194" i="20"/>
  <c r="D193" i="20"/>
  <c r="P196" i="20"/>
  <c r="C193" i="20"/>
  <c r="AB199" i="20"/>
  <c r="W201" i="20"/>
  <c r="W202" i="20"/>
  <c r="W200" i="20"/>
  <c r="W123" i="20"/>
  <c r="AB123" i="20"/>
  <c r="P119" i="20"/>
  <c r="D117" i="20"/>
  <c r="AA123" i="20"/>
  <c r="C117" i="20"/>
  <c r="P120" i="20"/>
  <c r="P117" i="20"/>
  <c r="P118" i="20"/>
  <c r="W126" i="20"/>
  <c r="W125" i="20"/>
  <c r="W124" i="20"/>
  <c r="P75" i="20"/>
  <c r="W79" i="20"/>
  <c r="AA79" i="20"/>
  <c r="W80" i="20"/>
  <c r="W82" i="20"/>
  <c r="W81" i="20"/>
  <c r="AB79" i="20"/>
  <c r="P76" i="20"/>
  <c r="P74" i="20"/>
  <c r="P73" i="20"/>
  <c r="AD572" i="38"/>
  <c r="K562" i="38"/>
  <c r="K266" i="2"/>
  <c r="F36" i="40"/>
  <c r="F73" i="40"/>
  <c r="F85" i="40" s="1"/>
  <c r="K265" i="2"/>
  <c r="F575" i="2" s="1" a="1"/>
  <c r="F575" i="2" s="1"/>
  <c r="G575" i="2" s="1"/>
  <c r="L270" i="2"/>
  <c r="F651" i="2" s="1" a="1"/>
  <c r="F651" i="2" s="1"/>
  <c r="G651" i="2" s="1"/>
  <c r="L265" i="2"/>
  <c r="F576" i="2" s="1" a="1"/>
  <c r="F576" i="2" s="1"/>
  <c r="G576" i="2" s="1"/>
  <c r="K248" i="2"/>
  <c r="F320" i="2" s="1" a="1"/>
  <c r="F320" i="2" s="1"/>
  <c r="G320" i="2" s="1"/>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F590" i="2" a="1"/>
  <c r="F590" i="2" s="1"/>
  <c r="G590" i="2" s="1"/>
  <c r="L266" i="2"/>
  <c r="K255" i="2"/>
  <c r="K264" i="2"/>
  <c r="F409" i="2" a="1"/>
  <c r="F409" i="2" s="1"/>
  <c r="G409" i="2" s="1"/>
  <c r="K254" i="2"/>
  <c r="N253" i="2"/>
  <c r="O253" i="2" s="1"/>
  <c r="F399" i="2" s="1" a="1"/>
  <c r="F399" i="2" s="1"/>
  <c r="G399" i="2" s="1"/>
  <c r="M261" i="2"/>
  <c r="F697" i="2" a="1"/>
  <c r="F697" i="2" s="1"/>
  <c r="G697" i="2" s="1"/>
  <c r="I635" i="38"/>
  <c r="L560" i="38"/>
  <c r="AR52" i="40"/>
  <c r="AW52" i="40"/>
  <c r="F619" i="2" a="1"/>
  <c r="F619" i="2" s="1"/>
  <c r="G619" i="2" s="1"/>
  <c r="L268" i="2"/>
  <c r="M247" i="2"/>
  <c r="B270" i="35" a="1"/>
  <c r="B270" i="35" s="1"/>
  <c r="F305" i="2" a="1"/>
  <c r="F305" i="2" s="1"/>
  <c r="G305" i="2" s="1"/>
  <c r="L250" i="2"/>
  <c r="F351" i="2" s="1" a="1"/>
  <c r="F351" i="2" s="1"/>
  <c r="G351" i="2" s="1"/>
  <c r="BF118" i="20"/>
  <c r="BE118" i="20" s="1"/>
  <c r="N3" i="20" s="1" a="1"/>
  <c r="N3" i="20" s="1"/>
  <c r="F679" i="2" a="1"/>
  <c r="F679" i="2" s="1"/>
  <c r="G679" i="2" s="1"/>
  <c r="L272" i="2"/>
  <c r="F681" i="2" s="1" a="1"/>
  <c r="F681" i="2" s="1"/>
  <c r="G681" i="2" s="1"/>
  <c r="L262" i="2"/>
  <c r="F531" i="2" s="1" a="1"/>
  <c r="F531" i="2" s="1"/>
  <c r="G531" i="2" s="1"/>
  <c r="I620" i="38"/>
  <c r="F696" i="2" a="1"/>
  <c r="F696" i="2" s="1"/>
  <c r="G696" i="2" s="1"/>
  <c r="BP35" i="40"/>
  <c r="L263" i="2"/>
  <c r="BP72" i="40"/>
  <c r="L258" i="2"/>
  <c r="F471" i="2" s="1" a="1"/>
  <c r="F471" i="2" s="1"/>
  <c r="G471" i="2" s="1"/>
  <c r="F349" i="2" a="1"/>
  <c r="F349" i="2" s="1"/>
  <c r="G349" i="2" s="1"/>
  <c r="N252" i="2"/>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AE218" i="38" l="1"/>
  <c r="AO68" i="20" a="1"/>
  <c r="AO68" i="20" s="1"/>
  <c r="D89" i="20" s="1"/>
  <c r="AN60" i="20" a="1"/>
  <c r="AN60" i="20" s="1"/>
  <c r="C57" i="20" s="1"/>
  <c r="AO60" i="20" a="1"/>
  <c r="AO60" i="20" s="1"/>
  <c r="D57" i="20" s="1"/>
  <c r="E182" i="38"/>
  <c r="E567" i="38" s="1"/>
  <c r="T627" i="38" a="1"/>
  <c r="T627" i="38" s="1"/>
  <c r="Q688" i="38" a="1"/>
  <c r="Q688" i="38" s="1"/>
  <c r="AD223" i="38"/>
  <c r="AO63" i="20" a="1"/>
  <c r="AO63" i="20" s="1"/>
  <c r="D69" i="20" s="1"/>
  <c r="AO62" i="20" a="1"/>
  <c r="AO62" i="20" s="1"/>
  <c r="D65" i="20" s="1"/>
  <c r="AD71" i="20" s="1"/>
  <c r="L65" i="20" s="1"/>
  <c r="AD228" i="38"/>
  <c r="Q272" i="38" a="1"/>
  <c r="Q272" i="38" s="1"/>
  <c r="AN69" i="20" a="1"/>
  <c r="AN69" i="20" s="1"/>
  <c r="C93" i="20" s="1"/>
  <c r="AN63" i="20" a="1"/>
  <c r="AN63" i="20" s="1"/>
  <c r="C69" i="20" s="1"/>
  <c r="X5" i="14"/>
  <c r="W18" i="14" s="1"/>
  <c r="AE170" i="38"/>
  <c r="D8" i="14"/>
  <c r="D21" i="14" s="1"/>
  <c r="Q728" i="38" a="1"/>
  <c r="Q728" i="38" s="1"/>
  <c r="Q778" i="38" a="1"/>
  <c r="Q778" i="38" s="1"/>
  <c r="E194" i="38"/>
  <c r="E556" i="38" s="1"/>
  <c r="AO66" i="20" a="1"/>
  <c r="AO66" i="20" s="1"/>
  <c r="D81" i="20" s="1"/>
  <c r="Q653" i="38" a="1"/>
  <c r="Q653" i="38" s="1"/>
  <c r="AE182" i="38"/>
  <c r="AB599" i="38" a="1"/>
  <c r="AB599" i="38" s="1"/>
  <c r="AE567" i="38"/>
  <c r="AD571" i="38"/>
  <c r="AB576" i="38"/>
  <c r="D214" i="35"/>
  <c r="B255" i="35" a="1"/>
  <c r="B255" i="35" s="1"/>
  <c r="E213" i="35"/>
  <c r="B260" i="35" a="1"/>
  <c r="B260" i="35" s="1"/>
  <c r="B590" i="38"/>
  <c r="D571" i="38"/>
  <c r="AB585" i="38" a="1"/>
  <c r="AB585" i="38" s="1"/>
  <c r="AD555" i="38"/>
  <c r="AE566" i="38"/>
  <c r="B599" i="38" a="1"/>
  <c r="B599" i="38" s="1"/>
  <c r="D555" i="38"/>
  <c r="B604" i="38" s="1" a="1"/>
  <c r="B604" i="38" s="1"/>
  <c r="E566" i="38"/>
  <c r="B290" i="35" a="1"/>
  <c r="B290" i="35" s="1"/>
  <c r="E218" i="35"/>
  <c r="B740" i="38" a="1"/>
  <c r="B740" i="38" s="1"/>
  <c r="B730" i="38" a="1"/>
  <c r="E218" i="38"/>
  <c r="E557" i="38" s="1"/>
  <c r="AB740" i="38" a="1"/>
  <c r="AB740" i="38" s="1"/>
  <c r="AD573" i="38"/>
  <c r="AB730" i="38"/>
  <c r="AO72" i="20" a="1"/>
  <c r="AO72" i="20" s="1"/>
  <c r="D105" i="20" s="1"/>
  <c r="AN72" i="20" a="1"/>
  <c r="AN72" i="20" s="1"/>
  <c r="C105" i="20" s="1"/>
  <c r="AO69" i="20" a="1"/>
  <c r="AO69" i="20" s="1"/>
  <c r="D93" i="20" s="1"/>
  <c r="AN68" i="20" a="1"/>
  <c r="AN68" i="20" s="1"/>
  <c r="C89" i="20" s="1"/>
  <c r="AC83" i="20"/>
  <c r="K77" i="20" s="1"/>
  <c r="AC127" i="20"/>
  <c r="K121" i="20" s="1"/>
  <c r="AD203" i="20"/>
  <c r="L197" i="20" s="1"/>
  <c r="AD115" i="20"/>
  <c r="L109" i="20" s="1"/>
  <c r="AC167" i="20"/>
  <c r="K161" i="20" s="1"/>
  <c r="AD215" i="20"/>
  <c r="AD171" i="20"/>
  <c r="L165" i="20" s="1"/>
  <c r="AC131" i="20"/>
  <c r="K125" i="20" s="1"/>
  <c r="AD199" i="20"/>
  <c r="L193" i="20" s="1"/>
  <c r="AO67" i="20" a="1"/>
  <c r="AO67" i="20" s="1"/>
  <c r="D85" i="20" s="1"/>
  <c r="AD135" i="20"/>
  <c r="L129" i="20" s="1"/>
  <c r="AD239" i="20"/>
  <c r="L233" i="20" s="1"/>
  <c r="AC187" i="20"/>
  <c r="K181" i="20" s="1"/>
  <c r="AD195" i="20"/>
  <c r="L189" i="20" s="1"/>
  <c r="AD235" i="20"/>
  <c r="L229" i="20" s="1"/>
  <c r="AC231" i="20"/>
  <c r="K225" i="20" s="1"/>
  <c r="AC199" i="20"/>
  <c r="K193" i="20" s="1"/>
  <c r="AC215" i="20"/>
  <c r="G209" i="20"/>
  <c r="H209" i="20"/>
  <c r="AD83" i="20"/>
  <c r="L77" i="20" s="1"/>
  <c r="AC143" i="20"/>
  <c r="K137" i="20" s="1"/>
  <c r="AC235" i="20"/>
  <c r="K229" i="20" s="1"/>
  <c r="AC115" i="20"/>
  <c r="K109" i="20" s="1"/>
  <c r="E215" i="35"/>
  <c r="D217" i="35"/>
  <c r="B280" i="35" s="1" a="1"/>
  <c r="B280" i="35" s="1"/>
  <c r="AD223" i="20"/>
  <c r="L217" i="20" s="1"/>
  <c r="AD131" i="20"/>
  <c r="L125" i="20" s="1"/>
  <c r="AD143" i="20"/>
  <c r="L137" i="20" s="1"/>
  <c r="AO71" i="20" a="1"/>
  <c r="AO71" i="20" s="1"/>
  <c r="D101" i="20" s="1"/>
  <c r="AN71" i="20" a="1"/>
  <c r="AN71" i="20" s="1"/>
  <c r="C101" i="20" s="1"/>
  <c r="AC171" i="20"/>
  <c r="K165" i="20" s="1"/>
  <c r="AD139" i="20"/>
  <c r="L133" i="20" s="1"/>
  <c r="D556" i="38"/>
  <c r="B660" i="38" a="1"/>
  <c r="B660" i="38" s="1"/>
  <c r="AD179" i="20"/>
  <c r="L173" i="20" s="1"/>
  <c r="AC139" i="20"/>
  <c r="K133" i="20" s="1"/>
  <c r="AD119" i="20"/>
  <c r="L113" i="20" s="1"/>
  <c r="B651" i="38"/>
  <c r="D572" i="38"/>
  <c r="AD159" i="20"/>
  <c r="L153" i="20" s="1"/>
  <c r="AD103" i="20"/>
  <c r="L97" i="20" s="1"/>
  <c r="AC207" i="20"/>
  <c r="K201" i="20" s="1"/>
  <c r="AD243" i="20"/>
  <c r="L237" i="20" s="1"/>
  <c r="AC119" i="20"/>
  <c r="K113" i="20" s="1"/>
  <c r="AD207" i="20"/>
  <c r="L201" i="20" s="1"/>
  <c r="AN66" i="20" a="1"/>
  <c r="AN66" i="20" s="1"/>
  <c r="C81" i="20" s="1"/>
  <c r="AC159" i="20"/>
  <c r="K153" i="20" s="1"/>
  <c r="AC227" i="20"/>
  <c r="K221" i="20" s="1"/>
  <c r="AC135" i="20"/>
  <c r="K129" i="20" s="1"/>
  <c r="AC243" i="20"/>
  <c r="K237" i="20" s="1"/>
  <c r="AC179" i="20"/>
  <c r="K173" i="20" s="1"/>
  <c r="AO59" i="20" a="1"/>
  <c r="AO59" i="20" s="1"/>
  <c r="D53" i="20" s="1"/>
  <c r="AN59" i="20" a="1"/>
  <c r="AN59" i="20" s="1"/>
  <c r="C53" i="20" s="1"/>
  <c r="AC203" i="20"/>
  <c r="K197" i="20" s="1"/>
  <c r="AN64" i="20" a="1"/>
  <c r="AN64" i="20" s="1"/>
  <c r="C73" i="20" s="1"/>
  <c r="AO64" i="20" a="1"/>
  <c r="AO64" i="20" s="1"/>
  <c r="D73" i="20" s="1"/>
  <c r="AD151" i="20"/>
  <c r="L145" i="20" s="1"/>
  <c r="AD227" i="20"/>
  <c r="L221" i="20" s="1"/>
  <c r="AD219" i="20"/>
  <c r="L213" i="20" s="1"/>
  <c r="AE194" i="38"/>
  <c r="AC147" i="20"/>
  <c r="K141" i="20" s="1"/>
  <c r="AD147" i="20"/>
  <c r="L141" i="20" s="1"/>
  <c r="AC219" i="20"/>
  <c r="K213" i="20" s="1"/>
  <c r="AC211" i="20"/>
  <c r="K205" i="20" s="1"/>
  <c r="AN67" i="20" a="1"/>
  <c r="AN67" i="20" s="1"/>
  <c r="C85" i="20" s="1"/>
  <c r="AD163" i="20"/>
  <c r="L157" i="20" s="1"/>
  <c r="AC103" i="20"/>
  <c r="K97" i="20" s="1"/>
  <c r="AC223" i="20"/>
  <c r="K217" i="20" s="1"/>
  <c r="AD556" i="38"/>
  <c r="AB660" i="38" a="1"/>
  <c r="AB660" i="38" s="1"/>
  <c r="AE568" i="38"/>
  <c r="AC195" i="20"/>
  <c r="K189" i="20" s="1"/>
  <c r="AD155" i="20"/>
  <c r="L149" i="20" s="1"/>
  <c r="AC191" i="20"/>
  <c r="K185" i="20" s="1"/>
  <c r="AD175" i="20"/>
  <c r="L169" i="20" s="1"/>
  <c r="AD231" i="20"/>
  <c r="L225" i="20" s="1"/>
  <c r="AD191" i="20"/>
  <c r="L185" i="20" s="1"/>
  <c r="AC175" i="20"/>
  <c r="K169" i="20" s="1"/>
  <c r="AD211" i="20"/>
  <c r="L205" i="20" s="1"/>
  <c r="AD187" i="20"/>
  <c r="L181" i="20" s="1"/>
  <c r="AN61" i="20" a="1"/>
  <c r="AN61" i="20" s="1"/>
  <c r="C61" i="20" s="1"/>
  <c r="AO61" i="20" a="1"/>
  <c r="AO61" i="20" s="1"/>
  <c r="D61" i="20" s="1"/>
  <c r="AC163" i="20"/>
  <c r="K157" i="20" s="1"/>
  <c r="AC123" i="20"/>
  <c r="K117" i="20" s="1"/>
  <c r="AD123" i="20"/>
  <c r="L117" i="20" s="1"/>
  <c r="AC155" i="20"/>
  <c r="K149" i="20" s="1"/>
  <c r="AD183" i="20"/>
  <c r="L177" i="20" s="1"/>
  <c r="AC239" i="20"/>
  <c r="K233" i="20" s="1"/>
  <c r="AC151" i="20"/>
  <c r="K145" i="20" s="1"/>
  <c r="AD167" i="20"/>
  <c r="L161" i="20" s="1"/>
  <c r="AC183" i="20"/>
  <c r="K177" i="20" s="1"/>
  <c r="AD127" i="20"/>
  <c r="L121" i="20" s="1"/>
  <c r="O552" i="38"/>
  <c r="O553" i="38" s="1"/>
  <c r="I714" i="38" a="1"/>
  <c r="I714" i="38" s="1"/>
  <c r="I719" i="38" s="1" a="1"/>
  <c r="I719" i="38" s="1"/>
  <c r="M270" i="2"/>
  <c r="F652" i="2" s="1" a="1"/>
  <c r="F652" i="2" s="1"/>
  <c r="G652" i="2" s="1"/>
  <c r="L248" i="2"/>
  <c r="F321" i="2" s="1" a="1"/>
  <c r="F321" i="2" s="1"/>
  <c r="G321" i="2" s="1"/>
  <c r="M257" i="2"/>
  <c r="M265" i="2"/>
  <c r="F577" i="2" s="1" a="1"/>
  <c r="F577" i="2" s="1"/>
  <c r="G577" i="2" s="1"/>
  <c r="M248" i="2"/>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M272" i="2"/>
  <c r="F682" i="2" s="1" a="1"/>
  <c r="F682" i="2" s="1"/>
  <c r="G682" i="2" s="1"/>
  <c r="M258" i="2"/>
  <c r="F472" i="2" s="1" a="1"/>
  <c r="F472" i="2" s="1"/>
  <c r="G472" i="2" s="1"/>
  <c r="I704" i="38" a="1"/>
  <c r="I704" i="38" s="1"/>
  <c r="M700" i="38" a="1"/>
  <c r="M700" i="38" s="1"/>
  <c r="F621" i="2" a="1"/>
  <c r="F621" i="2" s="1"/>
  <c r="G621" i="2" s="1"/>
  <c r="M268" i="2"/>
  <c r="F622" i="2" s="1" a="1"/>
  <c r="F622" i="2" s="1"/>
  <c r="G622" i="2" s="1"/>
  <c r="F383" i="2" a="1"/>
  <c r="F383" i="2" s="1"/>
  <c r="G383" i="2" s="1"/>
  <c r="O252" i="2"/>
  <c r="F384" i="2" s="1" a="1"/>
  <c r="F384" i="2" s="1"/>
  <c r="G384" i="2" s="1"/>
  <c r="O273" i="2"/>
  <c r="O280" i="2"/>
  <c r="F546" i="2" a="1"/>
  <c r="F546" i="2" s="1"/>
  <c r="G546" i="2" s="1"/>
  <c r="M263" i="2"/>
  <c r="L559" i="38"/>
  <c r="N260" i="2"/>
  <c r="F503" i="2" s="1" a="1"/>
  <c r="F503" i="2" s="1"/>
  <c r="G503" i="2" s="1"/>
  <c r="F307" i="2" a="1"/>
  <c r="F307" i="2" s="1"/>
  <c r="G307" i="2" s="1"/>
  <c r="N247" i="2"/>
  <c r="O247" i="2" s="1"/>
  <c r="M250" i="2"/>
  <c r="E555" i="38" l="1"/>
  <c r="AD95" i="20"/>
  <c r="L89" i="20" s="1"/>
  <c r="AD63" i="20"/>
  <c r="L57" i="20" s="1"/>
  <c r="AC63" i="20"/>
  <c r="K57" i="20" s="1"/>
  <c r="E568" i="38"/>
  <c r="V109" i="14"/>
  <c r="AC75" i="20"/>
  <c r="K69" i="20" s="1"/>
  <c r="AC71" i="20"/>
  <c r="K65" i="20" s="1"/>
  <c r="G65" i="20" s="1"/>
  <c r="AD75" i="20"/>
  <c r="L69" i="20" s="1"/>
  <c r="AC99" i="20"/>
  <c r="K93" i="20" s="1"/>
  <c r="X18" i="14"/>
  <c r="H125" i="20"/>
  <c r="C21" i="14"/>
  <c r="H121" i="20"/>
  <c r="Q7" i="38" a="1"/>
  <c r="R413" i="38" s="1"/>
  <c r="H161" i="20"/>
  <c r="AC111" i="20"/>
  <c r="K105" i="20" s="1"/>
  <c r="AD111" i="20"/>
  <c r="L105" i="20" s="1"/>
  <c r="I799" i="38" a="1"/>
  <c r="I799" i="38" s="1"/>
  <c r="H77" i="20"/>
  <c r="B730" i="38"/>
  <c r="D573" i="38"/>
  <c r="E558" i="38" s="1"/>
  <c r="E561" i="38"/>
  <c r="E562" i="38"/>
  <c r="AD99" i="20"/>
  <c r="L93" i="20" s="1"/>
  <c r="AB604" i="38" a="1"/>
  <c r="AB604" i="38" s="1"/>
  <c r="AB609" i="38" s="1" a="1"/>
  <c r="AB609" i="38" s="1"/>
  <c r="AE555" i="38"/>
  <c r="AC95" i="20"/>
  <c r="K89" i="20" s="1"/>
  <c r="B609" i="38" a="1"/>
  <c r="B609" i="38" s="1"/>
  <c r="N270" i="2"/>
  <c r="F653" i="2" s="1" a="1"/>
  <c r="F653" i="2" s="1"/>
  <c r="G653" i="2" s="1"/>
  <c r="B256" i="35" a="1"/>
  <c r="B256" i="35" s="1"/>
  <c r="E214" i="35"/>
  <c r="AC91" i="20"/>
  <c r="K85" i="20" s="1"/>
  <c r="AC107" i="20"/>
  <c r="K101" i="20" s="1"/>
  <c r="AD67" i="20"/>
  <c r="L61" i="20" s="1"/>
  <c r="H181" i="20"/>
  <c r="AC59" i="20"/>
  <c r="K53" i="20" s="1"/>
  <c r="G161" i="20"/>
  <c r="G125" i="20"/>
  <c r="G181" i="20"/>
  <c r="AC79" i="20"/>
  <c r="K73" i="20" s="1"/>
  <c r="H149" i="20"/>
  <c r="G149" i="20"/>
  <c r="H129" i="20"/>
  <c r="G129" i="20"/>
  <c r="E217" i="35"/>
  <c r="D219" i="35"/>
  <c r="E563" i="38"/>
  <c r="E564" i="38"/>
  <c r="G117" i="20"/>
  <c r="H117" i="20"/>
  <c r="AD87" i="20"/>
  <c r="L81" i="20" s="1"/>
  <c r="AC87" i="20"/>
  <c r="K81" i="20" s="1"/>
  <c r="H109" i="20"/>
  <c r="G157" i="20"/>
  <c r="H157" i="20"/>
  <c r="AD558" i="38"/>
  <c r="AB680" i="38" a="1"/>
  <c r="AB680" i="38" s="1"/>
  <c r="AB689" i="38" s="1" a="1"/>
  <c r="AB689" i="38" s="1"/>
  <c r="AE556" i="38"/>
  <c r="G106" i="38"/>
  <c r="AE559" i="38"/>
  <c r="H229" i="20"/>
  <c r="G229" i="20"/>
  <c r="AD79" i="20"/>
  <c r="L73" i="20" s="1"/>
  <c r="H189" i="20"/>
  <c r="G189" i="20"/>
  <c r="G217" i="20"/>
  <c r="H217" i="20"/>
  <c r="G113" i="20"/>
  <c r="H113" i="20"/>
  <c r="H137" i="20"/>
  <c r="G137" i="20"/>
  <c r="H165" i="20"/>
  <c r="G165" i="20"/>
  <c r="H197" i="20"/>
  <c r="G197" i="20"/>
  <c r="H173" i="20"/>
  <c r="G173" i="20"/>
  <c r="H221" i="20"/>
  <c r="G221" i="20"/>
  <c r="AD91" i="20"/>
  <c r="L85" i="20" s="1"/>
  <c r="H201" i="20"/>
  <c r="G201" i="20"/>
  <c r="G133" i="20"/>
  <c r="H133" i="20"/>
  <c r="G101" i="38"/>
  <c r="E559" i="38"/>
  <c r="B680" i="38" a="1"/>
  <c r="B680" i="38" s="1"/>
  <c r="B689" i="38" s="1" a="1"/>
  <c r="B689" i="38" s="1"/>
  <c r="D558" i="38"/>
  <c r="AD107" i="20"/>
  <c r="L101" i="20" s="1"/>
  <c r="G185" i="20"/>
  <c r="H185" i="20"/>
  <c r="G153" i="20"/>
  <c r="H153" i="20"/>
  <c r="AC67" i="20"/>
  <c r="K61" i="20" s="1"/>
  <c r="G121" i="20"/>
  <c r="H193" i="20"/>
  <c r="G193" i="20"/>
  <c r="G169" i="20"/>
  <c r="H169" i="20"/>
  <c r="H177" i="20"/>
  <c r="G177" i="20"/>
  <c r="G205" i="20"/>
  <c r="H205" i="20"/>
  <c r="H225" i="20"/>
  <c r="G225" i="20"/>
  <c r="H141" i="20"/>
  <c r="G141" i="20"/>
  <c r="AD59" i="20"/>
  <c r="L53" i="20" s="1"/>
  <c r="H213" i="20"/>
  <c r="G213" i="20"/>
  <c r="G145" i="20"/>
  <c r="H145" i="20"/>
  <c r="G77" i="20"/>
  <c r="H237" i="20"/>
  <c r="G237" i="20"/>
  <c r="G97" i="20"/>
  <c r="H97" i="20"/>
  <c r="H233" i="20"/>
  <c r="G233" i="20"/>
  <c r="N265" i="2"/>
  <c r="R425" i="38"/>
  <c r="AF27" i="38"/>
  <c r="AF23" i="38"/>
  <c r="AF20" i="38"/>
  <c r="AF21" i="38"/>
  <c r="R422" i="38"/>
  <c r="R419" i="38"/>
  <c r="R421" i="38"/>
  <c r="R417" i="38"/>
  <c r="R426" i="38"/>
  <c r="AF26" i="38"/>
  <c r="AF28" i="38"/>
  <c r="AF24" i="38"/>
  <c r="AF19" i="38"/>
  <c r="AF25" i="38"/>
  <c r="R424" i="38"/>
  <c r="AG19" i="38"/>
  <c r="AF22" i="38"/>
  <c r="R423" i="38"/>
  <c r="R420" i="38"/>
  <c r="AG28" i="38"/>
  <c r="AG27" i="38"/>
  <c r="AG26" i="38"/>
  <c r="AG25" i="38"/>
  <c r="AG24" i="38"/>
  <c r="AG23" i="38"/>
  <c r="AG22" i="38"/>
  <c r="AG21" i="38"/>
  <c r="AG20" i="38"/>
  <c r="R418" i="38"/>
  <c r="N266" i="2"/>
  <c r="F593" i="2" s="1" a="1"/>
  <c r="F593" i="2" s="1"/>
  <c r="G593" i="2" s="1"/>
  <c r="F457" i="2" a="1"/>
  <c r="F457" i="2" s="1"/>
  <c r="G457" i="2" s="1"/>
  <c r="N257" i="2"/>
  <c r="O270" i="2"/>
  <c r="F654" i="2" s="1" a="1"/>
  <c r="F654" i="2" s="1"/>
  <c r="G654" i="2" s="1"/>
  <c r="N248" i="2"/>
  <c r="F322" i="2" a="1"/>
  <c r="F322" i="2" s="1"/>
  <c r="G322" i="2" s="1"/>
  <c r="Q253" i="2"/>
  <c r="F401" i="2" s="1" a="1"/>
  <c r="F401" i="2" s="1"/>
  <c r="G401" i="2" s="1"/>
  <c r="F726" i="2" a="1"/>
  <c r="F726" i="2" s="1"/>
  <c r="G726" i="2" s="1"/>
  <c r="M275" i="2"/>
  <c r="P252" i="2"/>
  <c r="F385" i="2" s="1" a="1"/>
  <c r="F385" i="2" s="1"/>
  <c r="G385" i="2" s="1"/>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G89" i="20" l="1"/>
  <c r="G57" i="20"/>
  <c r="H57" i="20"/>
  <c r="V333" i="38"/>
  <c r="T685" i="38" s="1" a="1"/>
  <c r="T685" i="38" s="1"/>
  <c r="T654" i="38" a="1"/>
  <c r="B741" i="38" a="1"/>
  <c r="B741" i="38" s="1"/>
  <c r="B744" i="38" s="1" a="1"/>
  <c r="B744" i="38" s="1"/>
  <c r="H69" i="20"/>
  <c r="H65" i="20"/>
  <c r="G69" i="20"/>
  <c r="R416" i="38"/>
  <c r="AG18" i="38"/>
  <c r="AF18" i="38"/>
  <c r="G93" i="20"/>
  <c r="H93" i="20"/>
  <c r="R415" i="38"/>
  <c r="AF17" i="38"/>
  <c r="AG17" i="38"/>
  <c r="AF16" i="38"/>
  <c r="R414" i="38"/>
  <c r="AG16" i="38"/>
  <c r="AG15" i="38"/>
  <c r="AF15" i="38"/>
  <c r="R405" i="38"/>
  <c r="Q7" i="38"/>
  <c r="AG12" i="38"/>
  <c r="R406" i="38"/>
  <c r="R410" i="38"/>
  <c r="R411" i="38"/>
  <c r="AF10" i="38"/>
  <c r="AF14" i="38"/>
  <c r="R409" i="38"/>
  <c r="R408" i="38"/>
  <c r="R412" i="38"/>
  <c r="AG10" i="38"/>
  <c r="AF13" i="38"/>
  <c r="AG13" i="38"/>
  <c r="AF11" i="38"/>
  <c r="AF9" i="38"/>
  <c r="AG14" i="38"/>
  <c r="R407" i="38"/>
  <c r="AG11" i="38"/>
  <c r="AG9" i="38"/>
  <c r="AF12" i="38"/>
  <c r="H105" i="20"/>
  <c r="G105" i="20"/>
  <c r="H89" i="20"/>
  <c r="H85" i="20"/>
  <c r="AE561" i="38"/>
  <c r="AE562" i="38"/>
  <c r="G53" i="20"/>
  <c r="G101" i="20"/>
  <c r="E219" i="35"/>
  <c r="B292" i="35" a="1"/>
  <c r="B292" i="35" s="1"/>
  <c r="B7" i="35" s="1" a="1"/>
  <c r="H73" i="20"/>
  <c r="G85" i="20"/>
  <c r="H101" i="20"/>
  <c r="AE564" i="38"/>
  <c r="AE558" i="38"/>
  <c r="AB741" i="38" s="1" a="1"/>
  <c r="AB741" i="38" s="1"/>
  <c r="AB744" i="38" s="1" a="1"/>
  <c r="AB744" i="38" s="1"/>
  <c r="X7" i="38" s="1" a="1"/>
  <c r="AE563" i="38"/>
  <c r="G81" i="20"/>
  <c r="H81" i="20"/>
  <c r="H61" i="20"/>
  <c r="G61" i="20"/>
  <c r="G73" i="20"/>
  <c r="H53" i="20"/>
  <c r="P270" i="2"/>
  <c r="F655" i="2" s="1" a="1"/>
  <c r="F655" i="2" s="1"/>
  <c r="G655" i="2" s="1"/>
  <c r="AH28" i="38"/>
  <c r="AH26" i="38"/>
  <c r="AH21" i="38"/>
  <c r="AH20" i="38"/>
  <c r="AH22" i="38"/>
  <c r="AH23" i="38"/>
  <c r="AH27" i="38"/>
  <c r="AH25" i="38"/>
  <c r="AH19" i="38"/>
  <c r="AH24" i="38"/>
  <c r="O250" i="2"/>
  <c r="F354" i="2" s="1" a="1"/>
  <c r="F354" i="2" s="1"/>
  <c r="G354" i="2" s="1"/>
  <c r="O257" i="2"/>
  <c r="P257" i="2" s="1"/>
  <c r="F460" i="2" s="1" a="1"/>
  <c r="F460" i="2" s="1"/>
  <c r="G460" i="2" s="1"/>
  <c r="F458" i="2" a="1"/>
  <c r="F458" i="2" s="1"/>
  <c r="G458" i="2" s="1"/>
  <c r="O266" i="2"/>
  <c r="Q280" i="2"/>
  <c r="F806" i="2" s="1" a="1"/>
  <c r="F806" i="2" s="1"/>
  <c r="G806" i="2" s="1"/>
  <c r="F323" i="2" a="1"/>
  <c r="F323" i="2" s="1"/>
  <c r="G323" i="2" s="1"/>
  <c r="O248" i="2"/>
  <c r="R253" i="2"/>
  <c r="F402" i="2" s="1" a="1"/>
  <c r="F402" i="2" s="1"/>
  <c r="G402" i="2" s="1"/>
  <c r="Q252" i="2"/>
  <c r="F386" i="2" s="1" a="1"/>
  <c r="F386" i="2" s="1"/>
  <c r="G386" i="2" s="1"/>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Q270" i="2"/>
  <c r="F656" i="2" s="1" a="1"/>
  <c r="F656" i="2" s="1"/>
  <c r="G656"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T654" i="38" l="1"/>
  <c r="T7" i="38" s="1" a="1"/>
  <c r="I7" i="38" a="1"/>
  <c r="J425" i="38" s="1"/>
  <c r="AH18" i="38"/>
  <c r="M150" i="35"/>
  <c r="AH17" i="38"/>
  <c r="M123" i="35"/>
  <c r="AH12" i="38"/>
  <c r="AH15" i="38"/>
  <c r="AH16" i="38"/>
  <c r="M113" i="35"/>
  <c r="M121" i="35"/>
  <c r="M134" i="35"/>
  <c r="M120" i="35"/>
  <c r="M152" i="35"/>
  <c r="M117" i="35"/>
  <c r="M153" i="35"/>
  <c r="M119" i="35"/>
  <c r="M111" i="35"/>
  <c r="M136" i="35"/>
  <c r="M124" i="35"/>
  <c r="M125" i="35"/>
  <c r="M109" i="35"/>
  <c r="M110" i="35"/>
  <c r="M143" i="35"/>
  <c r="M118" i="35"/>
  <c r="M151" i="35"/>
  <c r="M135" i="35"/>
  <c r="M146" i="35"/>
  <c r="M112" i="35"/>
  <c r="M144" i="35"/>
  <c r="M122" i="35"/>
  <c r="M139" i="35"/>
  <c r="M115" i="35"/>
  <c r="M127" i="35"/>
  <c r="M108" i="35"/>
  <c r="M149" i="35"/>
  <c r="M133" i="35"/>
  <c r="M114" i="35"/>
  <c r="M142" i="35"/>
  <c r="M145" i="35"/>
  <c r="M129" i="35"/>
  <c r="M128" i="35"/>
  <c r="M130" i="35"/>
  <c r="M138" i="35"/>
  <c r="M148" i="35"/>
  <c r="M131" i="35"/>
  <c r="M140" i="35"/>
  <c r="M147" i="35"/>
  <c r="M141" i="35"/>
  <c r="M132" i="35"/>
  <c r="M137" i="35"/>
  <c r="M154" i="35"/>
  <c r="M126" i="35"/>
  <c r="M116" i="35"/>
  <c r="AH10" i="38"/>
  <c r="AH9" i="38"/>
  <c r="AH14" i="38"/>
  <c r="AH11" i="38"/>
  <c r="AH13" i="38"/>
  <c r="C135" i="35"/>
  <c r="C136" i="35"/>
  <c r="C107" i="35"/>
  <c r="B7" i="35"/>
  <c r="C105" i="35"/>
  <c r="C109" i="35"/>
  <c r="C102" i="35"/>
  <c r="C120" i="35"/>
  <c r="C133" i="35"/>
  <c r="C121" i="35"/>
  <c r="C118" i="35"/>
  <c r="C100" i="35"/>
  <c r="C114" i="35"/>
  <c r="C125" i="35"/>
  <c r="C131" i="35"/>
  <c r="C128" i="35"/>
  <c r="C111" i="35"/>
  <c r="C117" i="35"/>
  <c r="C127" i="35"/>
  <c r="C119" i="35"/>
  <c r="C130" i="35"/>
  <c r="C124" i="35"/>
  <c r="C113" i="35"/>
  <c r="C112" i="35"/>
  <c r="C129" i="35"/>
  <c r="C116" i="35"/>
  <c r="C104" i="35"/>
  <c r="C108" i="35"/>
  <c r="C122" i="35"/>
  <c r="C123" i="35"/>
  <c r="C106" i="35"/>
  <c r="C134" i="35"/>
  <c r="C101" i="35"/>
  <c r="C132" i="35"/>
  <c r="C103" i="35"/>
  <c r="C126" i="35"/>
  <c r="C110" i="35"/>
  <c r="C115" i="35"/>
  <c r="J409" i="38"/>
  <c r="J421" i="38"/>
  <c r="K421" i="38" s="1"/>
  <c r="J420" i="38"/>
  <c r="AN29" i="38"/>
  <c r="AO39" i="38"/>
  <c r="Y417" i="38"/>
  <c r="Y421" i="38"/>
  <c r="Z421" i="38" s="1"/>
  <c r="Y427" i="38"/>
  <c r="AO31" i="38"/>
  <c r="AN37" i="38"/>
  <c r="Y432" i="38"/>
  <c r="Y425" i="38"/>
  <c r="Y443" i="38"/>
  <c r="Y438" i="38"/>
  <c r="AO37" i="38"/>
  <c r="AN31" i="38"/>
  <c r="AO21" i="38"/>
  <c r="Y441" i="38"/>
  <c r="Y439" i="38"/>
  <c r="Y424" i="38"/>
  <c r="AN46" i="38"/>
  <c r="AN33" i="38"/>
  <c r="Y433" i="38"/>
  <c r="Z433" i="38" s="1"/>
  <c r="AO28" i="38"/>
  <c r="Y440" i="38"/>
  <c r="Z440" i="38" s="1"/>
  <c r="AN25" i="38"/>
  <c r="AN44" i="38"/>
  <c r="AO40" i="38"/>
  <c r="Y422" i="38"/>
  <c r="AO32" i="38"/>
  <c r="AO36" i="38"/>
  <c r="AN28" i="38"/>
  <c r="AN41" i="38"/>
  <c r="AO23" i="38"/>
  <c r="AN20" i="38"/>
  <c r="Y444" i="38"/>
  <c r="Z444" i="38" s="1"/>
  <c r="AN26" i="38"/>
  <c r="Y419" i="38"/>
  <c r="Z419" i="38" s="1"/>
  <c r="AN23" i="38"/>
  <c r="AN32" i="38"/>
  <c r="AO29" i="38"/>
  <c r="AO25" i="38"/>
  <c r="AN43" i="38"/>
  <c r="Y437" i="38"/>
  <c r="Z437" i="38" s="1"/>
  <c r="AO38" i="38"/>
  <c r="AO26" i="38"/>
  <c r="AN30" i="38"/>
  <c r="Y418" i="38"/>
  <c r="Y426" i="38"/>
  <c r="Y431" i="38"/>
  <c r="AO24" i="38"/>
  <c r="AN21" i="38"/>
  <c r="AN40" i="38"/>
  <c r="AN35" i="38"/>
  <c r="Y420" i="38"/>
  <c r="AN34" i="38"/>
  <c r="Y434" i="38"/>
  <c r="AN19" i="38"/>
  <c r="AN38" i="38"/>
  <c r="Y430" i="38"/>
  <c r="AO20" i="38"/>
  <c r="AO19" i="38"/>
  <c r="AO42" i="38"/>
  <c r="Y435" i="38"/>
  <c r="Z435" i="38" s="1"/>
  <c r="AO41" i="38"/>
  <c r="AN24" i="38"/>
  <c r="AO45" i="38"/>
  <c r="AO33" i="38"/>
  <c r="AO27" i="38"/>
  <c r="AO22" i="38"/>
  <c r="AN27" i="38"/>
  <c r="Y442" i="38"/>
  <c r="Z442" i="38" s="1"/>
  <c r="AN39" i="38"/>
  <c r="Y429" i="38"/>
  <c r="Z429" i="38" s="1"/>
  <c r="AO43" i="38"/>
  <c r="AO35" i="38"/>
  <c r="AN45" i="38"/>
  <c r="AO44" i="38"/>
  <c r="AO46" i="38"/>
  <c r="Y436" i="38"/>
  <c r="AO30" i="38"/>
  <c r="AN36" i="38"/>
  <c r="AO34" i="38"/>
  <c r="AN42" i="38"/>
  <c r="AN22" i="38"/>
  <c r="Y428" i="38"/>
  <c r="Y423" i="38"/>
  <c r="Z423" i="38" s="1"/>
  <c r="Y415" i="38"/>
  <c r="AO17" i="38"/>
  <c r="AN18" i="38"/>
  <c r="AN10" i="38"/>
  <c r="AN13" i="38"/>
  <c r="Y411" i="38"/>
  <c r="X7" i="38"/>
  <c r="AN11" i="38"/>
  <c r="Y408" i="38"/>
  <c r="Y406" i="38"/>
  <c r="Z406" i="38" s="1"/>
  <c r="Y414" i="38"/>
  <c r="Z414" i="38" s="1"/>
  <c r="AN17" i="38"/>
  <c r="AO11" i="38"/>
  <c r="Y407" i="38"/>
  <c r="AO15" i="38"/>
  <c r="AN15" i="38"/>
  <c r="AO10" i="38"/>
  <c r="Y413" i="38"/>
  <c r="AN14" i="38"/>
  <c r="AO18" i="38"/>
  <c r="AN16" i="38"/>
  <c r="AN9" i="38"/>
  <c r="AO12" i="38"/>
  <c r="Y409" i="38"/>
  <c r="Y412" i="38"/>
  <c r="AO16" i="38"/>
  <c r="AN12" i="38"/>
  <c r="AO13" i="38"/>
  <c r="AO14" i="38"/>
  <c r="Y405" i="38"/>
  <c r="Y410" i="38"/>
  <c r="Y416" i="38"/>
  <c r="AO9" i="38"/>
  <c r="P250" i="2"/>
  <c r="Q250" i="2" s="1"/>
  <c r="N256" i="2"/>
  <c r="O256" i="2" s="1"/>
  <c r="P256" i="2" s="1"/>
  <c r="F445" i="2" s="1" a="1"/>
  <c r="F445" i="2" s="1"/>
  <c r="G445" i="2" s="1"/>
  <c r="F594" i="2" a="1"/>
  <c r="F594" i="2" s="1"/>
  <c r="G594" i="2" s="1"/>
  <c r="P266" i="2"/>
  <c r="R280" i="2"/>
  <c r="S280" i="2" s="1"/>
  <c r="F459" i="2" a="1"/>
  <c r="F459" i="2" s="1"/>
  <c r="G459" i="2" s="1"/>
  <c r="Q257" i="2"/>
  <c r="F461" i="2" s="1" a="1"/>
  <c r="F461" i="2" s="1"/>
  <c r="G461" i="2" s="1"/>
  <c r="R265" i="2"/>
  <c r="F582" i="2" s="1" a="1"/>
  <c r="F582" i="2" s="1"/>
  <c r="G582" i="2" s="1"/>
  <c r="R257" i="2"/>
  <c r="F462" i="2" s="1" a="1"/>
  <c r="F462" i="2" s="1"/>
  <c r="G462" i="2" s="1"/>
  <c r="R273" i="2"/>
  <c r="S273" i="2" s="1"/>
  <c r="P248" i="2"/>
  <c r="F324" i="2" a="1"/>
  <c r="F324" i="2" s="1"/>
  <c r="G324" i="2" s="1"/>
  <c r="F534" i="2" a="1"/>
  <c r="F534" i="2" s="1"/>
  <c r="G534" i="2" s="1"/>
  <c r="P277" i="2"/>
  <c r="F760" i="2" s="1" a="1"/>
  <c r="F760" i="2" s="1"/>
  <c r="G760" i="2" s="1"/>
  <c r="R252" i="2"/>
  <c r="F387" i="2" s="1" a="1"/>
  <c r="F387" i="2" s="1"/>
  <c r="G387" i="2" s="1"/>
  <c r="Q248" i="2"/>
  <c r="F326" i="2" s="1" a="1"/>
  <c r="F326" i="2" s="1"/>
  <c r="G326" i="2" s="1"/>
  <c r="S253" i="2"/>
  <c r="R267" i="2"/>
  <c r="F612" i="2" s="1" a="1"/>
  <c r="F612" i="2" s="1"/>
  <c r="G612" i="2" s="1"/>
  <c r="F505" i="2" a="1"/>
  <c r="F505" i="2" s="1"/>
  <c r="G505" i="2" s="1"/>
  <c r="F728" i="2" a="1"/>
  <c r="F728" i="2" s="1"/>
  <c r="G728" i="2" s="1"/>
  <c r="O275" i="2"/>
  <c r="Q272" i="2"/>
  <c r="F686" i="2" s="1" a="1"/>
  <c r="F686" i="2" s="1"/>
  <c r="G686" i="2" s="1"/>
  <c r="F758" i="2" a="1"/>
  <c r="F758" i="2" s="1"/>
  <c r="G758" i="2" s="1"/>
  <c r="F338" i="2" a="1"/>
  <c r="F338" i="2" s="1"/>
  <c r="G338" i="2" s="1"/>
  <c r="O249" i="2"/>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475" i="2" a="1"/>
  <c r="F475" i="2" s="1"/>
  <c r="G475" i="2" s="1"/>
  <c r="Q258" i="2"/>
  <c r="F311" i="2" a="1"/>
  <c r="F311" i="2" s="1"/>
  <c r="G311" i="2" s="1"/>
  <c r="R247" i="2"/>
  <c r="F356" i="2" a="1"/>
  <c r="F356" i="2" s="1"/>
  <c r="G356" i="2" s="1"/>
  <c r="R250" i="2"/>
  <c r="F535" i="2" a="1"/>
  <c r="F535" i="2" s="1"/>
  <c r="G535" i="2" s="1"/>
  <c r="Q262" i="2"/>
  <c r="U450" i="38" l="1"/>
  <c r="AK55" i="38"/>
  <c r="AK53" i="38"/>
  <c r="AK56" i="38"/>
  <c r="AJ52" i="38"/>
  <c r="U454" i="38"/>
  <c r="AJ53" i="38"/>
  <c r="U452" i="38"/>
  <c r="AJ54" i="38"/>
  <c r="AK52" i="38"/>
  <c r="AJ55" i="38"/>
  <c r="AJ56" i="38"/>
  <c r="AK54" i="38"/>
  <c r="U451" i="38"/>
  <c r="U453" i="38"/>
  <c r="U449" i="38"/>
  <c r="U440" i="38"/>
  <c r="AK39" i="38"/>
  <c r="AK13" i="38"/>
  <c r="T7" i="38"/>
  <c r="AJ30" i="38"/>
  <c r="U433" i="38"/>
  <c r="AJ21" i="38"/>
  <c r="AK9" i="38"/>
  <c r="AK15" i="38"/>
  <c r="AK12" i="38"/>
  <c r="U444" i="38"/>
  <c r="AJ51" i="38"/>
  <c r="U441" i="38"/>
  <c r="AK35" i="38"/>
  <c r="U420" i="38"/>
  <c r="AJ27" i="38"/>
  <c r="U408" i="38"/>
  <c r="AK33" i="38"/>
  <c r="AJ34" i="38"/>
  <c r="AJ37" i="38"/>
  <c r="U426" i="38"/>
  <c r="U438" i="38"/>
  <c r="AK49" i="38"/>
  <c r="AJ42" i="38"/>
  <c r="AJ16" i="38"/>
  <c r="AJ29" i="38"/>
  <c r="U417" i="38"/>
  <c r="U416" i="38"/>
  <c r="U427" i="38"/>
  <c r="U409" i="38"/>
  <c r="U430" i="38"/>
  <c r="AJ13" i="38"/>
  <c r="AJ50" i="38"/>
  <c r="AK45" i="38"/>
  <c r="AK50" i="38"/>
  <c r="AK22" i="38"/>
  <c r="U413" i="38"/>
  <c r="AK36" i="38"/>
  <c r="AJ36" i="38"/>
  <c r="AK21" i="38"/>
  <c r="AJ9" i="38"/>
  <c r="U424" i="38"/>
  <c r="AJ24" i="38"/>
  <c r="U448" i="38"/>
  <c r="AJ49" i="38"/>
  <c r="AK10" i="38"/>
  <c r="U422" i="38"/>
  <c r="U407" i="38"/>
  <c r="AJ31" i="38"/>
  <c r="AK24" i="38"/>
  <c r="AK25" i="38"/>
  <c r="AJ11" i="38"/>
  <c r="AJ22" i="38"/>
  <c r="AK27" i="38"/>
  <c r="AK43" i="38"/>
  <c r="AK42" i="38"/>
  <c r="U446" i="38"/>
  <c r="AJ19" i="38"/>
  <c r="AJ10" i="38"/>
  <c r="U412" i="38"/>
  <c r="U431" i="38"/>
  <c r="U421" i="38"/>
  <c r="U405" i="38"/>
  <c r="U437" i="38"/>
  <c r="AJ20" i="38"/>
  <c r="U429" i="38"/>
  <c r="U423" i="38"/>
  <c r="AK16" i="38"/>
  <c r="AK17" i="38"/>
  <c r="AK40" i="38"/>
  <c r="U443" i="38"/>
  <c r="AK41" i="38"/>
  <c r="U414" i="38"/>
  <c r="AK30" i="38"/>
  <c r="AJ35" i="38"/>
  <c r="U432" i="38"/>
  <c r="AK26" i="38"/>
  <c r="U415" i="38"/>
  <c r="AK47" i="38"/>
  <c r="AJ47" i="38"/>
  <c r="AJ43" i="38"/>
  <c r="AK31" i="38"/>
  <c r="AK23" i="38"/>
  <c r="AJ18" i="38"/>
  <c r="AK51" i="38"/>
  <c r="U406" i="38"/>
  <c r="U439" i="38"/>
  <c r="U436" i="38"/>
  <c r="AJ41" i="38"/>
  <c r="AJ45" i="38"/>
  <c r="AK37" i="38"/>
  <c r="AJ14" i="38"/>
  <c r="AJ17" i="38"/>
  <c r="AJ28" i="38"/>
  <c r="AK18" i="38"/>
  <c r="U418" i="38"/>
  <c r="AJ44" i="38"/>
  <c r="U445" i="38"/>
  <c r="AJ46" i="38"/>
  <c r="AJ23" i="38"/>
  <c r="AJ15" i="38"/>
  <c r="U411" i="38"/>
  <c r="AJ33" i="38"/>
  <c r="AJ12" i="38"/>
  <c r="AK32" i="38"/>
  <c r="U435" i="38"/>
  <c r="AK11" i="38"/>
  <c r="AJ48" i="38"/>
  <c r="AJ39" i="38"/>
  <c r="AJ38" i="38"/>
  <c r="AK46" i="38"/>
  <c r="AK14" i="38"/>
  <c r="U425" i="38"/>
  <c r="AK34" i="38"/>
  <c r="AK20" i="38"/>
  <c r="AK29" i="38"/>
  <c r="U419" i="38"/>
  <c r="AK44" i="38"/>
  <c r="AJ25" i="38"/>
  <c r="AK48" i="38"/>
  <c r="U447" i="38"/>
  <c r="U442" i="38"/>
  <c r="AJ26" i="38"/>
  <c r="U410" i="38"/>
  <c r="AJ40" i="38"/>
  <c r="AJ32" i="38"/>
  <c r="AK38" i="38"/>
  <c r="AK19" i="38"/>
  <c r="AK28" i="38"/>
  <c r="U428" i="38"/>
  <c r="U434" i="38"/>
  <c r="J429" i="38"/>
  <c r="K429" i="38" s="1"/>
  <c r="J424" i="38"/>
  <c r="J426" i="38"/>
  <c r="K426" i="38" s="1"/>
  <c r="J407" i="38"/>
  <c r="J419" i="38"/>
  <c r="K419" i="38" s="1"/>
  <c r="J434" i="38"/>
  <c r="K434" i="38" s="1"/>
  <c r="J438" i="38"/>
  <c r="K438" i="38" s="1"/>
  <c r="J414" i="38"/>
  <c r="K414" i="38" s="1"/>
  <c r="J440" i="38"/>
  <c r="K440" i="38" s="1"/>
  <c r="J410" i="38"/>
  <c r="J430" i="38"/>
  <c r="K430" i="38" s="1"/>
  <c r="J418" i="38"/>
  <c r="K418" i="38" s="1"/>
  <c r="J415" i="38"/>
  <c r="K415" i="38" s="1"/>
  <c r="J439" i="38"/>
  <c r="K439" i="38" s="1"/>
  <c r="J413" i="38"/>
  <c r="K413" i="38" s="1"/>
  <c r="J433" i="38"/>
  <c r="K433" i="38" s="1"/>
  <c r="J442" i="38"/>
  <c r="K442" i="38" s="1"/>
  <c r="J417" i="38"/>
  <c r="K417" i="38" s="1"/>
  <c r="J405" i="38"/>
  <c r="D154" i="35" s="1"/>
  <c r="J432" i="38"/>
  <c r="K432" i="38" s="1"/>
  <c r="J408" i="38"/>
  <c r="J436" i="38"/>
  <c r="K436" i="38" s="1"/>
  <c r="J411" i="38"/>
  <c r="J423" i="38"/>
  <c r="K423" i="38" s="1"/>
  <c r="J444" i="38"/>
  <c r="K444" i="38" s="1"/>
  <c r="J427" i="38"/>
  <c r="K427" i="38" s="1"/>
  <c r="J422" i="38"/>
  <c r="K422" i="38" s="1"/>
  <c r="J406" i="38"/>
  <c r="K406" i="38" s="1"/>
  <c r="J437" i="38"/>
  <c r="K437" i="38" s="1"/>
  <c r="J435" i="38"/>
  <c r="K435" i="38" s="1"/>
  <c r="J443" i="38"/>
  <c r="K443" i="38" s="1"/>
  <c r="J416" i="38"/>
  <c r="K416" i="38" s="1"/>
  <c r="J428" i="38"/>
  <c r="K428" i="38" s="1"/>
  <c r="I7" i="38"/>
  <c r="J441" i="38"/>
  <c r="K441" i="38" s="1"/>
  <c r="J431" i="38"/>
  <c r="K431" i="38" s="1"/>
  <c r="J412" i="38"/>
  <c r="N426" i="38"/>
  <c r="N429" i="38"/>
  <c r="AD30" i="38"/>
  <c r="AD31" i="38"/>
  <c r="AD29" i="38"/>
  <c r="AC30" i="38"/>
  <c r="AC29" i="38"/>
  <c r="AD28" i="38"/>
  <c r="AD32" i="38"/>
  <c r="N430" i="38"/>
  <c r="AC32" i="38"/>
  <c r="AC28" i="38"/>
  <c r="N427" i="38"/>
  <c r="AC31" i="38"/>
  <c r="N428" i="38"/>
  <c r="AP23" i="38"/>
  <c r="AP32" i="38"/>
  <c r="AP20" i="38"/>
  <c r="D124" i="35"/>
  <c r="AP30" i="38"/>
  <c r="AP46" i="38"/>
  <c r="AP42" i="38"/>
  <c r="AP45" i="38"/>
  <c r="AP22" i="38"/>
  <c r="AP36" i="38"/>
  <c r="AP12" i="38"/>
  <c r="AP31" i="38"/>
  <c r="AP21" i="38"/>
  <c r="AP43" i="38"/>
  <c r="S257" i="2"/>
  <c r="F443" i="2" a="1"/>
  <c r="F443" i="2" s="1"/>
  <c r="G443" i="2" s="1"/>
  <c r="AP27" i="38"/>
  <c r="AP29" i="38"/>
  <c r="S267" i="2"/>
  <c r="AP13" i="38"/>
  <c r="AP10" i="38"/>
  <c r="AP38" i="38"/>
  <c r="AP44" i="38"/>
  <c r="AP18" i="38"/>
  <c r="AP19" i="38"/>
  <c r="AP25" i="38"/>
  <c r="F355" i="2" a="1"/>
  <c r="F355" i="2" s="1"/>
  <c r="G355" i="2" s="1"/>
  <c r="S265" i="2"/>
  <c r="AP35" i="38"/>
  <c r="AP33" i="38"/>
  <c r="K410" i="38"/>
  <c r="K425" i="38"/>
  <c r="K409" i="38"/>
  <c r="K420" i="38"/>
  <c r="K424" i="38"/>
  <c r="K407" i="38"/>
  <c r="AP14" i="38"/>
  <c r="AP37" i="38"/>
  <c r="AP9" i="38"/>
  <c r="AP15" i="38"/>
  <c r="AP26" i="38"/>
  <c r="AP17" i="38"/>
  <c r="AP24" i="38"/>
  <c r="AP16" i="38"/>
  <c r="AP41" i="38"/>
  <c r="AP28" i="38"/>
  <c r="AP11" i="38"/>
  <c r="AP40" i="38"/>
  <c r="U138" i="35"/>
  <c r="U139" i="35"/>
  <c r="U142" i="35"/>
  <c r="U151" i="35"/>
  <c r="U143" i="35"/>
  <c r="U145" i="35"/>
  <c r="U148" i="35"/>
  <c r="U147" i="35"/>
  <c r="U149" i="35"/>
  <c r="U153" i="35"/>
  <c r="U137" i="35"/>
  <c r="U154" i="35"/>
  <c r="U150" i="35"/>
  <c r="U141" i="35"/>
  <c r="U146" i="35"/>
  <c r="U140" i="35"/>
  <c r="U144" i="35"/>
  <c r="U152" i="35"/>
  <c r="AP39" i="38"/>
  <c r="AP34" i="38"/>
  <c r="AD19" i="38"/>
  <c r="N421" i="38"/>
  <c r="AC22" i="38"/>
  <c r="N425" i="38"/>
  <c r="N420" i="38"/>
  <c r="AD27" i="38"/>
  <c r="AC23" i="38"/>
  <c r="AC25" i="38"/>
  <c r="AD22" i="38"/>
  <c r="AD25" i="38"/>
  <c r="N423" i="38"/>
  <c r="AC24" i="38"/>
  <c r="N424" i="38"/>
  <c r="AC26" i="38"/>
  <c r="AC27" i="38"/>
  <c r="N422" i="38"/>
  <c r="AD24" i="38"/>
  <c r="AD26" i="38"/>
  <c r="AD23" i="38"/>
  <c r="Q277" i="2"/>
  <c r="F807" i="2" a="1"/>
  <c r="F807" i="2" s="1"/>
  <c r="G807" i="2" s="1"/>
  <c r="S252" i="2"/>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R277" i="2"/>
  <c r="F761" i="2" a="1"/>
  <c r="F761" i="2" s="1"/>
  <c r="G761" i="2" s="1"/>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388" i="2" a="1"/>
  <c r="F388" i="2" s="1"/>
  <c r="G388" i="2" s="1"/>
  <c r="T252" i="2"/>
  <c r="F389" i="2" s="1" a="1"/>
  <c r="F389" i="2" s="1"/>
  <c r="G389" i="2" s="1"/>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463" i="2" a="1"/>
  <c r="F463" i="2" s="1"/>
  <c r="G463" i="2" s="1"/>
  <c r="T257" i="2"/>
  <c r="F464" i="2" s="1" a="1"/>
  <c r="F464" i="2" s="1"/>
  <c r="G464" i="2" s="1"/>
  <c r="F357" i="2" a="1"/>
  <c r="F357" i="2" s="1"/>
  <c r="G357" i="2" s="1"/>
  <c r="S250" i="2"/>
  <c r="F688" i="2" a="1"/>
  <c r="F688" i="2" s="1"/>
  <c r="G688" i="2" s="1"/>
  <c r="F476" i="2" a="1"/>
  <c r="F476" i="2" s="1"/>
  <c r="G476" i="2" s="1"/>
  <c r="R258" i="2"/>
  <c r="AL53" i="38" l="1"/>
  <c r="AL35" i="38"/>
  <c r="AL56" i="38"/>
  <c r="AL55" i="38"/>
  <c r="AL47" i="38"/>
  <c r="AL54" i="38"/>
  <c r="AL36" i="38"/>
  <c r="AL13" i="38"/>
  <c r="AL33" i="38"/>
  <c r="AL14" i="38"/>
  <c r="AL24" i="38"/>
  <c r="AL37" i="38"/>
  <c r="AL34" i="38"/>
  <c r="AL21" i="38"/>
  <c r="AL39" i="38"/>
  <c r="AL25" i="38"/>
  <c r="AL10" i="38"/>
  <c r="AL26" i="38"/>
  <c r="AL52" i="38"/>
  <c r="AL28" i="38"/>
  <c r="AL19" i="38"/>
  <c r="AL43" i="38"/>
  <c r="AL17" i="38"/>
  <c r="AL50" i="38"/>
  <c r="AL40" i="38"/>
  <c r="AL15" i="38"/>
  <c r="AL41" i="38"/>
  <c r="AL20" i="38"/>
  <c r="AL22" i="38"/>
  <c r="AL9" i="38"/>
  <c r="AL30" i="38"/>
  <c r="AL12" i="38"/>
  <c r="AL23" i="38"/>
  <c r="AL27" i="38"/>
  <c r="AL46" i="38"/>
  <c r="Q138" i="35"/>
  <c r="Q124" i="35"/>
  <c r="Q125" i="35"/>
  <c r="Q149" i="35"/>
  <c r="Q146" i="35"/>
  <c r="Q131" i="35"/>
  <c r="Q137" i="35"/>
  <c r="Q143" i="35"/>
  <c r="Q145" i="35"/>
  <c r="Q148" i="35"/>
  <c r="Q154" i="35"/>
  <c r="Q129" i="35"/>
  <c r="Q144" i="35"/>
  <c r="Q133" i="35"/>
  <c r="Q132" i="35"/>
  <c r="Q123" i="35"/>
  <c r="Q130" i="35"/>
  <c r="Q142" i="35"/>
  <c r="Q147" i="35"/>
  <c r="Q139" i="35"/>
  <c r="Q151" i="35"/>
  <c r="Q127" i="35"/>
  <c r="Q152" i="35"/>
  <c r="Q141" i="35"/>
  <c r="Q134" i="35"/>
  <c r="Q150" i="35"/>
  <c r="Q126" i="35"/>
  <c r="Q128" i="35"/>
  <c r="Q135" i="35"/>
  <c r="Q140" i="35"/>
  <c r="Q153" i="35"/>
  <c r="Q136" i="35"/>
  <c r="AL11" i="38"/>
  <c r="AL38" i="38"/>
  <c r="AL29" i="38"/>
  <c r="AL32" i="38"/>
  <c r="AL45" i="38"/>
  <c r="AL44" i="38"/>
  <c r="AL31" i="38"/>
  <c r="AL16" i="38"/>
  <c r="AL49" i="38"/>
  <c r="AL48" i="38"/>
  <c r="AL18" i="38"/>
  <c r="AL42" i="38"/>
  <c r="AL51" i="38"/>
  <c r="D104" i="35"/>
  <c r="D129" i="35"/>
  <c r="D111" i="35"/>
  <c r="D143" i="35"/>
  <c r="D142" i="35"/>
  <c r="D110" i="35"/>
  <c r="D114" i="35"/>
  <c r="D146" i="35"/>
  <c r="D141" i="35"/>
  <c r="D100" i="35"/>
  <c r="D153" i="35"/>
  <c r="D105" i="35"/>
  <c r="D113" i="35"/>
  <c r="D150" i="35"/>
  <c r="D112" i="35"/>
  <c r="D109" i="35"/>
  <c r="D133" i="35"/>
  <c r="K411" i="38"/>
  <c r="D147" i="35"/>
  <c r="D131" i="35"/>
  <c r="D130" i="35"/>
  <c r="D152" i="35"/>
  <c r="D134" i="35"/>
  <c r="D103" i="35"/>
  <c r="D136" i="35"/>
  <c r="D145" i="35"/>
  <c r="D121" i="35"/>
  <c r="K408" i="38"/>
  <c r="D108" i="35"/>
  <c r="D128" i="35"/>
  <c r="D107" i="35"/>
  <c r="D106" i="35"/>
  <c r="D132" i="35"/>
  <c r="D122" i="35"/>
  <c r="D123" i="35"/>
  <c r="D117" i="35"/>
  <c r="D126" i="35"/>
  <c r="D102" i="35"/>
  <c r="D101" i="35"/>
  <c r="D139" i="35"/>
  <c r="D138" i="35"/>
  <c r="D135" i="35"/>
  <c r="D140" i="35"/>
  <c r="K405" i="38"/>
  <c r="D127" i="35"/>
  <c r="D148" i="35"/>
  <c r="D144" i="35"/>
  <c r="D137" i="35"/>
  <c r="D125" i="35"/>
  <c r="D115" i="35"/>
  <c r="K412" i="38"/>
  <c r="D120" i="35"/>
  <c r="D119" i="35"/>
  <c r="D116" i="35"/>
  <c r="D151" i="35"/>
  <c r="D118" i="35"/>
  <c r="D149" i="35"/>
  <c r="AE32" i="38"/>
  <c r="AE28" i="38"/>
  <c r="AE29" i="38"/>
  <c r="AE30" i="38"/>
  <c r="AE31" i="38"/>
  <c r="AE19" i="38"/>
  <c r="I132" i="35"/>
  <c r="AE24" i="38"/>
  <c r="AE25" i="38"/>
  <c r="T272" i="2"/>
  <c r="F689" i="2" s="1" a="1"/>
  <c r="F689" i="2" s="1"/>
  <c r="G689" i="2" s="1"/>
  <c r="AE23" i="38"/>
  <c r="AE27" i="38"/>
  <c r="AE26" i="38"/>
  <c r="AE22" i="38"/>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I140" i="35"/>
  <c r="Q279" i="2"/>
  <c r="I152" i="35"/>
  <c r="I118" i="35"/>
  <c r="I130" i="35"/>
  <c r="I122" i="35"/>
  <c r="I138"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D99" i="35" l="1"/>
  <c r="H101" i="38" s="1"/>
  <c r="K403" i="38"/>
  <c r="R264" i="2"/>
  <c r="S264" i="2" s="1"/>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T269" i="2"/>
  <c r="F644" i="2" s="1" a="1"/>
  <c r="F644" i="2" s="1"/>
  <c r="G644"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F732" i="2" l="1"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l="1"/>
  <c r="C12" i="15" s="1"/>
  <c r="L12" i="15" s="1" a="1"/>
  <c r="L12" i="15" s="1"/>
  <c r="N12" i="15" s="1"/>
  <c r="C28" i="15"/>
  <c r="C44" i="15"/>
  <c r="C17" i="15"/>
  <c r="C57" i="15"/>
  <c r="C43" i="15"/>
  <c r="C40" i="15"/>
  <c r="C51" i="15"/>
  <c r="C49" i="15"/>
  <c r="C63" i="15"/>
  <c r="C39" i="15"/>
  <c r="C31" i="15"/>
  <c r="C23" i="15"/>
  <c r="C52" i="15"/>
  <c r="C27" i="15"/>
  <c r="C55" i="15"/>
  <c r="C24" i="15"/>
  <c r="C58" i="15"/>
  <c r="C59" i="15"/>
  <c r="C42" i="15"/>
  <c r="L42" i="15" s="1" a="1"/>
  <c r="L42" i="15" s="1"/>
  <c r="C48" i="15"/>
  <c r="C34" i="15"/>
  <c r="C35" i="15"/>
  <c r="C14" i="15"/>
  <c r="C283" i="13" s="1" a="1"/>
  <c r="C41" i="15"/>
  <c r="C65" i="15"/>
  <c r="C21" i="15"/>
  <c r="C54" i="15"/>
  <c r="C64" i="15"/>
  <c r="C45" i="15"/>
  <c r="C29" i="15"/>
  <c r="C25" i="15"/>
  <c r="C61" i="15"/>
  <c r="C15" i="15"/>
  <c r="C50" i="15"/>
  <c r="C26" i="15"/>
  <c r="C37" i="15"/>
  <c r="C19" i="15"/>
  <c r="C13" i="15"/>
  <c r="C16" i="15"/>
  <c r="C18" i="15"/>
  <c r="C46" i="15"/>
  <c r="C56" i="15"/>
  <c r="L56" i="15" s="1" a="1"/>
  <c r="L56" i="15" s="1"/>
  <c r="C38" i="15"/>
  <c r="C62" i="15"/>
  <c r="C22" i="15"/>
  <c r="C20" i="15"/>
  <c r="C60" i="15"/>
  <c r="C47" i="15"/>
  <c r="C32" i="15"/>
  <c r="C53" i="15"/>
  <c r="C36" i="15"/>
  <c r="C33" i="15"/>
  <c r="C30" i="15"/>
  <c r="C67" i="15"/>
  <c r="C66" i="15"/>
  <c r="J12" i="15"/>
  <c r="E12" i="15" s="1"/>
  <c r="L25" i="15" l="1" a="1"/>
  <c r="L25" i="15" s="1"/>
  <c r="L29" i="15" a="1"/>
  <c r="L29" i="15" s="1"/>
  <c r="L45" i="15" a="1"/>
  <c r="L45" i="15" s="1"/>
  <c r="J54" i="15"/>
  <c r="L54" i="15" a="1"/>
  <c r="L54" i="15" s="1"/>
  <c r="L41" i="15" a="1"/>
  <c r="L41" i="15" s="1"/>
  <c r="J35" i="15"/>
  <c r="L35" i="15" a="1"/>
  <c r="L35" i="15" s="1"/>
  <c r="L34" i="15" a="1"/>
  <c r="L34" i="15" s="1"/>
  <c r="L48" i="15" a="1"/>
  <c r="L48" i="15" s="1"/>
  <c r="N42" i="15"/>
  <c r="M42" i="15"/>
  <c r="L59" i="15" a="1"/>
  <c r="L59" i="15" s="1"/>
  <c r="J58" i="15"/>
  <c r="L58" i="15" a="1"/>
  <c r="L58" i="15" s="1"/>
  <c r="J24" i="15"/>
  <c r="L24" i="15" a="1"/>
  <c r="L24" i="15" s="1"/>
  <c r="J60" i="15"/>
  <c r="L60" i="15" a="1"/>
  <c r="L60" i="15" s="1"/>
  <c r="J56" i="15"/>
  <c r="L55" i="15" a="1"/>
  <c r="L55" i="15" s="1"/>
  <c r="J55" i="15"/>
  <c r="L27" i="15" a="1"/>
  <c r="L27" i="15" s="1"/>
  <c r="J32" i="15"/>
  <c r="L32" i="15" a="1"/>
  <c r="L32" i="15" s="1"/>
  <c r="L47" i="15" a="1"/>
  <c r="L47" i="15" s="1"/>
  <c r="L22" i="15" a="1"/>
  <c r="L22" i="15" s="1"/>
  <c r="J22" i="15"/>
  <c r="L52" i="15" a="1"/>
  <c r="L52" i="15" s="1"/>
  <c r="L33" i="15" a="1"/>
  <c r="L33" i="15" s="1"/>
  <c r="L20" i="15" a="1"/>
  <c r="L20" i="15" s="1"/>
  <c r="J20" i="15"/>
  <c r="L62" i="15" a="1"/>
  <c r="L62" i="15" s="1"/>
  <c r="L23" i="15" a="1"/>
  <c r="L23" i="15" s="1"/>
  <c r="J23" i="15"/>
  <c r="J30" i="15"/>
  <c r="J31" i="15" s="1"/>
  <c r="L30" i="15" a="1"/>
  <c r="L30" i="15" s="1"/>
  <c r="L38" i="15" a="1"/>
  <c r="L38" i="15" s="1"/>
  <c r="L31" i="15" a="1"/>
  <c r="L31" i="15" s="1"/>
  <c r="J36" i="15"/>
  <c r="L36" i="15" a="1"/>
  <c r="L36" i="15" s="1"/>
  <c r="M56" i="15"/>
  <c r="N56" i="15"/>
  <c r="J39" i="15"/>
  <c r="J40" i="15" s="1"/>
  <c r="L39" i="15" a="1"/>
  <c r="L39" i="15" s="1"/>
  <c r="L67" i="15" a="1"/>
  <c r="L67" i="15" s="1"/>
  <c r="L46" i="15" a="1"/>
  <c r="L46" i="15" s="1"/>
  <c r="L63" i="15" a="1"/>
  <c r="L63" i="15" s="1"/>
  <c r="L64" i="15" a="1"/>
  <c r="L64" i="15" s="1"/>
  <c r="AC494" i="1" a="1"/>
  <c r="AC494" i="1" s="1"/>
  <c r="AI494" i="1" s="1"/>
  <c r="J142" i="13" s="1" a="1"/>
  <c r="J142" i="13" s="1"/>
  <c r="B142" i="13" s="1" a="1"/>
  <c r="B142" i="13" s="1"/>
  <c r="L18" i="15" a="1"/>
  <c r="L18" i="15" s="1"/>
  <c r="J18" i="15"/>
  <c r="L49" i="15" a="1"/>
  <c r="L49" i="15" s="1"/>
  <c r="L21" i="15" a="1"/>
  <c r="L21" i="15" s="1"/>
  <c r="J21" i="15"/>
  <c r="J13" i="15"/>
  <c r="L13" i="15" a="1"/>
  <c r="L13" i="15" s="1"/>
  <c r="L40" i="15" a="1"/>
  <c r="L40" i="15" s="1"/>
  <c r="L65" i="15" a="1"/>
  <c r="L65" i="15" s="1"/>
  <c r="L66" i="15" a="1"/>
  <c r="L66" i="15" s="1"/>
  <c r="J16" i="15"/>
  <c r="L16" i="15" a="1"/>
  <c r="L16" i="15" s="1"/>
  <c r="L19" i="15" a="1"/>
  <c r="L19" i="15" s="1"/>
  <c r="J19" i="15"/>
  <c r="L43" i="15" a="1"/>
  <c r="L43" i="15" s="1"/>
  <c r="L51" i="15" a="1"/>
  <c r="L51" i="15" s="1"/>
  <c r="J37" i="15"/>
  <c r="J38" i="15" s="1"/>
  <c r="L37" i="15" a="1"/>
  <c r="L37" i="15" s="1"/>
  <c r="L57" i="15" a="1"/>
  <c r="L57" i="15" s="1"/>
  <c r="L14" i="15" a="1"/>
  <c r="L14" i="15" s="1"/>
  <c r="J14" i="15"/>
  <c r="L17" i="15" a="1"/>
  <c r="L17" i="15" s="1"/>
  <c r="L53" i="15" a="1"/>
  <c r="L53" i="15" s="1"/>
  <c r="J26" i="15"/>
  <c r="J27" i="15" s="1"/>
  <c r="L26" i="15" a="1"/>
  <c r="L26" i="15" s="1"/>
  <c r="L50" i="15" a="1"/>
  <c r="L50" i="15" s="1"/>
  <c r="L44" i="15" a="1"/>
  <c r="L44" i="15" s="1"/>
  <c r="C479" i="1" a="1"/>
  <c r="C479" i="1" s="1"/>
  <c r="L15" i="15" a="1"/>
  <c r="L15" i="15" s="1"/>
  <c r="J28" i="15"/>
  <c r="L28" i="15" a="1"/>
  <c r="L28" i="15" s="1"/>
  <c r="L61" i="15" a="1"/>
  <c r="L61" i="15" s="1"/>
  <c r="C283" i="13"/>
  <c r="AA653" i="1"/>
  <c r="M12" i="15"/>
  <c r="F12" i="15"/>
  <c r="D12" i="15"/>
  <c r="G12" i="15"/>
  <c r="J139" i="13" l="1" a="1"/>
  <c r="J139" i="13" s="1"/>
  <c r="B139" i="13" s="1" a="1"/>
  <c r="B139" i="13" s="1"/>
  <c r="J138" i="13" a="1"/>
  <c r="J138" i="13" s="1"/>
  <c r="B138" i="13" s="1" a="1"/>
  <c r="B138" i="13" s="1"/>
  <c r="J148" i="13" a="1"/>
  <c r="J148" i="13" s="1"/>
  <c r="B148" i="13" s="1" a="1"/>
  <c r="B148" i="13" s="1"/>
  <c r="AH452" i="1" a="1"/>
  <c r="AH452" i="1" s="1"/>
  <c r="J145" i="13" a="1"/>
  <c r="J145" i="13" s="1"/>
  <c r="B145" i="13" s="1" a="1"/>
  <c r="B145" i="13" s="1"/>
  <c r="J140" i="13" a="1"/>
  <c r="J140" i="13" s="1"/>
  <c r="B140" i="13" s="1" a="1"/>
  <c r="B140" i="13" s="1"/>
  <c r="J147" i="13" a="1"/>
  <c r="J147" i="13" s="1"/>
  <c r="B147" i="13" s="1" a="1"/>
  <c r="B147" i="13" s="1"/>
  <c r="F31" i="15"/>
  <c r="H31" i="15" s="1"/>
  <c r="D31" i="15"/>
  <c r="E31" i="15"/>
  <c r="F40" i="15"/>
  <c r="H40" i="15" s="1"/>
  <c r="E40" i="15"/>
  <c r="D40" i="15"/>
  <c r="J41" i="15"/>
  <c r="E38" i="15"/>
  <c r="F38" i="15"/>
  <c r="H38" i="15" s="1"/>
  <c r="D38" i="15"/>
  <c r="E32" i="15"/>
  <c r="D32" i="15"/>
  <c r="F32" i="15"/>
  <c r="H32" i="15" s="1"/>
  <c r="N27" i="15"/>
  <c r="M27" i="15"/>
  <c r="M57" i="15"/>
  <c r="N57" i="15"/>
  <c r="N46" i="15"/>
  <c r="M46" i="15"/>
  <c r="F27" i="15"/>
  <c r="H27" i="15" s="1"/>
  <c r="E27" i="15"/>
  <c r="D27" i="15"/>
  <c r="F55" i="15"/>
  <c r="H55" i="15" s="1"/>
  <c r="E55" i="15"/>
  <c r="D55" i="15"/>
  <c r="M55" i="15"/>
  <c r="N55" i="15"/>
  <c r="F56" i="15"/>
  <c r="H56" i="15" s="1"/>
  <c r="D56" i="15"/>
  <c r="E56" i="15"/>
  <c r="M60" i="15"/>
  <c r="N60" i="15"/>
  <c r="D60" i="15"/>
  <c r="E60" i="15"/>
  <c r="F60" i="15"/>
  <c r="H60" i="15" s="1"/>
  <c r="M24" i="15"/>
  <c r="N24" i="15"/>
  <c r="N36" i="15"/>
  <c r="M36" i="15"/>
  <c r="F24" i="15"/>
  <c r="H24" i="15" s="1"/>
  <c r="E24" i="15"/>
  <c r="D24" i="15"/>
  <c r="M58" i="15"/>
  <c r="N58" i="15"/>
  <c r="M19" i="15"/>
  <c r="N19" i="15"/>
  <c r="E58" i="15"/>
  <c r="D58" i="15"/>
  <c r="F58" i="15"/>
  <c r="H58" i="15" s="1"/>
  <c r="J57" i="15"/>
  <c r="N31" i="15"/>
  <c r="M31" i="15"/>
  <c r="J59" i="15"/>
  <c r="M38" i="15"/>
  <c r="N38" i="15"/>
  <c r="M59" i="15"/>
  <c r="N59" i="15"/>
  <c r="M30" i="15"/>
  <c r="N30" i="15"/>
  <c r="F14" i="15"/>
  <c r="H14" i="15" s="1"/>
  <c r="D14" i="15"/>
  <c r="E14" i="15"/>
  <c r="N67" i="15"/>
  <c r="N65" i="15"/>
  <c r="D23" i="15"/>
  <c r="E23" i="15"/>
  <c r="F23" i="15"/>
  <c r="H23" i="15" s="1"/>
  <c r="N48" i="15"/>
  <c r="M48" i="15"/>
  <c r="D36" i="15"/>
  <c r="E36" i="15"/>
  <c r="F36" i="15"/>
  <c r="H36" i="15" s="1"/>
  <c r="N66" i="15"/>
  <c r="D28" i="15"/>
  <c r="F28" i="15"/>
  <c r="H28" i="15" s="1"/>
  <c r="E28" i="15"/>
  <c r="M40" i="15"/>
  <c r="N40" i="15"/>
  <c r="N23" i="15"/>
  <c r="M23" i="15"/>
  <c r="N34" i="15"/>
  <c r="N39" i="15"/>
  <c r="M39" i="15"/>
  <c r="N28" i="15"/>
  <c r="M28" i="15"/>
  <c r="J15" i="15"/>
  <c r="N62" i="15"/>
  <c r="D16" i="15"/>
  <c r="F16" i="15"/>
  <c r="H16" i="15" s="1"/>
  <c r="E16" i="15"/>
  <c r="N15" i="15"/>
  <c r="N13" i="15"/>
  <c r="M13" i="15"/>
  <c r="AE6" i="14" a="1"/>
  <c r="AE6" i="14" s="1"/>
  <c r="BF77" i="40"/>
  <c r="BI77" i="40" s="1"/>
  <c r="AU21" i="40"/>
  <c r="AX21" i="40" s="1"/>
  <c r="AU58" i="40"/>
  <c r="AX58" i="40" s="1"/>
  <c r="AP58" i="40" s="1" a="1"/>
  <c r="AP58" i="40" s="1"/>
  <c r="AU57" i="40"/>
  <c r="AU37" i="40"/>
  <c r="AX37" i="40" s="1"/>
  <c r="AU35" i="40"/>
  <c r="AX35" i="40" s="1"/>
  <c r="AU12" i="40"/>
  <c r="AX12" i="40" s="1"/>
  <c r="AU38" i="40"/>
  <c r="AX38" i="40" s="1"/>
  <c r="AU41" i="40"/>
  <c r="AX41" i="40" s="1"/>
  <c r="BF78" i="40"/>
  <c r="BI78" i="40" s="1"/>
  <c r="AU42" i="40"/>
  <c r="AX42" i="40" s="1"/>
  <c r="X10" i="40"/>
  <c r="AA10" i="40" s="1"/>
  <c r="E145" i="38" s="1" a="1"/>
  <c r="E145" i="38" s="1"/>
  <c r="AU43" i="40"/>
  <c r="AX43" i="40" s="1"/>
  <c r="AG12" i="40"/>
  <c r="M192" i="35" s="1"/>
  <c r="N192" i="35" s="1"/>
  <c r="AG19" i="40"/>
  <c r="M180" i="35" s="1"/>
  <c r="N180" i="35" s="1"/>
  <c r="AU27" i="40"/>
  <c r="AX27" i="40" s="1"/>
  <c r="AU28" i="40"/>
  <c r="AX28" i="40" s="1"/>
  <c r="AU13" i="40"/>
  <c r="AX13" i="40" s="1"/>
  <c r="AU29" i="40"/>
  <c r="AX29" i="40" s="1"/>
  <c r="AU20" i="40"/>
  <c r="AU24" i="40"/>
  <c r="AX24" i="40" s="1"/>
  <c r="AG14" i="40"/>
  <c r="M204" i="35" s="1"/>
  <c r="N204" i="35" s="1"/>
  <c r="AG17" i="40"/>
  <c r="M179" i="35" s="1"/>
  <c r="N179" i="35" s="1"/>
  <c r="AG18" i="40"/>
  <c r="M186" i="35" s="1"/>
  <c r="N186" i="35" s="1"/>
  <c r="AU44" i="40"/>
  <c r="AX44" i="40" s="1"/>
  <c r="AU23" i="40"/>
  <c r="AX23" i="40" s="1"/>
  <c r="AU46" i="40"/>
  <c r="AX46" i="40" s="1"/>
  <c r="AU40" i="40"/>
  <c r="AX40" i="40" s="1"/>
  <c r="AU45" i="40"/>
  <c r="AX45" i="40" s="1"/>
  <c r="AU22" i="40"/>
  <c r="AX22" i="40" s="1"/>
  <c r="J211" i="35"/>
  <c r="G211" i="35" s="1" a="1"/>
  <c r="G211" i="35" s="1"/>
  <c r="AG20" i="40"/>
  <c r="M187" i="35" s="1"/>
  <c r="N187" i="35" s="1"/>
  <c r="AU15" i="40"/>
  <c r="AX15" i="40" s="1"/>
  <c r="AU39" i="40"/>
  <c r="AX39" i="40" s="1"/>
  <c r="AG15" i="40"/>
  <c r="M203" i="35" s="1"/>
  <c r="N203" i="35" s="1"/>
  <c r="AG9" i="40"/>
  <c r="M173" i="35" s="1"/>
  <c r="M35" i="15"/>
  <c r="N35" i="15"/>
  <c r="N43" i="15"/>
  <c r="M43" i="15"/>
  <c r="F13" i="15"/>
  <c r="H13" i="15" s="1"/>
  <c r="D13" i="15"/>
  <c r="E13" i="15"/>
  <c r="F20" i="15"/>
  <c r="H20" i="15" s="1"/>
  <c r="E20" i="15"/>
  <c r="D20" i="15"/>
  <c r="D35" i="15"/>
  <c r="E35" i="15"/>
  <c r="F35" i="15"/>
  <c r="H35" i="15" s="1"/>
  <c r="N14" i="15"/>
  <c r="M14" i="15"/>
  <c r="M37" i="15"/>
  <c r="N37" i="15"/>
  <c r="F37" i="15"/>
  <c r="H37" i="15" s="1"/>
  <c r="E37" i="15"/>
  <c r="D37" i="15"/>
  <c r="N16" i="15"/>
  <c r="M16" i="15"/>
  <c r="F21" i="15"/>
  <c r="H21" i="15" s="1"/>
  <c r="D21" i="15"/>
  <c r="E21" i="15"/>
  <c r="M20" i="15"/>
  <c r="N20" i="15"/>
  <c r="E30" i="15"/>
  <c r="F30" i="15"/>
  <c r="H30" i="15" s="1"/>
  <c r="D30" i="15"/>
  <c r="J150" i="13" a="1"/>
  <c r="J150" i="13" s="1"/>
  <c r="B150" i="13" s="1" a="1"/>
  <c r="B150" i="13" s="1"/>
  <c r="M44" i="15"/>
  <c r="N44" i="15"/>
  <c r="M21" i="15"/>
  <c r="N21" i="15"/>
  <c r="N33" i="15"/>
  <c r="N41" i="15"/>
  <c r="M41" i="15"/>
  <c r="N61" i="15"/>
  <c r="J33" i="15"/>
  <c r="M33" i="15" s="1"/>
  <c r="N54" i="15"/>
  <c r="M54" i="15"/>
  <c r="J143" i="13" a="1"/>
  <c r="J143" i="13" s="1"/>
  <c r="B143" i="13" s="1" a="1"/>
  <c r="B143" i="13" s="1"/>
  <c r="J144" i="13" a="1"/>
  <c r="J144" i="13" s="1"/>
  <c r="B144" i="13" s="1" a="1"/>
  <c r="B144" i="13" s="1"/>
  <c r="J146" i="13" a="1"/>
  <c r="J146" i="13" s="1"/>
  <c r="B146" i="13" s="1" a="1"/>
  <c r="B146" i="13" s="1"/>
  <c r="N50" i="15"/>
  <c r="M50" i="15"/>
  <c r="M49" i="15"/>
  <c r="N49" i="15"/>
  <c r="F54" i="15"/>
  <c r="H54" i="15" s="1"/>
  <c r="E54" i="15"/>
  <c r="D54" i="15"/>
  <c r="N26" i="15"/>
  <c r="M26" i="15"/>
  <c r="F18" i="15"/>
  <c r="H18" i="15" s="1"/>
  <c r="E18" i="15"/>
  <c r="D18" i="15"/>
  <c r="N52" i="15"/>
  <c r="M52" i="15"/>
  <c r="F26" i="15"/>
  <c r="H26" i="15" s="1"/>
  <c r="E26" i="15"/>
  <c r="D26" i="15"/>
  <c r="N18" i="15"/>
  <c r="M18" i="15"/>
  <c r="D22" i="15"/>
  <c r="F22" i="15"/>
  <c r="H22" i="15" s="1"/>
  <c r="E22" i="15"/>
  <c r="N45" i="15"/>
  <c r="M45" i="15"/>
  <c r="F19" i="15"/>
  <c r="H19" i="15" s="1"/>
  <c r="D19" i="15"/>
  <c r="E19" i="15"/>
  <c r="M22" i="15"/>
  <c r="N22" i="15"/>
  <c r="N29" i="15"/>
  <c r="D39" i="15"/>
  <c r="F39" i="15"/>
  <c r="H39" i="15" s="1"/>
  <c r="E39" i="15"/>
  <c r="J149" i="13" a="1"/>
  <c r="J149" i="13" s="1"/>
  <c r="B149" i="13" s="1" a="1"/>
  <c r="B149" i="13" s="1"/>
  <c r="N53" i="15"/>
  <c r="M53" i="15"/>
  <c r="J29" i="15"/>
  <c r="M29" i="15" s="1"/>
  <c r="N51" i="15"/>
  <c r="M51" i="15"/>
  <c r="N64" i="15"/>
  <c r="N47" i="15"/>
  <c r="M47" i="15"/>
  <c r="M25" i="15"/>
  <c r="N25" i="15"/>
  <c r="J61" i="15"/>
  <c r="M61" i="15" s="1"/>
  <c r="J151" i="13" a="1"/>
  <c r="J151" i="13" s="1"/>
  <c r="B151" i="13" s="1" a="1"/>
  <c r="B151" i="13" s="1"/>
  <c r="J141" i="13" a="1"/>
  <c r="J141" i="13" s="1"/>
  <c r="B141" i="13" s="1" a="1"/>
  <c r="B141" i="13" s="1"/>
  <c r="J153" i="13" a="1"/>
  <c r="J153" i="13" s="1"/>
  <c r="B153" i="13" s="1" a="1"/>
  <c r="B153" i="13" s="1"/>
  <c r="N17" i="15"/>
  <c r="J152" i="13" a="1"/>
  <c r="J152" i="13" s="1"/>
  <c r="B152" i="13" s="1" a="1"/>
  <c r="B152" i="13" s="1"/>
  <c r="J17" i="15"/>
  <c r="M17" i="15" s="1"/>
  <c r="N63" i="15"/>
  <c r="M32" i="15"/>
  <c r="N32" i="15"/>
  <c r="J25" i="15"/>
  <c r="BP83" i="40"/>
  <c r="BP85" i="40" s="1"/>
  <c r="I12" i="15" a="1"/>
  <c r="I12" i="15" s="1"/>
  <c r="H12" i="15"/>
  <c r="BS81" i="40"/>
  <c r="G16" i="15" l="1"/>
  <c r="K16" i="15" a="1"/>
  <c r="K16" i="15" s="1"/>
  <c r="I16" i="15" a="1"/>
  <c r="I16" i="15" s="1"/>
  <c r="I14" i="15" a="1"/>
  <c r="I14" i="15" s="1"/>
  <c r="G14" i="15"/>
  <c r="K14" i="15" a="1"/>
  <c r="K14" i="15" s="1"/>
  <c r="G56" i="15"/>
  <c r="I56" i="15" a="1"/>
  <c r="I56" i="15" s="1"/>
  <c r="K56" i="15" a="1"/>
  <c r="K56" i="15" s="1"/>
  <c r="K35" i="15" a="1"/>
  <c r="K35" i="15" s="1"/>
  <c r="G35" i="15"/>
  <c r="I35" i="15" a="1"/>
  <c r="I35" i="15" s="1"/>
  <c r="AX20" i="40"/>
  <c r="F15" i="15"/>
  <c r="D15" i="15"/>
  <c r="E15" i="15"/>
  <c r="K19" i="15" a="1"/>
  <c r="K19" i="15" s="1"/>
  <c r="I19" i="15" a="1"/>
  <c r="I19" i="15" s="1"/>
  <c r="G19" i="15"/>
  <c r="D33" i="15"/>
  <c r="E33" i="15"/>
  <c r="F33" i="15"/>
  <c r="H33" i="15" s="1"/>
  <c r="J34" i="15"/>
  <c r="E25" i="15"/>
  <c r="D25" i="15"/>
  <c r="F25" i="15"/>
  <c r="H25" i="15" s="1"/>
  <c r="I20" i="15" a="1"/>
  <c r="I20" i="15" s="1"/>
  <c r="K20" i="15" a="1"/>
  <c r="K20" i="15" s="1"/>
  <c r="G20" i="15"/>
  <c r="K55" i="15" a="1"/>
  <c r="K55" i="15" s="1"/>
  <c r="G55" i="15"/>
  <c r="I55" i="15" a="1"/>
  <c r="I55" i="15" s="1"/>
  <c r="G13" i="15"/>
  <c r="I13" i="15" a="1"/>
  <c r="I13" i="15" s="1"/>
  <c r="K13" i="15" a="1"/>
  <c r="K13" i="15" s="1"/>
  <c r="E17" i="15"/>
  <c r="D17" i="15"/>
  <c r="F17" i="15"/>
  <c r="H17" i="15" s="1"/>
  <c r="K17" i="15" s="1" a="1"/>
  <c r="K17" i="15" s="1"/>
  <c r="E59" i="15"/>
  <c r="D59" i="15"/>
  <c r="F59" i="15"/>
  <c r="H59" i="15" s="1"/>
  <c r="K27" i="15" a="1"/>
  <c r="K27" i="15" s="1"/>
  <c r="G27" i="15"/>
  <c r="I27" i="15" a="1"/>
  <c r="I27" i="15" s="1"/>
  <c r="E57" i="15"/>
  <c r="F57" i="15"/>
  <c r="H57" i="15" s="1"/>
  <c r="K57" i="15" s="1" a="1"/>
  <c r="K57" i="15" s="1"/>
  <c r="D57" i="15"/>
  <c r="AG10" i="40"/>
  <c r="M178" i="35" s="1"/>
  <c r="N178" i="35" s="1"/>
  <c r="I28" i="15" a="1"/>
  <c r="I28" i="15" s="1"/>
  <c r="G28" i="15"/>
  <c r="K28" i="15" a="1"/>
  <c r="K28" i="15" s="1"/>
  <c r="G58" i="15"/>
  <c r="K58" i="15" a="1"/>
  <c r="K58" i="15" s="1"/>
  <c r="I58" i="15" a="1"/>
  <c r="I58" i="15" s="1"/>
  <c r="AU25" i="40"/>
  <c r="AX25" i="40" s="1"/>
  <c r="AG11" i="40"/>
  <c r="M185" i="35" s="1"/>
  <c r="N185" i="35" s="1"/>
  <c r="I22" i="15" a="1"/>
  <c r="I22" i="15" s="1"/>
  <c r="G22" i="15"/>
  <c r="G26" i="15"/>
  <c r="I26" i="15" a="1"/>
  <c r="I26" i="15" s="1"/>
  <c r="K26" i="15" a="1"/>
  <c r="K26" i="15" s="1"/>
  <c r="G30" i="15"/>
  <c r="K30" i="15" s="1" a="1"/>
  <c r="K30" i="15" s="1"/>
  <c r="I30" i="15" a="1"/>
  <c r="I30" i="15" s="1"/>
  <c r="K12" i="15" a="1"/>
  <c r="K12" i="15" s="1"/>
  <c r="AU14" i="40"/>
  <c r="AX14" i="40" s="1"/>
  <c r="G32" i="15"/>
  <c r="K32" i="15" s="1" a="1"/>
  <c r="K32" i="15" s="1"/>
  <c r="I32" i="15" a="1"/>
  <c r="I32" i="15" s="1"/>
  <c r="D61" i="15"/>
  <c r="F61" i="15"/>
  <c r="H61" i="15" s="1"/>
  <c r="E61" i="15"/>
  <c r="J62" i="15"/>
  <c r="G18" i="15"/>
  <c r="I18" i="15" a="1"/>
  <c r="I18" i="15" s="1"/>
  <c r="K18" i="15" a="1"/>
  <c r="K18" i="15" s="1"/>
  <c r="AR62" i="40"/>
  <c r="P240" i="35" s="1" a="1"/>
  <c r="P240" i="35" s="1"/>
  <c r="AX57" i="40"/>
  <c r="I36" i="15" a="1"/>
  <c r="I36" i="15" s="1"/>
  <c r="K36" i="15" a="1"/>
  <c r="K36" i="15" s="1"/>
  <c r="G36" i="15"/>
  <c r="K24" i="15" a="1"/>
  <c r="K24" i="15" s="1"/>
  <c r="I24" i="15" a="1"/>
  <c r="I24" i="15" s="1"/>
  <c r="G24" i="15"/>
  <c r="G21" i="15"/>
  <c r="I21" i="15" a="1"/>
  <c r="I21" i="15" s="1"/>
  <c r="K21" i="15" a="1"/>
  <c r="K21" i="15" s="1"/>
  <c r="AU11" i="40"/>
  <c r="AX11" i="40" s="1"/>
  <c r="G38" i="15"/>
  <c r="K38" i="15" a="1"/>
  <c r="K38" i="15" s="1"/>
  <c r="I38" i="15" a="1"/>
  <c r="I38" i="15" s="1"/>
  <c r="J42" i="15"/>
  <c r="F41" i="15"/>
  <c r="H41" i="15" s="1"/>
  <c r="E41" i="15"/>
  <c r="D41" i="15"/>
  <c r="AU34" i="40"/>
  <c r="AX34" i="40" s="1"/>
  <c r="D29" i="15"/>
  <c r="F29" i="15"/>
  <c r="E29" i="15"/>
  <c r="I23" i="15" a="1"/>
  <c r="I23" i="15" s="1"/>
  <c r="K23" i="15" a="1"/>
  <c r="K23" i="15" s="1"/>
  <c r="G23" i="15"/>
  <c r="I40" i="15" a="1"/>
  <c r="I40" i="15" s="1"/>
  <c r="K40" i="15" a="1"/>
  <c r="K40" i="15" s="1"/>
  <c r="G40" i="15"/>
  <c r="G54" i="15"/>
  <c r="I54" i="15" a="1"/>
  <c r="I54" i="15" s="1"/>
  <c r="K54" i="15" a="1"/>
  <c r="K54" i="15" s="1"/>
  <c r="G37" i="15"/>
  <c r="I37" i="15" a="1"/>
  <c r="I37" i="15" s="1"/>
  <c r="K37" i="15" a="1"/>
  <c r="K37" i="15" s="1"/>
  <c r="G31" i="15"/>
  <c r="K31" i="15" a="1"/>
  <c r="K31" i="15" s="1"/>
  <c r="I31" i="15" a="1"/>
  <c r="I31" i="15" s="1"/>
  <c r="M15" i="15"/>
  <c r="G60" i="15"/>
  <c r="K60" i="15" a="1"/>
  <c r="K60" i="15" s="1"/>
  <c r="I60" i="15" a="1"/>
  <c r="I60" i="15" s="1"/>
  <c r="G39" i="15"/>
  <c r="K39" i="15" a="1"/>
  <c r="K39" i="15" s="1"/>
  <c r="I39" i="15" a="1"/>
  <c r="I39" i="15" s="1"/>
  <c r="I123" i="14" a="1"/>
  <c r="G25" i="15" l="1"/>
  <c r="K25" i="15" a="1"/>
  <c r="K25" i="15" s="1"/>
  <c r="I25" i="15" a="1"/>
  <c r="I25" i="15" s="1"/>
  <c r="D34" i="15"/>
  <c r="F34" i="15"/>
  <c r="E34" i="15"/>
  <c r="M34" i="15"/>
  <c r="G29" i="15"/>
  <c r="I29" i="15" a="1"/>
  <c r="I29" i="15" s="1"/>
  <c r="H29" i="15"/>
  <c r="K29" i="15" s="1" a="1"/>
  <c r="K29" i="15" s="1"/>
  <c r="AU10" i="40"/>
  <c r="AX10" i="40" s="1"/>
  <c r="G33" i="15"/>
  <c r="I33" i="15" a="1"/>
  <c r="I33" i="15" s="1"/>
  <c r="K33" i="15" a="1"/>
  <c r="K33" i="15" s="1"/>
  <c r="G57" i="15"/>
  <c r="I57" i="15" a="1"/>
  <c r="I57" i="15" s="1"/>
  <c r="G15" i="15"/>
  <c r="I15" i="15" a="1"/>
  <c r="I15" i="15" s="1"/>
  <c r="K41" i="15" a="1"/>
  <c r="K41" i="15" s="1"/>
  <c r="I41" i="15" a="1"/>
  <c r="I41" i="15" s="1"/>
  <c r="G41" i="15"/>
  <c r="H15" i="15"/>
  <c r="K15" i="15" s="1" a="1"/>
  <c r="K15" i="15" s="1"/>
  <c r="G59" i="15"/>
  <c r="K59" i="15" a="1"/>
  <c r="K59" i="15" s="1"/>
  <c r="I59" i="15" a="1"/>
  <c r="I59" i="15" s="1"/>
  <c r="AP57" i="40" a="1"/>
  <c r="AP57" i="40" s="1"/>
  <c r="C139" i="38" a="1"/>
  <c r="C139" i="38" s="1"/>
  <c r="K22" i="15" a="1"/>
  <c r="K22" i="15" s="1"/>
  <c r="AU36" i="40"/>
  <c r="G17" i="15"/>
  <c r="I17" i="15" a="1"/>
  <c r="I17" i="15" s="1"/>
  <c r="E42" i="15"/>
  <c r="D42" i="15"/>
  <c r="F42" i="15"/>
  <c r="H42" i="15" s="1"/>
  <c r="J43" i="15"/>
  <c r="E62" i="15"/>
  <c r="D62" i="15"/>
  <c r="F62" i="15"/>
  <c r="H62" i="15" s="1"/>
  <c r="J63" i="15"/>
  <c r="M62" i="15"/>
  <c r="G61" i="15"/>
  <c r="K61" i="15" a="1"/>
  <c r="K61" i="15" s="1"/>
  <c r="I61" i="15" a="1"/>
  <c r="I61" i="15" s="1"/>
  <c r="I123" i="14"/>
  <c r="O123" i="14" s="1"/>
  <c r="O124" i="14"/>
  <c r="I226" i="35"/>
  <c r="J226" i="35" s="1"/>
  <c r="D43" i="15" l="1"/>
  <c r="E43" i="15"/>
  <c r="F43" i="15"/>
  <c r="H43" i="15" s="1"/>
  <c r="J44" i="15"/>
  <c r="G42" i="15"/>
  <c r="I42" i="15" a="1"/>
  <c r="I42" i="15" s="1"/>
  <c r="K42" i="15" a="1"/>
  <c r="K42" i="15" s="1"/>
  <c r="AU26" i="40"/>
  <c r="I34" i="15" a="1"/>
  <c r="I34" i="15" s="1"/>
  <c r="G34" i="15"/>
  <c r="H34" i="15"/>
  <c r="G62" i="15"/>
  <c r="K62" i="15" a="1"/>
  <c r="K62" i="15" s="1"/>
  <c r="I62" i="15" a="1"/>
  <c r="I62" i="15" s="1"/>
  <c r="AU9" i="40"/>
  <c r="AX36" i="40"/>
  <c r="AU47" i="40"/>
  <c r="E63" i="15"/>
  <c r="F63" i="15"/>
  <c r="H63" i="15" s="1"/>
  <c r="D63" i="15"/>
  <c r="J64" i="15"/>
  <c r="M63" i="15"/>
  <c r="N106" i="14" a="1"/>
  <c r="N106" i="14" s="1"/>
  <c r="H11" i="14" s="1" a="1"/>
  <c r="H11" i="14" s="1"/>
  <c r="N112" i="14" a="1"/>
  <c r="N112" i="14" s="1"/>
  <c r="H17" i="14" s="1" a="1"/>
  <c r="H17" i="14" s="1"/>
  <c r="N119" i="14" a="1"/>
  <c r="N119" i="14" s="1"/>
  <c r="H24" i="14" s="1" a="1"/>
  <c r="H24" i="14" s="1"/>
  <c r="N116" i="14" a="1"/>
  <c r="N116" i="14" s="1"/>
  <c r="H21" i="14" s="1" a="1"/>
  <c r="H21" i="14" s="1"/>
  <c r="N103" i="14" a="1"/>
  <c r="N103" i="14" s="1"/>
  <c r="H8" i="14" s="1" a="1"/>
  <c r="H8" i="14" s="1"/>
  <c r="N113" i="14" a="1"/>
  <c r="N113" i="14" s="1"/>
  <c r="H18" i="14" s="1" a="1"/>
  <c r="H18" i="14" s="1"/>
  <c r="N109" i="14" a="1"/>
  <c r="N109" i="14" s="1"/>
  <c r="H14" i="14" s="1" a="1"/>
  <c r="H14" i="14" s="1"/>
  <c r="N117" i="14" a="1"/>
  <c r="N117" i="14" s="1"/>
  <c r="H22" i="14" s="1" a="1"/>
  <c r="H22" i="14" s="1"/>
  <c r="N111" i="14" a="1"/>
  <c r="N111" i="14" s="1"/>
  <c r="H16" i="14" s="1" a="1"/>
  <c r="H16" i="14" s="1"/>
  <c r="N107" i="14" a="1"/>
  <c r="N107" i="14" s="1"/>
  <c r="H12" i="14" s="1" a="1"/>
  <c r="H12" i="14" s="1"/>
  <c r="N114" i="14" a="1"/>
  <c r="N114" i="14" s="1"/>
  <c r="H19" i="14" s="1" a="1"/>
  <c r="H19" i="14" s="1"/>
  <c r="N102" i="14" a="1"/>
  <c r="N102" i="14" s="1"/>
  <c r="H7" i="14" s="1" a="1"/>
  <c r="H7" i="14" s="1"/>
  <c r="N104" i="14" a="1"/>
  <c r="N104" i="14" s="1"/>
  <c r="H9" i="14" s="1" a="1"/>
  <c r="H9" i="14" s="1"/>
  <c r="N110" i="14" a="1"/>
  <c r="N110" i="14" s="1"/>
  <c r="H15" i="14" s="1" a="1"/>
  <c r="H15" i="14" s="1"/>
  <c r="N118" i="14" a="1"/>
  <c r="N118" i="14" s="1"/>
  <c r="H23" i="14" s="1" a="1"/>
  <c r="H23" i="14" s="1"/>
  <c r="N108" i="14" a="1"/>
  <c r="N108" i="14" s="1"/>
  <c r="H13" i="14" s="1" a="1"/>
  <c r="H13" i="14" s="1"/>
  <c r="N101" i="14" a="1"/>
  <c r="N101" i="14" s="1"/>
  <c r="H6" i="14" s="1" a="1"/>
  <c r="H6" i="14" s="1"/>
  <c r="N115" i="14" a="1"/>
  <c r="N115" i="14" s="1"/>
  <c r="H20" i="14" s="1" a="1"/>
  <c r="H20" i="14" s="1"/>
  <c r="N120" i="14" a="1"/>
  <c r="N120" i="14" s="1"/>
  <c r="H25" i="14" s="1" a="1"/>
  <c r="H25" i="14" s="1"/>
  <c r="N105" i="14" a="1"/>
  <c r="N105" i="14" s="1"/>
  <c r="H10" i="14" s="1" a="1"/>
  <c r="H10" i="14" s="1"/>
  <c r="G270" i="35" a="1"/>
  <c r="G270" i="35" s="1"/>
  <c r="G279" i="35" a="1"/>
  <c r="G279" i="35" s="1"/>
  <c r="G271" i="35" a="1"/>
  <c r="G271" i="35" s="1"/>
  <c r="G289" i="35" a="1"/>
  <c r="G289" i="35" s="1"/>
  <c r="G281" i="35" a="1"/>
  <c r="G281" i="35" s="1"/>
  <c r="G280" i="35" a="1"/>
  <c r="G280" i="35" s="1"/>
  <c r="AX26" i="40" l="1"/>
  <c r="AU30" i="40"/>
  <c r="F44" i="15"/>
  <c r="D44" i="15"/>
  <c r="E44" i="15"/>
  <c r="J45" i="15"/>
  <c r="G43" i="15"/>
  <c r="I43" i="15" a="1"/>
  <c r="I43" i="15" s="1"/>
  <c r="K43" i="15" a="1"/>
  <c r="K43" i="15" s="1"/>
  <c r="AR9" i="40"/>
  <c r="AX9" i="40"/>
  <c r="AU16" i="40"/>
  <c r="E64" i="15"/>
  <c r="F64" i="15"/>
  <c r="H64" i="15" s="1"/>
  <c r="D64" i="15"/>
  <c r="J65" i="15"/>
  <c r="M64" i="15"/>
  <c r="G63" i="15"/>
  <c r="I63" i="15" a="1"/>
  <c r="I63" i="15" s="1"/>
  <c r="K63" i="15" a="1"/>
  <c r="K63" i="15" s="1"/>
  <c r="E129" i="38" a="1"/>
  <c r="E129" i="38" s="1"/>
  <c r="P200" i="35" a="1"/>
  <c r="K34" i="15" a="1"/>
  <c r="K34" i="15" s="1"/>
  <c r="AS9" i="40" l="1"/>
  <c r="AP9" i="40" s="1" a="1"/>
  <c r="AP9" i="40" s="1"/>
  <c r="AS11" i="40"/>
  <c r="AP11" i="40" s="1" a="1"/>
  <c r="AP11" i="40" s="1"/>
  <c r="AS10" i="40"/>
  <c r="AS14" i="40"/>
  <c r="AP14" i="40" s="1" a="1"/>
  <c r="AP14" i="40" s="1"/>
  <c r="AU51" i="40"/>
  <c r="AU53" i="40" s="1"/>
  <c r="AX53" i="40" s="1"/>
  <c r="F45" i="15"/>
  <c r="D45" i="15"/>
  <c r="E45" i="15"/>
  <c r="J46" i="15"/>
  <c r="G44" i="15"/>
  <c r="I44" i="15" a="1"/>
  <c r="I44" i="15" s="1"/>
  <c r="C129" i="38" a="1"/>
  <c r="C129" i="38" s="1"/>
  <c r="P160" i="35" a="1"/>
  <c r="D65" i="15"/>
  <c r="E65" i="15"/>
  <c r="F65" i="15"/>
  <c r="H65" i="15" s="1"/>
  <c r="J66" i="15"/>
  <c r="M65" i="15"/>
  <c r="H44" i="15"/>
  <c r="Q314" i="35"/>
  <c r="O365" i="35" s="1" a="1"/>
  <c r="O365" i="35" s="1"/>
  <c r="P200" i="35"/>
  <c r="O351" i="35" s="1" a="1"/>
  <c r="O351" i="35" s="1"/>
  <c r="G64" i="15"/>
  <c r="K64" i="15" a="1"/>
  <c r="K64" i="15" s="1"/>
  <c r="I64" i="15" a="1"/>
  <c r="I64" i="15" s="1"/>
  <c r="D129" i="38" a="1"/>
  <c r="D129" i="38" s="1"/>
  <c r="P180" i="35" a="1"/>
  <c r="AX51" i="40" l="1"/>
  <c r="P220" i="35" s="1" a="1"/>
  <c r="P220" i="35" s="1"/>
  <c r="O367" i="35" s="1" a="1"/>
  <c r="O367" i="35" s="1"/>
  <c r="E115" i="38" a="1"/>
  <c r="E66" i="15"/>
  <c r="F66" i="15"/>
  <c r="H66" i="15" s="1"/>
  <c r="K66" i="15" s="1" a="1"/>
  <c r="K66" i="15" s="1"/>
  <c r="D66" i="15"/>
  <c r="J67" i="15"/>
  <c r="M66" i="15"/>
  <c r="G65" i="15"/>
  <c r="I65" i="15" a="1"/>
  <c r="I65" i="15" s="1"/>
  <c r="K65" i="15" a="1"/>
  <c r="K65" i="15" s="1"/>
  <c r="K44" i="15" a="1"/>
  <c r="K44" i="15" s="1"/>
  <c r="E46" i="15"/>
  <c r="D46" i="15"/>
  <c r="F46" i="15"/>
  <c r="J47" i="15"/>
  <c r="Q313" i="35"/>
  <c r="O349" i="35" s="1" a="1"/>
  <c r="O349" i="35" s="1"/>
  <c r="P180" i="35"/>
  <c r="O337" i="35" s="1" a="1"/>
  <c r="O337" i="35" s="1"/>
  <c r="G45" i="15"/>
  <c r="I45" i="15" a="1"/>
  <c r="I45" i="15" s="1"/>
  <c r="H45" i="15"/>
  <c r="K45" i="15" s="1" a="1"/>
  <c r="K45" i="15" s="1"/>
  <c r="P160" i="35"/>
  <c r="Q312" i="35"/>
  <c r="O335" i="35" s="1" a="1"/>
  <c r="O335" i="35" s="1"/>
  <c r="E115" i="38" l="1"/>
  <c r="O317" i="35" a="1"/>
  <c r="O317" i="35" s="1"/>
  <c r="O7" i="35" s="1" a="1"/>
  <c r="P107" i="35" s="1"/>
  <c r="Q107" i="35" s="1"/>
  <c r="E47" i="15"/>
  <c r="F47" i="15"/>
  <c r="D47" i="15"/>
  <c r="J48" i="15"/>
  <c r="H46" i="15"/>
  <c r="G46" i="15"/>
  <c r="I46" i="15" a="1"/>
  <c r="I46" i="15" s="1"/>
  <c r="K46" i="15" a="1"/>
  <c r="K46" i="15" s="1"/>
  <c r="D67" i="15"/>
  <c r="E67" i="15"/>
  <c r="F67" i="15"/>
  <c r="M67" i="15"/>
  <c r="G66" i="15"/>
  <c r="I66" i="15" a="1"/>
  <c r="I66" i="15" s="1"/>
  <c r="AU25" i="38" a="1"/>
  <c r="AU25" i="38" l="1"/>
  <c r="P117" i="35"/>
  <c r="Q117" i="35" s="1"/>
  <c r="P106" i="35"/>
  <c r="Q106" i="35" s="1"/>
  <c r="P119" i="35"/>
  <c r="Q119" i="35" s="1"/>
  <c r="P118" i="35"/>
  <c r="Q118" i="35" s="1"/>
  <c r="P105" i="35"/>
  <c r="Q105" i="35" s="1"/>
  <c r="P102" i="35"/>
  <c r="Q102" i="35" s="1"/>
  <c r="P103" i="35"/>
  <c r="Q103" i="35" s="1"/>
  <c r="P120" i="35"/>
  <c r="Q120" i="35" s="1"/>
  <c r="P113" i="35"/>
  <c r="Q113" i="35" s="1"/>
  <c r="P101" i="35"/>
  <c r="Q101" i="35" s="1"/>
  <c r="P111" i="35"/>
  <c r="Q111" i="35" s="1"/>
  <c r="P100" i="35"/>
  <c r="Q100" i="35" s="1"/>
  <c r="P108" i="35"/>
  <c r="Q108" i="35" s="1"/>
  <c r="O7" i="35"/>
  <c r="P121" i="35"/>
  <c r="Q121" i="35" s="1"/>
  <c r="P109" i="35"/>
  <c r="Q109" i="35" s="1"/>
  <c r="P114" i="35"/>
  <c r="Q114" i="35" s="1"/>
  <c r="P112" i="35"/>
  <c r="Q112" i="35" s="1"/>
  <c r="P104" i="35"/>
  <c r="Q104" i="35" s="1"/>
  <c r="P110" i="35"/>
  <c r="Q110" i="35" s="1"/>
  <c r="P115" i="35"/>
  <c r="Q115" i="35" s="1"/>
  <c r="P116" i="35"/>
  <c r="Q116" i="35" s="1"/>
  <c r="P122" i="35"/>
  <c r="Q122" i="35" s="1"/>
  <c r="F48" i="15"/>
  <c r="D48" i="15"/>
  <c r="E48" i="15"/>
  <c r="J49" i="15"/>
  <c r="H47" i="15"/>
  <c r="G47" i="15"/>
  <c r="I47" i="15" a="1"/>
  <c r="I47" i="15" s="1"/>
  <c r="K47" i="15" a="1"/>
  <c r="K47" i="15" s="1"/>
  <c r="H67" i="15"/>
  <c r="G67" i="15"/>
  <c r="K67" i="15" a="1"/>
  <c r="K67" i="15" s="1"/>
  <c r="I67" i="15" a="1"/>
  <c r="I67" i="15" s="1"/>
  <c r="Q99" i="35" l="1"/>
  <c r="E49" i="15"/>
  <c r="D49" i="15"/>
  <c r="F49" i="15"/>
  <c r="J50" i="15"/>
  <c r="I48" i="15" a="1"/>
  <c r="I48" i="15" s="1"/>
  <c r="G48" i="15"/>
  <c r="H48" i="15"/>
  <c r="K48" i="15" s="1" a="1"/>
  <c r="K48" i="15" s="1"/>
  <c r="H49" i="15" l="1"/>
  <c r="F50" i="15"/>
  <c r="E50" i="15"/>
  <c r="D50" i="15"/>
  <c r="J51" i="15"/>
  <c r="G49" i="15"/>
  <c r="I49" i="15" a="1"/>
  <c r="I49" i="15" s="1"/>
  <c r="K49" i="15" a="1"/>
  <c r="K49" i="15" s="1"/>
  <c r="I50" i="15" l="1" a="1"/>
  <c r="I50" i="15" s="1"/>
  <c r="G50" i="15"/>
  <c r="H50" i="15"/>
  <c r="K50" i="15" s="1" a="1"/>
  <c r="K50" i="15" s="1"/>
  <c r="E51" i="15"/>
  <c r="D51" i="15"/>
  <c r="F51" i="15"/>
  <c r="H51" i="15" s="1"/>
  <c r="J52" i="15"/>
  <c r="K51" i="15" l="1" a="1"/>
  <c r="K51" i="15" s="1"/>
  <c r="I51" i="15" a="1"/>
  <c r="I51" i="15" s="1"/>
  <c r="G51" i="15"/>
  <c r="D52" i="15"/>
  <c r="F52" i="15"/>
  <c r="E52" i="15"/>
  <c r="J53" i="15"/>
  <c r="E53" i="15" l="1"/>
  <c r="F53" i="15"/>
  <c r="D53" i="15"/>
  <c r="BF21" i="40"/>
  <c r="BI21" i="40" s="1"/>
  <c r="BF90" i="40"/>
  <c r="BI90" i="40" s="1"/>
  <c r="M46" i="40"/>
  <c r="M23" i="40"/>
  <c r="P23" i="40" s="1"/>
  <c r="M29" i="40"/>
  <c r="P29" i="40" s="1"/>
  <c r="BQ47" i="40"/>
  <c r="BT47" i="40" s="1"/>
  <c r="H52" i="15"/>
  <c r="K52" i="15" s="1" a="1"/>
  <c r="K52" i="15" s="1"/>
  <c r="BF11" i="40"/>
  <c r="M39" i="40"/>
  <c r="P39" i="40" s="1"/>
  <c r="M14" i="40"/>
  <c r="P14" i="40" s="1"/>
  <c r="M41" i="40"/>
  <c r="P41" i="40" s="1"/>
  <c r="BF17" i="40"/>
  <c r="BI17" i="40" s="1"/>
  <c r="BF49" i="40"/>
  <c r="BI49" i="40" s="1"/>
  <c r="BF20" i="40"/>
  <c r="BI20" i="40" s="1"/>
  <c r="BF42" i="40"/>
  <c r="M26" i="40"/>
  <c r="P26" i="40" s="1"/>
  <c r="BF92" i="40"/>
  <c r="BI92" i="40" s="1"/>
  <c r="BQ10" i="40"/>
  <c r="BF13" i="40"/>
  <c r="BI13" i="40" s="1"/>
  <c r="M11" i="40"/>
  <c r="P11" i="40" s="1"/>
  <c r="BF65" i="40"/>
  <c r="BQ81" i="40"/>
  <c r="BT81" i="40" s="1"/>
  <c r="BQ78" i="40"/>
  <c r="BT78" i="40" s="1"/>
  <c r="BF86" i="40"/>
  <c r="BI86" i="40" s="1"/>
  <c r="BF46" i="40"/>
  <c r="BI46" i="40" s="1"/>
  <c r="G52" i="15"/>
  <c r="I52" i="15" a="1"/>
  <c r="I52" i="15" s="1"/>
  <c r="M31" i="40"/>
  <c r="P31" i="40" s="1"/>
  <c r="BQ24" i="40"/>
  <c r="BQ50" i="40"/>
  <c r="BT50" i="40" s="1"/>
  <c r="BF22" i="40"/>
  <c r="BI22" i="40" s="1"/>
  <c r="M48" i="40"/>
  <c r="P48" i="40" s="1"/>
  <c r="BF91" i="40"/>
  <c r="BI91" i="40" s="1"/>
  <c r="BF24" i="40"/>
  <c r="BI24" i="40" s="1"/>
  <c r="BQ76" i="40"/>
  <c r="BQ43" i="40"/>
  <c r="BT43" i="40" s="1"/>
  <c r="BQ19" i="40"/>
  <c r="BT19" i="40" s="1"/>
  <c r="BQ49" i="40"/>
  <c r="BT49" i="40" s="1"/>
  <c r="BQ41" i="40"/>
  <c r="BT41" i="40" s="1"/>
  <c r="BF93" i="40"/>
  <c r="BI93" i="40" s="1"/>
  <c r="BF94" i="40"/>
  <c r="BI94" i="40" s="1"/>
  <c r="BF39" i="40"/>
  <c r="BQ66" i="40"/>
  <c r="BT66" i="40" s="1"/>
  <c r="BF23" i="40"/>
  <c r="BI23" i="40" s="1"/>
  <c r="BF87" i="40"/>
  <c r="BI87" i="40" s="1"/>
  <c r="M47" i="40"/>
  <c r="P47" i="40" s="1"/>
  <c r="BF40" i="40"/>
  <c r="J189" i="35"/>
  <c r="BQ45" i="40"/>
  <c r="BT45" i="40" s="1"/>
  <c r="M27" i="40"/>
  <c r="P27" i="40" s="1"/>
  <c r="BQ67" i="40"/>
  <c r="BT67" i="40" s="1"/>
  <c r="BF30" i="40"/>
  <c r="BI30" i="40" s="1"/>
  <c r="BQ27" i="40" l="1"/>
  <c r="BT27" i="40" s="1"/>
  <c r="BF113" i="40"/>
  <c r="BI113" i="40" s="1"/>
  <c r="BI65" i="40"/>
  <c r="BT10" i="40"/>
  <c r="BF101" i="40"/>
  <c r="BI101" i="40" s="1"/>
  <c r="BI42" i="40"/>
  <c r="BI11" i="40"/>
  <c r="BT76" i="40"/>
  <c r="P46" i="40"/>
  <c r="J190" i="35"/>
  <c r="L207" i="38"/>
  <c r="J160" i="35"/>
  <c r="J170" i="35"/>
  <c r="L159" i="38"/>
  <c r="J200" i="35"/>
  <c r="L195" i="38"/>
  <c r="BF99" i="40"/>
  <c r="BI99" i="40" s="1"/>
  <c r="BI40" i="40"/>
  <c r="BT24" i="40"/>
  <c r="H53" i="15"/>
  <c r="H10" i="15" s="1"/>
  <c r="BF15" i="40"/>
  <c r="BI15" i="40" s="1"/>
  <c r="BF48" i="40"/>
  <c r="BI48" i="40" s="1"/>
  <c r="BF43" i="40"/>
  <c r="BF41" i="40"/>
  <c r="BF44" i="40"/>
  <c r="BF83" i="40"/>
  <c r="BI83" i="40" s="1"/>
  <c r="BF45" i="40"/>
  <c r="BF16" i="40"/>
  <c r="BI16" i="40" s="1"/>
  <c r="BF14" i="40"/>
  <c r="BI14" i="40" s="1"/>
  <c r="BF84" i="40"/>
  <c r="BI84" i="40" s="1"/>
  <c r="BF12" i="40"/>
  <c r="BI12" i="40" s="1"/>
  <c r="P280" i="35" s="1" a="1"/>
  <c r="P280" i="35" s="1"/>
  <c r="BF89" i="40"/>
  <c r="BI89" i="40" s="1"/>
  <c r="BF50" i="40"/>
  <c r="BI50" i="40" s="1"/>
  <c r="BF31" i="40"/>
  <c r="BI31" i="40" s="1"/>
  <c r="M10" i="40"/>
  <c r="BF82" i="40"/>
  <c r="M38" i="40"/>
  <c r="P38" i="40" s="1"/>
  <c r="M36" i="40"/>
  <c r="M12" i="40"/>
  <c r="P12" i="40" s="1"/>
  <c r="BF47" i="40"/>
  <c r="BI47" i="40" s="1"/>
  <c r="BF85" i="40"/>
  <c r="BI85" i="40" s="1"/>
  <c r="M13" i="40"/>
  <c r="P13" i="40" s="1"/>
  <c r="M40" i="40"/>
  <c r="P40" i="40" s="1"/>
  <c r="BF32" i="40"/>
  <c r="BI32" i="40" s="1"/>
  <c r="G53" i="15"/>
  <c r="G10" i="15" s="1"/>
  <c r="I53" i="15" a="1"/>
  <c r="I53" i="15" s="1"/>
  <c r="BQ30" i="40"/>
  <c r="BT30" i="40" s="1"/>
  <c r="BF26" i="40"/>
  <c r="BI26" i="40" s="1"/>
  <c r="BQ16" i="40"/>
  <c r="BT16" i="40" s="1"/>
  <c r="M49" i="40"/>
  <c r="P49" i="40" s="1"/>
  <c r="M30" i="40"/>
  <c r="P30" i="40" s="1"/>
  <c r="BF62" i="40"/>
  <c r="BQ54" i="40"/>
  <c r="BT54" i="40" s="1"/>
  <c r="M20" i="40"/>
  <c r="P20" i="40" s="1"/>
  <c r="BQ55" i="40"/>
  <c r="BT55" i="40" s="1"/>
  <c r="BQ13" i="40"/>
  <c r="BT13" i="40" s="1"/>
  <c r="M22" i="40"/>
  <c r="P22" i="40" s="1"/>
  <c r="BQ15" i="40"/>
  <c r="BT15" i="40" s="1"/>
  <c r="BQ18" i="40"/>
  <c r="BT18" i="40" s="1"/>
  <c r="BQ52" i="40"/>
  <c r="BT52" i="40" s="1"/>
  <c r="BQ61" i="40"/>
  <c r="BQ51" i="40"/>
  <c r="BT51" i="40" s="1"/>
  <c r="M24" i="40"/>
  <c r="P24" i="40" s="1"/>
  <c r="BQ80" i="40"/>
  <c r="BT80" i="40" s="1"/>
  <c r="BF67" i="40"/>
  <c r="BQ26" i="40"/>
  <c r="BT26" i="40" s="1"/>
  <c r="BF70" i="40"/>
  <c r="BI70" i="40" s="1"/>
  <c r="BF57" i="40"/>
  <c r="BQ31" i="40"/>
  <c r="BT31" i="40" s="1"/>
  <c r="BQ14" i="40"/>
  <c r="BT14" i="40" s="1"/>
  <c r="M50" i="40"/>
  <c r="P50" i="40" s="1"/>
  <c r="BQ48" i="40"/>
  <c r="BT48" i="40" s="1"/>
  <c r="BQ17" i="40"/>
  <c r="BT17" i="40" s="1"/>
  <c r="BF72" i="40"/>
  <c r="BI72" i="40" s="1"/>
  <c r="BQ65" i="40"/>
  <c r="BT65" i="40" s="1"/>
  <c r="BQ11" i="40"/>
  <c r="BT11" i="40" s="1"/>
  <c r="M25" i="40"/>
  <c r="P25" i="40" s="1"/>
  <c r="BQ42" i="40"/>
  <c r="BT42" i="40" s="1"/>
  <c r="BF63" i="40"/>
  <c r="BQ68" i="40"/>
  <c r="BT68" i="40" s="1"/>
  <c r="BQ79" i="40"/>
  <c r="BT79" i="40" s="1"/>
  <c r="M51" i="40"/>
  <c r="P51" i="40" s="1"/>
  <c r="BQ12" i="40"/>
  <c r="BT12" i="40" s="1"/>
  <c r="M19" i="40"/>
  <c r="BQ56" i="40"/>
  <c r="BT56" i="40" s="1"/>
  <c r="BQ33" i="40"/>
  <c r="BT33" i="40" s="1"/>
  <c r="BQ46" i="40"/>
  <c r="BT46" i="40" s="1"/>
  <c r="BF59" i="40"/>
  <c r="M21" i="40"/>
  <c r="P21" i="40" s="1"/>
  <c r="BQ70" i="40"/>
  <c r="BT70" i="40" s="1"/>
  <c r="BF58" i="40"/>
  <c r="BQ28" i="40"/>
  <c r="BT28" i="40" s="1"/>
  <c r="BF69" i="40"/>
  <c r="M28" i="40"/>
  <c r="P28" i="40" s="1"/>
  <c r="BQ82" i="40"/>
  <c r="BT82" i="40" s="1"/>
  <c r="BQ40" i="40"/>
  <c r="BQ29" i="40"/>
  <c r="BT29" i="40" s="1"/>
  <c r="BQ69" i="40"/>
  <c r="BT69" i="40" s="1"/>
  <c r="BF71" i="40"/>
  <c r="BI71" i="40" s="1"/>
  <c r="BQ44" i="40"/>
  <c r="BT44" i="40" s="1"/>
  <c r="BQ25" i="40"/>
  <c r="BT25" i="40" s="1"/>
  <c r="BQ63" i="40"/>
  <c r="BT63" i="40" s="1"/>
  <c r="BF66" i="40"/>
  <c r="BF64" i="40"/>
  <c r="BQ62" i="40"/>
  <c r="BT62" i="40" s="1"/>
  <c r="BF68" i="40"/>
  <c r="BQ64" i="40"/>
  <c r="BT64" i="40" s="1"/>
  <c r="BQ32" i="40"/>
  <c r="BT32" i="40" s="1"/>
  <c r="BQ77" i="40"/>
  <c r="BT77" i="40" s="1"/>
  <c r="BF61" i="40"/>
  <c r="BF60" i="40"/>
  <c r="M37" i="40"/>
  <c r="P37" i="40" s="1"/>
  <c r="BF25" i="40"/>
  <c r="BI25" i="40" s="1"/>
  <c r="P270" i="35" s="1" a="1"/>
  <c r="P270" i="35" s="1"/>
  <c r="BF98" i="40"/>
  <c r="BI98" i="40" s="1"/>
  <c r="BI39" i="40"/>
  <c r="L171" i="38"/>
  <c r="BF88" i="40"/>
  <c r="BI88" i="40" s="1"/>
  <c r="BQ53" i="40"/>
  <c r="BT53" i="40" s="1"/>
  <c r="I10" i="15" l="1"/>
  <c r="P260" i="35" a="1"/>
  <c r="P260" i="35" s="1"/>
  <c r="P19" i="40"/>
  <c r="H170" i="35" s="1" a="1"/>
  <c r="M32" i="40"/>
  <c r="BF110" i="40"/>
  <c r="BI110" i="40" s="1"/>
  <c r="BI62" i="40"/>
  <c r="T170" i="35" a="1"/>
  <c r="BQ34" i="40"/>
  <c r="BF111" i="40"/>
  <c r="BI111" i="40" s="1"/>
  <c r="BI63" i="40"/>
  <c r="BF109" i="40"/>
  <c r="BI109" i="40" s="1"/>
  <c r="BI61" i="40"/>
  <c r="AD6" i="14" a="1"/>
  <c r="AD6" i="14" s="1"/>
  <c r="AC6" i="14" a="1"/>
  <c r="AC6" i="14" s="1"/>
  <c r="K53" i="15" a="1"/>
  <c r="K53" i="15" s="1"/>
  <c r="H200" i="35" a="1"/>
  <c r="H200" i="35" s="1"/>
  <c r="M52" i="40"/>
  <c r="BF102" i="40"/>
  <c r="BI102" i="40" s="1"/>
  <c r="BI43" i="40"/>
  <c r="M42" i="40"/>
  <c r="P36" i="40"/>
  <c r="H190" i="35" s="1" a="1"/>
  <c r="BF105" i="40"/>
  <c r="BI105" i="40" s="1"/>
  <c r="BI57" i="40"/>
  <c r="BQ83" i="40"/>
  <c r="BI82" i="40"/>
  <c r="F115" i="38" s="1" a="1"/>
  <c r="F115" i="38" s="1"/>
  <c r="T200" i="35" a="1"/>
  <c r="BF112" i="40"/>
  <c r="BI112" i="40" s="1"/>
  <c r="BI64" i="40"/>
  <c r="P10" i="40"/>
  <c r="H160" i="35" s="1" a="1"/>
  <c r="M15" i="40"/>
  <c r="M205" i="35" a="1"/>
  <c r="M205" i="35" s="1"/>
  <c r="M201" i="35" s="1"/>
  <c r="M222" i="35" s="1"/>
  <c r="M174" i="35" a="1"/>
  <c r="M174" i="35" s="1"/>
  <c r="M188" i="35" a="1"/>
  <c r="M188" i="35" s="1"/>
  <c r="M183" i="35" s="1"/>
  <c r="M219" i="35" s="1"/>
  <c r="M181" i="35" a="1"/>
  <c r="M181" i="35" s="1"/>
  <c r="M194" i="35" a="1"/>
  <c r="M194" i="35" s="1"/>
  <c r="M199" i="35" a="1"/>
  <c r="M199" i="35" s="1"/>
  <c r="BF114" i="40"/>
  <c r="BI114" i="40" s="1"/>
  <c r="BI66" i="40"/>
  <c r="BF116" i="40"/>
  <c r="BI116" i="40" s="1"/>
  <c r="BI68" i="40"/>
  <c r="BF108" i="40"/>
  <c r="BI108" i="40" s="1"/>
  <c r="BI60" i="40"/>
  <c r="BF117" i="40"/>
  <c r="BI117" i="40" s="1"/>
  <c r="BI69" i="40"/>
  <c r="BT61" i="40"/>
  <c r="T190" i="35" a="1"/>
  <c r="BQ71" i="40"/>
  <c r="BF115" i="40"/>
  <c r="BI115" i="40" s="1"/>
  <c r="BI67" i="40"/>
  <c r="BF106" i="40"/>
  <c r="BI106" i="40" s="1"/>
  <c r="BI58" i="40"/>
  <c r="T160" i="35" a="1"/>
  <c r="BF104" i="40"/>
  <c r="BI104" i="40" s="1"/>
  <c r="BI45" i="40"/>
  <c r="BQ20" i="40"/>
  <c r="BQ35" i="40" s="1"/>
  <c r="BF107" i="40"/>
  <c r="BI107" i="40" s="1"/>
  <c r="BI59" i="40"/>
  <c r="BF103" i="40"/>
  <c r="BI103" i="40" s="1"/>
  <c r="BI44" i="40"/>
  <c r="BT40" i="40"/>
  <c r="T180" i="35" a="1"/>
  <c r="BQ57" i="40"/>
  <c r="BF100" i="40"/>
  <c r="BI100" i="40" s="1"/>
  <c r="BI41" i="40"/>
  <c r="P300" i="35" l="1" a="1"/>
  <c r="P300" i="35" s="1"/>
  <c r="O401" i="35" a="1"/>
  <c r="O401" i="35" s="1"/>
  <c r="P290" i="35" a="1"/>
  <c r="P290" i="35" s="1"/>
  <c r="F125" i="38" a="1"/>
  <c r="F125" i="38" s="1"/>
  <c r="D137" i="38" s="1" a="1"/>
  <c r="D137" i="38" s="1"/>
  <c r="I225" i="35"/>
  <c r="J225" i="35" s="1"/>
  <c r="H190" i="35"/>
  <c r="T190" i="35"/>
  <c r="U216" i="35"/>
  <c r="V190" i="35"/>
  <c r="W190" i="35" s="1"/>
  <c r="AG6" i="14" a="1"/>
  <c r="AG6" i="14" s="1"/>
  <c r="H170" i="35"/>
  <c r="G247" i="35" s="1" a="1"/>
  <c r="G247" i="35" s="1"/>
  <c r="I224" i="35"/>
  <c r="G269" i="35" s="1" a="1"/>
  <c r="G269" i="35" s="1"/>
  <c r="V201" i="35"/>
  <c r="T200" i="35"/>
  <c r="S284" i="35" s="1" a="1"/>
  <c r="S284" i="35" s="1"/>
  <c r="U218" i="35"/>
  <c r="S290" i="35" s="1" a="1"/>
  <c r="S290" i="35" s="1"/>
  <c r="V200" i="35"/>
  <c r="W200" i="35" s="1"/>
  <c r="AY28" i="38"/>
  <c r="AY27" i="38"/>
  <c r="M176" i="35"/>
  <c r="M218" i="35" s="1"/>
  <c r="T170" i="35"/>
  <c r="V171" i="35"/>
  <c r="U213" i="35"/>
  <c r="S255" i="35" s="1" a="1"/>
  <c r="S255" i="35" s="1"/>
  <c r="V170" i="35"/>
  <c r="W170" i="35" s="1"/>
  <c r="S246" i="35" s="1" a="1"/>
  <c r="S246" i="35" s="1"/>
  <c r="H160" i="35"/>
  <c r="G236" i="35" s="1" a="1"/>
  <c r="G236" i="35" s="1"/>
  <c r="I223" i="35"/>
  <c r="G245" i="35" s="1" a="1"/>
  <c r="G245" i="35" s="1"/>
  <c r="M213" i="35"/>
  <c r="M171" i="35"/>
  <c r="M217" i="35" s="1"/>
  <c r="T160" i="35"/>
  <c r="V161" i="35"/>
  <c r="V162" i="35"/>
  <c r="V164" i="35"/>
  <c r="U212" i="35"/>
  <c r="U214" i="35" s="1"/>
  <c r="S256" i="35" s="1" a="1"/>
  <c r="S256" i="35" s="1"/>
  <c r="V163" i="35"/>
  <c r="V160" i="35"/>
  <c r="BQ72" i="40"/>
  <c r="BQ85" i="40" s="1"/>
  <c r="V181" i="35"/>
  <c r="V182" i="35"/>
  <c r="V180" i="35"/>
  <c r="T180" i="35"/>
  <c r="U215" i="35"/>
  <c r="U217" i="35" s="1"/>
  <c r="M54" i="40"/>
  <c r="AG13" i="40" l="1"/>
  <c r="X21" i="40"/>
  <c r="BF7" i="40"/>
  <c r="I220" i="35"/>
  <c r="G290" i="35" s="1" a="1"/>
  <c r="G290" i="35" s="1"/>
  <c r="G7" i="35" s="1" a="1"/>
  <c r="X22" i="40"/>
  <c r="U219" i="35"/>
  <c r="W180" i="35"/>
  <c r="S270" i="35" a="1"/>
  <c r="S270" i="35" s="1"/>
  <c r="S292" i="35" a="1"/>
  <c r="S292" i="35" s="1"/>
  <c r="W160" i="35"/>
  <c r="S236" i="35" s="1" a="1"/>
  <c r="S236" i="35" s="1"/>
  <c r="S260" i="35" l="1" a="1"/>
  <c r="S260" i="35" s="1"/>
  <c r="S280" i="35" a="1"/>
  <c r="S280" i="35" s="1"/>
  <c r="BF118" i="40"/>
  <c r="BF73" i="40"/>
  <c r="I221" i="35"/>
  <c r="X23" i="40"/>
  <c r="AG16" i="40" s="1"/>
  <c r="M198" i="35" s="1"/>
  <c r="H111" i="35"/>
  <c r="I111" i="35" s="1"/>
  <c r="H107" i="35"/>
  <c r="I107" i="35" s="1"/>
  <c r="H108" i="35"/>
  <c r="I108" i="35" s="1"/>
  <c r="G7" i="35"/>
  <c r="H106" i="35"/>
  <c r="I106" i="35" s="1"/>
  <c r="H104" i="35"/>
  <c r="I104" i="35" s="1"/>
  <c r="H109" i="35"/>
  <c r="I109" i="35" s="1"/>
  <c r="H103" i="35"/>
  <c r="I103" i="35" s="1"/>
  <c r="H113" i="35"/>
  <c r="I113" i="35" s="1"/>
  <c r="H101" i="35"/>
  <c r="I101" i="35" s="1"/>
  <c r="H100" i="35"/>
  <c r="I100" i="35" s="1"/>
  <c r="H112" i="35"/>
  <c r="I112" i="35" s="1"/>
  <c r="H105" i="35"/>
  <c r="I105" i="35" s="1"/>
  <c r="H115" i="35"/>
  <c r="I115" i="35" s="1"/>
  <c r="H102" i="35"/>
  <c r="I102" i="35" s="1"/>
  <c r="H114" i="35"/>
  <c r="I114" i="35" s="1"/>
  <c r="H110" i="35"/>
  <c r="I110" i="35" s="1"/>
  <c r="M193" i="35"/>
  <c r="S7" i="35" l="1" a="1"/>
  <c r="D115" i="38" a="1"/>
  <c r="D115" i="38" s="1"/>
  <c r="AG7" i="40"/>
  <c r="M190" i="35" a="1"/>
  <c r="M190" i="35" s="1"/>
  <c r="M220" i="35" s="1"/>
  <c r="N193" i="35"/>
  <c r="L230" i="35" a="1"/>
  <c r="L230" i="35" s="1"/>
  <c r="L245" i="35" s="1" a="1"/>
  <c r="L245" i="35" s="1"/>
  <c r="I99" i="35"/>
  <c r="H102" i="38" s="1"/>
  <c r="N198" i="35"/>
  <c r="M196" i="35"/>
  <c r="M221" i="35" s="1"/>
  <c r="T136" i="35"/>
  <c r="U136" i="35" s="1"/>
  <c r="T135" i="35"/>
  <c r="U135" i="35" s="1"/>
  <c r="T134" i="35"/>
  <c r="U134" i="35" s="1"/>
  <c r="T116" i="35"/>
  <c r="U116" i="35" s="1"/>
  <c r="T104" i="35"/>
  <c r="U104" i="35" s="1"/>
  <c r="T119" i="35"/>
  <c r="U119" i="35" s="1"/>
  <c r="T100" i="35"/>
  <c r="S7" i="35"/>
  <c r="T131" i="35"/>
  <c r="U131" i="35" s="1"/>
  <c r="T123" i="35"/>
  <c r="U123" i="35" s="1"/>
  <c r="T126" i="35"/>
  <c r="U126" i="35" s="1"/>
  <c r="T101" i="35"/>
  <c r="U101" i="35" s="1"/>
  <c r="T130" i="35"/>
  <c r="U130" i="35" s="1"/>
  <c r="T124" i="35"/>
  <c r="U124" i="35" s="1"/>
  <c r="T125" i="35"/>
  <c r="U125" i="35" s="1"/>
  <c r="T132" i="35"/>
  <c r="U132" i="35" s="1"/>
  <c r="T122" i="35"/>
  <c r="U122" i="35" s="1"/>
  <c r="T129" i="35"/>
  <c r="U129" i="35" s="1"/>
  <c r="T133" i="35"/>
  <c r="U133" i="35" s="1"/>
  <c r="T127" i="35"/>
  <c r="U127" i="35" s="1"/>
  <c r="T128" i="35"/>
  <c r="U128" i="35" s="1"/>
  <c r="T107" i="35"/>
  <c r="U107" i="35" s="1"/>
  <c r="T118" i="35"/>
  <c r="U118" i="35" s="1"/>
  <c r="T120" i="35"/>
  <c r="U120" i="35" s="1"/>
  <c r="T112" i="35"/>
  <c r="U112" i="35" s="1"/>
  <c r="T115" i="35"/>
  <c r="U115" i="35" s="1"/>
  <c r="T108" i="35"/>
  <c r="U108" i="35" s="1"/>
  <c r="T102" i="35"/>
  <c r="U102" i="35" s="1"/>
  <c r="T117" i="35"/>
  <c r="U117" i="35" s="1"/>
  <c r="T106" i="35"/>
  <c r="U106" i="35" s="1"/>
  <c r="T105" i="35"/>
  <c r="U105" i="35" s="1"/>
  <c r="T114" i="35"/>
  <c r="U114" i="35" s="1"/>
  <c r="T109" i="35"/>
  <c r="U109" i="35" s="1"/>
  <c r="T113" i="35"/>
  <c r="U113" i="35" s="1"/>
  <c r="T103" i="35"/>
  <c r="U103" i="35" s="1"/>
  <c r="T111" i="35"/>
  <c r="U111" i="35" s="1"/>
  <c r="T110" i="35"/>
  <c r="U110" i="35" s="1"/>
  <c r="T121" i="35"/>
  <c r="U121" i="35" s="1"/>
  <c r="Z443" i="38" l="1"/>
  <c r="Z438" i="38"/>
  <c r="Z431" i="38"/>
  <c r="Z411" i="38"/>
  <c r="Z409" i="38"/>
  <c r="Z420" i="38"/>
  <c r="Z430" i="38"/>
  <c r="Z407" i="38"/>
  <c r="Z425" i="38"/>
  <c r="Z426" i="38"/>
  <c r="Z418" i="38"/>
  <c r="Z413" i="38"/>
  <c r="Z428" i="38"/>
  <c r="Z434" i="38"/>
  <c r="Z439" i="38"/>
  <c r="Z417" i="38"/>
  <c r="Z412" i="38"/>
  <c r="Z416" i="38"/>
  <c r="Z441" i="38"/>
  <c r="Z424" i="38"/>
  <c r="Z410" i="38"/>
  <c r="Z408" i="38"/>
  <c r="U100" i="35"/>
  <c r="U99" i="35" s="1"/>
  <c r="H106" i="38" s="1"/>
  <c r="Z432" i="38"/>
  <c r="Z427" i="38"/>
  <c r="Z415" i="38"/>
  <c r="Z405" i="38"/>
  <c r="Z436" i="38"/>
  <c r="Z422" i="38"/>
  <c r="M224" i="35" a="1"/>
  <c r="M224" i="35" s="1"/>
  <c r="L300" i="35" a="1"/>
  <c r="L300" i="35" s="1"/>
  <c r="L270" i="35" a="1"/>
  <c r="L270" i="35" s="1"/>
  <c r="L7" i="35" l="1" a="1"/>
  <c r="Z403" i="38"/>
  <c r="L103" i="35" l="1"/>
  <c r="M103" i="35" s="1"/>
  <c r="L105" i="35"/>
  <c r="M105" i="35" s="1"/>
  <c r="L101" i="35"/>
  <c r="M101" i="35" s="1"/>
  <c r="L104" i="35"/>
  <c r="M104" i="35" s="1"/>
  <c r="L107" i="35"/>
  <c r="M107" i="35" s="1"/>
  <c r="L7" i="35"/>
  <c r="L100" i="35" s="1"/>
  <c r="M100" i="35" s="1"/>
  <c r="L102" i="35"/>
  <c r="M102" i="35" s="1"/>
  <c r="L106" i="35"/>
  <c r="M106"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<sst xmlns="http://schemas.openxmlformats.org/spreadsheetml/2006/main" count="4029" uniqueCount="1289">
  <si>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</si>
  <si>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</si>
  <si>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</si>
  <si>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</si>
  <si>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</si>
  <si>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</si>
  <si>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</si>
  <si>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</si>
  <si>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</si>
  <si>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</si>
  <si>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</si>
  <si>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</si>
  <si>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</si>
  <si>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</si>
  <si>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</si>
  <si>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</si>
  <si>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</si>
  <si>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</si>
  <si>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</si>
  <si>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</si>
  <si>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</si>
  <si>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</si>
  <si>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</si>
  <si>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</si>
  <si>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</si>
  <si>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</si>
  <si>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</si>
  <si>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</si>
  <si>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</si>
  <si>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</si>
  <si>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</si>
  <si>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</si>
  <si>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</si>
  <si>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</si>
  <si>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</si>
  <si>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</si>
  <si>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</si>
  <si>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</si>
  <si>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</si>
  <si>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</si>
  <si>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</si>
  <si>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</si>
  <si>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</si>
  <si>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</si>
  <si>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</si>
  <si>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</si>
  <si>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</si>
  <si>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</si>
  <si>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</si>
  <si>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</si>
  <si>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</si>
  <si>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</si>
  <si>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</si>
  <si>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</si>
  <si>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</si>
  <si>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</si>
  <si>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</si>
  <si>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</si>
  <si>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</si>
  <si>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</si>
  <si>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</si>
  <si>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</si>
  <si>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</si>
  <si>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Asset</t>
  </si>
  <si>
    <t>Equity</t>
  </si>
  <si>
    <t>Common Stock</t>
  </si>
  <si>
    <t>Property, Plant &amp; Equipment</t>
  </si>
  <si>
    <t>Prepaid Rent</t>
  </si>
  <si>
    <t>Inventories</t>
  </si>
  <si>
    <t>Liability</t>
  </si>
  <si>
    <t>Accounts Payable</t>
  </si>
  <si>
    <t>Marketable Securities</t>
  </si>
  <si>
    <t>Bonds Payable</t>
  </si>
  <si>
    <t>Accounts Receivable</t>
  </si>
  <si>
    <t>Revenue</t>
  </si>
  <si>
    <t>Sales</t>
  </si>
  <si>
    <t>Expense</t>
  </si>
  <si>
    <t>Cost of Goods Sold</t>
  </si>
  <si>
    <t>Bad Debts Expense</t>
  </si>
  <si>
    <t>Salaries &amp; Wages Expense</t>
  </si>
  <si>
    <t>Salaries &amp; Wages Payable</t>
  </si>
  <si>
    <t>Depreciation Expense</t>
  </si>
  <si>
    <t>Accumulated Depreciation</t>
  </si>
  <si>
    <t>Rent Expense</t>
  </si>
  <si>
    <t>Interest Expense</t>
  </si>
  <si>
    <t>Interest Payable</t>
  </si>
  <si>
    <t>Retained Earnings</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</si>
  <si>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</si>
  <si>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</si>
  <si>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</si>
  <si>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</si>
  <si>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</si>
  <si>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</si>
  <si>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</si>
  <si>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</si>
  <si>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</si>
  <si>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</si>
  <si>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</si>
  <si>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</si>
  <si>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</si>
  <si>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</si>
  <si>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</si>
  <si>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</si>
  <si>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</si>
  <si>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</si>
  <si>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</si>
  <si>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</si>
  <si>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</si>
  <si>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</si>
  <si>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</si>
  <si>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</si>
  <si>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</si>
  <si>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</si>
  <si>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</si>
  <si>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 xml:space="preserve">  Investing Activities</t>
  </si>
  <si>
    <t>Acquired marketable securities</t>
  </si>
  <si>
    <t xml:space="preserve">  Current Assets</t>
  </si>
  <si>
    <t xml:space="preserve">  Revenues</t>
  </si>
  <si>
    <t>None</t>
  </si>
  <si>
    <t xml:space="preserve">  Operating Activities</t>
  </si>
  <si>
    <t xml:space="preserve">  Adjustments</t>
  </si>
  <si>
    <t>Acquired PP&amp;E</t>
  </si>
  <si>
    <t xml:space="preserve">  Current Liabilities</t>
  </si>
  <si>
    <t xml:space="preserve">  Expenses</t>
  </si>
  <si>
    <t xml:space="preserve">  Changes in accounts due to operations</t>
  </si>
  <si>
    <t xml:space="preserve">  Financing Activities</t>
  </si>
  <si>
    <t>Issued common stock</t>
  </si>
  <si>
    <t xml:space="preserve">  Noncurrent Assets</t>
  </si>
  <si>
    <t>Issued bonds</t>
  </si>
  <si>
    <t xml:space="preserve">  Noncurrent Liabilities</t>
  </si>
  <si>
    <t>Collections from customers</t>
  </si>
  <si>
    <t xml:space="preserve">  Equities</t>
  </si>
  <si>
    <t>Payments for prepaid expenses</t>
  </si>
  <si>
    <t>Payments to employees</t>
  </si>
  <si>
    <t>Payments to suppliers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</si>
  <si>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</si>
  <si>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</si>
  <si>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</si>
  <si>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</si>
  <si>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</si>
  <si>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</si>
  <si>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</si>
  <si>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</si>
  <si>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</si>
  <si>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</si>
  <si>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</si>
  <si>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</si>
  <si>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</si>
  <si>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</si>
  <si>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</si>
  <si>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</si>
  <si>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</si>
  <si>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</si>
  <si>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</si>
  <si>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</si>
  <si>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</si>
  <si>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</si>
  <si>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</si>
  <si>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</si>
  <si>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</si>
  <si>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</si>
  <si>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</si>
  <si>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</si>
  <si>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</si>
  <si>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</si>
  <si>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</si>
  <si>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</si>
  <si>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</si>
  <si>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</si>
  <si>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</si>
  <si>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</si>
  <si>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</si>
  <si>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</si>
  <si>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</si>
  <si>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</si>
  <si>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</si>
  <si>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</si>
  <si>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</si>
  <si>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</si>
  <si>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</si>
  <si>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</si>
  <si>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</si>
  <si>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</si>
  <si>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</si>
  <si>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</si>
  <si>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</si>
  <si>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</si>
  <si>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</si>
  <si>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</si>
  <si>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</si>
  <si>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</si>
  <si>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</si>
  <si>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</si>
  <si>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</si>
  <si>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</si>
  <si>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</si>
  <si>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</si>
  <si>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</si>
  <si>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</si>
  <si>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</si>
  <si>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</si>
  <si>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</si>
  <si>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</si>
  <si>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</si>
  <si>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</si>
  <si>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</si>
  <si>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</si>
  <si>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</si>
  <si>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</si>
  <si>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</si>
  <si>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</si>
  <si>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</si>
  <si>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</si>
  <si>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</si>
  <si>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</si>
  <si>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</si>
  <si>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</si>
  <si>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</si>
  <si>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</si>
  <si>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</si>
  <si>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</si>
  <si>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</si>
  <si>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</si>
  <si>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</si>
  <si>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</si>
  <si>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</si>
  <si>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</si>
  <si>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</si>
  <si>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</si>
  <si>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</si>
  <si>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</si>
  <si>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</si>
  <si>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</si>
  <si>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</si>
  <si>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</si>
  <si>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</si>
  <si>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</si>
  <si>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</si>
  <si>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</si>
  <si>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</si>
  <si>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</si>
  <si>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</si>
  <si>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</si>
  <si>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</si>
  <si>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</si>
  <si>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</si>
  <si>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</si>
  <si>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</si>
  <si>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</si>
  <si>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</si>
  <si>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</si>
  <si>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</si>
  <si>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Issued common stock for PP&amp;E</t>
  </si>
  <si>
    <t>Stock-based compensation</t>
  </si>
  <si>
    <t>NoncurrentAssets</t>
  </si>
  <si>
    <t>Additional Paid-in Capital</t>
  </si>
  <si>
    <t>Issued common stock APIC</t>
  </si>
  <si>
    <t>Issued common stock for PP&amp;E APIC</t>
  </si>
  <si>
    <t>Stock-based compensation APIC</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</si>
  <si>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</si>
  <si>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</si>
  <si>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</si>
  <si>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</si>
  <si>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</si>
  <si>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</si>
  <si>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</si>
  <si>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</si>
  <si>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</si>
  <si>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</si>
  <si>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</si>
  <si>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</si>
  <si>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</si>
  <si>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</si>
  <si>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</si>
  <si>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</si>
  <si>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</si>
  <si>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</si>
  <si>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</si>
  <si>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</si>
  <si>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</si>
  <si>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</si>
  <si>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</si>
  <si>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</si>
  <si>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</si>
  <si>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</si>
  <si>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</si>
  <si>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</si>
  <si>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</si>
  <si>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</si>
  <si>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</si>
  <si>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</si>
  <si>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</si>
  <si>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</si>
  <si>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</si>
  <si>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</si>
  <si>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</si>
  <si>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</si>
  <si>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</si>
  <si>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</si>
  <si>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</si>
  <si>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</si>
  <si>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</si>
  <si>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</si>
  <si>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</si>
  <si>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</si>
  <si>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</si>
  <si>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</si>
  <si>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</si>
  <si>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</si>
  <si>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</si>
  <si>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</si>
  <si>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</si>
  <si>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</si>
  <si>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</si>
  <si>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</si>
  <si>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</si>
  <si>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</si>
  <si>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</si>
  <si>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</si>
  <si>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</si>
  <si>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</si>
  <si>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</si>
  <si>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</si>
  <si>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</si>
  <si>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</si>
  <si>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</si>
  <si>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</si>
  <si>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</si>
  <si>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</si>
  <si>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</si>
  <si>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</si>
  <si>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</si>
  <si>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</si>
  <si>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</si>
  <si>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</si>
  <si>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</si>
  <si>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</si>
  <si>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</si>
  <si>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</si>
  <si>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</si>
  <si>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</si>
  <si>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</si>
  <si>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</si>
  <si>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</si>
  <si>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</si>
  <si>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</si>
  <si>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</si>
  <si>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</si>
  <si>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</si>
  <si>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</si>
  <si>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</si>
  <si>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</si>
  <si>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</si>
  <si>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</si>
  <si>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</si>
  <si>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</si>
  <si>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</si>
  <si>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</si>
  <si>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</si>
  <si>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</si>
  <si>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</si>
  <si>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</si>
  <si>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</si>
  <si>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</si>
  <si>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</si>
  <si>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</si>
  <si>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</si>
  <si>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</si>
  <si>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</si>
  <si>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</si>
  <si>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</si>
  <si>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</si>
  <si>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</si>
  <si>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</si>
  <si>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</si>
  <si>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</si>
  <si>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</si>
  <si>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</si>
  <si>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</si>
  <si>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</si>
  <si>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</si>
  <si>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</si>
  <si>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</si>
  <si>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</si>
  <si>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</si>
  <si>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</si>
  <si>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</si>
  <si>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</si>
  <si>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</si>
  <si>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</si>
  <si>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ref</t>
  </si>
  <si>
    <t>Checklist:</t>
  </si>
  <si>
    <t>Account Name:</t>
  </si>
  <si>
    <t>Increased by:</t>
  </si>
  <si>
    <t>Investing</t>
  </si>
  <si>
    <t>Financing</t>
  </si>
  <si>
    <t>Other</t>
  </si>
  <si>
    <t>Done?</t>
  </si>
  <si>
    <t>Operating</t>
  </si>
  <si>
    <t>Temporary Account</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</si>
  <si>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</si>
  <si>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</si>
  <si>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</si>
  <si>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</si>
  <si>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</si>
  <si>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</si>
  <si>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</si>
  <si>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</si>
  <si>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</si>
  <si>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</si>
  <si>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</si>
  <si>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</si>
  <si>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</si>
  <si>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</si>
  <si>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</si>
  <si>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</si>
  <si>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</si>
  <si>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</si>
  <si>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</si>
  <si>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</si>
  <si>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</si>
  <si>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</si>
  <si>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</si>
  <si>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</si>
  <si>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</si>
  <si>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</si>
  <si>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</si>
  <si>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</si>
  <si>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</si>
  <si>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</si>
  <si>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</si>
  <si>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</si>
  <si>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</si>
  <si>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</si>
  <si>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</si>
  <si>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</si>
  <si>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</si>
  <si>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</si>
  <si>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</si>
  <si>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</si>
  <si>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</si>
  <si>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</si>
  <si>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</si>
  <si>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</si>
  <si>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Expand your financial vocabulary.</t>
  </si>
  <si>
    <t>Use the Accounting Identity to analyze transactions.</t>
  </si>
  <si>
    <t>Practice journal entry notation for analyzing/recording transactions.</t>
  </si>
  <si>
    <t>Use T-account notation for analyzing individual assets, liabilities and equities.</t>
  </si>
  <si>
    <t>Understand the role of Temporary accounts.</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</si>
  <si>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</si>
  <si>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</si>
  <si>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</si>
  <si>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</si>
  <si>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</si>
  <si>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</si>
  <si>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</si>
  <si>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</si>
  <si>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</si>
  <si>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</si>
  <si>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</si>
  <si>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</si>
  <si>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</si>
  <si>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</si>
  <si>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</si>
  <si>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</si>
  <si>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</si>
  <si>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</si>
  <si>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</si>
  <si>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</si>
  <si>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Ralphy's Business</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</si>
  <si>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</si>
  <si>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</si>
  <si>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</si>
  <si>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</si>
  <si>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</si>
  <si>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</si>
  <si>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</si>
  <si>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</si>
  <si>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</si>
  <si>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</si>
  <si>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</si>
  <si>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</si>
  <si>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</si>
  <si>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</si>
  <si>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</si>
  <si>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Issued 20,000 shares of $5 (per share) par value common stock for $100 thousand cash.</t>
  </si>
  <si>
    <t>On 4/1/X4, bought equipment to be used for making products for $60 thousand cash.</t>
  </si>
  <si>
    <t>On 4/1/X4, paid $4 thousand for one year's rent on a building.</t>
  </si>
  <si>
    <t>Bought $30 thousand of inventory on credit.</t>
  </si>
  <si>
    <t>Bought $25 thousand of Yahoo! common stock as a short-term investment.</t>
  </si>
  <si>
    <t>On 4/1/X4, raised $20 thousand cash by issuing a bond with a face value of $20 and an interest rate of 10% compounded monthly paid annually in arrears.</t>
  </si>
  <si>
    <t>Between 4/1/X4 and 12/31/X4, sold inventory that cost $25 thousand for $40 thousand. All sales were on account. Use this entry to recognize revenue.</t>
  </si>
  <si>
    <t>Use this entry to match cost of goods sold against the revenue recorded in g.</t>
  </si>
  <si>
    <t>Paid $15 thousand to suppliers of inventory for the credit purchase in 4 above.</t>
  </si>
  <si>
    <t>Between 4/1/X4 and 12/31/X4, collected $30 thousand from customers on their accounts.</t>
  </si>
  <si>
    <t>On 12/31/X4, a customer owing $0.2 thousand paid $0.05 thousand of it and declared bankruptcy. The remaining $0.15 thousand will not be collected.</t>
  </si>
  <si>
    <t>Between 4/1/X4 and 12/31/X4, paid $6 thousand cash for salaries.</t>
  </si>
  <si>
    <t>As of December 31, owed workers' salaries of $1 thousand.</t>
  </si>
  <si>
    <t>As of December 31, the market value of the Yahoo! common stock was $25 thousand.</t>
  </si>
  <si>
    <t>The equipment in 2 had a useful life of six years and is depreciated on a straight-line basis. Therefore, Depreciation Expense for the year is $7.5 thousand.</t>
  </si>
  <si>
    <t>As of December 31, some of Ralphy's Business’ rights to use the space rented in 3 had expired. Only 1/4 remains active, so Prepaid Rent should be $1 thousand at  December 31.</t>
  </si>
  <si>
    <t>As of December 31, Ralphy’s Business had used the $20 thousand borrowed in 6 for nine months and incurred $1.55 thousand in interest.</t>
  </si>
  <si>
    <t>Close temporary accounts</t>
  </si>
  <si>
    <t>Recognition Yes/No</t>
  </si>
  <si>
    <t>YES</t>
  </si>
  <si>
    <t>NO</t>
  </si>
  <si>
    <t>Recognition Explanation</t>
  </si>
  <si>
    <t>Cash has been received and an ownership share has been created. Either requires recognition.</t>
  </si>
  <si>
    <t>Cash has been spent and a (noncash) asset has been created. Either requires recognition.</t>
  </si>
  <si>
    <t>Cash has been spent.</t>
  </si>
  <si>
    <t>An asset has been acquired and an obligation has been created. Either requires recognition.</t>
  </si>
  <si>
    <t>Cash has been received and an obligation has been created. Either requires recognition.</t>
  </si>
  <si>
    <t>Criteria for recognizing revenue have been met.</t>
  </si>
  <si>
    <t>Resources have been used or services have been consumed.</t>
  </si>
  <si>
    <t>Cash has been spent and an obligation has been met. Either requires recognition.</t>
  </si>
  <si>
    <t>Cash has been received and a (noncash) asset has been given up. Either requires recognition.</t>
  </si>
  <si>
    <t>Cash Flow/Noncash trans CODE</t>
  </si>
  <si>
    <t>Does_NOT_affect_Cash_Flow</t>
  </si>
  <si>
    <t>Description if CODE is used</t>
  </si>
  <si>
    <t>Prepaid expenses</t>
  </si>
  <si>
    <t>Paid suppliers</t>
  </si>
  <si>
    <t>Collected from customers</t>
  </si>
  <si>
    <t>Paid employees</t>
  </si>
  <si>
    <t>Record Depreciation Expense</t>
  </si>
  <si>
    <t>Close Temporary Accounts</t>
  </si>
  <si>
    <t>Code</t>
  </si>
  <si>
    <t>ICS</t>
  </si>
  <si>
    <t>PPPE</t>
  </si>
  <si>
    <t>PdPPd</t>
  </si>
  <si>
    <t>PMS</t>
  </si>
  <si>
    <t>IB</t>
  </si>
  <si>
    <t>PdS</t>
  </si>
  <si>
    <t>ColC</t>
  </si>
  <si>
    <t>PdSW</t>
  </si>
  <si>
    <t>RecDeprExp</t>
  </si>
  <si>
    <t>CL</t>
  </si>
  <si>
    <t>Safety Check: #Fields Filled Out</t>
  </si>
  <si>
    <t>Safety Check: Debits - Credits</t>
  </si>
  <si>
    <t>Debit/Credit</t>
  </si>
  <si>
    <t>Beginning Balance Sheet and Unchanged Balance Sheet Accounts</t>
  </si>
  <si>
    <t>ASSETS used anywhere</t>
  </si>
  <si>
    <t>ASSETS on BS but not used in an entry</t>
  </si>
  <si>
    <t>Account</t>
  </si>
  <si>
    <t>IncreasedBy</t>
  </si>
  <si>
    <t>Num</t>
  </si>
  <si>
    <t>Current/Non-Current</t>
  </si>
  <si>
    <t>LIABILITIES used anywhere</t>
  </si>
  <si>
    <t>LIABILITIES on BS but not  used in an entry</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</si>
  <si>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</si>
  <si>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</si>
  <si>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</si>
  <si>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</si>
  <si>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</si>
  <si>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</si>
  <si>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</si>
  <si>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</si>
  <si>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</si>
  <si>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</si>
  <si>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</si>
  <si>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</si>
  <si>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</si>
  <si>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</si>
  <si>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</si>
  <si>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</si>
  <si>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</si>
  <si>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</si>
  <si>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</si>
  <si>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</si>
  <si>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</si>
  <si>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</si>
  <si>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</si>
  <si>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</si>
  <si>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</si>
  <si>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</si>
  <si>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</si>
  <si>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</si>
  <si>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</si>
  <si>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</si>
  <si>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</si>
  <si>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</si>
  <si>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</si>
  <si>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</si>
  <si>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</si>
  <si>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</si>
  <si>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</si>
  <si>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</si>
  <si>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</si>
  <si>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</si>
  <si>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</si>
  <si>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</si>
  <si>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</si>
  <si>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</si>
  <si>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Change in fair value of marketable debt securities</t>
  </si>
  <si>
    <t>Consulting Revenue</t>
  </si>
  <si>
    <t>Gain on Sale of PP&amp;E</t>
  </si>
  <si>
    <t>Interest Revenue</t>
  </si>
  <si>
    <t>Payments for taxes</t>
  </si>
  <si>
    <t>Gain on Sale of Subsidiary</t>
  </si>
  <si>
    <t>Allowance for Doubtful Accounts</t>
  </si>
  <si>
    <t>Sales of Office Furniture</t>
  </si>
  <si>
    <t>Payments for interest</t>
  </si>
  <si>
    <t>Gain on Retirement of Debt</t>
  </si>
  <si>
    <t>Purchased treasury stock</t>
  </si>
  <si>
    <t>Holding Gain on Marketable Securities</t>
  </si>
  <si>
    <t>Sold treasury stock</t>
  </si>
  <si>
    <t>Payments for accrued expenses</t>
  </si>
  <si>
    <t>Realized Gain on Marketable Securities</t>
  </si>
  <si>
    <t>Prepaid Expenses</t>
  </si>
  <si>
    <t>Other Comprehensive Income (Loss)</t>
  </si>
  <si>
    <t xml:space="preserve">  Cash Flow from Operating Activities</t>
  </si>
  <si>
    <t>Other Current Assets</t>
  </si>
  <si>
    <t>Cash Flow from Investing</t>
  </si>
  <si>
    <t>Cost of Services Provided</t>
  </si>
  <si>
    <t>Proceeds from sales of PP&amp;E</t>
  </si>
  <si>
    <t>Loss on Sale of PP&amp;E</t>
  </si>
  <si>
    <t>Selling, General and Administrative Expenses</t>
  </si>
  <si>
    <t>Total Comprehensive Income</t>
  </si>
  <si>
    <t>Proceeds from sale of business unit</t>
  </si>
  <si>
    <t>Loss on Sale of Subsidiary</t>
  </si>
  <si>
    <t>Proceeds from sales of marketable securities</t>
  </si>
  <si>
    <t>Loss on Retirement of Debt</t>
  </si>
  <si>
    <t>Tax Expense</t>
  </si>
  <si>
    <t>Calculation of Case for Display Purposes</t>
  </si>
  <si>
    <t>Proceeds from sales of other assets</t>
  </si>
  <si>
    <t>Holding Loss on Marketable Securities</t>
  </si>
  <si>
    <t>CS and RE</t>
  </si>
  <si>
    <t>Proceeds from sales of intangibles</t>
  </si>
  <si>
    <t>Realized Loss on Marketable Securities</t>
  </si>
  <si>
    <t>CS, APIC and RE</t>
  </si>
  <si>
    <t>PS, CS, APIC and RE</t>
  </si>
  <si>
    <t>Intangibles</t>
  </si>
  <si>
    <t>PS, CS, APIC, RE and either AOCI or TS</t>
  </si>
  <si>
    <t>Acquired business unit</t>
  </si>
  <si>
    <t>Goodwill</t>
  </si>
  <si>
    <t>Share-based Compensation Expense</t>
  </si>
  <si>
    <t>CASE</t>
  </si>
  <si>
    <t>Acquired other assets</t>
  </si>
  <si>
    <t>Other Noncurrent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</si>
  <si>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</si>
  <si>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</si>
  <si>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</si>
  <si>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</si>
  <si>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</si>
  <si>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</si>
  <si>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</si>
  <si>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</si>
  <si>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</si>
  <si>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</si>
  <si>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No noncurrent assets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</si>
  <si>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</si>
  <si>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</si>
  <si>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Issued other noncurrent liabilities</t>
  </si>
  <si>
    <t>Issued senior debt</t>
  </si>
  <si>
    <t>Issued subordinated debt</t>
  </si>
  <si>
    <t>Accrued Expenses</t>
  </si>
  <si>
    <t>Paid dividends</t>
  </si>
  <si>
    <t>Retired bonds</t>
  </si>
  <si>
    <t>Dividends Payable</t>
  </si>
  <si>
    <t>Retired notes</t>
  </si>
  <si>
    <t>Taxes Payable</t>
  </si>
  <si>
    <t>Repaid loans</t>
  </si>
  <si>
    <t>Deferred Tax Liabilities</t>
  </si>
  <si>
    <t>Unearned Revenue</t>
  </si>
  <si>
    <t xml:space="preserve">  Cash Flow from Financing Activities</t>
  </si>
  <si>
    <t>Rent Payable</t>
  </si>
  <si>
    <t>Cash Flow Summary</t>
  </si>
  <si>
    <t>180-day Note Payable</t>
  </si>
  <si>
    <t>Accounts Payable (Inventory)</t>
  </si>
  <si>
    <t>Accounts Payable (Other)</t>
  </si>
  <si>
    <t>Interest Payable - Current</t>
  </si>
  <si>
    <t>Other Accrued Expenses</t>
  </si>
  <si>
    <t>Note Payable - Current</t>
  </si>
  <si>
    <t>No current liabilities</t>
  </si>
  <si>
    <t>Acquired PP&amp;E with common stock</t>
  </si>
  <si>
    <t>Acquired PP&amp;E with treasury stock</t>
  </si>
  <si>
    <t>Number of Transactions</t>
  </si>
  <si>
    <t>Notes Payable</t>
  </si>
  <si>
    <t>Senior Debt</t>
  </si>
  <si>
    <t>Subordinated Debt</t>
  </si>
  <si>
    <t>Interest Payable - Noncurrent</t>
  </si>
  <si>
    <t>Loans Payable</t>
  </si>
  <si>
    <t>Long-term Bonds Payable</t>
  </si>
  <si>
    <t>Other Long-term Liabilities</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</si>
  <si>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</si>
  <si>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</si>
  <si>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</si>
  <si>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</si>
  <si>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</si>
  <si>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</si>
  <si>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</si>
  <si>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</si>
  <si>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</si>
  <si>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</si>
  <si>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</si>
  <si>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</si>
  <si>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</si>
  <si>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</si>
  <si>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</si>
  <si>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</si>
  <si>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</si>
  <si>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</si>
  <si>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</si>
  <si>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</si>
  <si>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</si>
  <si>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</si>
  <si>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</si>
  <si>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</si>
  <si>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</si>
  <si>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</si>
  <si>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</si>
  <si>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</si>
  <si>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</si>
  <si>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12/31/20x8</t>
  </si>
  <si>
    <t>Cash @ 12/31/20x8</t>
  </si>
  <si>
    <t>Changes in Shareholders' Equity</t>
  </si>
  <si>
    <t xml:space="preserve"> Current Assets:</t>
  </si>
  <si>
    <t>Balance @ 12/31/20x8</t>
  </si>
  <si>
    <t>Balance @ 12/31/20x9</t>
  </si>
  <si>
    <t xml:space="preserve"> Noncurrent Assets:</t>
  </si>
  <si>
    <t>Total Shareholders' Equity @ 12/31/20x9</t>
  </si>
  <si>
    <t xml:space="preserve"> Current Liabilities:</t>
  </si>
  <si>
    <t xml:space="preserve"> Noncurrent Liabilities:</t>
  </si>
  <si>
    <t>Cash @ 12/31/20x9</t>
  </si>
  <si>
    <t>Adjustments:</t>
  </si>
  <si>
    <t>ΔBalance sheet accounts due to Operations:</t>
  </si>
  <si>
    <t>Type</t>
  </si>
  <si>
    <t>Order (1st is index 0)</t>
  </si>
  <si>
    <t>Indicator for use of a Temporary Account</t>
  </si>
  <si>
    <t>Gain</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</si>
  <si>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</si>
  <si>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</si>
  <si>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</si>
  <si>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</si>
  <si>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</si>
  <si>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</si>
  <si>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</si>
  <si>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</si>
  <si>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</si>
  <si>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</si>
  <si>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</si>
  <si>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</si>
  <si>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</si>
  <si>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</si>
  <si>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</si>
  <si>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</si>
  <si>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</si>
  <si>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</si>
  <si>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</si>
  <si>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</si>
  <si>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</si>
  <si>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</si>
  <si>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</si>
  <si>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</si>
  <si>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</si>
  <si>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</si>
  <si>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</si>
  <si>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</si>
  <si>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</si>
  <si>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</si>
  <si>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</si>
  <si>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</si>
  <si>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</si>
  <si>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</si>
  <si>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</si>
  <si>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</si>
  <si>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</si>
  <si>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</si>
  <si>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</si>
  <si>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</si>
  <si>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</si>
  <si>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</si>
  <si>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</si>
  <si>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</si>
  <si>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</si>
  <si>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</si>
  <si>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</si>
  <si>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</si>
  <si>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</si>
  <si>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</si>
  <si>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</si>
  <si>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</si>
  <si>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</si>
  <si>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</si>
  <si>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</si>
  <si>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</si>
  <si>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</si>
  <si>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</si>
  <si>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</si>
  <si>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Noncash_Financing</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</si>
  <si>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</si>
  <si>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</si>
  <si>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</si>
  <si>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</si>
  <si>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</si>
  <si>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</si>
  <si>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</si>
  <si>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</si>
  <si>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</si>
  <si>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</si>
  <si>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</si>
  <si>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</si>
  <si>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</si>
  <si>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</si>
  <si>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</si>
  <si>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</si>
  <si>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</si>
  <si>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</si>
  <si>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</si>
  <si>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</si>
  <si>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</si>
  <si>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</si>
  <si>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</si>
  <si>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</si>
  <si>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</si>
  <si>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</si>
  <si>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</si>
  <si>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</si>
  <si>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</si>
  <si>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</si>
  <si>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</si>
  <si>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</si>
  <si>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</si>
  <si>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</si>
  <si>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</si>
  <si>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</si>
  <si>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</si>
  <si>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</si>
  <si>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</si>
  <si>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</si>
  <si>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</si>
  <si>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</si>
  <si>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</si>
  <si>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</si>
  <si>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</si>
  <si>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</si>
  <si>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</si>
  <si>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</si>
  <si>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</si>
  <si>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</si>
  <si>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</si>
  <si>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</si>
  <si>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</si>
  <si>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</si>
  <si>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</si>
  <si>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</si>
  <si>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</si>
  <si>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</si>
  <si>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</si>
  <si>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</si>
  <si>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</si>
  <si>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</si>
  <si>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</si>
  <si>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</si>
  <si>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</si>
  <si>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</si>
  <si>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</si>
  <si>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</si>
  <si>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</si>
  <si>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</si>
  <si>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</si>
  <si>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</si>
  <si>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</si>
  <si>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</si>
  <si>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</si>
  <si>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</si>
  <si>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</si>
  <si>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</si>
  <si>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</si>
  <si>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</si>
  <si>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</si>
  <si>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</si>
  <si>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</si>
  <si>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</si>
  <si>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</si>
  <si>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</si>
  <si>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</si>
  <si>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</si>
  <si>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</si>
  <si>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</si>
  <si>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</si>
  <si>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</si>
  <si>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</si>
  <si>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</si>
  <si>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</si>
  <si>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</si>
  <si>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</si>
  <si>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</si>
  <si>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</si>
  <si>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</si>
  <si>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</si>
  <si>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</si>
  <si>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</si>
  <si>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</si>
  <si>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</si>
  <si>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</si>
  <si>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</si>
  <si>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</si>
  <si>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</si>
  <si>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</si>
  <si>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</si>
  <si>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</si>
  <si>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</si>
  <si>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</si>
  <si>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</si>
  <si>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</si>
  <si>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</si>
  <si>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</si>
  <si>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</si>
  <si>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</si>
  <si>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</si>
  <si>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</si>
  <si>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</si>
  <si>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</si>
  <si>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</si>
  <si>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</si>
  <si>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</si>
  <si>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</si>
  <si>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</si>
  <si>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</si>
  <si>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</si>
  <si>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</si>
  <si>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</si>
  <si>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</si>
  <si>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</si>
  <si>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</si>
  <si>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</si>
  <si>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</si>
  <si>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</si>
  <si>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</si>
  <si>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</si>
  <si>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</si>
  <si>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</si>
  <si>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</si>
  <si>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</si>
  <si>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</si>
  <si>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</si>
  <si>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</si>
  <si>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</si>
  <si>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</si>
  <si>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</si>
  <si>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</si>
  <si>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</si>
  <si>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</si>
  <si>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</si>
  <si>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</si>
  <si>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</si>
  <si>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</si>
  <si>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</si>
  <si>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</si>
  <si>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</si>
  <si>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</si>
  <si>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</si>
  <si>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</si>
  <si>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</si>
  <si>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</si>
  <si>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</si>
  <si>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</si>
  <si>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</si>
  <si>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</si>
  <si>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</si>
  <si>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</si>
  <si>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</si>
  <si>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</si>
  <si>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</si>
  <si>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</si>
  <si>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</si>
  <si>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</si>
  <si>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</si>
  <si>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</si>
  <si>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</si>
  <si>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</si>
  <si>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</si>
  <si>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</si>
  <si>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</si>
  <si>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</si>
  <si>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</si>
  <si>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</si>
  <si>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</si>
  <si>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</si>
  <si>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</si>
  <si>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</si>
  <si>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</si>
  <si>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</si>
  <si>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</si>
  <si>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</si>
  <si>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</si>
  <si>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</si>
  <si>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</si>
  <si>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</si>
  <si>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</si>
  <si>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</si>
  <si>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</si>
  <si>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</si>
  <si>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</si>
  <si>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</si>
  <si>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</si>
  <si>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</si>
  <si>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</si>
  <si>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</si>
  <si>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</si>
  <si>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</si>
  <si>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</si>
  <si>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Acquired Other Assets</t>
  </si>
  <si>
    <t>POA</t>
  </si>
  <si>
    <t>PBU</t>
  </si>
  <si>
    <t>PINT</t>
  </si>
  <si>
    <t>Sold marketable securities</t>
  </si>
  <si>
    <t>SMS</t>
  </si>
  <si>
    <t>Sold PP&amp;E</t>
  </si>
  <si>
    <t>SPPE</t>
  </si>
  <si>
    <t>Sold Other Assets</t>
  </si>
  <si>
    <t>SOA</t>
  </si>
  <si>
    <t>Sold business unit</t>
  </si>
  <si>
    <t>SBU</t>
  </si>
  <si>
    <t>Sold intangibles</t>
  </si>
  <si>
    <t>SINT</t>
  </si>
  <si>
    <t>IPS</t>
  </si>
  <si>
    <t>IN</t>
  </si>
  <si>
    <t>ISD</t>
  </si>
  <si>
    <t>ISubD</t>
  </si>
  <si>
    <t>Issued Other Noncurrent Liabilities</t>
  </si>
  <si>
    <t>IONCL</t>
  </si>
  <si>
    <t>PD</t>
  </si>
  <si>
    <t>RB</t>
  </si>
  <si>
    <t>RN</t>
  </si>
  <si>
    <t>PTS</t>
  </si>
  <si>
    <t>Issued Treasury Stock</t>
  </si>
  <si>
    <t>STS</t>
  </si>
  <si>
    <t>Repaid loan</t>
  </si>
  <si>
    <t>RL</t>
  </si>
  <si>
    <t>Paid accrued expenses</t>
  </si>
  <si>
    <t>PdACCEx</t>
  </si>
  <si>
    <t>Paid interest</t>
  </si>
  <si>
    <t>PdInt</t>
  </si>
  <si>
    <t>Paid taxes</t>
  </si>
  <si>
    <t>PdTx</t>
  </si>
  <si>
    <t>Noncash Financing</t>
  </si>
  <si>
    <t>DD</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</si>
  <si>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</si>
  <si>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</si>
  <si>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</si>
  <si>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</si>
  <si>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</si>
  <si>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</si>
  <si>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</si>
  <si>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</si>
  <si>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</si>
  <si>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</si>
  <si>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</si>
  <si>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</si>
  <si>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</si>
  <si>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</si>
  <si>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</si>
  <si>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</si>
  <si>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</si>
  <si>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</si>
  <si>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</si>
  <si>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</si>
  <si>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</si>
  <si>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</si>
  <si>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</si>
  <si>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</si>
  <si>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</si>
  <si>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</si>
  <si>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</si>
  <si>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</si>
  <si>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</si>
  <si>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</si>
  <si>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</si>
  <si>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</si>
  <si>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</si>
  <si>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</si>
  <si>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</si>
  <si>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</si>
  <si>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</si>
  <si>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</si>
  <si>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</si>
  <si>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</si>
  <si>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</si>
  <si>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</si>
  <si>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</si>
  <si>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</si>
  <si>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</si>
  <si>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</si>
  <si>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</si>
  <si>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</si>
  <si>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</si>
  <si>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</si>
  <si>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</si>
  <si>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</si>
  <si>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</si>
  <si>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</si>
  <si>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</si>
  <si>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</si>
  <si>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</si>
  <si>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</si>
  <si>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</si>
  <si>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An asset has been acquired.</t>
  </si>
  <si>
    <t>An asset has been acquired and another asset has been given up. Either requires recognition.</t>
  </si>
  <si>
    <t>An obligation has been incurred.</t>
  </si>
  <si>
    <t>Temporary accounts have nonzero ending balances. They must be closed; i.e., their ending balances must be made equal to zero.</t>
  </si>
  <si>
    <t>Time has passed and interest must be accrued.</t>
  </si>
  <si>
    <t>Time has passed and the book value of the asset(s) must be reduced.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</si>
  <si>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</si>
  <si>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</si>
  <si>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</si>
  <si>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</si>
  <si>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</si>
  <si>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The amount shown as an asset in the records may not be accurate, so an adjustment may be required.</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</si>
  <si>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</si>
  <si>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</si>
  <si>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</si>
  <si>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</si>
  <si>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</si>
  <si>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</si>
  <si>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</si>
  <si>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</si>
  <si>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</si>
  <si>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</si>
  <si>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</si>
  <si>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</si>
  <si>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</si>
  <si>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</si>
  <si>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</si>
  <si>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</si>
  <si>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</si>
  <si>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</si>
  <si>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</si>
  <si>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</si>
  <si>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</si>
  <si>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</si>
  <si>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</si>
  <si>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</si>
  <si>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</si>
  <si>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</si>
  <si>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</si>
  <si>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</si>
  <si>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</si>
  <si>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</si>
  <si>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</si>
  <si>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</si>
  <si>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</si>
  <si>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</si>
  <si>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</si>
  <si>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</si>
  <si>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</si>
  <si>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</si>
  <si>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</si>
  <si>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</si>
  <si>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</si>
  <si>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</si>
  <si>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</si>
  <si>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</si>
  <si>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</si>
  <si>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</si>
  <si>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</si>
  <si>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</si>
  <si>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</si>
  <si>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</si>
  <si>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</si>
  <si>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</si>
  <si>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</si>
  <si>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</si>
  <si>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</si>
  <si>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</si>
  <si>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Better understand Balance Sheets.</t>
  </si>
  <si>
    <t>Better understand Income Statements.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</si>
  <si>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</si>
  <si>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</si>
  <si>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</si>
  <si>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</si>
  <si>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</si>
  <si>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</si>
  <si>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</si>
  <si>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</si>
  <si>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Become familiar with Gains and Losses accounts.</t>
  </si>
  <si>
    <t>Start to learn how to use the YALEiE</t>
  </si>
  <si>
    <t>Learn how to use the Analysis_Help</t>
  </si>
  <si>
    <t>Learn about the Tools</t>
  </si>
  <si>
    <t>Learn how to use the Reconciliation_Tool</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</si>
  <si>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</si>
  <si>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</si>
  <si>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</si>
  <si>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</si>
  <si>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</si>
  <si>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</si>
  <si>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</si>
  <si>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</si>
  <si>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</si>
  <si>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</si>
  <si>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</si>
  <si>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</si>
  <si>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</si>
  <si>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</si>
  <si>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</si>
  <si>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</si>
  <si>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</si>
  <si>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</si>
  <si>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</si>
  <si>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</si>
  <si>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</si>
  <si>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</si>
  <si>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</si>
  <si>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</si>
  <si>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</si>
  <si>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</si>
  <si>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</si>
  <si>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</si>
  <si>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</si>
  <si>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</si>
  <si>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</si>
  <si>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</si>
  <si>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</si>
  <si>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</si>
  <si>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</si>
  <si>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</si>
  <si>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</si>
  <si>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</si>
  <si>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</si>
  <si>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</si>
  <si>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</si>
  <si>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</si>
  <si>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</si>
  <si>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</si>
  <si>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</si>
  <si>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Miloslav's Magazines</t>
  </si>
  <si>
    <t>12/31/20x3</t>
  </si>
  <si>
    <t>Ofer's Office Designs</t>
  </si>
  <si>
    <t>Rick and Stan's Business</t>
  </si>
  <si>
    <t>9/30/20x1</t>
  </si>
  <si>
    <t>12/31/20x1</t>
  </si>
  <si>
    <t>Quarter</t>
  </si>
  <si>
    <t>3/31/20X4</t>
  </si>
  <si>
    <t>Three Quarters</t>
  </si>
  <si>
    <t>Grow Co., Inc.</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</si>
  <si>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</si>
  <si>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</si>
  <si>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</si>
  <si>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</si>
  <si>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</si>
  <si>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</si>
  <si>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</si>
  <si>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</si>
  <si>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</si>
  <si>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</si>
  <si>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</si>
  <si>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</si>
  <si>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</si>
  <si>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</si>
  <si>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</si>
  <si>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</si>
  <si>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</si>
  <si>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</si>
  <si>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</si>
  <si>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</si>
  <si>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</si>
  <si>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</si>
  <si>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</si>
  <si>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</si>
  <si>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</si>
  <si>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</si>
  <si>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</si>
  <si>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</si>
  <si>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</si>
  <si>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</si>
  <si>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</si>
  <si>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</si>
  <si>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</si>
  <si>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</si>
  <si>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</si>
  <si>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</si>
  <si>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</si>
  <si>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</si>
  <si>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</si>
  <si>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</si>
  <si>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</si>
  <si>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</si>
  <si>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</si>
  <si>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</si>
  <si>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</si>
  <si>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</si>
  <si>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</si>
  <si>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</si>
  <si>
    <t>ChPPR</t>
  </si>
  <si>
    <t>ChIntPay</t>
  </si>
  <si>
    <t>ChSWPay</t>
  </si>
  <si>
    <t>ChAR</t>
  </si>
  <si>
    <t>ChInv</t>
  </si>
  <si>
    <t>ChAP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</si>
</sst>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x14ac:knownFonts="1">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0" fillId="24" borderId="40" xfId="0" applyFill="1" applyBorder="1" applyAlignment="1">
      <alignment horizontal="center"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21" xfId="0" applyBorder="1"/>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12" borderId="105" xfId="0" applyFill="1" applyBorder="1"/>
    <xf numFmtId="0" fontId="0" fillId="12" borderId="86" xfId="0" applyFill="1" applyBorder="1"/>
    <xf numFmtId="0" fontId="0" fillId="12" borderId="92" xfId="0" applyFill="1" applyBorder="1"/>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1" fillId="18" borderId="5" xfId="0" applyFont="1" applyFill="1" applyBorder="1" applyAlignment="1">
      <alignment horizontal="center"/>
    </xf>
    <xf numFmtId="0" fontId="7" fillId="11" borderId="0" xfId="0" applyFont="1" applyFill="1" applyAlignment="1">
      <alignment horizontal="center"/>
    </xf>
  </cellXfs>
  <cellStyles count="4">
    <cellStyle name="Comma" xfId="1" builtinId="3"/>
    <cellStyle name="Currency" xfId="2" builtinId="4"/>
    <cellStyle name="Hyperlink" xfId="3" builtinId="8"/>
    <cellStyle name="Normal" xfId="0" builtinId="0"/>
  </cellStyles>
  <dxfs count="96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protection locked="0" hidden="0"/>
    </dxf>
    <dxf>
      <protection locked="0" hidden="0"/>
    </dxf>
    <dxf>
      <protection locked="0" hidden="0"/>
    </dxf>
    <dxf>
      <protection locked="0" hidden="0"/>
    </dxf>
    <dxf>
      <border outline="0">
        <left style="medium">
          <color indexed="64"/>
        </left>
        <right style="medium">
          <color indexed="64"/>
        </right>
        <top style="medium">
          <color indexed="64"/>
        </top>
        <bottom style="medium">
          <color indexed="64"/>
        </bottom>
      </border>
    </dxf>
    <dxf>
      <protection locked="0" hidden="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190988" y="327704"/>
          <a:ext cx="1130742" cy="1771023"/>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723020" y="106351"/>
          <a:ext cx="1127760" cy="1228787"/>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830932</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490034</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502131</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43707"/>
          <a:ext cx="1124712" cy="1607808"/>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23</xdr:col>
      <xdr:colOff>662382</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373776</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60">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59"/>
    <tableColumn id="2" xr3:uid="{E094EC9F-7FC6-40C9-897C-23CC29114955}" name="Accnt Type" dataDxfId="958"/>
    <tableColumn id="3" xr3:uid="{0CA921F8-E428-493D-8568-48E53B521ECE}" name="Debit Account" dataDxfId="957"/>
    <tableColumn id="4" xr3:uid="{3BE4FAB2-D608-4602-B35F-0194CD1AAF37}" name="Credit Account" dataDxfId="956"/>
    <tableColumn id="5" xr3:uid="{F82866AF-344B-4862-9625-318E3621B4C7}" name="Dr Amt" dataDxfId="955" dataCellStyle="Comma"/>
    <tableColumn id="6" xr3:uid="{80E8CA5A-7F32-4567-97F3-1BF555C41F53}" name="Cr Amt" dataDxfId="954" dataCellStyle="Comma"/>
    <tableColumn id="7" xr3:uid="{D566DDB8-DFFF-4FE0-9863-FE8296782AF9}" name="Cash Flow" dataDxfId="953"/>
    <tableColumn id="12" xr3:uid="{54233AFF-CD5E-48B3-9C27-692D9600AC9B}" name="Movement #" dataDxfId="952">
      <calculatedColumnFormula>IF(Journal[[#This Row],[Transaction '#]]="","",IF(Journal[[#This Row],[Transaction '#]]=C8,J8+1,1))</calculatedColumnFormula>
    </tableColumn>
    <tableColumn id="15" xr3:uid="{0E5A8B47-485F-4771-A41E-A4CDE0C22AA8}" name="Cash" dataDxfId="951"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50">
      <calculatedColumnFormula array="1">IF(Journal[[#This Row],[Transaction '#]]&lt;&gt;"",IFERROR(INDEX(ProblemData!$E$240:$AM$240,1,Journal[[#This Row],[Transaction '#]]),""),"")</calculatedColumnFormula>
    </tableColumn>
    <tableColumn id="9" xr3:uid="{4B27C4EB-BD21-473D-8D47-B9E5C89E0DBD}" name="ref2" dataDxfId="949">
      <calculatedColumnFormula>IF(Journal[[#This Row],[ref1]]="","",IF(NOT(ISBLANK(Journal[[#This Row],[Transaction '#]])),Journal[[#This Row],[ref1]]&amp;Journal[[#This Row],[Movement '#]],""))</calculatedColumnFormula>
    </tableColumn>
    <tableColumn id="8" xr3:uid="{A270AA13-7071-42EF-A046-B4DCC9F77039}" name="ref3" dataDxfId="948">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947" dataDxfId="945" headerRowBorderDxfId="946" tableBorderDxfId="944">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943"/>
    <tableColumn id="2" xr3:uid="{266F0460-DFE8-4B54-B7FB-8BF472A46C7C}" name="Category" dataDxfId="942"/>
    <tableColumn id="3" xr3:uid="{0EC6E89F-319E-408D-8C04-34D16F6F7BE3}" name="Account or Explanation" dataDxfId="941"/>
    <tableColumn id="4" xr3:uid="{F96BD9D3-DFB0-4849-9142-D98B5C121370}" name="Amount" dataDxfId="940"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939" dataDxfId="938">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937" dataCellStyle="Comma"/>
    <tableColumn id="3" xr3:uid="{76F1928F-7790-4A7B-B557-60DAF4A9DB71}" name="IncreasedBy" dataDxfId="936">
      <calculatedColumnFormula>IF(BegBalanceSheet_Assets[[#This Row],[Account]]="","",_xlfn.XLOOKUP(BegBalanceSheet_Assets[[#This Row],[Account]],MD_Asset[Account Name],MD_Asset[IncreasedBy]))</calculatedColumnFormula>
    </tableColumn>
    <tableColumn id="4" xr3:uid="{4256ECCE-5AB6-4DD6-BEC1-77BB54423BB3}" name="Num" dataDxfId="935"/>
    <tableColumn id="5" xr3:uid="{70BCD453-CAB3-4112-9FD0-BE2BB317DE05}" name="Current/Non-Current" dataDxfId="934">
      <calculatedColumnFormula>IF(BegBalanceSheet_Assets[[#This Row],[Account]]="","",_xlfn.XLOOKUP(BegBalanceSheet_Assets[[#This Row],[Account]],MD_Asset[Account Name],MD_Asset[C/NC]))</calculatedColumnFormula>
    </tableColumn>
    <tableColumn id="6" xr3:uid="{12FF5705-9B21-4A8E-A325-0F08D809FAED}" name="Abbr" dataDxfId="933">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932" dataDxfId="931">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930" dataCellStyle="Comma"/>
    <tableColumn id="3" xr3:uid="{ECE8B97B-5B8E-47E7-A483-944FE0257BC2}" name="IncreasedBy" dataDxfId="929"/>
    <tableColumn id="4" xr3:uid="{89934FEA-EAA4-429D-9051-394E93CA52BD}" name="Num" dataDxfId="928"/>
    <tableColumn id="5" xr3:uid="{19BAEBBD-B691-4E22-9AEE-864CEA23A5B9}" name="Current/Non-Current" dataDxfId="927">
      <calculatedColumnFormula>IF(BegBalanceSheet_Liabilities[[#This Row],[Account]]="","",_xlfn.XLOOKUP(BegBalanceSheet_Liabilities[[#This Row],[Account]],MD_Liability[Account Name],MD_Liability[C/NC]))</calculatedColumnFormula>
    </tableColumn>
    <tableColumn id="6" xr3:uid="{BA7E299E-6128-4ADE-9351-F1E1A4506958}" name="Abbr" dataDxfId="926">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925" dataDxfId="924">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923" dataCellStyle="Comma"/>
    <tableColumn id="3" xr3:uid="{23E949B4-2F6D-438D-BB73-060B774D2B54}" name="IncreasedBy" dataDxfId="922">
      <calculatedColumnFormula>IF(BegBalanceSheet_Equities[[#This Row],[Account]]="","",_xlfn.XLOOKUP(BegBalanceSheet_Equities[[#This Row],[Account]],MD_Equity[Account Name],MD_Equity[IncreasedBy]))</calculatedColumnFormula>
    </tableColumn>
    <tableColumn id="4" xr3:uid="{ADD6B0D9-ABBF-42AD-9251-C8D711895015}" name="Num" dataDxfId="921"/>
    <tableColumn id="5" xr3:uid="{7D3BB027-839B-4202-9A69-21EDE11F27B2}" name="Abbr" dataDxfId="920">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919" tableBorderDxfId="918">
  <autoFilter ref="D34:F49" xr:uid="{91A3B848-88DF-496C-BB8E-B2A418F1D599}"/>
  <tableColumns count="3">
    <tableColumn id="1" xr3:uid="{F238ECCC-D03A-4216-AF86-D9ACC613BBEB}" name="Item" dataDxfId="917"/>
    <tableColumn id="2" xr3:uid="{92F765C4-1403-4543-84E4-2BD6DCE7548D}" name="Tab" dataDxfId="916"/>
    <tableColumn id="3" xr3:uid="{0B3964CB-C056-44E0-9D40-A6D799DA7069}" name="Action" dataDxfId="91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914">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913"/>
    <tableColumn id="2" xr3:uid="{C979E1DE-98E0-4265-8B66-94D8E2538908}" name="Account"/>
    <tableColumn id="4" xr3:uid="{A340225C-70A7-49E5-8A4B-7951DB8EAE1D}" name="Used" dataDxfId="912" dataCellStyle="Comma">
      <calculatedColumnFormula>IF(ABS(CFS_CFO[[#This Row],[AmtJournal]])&gt;0,1,0)</calculatedColumnFormula>
    </tableColumn>
    <tableColumn id="5" xr3:uid="{35BB5300-E4A7-4622-92F7-A839F3F7FD8F}" name="Order" dataDxfId="911" dataCellStyle="Comma"/>
    <tableColumn id="3" xr3:uid="{4F107228-F841-439B-BA39-90E3723B1C90}" name="AmtJournal" dataDxfId="910" dataCellStyle="Comma"/>
    <tableColumn id="6" xr3:uid="{1D750789-0B80-4A6E-8F89-6851FD86F1AF}" name="AmtAnswer" dataDxfId="909" dataCellStyle="Comma"/>
    <tableColumn id="7" xr3:uid="{E72AFA70-B67D-477D-9661-6B7CBB6DCF92}" name="AmtFSBuilder" dataDxfId="908" dataCellStyle="Comma"/>
    <tableColumn id="8" xr3:uid="{F67CB5F2-7C00-46C7-B4E1-74173CB7AFDC}" name="UsedJournal" dataDxfId="907" dataCellStyle="Comma">
      <calculatedColumnFormula>IF(CFS_CFO[[#This Row],[AmtJournal]]&lt;&gt;0,1,0)</calculatedColumnFormula>
    </tableColumn>
    <tableColumn id="9" xr3:uid="{B11D44D5-50AC-4871-8F86-178DC90306BD}" name="UsedAnswer" dataDxfId="906" dataCellStyle="Comma">
      <calculatedColumnFormula>IF(CFS_CFO[[#This Row],[AmtAnswer]]&lt;&gt;0,1,0)</calculatedColumnFormula>
    </tableColumn>
    <tableColumn id="10" xr3:uid="{3C05333E-633A-4162-819C-3832126E1E72}" name="UsedFSBuilder" dataDxfId="905"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904">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903"/>
    <tableColumn id="2" xr3:uid="{7D0C8268-C7FE-40F1-BD1F-EE0F898D09D0}" name="Account"/>
    <tableColumn id="4" xr3:uid="{22EE3FCD-134F-469C-9767-64394179CDD5}" name="Used" dataDxfId="902" dataCellStyle="Comma">
      <calculatedColumnFormula>IF(ABS(CFS_CFF[[#This Row],[AmtJournal]])&gt;0,1,0)</calculatedColumnFormula>
    </tableColumn>
    <tableColumn id="5" xr3:uid="{047EC8F9-EECC-42B5-86A3-81CD4A26A912}" name="Order" dataDxfId="901"/>
    <tableColumn id="3" xr3:uid="{A32B1B92-9CE3-4A49-9510-C6B886FCF425}" name="AmtJournal" dataDxfId="900" dataCellStyle="Comma"/>
    <tableColumn id="6" xr3:uid="{1CF345F6-8754-4B3A-820D-46333E0BF949}" name="AmtAnswer" dataDxfId="899" dataCellStyle="Comma"/>
    <tableColumn id="7" xr3:uid="{9606AF00-8794-485E-A2CB-B752C076AAFC}" name="AmtFSBuilder" dataDxfId="898"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897" dataCellStyle="Comma">
      <calculatedColumnFormula>IF(CFS_CFF[[#This Row],[AmtJournal]]&lt;&gt;0,1,0)</calculatedColumnFormula>
    </tableColumn>
    <tableColumn id="9" xr3:uid="{ABC5E567-EFA4-4C47-89DB-CEDE2319E38F}" name="UsedAnswer" dataDxfId="896" dataCellStyle="Comma">
      <calculatedColumnFormula>IF(CFS_CFF[[#This Row],[AmtAnswer]]&lt;&gt;0,1,0)</calculatedColumnFormula>
    </tableColumn>
    <tableColumn id="10" xr3:uid="{86BB094A-05E8-45EF-8F83-7E665B2B5CDD}" name="UsedFSBuilder" dataDxfId="895"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894">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893"/>
    <tableColumn id="2" xr3:uid="{FDB7C03D-9C43-43F7-A3FA-9486954781A4}" name="Account"/>
    <tableColumn id="4" xr3:uid="{CC0225AE-5F62-4F2E-A970-4CD61A5ED5E6}" name="Used" dataDxfId="892">
      <calculatedColumnFormula>IF(ABS(CFSummary[[#This Row],[AmtJournal]])&gt;0,1,0)</calculatedColumnFormula>
    </tableColumn>
    <tableColumn id="5" xr3:uid="{6CBCFDAA-355F-4E59-A9EB-2CC0BEED4AF7}" name="Order" dataDxfId="891"/>
    <tableColumn id="3" xr3:uid="{2EE0972A-88F0-410C-BC17-55FF63114E75}" name="AmtJournal" dataDxfId="890" dataCellStyle="Comma"/>
    <tableColumn id="6" xr3:uid="{98F870A3-5FCA-4012-AFA9-F21C5084B405}" name="AmtAnswer" dataDxfId="889"/>
    <tableColumn id="7" xr3:uid="{EA3EA3A8-12C8-4198-B0C8-836D230F18D1}" name="AmtFSBuilder" dataDxfId="888"/>
    <tableColumn id="8" xr3:uid="{5D5D65E6-700A-4D05-ABBE-DEAB73176FDA}" name="UsedJournal" dataDxfId="887" dataCellStyle="Comma">
      <calculatedColumnFormula>IF(CFSummary[[#This Row],[AmtJournal]]&lt;&gt;0,1,0)</calculatedColumnFormula>
    </tableColumn>
    <tableColumn id="9" xr3:uid="{FFAE4671-A64B-4931-A733-470EFC9142E2}" name="UsedAnswer" dataDxfId="886" dataCellStyle="Comma">
      <calculatedColumnFormula>IF(CFSummary[[#This Row],[AmtAnswer]]&lt;&gt;0,1,0)</calculatedColumnFormula>
    </tableColumn>
    <tableColumn id="10" xr3:uid="{181EE744-778D-4E6A-8C91-CA55B4A4AD7C}" name="UsedFSBuilder" dataDxfId="885"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884">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883">
      <calculatedColumnFormula array="1">_xlfn.IFS(Noncash_IF[[#This Row],[UsedAnswer]]=1,6,Noncash_IF[[#This Row],[UsedAnswer]]=0,8)</calculatedColumnFormula>
    </tableColumn>
    <tableColumn id="2" xr3:uid="{A695D8E3-75C1-41B3-A6D4-5F8250EBD504}" name="Account"/>
    <tableColumn id="4" xr3:uid="{0C1F8588-99E8-4E52-B71A-5A08F394951A}" name="Used" dataDxfId="882" dataCellStyle="Comma">
      <calculatedColumnFormula>IF(ABS(Noncash_IF[[#This Row],[AmtJournal]])&gt;0,1,0)</calculatedColumnFormula>
    </tableColumn>
    <tableColumn id="5" xr3:uid="{0B82389B-4ACD-4A0B-9049-A5E80406C645}" name="Order" dataDxfId="881" dataCellStyle="Comma"/>
    <tableColumn id="3" xr3:uid="{426B1C28-3064-4CED-9DD5-103009CD4DE2}" name="AmtJournal" dataDxfId="880" dataCellStyle="Currency"/>
    <tableColumn id="6" xr3:uid="{8DD68E16-5546-437F-8D33-D655720CA653}" name="AmtAnswer" dataDxfId="879" dataCellStyle="Currency"/>
    <tableColumn id="7" xr3:uid="{711E9051-D65C-4A77-97CC-32D43728651C}" name="AmtFSBuilder" dataDxfId="878" dataCellStyle="Currency"/>
    <tableColumn id="8" xr3:uid="{F58435D5-7AB2-4FDC-9B4F-8973349247FB}" name="UsedJournal" dataDxfId="877" dataCellStyle="Comma">
      <calculatedColumnFormula>IF(Noncash_IF[[#This Row],[AmtJournal]]&lt;&gt;0,1,0)</calculatedColumnFormula>
    </tableColumn>
    <tableColumn id="9" xr3:uid="{64E6A657-5239-425A-BF54-7183827FD7B4}" name="UsedAnswer" dataDxfId="876" dataCellStyle="Comma">
      <calculatedColumnFormula>IF(Noncash_IF[[#This Row],[AmtAnswer]]&lt;&gt;0,1,0)</calculatedColumnFormula>
    </tableColumn>
    <tableColumn id="10" xr3:uid="{B8D9C671-D9A2-4670-8D6C-29DC37920B81}" name="UsedFSBuilder" dataDxfId="875"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874">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873"/>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872" dataCellStyle="Comma"/>
    <tableColumn id="6" xr3:uid="{FAB344C6-1BA2-4BEC-9076-94DFE05F6CA2}" name="AmtAnswer" dataDxfId="871" dataCellStyle="Comma"/>
    <tableColumn id="7" xr3:uid="{6C8BF49C-A390-4400-B3B1-15F36A9D525A}" name="AmtFSBuilder" dataDxfId="870" dataCellStyle="Comma"/>
    <tableColumn id="8" xr3:uid="{71E3EC72-439B-4585-A612-EEC44FFE2BE7}" name="UsedJournal" dataDxfId="869" dataCellStyle="Comma">
      <calculatedColumnFormula>IF(CFS_CFI[[#This Row],[AmtJournal]]&lt;&gt;0,1,0)</calculatedColumnFormula>
    </tableColumn>
    <tableColumn id="9" xr3:uid="{7D552421-AFBF-4A05-A442-ED6D3875FF4E}" name="UsedAnswer" dataDxfId="868" dataCellStyle="Comma">
      <calculatedColumnFormula>IF(CFS_CFI[[#This Row],[AmtAnswer]]&lt;&gt;0,1,0)</calculatedColumnFormula>
    </tableColumn>
    <tableColumn id="10" xr3:uid="{D908AAC1-D260-48A3-B63C-C94040167B05}" name="UsedFSBuilder" dataDxfId="867"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866">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865"/>
    <tableColumn id="1" xr3:uid="{561C194A-A776-42F5-BF22-2C6848E1EA5A}" name="Account"/>
    <tableColumn id="4" xr3:uid="{3F47EF13-617B-47DD-B7AF-7CF011B3A922}" name="Used" dataDxfId="864" dataCellStyle="Comma">
      <calculatedColumnFormula>_xlfn.XLOOKUP(BCurrAssets[[#This Row],[Account]],MD_Asset[Account Name],MD_Asset[Used])</calculatedColumnFormula>
    </tableColumn>
    <tableColumn id="5" xr3:uid="{17C1BC8F-151D-4115-809E-9AB8820AAF79}" name="Order" dataDxfId="863" dataCellStyle="Comma"/>
    <tableColumn id="2" xr3:uid="{11F71E89-F7C2-454B-8115-F19FA5E61EFA}" name="Amt" dataDxfId="862"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861"/>
    <tableColumn id="1" xr3:uid="{9FE0EA84-BC21-40DB-A254-5F33AC450BFC}" name="Account"/>
    <tableColumn id="3" xr3:uid="{07704EFD-4F84-4F1D-88EF-587A68C418E6}" name="Used" dataDxfId="860" dataCellStyle="Comma"/>
    <tableColumn id="4" xr3:uid="{BA36FE0B-61AD-41C8-B1C9-76D8E10E1563}" name="Order" dataDxfId="859" dataCellStyle="Comma"/>
    <tableColumn id="2" xr3:uid="{0F441A19-1404-4F65-9B27-991C937F705A}" name="Amt" dataDxfId="858"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857">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856"/>
    <tableColumn id="2" xr3:uid="{15EABE1E-ADCB-47EF-A1CC-FB40DDD413AF}" name="Account"/>
    <tableColumn id="4" xr3:uid="{3446D35B-E133-4503-BAEF-ADFC89172FF0}" name="Used" dataDxfId="855" dataCellStyle="Comma"/>
    <tableColumn id="5" xr3:uid="{E0189AB4-DEA5-41C3-8E77-72B4306BCF66}" name="Order" dataDxfId="854" dataCellStyle="Comma"/>
    <tableColumn id="3" xr3:uid="{33073D69-1DFF-426E-A0F1-4A81735B0042}" name="Amt" dataDxfId="853"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852" headerRowBorderDxfId="851" tableBorderDxfId="850">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849"/>
    <tableColumn id="2" xr3:uid="{11FF11E6-4E54-484B-B0DD-0BB874F94388}" name="Account"/>
    <tableColumn id="4" xr3:uid="{389BC542-B71B-4F0F-B1FA-5D9F2E84C3EC}" name="Used" dataDxfId="848" dataCellStyle="Comma"/>
    <tableColumn id="5" xr3:uid="{B4F1A7FF-D5CD-4CFE-B746-BD7C2F91AC95}" name="Order" dataDxfId="847" dataCellStyle="Comma"/>
    <tableColumn id="3" xr3:uid="{256315AA-495F-4F58-A9E6-6CA9A6D68E47}" name="Amt" dataDxfId="846"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845" headerRowBorderDxfId="844" tableBorderDxfId="843">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842">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841"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840" dataCellStyle="Comma"/>
    <tableColumn id="3" xr3:uid="{F5377A7F-0140-4E65-B102-9C1FDBF7CF7E}" name="Amt" dataDxfId="839"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838">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837">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836"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835" dataCellStyle="Comma"/>
    <tableColumn id="3" xr3:uid="{7AB45A2B-2C08-44D0-A1E1-E192B63477A1}" name="AmtJournal" dataDxfId="834" dataCellStyle="Comma">
      <calculatedColumnFormula>ROUND(SUMIFS(Journal[Cr Amt],Journal[Credit Account],I10,Journal[ref1],"&lt;&gt;CL"),2)</calculatedColumnFormula>
    </tableColumn>
    <tableColumn id="6" xr3:uid="{5995A2F5-A16D-4733-9127-D81DEBCAB6F3}" name="AmtAnswer" dataDxfId="833" dataCellStyle="Comma">
      <calculatedColumnFormula>ROUND(SUMIFS(JournalAnswer[Cr Amt],JournalAnswer[Credit Account],I10,JournalAnswer[ref1],"&lt;&gt;CL"),2)</calculatedColumnFormula>
    </tableColumn>
    <tableColumn id="7" xr3:uid="{DF153ADB-A0C4-432B-87B3-B014F1666789}" name="AmtFSBuilder" dataDxfId="832"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831" dataCellStyle="Comma">
      <calculatedColumnFormula>IS_Revenues[[#This Row],[Used]]*(IS_Revenues[[#This Row],[AmtJournal]]&lt;&gt;0)</calculatedColumnFormula>
    </tableColumn>
    <tableColumn id="9" xr3:uid="{ACE17015-CC95-4A6F-AA2D-B52339A25225}" name="UsedAnswer" dataDxfId="830" dataCellStyle="Comma">
      <calculatedColumnFormula>IS_Revenues[[#This Row],[Used]]*(IS_Revenues[[#This Row],[AmtAnswer]]&lt;&gt;0)</calculatedColumnFormula>
    </tableColumn>
    <tableColumn id="10" xr3:uid="{D86A3FCD-DBE6-4BAF-A80A-72D86E4A1FEB}" name="UsedFSBuilder" dataDxfId="829"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828" headerRowBorderDxfId="827" tableBorderDxfId="826">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825">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824"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823" dataCellStyle="Comma"/>
    <tableColumn id="3" xr3:uid="{4365BCCB-4B5C-4DF2-9A46-28AFCF9DE28C}" name="AmtJournal" dataDxfId="822" dataCellStyle="Comma">
      <calculatedColumnFormula>ROUND(SUMIFS(Journal[Dr Amt],Journal[Debit Account],I19,Journal[ref1],"&lt;&gt;CL"),2)</calculatedColumnFormula>
    </tableColumn>
    <tableColumn id="6" xr3:uid="{0708CB6D-A19E-4BED-83C7-3E62514B20E9}" name="AmtAnswer" dataDxfId="821" dataCellStyle="Comma">
      <calculatedColumnFormula>ROUND(SUMIFS(JournalAnswer[Dr Amt],JournalAnswer[Debit Account],I19,JournalAnswer[ref1],"&lt;&gt;CL"),2)</calculatedColumnFormula>
    </tableColumn>
    <tableColumn id="7" xr3:uid="{95BCC85B-D155-4AF7-832E-D2893F703DB2}" name="AmtFSBuilder" dataDxfId="820"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819" dataCellStyle="Comma">
      <calculatedColumnFormula>IS_Expenses[[#This Row],[Used]]*(IS_Expenses[[#This Row],[AmtJournal]]&lt;&gt;0)</calculatedColumnFormula>
    </tableColumn>
    <tableColumn id="9" xr3:uid="{D8D79DB2-3D71-4503-9023-1CB7EC354D68}" name="UsedAnswer" dataDxfId="818" dataCellStyle="Comma">
      <calculatedColumnFormula>IS_Expenses[[#This Row],[Used]]*(IS_Expenses[[#This Row],[AmtAnswer]]&lt;&gt;0)</calculatedColumnFormula>
    </tableColumn>
    <tableColumn id="10" xr3:uid="{A3CE7176-834B-4E44-BE5B-A74A8ADB5FEA}" name="UsedFSBuilder" dataDxfId="817"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816" headerRowBorderDxfId="815" tableBorderDxfId="814">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813">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812"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811" dataCellStyle="Comma">
      <calculatedColumnFormula>IS_Gains[[#This Row],[Used]]</calculatedColumnFormula>
    </tableColumn>
    <tableColumn id="3" xr3:uid="{C69D25B7-2811-4DE0-9EE3-4D1008CC57AC}" name="AmtJournal" dataDxfId="810" dataCellStyle="Comma">
      <calculatedColumnFormula>ROUND(SUMIFS(Journal[Cr Amt],Journal[Credit Account],I36,Journal[ref1],"&lt;&gt;CL"),2)</calculatedColumnFormula>
    </tableColumn>
    <tableColumn id="6" xr3:uid="{D188D3E4-9F93-4B5D-A49C-2B613984C38D}" name="AmtAnswer" dataDxfId="809" dataCellStyle="Comma">
      <calculatedColumnFormula>ROUND(SUMIFS(JournalAnswer[Cr Amt],JournalAnswer[Credit Account],I36,JournalAnswer[ref1],"&lt;&gt;CL"),2)</calculatedColumnFormula>
    </tableColumn>
    <tableColumn id="7" xr3:uid="{164F7945-01C2-43CC-85E9-CC6E6100A4B7}" name="AmtFSBuilder" dataDxfId="808"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807" dataCellStyle="Comma">
      <calculatedColumnFormula>IS_Gains[[#This Row],[Used]]*(IS_Gains[[#This Row],[AmtJournal]]&lt;&gt;0)</calculatedColumnFormula>
    </tableColumn>
    <tableColumn id="9" xr3:uid="{6EEBA404-45AA-458E-978F-9D126EE4813F}" name="UsedAnswer" dataDxfId="806" dataCellStyle="Comma">
      <calculatedColumnFormula>IS_Gains[[#This Row],[Used]]*(IS_Gains[[#This Row],[AmtAnswer]]&lt;&gt;0)</calculatedColumnFormula>
    </tableColumn>
    <tableColumn id="10" xr3:uid="{1DAAB9C0-04D8-4DF2-A698-B9144A5BCB05}" name="UsedFSBuilder" dataDxfId="805"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804" headerRowBorderDxfId="803" tableBorderDxfId="802">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801">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800"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799" dataCellStyle="Comma">
      <calculatedColumnFormula>IS_Losses[[#This Row],[Used]]</calculatedColumnFormula>
    </tableColumn>
    <tableColumn id="3" xr3:uid="{0443DBCD-4B7B-48FF-B44C-70DF96D293C3}" name="AmtJournal" dataDxfId="798" dataCellStyle="Comma">
      <calculatedColumnFormula>ROUND(SUMIFS(Journal[Dr Amt],Journal[Debit Account],I46,Journal[ref1],"&lt;&gt;CL"),2)</calculatedColumnFormula>
    </tableColumn>
    <tableColumn id="6" xr3:uid="{B236751E-63DD-49D0-BA7A-49DCB432EC81}" name="AmtAnswer" dataDxfId="797" dataCellStyle="Comma">
      <calculatedColumnFormula>ROUND(SUMIFS(JournalAnswer[Dr Amt],JournalAnswer[Debit Account],I46,JournalAnswer[ref1],"&lt;&gt;CL"),2)</calculatedColumnFormula>
    </tableColumn>
    <tableColumn id="7" xr3:uid="{7DE7A66B-1C7C-40F4-BAAF-DA107899C190}" name="AmtFSBuilder" dataDxfId="796"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795" dataCellStyle="Comma">
      <calculatedColumnFormula>IS_Losses[[#This Row],[Used]]*(IS_Losses[[#This Row],[AmtJournal]]&lt;&gt;0)</calculatedColumnFormula>
    </tableColumn>
    <tableColumn id="9" xr3:uid="{B84868FB-114F-4EE2-9445-EDEABDE5F42D}" name="UsedAnswer" dataDxfId="794" dataCellStyle="Comma">
      <calculatedColumnFormula>IS_Losses[[#This Row],[Used]]*(IS_Losses[[#This Row],[AmtAnswer]]&lt;&gt;0)</calculatedColumnFormula>
    </tableColumn>
    <tableColumn id="10" xr3:uid="{3495D9AB-1B39-4151-979A-9A10CC246B50}" name="UsedFSBuilder" dataDxfId="793"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792" dataDxfId="791" tableBorderDxfId="790">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789"/>
    <tableColumn id="2" xr3:uid="{6BD4CCD8-57A6-4DA7-BC61-4410D3F047F6}" name="Account"/>
    <tableColumn id="4" xr3:uid="{3FEE1BAF-5AA2-493E-A4B3-59CD85D2D131}" name="Used" dataDxfId="788"/>
    <tableColumn id="5" xr3:uid="{EC892AE4-D34F-4C59-B1FB-C3453C8081A5}" name="Order" dataDxfId="787"/>
    <tableColumn id="3" xr3:uid="{D0298E0F-A9DE-4679-A59A-5C8B76D60DA7}" name="AmtJournal" dataDxfId="786"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785">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784">
      <calculatedColumnFormula array="1">IF(OCI[[#This Row],[Account]]&lt;&gt;"",_xlfn._xlws.FILTER(FSBuilder[Amount],FSBuilder[Account or Explanation]=OCI[[#This Row],[Account]],0),"")</calculatedColumnFormula>
    </tableColumn>
    <tableColumn id="8" xr3:uid="{BA1E7655-2E8F-454F-B42C-1F28E81D9A35}" name="UsedJournal" dataDxfId="783" dataCellStyle="Comma">
      <calculatedColumnFormula>OCI[[#This Row],[Used]]*(OCI[[#This Row],[AmtJournal]]&lt;&gt;0)</calculatedColumnFormula>
    </tableColumn>
    <tableColumn id="9" xr3:uid="{BC8875B6-03E5-4FBB-AB15-58A272F623FB}" name="UsedAnswer" dataDxfId="782" dataCellStyle="Comma">
      <calculatedColumnFormula>OCI[[#This Row],[Used]]*(OCI[[#This Row],[AmtAnswer]]&lt;&gt;0)</calculatedColumnFormula>
    </tableColumn>
    <tableColumn id="10" xr3:uid="{E547EE7F-3626-402B-B6E3-3332096FCD68}" name="UsedFSBuilder" dataDxfId="781"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780" dataDxfId="778" headerRowBorderDxfId="779" tableBorderDxfId="777"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776">
      <calculatedColumnFormula>IF(NI_CFO_Recon_Gains[[#This Row],[Used]]=1,7,8)</calculatedColumnFormula>
    </tableColumn>
    <tableColumn id="2" xr3:uid="{89768613-5F56-4FED-A267-CDAF7DDA594F}" name="Account"/>
    <tableColumn id="4" xr3:uid="{539062B2-8F2F-485A-A7AB-A946F1B9481F}" name="Used" dataDxfId="775" dataCellStyle="Comma">
      <calculatedColumnFormula>IF(ABS(NI_CFO_Recon_Gains[[#This Row],[AmtJournal]])&gt;0,1,0)</calculatedColumnFormula>
    </tableColumn>
    <tableColumn id="5" xr3:uid="{7EC65547-A83C-4CD7-A203-FA9033ABB41E}" name="Order" dataDxfId="774" dataCellStyle="Comma"/>
    <tableColumn id="3" xr3:uid="{8E21EE18-9345-43B9-9050-CA8AB2B5A830}" name="AmtJournal" dataDxfId="773" dataCellStyle="Comma">
      <calculatedColumnFormula>ROUND(-SUMIF(Journal[Credit Account],BB11,Journal[Cr Amt]),2)</calculatedColumnFormula>
    </tableColumn>
    <tableColumn id="6" xr3:uid="{06EF57C4-F43F-4ECE-BAA8-8EC645F449B7}" name="AmtAnswer" dataDxfId="772" dataCellStyle="Comma">
      <calculatedColumnFormula>ROUND(-SUMIF(JournalAnswer[Credit Account],NI_CFO_Recon_Gains[[#This Row],[Account]],JournalAnswer[Cr Amt]),2)</calculatedColumnFormula>
    </tableColumn>
    <tableColumn id="7" xr3:uid="{8FECE9DA-340D-42F0-BF75-40413D49CFE6}" name="AmtFSBuilder" dataDxfId="771"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770" dataCellStyle="Comma">
      <calculatedColumnFormula>IF(ABS(NI_CFO_Recon_Gains[[#This Row],[AmtJournal]])&gt;0,1,0)</calculatedColumnFormula>
    </tableColumn>
    <tableColumn id="9" xr3:uid="{F4F3B3C0-92ED-406E-8F8C-C449046F2711}" name="UsedAnswer" dataDxfId="769" dataCellStyle="Comma">
      <calculatedColumnFormula>IF(ABS(NI_CFO_Recon_Gains[[#This Row],[AmtAnswer]])&gt;0,1,0)</calculatedColumnFormula>
    </tableColumn>
    <tableColumn id="10" xr3:uid="{4A7CBBC6-6BB6-4AD7-9FD4-7B080421163B}" name="UsedFSBuilder" dataDxfId="768"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767" dataDxfId="765" headerRowBorderDxfId="766" tableBorderDxfId="764"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763">
      <calculatedColumnFormula>IF(NI_CFO_Recon_Losses[[#This Row],[Used]]=1,7,8)</calculatedColumnFormula>
    </tableColumn>
    <tableColumn id="2" xr3:uid="{161C1AAA-DAFA-45CC-B71F-93741CD42CC8}" name="Account"/>
    <tableColumn id="4" xr3:uid="{27E521A3-7864-4784-BAE5-E9EFE7179F20}" name="Used" dataDxfId="762" dataCellStyle="Comma">
      <calculatedColumnFormula>IF(ABS(NI_CFO_Recon_Losses[[#This Row],[AmtJournal]])&gt;0,1,0)</calculatedColumnFormula>
    </tableColumn>
    <tableColumn id="5" xr3:uid="{0E2834CE-EDDF-41A7-BC61-A2D01ABC9CD2}" name="Order" dataDxfId="761" dataCellStyle="Comma"/>
    <tableColumn id="3" xr3:uid="{61D5EF8D-6024-4333-BA78-78DC06661CE8}" name="AmtJournal" dataDxfId="760" dataCellStyle="Comma">
      <calculatedColumnFormula>ROUND(SUMIF(Journal[Debit Account],BB20,Journal[Dr Amt]),2)</calculatedColumnFormula>
    </tableColumn>
    <tableColumn id="6" xr3:uid="{040379AC-9F11-49FA-BED9-2B1132A5FBAA}" name="AmtAnswer" dataDxfId="759" dataCellStyle="Comma">
      <calculatedColumnFormula>ROUND(SUMIF(JournalAnswer[Debit Account],NI_CFO_Recon_Losses[[#This Row],[Account]],JournalAnswer[Dr Amt]),2)</calculatedColumnFormula>
    </tableColumn>
    <tableColumn id="7" xr3:uid="{0A66C726-702C-450E-9004-5734B19A1BBD}" name="AmtFSBuilder" dataDxfId="758"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757" dataCellStyle="Comma">
      <calculatedColumnFormula>IF(ABS(NI_CFO_Recon_Losses[[#This Row],[AmtJournal]])&gt;0,1,0)</calculatedColumnFormula>
    </tableColumn>
    <tableColumn id="9" xr3:uid="{88ED515D-8E74-4CB0-8F40-5A487942305C}" name="UsedAnswer" dataDxfId="756" dataCellStyle="Comma">
      <calculatedColumnFormula>IF(ABS(NI_CFO_Recon_Losses[[#This Row],[AmtAnswer]])&gt;0,1,0)</calculatedColumnFormula>
    </tableColumn>
    <tableColumn id="10" xr3:uid="{A17B31AB-381D-4220-AA7D-B48C833AA79C}" name="UsedFSBuilder" dataDxfId="755"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754" dataDxfId="752" headerRowBorderDxfId="753" tableBorderDxfId="751"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750">
      <calculatedColumnFormula>IF(NI_CFO_Recon_Other[[#This Row],[Used]]=1,7,8)</calculatedColumnFormula>
    </tableColumn>
    <tableColumn id="2" xr3:uid="{A5B1CF8A-8BD8-42B9-88F3-3FEA32039137}" name="Account"/>
    <tableColumn id="4" xr3:uid="{C6183EE5-C4EE-4F7D-925B-6B64C3DF2508}" name="Used" dataDxfId="749" dataCellStyle="Comma">
      <calculatedColumnFormula>IF(ABS(NI_CFO_Recon_Other[[#This Row],[AmtJournal]])&gt;0,1,0)</calculatedColumnFormula>
    </tableColumn>
    <tableColumn id="5" xr3:uid="{0966E7C8-EE38-4189-8B49-8CAE5430115F}" name="Order" dataDxfId="748" dataCellStyle="Comma"/>
    <tableColumn id="3" xr3:uid="{EFF01D3C-1A9D-4FDF-AB94-E2895C2A0F8C}" name="AmtJournal" dataDxfId="747" dataCellStyle="Comma"/>
    <tableColumn id="6" xr3:uid="{FF4D95C3-9140-4E97-8625-D8EF2FCDD749}" name="AmtAnswer" dataDxfId="746" dataCellStyle="Comma"/>
    <tableColumn id="7" xr3:uid="{F8253E37-881B-4DA4-82A6-9E5A0FBBC5B2}" name="AmtFSBuilder" dataDxfId="745"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744" dataCellStyle="Comma">
      <calculatedColumnFormula>IF(ABS(NI_CFO_Recon_Other[[#This Row],[AmtJournal]])&gt;0,1,0)</calculatedColumnFormula>
    </tableColumn>
    <tableColumn id="9" xr3:uid="{CAFB8D68-A0A9-41AB-909A-951C7DE9D9B5}" name="UsedAnswer" dataDxfId="743" dataCellStyle="Comma">
      <calculatedColumnFormula>IF(ABS(NI_CFO_Recon_Other[[#This Row],[AmtAnswer]])&gt;0,1,0)</calculatedColumnFormula>
    </tableColumn>
    <tableColumn id="10" xr3:uid="{BCFE4412-31A2-4269-881F-F7B14D005693}" name="UsedFSBuilder" dataDxfId="742"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741" headerRowBorderDxfId="740" tableBorderDxfId="739">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738">
      <calculatedColumnFormula>IF(NI_CFO_Recon_Assets[[#This Row],[Used]]=1,7,8)</calculatedColumnFormula>
    </tableColumn>
    <tableColumn id="2" xr3:uid="{16F61B74-591E-4BC7-8539-5228FAE28F78}" name="Account"/>
    <tableColumn id="4" xr3:uid="{EF2F3F6D-4C1C-42AB-B52F-A110DE59E042}" name="Used" dataDxfId="737" dataCellStyle="Comma">
      <calculatedColumnFormula>IF(ABS(NI_CFO_Recon_Assets[[#This Row],[AmtJournal]])&gt;0,1,0)</calculatedColumnFormula>
    </tableColumn>
    <tableColumn id="5" xr3:uid="{3E6F783D-CC7A-4AA4-B47D-66AA3154A93E}" name="Order" dataDxfId="736"/>
    <tableColumn id="3" xr3:uid="{627C1042-E758-465C-A99B-42E17393D5E3}" name="AmtJournal" dataDxfId="735">
      <calculatedColumnFormula>ROUND(SUMIFS(Journal[Cr Amt],Journal[Credit Account],$BB39,Journal[ref3],"TRUE")-SUMIFS(Journal[Dr Amt],Journal[Debit Account],$BB39,Journal[ref3],"TRUE"),2)</calculatedColumnFormula>
    </tableColumn>
    <tableColumn id="6" xr3:uid="{81887509-0E15-40D2-8328-0045D594B774}" name="AmtAnswer" dataDxfId="734">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733">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732">
      <calculatedColumnFormula>IF(ABS(NI_CFO_Recon_Assets[[#This Row],[AmtJournal]])&gt;0,1,0)</calculatedColumnFormula>
    </tableColumn>
    <tableColumn id="9" xr3:uid="{F1F1C8F9-A14E-43E6-A8F7-A182A6E5EA5C}" name="UsedAnswer" dataDxfId="731">
      <calculatedColumnFormula>IF(ABS(NI_CFO_Recon_Assets[[#This Row],[AmtAnswer]])&gt;0,1,0)</calculatedColumnFormula>
    </tableColumn>
    <tableColumn id="10" xr3:uid="{FA5BC2F5-B565-4E8D-9C0A-E05FC8083A7B}" name="UsedFSBuilder" dataDxfId="730">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729" headerRowBorderDxfId="728" tableBorderDxfId="727">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726">
      <calculatedColumnFormula>IF(NI_CFO_Recon_Liabilities[[#This Row],[Used]]=1,7,8)</calculatedColumnFormula>
    </tableColumn>
    <tableColumn id="2" xr3:uid="{833A6A82-1AC0-4434-89CB-DBFDEF981F57}" name="Account"/>
    <tableColumn id="4" xr3:uid="{7A9A9689-F2DE-4D6A-8A9A-7856ABAD5BED}" name="Used" dataDxfId="725">
      <calculatedColumnFormula>IF(ABS(NI_CFO_Recon_Liabilities[[#This Row],[AmtJournal]])&gt;0,1,0)</calculatedColumnFormula>
    </tableColumn>
    <tableColumn id="5" xr3:uid="{78D2EA5E-E253-4140-B02E-F7D512E0974C}" name="Order" dataDxfId="724"/>
    <tableColumn id="3" xr3:uid="{1A8F577A-F79B-4461-A2FB-EB0F2535E818}" name="AmtJournal" dataDxfId="723">
      <calculatedColumnFormula>ROUND(-SUMIFS(Journal[Dr Amt],Journal[Debit Account],BB57,Journal[ref3],"TRUE")+SUMIFS(Journal[Cr Amt],Journal[Credit Account],BB57,Journal[ref3],"TRUE"),2)</calculatedColumnFormula>
    </tableColumn>
    <tableColumn id="6" xr3:uid="{BFE55495-5DCA-46CC-9E35-2D247D796696}" name="AmtAnswer" dataDxfId="722">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721">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720"/>
    <tableColumn id="9" xr3:uid="{01CC87E7-7A89-4004-8C50-A3E52EF1D9A9}" name="UsedAnswer" dataDxfId="719"/>
    <tableColumn id="10" xr3:uid="{C8297405-53DC-4F71-A5D5-2B6EC2DEC512}" name="UsedFSBuilder" dataDxfId="718"/>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717" headerRowBorderDxfId="716" tableBorderDxfId="715">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714">
      <calculatedColumnFormula>IF(ReqdDisclosures124[[#This Row],[Used]]=1,7,8)</calculatedColumnFormula>
    </tableColumn>
    <tableColumn id="2" xr3:uid="{167C22A0-763F-4E97-A2FF-26FE6537AF19}" name="Account"/>
    <tableColumn id="4" xr3:uid="{447C905C-242A-47B7-A8BF-F5270644A488}" name="Used" dataDxfId="713">
      <calculatedColumnFormula>IF(ABS(ReqdDisclosures124[[#This Row],[AmtJournal]])&gt;0,1,0)</calculatedColumnFormula>
    </tableColumn>
    <tableColumn id="5" xr3:uid="{6A4ED484-7AE2-4D85-B9B9-F0B415252212}" name="Order" dataDxfId="712"/>
    <tableColumn id="3" xr3:uid="{1A252CC3-4E09-423C-B9FF-BA4315675173}" name="AmtJournal" dataDxfId="711" dataCellStyle="Currency">
      <calculatedColumnFormula>ROUND(SUMIFS(Journal[Cr Amt],Journal[ref1],"PdTx",Journal[Credit Account],"Cash"),2)</calculatedColumnFormula>
    </tableColumn>
    <tableColumn id="6" xr3:uid="{EEA342CD-0B5B-403B-910C-05A5D0855AF6}" name="AmtAnswer" dataDxfId="710"/>
    <tableColumn id="7" xr3:uid="{51D4097F-262F-45C5-82F3-D34B0CC98F7D}" name="AmtFSBuilder" dataDxfId="709">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708">
      <calculatedColumnFormula>IF(ABS(ReqdDisclosures124[[#This Row],[AmtJournal]])&gt;0,1,0)</calculatedColumnFormula>
    </tableColumn>
    <tableColumn id="9" xr3:uid="{C4B0CC89-59B0-42C0-80EC-DAE7F97579B3}" name="UsedAnswer" dataDxfId="707">
      <calculatedColumnFormula>IF(ABS(ReqdDisclosures124[[#This Row],[AmtAnswer]])&gt;0,1,0)</calculatedColumnFormula>
    </tableColumn>
    <tableColumn id="10" xr3:uid="{618B6853-FF95-47DF-9626-7B55D2C75D10}" name="UsedFSBuilder" dataDxfId="706">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705">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704"/>
    <tableColumn id="1" xr3:uid="{4BA8DD7F-6554-43D5-A1B2-319CD061BF0B}" name="Account">
      <calculatedColumnFormula>C11</calculatedColumnFormula>
    </tableColumn>
    <tableColumn id="4" xr3:uid="{68CAB12D-34BA-4282-BF6C-2E9AA6AD207F}" name="Used" dataDxfId="703" dataCellStyle="Comma">
      <calculatedColumnFormula>_xlfn.XLOOKUP(ECurrAssets[[#This Row],[Account]],MD_Asset[Account Name],MD_Asset[Used])</calculatedColumnFormula>
    </tableColumn>
    <tableColumn id="5" xr3:uid="{4A6AE5F9-BE68-4E8A-A07B-C9BD7C120518}" name="Order" dataDxfId="702" dataCellStyle="Comma"/>
    <tableColumn id="2" xr3:uid="{8D43CDAA-3DFA-4454-B5EA-EC273CF4FB28}" name="AmtJournal" dataDxfId="701"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700">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699"/>
    <tableColumn id="1" xr3:uid="{5467160E-441A-48E8-A897-D3D9123922D5}" name="Account">
      <calculatedColumnFormula>C25</calculatedColumnFormula>
    </tableColumn>
    <tableColumn id="3" xr3:uid="{82FDA316-28EE-4AB5-BC10-327409276627}" name="Used" dataDxfId="698" dataCellStyle="Comma"/>
    <tableColumn id="4" xr3:uid="{E0018FD6-1F33-4D89-BA04-CEB75FC1F018}" name="Order" dataDxfId="697" dataCellStyle="Comma"/>
    <tableColumn id="2" xr3:uid="{FAB5C5BE-2509-4030-B006-1373D31D1173}" name="AmtJournal" dataDxfId="696"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695">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694"/>
    <tableColumn id="2" xr3:uid="{604CBE83-513D-4ADA-8D26-89962B691595}" name="Account">
      <calculatedColumnFormula>C41</calculatedColumnFormula>
    </tableColumn>
    <tableColumn id="4" xr3:uid="{0C5AC6D9-C2FE-4FB7-BBBA-5AF59E963C31}" name="Used" dataDxfId="693" dataCellStyle="Comma"/>
    <tableColumn id="5" xr3:uid="{1FB480BF-B2A7-4CFF-8D0C-208DC44AFC49}" name="Order" dataDxfId="692" dataCellStyle="Comma"/>
    <tableColumn id="3" xr3:uid="{F19C840C-FDD9-434A-892F-8BF0E6B2FCE9}" name="AmtJournal" dataDxfId="691"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690">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689" headerRowBorderDxfId="688" tableBorderDxfId="687">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686"/>
    <tableColumn id="2" xr3:uid="{0E215F89-1270-4B3D-BE49-EC6E82574EAB}" name="Account">
      <calculatedColumnFormula>C62</calculatedColumnFormula>
    </tableColumn>
    <tableColumn id="4" xr3:uid="{C75D607F-DC63-49F2-B11A-1CD33519AF3A}" name="Used" dataDxfId="685" dataCellStyle="Comma"/>
    <tableColumn id="5" xr3:uid="{3DDAD8DE-1C31-4747-9372-06BBAD23F3E7}" name="Order" dataDxfId="684" dataCellStyle="Comma"/>
    <tableColumn id="3" xr3:uid="{AFC353F0-5D5F-45AB-9871-273B1F79B91D}" name="AmtJournal" dataDxfId="683"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682" dataCellStyle="Currency"/>
    <tableColumn id="7" xr3:uid="{AE868802-12AD-48FE-ACBB-1DD6F45C20E1}" name="AmtFSBuilder" dataDxfId="681" dataCellStyle="Currency"/>
    <tableColumn id="8" xr3:uid="{315E809D-D946-40A4-93FC-5CD36761A996}" name="UsedJournal" dataDxfId="680" dataCellStyle="Currency">
      <calculatedColumnFormula>ENonCurrLiabs[[#This Row],[Used]]*(ENonCurrLiabs[[#This Row],[AmtJournal]]&lt;&gt;0)</calculatedColumnFormula>
    </tableColumn>
    <tableColumn id="9" xr3:uid="{D0AEC8F8-4D9F-4239-808B-BD10A49D31C1}" name="UsedAnswer" dataDxfId="679" dataCellStyle="Currency">
      <calculatedColumnFormula>ENonCurrLiabs[[#This Row],[Used]]*(ENonCurrLiabs[[#This Row],[AmtAnswer]]&lt;&gt;0)</calculatedColumnFormula>
    </tableColumn>
    <tableColumn id="10" xr3:uid="{9987CF8E-F309-4F3E-90FC-19EFAB3C3EA3}" name="UsedFSBuilder" dataDxfId="678"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677" headerRowBorderDxfId="676" tableBorderDxfId="675">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674">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673"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672" dataCellStyle="Comma"/>
    <tableColumn id="3" xr3:uid="{CDF3FCF3-D26A-4F5C-8FE0-BDE39C9A3E05}" name="AmtJournal" dataDxfId="671"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670">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669" headerRowBorderDxfId="668" tableBorderDxfId="667">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666">
      <calculatedColumnFormula>IF(NI_CFO_Recon_Adjs[[#This Row],[Used]]=1,7,8)</calculatedColumnFormula>
    </tableColumn>
    <tableColumn id="2" xr3:uid="{7C02BA10-811A-4040-97DF-4CF123197B97}" name="Account" dataDxfId="665"/>
    <tableColumn id="4" xr3:uid="{85BBFFB2-4528-48B7-B4DE-5413D1D8B5EB}" name="Used" dataDxfId="664" dataCellStyle="Comma">
      <calculatedColumnFormula>IF(ABS(NI_CFO_Recon_Adjs[[#This Row],[AmtJournal]])&gt;0,1,0)</calculatedColumnFormula>
    </tableColumn>
    <tableColumn id="5" xr3:uid="{1A8015FD-D659-4CF7-A3D0-8D5505EFB4D8}" name="Order"/>
    <tableColumn id="3" xr3:uid="{C3F5E93B-B3AB-495E-BBED-51A764558578}" name="AmtJournal" dataDxfId="663" dataCellStyle="Comma"/>
    <tableColumn id="6" xr3:uid="{2277BC0B-58FA-4BDF-BEB6-FC238CC592D0}" name="AmtAnswer" dataDxfId="662" dataCellStyle="Comma"/>
    <tableColumn id="7" xr3:uid="{8C516145-2FAD-4177-9314-81675A07A34B}" name="AmtFSBuilder" dataDxfId="661">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660">
      <calculatedColumnFormula>IF(ABS(NI_CFO_Recon_Adjs[[#This Row],[AmtJournal]])&gt;0,1,0)</calculatedColumnFormula>
    </tableColumn>
    <tableColumn id="9" xr3:uid="{95635E97-68A4-45D4-8CF7-46A1ECB841CC}" name="UsedAnswer" dataDxfId="659">
      <calculatedColumnFormula>IF(ABS(NI_CFO_Recon_Adjs[[#This Row],[AmtAnswer]])&gt;0,1,0)</calculatedColumnFormula>
    </tableColumn>
    <tableColumn id="10" xr3:uid="{7786D72E-27A5-4DDB-87D3-791EEDBD7E23}" name="UsedFSBuilder" dataDxfId="658">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657" headerRowBorderDxfId="656" tableBorderDxfId="655">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654">
      <calculatedColumnFormula>IF(NI_CFO_Recon_Chs_Ops[[#This Row],[Order]]=1,7,8)</calculatedColumnFormula>
    </tableColumn>
    <tableColumn id="2" xr3:uid="{B48B3083-7663-4DFC-AC48-86AAA2CC728D}" name="Account" dataDxfId="653"/>
    <tableColumn id="3" xr3:uid="{FB9A69CC-2279-4C7D-8043-C69347B292A2}" name="Used" dataDxfId="652" dataCellStyle="Comma">
      <calculatedColumnFormula>IF(ABS(NI_CFO_Recon_Chs_Ops[[#This Row],[AmtJournal]])&gt;0,1,0)</calculatedColumnFormula>
    </tableColumn>
    <tableColumn id="4" xr3:uid="{D3913622-DA64-4B44-9441-3807567E35D9}" name="Order" dataDxfId="651" dataCellStyle="Comma"/>
    <tableColumn id="5" xr3:uid="{4501ADFF-94A4-437C-8688-9795CFA938BC}" name="AmtJournal" dataDxfId="650" dataCellStyle="Comma"/>
    <tableColumn id="6" xr3:uid="{C8731654-D0A7-4F61-B195-29A0A1E96CB5}" name="AmtAnswer" dataDxfId="649" dataCellStyle="Comma"/>
    <tableColumn id="7" xr3:uid="{A324FE78-9F4B-4003-AC94-7F3BA7BF7E0F}" name="AmtFSBuilder" dataDxfId="648" dataCellStyle="Comma"/>
    <tableColumn id="8" xr3:uid="{789EC7FA-3803-4100-885F-9EF6CB1177E3}" name="UsedJournal" dataDxfId="647">
      <calculatedColumnFormula>IF(ABS(NI_CFO_Recon_Chs_Ops[[#This Row],[AmtJournal]])&gt;0,1,0)</calculatedColumnFormula>
    </tableColumn>
    <tableColumn id="9" xr3:uid="{E2047A3E-069E-4A4D-9BE6-6EEAFC47B914}" name="UsedAnswer" dataDxfId="646">
      <calculatedColumnFormula>IF(ABS(NI_CFO_Recon_Chs_Ops[[#This Row],[AmtAnswer]])&gt;0,1,0)</calculatedColumnFormula>
    </tableColumn>
    <tableColumn id="10" xr3:uid="{DC506B5F-8006-4367-BB73-314FE54A906D}" name="UsedFSBuilder" dataDxfId="645">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644" headerRowBorderDxfId="643">
  <autoFilter ref="B116:C137" xr:uid="{7231CA03-5472-498E-9920-53FF390C75B7}"/>
  <tableColumns count="2">
    <tableColumn id="1" xr3:uid="{27B17D86-AE19-4C68-BD27-9B1427AD4A6A}" name="FC" dataDxfId="642"/>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641">
  <autoFilter ref="AE8:AH21" xr:uid="{E8E65671-DA11-47CA-8AD5-77610D2899DA}"/>
  <tableColumns count="4">
    <tableColumn id="1" xr3:uid="{932C7BF9-BEDE-4864-A999-B9C44B29BF29}" name="Item" dataDxfId="640"/>
    <tableColumn id="2" xr3:uid="{BEC2EAAA-3AE1-49EC-9818-4D24B9790CF7}" name="AmtJournal" dataCellStyle="Comma"/>
    <tableColumn id="3" xr3:uid="{7C4D34BC-4687-4B8C-9BEE-1896432B1B82}" name="AmtAnswer" dataCellStyle="Comma"/>
    <tableColumn id="4" xr3:uid="{E1AF1B2A-9EFD-42A9-AEA2-3D45F804AD45}" name="AmtFSBuilder" dataDxfId="639"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638">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637">
      <calculatedColumnFormula>IF(B12="","",B12)</calculatedColumnFormula>
    </tableColumn>
    <tableColumn id="2" xr3:uid="{CC7CBA9C-CC27-4F9D-A1A2-87C9772ABB2A}" name="Accnt Type" dataDxfId="636">
      <calculatedColumnFormula>IFERROR(_xlfn.IFNA(INDEX(ProblemData!$C$78:$AM$146,MATCH(J12+0.1,ProblemData!$C$78:$C$146,0),MATCH(C12,ProblemData!$C$78:$AM$78,0)),""),"")</calculatedColumnFormula>
    </tableColumn>
    <tableColumn id="3" xr3:uid="{809B3A88-FA54-400B-A854-7EA3E4621FE9}" name="Debit Account" dataDxfId="635">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634">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633"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632"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631">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630">
      <calculatedColumnFormula>IF(JournalAnswer[[#This Row],[Transaction '#]]="","",IF(JournalAnswer[[#This Row],[Transaction '#]]=C11,J11+1,1))</calculatedColumnFormula>
    </tableColumn>
    <tableColumn id="15" xr3:uid="{09DCF706-1CF4-4221-AA87-59998BE0867F}" name="Cash" dataDxfId="629"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628">
      <calculatedColumnFormula array="1">IFERROR(INDEX(ProblemData!$E$240:$AM$240,1,JournalAnswer[[#This Row],[Transaction '#]]),"")</calculatedColumnFormula>
    </tableColumn>
    <tableColumn id="9" xr3:uid="{160EAA83-7B97-4C21-A2EA-439ABC3BDAF8}" name="ref2" dataDxfId="627">
      <calculatedColumnFormula>IF(JournalAnswer[[#This Row],[ref1]]="","",IF(NOT(ISBLANK(JournalAnswer[[#This Row],[Transaction '#]])),JournalAnswer[[#This Row],[ref1]]&amp;JournalAnswer[[#This Row],[Movement '#]],""))</calculatedColumnFormula>
    </tableColumn>
    <tableColumn id="8" xr3:uid="{4A109203-667C-41BA-B34F-AADCCF108B57}" name="ref3" dataDxfId="626">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625" dataDxfId="624">
  <autoFilter ref="C4:D11" xr:uid="{482AB25E-D019-46FA-B7BB-FEB2C3CA4E8F}"/>
  <tableColumns count="2">
    <tableColumn id="1" xr3:uid="{54315034-850B-4CCD-BB5C-1142B2E958FB}" name="ACCOUNT TYPE LABELS" dataDxfId="623"/>
    <tableColumn id="2" xr3:uid="{5C4AF96E-3C52-4162-850E-5A187DCCE09E}" name="Used" dataDxfId="622">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621" dataDxfId="619" headerRowBorderDxfId="620" tableBorderDxfId="618" totalsRowBorderDxfId="617">
  <autoFilter ref="C14:E20" xr:uid="{8AB7E65B-FE57-4A43-A4C2-BE8F7FD53CB6}"/>
  <tableColumns count="3">
    <tableColumn id="1" xr3:uid="{86E6692F-916D-477C-9554-E7F69FBAA0A0}" name="CASH FLOW STATEMENT LABELS" dataDxfId="616"/>
    <tableColumn id="2" xr3:uid="{3C6049F8-578C-4A5E-906E-587C15AE9DE5}" name="Used" dataDxfId="615">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61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613" dataDxfId="611" headerRowBorderDxfId="612" tableBorderDxfId="610">
  <autoFilter ref="C55:J78" xr:uid="{A9E74DF4-DF82-4C5C-BFEA-0B8B1B0D6A4E}"/>
  <tableColumns count="8">
    <tableColumn id="1" xr3:uid="{67DF2624-99F1-4DE9-BBA7-EF6D0603A14C}" name="Account Name" dataDxfId="609"/>
    <tableColumn id="2" xr3:uid="{F9C41FF0-FA8C-4CBF-BD47-7E0460B35761}" name="Abbr" dataDxfId="608"/>
    <tableColumn id="3" xr3:uid="{B01D8C3E-F547-4161-BA9A-BAB8916110F8}" name="IncreasedBy" dataDxfId="607"/>
    <tableColumn id="4" xr3:uid="{E16E6374-E2FA-48C4-AB84-F95970F14E2D}" name="C/NC" dataDxfId="606"/>
    <tableColumn id="5" xr3:uid="{1413B834-E2F7-4B5A-87E1-67B50B94FC30}" name="Num" dataDxfId="605">
      <calculatedColumnFormula>G55+1</calculatedColumnFormula>
    </tableColumn>
    <tableColumn id="6" xr3:uid="{4DBE8C9B-F377-4C4A-B3EF-205F80113AFB}" name="Definition" dataDxfId="604"/>
    <tableColumn id="7" xr3:uid="{971A50C0-A3F6-4344-9E40-904DA4DA8A19}" name="Used" dataDxfId="603">
      <calculatedColumnFormula>IF(MD_Asset[[#This Row],[Account Name]]="","",IFERROR(IF(SEARCH(MD_Asset[[#This Row],[Account Name]],ProblemData!$E$242)&gt;0,1,0),""))</calculatedColumnFormula>
    </tableColumn>
    <tableColumn id="8" xr3:uid="{4246301E-7A27-4F96-B52F-9034DEBD9A71}" name="NI_CFO_Recon" dataDxfId="602"/>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601" dataDxfId="599" headerRowBorderDxfId="600" tableBorderDxfId="598">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597"/>
    <tableColumn id="2" xr3:uid="{4ACD15E1-CC97-4846-BC56-8F40BCF47B75}" name="Abbr" dataDxfId="596"/>
    <tableColumn id="3" xr3:uid="{24250252-A3E7-4A11-8251-7EED48F0E692}" name="IncreasedBy" dataDxfId="595"/>
    <tableColumn id="4" xr3:uid="{FA6E0FA9-B937-47D9-AB94-6FAB8F3F7976}" name="C/NC" dataDxfId="594"/>
    <tableColumn id="5" xr3:uid="{B5216291-F156-4686-B58C-4041648ED1CE}" name="Num" dataDxfId="593">
      <calculatedColumnFormula>G82+1</calculatedColumnFormula>
    </tableColumn>
    <tableColumn id="6" xr3:uid="{F02CC045-0030-4A28-80FC-DB1663FCB417}" name="Definition" dataDxfId="592"/>
    <tableColumn id="7" xr3:uid="{88DD3E58-E12C-4E7E-8DDB-C9FBE6FD4B73}" name="Used" dataDxfId="591">
      <calculatedColumnFormula>IF(MD_Liability[[#This Row],[Account Name]]="","",IFERROR(IF(SEARCH(MD_Liability[[#This Row],[Account Name]],ProblemData!$E$242)&gt;0,1,0),""))</calculatedColumnFormula>
    </tableColumn>
    <tableColumn id="8" xr3:uid="{B0C12323-D82F-4C7E-B625-513150CA36B7}" name="NI_CFO_Recon" dataDxfId="590"/>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589" dataDxfId="587" headerRowBorderDxfId="588" tableBorderDxfId="586">
  <autoFilter ref="C115:J128" xr:uid="{DD0AB45A-A1C8-4A1E-9225-FDFCCA12569F}"/>
  <tableColumns count="8">
    <tableColumn id="1" xr3:uid="{1E5BB34C-F6AC-471A-9BE5-1223FD841A38}" name="Account Name" dataDxfId="585"/>
    <tableColumn id="2" xr3:uid="{F3AB8AB9-891B-4FDC-B110-CDF237F1728A}" name="Abbr" dataDxfId="584"/>
    <tableColumn id="3" xr3:uid="{ABE9F3AA-B8A3-4110-843F-82DBAD87EEDD}" name="IncreasedBy" dataDxfId="583"/>
    <tableColumn id="4" xr3:uid="{6AB1C710-ABCC-4E10-B85A-E15AD9007AF9}" name="C/NC" dataDxfId="582"/>
    <tableColumn id="5" xr3:uid="{CCE54330-F3A6-4FE0-8D36-ADC027585ECF}" name="Num" dataDxfId="581">
      <calculatedColumnFormula>G115+1</calculatedColumnFormula>
    </tableColumn>
    <tableColumn id="6" xr3:uid="{A9A5319E-E865-4B2C-A369-125C5B5983F6}" name="Definition" dataDxfId="580"/>
    <tableColumn id="7" xr3:uid="{4944DB4B-8D7D-449A-BF01-0F4FB51D4639}" name="Used" dataDxfId="579">
      <calculatedColumnFormula>IF(MD_Equity[[#This Row],[Account Name]]="","",IFERROR(IF(SEARCH(MD_Equity[[#This Row],[Account Name]],ProblemData!#REF!)&gt;0,1,0),""))</calculatedColumnFormula>
    </tableColumn>
    <tableColumn id="8" xr3:uid="{5A971EC2-3366-4EB1-9AD1-B9914AAB0D31}" name="NI_CFO_Recon" dataDxfId="578"/>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577">
  <autoFilter ref="C134:I144" xr:uid="{35092080-D33E-4040-B5BF-68F10209FF52}"/>
  <tableColumns count="7">
    <tableColumn id="1" xr3:uid="{FD594531-F17B-49EC-8A2E-0C43F6CBA817}" name="Account Name" dataDxfId="576"/>
    <tableColumn id="2" xr3:uid="{E4711200-87DC-410E-8267-0B4E5DFC5134}" name="Abbr" dataDxfId="575"/>
    <tableColumn id="3" xr3:uid="{59E72B4F-BB8E-4576-83DC-13D2B392E9AF}" name="IncreasedBy" dataDxfId="574"/>
    <tableColumn id="4" xr3:uid="{D910189D-57E0-4326-A375-033CF9F7E132}" name="C/NC" dataDxfId="573"/>
    <tableColumn id="5" xr3:uid="{5E47D7BB-EAF8-4EED-8ACF-8D4697B29ECC}" name="Num" dataDxfId="572">
      <calculatedColumnFormula>G134+1</calculatedColumnFormula>
    </tableColumn>
    <tableColumn id="6" xr3:uid="{D0FBD5D3-AB09-4515-A1BA-32E8AFFDF8CC}" name="Definition" dataDxfId="571"/>
    <tableColumn id="7" xr3:uid="{A8627A5B-C0EF-47EA-990F-AEE105D4697B}" name="Used" dataDxfId="570">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569">
  <autoFilter ref="C148:I166" xr:uid="{ABD27711-0F43-40C2-AFF7-32901D2B9512}"/>
  <tableColumns count="7">
    <tableColumn id="1" xr3:uid="{6ECEAD07-536C-42B6-A1A7-5F83C29ED822}" name="Account Name" dataDxfId="568"/>
    <tableColumn id="2" xr3:uid="{DE5D7DDC-D3A3-407F-ABDB-708A6E27CF91}" name="Abbr" dataDxfId="567"/>
    <tableColumn id="3" xr3:uid="{D025E4E2-97A4-4359-8264-B0C1EF474B3E}" name="IncreasedBy" dataDxfId="566"/>
    <tableColumn id="4" xr3:uid="{8F6F0ECD-D256-4783-876D-8919BAF45EEB}" name="C/NC" dataDxfId="565"/>
    <tableColumn id="5" xr3:uid="{45816497-20CC-45F3-9026-B71CD4C792C1}" name="Num" dataDxfId="564">
      <calculatedColumnFormula>G148+1</calculatedColumnFormula>
    </tableColumn>
    <tableColumn id="6" xr3:uid="{0F45C404-5B0A-41C5-B72A-FEF0E48D6805}" name="Definition" dataDxfId="563"/>
    <tableColumn id="7" xr3:uid="{35DF8A14-AEB5-4053-B232-0EC5BA5FEAF0}" name="Used" dataDxfId="562">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561">
  <autoFilter ref="C170:I180" xr:uid="{DD852A74-B672-46DB-B176-10B04EF29135}"/>
  <tableColumns count="7">
    <tableColumn id="1" xr3:uid="{F265035A-A2C1-4A77-8C28-5F9CA1C71A05}" name="Account Name" dataDxfId="560"/>
    <tableColumn id="2" xr3:uid="{E655C753-8EC3-45D7-B4EE-F7BA05026CD6}" name="Abbr" dataDxfId="559"/>
    <tableColumn id="3" xr3:uid="{85946BD7-6763-4E6E-8825-F13D8B91F56C}" name="IncreasedBy" dataDxfId="558"/>
    <tableColumn id="4" xr3:uid="{E420F667-B4BE-46DB-A7B4-E3B64ECB5C86}" name="C/NC" dataDxfId="557"/>
    <tableColumn id="5" xr3:uid="{EA7B939C-5D92-46A6-AD0D-41BA035A2094}" name="Num" dataDxfId="556">
      <calculatedColumnFormula>G170+1</calculatedColumnFormula>
    </tableColumn>
    <tableColumn id="6" xr3:uid="{11750510-C5F4-47CE-92EC-E6FB12B28BBE}" name="Definition" dataDxfId="555"/>
    <tableColumn id="7" xr3:uid="{DDE1953B-09AC-427C-94DE-1A7EB999377A}" name="Used" dataDxfId="554">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553">
  <autoFilter ref="C184:I194" xr:uid="{B6A6F150-572B-4428-92CD-101A20E1DC65}"/>
  <tableColumns count="7">
    <tableColumn id="1" xr3:uid="{568C5153-E381-42E1-9B4A-337B41044B02}" name="Account Name" dataDxfId="552"/>
    <tableColumn id="2" xr3:uid="{F3B52697-EE9C-4B96-9EF3-3DC2ABD0CC3C}" name="Abbr" dataDxfId="551"/>
    <tableColumn id="3" xr3:uid="{AA4583A2-5197-4C65-97D3-2EAC89457A60}" name="IncreasedBy" dataDxfId="550"/>
    <tableColumn id="4" xr3:uid="{92D47A67-593F-455D-8AAC-5B816ECA8B6A}" name="C/NC" dataDxfId="549"/>
    <tableColumn id="5" xr3:uid="{269DD63A-D37B-4724-8BED-F741CD4B4517}" name="Num" dataDxfId="548">
      <calculatedColumnFormula>G184+1</calculatedColumnFormula>
    </tableColumn>
    <tableColumn id="6" xr3:uid="{1700165E-F392-4A1D-B949-4C97BA5217AF}" name="Definition" dataDxfId="547"/>
    <tableColumn id="7" xr3:uid="{A1BDEE12-425C-41D3-9DF4-14E2C92C22E4}" name="Used" dataDxfId="546">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545" dataDxfId="544" tableBorderDxfId="543">
  <autoFilter ref="C199:C208" xr:uid="{15E746EA-AB79-4CF7-9FD8-FA0F894A5010}"/>
  <tableColumns count="1">
    <tableColumn id="1" xr3:uid="{E6B71A45-3D50-45E3-AA10-0B15ED1B5D48}" name="Cash Flow Code" dataDxfId="542"/>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541" headerRowBorderDxfId="540" tableBorderDxfId="539" totalsRowBorderDxfId="538">
  <autoFilter ref="C218:F232" xr:uid="{C616CEA9-5080-4808-BDB1-F71232F7E716}"/>
  <tableColumns count="4">
    <tableColumn id="1" xr3:uid="{AEA0029D-1419-41F8-B5BE-4DAA53C0AA4F}" name="Transaction Description" dataDxfId="537"/>
    <tableColumn id="2" xr3:uid="{8785777E-E123-4EE7-BA15-BF26A6E676D9}" name="Involve Cash" dataDxfId="536"/>
    <tableColumn id="3" xr3:uid="{23C825EF-4E2F-4198-B659-790D0BFDE970}" name="Abbr" dataDxfId="535"/>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534" headerRowBorderDxfId="533" tableBorderDxfId="532" totalsRowBorderDxfId="531">
  <autoFilter ref="C237:F254" xr:uid="{4A58ED0E-68F3-4FC0-BAA2-1AC833C25D8E}"/>
  <tableColumns count="4">
    <tableColumn id="1" xr3:uid="{4EEE9569-8E80-4224-8224-61EB81CF18EE}" name="Transaction Description" dataDxfId="530"/>
    <tableColumn id="2" xr3:uid="{7BAABED6-2DD1-4287-BE4F-0D706DB0307B}" name="Involve Cash" dataDxfId="529"/>
    <tableColumn id="3" xr3:uid="{2FEA8C6C-D5D6-42DC-94ED-A3F7CD551792}" name="Abbr" dataDxfId="528"/>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527" headerRowBorderDxfId="526" tableBorderDxfId="525" totalsRowBorderDxfId="524">
  <autoFilter ref="C259:F270" xr:uid="{DE2EA558-BB0E-40C4-B6F0-1240843BB96C}"/>
  <tableColumns count="4">
    <tableColumn id="1" xr3:uid="{A00D58DC-F04F-4EFD-AC7C-ADCD5ECD1B13}" name="Transaction Description" dataDxfId="523"/>
    <tableColumn id="2" xr3:uid="{F449B289-D063-46D6-A64C-A1EA668B7B50}" name="Involve Cash" dataDxfId="522"/>
    <tableColumn id="3" xr3:uid="{7ACB462B-7B3F-4694-BBF5-84D53CBF2055}" name="Abbr" dataDxfId="521"/>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520" headerRowBorderDxfId="519" tableBorderDxfId="518" totalsRowBorderDxfId="517">
  <autoFilter ref="C275:F280" xr:uid="{9E9A985E-88A0-48CF-862E-B5F4881DDFCD}"/>
  <tableColumns count="4">
    <tableColumn id="1" xr3:uid="{47F1A34D-6800-4DCF-8FCB-0DE214A05CC9}" name="Transaction Description" dataDxfId="516"/>
    <tableColumn id="2" xr3:uid="{4668BA3F-7D61-4492-BD2F-04BB58CEA274}" name="Involve Cash" dataDxfId="515"/>
    <tableColumn id="3" xr3:uid="{1566F9FD-4FB1-4F36-B3E3-82DA7C5CBC21}" name="Abbr" dataDxfId="514"/>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513" headerRowBorderDxfId="512" tableBorderDxfId="511" totalsRowBorderDxfId="510">
  <autoFilter ref="C285:F291" xr:uid="{0729C75C-27D2-44B7-AF50-A962A025DB9B}"/>
  <tableColumns count="4">
    <tableColumn id="1" xr3:uid="{3B453950-0E9E-472B-8620-FFA3ECFEBBE0}" name="Transaction Description" dataDxfId="509"/>
    <tableColumn id="2" xr3:uid="{9C64EDDE-342A-49E8-815B-0711294A9330}" name="Involve Cash" dataDxfId="508"/>
    <tableColumn id="3" xr3:uid="{686780C2-9187-4AB0-9CD1-29DC5E3D54E1}" name="Abbr" dataDxfId="507"/>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506" headerRowBorderDxfId="505" tableBorderDxfId="504" totalsRowBorderDxfId="503">
  <autoFilter ref="C306:F311" xr:uid="{42DDC1A5-A56F-4624-8FC3-CAAE3967D8E6}"/>
  <tableColumns count="4">
    <tableColumn id="1" xr3:uid="{EB248B06-F1EB-4A12-B235-61A0C3CD3176}" name="Transaction Description" dataDxfId="502"/>
    <tableColumn id="2" xr3:uid="{E717F6C1-6705-4E13-BC9A-53D9CB334AB9}" name="Involve Cash" dataDxfId="501"/>
    <tableColumn id="3" xr3:uid="{B7BA5CD0-7693-4B70-B051-9141B5E19DB7}" name="Abbr" dataDxfId="500"/>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499" headerRowBorderDxfId="498" tableBorderDxfId="497" totalsRowBorderDxfId="496">
  <autoFilter ref="C316:F322" xr:uid="{661F8EE2-5E12-43C7-9024-5C943F06C7A4}"/>
  <tableColumns count="4">
    <tableColumn id="1" xr3:uid="{6D246571-AFDE-4260-AD55-ED1F76D0F257}" name="Transaction Description" dataDxfId="495"/>
    <tableColumn id="2" xr3:uid="{690B5402-AB09-4A0D-BDAF-7254886D0A6E}" name="Involve Cash" dataDxfId="494"/>
    <tableColumn id="3" xr3:uid="{91DB3A5C-2641-4201-A239-FC0EBD8AA4FC}" name="Abbr" dataDxfId="493"/>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92" headerRowBorderDxfId="491" tableBorderDxfId="490" totalsRowBorderDxfId="489">
  <autoFilter ref="C212:E214" xr:uid="{E6BE81E0-D525-4F77-88B8-29B22D14CF2A}"/>
  <tableColumns count="3">
    <tableColumn id="1" xr3:uid="{D8A22C0D-B114-49A4-8FA0-3575E1D524FA}" name="Transaction Description" dataDxfId="488"/>
    <tableColumn id="2" xr3:uid="{CA06CB41-D773-474F-AD2D-FED76BE57D52}" name="Involve Cash" dataDxfId="487"/>
    <tableColumn id="3" xr3:uid="{ACB6E10C-0753-4C00-9ABC-CBE6AEEF394C}" name="Abbr" dataDxfId="48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85" headerRowBorderDxfId="484" tableBorderDxfId="483" totalsRowBorderDxfId="482">
  <autoFilter ref="C296:F301" xr:uid="{98D5C726-06EF-454F-AA62-EC9EF3142704}"/>
  <tableColumns count="4">
    <tableColumn id="1" xr3:uid="{0C52A55B-3F30-4237-9247-93A2398C607F}" name="Transaction Description" dataDxfId="481"/>
    <tableColumn id="2" xr3:uid="{2BCDF74B-EA86-4267-840A-962729DB7F77}" name="Involve Cash" dataDxfId="480"/>
    <tableColumn id="3" xr3:uid="{955BA70F-4722-459D-95E8-784A9B77D681}" name="Abbr" dataDxfId="479"/>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478" dataDxfId="476" headerRowBorderDxfId="477" tableBorderDxfId="475" totalsRowBorderDxfId="474">
  <autoFilter ref="C36:D47" xr:uid="{9CA587B0-269B-4933-BF56-E041DC8579CE}"/>
  <tableColumns count="2">
    <tableColumn id="1" xr3:uid="{DC2E1B61-7BE0-47B3-98C9-DD8069CAFA28}" name="LEVELS OF FEEDBACK" dataDxfId="473"/>
    <tableColumn id="2" xr3:uid="{730D16AA-4E1B-44CE-875F-E44105F45474}" name="Selected" dataDxfId="472"/>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471" headerRowBorderDxfId="470" tableBorderDxfId="469" totalsRowBorderDxfId="468">
  <autoFilter ref="C26:D32" xr:uid="{00C42A25-5AD0-4224-83F9-95795158168D}"/>
  <tableColumns count="2">
    <tableColumn id="1" xr3:uid="{C78C0CB6-900E-41A8-9FCF-B567B31D8DAA}" name="LEVELS OF FINANCIAL STATEMENT AUTOMATION" dataDxfId="467"/>
    <tableColumn id="2" xr3:uid="{EC80E489-CC9F-41DA-84B3-973BC6A665E6}" name="Selected" dataDxfId="466"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465" headerRowBorderDxfId="464" tableBorderDxfId="463" totalsRowBorderDxfId="462">
  <autoFilter ref="C514:D534" xr:uid="{8063A89C-232B-420B-A143-3EF4F9E450A8}"/>
  <tableColumns count="2">
    <tableColumn id="1" xr3:uid="{6951519F-8EF9-4E7A-869F-C30C5D98D225}" name="PURPOSE" dataDxfId="461"/>
    <tableColumn id="2" xr3:uid="{BB607ECD-6D70-4124-BA03-08B784304520}" name="Used" dataDxfId="460">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459" dataDxfId="457" headerRowBorderDxfId="458" tableBorderDxfId="456" totalsRowBorderDxfId="455">
  <autoFilter ref="C551:C562" xr:uid="{2526D5BB-5463-4D92-979D-A1927BB23599}"/>
  <tableColumns count="1">
    <tableColumn id="1" xr3:uid="{ECD76633-A379-4967-98C0-1C9AC10B2D14}" name="Requirement" dataDxfId="454"/>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453">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452">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451">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450"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49">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448">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447">
  <autoFilter ref="C419:D446" xr:uid="{D978A7D1-07C2-4F0C-B153-B9107CCDEBD1}"/>
  <tableColumns count="2">
    <tableColumn id="1" xr3:uid="{CCD95D5A-E3FF-442D-8DDB-E99FD2EFE073}" name="Example" dataDxfId="446"/>
    <tableColumn id="2" xr3:uid="{F420FEA8-087F-4676-A455-1374F1EEAD2D}" name="Category" dataDxfId="445"/>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zoomScale="115" zoomScaleNormal="115" workbookViewId="0"/>
  </sheetViews>
  <sheetFormatPr defaultRowHeight="14.4" x14ac:dyDescent="0.3"/>
  <cols>
    <col min="1" max="1" width="4.44140625" customWidth="1"/>
    <col min="2" max="2" width="17.109375" customWidth="1"/>
    <col min="3" max="3" width="23.77734375" customWidth="1"/>
    <col min="4" max="4" width="18.109375" customWidth="1"/>
    <col min="5" max="5" width="22.109375" customWidth="1"/>
    <col min="6" max="7" width="17.44140625" customWidth="1"/>
    <col min="8" max="8" width="27.5546875" bestFit="1" customWidth="1"/>
    <col min="9" max="10" width="17.44140625" customWidth="1"/>
    <col min="11" max="11" width="14.88671875" customWidth="1"/>
  </cols>
  <sheetData>
    <row r="1" spans="2:5" ht="23.85" customHeight="1" thickBot="1" x14ac:dyDescent="0.35">
      <c r="B1" t="s">
        <v>0</v>
      </c>
    </row>
    <row r="2" spans="2:5" x14ac:dyDescent="0.3">
      <c r="B2" s="658" t="s">
        <v>1</v>
      </c>
      <c r="C2" s="659"/>
      <c r="D2" s="659"/>
      <c r="E2" s="660"/>
    </row>
    <row r="3" spans="2:5" ht="15" thickBot="1" x14ac:dyDescent="0.35">
      <c r="B3" s="531" t="s">
        <v>2</v>
      </c>
      <c r="C3" s="529"/>
      <c r="D3" s="529"/>
      <c r="E3" s="530"/>
    </row>
    <row r="4" spans="2:5" x14ac:dyDescent="0.3">
      <c r="B4" s="404" t="s">
        <v>3</v>
      </c>
      <c r="C4" s="661" t="str">
        <f>IF(ProblemData!E61="","",ProblemData!E61)</f>
        <v>Ralphy's Business</v>
      </c>
      <c r="D4" s="661"/>
      <c r="E4" s="662"/>
    </row>
    <row r="5" spans="2:5" x14ac:dyDescent="0.3">
      <c r="B5" s="524" t="s">
        <v>4</v>
      </c>
      <c r="C5" s="656" t="str">
        <f>IF(ProblemData!E62="","",ProblemData!E62)</f>
        <v>For-profit corporation</v>
      </c>
      <c r="D5" s="656"/>
      <c r="E5" s="657"/>
    </row>
    <row r="6" spans="2:5" ht="15" thickBot="1" x14ac:dyDescent="0.35">
      <c r="B6" s="525" t="s">
        <v>5</v>
      </c>
      <c r="C6" s="663" t="str">
        <f>IF(ProblemData!E63="","",ProblemData!E63)</f>
        <v>Retail</v>
      </c>
      <c r="D6" s="663"/>
      <c r="E6" s="664"/>
    </row>
    <row r="7" spans="2:5" ht="15" thickBot="1" x14ac:dyDescent="0.35">
      <c r="B7" s="531" t="s">
        <v>6</v>
      </c>
      <c r="C7" s="529"/>
      <c r="D7" s="529"/>
      <c r="E7" s="530"/>
    </row>
    <row r="8" spans="2:5" x14ac:dyDescent="0.3">
      <c r="B8" s="404" t="s">
        <v>7</v>
      </c>
      <c r="C8" s="661" t="str">
        <f>IF(ProblemData!E64="","",ProblemData!E64)</f>
        <v>3/31/20X4</v>
      </c>
      <c r="D8" s="661"/>
      <c r="E8" s="662"/>
    </row>
    <row r="9" spans="2:5" x14ac:dyDescent="0.3">
      <c r="B9" s="524" t="s">
        <v>8</v>
      </c>
      <c r="C9" s="656" t="str">
        <f>IF(ProblemData!E65="","",ProblemData!E65)</f>
        <v>12/31/20x4</v>
      </c>
      <c r="D9" s="656"/>
      <c r="E9" s="657"/>
    </row>
    <row r="10" spans="2:5" ht="15" thickBot="1" x14ac:dyDescent="0.35">
      <c r="B10" s="525" t="s">
        <v>9</v>
      </c>
      <c r="C10" s="663" t="str">
        <f>IF(ProblemData!E67="","",ProblemData!E67)</f>
        <v>Three Quarters</v>
      </c>
      <c r="D10" s="663"/>
      <c r="E10" s="664"/>
    </row>
    <row r="11" spans="2:5" ht="15" thickBot="1" x14ac:dyDescent="0.35">
      <c r="B11" s="531" t="s">
        <v>10</v>
      </c>
      <c r="C11" s="529"/>
      <c r="D11" s="529"/>
      <c r="E11" s="530"/>
    </row>
    <row r="12" spans="2:5" x14ac:dyDescent="0.3">
      <c r="B12" s="404" t="s">
        <v>11</v>
      </c>
      <c r="C12" s="661" t="str">
        <f>IF(ProblemData!E68="","",ProblemData!E68)</f>
        <v>Dollars in Thousands</v>
      </c>
      <c r="D12" s="661"/>
      <c r="E12" s="662"/>
    </row>
    <row r="13" spans="2:5" x14ac:dyDescent="0.3">
      <c r="B13" s="524" t="s">
        <v>12</v>
      </c>
      <c r="C13" s="665">
        <f>IF(ProblemData!E69="","",ProblemData!E69)</f>
        <v>0</v>
      </c>
      <c r="D13" s="665"/>
      <c r="E13" s="666"/>
    </row>
    <row r="14" spans="2:5" ht="15" thickBot="1" x14ac:dyDescent="0.35">
      <c r="B14" s="525" t="s">
        <v>13</v>
      </c>
      <c r="C14" s="663">
        <f>IF(ProblemData!E70="","",ProblemData!E70)</f>
        <v>5</v>
      </c>
      <c r="D14" s="663"/>
      <c r="E14" s="664"/>
    </row>
    <row r="17" spans="2:8" ht="15" thickBot="1" x14ac:dyDescent="0.35"/>
    <row r="18" spans="2:8" ht="15" thickBot="1" x14ac:dyDescent="0.35">
      <c r="B18" s="667" t="s">
        <v>14</v>
      </c>
      <c r="C18" s="668"/>
      <c r="D18" s="668"/>
      <c r="E18" s="668"/>
      <c r="F18" s="668"/>
      <c r="G18" s="668"/>
      <c r="H18" s="669"/>
    </row>
    <row r="19" spans="2:8" ht="15" thickBot="1" x14ac:dyDescent="0.35">
      <c r="B19" s="396" t="s">
        <v>15</v>
      </c>
      <c r="C19" s="397" t="s">
        <v>16</v>
      </c>
      <c r="D19" s="397" t="s">
        <v>17</v>
      </c>
      <c r="E19" s="397"/>
      <c r="F19" s="397"/>
      <c r="G19" s="397" t="s">
        <v>18</v>
      </c>
      <c r="H19" s="398" t="s">
        <v>19</v>
      </c>
    </row>
    <row r="20" spans="2:8" x14ac:dyDescent="0.3">
      <c r="B20" s="540" t="s">
        <v>20</v>
      </c>
      <c r="C20" s="541" t="str" cm="1">
        <f t="array" ref="C20:C31">_xlfn._xlws.FILTER(RequirementsChosen[Action],RequirementsChosen[Action]&lt;&gt;"Omit")</f>
        <v>Review</v>
      </c>
      <c r="D20" s="365" t="str" cm="1">
        <f t="array" ref="D20:D31">_xlfn._xlws.FILTER(RequirementsChosen[Item],RequirementsChosen[Action]&lt;&gt;"Omit")</f>
        <v>Chart of Accounts</v>
      </c>
      <c r="E20" s="365"/>
      <c r="F20" s="539"/>
      <c r="G20" s="542" t="b">
        <v>0</v>
      </c>
      <c r="H20" s="174" t="str" cm="1">
        <f t="array" ref="H20:H31">_xlfn._xlws.FILTER(RequirementsChosen[Tab],RequirementsChosen[Action]&lt;&gt;"Omit")</f>
        <v>Instructions</v>
      </c>
    </row>
    <row r="21" spans="2:8" x14ac:dyDescent="0.3">
      <c r="B21" s="448" t="s">
        <v>21</v>
      </c>
      <c r="C21" s="309" t="str">
        <v>Review</v>
      </c>
      <c r="D21" t="str">
        <v>Notes to the Financial Statements</v>
      </c>
      <c r="F21" s="1"/>
      <c r="G21" s="545" t="b">
        <v>0</v>
      </c>
      <c r="H21" s="97" t="str">
        <v>Notes_to_FSs</v>
      </c>
    </row>
    <row r="22" spans="2:8" x14ac:dyDescent="0.3">
      <c r="B22" s="448" t="s">
        <v>22</v>
      </c>
      <c r="C22" s="309" t="str">
        <v>Prepare</v>
      </c>
      <c r="D22" t="str">
        <v>Beginning Balance Sheet</v>
      </c>
      <c r="F22" s="1"/>
      <c r="G22" s="545" t="b">
        <v>0</v>
      </c>
      <c r="H22" s="97" t="str">
        <v>Financial_Statements_Builder</v>
      </c>
    </row>
    <row r="23" spans="2:8" x14ac:dyDescent="0.3">
      <c r="B23" s="448" t="s">
        <v>23</v>
      </c>
      <c r="C23" s="309" t="str">
        <v>Prepare</v>
      </c>
      <c r="D23" t="str">
        <v>Journal entries for transactions and events of the period</v>
      </c>
      <c r="F23" s="1"/>
      <c r="G23" s="545" t="b">
        <v>0</v>
      </c>
      <c r="H23" s="97" t="str">
        <v>Journal</v>
      </c>
    </row>
    <row r="24" spans="2:8" x14ac:dyDescent="0.3">
      <c r="B24" s="448" t="s">
        <v>24</v>
      </c>
      <c r="C24" s="309" t="str">
        <v>Prepare</v>
      </c>
      <c r="D24" t="str">
        <v>Journal entry to close temporary accounts</v>
      </c>
      <c r="F24" s="1"/>
      <c r="G24" s="545" t="b">
        <v>0</v>
      </c>
      <c r="H24" s="97" t="str">
        <v>Journal</v>
      </c>
    </row>
    <row r="25" spans="2:8" x14ac:dyDescent="0.3">
      <c r="B25" s="448" t="s">
        <v>25</v>
      </c>
      <c r="C25" s="309" t="str">
        <v>Prepare</v>
      </c>
      <c r="D25" t="str">
        <v>Ending Balance Sheet</v>
      </c>
      <c r="F25" s="1"/>
      <c r="G25" s="545" t="b">
        <v>0</v>
      </c>
      <c r="H25" s="97" t="str">
        <v>Financial_Statements_Builder</v>
      </c>
    </row>
    <row r="26" spans="2:8" x14ac:dyDescent="0.3">
      <c r="B26" s="448" t="s">
        <v>26</v>
      </c>
      <c r="C26" s="309" t="str">
        <v>Prepare</v>
      </c>
      <c r="D26" t="str">
        <v>Income Statement</v>
      </c>
      <c r="F26" s="1"/>
      <c r="G26" s="545" t="b">
        <v>0</v>
      </c>
      <c r="H26" s="97" t="str">
        <v>Financial_Statements_Builder</v>
      </c>
    </row>
    <row r="27" spans="2:8" x14ac:dyDescent="0.3">
      <c r="B27" s="448" t="s">
        <v>27</v>
      </c>
      <c r="C27" s="309" t="str">
        <v>Prepare</v>
      </c>
      <c r="D27" t="str">
        <v>Statement of Shareholders' Equity</v>
      </c>
      <c r="F27" s="1"/>
      <c r="G27" s="545" t="b">
        <v>0</v>
      </c>
      <c r="H27" s="97" t="str">
        <v>Financial_Statements_Builder</v>
      </c>
    </row>
    <row r="28" spans="2:8" x14ac:dyDescent="0.3">
      <c r="B28" s="448" t="s">
        <v>28</v>
      </c>
      <c r="C28" s="309" t="str">
        <v>Prepare</v>
      </c>
      <c r="D28" t="str">
        <v>Cash flow statement labels in Column I of Journal</v>
      </c>
      <c r="F28" s="1"/>
      <c r="G28" s="545" t="b">
        <v>0</v>
      </c>
      <c r="H28" s="97" t="str">
        <v>Journal</v>
      </c>
    </row>
    <row r="29" spans="2:8" x14ac:dyDescent="0.3">
      <c r="B29" s="448" t="s">
        <v>29</v>
      </c>
      <c r="C29" s="309" t="str">
        <v>Prepare</v>
      </c>
      <c r="D29" t="str">
        <v>Statement of Cash Flows</v>
      </c>
      <c r="F29" s="1"/>
      <c r="G29" s="545" t="b">
        <v>0</v>
      </c>
      <c r="H29" s="97" t="str">
        <v>Financial_Statements_Builder</v>
      </c>
    </row>
    <row r="30" spans="2:8" x14ac:dyDescent="0.3">
      <c r="B30" s="448" t="s">
        <v>30</v>
      </c>
      <c r="C30" s="309" t="str">
        <v>Review</v>
      </c>
      <c r="D30" t="str">
        <v>Net Income - Cash Flow from Operations Reconciliation Worksheet</v>
      </c>
      <c r="F30" s="1"/>
      <c r="G30" s="545" t="b">
        <v>0</v>
      </c>
      <c r="H30" s="97" t="str">
        <v>Reconciliation_Tool</v>
      </c>
    </row>
    <row r="31" spans="2:8" x14ac:dyDescent="0.3">
      <c r="B31" s="448" t="s">
        <v>31</v>
      </c>
      <c r="C31" s="309" t="str">
        <v>Review</v>
      </c>
      <c r="D31" t="str">
        <v>Reconciliation of Net Income and Cash Flow from Operations</v>
      </c>
      <c r="F31" s="1"/>
      <c r="G31" s="545" t="b">
        <v>0</v>
      </c>
      <c r="H31" s="97" t="str">
        <v>Financial_Statements_Builder</v>
      </c>
    </row>
    <row r="32" spans="2:8" x14ac:dyDescent="0.3">
      <c r="B32" s="448" t="s">
        <v>32</v>
      </c>
      <c r="C32" s="309"/>
      <c r="F32" s="1"/>
      <c r="G32" s="545" t="b">
        <v>0</v>
      </c>
      <c r="H32" s="97"/>
    </row>
    <row r="33" spans="2:10" x14ac:dyDescent="0.3">
      <c r="B33" s="448" t="s">
        <v>33</v>
      </c>
      <c r="C33" s="309"/>
      <c r="F33" s="1"/>
      <c r="G33" s="545" t="b">
        <v>0</v>
      </c>
      <c r="H33" s="97"/>
    </row>
    <row r="34" spans="2:10" ht="15" thickBot="1" x14ac:dyDescent="0.35">
      <c r="B34" s="449" t="s">
        <v>34</v>
      </c>
      <c r="C34" s="407"/>
      <c r="D34" s="283"/>
      <c r="E34" s="283"/>
      <c r="F34" s="395"/>
      <c r="G34" s="543" t="b">
        <v>0</v>
      </c>
      <c r="H34" s="99"/>
    </row>
    <row r="35" spans="2:10" x14ac:dyDescent="0.3">
      <c r="C35" s="40"/>
      <c r="F35" s="1"/>
    </row>
    <row r="36" spans="2:10" x14ac:dyDescent="0.3">
      <c r="B36" s="672" t="s">
        <v>35</v>
      </c>
      <c r="C36" s="672"/>
      <c r="D36" s="672"/>
      <c r="E36" s="672"/>
      <c r="F36" s="672"/>
      <c r="G36" s="672"/>
      <c r="H36" s="672"/>
      <c r="I36" s="672"/>
      <c r="J36" s="672"/>
    </row>
    <row r="37" spans="2:10" ht="15" thickBot="1" x14ac:dyDescent="0.35">
      <c r="E37" s="1"/>
    </row>
    <row r="38" spans="2:10" x14ac:dyDescent="0.3">
      <c r="B38" s="673" t="s">
        <v>36</v>
      </c>
      <c r="C38" s="684" t="s">
        <v>37</v>
      </c>
      <c r="D38" s="685"/>
      <c r="E38" s="686" t="s">
        <v>38</v>
      </c>
      <c r="F38" s="687"/>
      <c r="G38" s="682" t="s">
        <v>39</v>
      </c>
      <c r="H38" s="683"/>
    </row>
    <row r="39" spans="2:10" ht="15" thickBot="1" x14ac:dyDescent="0.35">
      <c r="B39" s="674"/>
      <c r="C39" s="599" t="s">
        <v>40</v>
      </c>
      <c r="D39" s="600" t="s">
        <v>41</v>
      </c>
      <c r="E39" s="602" t="s">
        <v>40</v>
      </c>
      <c r="F39" s="603" t="s">
        <v>41</v>
      </c>
      <c r="G39" s="604"/>
      <c r="H39" s="605"/>
    </row>
    <row r="40" spans="2:10" x14ac:dyDescent="0.3">
      <c r="B40" s="674"/>
      <c r="C40" s="175" t="str" cm="1">
        <f t="array" ref="C40:C46">IFERROR(_xlfn._xlws.FILTER(MD_Asset[[#All],[Account Name]],MD_Asset[[#All],[Used]]=1),"")</f>
        <v>Cash</v>
      </c>
      <c r="D40" s="598" t="str">
        <f>IF(NOT(ISBLANK(C40)),_xlfn.XLOOKUP(C40,MD_Asset[Account Name],MD_Asset[C/NC],""),"")</f>
        <v>C</v>
      </c>
      <c r="E40" s="102" t="str" cm="1">
        <f t="array" ref="E40:E43">IFERROR(_xlfn._xlws.FILTER(MD_Liability[[#All],[Account Name]],MD_Liability[[#All],[Used]]=1),"")</f>
        <v>Accounts Payable</v>
      </c>
      <c r="F40" s="254" t="str">
        <f>IF(NOT(ISBLANK(E40)),_xlfn.XLOOKUP(E40,MD_Liability[Account Name],MD_Liability[C/NC],""),"")</f>
        <v>C</v>
      </c>
      <c r="G40" s="102" t="str" cm="1">
        <f t="array" ref="G40:G41">IFERROR(_xlfn._xlws.FILTER(MD_Equity[[#All],[Account Name]],MD_Equity[[#All],[Used]]=1),"")</f>
        <v>Common Stock</v>
      </c>
      <c r="H40" s="103"/>
    </row>
    <row r="41" spans="2:10" x14ac:dyDescent="0.3">
      <c r="B41" s="674"/>
      <c r="C41" s="96" t="str">
        <v>Accounts Receivable</v>
      </c>
      <c r="D41" s="535" t="str">
        <f>IF(NOT(ISBLANK(C41)),_xlfn.XLOOKUP(C41,MD_Asset[Account Name],MD_Asset[C/NC],""),"")</f>
        <v>C</v>
      </c>
      <c r="E41" s="102" t="str">
        <v>Interest Payable</v>
      </c>
      <c r="F41" s="254" t="str">
        <f>IF(NOT(ISBLANK(E41)),_xlfn.XLOOKUP(E41,MD_Liability[Account Name],MD_Liability[C/NC],""),"")</f>
        <v>C</v>
      </c>
      <c r="G41" s="102" t="str">
        <v>Retained Earnings</v>
      </c>
      <c r="H41" s="103"/>
    </row>
    <row r="42" spans="2:10" x14ac:dyDescent="0.3">
      <c r="B42" s="674"/>
      <c r="C42" s="96" t="str">
        <v>Marketable Securities</v>
      </c>
      <c r="D42" s="535" t="str">
        <f>IF(NOT(ISBLANK(C42)),_xlfn.XLOOKUP(C42,MD_Asset[Account Name],MD_Asset[C/NC],""),"")</f>
        <v>C</v>
      </c>
      <c r="E42" s="102" t="str">
        <v>Salaries &amp; Wages Payable</v>
      </c>
      <c r="F42" s="254" t="str">
        <f>IF(NOT(ISBLANK(E42)),_xlfn.XLOOKUP(E42,MD_Liability[Account Name],MD_Liability[C/NC],""),"")</f>
        <v>C</v>
      </c>
      <c r="G42" s="102"/>
      <c r="H42" s="103"/>
    </row>
    <row r="43" spans="2:10" x14ac:dyDescent="0.3">
      <c r="B43" s="674"/>
      <c r="C43" s="96" t="str">
        <v>Inventories</v>
      </c>
      <c r="D43" s="535" t="str">
        <f>IF(NOT(ISBLANK(C43)),_xlfn.XLOOKUP(C43,MD_Asset[Account Name],MD_Asset[C/NC],""),"")</f>
        <v>C</v>
      </c>
      <c r="E43" s="102" t="str">
        <v>Bonds Payable</v>
      </c>
      <c r="F43" s="254" t="str">
        <f>IF(NOT(ISBLANK(E43)),_xlfn.XLOOKUP(E43,MD_Liability[Account Name],MD_Liability[C/NC],""),"")</f>
        <v>NC</v>
      </c>
      <c r="G43" s="102"/>
      <c r="H43" s="103"/>
    </row>
    <row r="44" spans="2:10" x14ac:dyDescent="0.3">
      <c r="B44" s="674"/>
      <c r="C44" s="96" t="str">
        <v>Prepaid Rent</v>
      </c>
      <c r="D44" s="535" t="str">
        <f>IF(NOT(ISBLANK(C44)),_xlfn.XLOOKUP(C44,MD_Asset[Account Name],MD_Asset[C/NC],""),"")</f>
        <v>C</v>
      </c>
      <c r="E44" s="102"/>
      <c r="F44" s="254" t="str">
        <f>IF(NOT(ISBLANK(E44)),_xlfn.XLOOKUP(E44,MD_Liability[Account Name],MD_Liability[C/NC],""),"")</f>
        <v/>
      </c>
      <c r="G44" s="102"/>
      <c r="H44" s="103"/>
    </row>
    <row r="45" spans="2:10" x14ac:dyDescent="0.3">
      <c r="B45" s="674"/>
      <c r="C45" s="96" t="str">
        <v>Property, Plant &amp; Equipment</v>
      </c>
      <c r="D45" s="535" t="str">
        <f>IF(NOT(ISBLANK(C45)),_xlfn.XLOOKUP(C45,MD_Asset[Account Name],MD_Asset[C/NC],""),"")</f>
        <v>NC</v>
      </c>
      <c r="E45" s="102"/>
      <c r="F45" s="254" t="str">
        <f>IF(NOT(ISBLANK(E45)),_xlfn.XLOOKUP(E45,MD_Liability[Account Name],MD_Liability[C/NC],""),"")</f>
        <v/>
      </c>
      <c r="G45" s="102"/>
      <c r="H45" s="103"/>
    </row>
    <row r="46" spans="2:10" x14ac:dyDescent="0.3">
      <c r="B46" s="674"/>
      <c r="C46" s="96" t="str">
        <v>Accumulated Depreciation</v>
      </c>
      <c r="D46" s="535" t="str">
        <f>IF(NOT(ISBLANK(C46)),_xlfn.XLOOKUP(C46,MD_Asset[Account Name],MD_Asset[C/NC],""),"")</f>
        <v>NC</v>
      </c>
      <c r="E46" s="102"/>
      <c r="F46" s="254" t="str">
        <f>IF(NOT(ISBLANK(E46)),_xlfn.XLOOKUP(E46,MD_Liability[Account Name],MD_Liability[C/NC],""),"")</f>
        <v/>
      </c>
      <c r="G46" s="102"/>
      <c r="H46" s="103"/>
    </row>
    <row r="47" spans="2:10" x14ac:dyDescent="0.3">
      <c r="B47" s="674"/>
      <c r="C47" s="96"/>
      <c r="D47" s="535" t="str">
        <f>IF(NOT(ISBLANK(C47)),_xlfn.XLOOKUP(C47,MD_Asset[Account Name],MD_Asset[C/NC],""),"")</f>
        <v/>
      </c>
      <c r="E47" s="102"/>
      <c r="F47" s="254" t="str">
        <f>IF(NOT(ISBLANK(E47)),_xlfn.XLOOKUP(E47,MD_Liability[Account Name],MD_Liability[C/NC],""),"")</f>
        <v/>
      </c>
      <c r="G47" s="102"/>
      <c r="H47" s="103"/>
    </row>
    <row r="48" spans="2:10" x14ac:dyDescent="0.3">
      <c r="B48" s="674"/>
      <c r="C48" s="96"/>
      <c r="D48" s="535" t="str">
        <f>IF(NOT(ISBLANK(C48)),_xlfn.XLOOKUP(C48,MD_Asset[Account Name],MD_Asset[C/NC],""),"")</f>
        <v/>
      </c>
      <c r="E48" s="102"/>
      <c r="F48" s="254" t="str">
        <f>IF(NOT(ISBLANK(E48)),_xlfn.XLOOKUP(E48,MD_Liability[Account Name],MD_Liability[C/NC],""),"")</f>
        <v/>
      </c>
      <c r="G48" s="102"/>
      <c r="H48" s="103"/>
    </row>
    <row r="49" spans="2:10" x14ac:dyDescent="0.3">
      <c r="B49" s="674"/>
      <c r="C49" s="96"/>
      <c r="D49" s="535" t="str">
        <f>IF(NOT(ISBLANK(C49)),_xlfn.XLOOKUP(C49,MD_Asset[Account Name],MD_Asset[C/NC],""),"")</f>
        <v/>
      </c>
      <c r="E49" s="102"/>
      <c r="F49" s="254" t="str">
        <f>IF(NOT(ISBLANK(E49)),_xlfn.XLOOKUP(E49,MD_Liability[Account Name],MD_Liability[C/NC],""),"")</f>
        <v/>
      </c>
      <c r="G49" s="102"/>
      <c r="H49" s="103"/>
    </row>
    <row r="50" spans="2:10" x14ac:dyDescent="0.3">
      <c r="B50" s="674"/>
      <c r="C50" s="96"/>
      <c r="D50" s="535" t="str">
        <f>IF(NOT(ISBLANK(C50)),_xlfn.XLOOKUP(C50,MD_Asset[Account Name],MD_Asset[C/NC],""),"")</f>
        <v/>
      </c>
      <c r="E50" s="102"/>
      <c r="F50" s="254" t="str">
        <f>IF(NOT(ISBLANK(E50)),_xlfn.XLOOKUP(E50,MD_Liability[Account Name],MD_Liability[C/NC],""),"")</f>
        <v/>
      </c>
      <c r="G50" s="102"/>
      <c r="H50" s="103"/>
    </row>
    <row r="51" spans="2:10" ht="15" thickBot="1" x14ac:dyDescent="0.35">
      <c r="B51" s="675"/>
      <c r="C51" s="98"/>
      <c r="D51" s="597" t="str">
        <f>IF(NOT(ISBLANK(C51)),_xlfn.XLOOKUP(C51,MD_Asset[Account Name],MD_Asset[C/NC],""),"")</f>
        <v/>
      </c>
      <c r="E51" s="104"/>
      <c r="F51" s="601" t="str">
        <f>IF(NOT(ISBLANK(E51)),_xlfn.XLOOKUP(E51,MD_Liability[Account Name],MD_Liability[C/NC],""),"")</f>
        <v/>
      </c>
      <c r="G51" s="104"/>
      <c r="H51" s="105"/>
    </row>
    <row r="52" spans="2:10" x14ac:dyDescent="0.3">
      <c r="E52" s="1"/>
    </row>
    <row r="53" spans="2:10" ht="15" thickBot="1" x14ac:dyDescent="0.35">
      <c r="E53" s="1"/>
    </row>
    <row r="54" spans="2:10" x14ac:dyDescent="0.3">
      <c r="B54" s="673" t="s">
        <v>42</v>
      </c>
      <c r="C54" s="676" t="s">
        <v>43</v>
      </c>
      <c r="D54" s="677"/>
      <c r="E54" s="678" t="s">
        <v>44</v>
      </c>
      <c r="F54" s="679"/>
      <c r="G54" s="680" t="s">
        <v>45</v>
      </c>
      <c r="H54" s="681"/>
      <c r="I54" s="670" t="s">
        <v>46</v>
      </c>
      <c r="J54" s="671"/>
    </row>
    <row r="55" spans="2:10" x14ac:dyDescent="0.3">
      <c r="B55" s="674"/>
      <c r="C55" s="96" t="str" cm="1">
        <f t="array" ref="C55">IFERROR(_xlfn._xlws.FILTER(MD_Revenue[[#All],[Account Name]],MD_Revenue[[#All],[Used]]=1),"")</f>
        <v>Sales</v>
      </c>
      <c r="D55" s="97"/>
      <c r="E55" s="96" t="str" cm="1">
        <f t="array" ref="E55:E60">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x14ac:dyDescent="0.3">
      <c r="B56" s="674"/>
      <c r="C56" s="96"/>
      <c r="D56" s="97"/>
      <c r="E56" s="96" t="str">
        <v>Interest Expense</v>
      </c>
      <c r="F56" s="97"/>
      <c r="G56" s="96"/>
      <c r="H56" s="97"/>
      <c r="I56" s="96"/>
      <c r="J56" s="97"/>
    </row>
    <row r="57" spans="2:10" x14ac:dyDescent="0.3">
      <c r="B57" s="674"/>
      <c r="C57" s="96"/>
      <c r="D57" s="97"/>
      <c r="E57" s="96" t="str">
        <v>Depreciation Expense</v>
      </c>
      <c r="F57" s="97"/>
      <c r="G57" s="96"/>
      <c r="H57" s="97"/>
      <c r="I57" s="96"/>
      <c r="J57" s="97"/>
    </row>
    <row r="58" spans="2:10" x14ac:dyDescent="0.3">
      <c r="B58" s="674"/>
      <c r="C58" s="96"/>
      <c r="D58" s="97"/>
      <c r="E58" s="96" t="str">
        <v>Rent Expense</v>
      </c>
      <c r="F58" s="97"/>
      <c r="G58" s="96"/>
      <c r="H58" s="97"/>
      <c r="I58" s="96"/>
      <c r="J58" s="97"/>
    </row>
    <row r="59" spans="2:10" x14ac:dyDescent="0.3">
      <c r="B59" s="674"/>
      <c r="C59" s="96"/>
      <c r="D59" s="97"/>
      <c r="E59" s="96" t="str">
        <v>Bad Debts Expense</v>
      </c>
      <c r="F59" s="97"/>
      <c r="G59" s="96"/>
      <c r="H59" s="97"/>
      <c r="I59" s="96"/>
      <c r="J59" s="97"/>
    </row>
    <row r="60" spans="2:10" x14ac:dyDescent="0.3">
      <c r="B60" s="674"/>
      <c r="C60" s="96"/>
      <c r="D60" s="97"/>
      <c r="E60" s="96" t="str">
        <v>Salaries &amp; Wages Expense</v>
      </c>
      <c r="F60" s="97"/>
      <c r="G60" s="96"/>
      <c r="H60" s="97"/>
      <c r="I60" s="96"/>
      <c r="J60" s="97"/>
    </row>
    <row r="61" spans="2:10" x14ac:dyDescent="0.3">
      <c r="B61" s="674"/>
      <c r="C61" s="96"/>
      <c r="D61" s="97"/>
      <c r="E61" s="96"/>
      <c r="F61" s="97"/>
      <c r="G61" s="96"/>
      <c r="H61" s="97"/>
      <c r="I61" s="96"/>
      <c r="J61" s="97"/>
    </row>
    <row r="62" spans="2:10" x14ac:dyDescent="0.3">
      <c r="B62" s="674"/>
      <c r="C62" s="96"/>
      <c r="D62" s="97"/>
      <c r="E62" s="96"/>
      <c r="F62" s="97"/>
      <c r="G62" s="96"/>
      <c r="H62" s="97"/>
      <c r="I62" s="96"/>
      <c r="J62" s="97"/>
    </row>
    <row r="63" spans="2:10" x14ac:dyDescent="0.3">
      <c r="B63" s="674"/>
      <c r="C63" s="96"/>
      <c r="D63" s="97"/>
      <c r="E63" s="96"/>
      <c r="F63" s="97"/>
      <c r="G63" s="96"/>
      <c r="H63" s="97"/>
      <c r="I63" s="96"/>
      <c r="J63" s="97"/>
    </row>
    <row r="64" spans="2:10" x14ac:dyDescent="0.3">
      <c r="B64" s="674"/>
      <c r="C64" s="96"/>
      <c r="D64" s="97"/>
      <c r="E64" s="96"/>
      <c r="F64" s="97"/>
      <c r="G64" s="96"/>
      <c r="H64" s="97"/>
      <c r="I64" s="96"/>
      <c r="J64" s="97"/>
    </row>
    <row r="65" spans="2:10" ht="15" thickBot="1" x14ac:dyDescent="0.35">
      <c r="B65" s="675"/>
      <c r="C65" s="98"/>
      <c r="D65" s="99"/>
      <c r="E65" s="98"/>
      <c r="F65" s="99"/>
      <c r="G65" s="98"/>
      <c r="H65" s="99"/>
      <c r="I65" s="98"/>
      <c r="J65" s="99"/>
    </row>
    <row r="69" spans="2:10" x14ac:dyDescent="0.3">
      <c r="B69" s="672" t="s">
        <v>47</v>
      </c>
      <c r="C69" s="672"/>
      <c r="D69" s="672"/>
      <c r="E69" s="672"/>
      <c r="F69" s="672"/>
      <c r="G69" s="672"/>
      <c r="H69" s="672"/>
    </row>
    <row r="70" spans="2:10" x14ac:dyDescent="0.3">
      <c r="B70" s="1" t="s">
        <v>20</v>
      </c>
      <c r="C70" t="str" cm="1">
        <f t="array" ref="C70:C74">PurposesUsed</f>
        <v>Expand your financial vocabulary.</v>
      </c>
    </row>
    <row r="71" spans="2:10" x14ac:dyDescent="0.3">
      <c r="B71" s="1" t="s">
        <v>21</v>
      </c>
      <c r="C71" t="str">
        <v>Use the Accounting Identity to analyze transactions.</v>
      </c>
      <c r="D71" s="1"/>
      <c r="E71" s="1"/>
      <c r="F71" s="1"/>
      <c r="G71" s="1"/>
      <c r="H71" s="1"/>
    </row>
    <row r="72" spans="2:10" x14ac:dyDescent="0.3">
      <c r="B72" s="1" t="s">
        <v>22</v>
      </c>
      <c r="C72" t="str">
        <v>Practice journal entry notation for analyzing/recording transactions.</v>
      </c>
      <c r="D72" s="1"/>
      <c r="E72" s="1"/>
      <c r="F72" s="1"/>
      <c r="G72" s="1"/>
      <c r="H72" s="1"/>
    </row>
    <row r="73" spans="2:10" x14ac:dyDescent="0.3">
      <c r="B73" s="1" t="s">
        <v>23</v>
      </c>
      <c r="C73" t="str">
        <v>Use T-account notation for analyzing individual assets, liabilities and equities.</v>
      </c>
      <c r="D73" s="1"/>
      <c r="E73" s="1"/>
      <c r="F73" s="1"/>
      <c r="G73" s="1"/>
      <c r="H73" s="1"/>
    </row>
    <row r="74" spans="2:10" x14ac:dyDescent="0.3">
      <c r="B74" s="1" t="s">
        <v>24</v>
      </c>
      <c r="C74" t="str">
        <v>Understand the role of Temporary accounts.</v>
      </c>
      <c r="D74" s="1"/>
      <c r="E74" s="1"/>
      <c r="F74" s="1"/>
      <c r="G74" s="1"/>
      <c r="H74" s="1"/>
    </row>
    <row r="75" spans="2:10" x14ac:dyDescent="0.3">
      <c r="C75" s="1"/>
      <c r="D75" s="1"/>
      <c r="E75" s="1"/>
      <c r="F75" s="1"/>
      <c r="G75" s="1"/>
      <c r="H75" s="1"/>
    </row>
    <row r="76" spans="2:10" x14ac:dyDescent="0.3">
      <c r="C76" s="1"/>
      <c r="D76" s="1"/>
      <c r="E76" s="1"/>
      <c r="F76" s="1"/>
      <c r="G76" s="1"/>
      <c r="H76" s="1"/>
    </row>
  </sheetData>
  <mergeCells count="22">
    <mergeCell ref="I54:J54"/>
    <mergeCell ref="B36:J36"/>
    <mergeCell ref="B69:H69"/>
    <mergeCell ref="B54:B65"/>
    <mergeCell ref="C54:D54"/>
    <mergeCell ref="E54:F54"/>
    <mergeCell ref="G54:H54"/>
    <mergeCell ref="G38:H38"/>
    <mergeCell ref="B38:B51"/>
    <mergeCell ref="C38:D38"/>
    <mergeCell ref="E38:F38"/>
    <mergeCell ref="C10:E10"/>
    <mergeCell ref="C12:E12"/>
    <mergeCell ref="C13:E13"/>
    <mergeCell ref="C14:E14"/>
    <mergeCell ref="B18:H18"/>
    <mergeCell ref="C9:E9"/>
    <mergeCell ref="B2:E2"/>
    <mergeCell ref="C4:E4"/>
    <mergeCell ref="C5:E5"/>
    <mergeCell ref="C6:E6"/>
    <mergeCell ref="C8:E8"/>
  </mergeCells>
  <phoneticPr fontId="4" type="noConversion"/>
  <conditionalFormatting sqref="B20:B34">
    <cfRule type="expression" dxfId="444" priority="7">
      <formula>ISBLANK($C20)</formula>
    </cfRule>
  </conditionalFormatting>
  <conditionalFormatting sqref="B20:H34">
    <cfRule type="expression" dxfId="443" priority="3">
      <formula>$G20</formula>
    </cfRule>
  </conditionalFormatting>
  <conditionalFormatting sqref="C21:C34">
    <cfRule type="expression" dxfId="442" priority="11">
      <formula>ISBLANK($C20)</formula>
    </cfRule>
  </conditionalFormatting>
  <conditionalFormatting sqref="C35">
    <cfRule type="expression" dxfId="441" priority="444">
      <formula>ISBLANK($C31)</formula>
    </cfRule>
  </conditionalFormatting>
  <conditionalFormatting sqref="G20:G34">
    <cfRule type="expression" dxfId="440"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topLeftCell="A3" zoomScale="130" zoomScaleNormal="130" workbookViewId="0">
      <selection activeCell="I45" sqref="I45"/>
    </sheetView>
  </sheetViews>
  <sheetFormatPr defaultRowHeight="14.4" x14ac:dyDescent="0.3"/>
  <cols>
    <col min="1" max="1" width="2" customWidth="1"/>
    <col min="2" max="2" width="2.77734375" style="76" customWidth="1"/>
    <col min="3" max="3" width="12.21875" style="1" bestFit="1" customWidth="1"/>
    <col min="4" max="4" width="12.109375" customWidth="1"/>
    <col min="5" max="6" width="26.21875" customWidth="1"/>
    <col min="7" max="9" width="10" customWidth="1"/>
    <col min="10" max="11" width="12.109375" hidden="1" customWidth="1"/>
    <col min="12" max="13" width="13.77734375" hidden="1" customWidth="1"/>
    <col min="14" max="14" width="14.44140625" hidden="1" customWidth="1"/>
    <col min="15" max="16" width="9.109375" hidden="1" customWidth="1"/>
    <col min="17" max="17" width="8.88671875" customWidth="1"/>
  </cols>
  <sheetData>
    <row r="1" spans="2:16" ht="8.85" customHeight="1" thickBot="1" x14ac:dyDescent="0.35"/>
    <row r="2" spans="2:16" ht="16.5" customHeight="1" thickBot="1" x14ac:dyDescent="0.35">
      <c r="B2" s="39"/>
      <c r="C2" s="94" t="s">
        <v>48</v>
      </c>
      <c r="D2" s="460">
        <v>1</v>
      </c>
      <c r="E2" s="547" t="str">
        <f>Entity&amp;" Journal for "&amp;BegDate&amp;" to "&amp;EndDate</f>
        <v>Ralphy's Business Journal for 3/31/20X4 to 12/31/20x4</v>
      </c>
      <c r="F2" s="548"/>
      <c r="G2" s="549"/>
      <c r="H2" s="357" t="s">
        <v>49</v>
      </c>
      <c r="I2" s="612" t="str">
        <f>IF(ROUND(SUM(Journal[Dr Amt])-SUM(Journal[Cr Amt]),2)=0,"YES",ROUND(SUM(Journal[Dr Amt])-SUM(Journal[Cr Amt]),2))</f>
        <v>YES</v>
      </c>
    </row>
    <row r="3" spans="2:16" ht="15" thickBot="1" x14ac:dyDescent="0.35">
      <c r="B3" s="39"/>
      <c r="C3" s="688" t="s">
        <v>50</v>
      </c>
      <c r="D3" s="689"/>
      <c r="E3" s="689"/>
      <c r="F3" s="689"/>
      <c r="G3" s="689"/>
      <c r="H3" s="689"/>
      <c r="I3" s="690"/>
      <c r="J3" s="35"/>
      <c r="K3" s="35"/>
      <c r="L3" s="35" t="s">
        <v>51</v>
      </c>
    </row>
    <row r="4" spans="2:16" x14ac:dyDescent="0.3">
      <c r="B4" s="39"/>
      <c r="C4" s="691" t="str" cm="1">
        <f t="array" ref="C4">INDEX(ProblemData!D78:AN79,2,D2+1)</f>
        <v>Issued 20,000 shares of $5 (per share) par value common stock for $100 thousand cash.</v>
      </c>
      <c r="D4" s="692"/>
      <c r="E4" s="692"/>
      <c r="F4" s="692"/>
      <c r="G4" s="692"/>
      <c r="H4" s="692"/>
      <c r="I4" s="693"/>
      <c r="J4" s="35"/>
      <c r="K4" s="35"/>
      <c r="L4" s="35" t="s">
        <v>51</v>
      </c>
    </row>
    <row r="5" spans="2:16" x14ac:dyDescent="0.3">
      <c r="B5" s="39"/>
      <c r="C5" s="694"/>
      <c r="D5" s="695"/>
      <c r="E5" s="695"/>
      <c r="F5" s="695"/>
      <c r="G5" s="695"/>
      <c r="H5" s="695"/>
      <c r="I5" s="696"/>
      <c r="J5" s="35"/>
      <c r="K5" s="35"/>
      <c r="L5" s="35" t="s">
        <v>51</v>
      </c>
    </row>
    <row r="6" spans="2:16" x14ac:dyDescent="0.3">
      <c r="B6" s="39"/>
      <c r="C6" s="694"/>
      <c r="D6" s="695"/>
      <c r="E6" s="695"/>
      <c r="F6" s="695"/>
      <c r="G6" s="695"/>
      <c r="H6" s="695"/>
      <c r="I6" s="696"/>
      <c r="J6" s="35"/>
      <c r="K6" s="35"/>
      <c r="L6" s="35" t="s">
        <v>51</v>
      </c>
    </row>
    <row r="7" spans="2:16" ht="15" thickBot="1" x14ac:dyDescent="0.35">
      <c r="B7" s="39"/>
      <c r="C7" s="697"/>
      <c r="D7" s="698"/>
      <c r="E7" s="698"/>
      <c r="F7" s="698"/>
      <c r="G7" s="698"/>
      <c r="H7" s="698"/>
      <c r="I7" s="699"/>
      <c r="J7" s="35"/>
      <c r="K7" s="35"/>
      <c r="L7" s="35" t="s">
        <v>51</v>
      </c>
    </row>
    <row r="8" spans="2:16" ht="14.85" customHeight="1" x14ac:dyDescent="0.3">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x14ac:dyDescent="0.3">
      <c r="C9" s="37">
        <v>1</v>
      </c>
      <c r="D9" s="166" t="s">
        <v>63</v>
      </c>
      <c r="E9" s="167" t="s">
        <v>59</v>
      </c>
      <c r="F9" s="167"/>
      <c r="G9" s="168">
        <v>100</v>
      </c>
      <c r="H9" s="169"/>
      <c r="I9" s="322" t="s">
        <v>395</v>
      </c>
      <c r="J9" s="318">
        <f>IF(Journal[[#This Row],[Transaction '#]]="","",IF(Journal[[#This Row],[Transaction '#]]=C8,J8+1,1))</f>
        <v>1</v>
      </c>
      <c r="K9" s="319" cm="1">
        <f t="array" ref="K9">IFERROR(_xlfn.IFS(Journal[[#This Row],[Debit Account]]="Cash",Journal[[#This Row],[Dr Amt]],Journal[[#This Row],[Credit Account]]="Cash",-Journal[[#This Row],[Cr Amt]]),0)</f>
        <v>100</v>
      </c>
      <c r="L9" s="294" t="str" cm="1">
        <f t="array" aca="1" ref="L9" ca="1">IF(Journal[[#This Row],[Transaction '#]]&lt;&gt;"",IFERROR(INDEX(ProblemData!$E$240:$AM$240,1,Journal[[#This Row],[Transaction '#]]),""),"")</f>
        <v>ICS</v>
      </c>
      <c r="M9" s="320" t="str">
        <f ca="1">IF(Journal[[#This Row],[ref1]]="","",IF(NOT(ISBLANK(Journal[[#This Row],[Transaction '#]])),Journal[[#This Row],[ref1]]&amp;Journal[[#This Row],[Movement '#]],""))</f>
        <v>ICS1</v>
      </c>
      <c r="N9" s="1" t="b">
        <f ca="1">OR(Journal[[#This Row],[ref1]]="",ISNUMBER(MATCH(Journal[[#This Row],[ref1]],Operating[Abbr], 0)))</f>
        <v>0</v>
      </c>
      <c r="P9" s="1" t="str">
        <f>Journal[[#This Row],[Accnt Type]]&amp;"Used"</f>
        <v>AssetUsed</v>
      </c>
    </row>
    <row r="10" spans="2:16" x14ac:dyDescent="0.3">
      <c r="C10" s="37">
        <v>1</v>
      </c>
      <c r="D10" s="166" t="s">
        <v>64</v>
      </c>
      <c r="E10" s="167"/>
      <c r="F10" s="167" t="s">
        <v>65</v>
      </c>
      <c r="G10" s="168"/>
      <c r="H10" s="169">
        <v>100</v>
      </c>
      <c r="I10" s="322"/>
      <c r="J10" s="318">
        <f>IF(Journal[[#This Row],[Transaction '#]]="","",IF(Journal[[#This Row],[Transaction '#]]=C9,J9+1,1))</f>
        <v>2</v>
      </c>
      <c r="K10" s="319" cm="1">
        <f t="array" ref="K10">IFERROR(_xlfn.IFS(Journal[[#This Row],[Debit Account]]="Cash",Journal[[#This Row],[Dr Amt]],Journal[[#This Row],[Credit Account]]="Cash",-Journal[[#This Row],[Cr Amt]]),0)</f>
        <v>0</v>
      </c>
      <c r="L10" s="294" t="str" cm="1">
        <f t="array" aca="1" ref="L10" ca="1">IF(Journal[[#This Row],[Transaction '#]]&lt;&gt;"",IFERROR(INDEX(ProblemData!$E$240:$AM$240,1,Journal[[#This Row],[Transaction '#]]),""),"")</f>
        <v>ICS</v>
      </c>
      <c r="M10" s="320" t="str">
        <f ca="1">IF(Journal[[#This Row],[ref1]]="","",IF(NOT(ISBLANK(Journal[[#This Row],[Transaction '#]])),Journal[[#This Row],[ref1]]&amp;Journal[[#This Row],[Movement '#]],""))</f>
        <v>ICS2</v>
      </c>
      <c r="N10" s="1" t="b">
        <f ca="1">OR(Journal[[#This Row],[ref1]]="",ISNUMBER(MATCH(Journal[[#This Row],[ref1]],Operating[Abbr], 0)))</f>
        <v>0</v>
      </c>
      <c r="O10" s="1"/>
      <c r="P10" s="1" t="str">
        <f>Journal[[#This Row],[Accnt Type]]&amp;"Used"</f>
        <v>EquityUsed</v>
      </c>
    </row>
    <row r="11" spans="2:16" x14ac:dyDescent="0.3">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x14ac:dyDescent="0.3">
      <c r="C12" s="37">
        <v>2</v>
      </c>
      <c r="D12" s="166" t="s">
        <v>63</v>
      </c>
      <c r="E12" s="167" t="s">
        <v>66</v>
      </c>
      <c r="F12" s="167"/>
      <c r="G12" s="168">
        <v>60</v>
      </c>
      <c r="H12" s="169"/>
      <c r="I12" s="322"/>
      <c r="J12" s="318">
        <f>IF(Journal[[#This Row],[Transaction '#]]="","",IF(Journal[[#This Row],[Transaction '#]]=C11,J11+1,1))</f>
        <v>1</v>
      </c>
      <c r="K12" s="319" cm="1">
        <f t="array" ref="K12">IFERROR(_xlfn.IFS(Journal[[#This Row],[Debit Account]]="Cash",Journal[[#This Row],[Dr Amt]],Journal[[#This Row],[Credit Account]]="Cash",-Journal[[#This Row],[Cr Amt]]),0)</f>
        <v>0</v>
      </c>
      <c r="L12" s="294" t="str" cm="1">
        <f t="array" aca="1" ref="L12" ca="1">IF(Journal[[#This Row],[Transaction '#]]&lt;&gt;"",IFERROR(INDEX(ProblemData!$E$240:$AM$240,1,Journal[[#This Row],[Transaction '#]]),""),"")</f>
        <v>PPPE</v>
      </c>
      <c r="M12" s="320" t="str">
        <f ca="1">IF(Journal[[#This Row],[ref1]]="","",IF(NOT(ISBLANK(Journal[[#This Row],[Transaction '#]])),Journal[[#This Row],[ref1]]&amp;Journal[[#This Row],[Movement '#]],""))</f>
        <v>PPPE1</v>
      </c>
      <c r="N12" s="1" t="b">
        <f ca="1">OR(Journal[[#This Row],[ref1]]="",ISNUMBER(MATCH(Journal[[#This Row],[ref1]],Operating[Abbr], 0)))</f>
        <v>0</v>
      </c>
      <c r="O12" s="1"/>
      <c r="P12" s="1" t="str">
        <f>Journal[[#This Row],[Accnt Type]]&amp;"Used"</f>
        <v>AssetUsed</v>
      </c>
    </row>
    <row r="13" spans="2:16" x14ac:dyDescent="0.3">
      <c r="C13" s="37">
        <v>2</v>
      </c>
      <c r="D13" s="166" t="s">
        <v>63</v>
      </c>
      <c r="E13" s="167"/>
      <c r="F13" s="167" t="s">
        <v>59</v>
      </c>
      <c r="G13" s="168"/>
      <c r="H13" s="169">
        <v>60</v>
      </c>
      <c r="I13" s="322" t="s">
        <v>394</v>
      </c>
      <c r="J13" s="318">
        <f>IF(Journal[[#This Row],[Transaction '#]]="","",IF(Journal[[#This Row],[Transaction '#]]=C12,J12+1,1))</f>
        <v>2</v>
      </c>
      <c r="K13" s="319" cm="1">
        <f t="array" ref="K13">IFERROR(_xlfn.IFS(Journal[[#This Row],[Debit Account]]="Cash",Journal[[#This Row],[Dr Amt]],Journal[[#This Row],[Credit Account]]="Cash",-Journal[[#This Row],[Cr Amt]]),0)</f>
        <v>-60</v>
      </c>
      <c r="L13" s="294" t="str" cm="1">
        <f t="array" aca="1" ref="L13" ca="1">IF(Journal[[#This Row],[Transaction '#]]&lt;&gt;"",IFERROR(INDEX(ProblemData!$E$240:$AM$240,1,Journal[[#This Row],[Transaction '#]]),""),"")</f>
        <v>PPPE</v>
      </c>
      <c r="M13" s="320" t="str">
        <f ca="1">IF(Journal[[#This Row],[ref1]]="","",IF(NOT(ISBLANK(Journal[[#This Row],[Transaction '#]])),Journal[[#This Row],[ref1]]&amp;Journal[[#This Row],[Movement '#]],""))</f>
        <v>PPPE2</v>
      </c>
      <c r="N13" s="1" t="b">
        <f ca="1">OR(Journal[[#This Row],[ref1]]="",ISNUMBER(MATCH(Journal[[#This Row],[ref1]],Operating[Abbr], 0)))</f>
        <v>0</v>
      </c>
      <c r="O13" s="1"/>
      <c r="P13" s="1" t="str">
        <f>Journal[[#This Row],[Accnt Type]]&amp;"Used"</f>
        <v>AssetUsed</v>
      </c>
    </row>
    <row r="14" spans="2:16" x14ac:dyDescent="0.3">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x14ac:dyDescent="0.3">
      <c r="C15" s="37">
        <v>3</v>
      </c>
      <c r="D15" s="166" t="s">
        <v>63</v>
      </c>
      <c r="E15" s="167" t="s">
        <v>67</v>
      </c>
      <c r="F15" s="167"/>
      <c r="G15" s="168">
        <v>4</v>
      </c>
      <c r="H15" s="169"/>
      <c r="I15" s="322"/>
      <c r="J15" s="318">
        <f>IF(Journal[[#This Row],[Transaction '#]]="","",IF(Journal[[#This Row],[Transaction '#]]=C14,J14+1,1))</f>
        <v>1</v>
      </c>
      <c r="K15" s="319" cm="1">
        <f t="array" ref="K15">IFERROR(_xlfn.IFS(Journal[[#This Row],[Debit Account]]="Cash",Journal[[#This Row],[Dr Amt]],Journal[[#This Row],[Credit Account]]="Cash",-Journal[[#This Row],[Cr Amt]]),0)</f>
        <v>0</v>
      </c>
      <c r="L15" s="294" t="str" cm="1">
        <f t="array" aca="1" ref="L15" ca="1">IF(Journal[[#This Row],[Transaction '#]]&lt;&gt;"",IFERROR(INDEX(ProblemData!$E$240:$AM$240,1,Journal[[#This Row],[Transaction '#]]),""),"")</f>
        <v>PdPPd</v>
      </c>
      <c r="M15" s="320" t="str">
        <f ca="1">IF(Journal[[#This Row],[ref1]]="","",IF(NOT(ISBLANK(Journal[[#This Row],[Transaction '#]])),Journal[[#This Row],[ref1]]&amp;Journal[[#This Row],[Movement '#]],""))</f>
        <v>PdPPd1</v>
      </c>
      <c r="N15" s="1" t="b">
        <f ca="1">OR(Journal[[#This Row],[ref1]]="",ISNUMBER(MATCH(Journal[[#This Row],[ref1]],Operating[Abbr], 0)))</f>
        <v>1</v>
      </c>
      <c r="O15" s="1"/>
      <c r="P15" s="1" t="str">
        <f>Journal[[#This Row],[Accnt Type]]&amp;"Used"</f>
        <v>AssetUsed</v>
      </c>
    </row>
    <row r="16" spans="2:16" x14ac:dyDescent="0.3">
      <c r="C16" s="37">
        <v>3</v>
      </c>
      <c r="D16" s="166" t="s">
        <v>63</v>
      </c>
      <c r="E16" s="167"/>
      <c r="F16" s="167" t="s">
        <v>59</v>
      </c>
      <c r="G16" s="168"/>
      <c r="H16" s="169">
        <v>4</v>
      </c>
      <c r="I16" s="322" t="s">
        <v>398</v>
      </c>
      <c r="J16" s="318">
        <f>IF(Journal[[#This Row],[Transaction '#]]="","",IF(Journal[[#This Row],[Transaction '#]]=C15,J15+1,1))</f>
        <v>2</v>
      </c>
      <c r="K16" s="319" cm="1">
        <f t="array" ref="K16">IFERROR(_xlfn.IFS(Journal[[#This Row],[Debit Account]]="Cash",Journal[[#This Row],[Dr Amt]],Journal[[#This Row],[Credit Account]]="Cash",-Journal[[#This Row],[Cr Amt]]),0)</f>
        <v>-4</v>
      </c>
      <c r="L16" s="294" t="str" cm="1">
        <f t="array" aca="1" ref="L16" ca="1">IF(Journal[[#This Row],[Transaction '#]]&lt;&gt;"",IFERROR(INDEX(ProblemData!$E$240:$AM$240,1,Journal[[#This Row],[Transaction '#]]),""),"")</f>
        <v>PdPPd</v>
      </c>
      <c r="M16" s="320" t="str">
        <f ca="1">IF(Journal[[#This Row],[ref1]]="","",IF(NOT(ISBLANK(Journal[[#This Row],[Transaction '#]])),Journal[[#This Row],[ref1]]&amp;Journal[[#This Row],[Movement '#]],""))</f>
        <v>PdPPd2</v>
      </c>
      <c r="N16" s="1" t="b">
        <f ca="1">OR(Journal[[#This Row],[ref1]]="",ISNUMBER(MATCH(Journal[[#This Row],[ref1]],Operating[Abbr], 0)))</f>
        <v>1</v>
      </c>
      <c r="O16" s="1"/>
      <c r="P16" s="1" t="str">
        <f>Journal[[#This Row],[Accnt Type]]&amp;"Used"</f>
        <v>AssetUsed</v>
      </c>
    </row>
    <row r="17" spans="3:16" x14ac:dyDescent="0.3">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x14ac:dyDescent="0.3">
      <c r="C18" s="37">
        <v>4</v>
      </c>
      <c r="D18" s="166" t="s">
        <v>63</v>
      </c>
      <c r="E18" s="167" t="s">
        <v>68</v>
      </c>
      <c r="F18" s="167"/>
      <c r="G18" s="168">
        <v>30</v>
      </c>
      <c r="H18" s="169"/>
      <c r="I18" s="322"/>
      <c r="J18" s="318">
        <f>IF(Journal[[#This Row],[Transaction '#]]="","",IF(Journal[[#This Row],[Transaction '#]]=C17,J17+1,1))</f>
        <v>1</v>
      </c>
      <c r="K18" s="319" cm="1">
        <f t="array" ref="K18">IFERROR(_xlfn.IFS(Journal[[#This Row],[Debit Account]]="Cash",Journal[[#This Row],[Dr Amt]],Journal[[#This Row],[Credit Account]]="Cash",-Journal[[#This Row],[Cr Amt]]),0)</f>
        <v>0</v>
      </c>
      <c r="L18" s="294" t="str" cm="1">
        <f t="array" aca="1" ref="L18" ca="1">IF(Journal[[#This Row],[Transaction '#]]&lt;&gt;"",IFERROR(INDEX(ProblemData!$E$240:$AM$240,1,Journal[[#This Row],[Transaction '#]]),""),"")</f>
        <v/>
      </c>
      <c r="M18" s="320" t="str">
        <f ca="1">IF(Journal[[#This Row],[ref1]]="","",IF(NOT(ISBLANK(Journal[[#This Row],[Transaction '#]])),Journal[[#This Row],[ref1]]&amp;Journal[[#This Row],[Movement '#]],""))</f>
        <v/>
      </c>
      <c r="N18" s="1" t="b">
        <f ca="1">OR(Journal[[#This Row],[ref1]]="",ISNUMBER(MATCH(Journal[[#This Row],[ref1]],Operating[Abbr], 0)))</f>
        <v>1</v>
      </c>
      <c r="O18" s="1"/>
      <c r="P18" s="1" t="str">
        <f>Journal[[#This Row],[Accnt Type]]&amp;"Used"</f>
        <v>AssetUsed</v>
      </c>
    </row>
    <row r="19" spans="3:16" x14ac:dyDescent="0.3">
      <c r="C19" s="37">
        <v>4</v>
      </c>
      <c r="D19" s="166" t="s">
        <v>69</v>
      </c>
      <c r="E19" s="167"/>
      <c r="F19" s="167" t="s">
        <v>70</v>
      </c>
      <c r="G19" s="168"/>
      <c r="H19" s="169">
        <v>30</v>
      </c>
      <c r="I19" s="322"/>
      <c r="J19" s="318">
        <f>IF(Journal[[#This Row],[Transaction '#]]="","",IF(Journal[[#This Row],[Transaction '#]]=C18,J18+1,1))</f>
        <v>2</v>
      </c>
      <c r="K19" s="319" cm="1">
        <f t="array" ref="K19">IFERROR(_xlfn.IFS(Journal[[#This Row],[Debit Account]]="Cash",Journal[[#This Row],[Dr Amt]],Journal[[#This Row],[Credit Account]]="Cash",-Journal[[#This Row],[Cr Amt]]),0)</f>
        <v>0</v>
      </c>
      <c r="L19" s="294" t="str" cm="1">
        <f t="array" aca="1" ref="L19" ca="1">IF(Journal[[#This Row],[Transaction '#]]&lt;&gt;"",IFERROR(INDEX(ProblemData!$E$240:$AM$240,1,Journal[[#This Row],[Transaction '#]]),""),"")</f>
        <v/>
      </c>
      <c r="M19" s="320" t="str">
        <f ca="1">IF(Journal[[#This Row],[ref1]]="","",IF(NOT(ISBLANK(Journal[[#This Row],[Transaction '#]])),Journal[[#This Row],[ref1]]&amp;Journal[[#This Row],[Movement '#]],""))</f>
        <v/>
      </c>
      <c r="N19" s="1" t="b">
        <f ca="1">OR(Journal[[#This Row],[ref1]]="",ISNUMBER(MATCH(Journal[[#This Row],[ref1]],Operating[Abbr], 0)))</f>
        <v>1</v>
      </c>
      <c r="O19" s="1"/>
      <c r="P19" s="1" t="str">
        <f>Journal[[#This Row],[Accnt Type]]&amp;"Used"</f>
        <v>LiabilityUsed</v>
      </c>
    </row>
    <row r="20" spans="3:16" x14ac:dyDescent="0.3">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x14ac:dyDescent="0.3">
      <c r="C21" s="37">
        <v>5</v>
      </c>
      <c r="D21" s="166" t="s">
        <v>63</v>
      </c>
      <c r="E21" s="167" t="s">
        <v>71</v>
      </c>
      <c r="F21" s="167"/>
      <c r="G21" s="168">
        <v>25</v>
      </c>
      <c r="H21" s="169"/>
      <c r="I21" s="322"/>
      <c r="J21" s="318">
        <f>IF(Journal[[#This Row],[Transaction '#]]="","",IF(Journal[[#This Row],[Transaction '#]]=C20,J20+1,1))</f>
        <v>1</v>
      </c>
      <c r="K21" s="319" cm="1">
        <f t="array" ref="K21">IFERROR(_xlfn.IFS(Journal[[#This Row],[Debit Account]]="Cash",Journal[[#This Row],[Dr Amt]],Journal[[#This Row],[Credit Account]]="Cash",-Journal[[#This Row],[Cr Amt]]),0)</f>
        <v>0</v>
      </c>
      <c r="L21" s="294" t="str" cm="1">
        <f t="array" aca="1" ref="L21" ca="1">IF(Journal[[#This Row],[Transaction '#]]&lt;&gt;"",IFERROR(INDEX(ProblemData!$E$240:$AM$240,1,Journal[[#This Row],[Transaction '#]]),""),"")</f>
        <v>PMS</v>
      </c>
      <c r="M21" s="320" t="str">
        <f ca="1">IF(Journal[[#This Row],[ref1]]="","",IF(NOT(ISBLANK(Journal[[#This Row],[Transaction '#]])),Journal[[#This Row],[ref1]]&amp;Journal[[#This Row],[Movement '#]],""))</f>
        <v>PMS1</v>
      </c>
      <c r="N21" s="1" t="b">
        <f ca="1">OR(Journal[[#This Row],[ref1]]="",ISNUMBER(MATCH(Journal[[#This Row],[ref1]],Operating[Abbr], 0)))</f>
        <v>0</v>
      </c>
      <c r="O21" s="1"/>
      <c r="P21" s="1" t="str">
        <f>Journal[[#This Row],[Accnt Type]]&amp;"Used"</f>
        <v>AssetUsed</v>
      </c>
    </row>
    <row r="22" spans="3:16" x14ac:dyDescent="0.3">
      <c r="C22" s="37">
        <v>5</v>
      </c>
      <c r="D22" s="166" t="s">
        <v>63</v>
      </c>
      <c r="E22" s="167"/>
      <c r="F22" s="167" t="s">
        <v>59</v>
      </c>
      <c r="G22" s="168"/>
      <c r="H22" s="169">
        <v>25</v>
      </c>
      <c r="I22" s="322" t="s">
        <v>394</v>
      </c>
      <c r="J22" s="318">
        <f>IF(Journal[[#This Row],[Transaction '#]]="","",IF(Journal[[#This Row],[Transaction '#]]=C21,J21+1,1))</f>
        <v>2</v>
      </c>
      <c r="K22" s="319" cm="1">
        <f t="array" ref="K22">IFERROR(_xlfn.IFS(Journal[[#This Row],[Debit Account]]="Cash",Journal[[#This Row],[Dr Amt]],Journal[[#This Row],[Credit Account]]="Cash",-Journal[[#This Row],[Cr Amt]]),0)</f>
        <v>-25</v>
      </c>
      <c r="L22" s="294" t="str" cm="1">
        <f t="array" aca="1" ref="L22" ca="1">IF(Journal[[#This Row],[Transaction '#]]&lt;&gt;"",IFERROR(INDEX(ProblemData!$E$240:$AM$240,1,Journal[[#This Row],[Transaction '#]]),""),"")</f>
        <v>PMS</v>
      </c>
      <c r="M22" s="320" t="str">
        <f ca="1">IF(Journal[[#This Row],[ref1]]="","",IF(NOT(ISBLANK(Journal[[#This Row],[Transaction '#]])),Journal[[#This Row],[ref1]]&amp;Journal[[#This Row],[Movement '#]],""))</f>
        <v>PMS2</v>
      </c>
      <c r="N22" s="1" t="b">
        <f ca="1">OR(Journal[[#This Row],[ref1]]="",ISNUMBER(MATCH(Journal[[#This Row],[ref1]],Operating[Abbr], 0)))</f>
        <v>0</v>
      </c>
      <c r="O22" s="1"/>
      <c r="P22" s="1" t="str">
        <f>Journal[[#This Row],[Accnt Type]]&amp;"Used"</f>
        <v>AssetUsed</v>
      </c>
    </row>
    <row r="23" spans="3:16" x14ac:dyDescent="0.3">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x14ac:dyDescent="0.3">
      <c r="C24" s="37">
        <v>6</v>
      </c>
      <c r="D24" s="166" t="s">
        <v>63</v>
      </c>
      <c r="E24" s="167" t="s">
        <v>59</v>
      </c>
      <c r="F24" s="167"/>
      <c r="G24" s="168">
        <v>20</v>
      </c>
      <c r="H24" s="169"/>
      <c r="I24" s="322" t="s">
        <v>395</v>
      </c>
      <c r="J24" s="318">
        <f>IF(Journal[[#This Row],[Transaction '#]]="","",IF(Journal[[#This Row],[Transaction '#]]=C23,J23+1,1))</f>
        <v>1</v>
      </c>
      <c r="K24" s="319" cm="1">
        <f t="array" ref="K24">IFERROR(_xlfn.IFS(Journal[[#This Row],[Debit Account]]="Cash",Journal[[#This Row],[Dr Amt]],Journal[[#This Row],[Credit Account]]="Cash",-Journal[[#This Row],[Cr Amt]]),0)</f>
        <v>20</v>
      </c>
      <c r="L24" s="294" t="str" cm="1">
        <f t="array" aca="1" ref="L24" ca="1">IF(Journal[[#This Row],[Transaction '#]]&lt;&gt;"",IFERROR(INDEX(ProblemData!$E$240:$AM$240,1,Journal[[#This Row],[Transaction '#]]),""),"")</f>
        <v>IB</v>
      </c>
      <c r="M24" s="320" t="str">
        <f ca="1">IF(Journal[[#This Row],[ref1]]="","",IF(NOT(ISBLANK(Journal[[#This Row],[Transaction '#]])),Journal[[#This Row],[ref1]]&amp;Journal[[#This Row],[Movement '#]],""))</f>
        <v>IB1</v>
      </c>
      <c r="N24" s="1" t="b">
        <f ca="1">OR(Journal[[#This Row],[ref1]]="",ISNUMBER(MATCH(Journal[[#This Row],[ref1]],Operating[Abbr], 0)))</f>
        <v>0</v>
      </c>
      <c r="O24" s="1"/>
      <c r="P24" s="1" t="str">
        <f>Journal[[#This Row],[Accnt Type]]&amp;"Used"</f>
        <v>AssetUsed</v>
      </c>
    </row>
    <row r="25" spans="3:16" x14ac:dyDescent="0.3">
      <c r="C25" s="37">
        <v>6</v>
      </c>
      <c r="D25" s="166" t="s">
        <v>69</v>
      </c>
      <c r="E25" s="167"/>
      <c r="F25" s="167" t="s">
        <v>72</v>
      </c>
      <c r="G25" s="168"/>
      <c r="H25" s="169">
        <v>20</v>
      </c>
      <c r="I25" s="322"/>
      <c r="J25" s="318">
        <f>IF(Journal[[#This Row],[Transaction '#]]="","",IF(Journal[[#This Row],[Transaction '#]]=C24,J24+1,1))</f>
        <v>2</v>
      </c>
      <c r="K25" s="319" cm="1">
        <f t="array" ref="K25">IFERROR(_xlfn.IFS(Journal[[#This Row],[Debit Account]]="Cash",Journal[[#This Row],[Dr Amt]],Journal[[#This Row],[Credit Account]]="Cash",-Journal[[#This Row],[Cr Amt]]),0)</f>
        <v>0</v>
      </c>
      <c r="L25" s="294" t="str" cm="1">
        <f t="array" aca="1" ref="L25" ca="1">IF(Journal[[#This Row],[Transaction '#]]&lt;&gt;"",IFERROR(INDEX(ProblemData!$E$240:$AM$240,1,Journal[[#This Row],[Transaction '#]]),""),"")</f>
        <v>IB</v>
      </c>
      <c r="M25" s="320" t="str">
        <f ca="1">IF(Journal[[#This Row],[ref1]]="","",IF(NOT(ISBLANK(Journal[[#This Row],[Transaction '#]])),Journal[[#This Row],[ref1]]&amp;Journal[[#This Row],[Movement '#]],""))</f>
        <v>IB2</v>
      </c>
      <c r="N25" s="1" t="b">
        <f ca="1">OR(Journal[[#This Row],[ref1]]="",ISNUMBER(MATCH(Journal[[#This Row],[ref1]],Operating[Abbr], 0)))</f>
        <v>0</v>
      </c>
      <c r="O25" s="1"/>
      <c r="P25" s="1" t="str">
        <f>Journal[[#This Row],[Accnt Type]]&amp;"Used"</f>
        <v>LiabilityUsed</v>
      </c>
    </row>
    <row r="26" spans="3:16" x14ac:dyDescent="0.3">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x14ac:dyDescent="0.3">
      <c r="C27" s="37">
        <v>7</v>
      </c>
      <c r="D27" s="166" t="s">
        <v>63</v>
      </c>
      <c r="E27" s="167" t="s">
        <v>73</v>
      </c>
      <c r="F27" s="167"/>
      <c r="G27" s="168">
        <v>40</v>
      </c>
      <c r="H27" s="169"/>
      <c r="I27" s="322"/>
      <c r="J27" s="318">
        <f>IF(Journal[[#This Row],[Transaction '#]]="","",IF(Journal[[#This Row],[Transaction '#]]=C26,J26+1,1))</f>
        <v>1</v>
      </c>
      <c r="K27" s="319" cm="1">
        <f t="array" ref="K27">IFERROR(_xlfn.IFS(Journal[[#This Row],[Debit Account]]="Cash",Journal[[#This Row],[Dr Amt]],Journal[[#This Row],[Credit Account]]="Cash",-Journal[[#This Row],[Cr Amt]]),0)</f>
        <v>0</v>
      </c>
      <c r="L27" s="294" t="str" cm="1">
        <f t="array" aca="1" ref="L27" ca="1">IF(Journal[[#This Row],[Transaction '#]]&lt;&gt;"",IFERROR(INDEX(ProblemData!$E$240:$AM$240,1,Journal[[#This Row],[Transaction '#]]),""),"")</f>
        <v/>
      </c>
      <c r="M27" s="320" t="str">
        <f ca="1">IF(Journal[[#This Row],[ref1]]="","",IF(NOT(ISBLANK(Journal[[#This Row],[Transaction '#]])),Journal[[#This Row],[ref1]]&amp;Journal[[#This Row],[Movement '#]],""))</f>
        <v/>
      </c>
      <c r="N27" s="1" t="b">
        <f ca="1">OR(Journal[[#This Row],[ref1]]="",ISNUMBER(MATCH(Journal[[#This Row],[ref1]],Operating[Abbr], 0)))</f>
        <v>1</v>
      </c>
      <c r="O27" s="1"/>
      <c r="P27" s="1" t="str">
        <f>Journal[[#This Row],[Accnt Type]]&amp;"Used"</f>
        <v>AssetUsed</v>
      </c>
    </row>
    <row r="28" spans="3:16" x14ac:dyDescent="0.3">
      <c r="C28" s="37">
        <v>7</v>
      </c>
      <c r="D28" s="166" t="s">
        <v>74</v>
      </c>
      <c r="E28" s="167"/>
      <c r="F28" s="167" t="s">
        <v>75</v>
      </c>
      <c r="G28" s="168"/>
      <c r="H28" s="169">
        <v>40</v>
      </c>
      <c r="I28" s="322"/>
      <c r="J28" s="318">
        <f>IF(Journal[[#This Row],[Transaction '#]]="","",IF(Journal[[#This Row],[Transaction '#]]=C27,J27+1,1))</f>
        <v>2</v>
      </c>
      <c r="K28" s="319" cm="1">
        <f t="array" ref="K28">IFERROR(_xlfn.IFS(Journal[[#This Row],[Debit Account]]="Cash",Journal[[#This Row],[Dr Amt]],Journal[[#This Row],[Credit Account]]="Cash",-Journal[[#This Row],[Cr Amt]]),0)</f>
        <v>0</v>
      </c>
      <c r="L28" s="294" t="str" cm="1">
        <f t="array" aca="1" ref="L28" ca="1">IF(Journal[[#This Row],[Transaction '#]]&lt;&gt;"",IFERROR(INDEX(ProblemData!$E$240:$AM$240,1,Journal[[#This Row],[Transaction '#]]),""),"")</f>
        <v/>
      </c>
      <c r="M28" s="320" t="str">
        <f ca="1">IF(Journal[[#This Row],[ref1]]="","",IF(NOT(ISBLANK(Journal[[#This Row],[Transaction '#]])),Journal[[#This Row],[ref1]]&amp;Journal[[#This Row],[Movement '#]],""))</f>
        <v/>
      </c>
      <c r="N28" s="1" t="b">
        <f ca="1">OR(Journal[[#This Row],[ref1]]="",ISNUMBER(MATCH(Journal[[#This Row],[ref1]],Operating[Abbr], 0)))</f>
        <v>1</v>
      </c>
      <c r="O28" s="1"/>
      <c r="P28" s="1" t="str">
        <f>Journal[[#This Row],[Accnt Type]]&amp;"Used"</f>
        <v>RevenueUsed</v>
      </c>
    </row>
    <row r="29" spans="3:16" x14ac:dyDescent="0.3">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x14ac:dyDescent="0.3">
      <c r="C30" s="37">
        <v>8</v>
      </c>
      <c r="D30" s="166" t="s">
        <v>76</v>
      </c>
      <c r="E30" s="167" t="s">
        <v>77</v>
      </c>
      <c r="F30" s="167"/>
      <c r="G30" s="168">
        <v>25</v>
      </c>
      <c r="H30" s="169"/>
      <c r="I30" s="322"/>
      <c r="J30" s="318">
        <f>IF(Journal[[#This Row],[Transaction '#]]="","",IF(Journal[[#This Row],[Transaction '#]]=C29,J29+1,1))</f>
        <v>1</v>
      </c>
      <c r="K30" s="319" cm="1">
        <f t="array" ref="K30">IFERROR(_xlfn.IFS(Journal[[#This Row],[Debit Account]]="Cash",Journal[[#This Row],[Dr Amt]],Journal[[#This Row],[Credit Account]]="Cash",-Journal[[#This Row],[Cr Amt]]),0)</f>
        <v>0</v>
      </c>
      <c r="L30" s="294" t="str" cm="1">
        <f t="array" aca="1" ref="L30" ca="1">IF(Journal[[#This Row],[Transaction '#]]&lt;&gt;"",IFERROR(INDEX(ProblemData!$E$240:$AM$240,1,Journal[[#This Row],[Transaction '#]]),""),"")</f>
        <v/>
      </c>
      <c r="M30" s="320" t="str">
        <f ca="1">IF(Journal[[#This Row],[ref1]]="","",IF(NOT(ISBLANK(Journal[[#This Row],[Transaction '#]])),Journal[[#This Row],[ref1]]&amp;Journal[[#This Row],[Movement '#]],""))</f>
        <v/>
      </c>
      <c r="N30" s="1" t="b">
        <f ca="1">OR(Journal[[#This Row],[ref1]]="",ISNUMBER(MATCH(Journal[[#This Row],[ref1]],Operating[Abbr], 0)))</f>
        <v>1</v>
      </c>
      <c r="O30" s="1"/>
      <c r="P30" s="1" t="str">
        <f>Journal[[#This Row],[Accnt Type]]&amp;"Used"</f>
        <v>ExpenseUsed</v>
      </c>
    </row>
    <row r="31" spans="3:16" x14ac:dyDescent="0.3">
      <c r="C31" s="37">
        <v>8</v>
      </c>
      <c r="D31" s="166" t="s">
        <v>63</v>
      </c>
      <c r="E31" s="167"/>
      <c r="F31" s="167" t="s">
        <v>68</v>
      </c>
      <c r="G31" s="168"/>
      <c r="H31" s="169">
        <v>25</v>
      </c>
      <c r="I31" s="322"/>
      <c r="J31" s="318">
        <f>IF(Journal[[#This Row],[Transaction '#]]="","",IF(Journal[[#This Row],[Transaction '#]]=C30,J30+1,1))</f>
        <v>2</v>
      </c>
      <c r="K31" s="319" cm="1">
        <f t="array" ref="K31">IFERROR(_xlfn.IFS(Journal[[#This Row],[Debit Account]]="Cash",Journal[[#This Row],[Dr Amt]],Journal[[#This Row],[Credit Account]]="Cash",-Journal[[#This Row],[Cr Amt]]),0)</f>
        <v>0</v>
      </c>
      <c r="L31" s="294" t="str" cm="1">
        <f t="array" aca="1" ref="L31" ca="1">IF(Journal[[#This Row],[Transaction '#]]&lt;&gt;"",IFERROR(INDEX(ProblemData!$E$240:$AM$240,1,Journal[[#This Row],[Transaction '#]]),""),"")</f>
        <v/>
      </c>
      <c r="M31" s="320" t="str">
        <f ca="1">IF(Journal[[#This Row],[ref1]]="","",IF(NOT(ISBLANK(Journal[[#This Row],[Transaction '#]])),Journal[[#This Row],[ref1]]&amp;Journal[[#This Row],[Movement '#]],""))</f>
        <v/>
      </c>
      <c r="N31" s="1" t="b">
        <f ca="1">OR(Journal[[#This Row],[ref1]]="",ISNUMBER(MATCH(Journal[[#This Row],[ref1]],Operating[Abbr], 0)))</f>
        <v>1</v>
      </c>
      <c r="O31" s="1"/>
      <c r="P31" s="1" t="str">
        <f>Journal[[#This Row],[Accnt Type]]&amp;"Used"</f>
        <v>AssetUsed</v>
      </c>
    </row>
    <row r="32" spans="3:16" x14ac:dyDescent="0.3">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x14ac:dyDescent="0.3">
      <c r="C33" s="37">
        <v>9</v>
      </c>
      <c r="D33" s="166" t="s">
        <v>69</v>
      </c>
      <c r="E33" s="167" t="s">
        <v>70</v>
      </c>
      <c r="F33" s="167"/>
      <c r="G33" s="168">
        <v>15</v>
      </c>
      <c r="H33" s="169"/>
      <c r="I33" s="322"/>
      <c r="J33" s="318">
        <f>IF(Journal[[#This Row],[Transaction '#]]="","",IF(Journal[[#This Row],[Transaction '#]]=C32,J32+1,1))</f>
        <v>1</v>
      </c>
      <c r="K33" s="319" cm="1">
        <f t="array" ref="K33">IFERROR(_xlfn.IFS(Journal[[#This Row],[Debit Account]]="Cash",Journal[[#This Row],[Dr Amt]],Journal[[#This Row],[Credit Account]]="Cash",-Journal[[#This Row],[Cr Amt]]),0)</f>
        <v>0</v>
      </c>
      <c r="L33" s="294" t="str" cm="1">
        <f t="array" aca="1" ref="L33" ca="1">IF(Journal[[#This Row],[Transaction '#]]&lt;&gt;"",IFERROR(INDEX(ProblemData!$E$240:$AM$240,1,Journal[[#This Row],[Transaction '#]]),""),"")</f>
        <v>PdS</v>
      </c>
      <c r="M33" s="320" t="str">
        <f ca="1">IF(Journal[[#This Row],[ref1]]="","",IF(NOT(ISBLANK(Journal[[#This Row],[Transaction '#]])),Journal[[#This Row],[ref1]]&amp;Journal[[#This Row],[Movement '#]],""))</f>
        <v>PdS1</v>
      </c>
      <c r="N33" s="1" t="b">
        <f ca="1">OR(Journal[[#This Row],[ref1]]="",ISNUMBER(MATCH(Journal[[#This Row],[ref1]],Operating[Abbr], 0)))</f>
        <v>1</v>
      </c>
      <c r="O33" s="1"/>
      <c r="P33" s="1" t="str">
        <f>Journal[[#This Row],[Accnt Type]]&amp;"Used"</f>
        <v>LiabilityUsed</v>
      </c>
    </row>
    <row r="34" spans="3:16" x14ac:dyDescent="0.3">
      <c r="C34" s="37">
        <v>9</v>
      </c>
      <c r="D34" s="166" t="s">
        <v>63</v>
      </c>
      <c r="E34" s="167"/>
      <c r="F34" s="167" t="s">
        <v>59</v>
      </c>
      <c r="G34" s="168"/>
      <c r="H34" s="169">
        <v>15</v>
      </c>
      <c r="I34" s="322" t="s">
        <v>398</v>
      </c>
      <c r="J34" s="318">
        <f>IF(Journal[[#This Row],[Transaction '#]]="","",IF(Journal[[#This Row],[Transaction '#]]=C33,J33+1,1))</f>
        <v>2</v>
      </c>
      <c r="K34" s="319" cm="1">
        <f t="array" ref="K34">IFERROR(_xlfn.IFS(Journal[[#This Row],[Debit Account]]="Cash",Journal[[#This Row],[Dr Amt]],Journal[[#This Row],[Credit Account]]="Cash",-Journal[[#This Row],[Cr Amt]]),0)</f>
        <v>-15</v>
      </c>
      <c r="L34" s="294" t="str" cm="1">
        <f t="array" aca="1" ref="L34" ca="1">IF(Journal[[#This Row],[Transaction '#]]&lt;&gt;"",IFERROR(INDEX(ProblemData!$E$240:$AM$240,1,Journal[[#This Row],[Transaction '#]]),""),"")</f>
        <v>PdS</v>
      </c>
      <c r="M34" s="320" t="str">
        <f ca="1">IF(Journal[[#This Row],[ref1]]="","",IF(NOT(ISBLANK(Journal[[#This Row],[Transaction '#]])),Journal[[#This Row],[ref1]]&amp;Journal[[#This Row],[Movement '#]],""))</f>
        <v>PdS2</v>
      </c>
      <c r="N34" s="1" t="b">
        <f ca="1">OR(Journal[[#This Row],[ref1]]="",ISNUMBER(MATCH(Journal[[#This Row],[ref1]],Operating[Abbr], 0)))</f>
        <v>1</v>
      </c>
      <c r="O34" s="1"/>
      <c r="P34" s="1" t="str">
        <f>Journal[[#This Row],[Accnt Type]]&amp;"Used"</f>
        <v>AssetUsed</v>
      </c>
    </row>
    <row r="35" spans="3:16" x14ac:dyDescent="0.3">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x14ac:dyDescent="0.3">
      <c r="C36" s="37">
        <v>10</v>
      </c>
      <c r="D36" s="166" t="s">
        <v>63</v>
      </c>
      <c r="E36" s="167" t="s">
        <v>59</v>
      </c>
      <c r="F36" s="167"/>
      <c r="G36" s="168">
        <v>30</v>
      </c>
      <c r="H36" s="169"/>
      <c r="I36" s="322" t="s">
        <v>398</v>
      </c>
      <c r="J36" s="318">
        <f>IF(Journal[[#This Row],[Transaction '#]]="","",IF(Journal[[#This Row],[Transaction '#]]=C35,J35+1,1))</f>
        <v>1</v>
      </c>
      <c r="K36" s="319" cm="1">
        <f t="array" ref="K36">IFERROR(_xlfn.IFS(Journal[[#This Row],[Debit Account]]="Cash",Journal[[#This Row],[Dr Amt]],Journal[[#This Row],[Credit Account]]="Cash",-Journal[[#This Row],[Cr Amt]]),0)</f>
        <v>30</v>
      </c>
      <c r="L36" s="294" t="str" cm="1">
        <f t="array" aca="1" ref="L36" ca="1">IF(Journal[[#This Row],[Transaction '#]]&lt;&gt;"",IFERROR(INDEX(ProblemData!$E$240:$AM$240,1,Journal[[#This Row],[Transaction '#]]),""),"")</f>
        <v>ColC</v>
      </c>
      <c r="M36" s="320" t="str">
        <f ca="1">IF(Journal[[#This Row],[ref1]]="","",IF(NOT(ISBLANK(Journal[[#This Row],[Transaction '#]])),Journal[[#This Row],[ref1]]&amp;Journal[[#This Row],[Movement '#]],""))</f>
        <v>ColC1</v>
      </c>
      <c r="N36" s="1" t="b">
        <f ca="1">OR(Journal[[#This Row],[ref1]]="",ISNUMBER(MATCH(Journal[[#This Row],[ref1]],Operating[Abbr], 0)))</f>
        <v>1</v>
      </c>
      <c r="O36" s="1"/>
      <c r="P36" s="1" t="str">
        <f>Journal[[#This Row],[Accnt Type]]&amp;"Used"</f>
        <v>AssetUsed</v>
      </c>
    </row>
    <row r="37" spans="3:16" x14ac:dyDescent="0.3">
      <c r="C37" s="37">
        <v>10</v>
      </c>
      <c r="D37" s="166" t="s">
        <v>63</v>
      </c>
      <c r="E37" s="167"/>
      <c r="F37" s="167" t="s">
        <v>73</v>
      </c>
      <c r="G37" s="168"/>
      <c r="H37" s="169">
        <v>30</v>
      </c>
      <c r="I37" s="322"/>
      <c r="J37" s="318">
        <f>IF(Journal[[#This Row],[Transaction '#]]="","",IF(Journal[[#This Row],[Transaction '#]]=C36,J36+1,1))</f>
        <v>2</v>
      </c>
      <c r="K37" s="319" cm="1">
        <f t="array" ref="K37">IFERROR(_xlfn.IFS(Journal[[#This Row],[Debit Account]]="Cash",Journal[[#This Row],[Dr Amt]],Journal[[#This Row],[Credit Account]]="Cash",-Journal[[#This Row],[Cr Amt]]),0)</f>
        <v>0</v>
      </c>
      <c r="L37" s="294" t="str" cm="1">
        <f t="array" aca="1" ref="L37" ca="1">IF(Journal[[#This Row],[Transaction '#]]&lt;&gt;"",IFERROR(INDEX(ProblemData!$E$240:$AM$240,1,Journal[[#This Row],[Transaction '#]]),""),"")</f>
        <v>ColC</v>
      </c>
      <c r="M37" s="320" t="str">
        <f ca="1">IF(Journal[[#This Row],[ref1]]="","",IF(NOT(ISBLANK(Journal[[#This Row],[Transaction '#]])),Journal[[#This Row],[ref1]]&amp;Journal[[#This Row],[Movement '#]],""))</f>
        <v>ColC2</v>
      </c>
      <c r="N37" s="1" t="b">
        <f ca="1">OR(Journal[[#This Row],[ref1]]="",ISNUMBER(MATCH(Journal[[#This Row],[ref1]],Operating[Abbr], 0)))</f>
        <v>1</v>
      </c>
      <c r="O37" s="1"/>
      <c r="P37" s="1" t="str">
        <f>Journal[[#This Row],[Accnt Type]]&amp;"Used"</f>
        <v>AssetUsed</v>
      </c>
    </row>
    <row r="38" spans="3:16" x14ac:dyDescent="0.3">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x14ac:dyDescent="0.3">
      <c r="C39" s="37">
        <v>11</v>
      </c>
      <c r="D39" s="166" t="s">
        <v>63</v>
      </c>
      <c r="E39" s="167" t="s">
        <v>59</v>
      </c>
      <c r="F39" s="167"/>
      <c r="G39" s="168">
        <v>0.05</v>
      </c>
      <c r="H39" s="169"/>
      <c r="I39" s="322" t="s">
        <v>398</v>
      </c>
      <c r="J39" s="318">
        <f>IF(Journal[[#This Row],[Transaction '#]]="","",IF(Journal[[#This Row],[Transaction '#]]=C38,J38+1,1))</f>
        <v>1</v>
      </c>
      <c r="K39" s="319" cm="1">
        <f t="array" ref="K39">IFERROR(_xlfn.IFS(Journal[[#This Row],[Debit Account]]="Cash",Journal[[#This Row],[Dr Amt]],Journal[[#This Row],[Credit Account]]="Cash",-Journal[[#This Row],[Cr Amt]]),0)</f>
        <v>0.05</v>
      </c>
      <c r="L39" s="294" t="str" cm="1">
        <f t="array" aca="1" ref="L39" ca="1">IF(Journal[[#This Row],[Transaction '#]]&lt;&gt;"",IFERROR(INDEX(ProblemData!$E$240:$AM$240,1,Journal[[#This Row],[Transaction '#]]),""),"")</f>
        <v>ColC</v>
      </c>
      <c r="M39" s="320" t="str">
        <f ca="1">IF(Journal[[#This Row],[ref1]]="","",IF(NOT(ISBLANK(Journal[[#This Row],[Transaction '#]])),Journal[[#This Row],[ref1]]&amp;Journal[[#This Row],[Movement '#]],""))</f>
        <v>ColC1</v>
      </c>
      <c r="N39" s="1" t="b">
        <f ca="1">OR(Journal[[#This Row],[ref1]]="",ISNUMBER(MATCH(Journal[[#This Row],[ref1]],Operating[Abbr], 0)))</f>
        <v>1</v>
      </c>
      <c r="O39" s="1"/>
      <c r="P39" s="1" t="str">
        <f>Journal[[#This Row],[Accnt Type]]&amp;"Used"</f>
        <v>AssetUsed</v>
      </c>
    </row>
    <row r="40" spans="3:16" x14ac:dyDescent="0.3">
      <c r="C40" s="37">
        <v>11</v>
      </c>
      <c r="D40" s="166" t="s">
        <v>76</v>
      </c>
      <c r="E40" s="167" t="s">
        <v>78</v>
      </c>
      <c r="F40" s="167"/>
      <c r="G40" s="168">
        <v>0.15</v>
      </c>
      <c r="H40" s="169"/>
      <c r="I40" s="322"/>
      <c r="J40" s="318">
        <f>IF(Journal[[#This Row],[Transaction '#]]="","",IF(Journal[[#This Row],[Transaction '#]]=C39,J39+1,1))</f>
        <v>2</v>
      </c>
      <c r="K40" s="319" cm="1">
        <f t="array" ref="K40">IFERROR(_xlfn.IFS(Journal[[#This Row],[Debit Account]]="Cash",Journal[[#This Row],[Dr Amt]],Journal[[#This Row],[Credit Account]]="Cash",-Journal[[#This Row],[Cr Amt]]),0)</f>
        <v>0</v>
      </c>
      <c r="L40" s="294" t="str" cm="1">
        <f t="array" aca="1" ref="L40" ca="1">IF(Journal[[#This Row],[Transaction '#]]&lt;&gt;"",IFERROR(INDEX(ProblemData!$E$240:$AM$240,1,Journal[[#This Row],[Transaction '#]]),""),"")</f>
        <v>ColC</v>
      </c>
      <c r="M40" s="320" t="str">
        <f ca="1">IF(Journal[[#This Row],[ref1]]="","",IF(NOT(ISBLANK(Journal[[#This Row],[Transaction '#]])),Journal[[#This Row],[ref1]]&amp;Journal[[#This Row],[Movement '#]],""))</f>
        <v>ColC2</v>
      </c>
      <c r="N40" s="1" t="b">
        <f ca="1">OR(Journal[[#This Row],[ref1]]="",ISNUMBER(MATCH(Journal[[#This Row],[ref1]],Operating[Abbr], 0)))</f>
        <v>1</v>
      </c>
      <c r="O40" s="1"/>
      <c r="P40" s="1" t="str">
        <f>Journal[[#This Row],[Accnt Type]]&amp;"Used"</f>
        <v>ExpenseUsed</v>
      </c>
    </row>
    <row r="41" spans="3:16" x14ac:dyDescent="0.3">
      <c r="C41" s="37">
        <v>11</v>
      </c>
      <c r="D41" s="166" t="s">
        <v>63</v>
      </c>
      <c r="E41" s="167"/>
      <c r="F41" s="167" t="s">
        <v>73</v>
      </c>
      <c r="G41" s="168"/>
      <c r="H41" s="169">
        <v>0.2</v>
      </c>
      <c r="I41" s="322"/>
      <c r="J41" s="318">
        <f>IF(Journal[[#This Row],[Transaction '#]]="","",IF(Journal[[#This Row],[Transaction '#]]=C40,J40+1,1))</f>
        <v>3</v>
      </c>
      <c r="K41" s="319" cm="1">
        <f t="array" ref="K41">IFERROR(_xlfn.IFS(Journal[[#This Row],[Debit Account]]="Cash",Journal[[#This Row],[Dr Amt]],Journal[[#This Row],[Credit Account]]="Cash",-Journal[[#This Row],[Cr Amt]]),0)</f>
        <v>0</v>
      </c>
      <c r="L41" s="294" t="str" cm="1">
        <f t="array" aca="1" ref="L41" ca="1">IF(Journal[[#This Row],[Transaction '#]]&lt;&gt;"",IFERROR(INDEX(ProblemData!$E$240:$AM$240,1,Journal[[#This Row],[Transaction '#]]),""),"")</f>
        <v>ColC</v>
      </c>
      <c r="M41" s="320" t="str">
        <f ca="1">IF(Journal[[#This Row],[ref1]]="","",IF(NOT(ISBLANK(Journal[[#This Row],[Transaction '#]])),Journal[[#This Row],[ref1]]&amp;Journal[[#This Row],[Movement '#]],""))</f>
        <v>ColC3</v>
      </c>
      <c r="N41" s="1" t="b">
        <f ca="1">OR(Journal[[#This Row],[ref1]]="",ISNUMBER(MATCH(Journal[[#This Row],[ref1]],Operating[Abbr], 0)))</f>
        <v>1</v>
      </c>
      <c r="O41" s="1"/>
      <c r="P41" s="1" t="str">
        <f>Journal[[#This Row],[Accnt Type]]&amp;"Used"</f>
        <v>AssetUsed</v>
      </c>
    </row>
    <row r="42" spans="3:16" x14ac:dyDescent="0.3">
      <c r="C42" s="37"/>
      <c r="D42" s="166"/>
      <c r="E42" s="167"/>
      <c r="F42" s="167"/>
      <c r="G42" s="168"/>
      <c r="H42" s="169"/>
      <c r="I42" s="322"/>
      <c r="J42" s="318" t="str">
        <f>IF(Journal[[#This Row],[Transaction '#]]="","",IF(Journal[[#This Row],[Transaction '#]]=C41,J41+1,1))</f>
        <v/>
      </c>
      <c r="K42" s="319" cm="1">
        <f t="array" ref="K42">IFERROR(_xlfn.IFS(Journal[[#This Row],[Debit Account]]="Cash",Journal[[#This Row],[Dr Amt]],Journal[[#This Row],[Credit Account]]="Cash",-Journal[[#This Row],[Cr Amt]]),0)</f>
        <v>0</v>
      </c>
      <c r="L42" s="294" t="str" cm="1">
        <f t="array" ref="L42">IF(Journal[[#This Row],[Transaction '#]]&lt;&gt;"",IFERROR(INDEX(ProblemData!$E$240:$AM$240,1,Journal[[#This Row],[Transaction '#]]),""),"")</f>
        <v/>
      </c>
      <c r="M42" s="320" t="str">
        <f>IF(Journal[[#This Row],[ref1]]="","",IF(NOT(ISBLANK(Journal[[#This Row],[Transaction '#]])),Journal[[#This Row],[ref1]]&amp;Journal[[#This Row],[Movement '#]],""))</f>
        <v/>
      </c>
      <c r="N42" s="1" t="b">
        <f>OR(Journal[[#This Row],[ref1]]="",ISNUMBER(MATCH(Journal[[#This Row],[ref1]],Operating[Abbr], 0)))</f>
        <v>1</v>
      </c>
      <c r="O42" s="1"/>
      <c r="P42" s="1" t="str">
        <f>Journal[[#This Row],[Accnt Type]]&amp;"Used"</f>
        <v>Used</v>
      </c>
    </row>
    <row r="43" spans="3:16" x14ac:dyDescent="0.3">
      <c r="C43" s="37">
        <v>12</v>
      </c>
      <c r="D43" s="166" t="s">
        <v>76</v>
      </c>
      <c r="E43" s="167" t="s">
        <v>79</v>
      </c>
      <c r="F43" s="167"/>
      <c r="G43" s="168">
        <v>6</v>
      </c>
      <c r="H43" s="169"/>
      <c r="I43" s="322"/>
      <c r="J43" s="318">
        <f>IF(Journal[[#This Row],[Transaction '#]]="","",IF(Journal[[#This Row],[Transaction '#]]=C42,J42+1,1))</f>
        <v>1</v>
      </c>
      <c r="K43" s="319" cm="1">
        <f t="array" ref="K43">IFERROR(_xlfn.IFS(Journal[[#This Row],[Debit Account]]="Cash",Journal[[#This Row],[Dr Amt]],Journal[[#This Row],[Credit Account]]="Cash",-Journal[[#This Row],[Cr Amt]]),0)</f>
        <v>0</v>
      </c>
      <c r="L43" s="294" t="str" cm="1">
        <f t="array" aca="1" ref="L43" ca="1">IF(Journal[[#This Row],[Transaction '#]]&lt;&gt;"",IFERROR(INDEX(ProblemData!$E$240:$AM$240,1,Journal[[#This Row],[Transaction '#]]),""),"")</f>
        <v>PdSW</v>
      </c>
      <c r="M43" s="320" t="str">
        <f ca="1">IF(Journal[[#This Row],[ref1]]="","",IF(NOT(ISBLANK(Journal[[#This Row],[Transaction '#]])),Journal[[#This Row],[ref1]]&amp;Journal[[#This Row],[Movement '#]],""))</f>
        <v>PdSW1</v>
      </c>
      <c r="N43" s="1" t="b">
        <f ca="1">OR(Journal[[#This Row],[ref1]]="",ISNUMBER(MATCH(Journal[[#This Row],[ref1]],Operating[Abbr], 0)))</f>
        <v>1</v>
      </c>
      <c r="O43" s="1"/>
      <c r="P43" s="1" t="str">
        <f>Journal[[#This Row],[Accnt Type]]&amp;"Used"</f>
        <v>ExpenseUsed</v>
      </c>
    </row>
    <row r="44" spans="3:16" x14ac:dyDescent="0.3">
      <c r="C44" s="37">
        <v>12</v>
      </c>
      <c r="D44" s="166" t="s">
        <v>63</v>
      </c>
      <c r="E44" s="167"/>
      <c r="F44" s="167" t="s">
        <v>59</v>
      </c>
      <c r="G44" s="168"/>
      <c r="H44" s="169">
        <v>6</v>
      </c>
      <c r="I44" s="322" t="s">
        <v>398</v>
      </c>
      <c r="J44" s="318">
        <f>IF(Journal[[#This Row],[Transaction '#]]="","",IF(Journal[[#This Row],[Transaction '#]]=C43,J43+1,1))</f>
        <v>2</v>
      </c>
      <c r="K44" s="319" cm="1">
        <f t="array" ref="K44">IFERROR(_xlfn.IFS(Journal[[#This Row],[Debit Account]]="Cash",Journal[[#This Row],[Dr Amt]],Journal[[#This Row],[Credit Account]]="Cash",-Journal[[#This Row],[Cr Amt]]),0)</f>
        <v>-6</v>
      </c>
      <c r="L44" s="294" t="str" cm="1">
        <f t="array" aca="1" ref="L44" ca="1">IF(Journal[[#This Row],[Transaction '#]]&lt;&gt;"",IFERROR(INDEX(ProblemData!$E$240:$AM$240,1,Journal[[#This Row],[Transaction '#]]),""),"")</f>
        <v>PdSW</v>
      </c>
      <c r="M44" s="320" t="str">
        <f ca="1">IF(Journal[[#This Row],[ref1]]="","",IF(NOT(ISBLANK(Journal[[#This Row],[Transaction '#]])),Journal[[#This Row],[ref1]]&amp;Journal[[#This Row],[Movement '#]],""))</f>
        <v>PdSW2</v>
      </c>
      <c r="N44" s="1" t="b">
        <f ca="1">OR(Journal[[#This Row],[ref1]]="",ISNUMBER(MATCH(Journal[[#This Row],[ref1]],Operating[Abbr], 0)))</f>
        <v>1</v>
      </c>
      <c r="O44" s="1"/>
      <c r="P44" s="1" t="str">
        <f>Journal[[#This Row],[Accnt Type]]&amp;"Used"</f>
        <v>AssetUsed</v>
      </c>
    </row>
    <row r="45" spans="3:16" x14ac:dyDescent="0.3">
      <c r="C45" s="37"/>
      <c r="D45" s="166"/>
      <c r="E45" s="167"/>
      <c r="F45" s="167"/>
      <c r="G45" s="168"/>
      <c r="H45" s="169"/>
      <c r="I45" s="322"/>
      <c r="J45" s="318" t="str">
        <f>IF(Journal[[#This Row],[Transaction '#]]="","",IF(Journal[[#This Row],[Transaction '#]]=C44,J44+1,1))</f>
        <v/>
      </c>
      <c r="K45" s="319" cm="1">
        <f t="array" ref="K45">IFERROR(_xlfn.IFS(Journal[[#This Row],[Debit Account]]="Cash",Journal[[#This Row],[Dr Amt]],Journal[[#This Row],[Credit Account]]="Cash",-Journal[[#This Row],[Cr Amt]]),0)</f>
        <v>0</v>
      </c>
      <c r="L45" s="294" t="str" cm="1">
        <f t="array" ref="L45">IF(Journal[[#This Row],[Transaction '#]]&lt;&gt;"",IFERROR(INDEX(ProblemData!$E$240:$AM$240,1,Journal[[#This Row],[Transaction '#]]),""),"")</f>
        <v/>
      </c>
      <c r="M45" s="320" t="str">
        <f>IF(Journal[[#This Row],[ref1]]="","",IF(NOT(ISBLANK(Journal[[#This Row],[Transaction '#]])),Journal[[#This Row],[ref1]]&amp;Journal[[#This Row],[Movement '#]],""))</f>
        <v/>
      </c>
      <c r="N45" s="1" t="b">
        <f>OR(Journal[[#This Row],[ref1]]="",ISNUMBER(MATCH(Journal[[#This Row],[ref1]],Operating[Abbr], 0)))</f>
        <v>1</v>
      </c>
      <c r="O45" s="1"/>
      <c r="P45" s="1" t="str">
        <f>Journal[[#This Row],[Accnt Type]]&amp;"Used"</f>
        <v>Used</v>
      </c>
    </row>
    <row r="46" spans="3:16" x14ac:dyDescent="0.3">
      <c r="C46" s="37">
        <v>13</v>
      </c>
      <c r="D46" s="166" t="s">
        <v>76</v>
      </c>
      <c r="E46" s="167" t="s">
        <v>79</v>
      </c>
      <c r="F46" s="167"/>
      <c r="G46" s="168">
        <v>1</v>
      </c>
      <c r="H46" s="169"/>
      <c r="I46" s="322"/>
      <c r="J46" s="318">
        <f>IF(Journal[[#This Row],[Transaction '#]]="","",IF(Journal[[#This Row],[Transaction '#]]=C45,J45+1,1))</f>
        <v>1</v>
      </c>
      <c r="K46" s="319" cm="1">
        <f t="array" ref="K46">IFERROR(_xlfn.IFS(Journal[[#This Row],[Debit Account]]="Cash",Journal[[#This Row],[Dr Amt]],Journal[[#This Row],[Credit Account]]="Cash",-Journal[[#This Row],[Cr Amt]]),0)</f>
        <v>0</v>
      </c>
      <c r="L46" s="294" t="str" cm="1">
        <f t="array" aca="1" ref="L46" ca="1">IF(Journal[[#This Row],[Transaction '#]]&lt;&gt;"",IFERROR(INDEX(ProblemData!$E$240:$AM$240,1,Journal[[#This Row],[Transaction '#]]),""),"")</f>
        <v/>
      </c>
      <c r="M46" s="320" t="str">
        <f ca="1">IF(Journal[[#This Row],[ref1]]="","",IF(NOT(ISBLANK(Journal[[#This Row],[Transaction '#]])),Journal[[#This Row],[ref1]]&amp;Journal[[#This Row],[Movement '#]],""))</f>
        <v/>
      </c>
      <c r="N46" s="1" t="b">
        <f ca="1">OR(Journal[[#This Row],[ref1]]="",ISNUMBER(MATCH(Journal[[#This Row],[ref1]],Operating[Abbr], 0)))</f>
        <v>1</v>
      </c>
      <c r="O46" s="1"/>
      <c r="P46" s="1" t="str">
        <f>Journal[[#This Row],[Accnt Type]]&amp;"Used"</f>
        <v>ExpenseUsed</v>
      </c>
    </row>
    <row r="47" spans="3:16" x14ac:dyDescent="0.3">
      <c r="C47" s="37">
        <v>13</v>
      </c>
      <c r="D47" s="166" t="s">
        <v>69</v>
      </c>
      <c r="E47" s="167"/>
      <c r="F47" s="167" t="s">
        <v>80</v>
      </c>
      <c r="G47" s="168"/>
      <c r="H47" s="169">
        <v>1</v>
      </c>
      <c r="I47" s="322"/>
      <c r="J47" s="318">
        <f>IF(Journal[[#This Row],[Transaction '#]]="","",IF(Journal[[#This Row],[Transaction '#]]=C46,J46+1,1))</f>
        <v>2</v>
      </c>
      <c r="K47" s="319" cm="1">
        <f t="array" ref="K47">IFERROR(_xlfn.IFS(Journal[[#This Row],[Debit Account]]="Cash",Journal[[#This Row],[Dr Amt]],Journal[[#This Row],[Credit Account]]="Cash",-Journal[[#This Row],[Cr Amt]]),0)</f>
        <v>0</v>
      </c>
      <c r="L47" s="294" t="str" cm="1">
        <f t="array" aca="1" ref="L47" ca="1">IF(Journal[[#This Row],[Transaction '#]]&lt;&gt;"",IFERROR(INDEX(ProblemData!$E$240:$AM$240,1,Journal[[#This Row],[Transaction '#]]),""),"")</f>
        <v/>
      </c>
      <c r="M47" s="320" t="str">
        <f ca="1">IF(Journal[[#This Row],[ref1]]="","",IF(NOT(ISBLANK(Journal[[#This Row],[Transaction '#]])),Journal[[#This Row],[ref1]]&amp;Journal[[#This Row],[Movement '#]],""))</f>
        <v/>
      </c>
      <c r="N47" s="1" t="b">
        <f ca="1">OR(Journal[[#This Row],[ref1]]="",ISNUMBER(MATCH(Journal[[#This Row],[ref1]],Operating[Abbr], 0)))</f>
        <v>1</v>
      </c>
      <c r="O47" s="1"/>
      <c r="P47" s="1" t="str">
        <f>Journal[[#This Row],[Accnt Type]]&amp;"Used"</f>
        <v>LiabilityUsed</v>
      </c>
    </row>
    <row r="48" spans="3:16" x14ac:dyDescent="0.3">
      <c r="C48" s="37"/>
      <c r="D48" s="166"/>
      <c r="E48" s="167"/>
      <c r="F48" s="167"/>
      <c r="G48" s="168"/>
      <c r="H48" s="169"/>
      <c r="I48" s="322"/>
      <c r="J48" s="318" t="str">
        <f>IF(Journal[[#This Row],[Transaction '#]]="","",IF(Journal[[#This Row],[Transaction '#]]=C47,J47+1,1))</f>
        <v/>
      </c>
      <c r="K48" s="319" cm="1">
        <f t="array" ref="K48">IFERROR(_xlfn.IFS(Journal[[#This Row],[Debit Account]]="Cash",Journal[[#This Row],[Dr Amt]],Journal[[#This Row],[Credit Account]]="Cash",-Journal[[#This Row],[Cr Amt]]),0)</f>
        <v>0</v>
      </c>
      <c r="L48" s="294" t="str" cm="1">
        <f t="array" ref="L48">IF(Journal[[#This Row],[Transaction '#]]&lt;&gt;"",IFERROR(INDEX(ProblemData!$E$240:$AM$240,1,Journal[[#This Row],[Transaction '#]]),""),"")</f>
        <v/>
      </c>
      <c r="M48" s="320" t="str">
        <f>IF(Journal[[#This Row],[ref1]]="","",IF(NOT(ISBLANK(Journal[[#This Row],[Transaction '#]])),Journal[[#This Row],[ref1]]&amp;Journal[[#This Row],[Movement '#]],""))</f>
        <v/>
      </c>
      <c r="N48" s="1" t="b">
        <f>OR(Journal[[#This Row],[ref1]]="",ISNUMBER(MATCH(Journal[[#This Row],[ref1]],Operating[Abbr], 0)))</f>
        <v>1</v>
      </c>
      <c r="O48" s="1"/>
      <c r="P48" s="1" t="str">
        <f>Journal[[#This Row],[Accnt Type]]&amp;"Used"</f>
        <v>Used</v>
      </c>
    </row>
    <row r="49" spans="3:16" x14ac:dyDescent="0.3">
      <c r="C49" s="37">
        <v>14</v>
      </c>
      <c r="D49" s="166"/>
      <c r="E49" s="167"/>
      <c r="F49" s="167"/>
      <c r="G49" s="168"/>
      <c r="H49" s="169"/>
      <c r="I49" s="322"/>
      <c r="J49" s="318">
        <f>IF(Journal[[#This Row],[Transaction '#]]="","",IF(Journal[[#This Row],[Transaction '#]]=C48,J48+1,1))</f>
        <v>1</v>
      </c>
      <c r="K49" s="319" cm="1">
        <f t="array" ref="K49">IFERROR(_xlfn.IFS(Journal[[#This Row],[Debit Account]]="Cash",Journal[[#This Row],[Dr Amt]],Journal[[#This Row],[Credit Account]]="Cash",-Journal[[#This Row],[Cr Amt]]),0)</f>
        <v>0</v>
      </c>
      <c r="L49" s="294" t="str" cm="1">
        <f t="array" aca="1" ref="L49" ca="1">IF(Journal[[#This Row],[Transaction '#]]&lt;&gt;"",IFERROR(INDEX(ProblemData!$E$240:$AM$240,1,Journal[[#This Row],[Transaction '#]]),""),"")</f>
        <v/>
      </c>
      <c r="M49" s="320" t="str">
        <f ca="1">IF(Journal[[#This Row],[ref1]]="","",IF(NOT(ISBLANK(Journal[[#This Row],[Transaction '#]])),Journal[[#This Row],[ref1]]&amp;Journal[[#This Row],[Movement '#]],""))</f>
        <v/>
      </c>
      <c r="N49" s="1" t="b">
        <f ca="1">OR(Journal[[#This Row],[ref1]]="",ISNUMBER(MATCH(Journal[[#This Row],[ref1]],Operating[Abbr], 0)))</f>
        <v>1</v>
      </c>
      <c r="O49" s="1"/>
      <c r="P49" s="1" t="str">
        <f>Journal[[#This Row],[Accnt Type]]&amp;"Used"</f>
        <v>Used</v>
      </c>
    </row>
    <row r="50" spans="3:16" x14ac:dyDescent="0.3">
      <c r="C50" s="37">
        <v>14</v>
      </c>
      <c r="D50" s="166"/>
      <c r="E50" s="167"/>
      <c r="F50" s="167"/>
      <c r="G50" s="168"/>
      <c r="H50" s="169"/>
      <c r="I50" s="322"/>
      <c r="J50" s="318">
        <f>IF(Journal[[#This Row],[Transaction '#]]="","",IF(Journal[[#This Row],[Transaction '#]]=C49,J49+1,1))</f>
        <v>2</v>
      </c>
      <c r="K50" s="319" cm="1">
        <f t="array" ref="K50">IFERROR(_xlfn.IFS(Journal[[#This Row],[Debit Account]]="Cash",Journal[[#This Row],[Dr Amt]],Journal[[#This Row],[Credit Account]]="Cash",-Journal[[#This Row],[Cr Amt]]),0)</f>
        <v>0</v>
      </c>
      <c r="L50" s="294" t="str" cm="1">
        <f t="array" aca="1" ref="L50" ca="1">IF(Journal[[#This Row],[Transaction '#]]&lt;&gt;"",IFERROR(INDEX(ProblemData!$E$240:$AM$240,1,Journal[[#This Row],[Transaction '#]]),""),"")</f>
        <v/>
      </c>
      <c r="M50" s="320" t="str">
        <f ca="1">IF(Journal[[#This Row],[ref1]]="","",IF(NOT(ISBLANK(Journal[[#This Row],[Transaction '#]])),Journal[[#This Row],[ref1]]&amp;Journal[[#This Row],[Movement '#]],""))</f>
        <v/>
      </c>
      <c r="N50" s="1" t="b">
        <f ca="1">OR(Journal[[#This Row],[ref1]]="",ISNUMBER(MATCH(Journal[[#This Row],[ref1]],Operating[Abbr], 0)))</f>
        <v>1</v>
      </c>
      <c r="O50" s="1"/>
      <c r="P50" s="1" t="str">
        <f>Journal[[#This Row],[Accnt Type]]&amp;"Used"</f>
        <v>Used</v>
      </c>
    </row>
    <row r="51" spans="3:16" x14ac:dyDescent="0.3">
      <c r="C51" s="37"/>
      <c r="D51" s="166"/>
      <c r="E51" s="167"/>
      <c r="F51" s="167"/>
      <c r="G51" s="168"/>
      <c r="H51" s="169"/>
      <c r="I51" s="322"/>
      <c r="J51" s="318" t="str">
        <f>IF(Journal[[#This Row],[Transaction '#]]="","",IF(Journal[[#This Row],[Transaction '#]]=C50,J50+1,1))</f>
        <v/>
      </c>
      <c r="K51" s="319" cm="1">
        <f t="array" ref="K51">IFERROR(_xlfn.IFS(Journal[[#This Row],[Debit Account]]="Cash",Journal[[#This Row],[Dr Amt]],Journal[[#This Row],[Credit Account]]="Cash",-Journal[[#This Row],[Cr Amt]]),0)</f>
        <v>0</v>
      </c>
      <c r="L51" s="294" t="str" cm="1">
        <f t="array" ref="L51">IF(Journal[[#This Row],[Transaction '#]]&lt;&gt;"",IFERROR(INDEX(ProblemData!$E$240:$AM$240,1,Journal[[#This Row],[Transaction '#]]),""),"")</f>
        <v/>
      </c>
      <c r="M51" s="320" t="str">
        <f>IF(Journal[[#This Row],[ref1]]="","",IF(NOT(ISBLANK(Journal[[#This Row],[Transaction '#]])),Journal[[#This Row],[ref1]]&amp;Journal[[#This Row],[Movement '#]],""))</f>
        <v/>
      </c>
      <c r="N51" s="1" t="b">
        <f>OR(Journal[[#This Row],[ref1]]="",ISNUMBER(MATCH(Journal[[#This Row],[ref1]],Operating[Abbr], 0)))</f>
        <v>1</v>
      </c>
      <c r="O51" s="1"/>
      <c r="P51" s="1" t="str">
        <f>Journal[[#This Row],[Accnt Type]]&amp;"Used"</f>
        <v>Used</v>
      </c>
    </row>
    <row r="52" spans="3:16" x14ac:dyDescent="0.3">
      <c r="C52" s="37">
        <v>15</v>
      </c>
      <c r="D52" s="166" t="s">
        <v>76</v>
      </c>
      <c r="E52" s="167" t="s">
        <v>81</v>
      </c>
      <c r="F52" s="167"/>
      <c r="G52" s="168">
        <v>7.5</v>
      </c>
      <c r="H52" s="169"/>
      <c r="I52" s="322"/>
      <c r="J52" s="318">
        <f>IF(Journal[[#This Row],[Transaction '#]]="","",IF(Journal[[#This Row],[Transaction '#]]=C51,J51+1,1))</f>
        <v>1</v>
      </c>
      <c r="K52" s="319" cm="1">
        <f t="array" ref="K52">IFERROR(_xlfn.IFS(Journal[[#This Row],[Debit Account]]="Cash",Journal[[#This Row],[Dr Amt]],Journal[[#This Row],[Credit Account]]="Cash",-Journal[[#This Row],[Cr Amt]]),0)</f>
        <v>0</v>
      </c>
      <c r="L52" s="294" t="str" cm="1">
        <f t="array" aca="1" ref="L52" ca="1">IF(Journal[[#This Row],[Transaction '#]]&lt;&gt;"",IFERROR(INDEX(ProblemData!$E$240:$AM$240,1,Journal[[#This Row],[Transaction '#]]),""),"")</f>
        <v>RecDeprExp</v>
      </c>
      <c r="M52" s="320" t="str">
        <f ca="1">IF(Journal[[#This Row],[ref1]]="","",IF(NOT(ISBLANK(Journal[[#This Row],[Transaction '#]])),Journal[[#This Row],[ref1]]&amp;Journal[[#This Row],[Movement '#]],""))</f>
        <v>RecDeprExp1</v>
      </c>
      <c r="N52" s="1" t="b">
        <f ca="1">OR(Journal[[#This Row],[ref1]]="",ISNUMBER(MATCH(Journal[[#This Row],[ref1]],Operating[Abbr], 0)))</f>
        <v>0</v>
      </c>
      <c r="O52" s="1"/>
      <c r="P52" s="1" t="str">
        <f>Journal[[#This Row],[Accnt Type]]&amp;"Used"</f>
        <v>ExpenseUsed</v>
      </c>
    </row>
    <row r="53" spans="3:16" x14ac:dyDescent="0.3">
      <c r="C53" s="37">
        <v>15</v>
      </c>
      <c r="D53" s="166" t="s">
        <v>63</v>
      </c>
      <c r="E53" s="167"/>
      <c r="F53" s="167" t="s">
        <v>82</v>
      </c>
      <c r="G53" s="168"/>
      <c r="H53" s="169">
        <v>7.5</v>
      </c>
      <c r="I53" s="322"/>
      <c r="J53" s="318">
        <f>IF(Journal[[#This Row],[Transaction '#]]="","",IF(Journal[[#This Row],[Transaction '#]]=C52,J52+1,1))</f>
        <v>2</v>
      </c>
      <c r="K53" s="319" cm="1">
        <f t="array" ref="K53">IFERROR(_xlfn.IFS(Journal[[#This Row],[Debit Account]]="Cash",Journal[[#This Row],[Dr Amt]],Journal[[#This Row],[Credit Account]]="Cash",-Journal[[#This Row],[Cr Amt]]),0)</f>
        <v>0</v>
      </c>
      <c r="L53" s="294" t="str" cm="1">
        <f t="array" aca="1" ref="L53" ca="1">IF(Journal[[#This Row],[Transaction '#]]&lt;&gt;"",IFERROR(INDEX(ProblemData!$E$240:$AM$240,1,Journal[[#This Row],[Transaction '#]]),""),"")</f>
        <v>RecDeprExp</v>
      </c>
      <c r="M53" s="320" t="str">
        <f ca="1">IF(Journal[[#This Row],[ref1]]="","",IF(NOT(ISBLANK(Journal[[#This Row],[Transaction '#]])),Journal[[#This Row],[ref1]]&amp;Journal[[#This Row],[Movement '#]],""))</f>
        <v>RecDeprExp2</v>
      </c>
      <c r="N53" s="1" t="b">
        <f ca="1">OR(Journal[[#This Row],[ref1]]="",ISNUMBER(MATCH(Journal[[#This Row],[ref1]],Operating[Abbr], 0)))</f>
        <v>0</v>
      </c>
      <c r="O53" s="1"/>
      <c r="P53" s="1" t="str">
        <f>Journal[[#This Row],[Accnt Type]]&amp;"Used"</f>
        <v>AssetUsed</v>
      </c>
    </row>
    <row r="54" spans="3:16" x14ac:dyDescent="0.3">
      <c r="C54" s="37"/>
      <c r="D54" s="166"/>
      <c r="E54" s="167"/>
      <c r="F54" s="167"/>
      <c r="G54" s="168"/>
      <c r="H54" s="169"/>
      <c r="I54" s="322"/>
      <c r="J54" s="318" t="str">
        <f>IF(Journal[[#This Row],[Transaction '#]]="","",IF(Journal[[#This Row],[Transaction '#]]=C53,J53+1,1))</f>
        <v/>
      </c>
      <c r="K54" s="319" cm="1">
        <f t="array" ref="K54">IFERROR(_xlfn.IFS(Journal[[#This Row],[Debit Account]]="Cash",Journal[[#This Row],[Dr Amt]],Journal[[#This Row],[Credit Account]]="Cash",-Journal[[#This Row],[Cr Amt]]),0)</f>
        <v>0</v>
      </c>
      <c r="L54" s="294" t="str" cm="1">
        <f t="array" ref="L54">IF(Journal[[#This Row],[Transaction '#]]&lt;&gt;"",IFERROR(INDEX(ProblemData!$E$240:$AM$240,1,Journal[[#This Row],[Transaction '#]]),""),"")</f>
        <v/>
      </c>
      <c r="M54" s="320" t="str">
        <f>IF(Journal[[#This Row],[ref1]]="","",IF(NOT(ISBLANK(Journal[[#This Row],[Transaction '#]])),Journal[[#This Row],[ref1]]&amp;Journal[[#This Row],[Movement '#]],""))</f>
        <v/>
      </c>
      <c r="N54" s="1" t="b">
        <f>OR(Journal[[#This Row],[ref1]]="",ISNUMBER(MATCH(Journal[[#This Row],[ref1]],Operating[Abbr], 0)))</f>
        <v>1</v>
      </c>
      <c r="O54" s="1"/>
      <c r="P54" s="1" t="str">
        <f>Journal[[#This Row],[Accnt Type]]&amp;"Used"</f>
        <v>Used</v>
      </c>
    </row>
    <row r="55" spans="3:16" x14ac:dyDescent="0.3">
      <c r="C55" s="37">
        <v>16</v>
      </c>
      <c r="D55" s="166" t="s">
        <v>76</v>
      </c>
      <c r="E55" s="167" t="s">
        <v>83</v>
      </c>
      <c r="F55" s="167"/>
      <c r="G55" s="168">
        <v>3</v>
      </c>
      <c r="H55" s="169"/>
      <c r="I55" s="322"/>
      <c r="J55" s="318">
        <f>IF(Journal[[#This Row],[Transaction '#]]="","",IF(Journal[[#This Row],[Transaction '#]]=C54,J54+1,1))</f>
        <v>1</v>
      </c>
      <c r="K55" s="319" cm="1">
        <f t="array" ref="K55">IFERROR(_xlfn.IFS(Journal[[#This Row],[Debit Account]]="Cash",Journal[[#This Row],[Dr Amt]],Journal[[#This Row],[Credit Account]]="Cash",-Journal[[#This Row],[Cr Amt]]),0)</f>
        <v>0</v>
      </c>
      <c r="L55" s="294" t="str" cm="1">
        <f t="array" aca="1" ref="L55" ca="1">IF(Journal[[#This Row],[Transaction '#]]&lt;&gt;"",IFERROR(INDEX(ProblemData!$E$240:$AM$240,1,Journal[[#This Row],[Transaction '#]]),""),"")</f>
        <v/>
      </c>
      <c r="M55" s="320" t="str">
        <f ca="1">IF(Journal[[#This Row],[ref1]]="","",IF(NOT(ISBLANK(Journal[[#This Row],[Transaction '#]])),Journal[[#This Row],[ref1]]&amp;Journal[[#This Row],[Movement '#]],""))</f>
        <v/>
      </c>
      <c r="N55" s="1" t="b">
        <f ca="1">OR(Journal[[#This Row],[ref1]]="",ISNUMBER(MATCH(Journal[[#This Row],[ref1]],Operating[Abbr], 0)))</f>
        <v>1</v>
      </c>
      <c r="O55" s="1"/>
      <c r="P55" s="1" t="str">
        <f>Journal[[#This Row],[Accnt Type]]&amp;"Used"</f>
        <v>ExpenseUsed</v>
      </c>
    </row>
    <row r="56" spans="3:16" x14ac:dyDescent="0.3">
      <c r="C56" s="37">
        <v>16</v>
      </c>
      <c r="D56" s="166" t="s">
        <v>63</v>
      </c>
      <c r="E56" s="167"/>
      <c r="F56" s="167" t="s">
        <v>67</v>
      </c>
      <c r="G56" s="168"/>
      <c r="H56" s="169">
        <v>3</v>
      </c>
      <c r="I56" s="322"/>
      <c r="J56" s="318">
        <f>IF(Journal[[#This Row],[Transaction '#]]="","",IF(Journal[[#This Row],[Transaction '#]]=C55,J55+1,1))</f>
        <v>2</v>
      </c>
      <c r="K56" s="319" cm="1">
        <f t="array" ref="K56">IFERROR(_xlfn.IFS(Journal[[#This Row],[Debit Account]]="Cash",Journal[[#This Row],[Dr Amt]],Journal[[#This Row],[Credit Account]]="Cash",-Journal[[#This Row],[Cr Amt]]),0)</f>
        <v>0</v>
      </c>
      <c r="L56" s="294" t="str" cm="1">
        <f t="array" aca="1" ref="L56" ca="1">IF(Journal[[#This Row],[Transaction '#]]&lt;&gt;"",IFERROR(INDEX(ProblemData!$E$240:$AM$240,1,Journal[[#This Row],[Transaction '#]]),""),"")</f>
        <v/>
      </c>
      <c r="M56" s="320" t="str">
        <f ca="1">IF(Journal[[#This Row],[ref1]]="","",IF(NOT(ISBLANK(Journal[[#This Row],[Transaction '#]])),Journal[[#This Row],[ref1]]&amp;Journal[[#This Row],[Movement '#]],""))</f>
        <v/>
      </c>
      <c r="N56" s="1" t="b">
        <f ca="1">OR(Journal[[#This Row],[ref1]]="",ISNUMBER(MATCH(Journal[[#This Row],[ref1]],Operating[Abbr], 0)))</f>
        <v>1</v>
      </c>
      <c r="O56" s="1"/>
      <c r="P56" s="1" t="str">
        <f>Journal[[#This Row],[Accnt Type]]&amp;"Used"</f>
        <v>AssetUsed</v>
      </c>
    </row>
    <row r="57" spans="3:16" x14ac:dyDescent="0.3">
      <c r="C57" s="37"/>
      <c r="D57" s="166"/>
      <c r="E57" s="167"/>
      <c r="F57" s="167"/>
      <c r="G57" s="168"/>
      <c r="H57" s="169"/>
      <c r="I57" s="322"/>
      <c r="J57" s="318" t="str">
        <f>IF(Journal[[#This Row],[Transaction '#]]="","",IF(Journal[[#This Row],[Transaction '#]]=C56,J56+1,1))</f>
        <v/>
      </c>
      <c r="K57" s="319" cm="1">
        <f t="array" ref="K57">IFERROR(_xlfn.IFS(Journal[[#This Row],[Debit Account]]="Cash",Journal[[#This Row],[Dr Amt]],Journal[[#This Row],[Credit Account]]="Cash",-Journal[[#This Row],[Cr Amt]]),0)</f>
        <v>0</v>
      </c>
      <c r="L57" s="294" t="str" cm="1">
        <f t="array" ref="L57">IF(Journal[[#This Row],[Transaction '#]]&lt;&gt;"",IFERROR(INDEX(ProblemData!$E$240:$AM$240,1,Journal[[#This Row],[Transaction '#]]),""),"")</f>
        <v/>
      </c>
      <c r="M57" s="320" t="str">
        <f>IF(Journal[[#This Row],[ref1]]="","",IF(NOT(ISBLANK(Journal[[#This Row],[Transaction '#]])),Journal[[#This Row],[ref1]]&amp;Journal[[#This Row],[Movement '#]],""))</f>
        <v/>
      </c>
      <c r="N57" s="1" t="b">
        <f>OR(Journal[[#This Row],[ref1]]="",ISNUMBER(MATCH(Journal[[#This Row],[ref1]],Operating[Abbr], 0)))</f>
        <v>1</v>
      </c>
      <c r="O57" s="1"/>
      <c r="P57" s="1" t="str">
        <f>Journal[[#This Row],[Accnt Type]]&amp;"Used"</f>
        <v>Used</v>
      </c>
    </row>
    <row r="58" spans="3:16" x14ac:dyDescent="0.3">
      <c r="C58" s="37">
        <v>17</v>
      </c>
      <c r="D58" s="166" t="s">
        <v>76</v>
      </c>
      <c r="E58" s="167" t="s">
        <v>84</v>
      </c>
      <c r="F58" s="167"/>
      <c r="G58" s="168">
        <v>1.55</v>
      </c>
      <c r="H58" s="169"/>
      <c r="I58" s="322"/>
      <c r="J58" s="318">
        <f>IF(Journal[[#This Row],[Transaction '#]]="","",IF(Journal[[#This Row],[Transaction '#]]=C57,J57+1,1))</f>
        <v>1</v>
      </c>
      <c r="K58" s="319" cm="1">
        <f t="array" ref="K58">IFERROR(_xlfn.IFS(Journal[[#This Row],[Debit Account]]="Cash",Journal[[#This Row],[Dr Amt]],Journal[[#This Row],[Credit Account]]="Cash",-Journal[[#This Row],[Cr Amt]]),0)</f>
        <v>0</v>
      </c>
      <c r="L58" s="294" t="str" cm="1">
        <f t="array" aca="1" ref="L58" ca="1">IF(Journal[[#This Row],[Transaction '#]]&lt;&gt;"",IFERROR(INDEX(ProblemData!$E$240:$AM$240,1,Journal[[#This Row],[Transaction '#]]),""),"")</f>
        <v/>
      </c>
      <c r="M58" s="320" t="str">
        <f ca="1">IF(Journal[[#This Row],[ref1]]="","",IF(NOT(ISBLANK(Journal[[#This Row],[Transaction '#]])),Journal[[#This Row],[ref1]]&amp;Journal[[#This Row],[Movement '#]],""))</f>
        <v/>
      </c>
      <c r="N58" s="1" t="b">
        <f ca="1">OR(Journal[[#This Row],[ref1]]="",ISNUMBER(MATCH(Journal[[#This Row],[ref1]],Operating[Abbr], 0)))</f>
        <v>1</v>
      </c>
      <c r="O58" s="1"/>
      <c r="P58" s="1" t="str">
        <f>Journal[[#This Row],[Accnt Type]]&amp;"Used"</f>
        <v>ExpenseUsed</v>
      </c>
    </row>
    <row r="59" spans="3:16" x14ac:dyDescent="0.3">
      <c r="C59" s="37">
        <v>17</v>
      </c>
      <c r="D59" s="166" t="s">
        <v>69</v>
      </c>
      <c r="E59" s="167"/>
      <c r="F59" s="167" t="s">
        <v>85</v>
      </c>
      <c r="G59" s="168"/>
      <c r="H59" s="169">
        <v>1.55</v>
      </c>
      <c r="I59" s="322"/>
      <c r="J59" s="318">
        <f>IF(Journal[[#This Row],[Transaction '#]]="","",IF(Journal[[#This Row],[Transaction '#]]=C58,J58+1,1))</f>
        <v>2</v>
      </c>
      <c r="K59" s="319" cm="1">
        <f t="array" ref="K59">IFERROR(_xlfn.IFS(Journal[[#This Row],[Debit Account]]="Cash",Journal[[#This Row],[Dr Amt]],Journal[[#This Row],[Credit Account]]="Cash",-Journal[[#This Row],[Cr Amt]]),0)</f>
        <v>0</v>
      </c>
      <c r="L59" s="294" t="str" cm="1">
        <f t="array" aca="1" ref="L59" ca="1">IF(Journal[[#This Row],[Transaction '#]]&lt;&gt;"",IFERROR(INDEX(ProblemData!$E$240:$AM$240,1,Journal[[#This Row],[Transaction '#]]),""),"")</f>
        <v/>
      </c>
      <c r="M59" s="320" t="str">
        <f ca="1">IF(Journal[[#This Row],[ref1]]="","",IF(NOT(ISBLANK(Journal[[#This Row],[Transaction '#]])),Journal[[#This Row],[ref1]]&amp;Journal[[#This Row],[Movement '#]],""))</f>
        <v/>
      </c>
      <c r="N59" s="1" t="b">
        <f ca="1">OR(Journal[[#This Row],[ref1]]="",ISNUMBER(MATCH(Journal[[#This Row],[ref1]],Operating[Abbr], 0)))</f>
        <v>1</v>
      </c>
      <c r="O59" s="1"/>
      <c r="P59" s="1" t="str">
        <f>Journal[[#This Row],[Accnt Type]]&amp;"Used"</f>
        <v>LiabilityUsed</v>
      </c>
    </row>
    <row r="60" spans="3:16" x14ac:dyDescent="0.3">
      <c r="C60" s="37"/>
      <c r="D60" s="166"/>
      <c r="E60" s="167"/>
      <c r="F60" s="167"/>
      <c r="G60" s="168"/>
      <c r="H60" s="169"/>
      <c r="I60" s="322"/>
      <c r="J60" s="318" t="str">
        <f>IF(Journal[[#This Row],[Transaction '#]]="","",IF(Journal[[#This Row],[Transaction '#]]=C59,J59+1,1))</f>
        <v/>
      </c>
      <c r="K60" s="319" cm="1">
        <f t="array" ref="K60">IFERROR(_xlfn.IFS(Journal[[#This Row],[Debit Account]]="Cash",Journal[[#This Row],[Dr Amt]],Journal[[#This Row],[Credit Account]]="Cash",-Journal[[#This Row],[Cr Amt]]),0)</f>
        <v>0</v>
      </c>
      <c r="L60" s="294" t="str" cm="1">
        <f t="array" ref="L60">IF(Journal[[#This Row],[Transaction '#]]&lt;&gt;"",IFERROR(INDEX(ProblemData!$E$240:$AM$240,1,Journal[[#This Row],[Transaction '#]]),""),"")</f>
        <v/>
      </c>
      <c r="M60" s="320" t="str">
        <f>IF(Journal[[#This Row],[ref1]]="","",IF(NOT(ISBLANK(Journal[[#This Row],[Transaction '#]])),Journal[[#This Row],[ref1]]&amp;Journal[[#This Row],[Movement '#]],""))</f>
        <v/>
      </c>
      <c r="N60" s="1" t="b">
        <f>OR(Journal[[#This Row],[ref1]]="",ISNUMBER(MATCH(Journal[[#This Row],[ref1]],Operating[Abbr], 0)))</f>
        <v>1</v>
      </c>
      <c r="O60" s="1"/>
      <c r="P60" s="1" t="str">
        <f>Journal[[#This Row],[Accnt Type]]&amp;"Used"</f>
        <v>Used</v>
      </c>
    </row>
    <row r="61" spans="3:16" x14ac:dyDescent="0.3">
      <c r="C61" s="37"/>
      <c r="D61" s="166"/>
      <c r="E61" s="167"/>
      <c r="F61" s="167"/>
      <c r="G61" s="168"/>
      <c r="H61" s="169"/>
      <c r="I61" s="322"/>
      <c r="J61" s="318" t="str">
        <f>IF(Journal[[#This Row],[Transaction '#]]="","",IF(Journal[[#This Row],[Transaction '#]]=C60,J60+1,1))</f>
        <v/>
      </c>
      <c r="K61" s="319" cm="1">
        <f t="array" ref="K61">IFERROR(_xlfn.IFS(Journal[[#This Row],[Debit Account]]="Cash",Journal[[#This Row],[Dr Amt]],Journal[[#This Row],[Credit Account]]="Cash",-Journal[[#This Row],[Cr Amt]]),0)</f>
        <v>0</v>
      </c>
      <c r="L61" s="294" t="str" cm="1">
        <f t="array" ref="L61">IF(Journal[[#This Row],[Transaction '#]]&lt;&gt;"",IFERROR(INDEX(ProblemData!$E$240:$AM$240,1,Journal[[#This Row],[Transaction '#]]),""),"")</f>
        <v/>
      </c>
      <c r="M61" s="320" t="str">
        <f>IF(Journal[[#This Row],[ref1]]="","",IF(NOT(ISBLANK(Journal[[#This Row],[Transaction '#]])),Journal[[#This Row],[ref1]]&amp;Journal[[#This Row],[Movement '#]],""))</f>
        <v/>
      </c>
      <c r="N61" s="1" t="b">
        <f>OR(Journal[[#This Row],[ref1]]="",ISNUMBER(MATCH(Journal[[#This Row],[ref1]],Operating[Abbr], 0)))</f>
        <v>1</v>
      </c>
      <c r="O61" s="1"/>
      <c r="P61" s="1" t="str">
        <f>Journal[[#This Row],[Accnt Type]]&amp;"Used"</f>
        <v>Used</v>
      </c>
    </row>
    <row r="62" spans="3:16" x14ac:dyDescent="0.3">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x14ac:dyDescent="0.3">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x14ac:dyDescent="0.3">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x14ac:dyDescent="0.3">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x14ac:dyDescent="0.3">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x14ac:dyDescent="0.3">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x14ac:dyDescent="0.3">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x14ac:dyDescent="0.3">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x14ac:dyDescent="0.3">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x14ac:dyDescent="0.3">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x14ac:dyDescent="0.3">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x14ac:dyDescent="0.3">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x14ac:dyDescent="0.3">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x14ac:dyDescent="0.3">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x14ac:dyDescent="0.3">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x14ac:dyDescent="0.3">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x14ac:dyDescent="0.3">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x14ac:dyDescent="0.3">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x14ac:dyDescent="0.3">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x14ac:dyDescent="0.3">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x14ac:dyDescent="0.3">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x14ac:dyDescent="0.3">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x14ac:dyDescent="0.3">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x14ac:dyDescent="0.3">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x14ac:dyDescent="0.3">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x14ac:dyDescent="0.3">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x14ac:dyDescent="0.3">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x14ac:dyDescent="0.3">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x14ac:dyDescent="0.3">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x14ac:dyDescent="0.3">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x14ac:dyDescent="0.3">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x14ac:dyDescent="0.3">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x14ac:dyDescent="0.3">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x14ac:dyDescent="0.3">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x14ac:dyDescent="0.3">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x14ac:dyDescent="0.3">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x14ac:dyDescent="0.3">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x14ac:dyDescent="0.3">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x14ac:dyDescent="0.3">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x14ac:dyDescent="0.3">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x14ac:dyDescent="0.3">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x14ac:dyDescent="0.3">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x14ac:dyDescent="0.3">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x14ac:dyDescent="0.3">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x14ac:dyDescent="0.3">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x14ac:dyDescent="0.3">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x14ac:dyDescent="0.3">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x14ac:dyDescent="0.3">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x14ac:dyDescent="0.3">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x14ac:dyDescent="0.3">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x14ac:dyDescent="0.3">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x14ac:dyDescent="0.3">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x14ac:dyDescent="0.3">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x14ac:dyDescent="0.3">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x14ac:dyDescent="0.3">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x14ac:dyDescent="0.3">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x14ac:dyDescent="0.3">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x14ac:dyDescent="0.3">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x14ac:dyDescent="0.3">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x14ac:dyDescent="0.3">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x14ac:dyDescent="0.3">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x14ac:dyDescent="0.3">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x14ac:dyDescent="0.3">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x14ac:dyDescent="0.3">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x14ac:dyDescent="0.3">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x14ac:dyDescent="0.3">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x14ac:dyDescent="0.3">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x14ac:dyDescent="0.3">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x14ac:dyDescent="0.3">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x14ac:dyDescent="0.3">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x14ac:dyDescent="0.3">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x14ac:dyDescent="0.3">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x14ac:dyDescent="0.3">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x14ac:dyDescent="0.3">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x14ac:dyDescent="0.3">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x14ac:dyDescent="0.3">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x14ac:dyDescent="0.3">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x14ac:dyDescent="0.3">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x14ac:dyDescent="0.3">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x14ac:dyDescent="0.3">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x14ac:dyDescent="0.3">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x14ac:dyDescent="0.3">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x14ac:dyDescent="0.3">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x14ac:dyDescent="0.3">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x14ac:dyDescent="0.3">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x14ac:dyDescent="0.3">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x14ac:dyDescent="0.3">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x14ac:dyDescent="0.3">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x14ac:dyDescent="0.3">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x14ac:dyDescent="0.3">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x14ac:dyDescent="0.3">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x14ac:dyDescent="0.3">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x14ac:dyDescent="0.3">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x14ac:dyDescent="0.3">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x14ac:dyDescent="0.3">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x14ac:dyDescent="0.3">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x14ac:dyDescent="0.3">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x14ac:dyDescent="0.3">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x14ac:dyDescent="0.3">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x14ac:dyDescent="0.3">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x14ac:dyDescent="0.3">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x14ac:dyDescent="0.3">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x14ac:dyDescent="0.3">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x14ac:dyDescent="0.3">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x14ac:dyDescent="0.3">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x14ac:dyDescent="0.3">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x14ac:dyDescent="0.3">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x14ac:dyDescent="0.3">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x14ac:dyDescent="0.3">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x14ac:dyDescent="0.3">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x14ac:dyDescent="0.3">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x14ac:dyDescent="0.3">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x14ac:dyDescent="0.3">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x14ac:dyDescent="0.3">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x14ac:dyDescent="0.3">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x14ac:dyDescent="0.3">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x14ac:dyDescent="0.3">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x14ac:dyDescent="0.3">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x14ac:dyDescent="0.3">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x14ac:dyDescent="0.3">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x14ac:dyDescent="0.3">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x14ac:dyDescent="0.3">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x14ac:dyDescent="0.3">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x14ac:dyDescent="0.3">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x14ac:dyDescent="0.3">
      <c r="C186" s="37">
        <v>18</v>
      </c>
      <c r="D186" s="166" t="s">
        <v>74</v>
      </c>
      <c r="E186" s="167" t="s">
        <v>75</v>
      </c>
      <c r="F186" s="167"/>
      <c r="G186" s="168">
        <v>40</v>
      </c>
      <c r="H186" s="169"/>
      <c r="I186" s="322"/>
      <c r="J186" s="318">
        <f>IF(Journal[[#This Row],[Transaction '#]]="","",IF(Journal[[#This Row],[Transaction '#]]=C185,J185+1,1))</f>
        <v>1</v>
      </c>
      <c r="K186" s="319" cm="1">
        <f t="array" ref="K186">IFERROR(_xlfn.IFS(Journal[[#This Row],[Debit Account]]="Cash",Journal[[#This Row],[Dr Amt]],Journal[[#This Row],[Credit Account]]="Cash",-Journal[[#This Row],[Cr Amt]]),0)</f>
        <v>0</v>
      </c>
      <c r="L186" s="294" t="str" cm="1">
        <f t="array" aca="1" ref="L186" ca="1">IF(Journal[[#This Row],[Transaction '#]]&lt;&gt;"",IFERROR(INDEX(ProblemData!$E$240:$AM$240,1,Journal[[#This Row],[Transaction '#]]),""),"")</f>
        <v>CL</v>
      </c>
      <c r="M186" s="320" t="str">
        <f ca="1">IF(Journal[[#This Row],[ref1]]="","",IF(NOT(ISBLANK(Journal[[#This Row],[Transaction '#]])),Journal[[#This Row],[ref1]]&amp;Journal[[#This Row],[Movement '#]],""))</f>
        <v>CL1</v>
      </c>
      <c r="N186" s="1" t="b">
        <f ca="1">OR(Journal[[#This Row],[ref1]]="",ISNUMBER(MATCH(Journal[[#This Row],[ref1]],Operating[Abbr], 0)))</f>
        <v>0</v>
      </c>
      <c r="O186" s="1"/>
      <c r="P186" s="1" t="str">
        <f>Journal[[#This Row],[Accnt Type]]&amp;"Used"</f>
        <v>RevenueUsed</v>
      </c>
    </row>
    <row r="187" spans="3:16" x14ac:dyDescent="0.3">
      <c r="C187" s="37">
        <v>18</v>
      </c>
      <c r="D187" s="166" t="s">
        <v>64</v>
      </c>
      <c r="E187" s="167" t="s">
        <v>86</v>
      </c>
      <c r="F187" s="167" t="s">
        <v>86</v>
      </c>
      <c r="G187" s="168">
        <v>4.1999999999999957</v>
      </c>
      <c r="H187" s="169">
        <v>0</v>
      </c>
      <c r="I187" s="322"/>
      <c r="J187" s="318">
        <f>IF(Journal[[#This Row],[Transaction '#]]="","",IF(Journal[[#This Row],[Transaction '#]]=C186,J186+1,1))</f>
        <v>2</v>
      </c>
      <c r="K187" s="319" cm="1">
        <f t="array" ref="K187">IFERROR(_xlfn.IFS(Journal[[#This Row],[Debit Account]]="Cash",Journal[[#This Row],[Dr Amt]],Journal[[#This Row],[Credit Account]]="Cash",-Journal[[#This Row],[Cr Amt]]),0)</f>
        <v>0</v>
      </c>
      <c r="L187" s="294" t="str" cm="1">
        <f t="array" aca="1" ref="L187" ca="1">IF(Journal[[#This Row],[Transaction '#]]&lt;&gt;"",IFERROR(INDEX(ProblemData!$E$240:$AM$240,1,Journal[[#This Row],[Transaction '#]]),""),"")</f>
        <v>CL</v>
      </c>
      <c r="M187" s="320" t="str">
        <f ca="1">IF(Journal[[#This Row],[ref1]]="","",IF(NOT(ISBLANK(Journal[[#This Row],[Transaction '#]])),Journal[[#This Row],[ref1]]&amp;Journal[[#This Row],[Movement '#]],""))</f>
        <v>CL2</v>
      </c>
      <c r="N187" s="1" t="b">
        <f ca="1">OR(Journal[[#This Row],[ref1]]="",ISNUMBER(MATCH(Journal[[#This Row],[ref1]],Operating[Abbr], 0)))</f>
        <v>0</v>
      </c>
      <c r="O187" s="1"/>
      <c r="P187" s="1" t="str">
        <f>Journal[[#This Row],[Accnt Type]]&amp;"Used"</f>
        <v>EquityUsed</v>
      </c>
    </row>
    <row r="188" spans="3:16" x14ac:dyDescent="0.3">
      <c r="C188" s="37">
        <v>18</v>
      </c>
      <c r="D188" s="166" t="s">
        <v>76</v>
      </c>
      <c r="E188" s="167"/>
      <c r="F188" s="167" t="s">
        <v>77</v>
      </c>
      <c r="G188" s="168"/>
      <c r="H188" s="169">
        <v>25</v>
      </c>
      <c r="I188" s="322"/>
      <c r="J188" s="318">
        <f>IF(Journal[[#This Row],[Transaction '#]]="","",IF(Journal[[#This Row],[Transaction '#]]=C187,J187+1,1))</f>
        <v>3</v>
      </c>
      <c r="K188" s="319" cm="1">
        <f t="array" ref="K188">IFERROR(_xlfn.IFS(Journal[[#This Row],[Debit Account]]="Cash",Journal[[#This Row],[Dr Amt]],Journal[[#This Row],[Credit Account]]="Cash",-Journal[[#This Row],[Cr Amt]]),0)</f>
        <v>0</v>
      </c>
      <c r="L188" s="294" t="str" cm="1">
        <f t="array" aca="1" ref="L188" ca="1">IF(Journal[[#This Row],[Transaction '#]]&lt;&gt;"",IFERROR(INDEX(ProblemData!$E$240:$AM$240,1,Journal[[#This Row],[Transaction '#]]),""),"")</f>
        <v>CL</v>
      </c>
      <c r="M188" s="320" t="str">
        <f ca="1">IF(Journal[[#This Row],[ref1]]="","",IF(NOT(ISBLANK(Journal[[#This Row],[Transaction '#]])),Journal[[#This Row],[ref1]]&amp;Journal[[#This Row],[Movement '#]],""))</f>
        <v>CL3</v>
      </c>
      <c r="N188" s="1" t="b">
        <f ca="1">OR(Journal[[#This Row],[ref1]]="",ISNUMBER(MATCH(Journal[[#This Row],[ref1]],Operating[Abbr], 0)))</f>
        <v>0</v>
      </c>
      <c r="O188" s="1"/>
      <c r="P188" s="1" t="str">
        <f>Journal[[#This Row],[Accnt Type]]&amp;"Used"</f>
        <v>ExpenseUsed</v>
      </c>
    </row>
    <row r="189" spans="3:16" x14ac:dyDescent="0.3">
      <c r="C189" s="37">
        <v>18</v>
      </c>
      <c r="D189" s="166" t="s">
        <v>76</v>
      </c>
      <c r="E189" s="167"/>
      <c r="F189" s="167" t="s">
        <v>84</v>
      </c>
      <c r="G189" s="168"/>
      <c r="H189" s="169">
        <v>1.55</v>
      </c>
      <c r="I189" s="322"/>
      <c r="J189" s="318">
        <f>IF(Journal[[#This Row],[Transaction '#]]="","",IF(Journal[[#This Row],[Transaction '#]]=C188,J188+1,1))</f>
        <v>4</v>
      </c>
      <c r="K189" s="319" cm="1">
        <f t="array" ref="K189">IFERROR(_xlfn.IFS(Journal[[#This Row],[Debit Account]]="Cash",Journal[[#This Row],[Dr Amt]],Journal[[#This Row],[Credit Account]]="Cash",-Journal[[#This Row],[Cr Amt]]),0)</f>
        <v>0</v>
      </c>
      <c r="L189" s="294" t="str" cm="1">
        <f t="array" aca="1" ref="L189" ca="1">IF(Journal[[#This Row],[Transaction '#]]&lt;&gt;"",IFERROR(INDEX(ProblemData!$E$240:$AM$240,1,Journal[[#This Row],[Transaction '#]]),""),"")</f>
        <v>CL</v>
      </c>
      <c r="M189" s="320" t="str">
        <f ca="1">IF(Journal[[#This Row],[ref1]]="","",IF(NOT(ISBLANK(Journal[[#This Row],[Transaction '#]])),Journal[[#This Row],[ref1]]&amp;Journal[[#This Row],[Movement '#]],""))</f>
        <v>CL4</v>
      </c>
      <c r="N189" s="1" t="b">
        <f ca="1">OR(Journal[[#This Row],[ref1]]="",ISNUMBER(MATCH(Journal[[#This Row],[ref1]],Operating[Abbr], 0)))</f>
        <v>0</v>
      </c>
      <c r="O189" s="1"/>
      <c r="P189" s="1" t="str">
        <f>Journal[[#This Row],[Accnt Type]]&amp;"Used"</f>
        <v>ExpenseUsed</v>
      </c>
    </row>
    <row r="190" spans="3:16" x14ac:dyDescent="0.3">
      <c r="C190" s="37">
        <v>18</v>
      </c>
      <c r="D190" s="166" t="s">
        <v>76</v>
      </c>
      <c r="E190" s="167"/>
      <c r="F190" s="167" t="s">
        <v>81</v>
      </c>
      <c r="G190" s="168"/>
      <c r="H190" s="169">
        <v>7.5</v>
      </c>
      <c r="I190" s="322"/>
      <c r="J190" s="318">
        <f>IF(Journal[[#This Row],[Transaction '#]]="","",IF(Journal[[#This Row],[Transaction '#]]=C189,J189+1,1))</f>
        <v>5</v>
      </c>
      <c r="K190" s="319" cm="1">
        <f t="array" ref="K190">IFERROR(_xlfn.IFS(Journal[[#This Row],[Debit Account]]="Cash",Journal[[#This Row],[Dr Amt]],Journal[[#This Row],[Credit Account]]="Cash",-Journal[[#This Row],[Cr Amt]]),0)</f>
        <v>0</v>
      </c>
      <c r="L190" s="294" t="str" cm="1">
        <f t="array" aca="1" ref="L190" ca="1">IF(Journal[[#This Row],[Transaction '#]]&lt;&gt;"",IFERROR(INDEX(ProblemData!$E$240:$AM$240,1,Journal[[#This Row],[Transaction '#]]),""),"")</f>
        <v>CL</v>
      </c>
      <c r="M190" s="320" t="str">
        <f ca="1">IF(Journal[[#This Row],[ref1]]="","",IF(NOT(ISBLANK(Journal[[#This Row],[Transaction '#]])),Journal[[#This Row],[ref1]]&amp;Journal[[#This Row],[Movement '#]],""))</f>
        <v>CL5</v>
      </c>
      <c r="N190" s="1" t="b">
        <f ca="1">OR(Journal[[#This Row],[ref1]]="",ISNUMBER(MATCH(Journal[[#This Row],[ref1]],Operating[Abbr], 0)))</f>
        <v>0</v>
      </c>
      <c r="O190" s="1"/>
      <c r="P190" s="1" t="str">
        <f>Journal[[#This Row],[Accnt Type]]&amp;"Used"</f>
        <v>ExpenseUsed</v>
      </c>
    </row>
    <row r="191" spans="3:16" x14ac:dyDescent="0.3">
      <c r="C191" s="37">
        <v>18</v>
      </c>
      <c r="D191" s="166" t="s">
        <v>76</v>
      </c>
      <c r="E191" s="167"/>
      <c r="F191" s="167" t="s">
        <v>83</v>
      </c>
      <c r="G191" s="168"/>
      <c r="H191" s="169">
        <v>3</v>
      </c>
      <c r="I191" s="322"/>
      <c r="J191" s="318">
        <f>IF(Journal[[#This Row],[Transaction '#]]="","",IF(Journal[[#This Row],[Transaction '#]]=C190,J190+1,1))</f>
        <v>6</v>
      </c>
      <c r="K191" s="319" cm="1">
        <f t="array" ref="K191">IFERROR(_xlfn.IFS(Journal[[#This Row],[Debit Account]]="Cash",Journal[[#This Row],[Dr Amt]],Journal[[#This Row],[Credit Account]]="Cash",-Journal[[#This Row],[Cr Amt]]),0)</f>
        <v>0</v>
      </c>
      <c r="L191" s="294" t="str" cm="1">
        <f t="array" aca="1" ref="L191" ca="1">IF(Journal[[#This Row],[Transaction '#]]&lt;&gt;"",IFERROR(INDEX(ProblemData!$E$240:$AM$240,1,Journal[[#This Row],[Transaction '#]]),""),"")</f>
        <v>CL</v>
      </c>
      <c r="M191" s="320" t="str">
        <f ca="1">IF(Journal[[#This Row],[ref1]]="","",IF(NOT(ISBLANK(Journal[[#This Row],[Transaction '#]])),Journal[[#This Row],[ref1]]&amp;Journal[[#This Row],[Movement '#]],""))</f>
        <v>CL6</v>
      </c>
      <c r="N191" s="1" t="b">
        <f ca="1">OR(Journal[[#This Row],[ref1]]="",ISNUMBER(MATCH(Journal[[#This Row],[ref1]],Operating[Abbr], 0)))</f>
        <v>0</v>
      </c>
      <c r="O191" s="1"/>
      <c r="P191" s="1" t="str">
        <f>Journal[[#This Row],[Accnt Type]]&amp;"Used"</f>
        <v>ExpenseUsed</v>
      </c>
    </row>
    <row r="192" spans="3:16" x14ac:dyDescent="0.3">
      <c r="C192" s="37">
        <v>18</v>
      </c>
      <c r="D192" s="166" t="s">
        <v>76</v>
      </c>
      <c r="E192" s="167"/>
      <c r="F192" s="167" t="s">
        <v>78</v>
      </c>
      <c r="G192" s="168"/>
      <c r="H192" s="169">
        <v>0.15</v>
      </c>
      <c r="I192" s="322"/>
      <c r="J192" s="318">
        <f>IF(Journal[[#This Row],[Transaction '#]]="","",IF(Journal[[#This Row],[Transaction '#]]=C191,J191+1,1))</f>
        <v>7</v>
      </c>
      <c r="K192" s="319" cm="1">
        <f t="array" ref="K192">IFERROR(_xlfn.IFS(Journal[[#This Row],[Debit Account]]="Cash",Journal[[#This Row],[Dr Amt]],Journal[[#This Row],[Credit Account]]="Cash",-Journal[[#This Row],[Cr Amt]]),0)</f>
        <v>0</v>
      </c>
      <c r="L192" s="294" t="str" cm="1">
        <f t="array" aca="1" ref="L192" ca="1">IF(Journal[[#This Row],[Transaction '#]]&lt;&gt;"",IFERROR(INDEX(ProblemData!$E$240:$AM$240,1,Journal[[#This Row],[Transaction '#]]),""),"")</f>
        <v>CL</v>
      </c>
      <c r="M192" s="320" t="str">
        <f ca="1">IF(Journal[[#This Row],[ref1]]="","",IF(NOT(ISBLANK(Journal[[#This Row],[Transaction '#]])),Journal[[#This Row],[ref1]]&amp;Journal[[#This Row],[Movement '#]],""))</f>
        <v>CL7</v>
      </c>
      <c r="N192" s="1" t="b">
        <f ca="1">OR(Journal[[#This Row],[ref1]]="",ISNUMBER(MATCH(Journal[[#This Row],[ref1]],Operating[Abbr], 0)))</f>
        <v>0</v>
      </c>
      <c r="O192" s="1"/>
      <c r="P192" s="1" t="str">
        <f>Journal[[#This Row],[Accnt Type]]&amp;"Used"</f>
        <v>ExpenseUsed</v>
      </c>
    </row>
    <row r="193" spans="3:16" x14ac:dyDescent="0.3">
      <c r="C193" s="37">
        <v>18</v>
      </c>
      <c r="D193" s="166" t="s">
        <v>76</v>
      </c>
      <c r="E193" s="167"/>
      <c r="F193" s="167" t="s">
        <v>79</v>
      </c>
      <c r="G193" s="168"/>
      <c r="H193" s="169">
        <v>7</v>
      </c>
      <c r="I193" s="322"/>
      <c r="J193" s="318">
        <f>IF(Journal[[#This Row],[Transaction '#]]="","",IF(Journal[[#This Row],[Transaction '#]]=C192,J192+1,1))</f>
        <v>8</v>
      </c>
      <c r="K193" s="319" cm="1">
        <f t="array" ref="K193">IFERROR(_xlfn.IFS(Journal[[#This Row],[Debit Account]]="Cash",Journal[[#This Row],[Dr Amt]],Journal[[#This Row],[Credit Account]]="Cash",-Journal[[#This Row],[Cr Amt]]),0)</f>
        <v>0</v>
      </c>
      <c r="L193" s="294" t="str" cm="1">
        <f t="array" aca="1" ref="L193" ca="1">IF(Journal[[#This Row],[Transaction '#]]&lt;&gt;"",IFERROR(INDEX(ProblemData!$E$240:$AM$240,1,Journal[[#This Row],[Transaction '#]]),""),"")</f>
        <v>CL</v>
      </c>
      <c r="M193" s="320" t="str">
        <f ca="1">IF(Journal[[#This Row],[ref1]]="","",IF(NOT(ISBLANK(Journal[[#This Row],[Transaction '#]])),Journal[[#This Row],[ref1]]&amp;Journal[[#This Row],[Movement '#]],""))</f>
        <v>CL8</v>
      </c>
      <c r="N193" s="1" t="b">
        <f ca="1">OR(Journal[[#This Row],[ref1]]="",ISNUMBER(MATCH(Journal[[#This Row],[ref1]],Operating[Abbr], 0)))</f>
        <v>0</v>
      </c>
      <c r="O193" s="1"/>
      <c r="P193" s="1" t="str">
        <f>Journal[[#This Row],[Accnt Type]]&amp;"Used"</f>
        <v>ExpenseUsed</v>
      </c>
    </row>
    <row r="194" spans="3:16" x14ac:dyDescent="0.3">
      <c r="C194" s="37">
        <v>18</v>
      </c>
      <c r="D194" s="166"/>
      <c r="E194" s="167"/>
      <c r="F194" s="167"/>
      <c r="G194" s="168"/>
      <c r="H194" s="169"/>
      <c r="I194" s="322"/>
      <c r="J194" s="318">
        <f>IF(Journal[[#This Row],[Transaction '#]]="","",IF(Journal[[#This Row],[Transaction '#]]=C193,J193+1,1))</f>
        <v>9</v>
      </c>
      <c r="K194" s="319" cm="1">
        <f t="array" ref="K194">IFERROR(_xlfn.IFS(Journal[[#This Row],[Debit Account]]="Cash",Journal[[#This Row],[Dr Amt]],Journal[[#This Row],[Credit Account]]="Cash",-Journal[[#This Row],[Cr Amt]]),0)</f>
        <v>0</v>
      </c>
      <c r="L194" s="294" t="str" cm="1">
        <f t="array" aca="1" ref="L194" ca="1">IF(Journal[[#This Row],[Transaction '#]]&lt;&gt;"",IFERROR(INDEX(ProblemData!$E$240:$AM$240,1,Journal[[#This Row],[Transaction '#]]),""),"")</f>
        <v>CL</v>
      </c>
      <c r="M194" s="320" t="str">
        <f ca="1">IF(Journal[[#This Row],[ref1]]="","",IF(NOT(ISBLANK(Journal[[#This Row],[Transaction '#]])),Journal[[#This Row],[ref1]]&amp;Journal[[#This Row],[Movement '#]],""))</f>
        <v>CL9</v>
      </c>
      <c r="N194" s="1" t="b">
        <f ca="1">OR(Journal[[#This Row],[ref1]]="",ISNUMBER(MATCH(Journal[[#This Row],[ref1]],Operating[Abbr], 0)))</f>
        <v>0</v>
      </c>
      <c r="O194" s="1"/>
      <c r="P194" s="1" t="str">
        <f>Journal[[#This Row],[Accnt Type]]&amp;"Used"</f>
        <v>Used</v>
      </c>
    </row>
    <row r="196" spans="3:16" collapsed="1" x14ac:dyDescent="0.3"/>
  </sheetData>
  <mergeCells count="2">
    <mergeCell ref="C3:I3"/>
    <mergeCell ref="C4:I7"/>
  </mergeCells>
  <phoneticPr fontId="4" type="noConversion"/>
  <conditionalFormatting sqref="C9:H194">
    <cfRule type="expression" dxfId="439" priority="1">
      <formula>AND($C9&gt;0,ISODD($C9))</formula>
    </cfRule>
    <cfRule type="expression" dxfId="438" priority="2">
      <formula>AND($C9&gt;0,ISEVEN($C9))</formula>
    </cfRule>
  </conditionalFormatting>
  <conditionalFormatting sqref="H2:I2">
    <cfRule type="expression" dxfId="437" priority="13">
      <formula>ROUND($I$2,2)&lt;&gt;0</formula>
    </cfRule>
  </conditionalFormatting>
  <conditionalFormatting sqref="I9:I194">
    <cfRule type="expression" dxfId="436" priority="3">
      <formula>OR($E9="Cash",$F9="Cash")</formula>
    </cfRule>
  </conditionalFormatting>
  <conditionalFormatting sqref="J3:L3">
    <cfRule type="expression" dxfId="435" priority="15">
      <formula>LEN(Line1)&gt;125</formula>
    </cfRule>
  </conditionalFormatting>
  <conditionalFormatting sqref="J4:L4">
    <cfRule type="expression" dxfId="434" priority="16">
      <formula>LEN(Line2)&gt;125</formula>
    </cfRule>
  </conditionalFormatting>
  <conditionalFormatting sqref="J5:L5">
    <cfRule type="expression" dxfId="433" priority="17">
      <formula>LEN(Line3)&gt;125</formula>
    </cfRule>
  </conditionalFormatting>
  <conditionalFormatting sqref="J6:L6">
    <cfRule type="expression" dxfId="432" priority="18">
      <formula>LEN(Line4)&gt;125</formula>
    </cfRule>
  </conditionalFormatting>
  <conditionalFormatting sqref="J7:L7">
    <cfRule type="expression" dxfId="431"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8"/>
  <sheetViews>
    <sheetView tabSelected="1" topLeftCell="R5" zoomScale="133" zoomScaleNormal="100" workbookViewId="0">
      <selection activeCell="X21" sqref="X21"/>
    </sheetView>
  </sheetViews>
  <sheetFormatPr defaultRowHeight="14.4" outlineLevelCol="1" x14ac:dyDescent="0.3"/>
  <cols>
    <col min="1" max="1" width="4.21875" customWidth="1"/>
    <col min="2" max="2" width="4.109375" customWidth="1"/>
    <col min="3" max="3" width="51.88671875" customWidth="1"/>
    <col min="4" max="4" width="29.21875" customWidth="1"/>
    <col min="5" max="5" width="25.77734375" customWidth="1"/>
    <col min="6" max="7" width="15.88671875" customWidth="1"/>
    <col min="8" max="9" width="2.77734375" customWidth="1"/>
    <col min="10" max="10" width="43.21875" customWidth="1"/>
    <col min="11" max="11" width="11.21875" customWidth="1"/>
    <col min="12" max="12" width="2.77734375" style="192" customWidth="1"/>
    <col min="13" max="13" width="2.77734375" style="192" customWidth="1" outlineLevel="1"/>
    <col min="14" max="14" width="44.44140625" customWidth="1" outlineLevel="1"/>
    <col min="15" max="15" width="10.88671875" customWidth="1" outlineLevel="1"/>
    <col min="16" max="17" width="2.77734375" customWidth="1" outlineLevel="1"/>
    <col min="18" max="18" width="40.21875" customWidth="1" outlineLevel="1"/>
    <col min="19" max="19" width="14.21875" customWidth="1" outlineLevel="1"/>
    <col min="20" max="20" width="2.77734375" customWidth="1" outlineLevel="1"/>
    <col min="21" max="21" width="43.21875" customWidth="1" outlineLevel="1"/>
    <col min="22" max="22" width="13.44140625" customWidth="1" outlineLevel="1"/>
    <col min="23" max="23" width="2.77734375" customWidth="1" outlineLevel="1"/>
    <col min="24" max="24" width="2.77734375" customWidth="1"/>
    <col min="25" max="25" width="45.44140625" customWidth="1"/>
    <col min="26" max="26" width="14.109375" customWidth="1"/>
    <col min="27" max="27" width="8.88671875" hidden="1" customWidth="1"/>
    <col min="28" max="28" width="3.109375" hidden="1" customWidth="1"/>
    <col min="29" max="29" width="45.44140625" hidden="1" customWidth="1"/>
    <col min="30" max="30" width="10.21875" hidden="1" customWidth="1"/>
    <col min="31" max="31" width="8.88671875" hidden="1" customWidth="1"/>
    <col min="32" max="32" width="44.88671875" hidden="1" customWidth="1"/>
    <col min="33" max="43" width="8.88671875" hidden="1" customWidth="1"/>
    <col min="44" max="44" width="25.77734375" hidden="1" customWidth="1"/>
    <col min="45" max="45" width="10.109375" hidden="1" customWidth="1"/>
    <col min="46" max="49" width="8.88671875" hidden="1" customWidth="1"/>
    <col min="50" max="50" width="18.5546875" hidden="1" customWidth="1"/>
    <col min="51" max="52" width="8.88671875" hidden="1" customWidth="1"/>
    <col min="53" max="53" width="9.88671875" hidden="1" customWidth="1"/>
    <col min="54" max="59" width="8.88671875" hidden="1" customWidth="1"/>
    <col min="60" max="78" width="8.88671875" customWidth="1"/>
  </cols>
  <sheetData>
    <row r="1" spans="3:42" ht="23.4" x14ac:dyDescent="0.45">
      <c r="C1" s="5" t="s">
        <v>87</v>
      </c>
      <c r="J1" s="363" t="str">
        <f>IF(D4&lt;&gt;"",D4,"")</f>
        <v>Ralphy's Business</v>
      </c>
      <c r="K1" s="450"/>
      <c r="L1" s="452"/>
      <c r="M1" s="452"/>
      <c r="N1" s="452"/>
      <c r="O1" s="452"/>
      <c r="P1" s="451">
        <f>IF(N1&lt;&gt;"",COUNTIFS($AK$183:$AK$200,N1),0)</f>
        <v>0</v>
      </c>
      <c r="Q1" s="451"/>
      <c r="R1" s="450"/>
      <c r="S1" s="450"/>
      <c r="T1" s="451"/>
      <c r="U1" s="450"/>
      <c r="V1" s="450"/>
      <c r="W1" s="452"/>
      <c r="X1" s="451"/>
      <c r="Y1" s="450"/>
      <c r="Z1" s="450"/>
    </row>
    <row r="2" spans="3:42" ht="15" thickBot="1" x14ac:dyDescent="0.35">
      <c r="C2" s="5"/>
      <c r="J2" s="362" t="str">
        <f>IF(D5&lt;&gt;"",D5,"")</f>
        <v>Dollars in Thousands</v>
      </c>
      <c r="K2" s="450"/>
      <c r="L2" s="452"/>
      <c r="M2" s="452"/>
      <c r="N2" s="452"/>
      <c r="O2" s="452"/>
      <c r="P2" s="451">
        <f>IF(N2&lt;&gt;"",COUNTIFS($AK$183:$AK$200,N2),0)</f>
        <v>0</v>
      </c>
      <c r="Q2" s="451"/>
      <c r="R2" s="450" t="s">
        <v>0</v>
      </c>
      <c r="S2" s="450"/>
      <c r="T2" s="451"/>
      <c r="U2" s="450"/>
      <c r="V2" s="450"/>
      <c r="W2" s="452"/>
      <c r="X2" s="451"/>
      <c r="Y2" s="450"/>
      <c r="Z2" s="450"/>
    </row>
    <row r="3" spans="3:42" ht="15" thickBot="1" x14ac:dyDescent="0.35">
      <c r="C3" s="503" t="s">
        <v>88</v>
      </c>
      <c r="D3" s="504" t="s">
        <v>89</v>
      </c>
      <c r="J3" s="39"/>
      <c r="K3" s="452"/>
      <c r="L3" s="452"/>
      <c r="M3" s="452"/>
      <c r="N3" t="s">
        <v>90</v>
      </c>
      <c r="O3" s="545" t="b">
        <v>0</v>
      </c>
      <c r="P3" s="451"/>
      <c r="Q3" s="451"/>
      <c r="R3" s="451"/>
      <c r="S3" s="451"/>
      <c r="T3" s="451"/>
      <c r="U3" s="451"/>
      <c r="V3" s="451"/>
      <c r="W3" s="451"/>
      <c r="X3" s="451"/>
      <c r="Y3" s="39"/>
      <c r="Z3" s="451"/>
    </row>
    <row r="4" spans="3:42" ht="18.600000000000001" thickBot="1" x14ac:dyDescent="0.4">
      <c r="C4" s="175" t="s">
        <v>2</v>
      </c>
      <c r="D4" s="471" t="str">
        <f>Entity</f>
        <v>Ralphy's Business</v>
      </c>
      <c r="J4" s="559" t="str">
        <f>IF(D6&lt;&gt;"",D6,"")</f>
        <v>3/31/20X4</v>
      </c>
      <c r="K4" s="560"/>
      <c r="M4" s="550"/>
      <c r="N4" s="700" t="str">
        <f>IF(D8&lt;&gt;"","Explanations of Changes over the "&amp;D8,"")</f>
        <v>Explanations of Changes over the Three Quarters</v>
      </c>
      <c r="O4" s="701"/>
      <c r="P4" s="701"/>
      <c r="Q4" s="701"/>
      <c r="R4" s="701"/>
      <c r="S4" s="701"/>
      <c r="T4" s="701"/>
      <c r="U4" s="701"/>
      <c r="V4" s="701"/>
      <c r="W4" s="550"/>
      <c r="Y4" s="559" t="str">
        <f>IF(D7&lt;&gt;"",D7,"")</f>
        <v>12/31/20x4</v>
      </c>
      <c r="Z4" s="560"/>
    </row>
    <row r="5" spans="3:42" ht="15" thickBot="1" x14ac:dyDescent="0.35">
      <c r="C5" s="96" t="s">
        <v>91</v>
      </c>
      <c r="D5" s="472" t="str">
        <f>Units</f>
        <v>Dollars in Thousands</v>
      </c>
      <c r="J5" s="561"/>
      <c r="K5" s="562"/>
      <c r="M5" s="550"/>
      <c r="N5" s="551"/>
      <c r="O5" s="552"/>
      <c r="P5" s="553"/>
      <c r="Q5" s="553"/>
      <c r="R5" s="552"/>
      <c r="S5" s="552"/>
      <c r="T5" s="553"/>
      <c r="U5" s="552"/>
      <c r="V5" s="552"/>
      <c r="W5" s="550"/>
      <c r="X5" s="39"/>
      <c r="Y5" s="562"/>
      <c r="Z5" s="562"/>
    </row>
    <row r="6" spans="3:42" ht="18.600000000000001" thickBot="1" x14ac:dyDescent="0.4">
      <c r="C6" s="96" t="s">
        <v>92</v>
      </c>
      <c r="D6" s="472" t="str">
        <f>BegDate</f>
        <v>3/31/20X4</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5" thickBot="1" x14ac:dyDescent="0.35">
      <c r="C7" s="96" t="s">
        <v>93</v>
      </c>
      <c r="D7" s="472" t="str">
        <f>EndDate</f>
        <v>12/31/20x4</v>
      </c>
      <c r="H7" s="39"/>
      <c r="I7" s="39" cm="1">
        <f t="array" ref="I7:K46">_xlfn.VSTACK(_xlfn.ANCHORARRAY(B609),{"","",""},_xlfn.ANCHORARRAY(B689),{"","",""},_xlfn.ANCHORARRAY(B744))</f>
        <v>2</v>
      </c>
      <c r="J7" s="63" t="str">
        <v>Assets</v>
      </c>
      <c r="K7" s="63" t="str">
        <v/>
      </c>
      <c r="L7" s="39"/>
      <c r="M7" s="553" cm="1">
        <f t="array" aca="1" ref="M7:O32" ca="1">_xlfn.VSTACK(_xlfn.IFS(L564,_xlfn.ANCHORARRAY(I719),L565,_xlfn.ANCHORARRAY(I764),L566,_xlfn.ANCHORARRAY(I799),L567,_xlfn.ANCHORARRAY(I839),L568,{"","",""}),{"","",""},{"","",""},{"","",""},{"","",""},_xlfn.ANCHORARRAY(M557),{"","",""},_xlfn.ANCHORARRAY(M558),_xlfn.ANCHORARRAY(M559),_xlfn.ANCHORARRAY(M560),_xlfn.ANCHORARRAY(M562))</f>
        <v>2</v>
      </c>
      <c r="N7" s="558" t="str">
        <f ca="1"/>
        <v>Revenues</v>
      </c>
      <c r="O7" s="558" t="str">
        <f ca="1"/>
        <v/>
      </c>
      <c r="P7" s="558"/>
      <c r="Q7" s="553" cm="1">
        <f t="array" aca="1" ref="Q7:S18" ca="1">_xlfn.IFS(S566=1,_xlfn.ANCHORARRAY(Q653),S566=2,_xlfn.ANCHORARRAY(Q688),S566=3,_xlfn.ANCHORARRAY(Q728),S566=4,_xlfn.ANCHORARRAY(Q778))</f>
        <v>2</v>
      </c>
      <c r="R7" s="558" t="str">
        <f ca="1"/>
        <v>Total Shareholders' Equity @ 3/31/20X4</v>
      </c>
      <c r="S7" s="558">
        <f ca="1"/>
        <v>0</v>
      </c>
      <c r="T7" s="553" cm="1">
        <f t="array" aca="1" ref="T7:V56" ca="1">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f ca="1"/>
        <v>Cash @ 3/31/20X4</v>
      </c>
      <c r="V7" s="558">
        <f ca="1"/>
        <v>0</v>
      </c>
      <c r="W7" s="558"/>
      <c r="X7" s="39" cm="1">
        <f t="array" ref="X7:Z46">_xlfn.VSTACK(_xlfn.ANCHORARRAY(AB609),{"","",""},_xlfn.ANCHORARRAY(AB689),{"","",""},_xlfn.ANCHORARRAY(AB744))</f>
        <v>2</v>
      </c>
      <c r="Y7" s="63" t="str">
        <v>Assets</v>
      </c>
      <c r="Z7" s="63" t="str">
        <v/>
      </c>
      <c r="AC7" s="547" t="s">
        <v>94</v>
      </c>
      <c r="AD7" s="548"/>
      <c r="AE7" s="549"/>
      <c r="AF7" s="547" t="s">
        <v>95</v>
      </c>
      <c r="AG7" s="548"/>
      <c r="AH7" s="549"/>
      <c r="AJ7" s="547" t="s">
        <v>96</v>
      </c>
      <c r="AK7" s="548"/>
      <c r="AL7" s="549"/>
      <c r="AN7" s="547" t="s">
        <v>97</v>
      </c>
      <c r="AO7" s="548"/>
      <c r="AP7" s="549"/>
    </row>
    <row r="8" spans="3:42" ht="15" thickBot="1" x14ac:dyDescent="0.35">
      <c r="C8" s="96" t="s">
        <v>98</v>
      </c>
      <c r="D8" s="472" t="str">
        <f>Period</f>
        <v>Three Quarters</v>
      </c>
      <c r="H8" s="39"/>
      <c r="I8" s="39" t="str">
        <v/>
      </c>
      <c r="J8" s="63" t="str">
        <v/>
      </c>
      <c r="K8" s="63" t="str">
        <v/>
      </c>
      <c r="L8" s="39"/>
      <c r="M8" s="553" t="str">
        <f ca="1"/>
        <v/>
      </c>
      <c r="N8" s="558" t="str">
        <f ca="1"/>
        <v/>
      </c>
      <c r="O8" s="558" t="str">
        <f ca="1"/>
        <v/>
      </c>
      <c r="P8" s="558"/>
      <c r="Q8" s="553" t="str">
        <f ca="1"/>
        <v/>
      </c>
      <c r="R8" s="558" t="str">
        <f ca="1"/>
        <v/>
      </c>
      <c r="S8" s="558" t="str">
        <f ca="1"/>
        <v/>
      </c>
      <c r="T8" s="553" t="str">
        <f ca="1"/>
        <v/>
      </c>
      <c r="U8" s="558" t="str">
        <f ca="1"/>
        <v/>
      </c>
      <c r="V8" s="558" t="str">
        <f ca="1"/>
        <v/>
      </c>
      <c r="W8" s="558"/>
      <c r="X8" s="39" t="str">
        <v/>
      </c>
      <c r="Y8" s="63" t="str">
        <v/>
      </c>
      <c r="Z8" s="63" t="str">
        <v/>
      </c>
      <c r="AC8" s="465" t="s">
        <v>99</v>
      </c>
      <c r="AD8" s="546" t="s">
        <v>100</v>
      </c>
      <c r="AE8" s="405" t="s">
        <v>101</v>
      </c>
      <c r="AF8" s="465" t="s">
        <v>99</v>
      </c>
      <c r="AG8" s="546" t="s">
        <v>102</v>
      </c>
      <c r="AH8" s="405" t="s">
        <v>101</v>
      </c>
      <c r="AJ8" s="465" t="s">
        <v>103</v>
      </c>
      <c r="AK8" s="546" t="s">
        <v>104</v>
      </c>
      <c r="AL8" s="405" t="s">
        <v>105</v>
      </c>
      <c r="AN8" s="465" t="s">
        <v>103</v>
      </c>
      <c r="AO8" s="546" t="s">
        <v>104</v>
      </c>
      <c r="AP8" s="405" t="s">
        <v>105</v>
      </c>
    </row>
    <row r="9" spans="3:42" x14ac:dyDescent="0.3">
      <c r="C9" s="96" t="s">
        <v>94</v>
      </c>
      <c r="D9" s="97" t="str">
        <f>"for the "&amp;D8&amp;" ended "&amp;D7</f>
        <v>for the Three Quarters ended 12/31/20x4</v>
      </c>
      <c r="H9" s="39"/>
      <c r="I9" s="39">
        <v>4</v>
      </c>
      <c r="J9" s="63" t="str">
        <v xml:space="preserve"> Current Assets:</v>
      </c>
      <c r="K9" s="63" t="str">
        <v/>
      </c>
      <c r="L9" s="39"/>
      <c r="M9" s="553">
        <f ca="1"/>
        <v>6</v>
      </c>
      <c r="N9" s="558" t="str">
        <f ca="1"/>
        <v>Sales</v>
      </c>
      <c r="O9" s="558">
        <f ca="1"/>
        <v>40</v>
      </c>
      <c r="P9" s="558"/>
      <c r="Q9" s="553">
        <f ca="1"/>
        <v>3</v>
      </c>
      <c r="R9" s="558" t="str">
        <f ca="1"/>
        <v>Common Stock</v>
      </c>
      <c r="S9" s="558" t="str">
        <f ca="1"/>
        <v/>
      </c>
      <c r="T9" s="553">
        <f ca="1"/>
        <v>3</v>
      </c>
      <c r="U9" s="558" t="str">
        <f ca="1"/>
        <v>Operating Activities</v>
      </c>
      <c r="V9" s="558" t="str">
        <f ca="1"/>
        <v/>
      </c>
      <c r="W9" s="558"/>
      <c r="X9" s="39">
        <v>4</v>
      </c>
      <c r="Y9" s="63" t="str">
        <v xml:space="preserve"> Current Assets:</v>
      </c>
      <c r="Z9" s="63" t="str">
        <v/>
      </c>
      <c r="AC9" s="355" t="b">
        <f ca="1">ISNUMBER(MATCH(N9&amp;O9,FSData!$V$7:$V$95,0))</f>
        <v>0</v>
      </c>
      <c r="AD9" s="355" t="b">
        <f ca="1">OR(ISNUMBER(SEARCH("Total",N9,1)),ISNUMBER(SEARCH("Net Income",N9,1)))</f>
        <v>0</v>
      </c>
      <c r="AE9" s="174" t="b">
        <f ca="1">AND(NOT(AC9),NOT(AD9))</f>
        <v>1</v>
      </c>
      <c r="AF9" s="355" t="b">
        <f ca="1">ISNUMBER(MATCH(R9&amp;S9,FSData!$X$7:$X$95,0))</f>
        <v>1</v>
      </c>
      <c r="AG9" s="355" t="b">
        <f ca="1">OR(ISNUMBER(SEARCH("Total",R9,1)),ISNUMBER(SEARCH("Balance",R9,1)))</f>
        <v>0</v>
      </c>
      <c r="AH9" s="174" t="b">
        <f ca="1">AND(NOT(AF9),NOT(AG9))</f>
        <v>0</v>
      </c>
      <c r="AJ9" s="355" t="b">
        <f ca="1">ISNUMBER(MATCH(U9&amp;V9,FSData!$Z$7:$Z$95,0))</f>
        <v>1</v>
      </c>
      <c r="AK9" s="355" t="b">
        <f ca="1">OR(ISNUMBER(SEARCH("Total",U9,1)),ISNUMBER(SEARCH("Increase (decrease)",U9,1)),ISNUMBER(SEARCH("Operating Activities",U9,1)),ISNUMBER(SEARCH("Investing Activities",U9,1)),ISNUMBER(SEARCH("Financing Activities",U9,1)),ISNUMBER(SEARCH("Cash @",U9,1)),ISNUMBER(SEARCH("Net Income",U9,1)),ISNUMBER(SEARCH("Cash Flow from Operations",U9,1)))</f>
        <v>1</v>
      </c>
      <c r="AL9" s="174" t="b">
        <f ca="1">AND(NOT(AJ9),NOT(AK9))</f>
        <v>0</v>
      </c>
      <c r="AN9" s="355" t="b">
        <f>ISNUMBER(MATCH(Y9&amp;Z9,FSData!$AB$7:$AB$95,0))</f>
        <v>1</v>
      </c>
      <c r="AO9" s="355" t="b">
        <f>OR(ISNUMBER(SEARCH("Total",Y9,1)))</f>
        <v>0</v>
      </c>
      <c r="AP9" s="174" t="b">
        <f>AND(NOT(AN9),NOT(AO9))</f>
        <v>0</v>
      </c>
    </row>
    <row r="10" spans="3:42" x14ac:dyDescent="0.3">
      <c r="C10" s="96" t="s">
        <v>95</v>
      </c>
      <c r="D10" s="97" t="str">
        <f>"for the "&amp;D8&amp;" ended "&amp;D7</f>
        <v>for the Three Quarters ended 12/31/20x4</v>
      </c>
      <c r="H10" s="39"/>
      <c r="I10" s="39">
        <v>6</v>
      </c>
      <c r="J10" s="63" t="str">
        <v>Cash</v>
      </c>
      <c r="K10" s="63">
        <v>0</v>
      </c>
      <c r="L10" s="39"/>
      <c r="M10" s="553">
        <f ca="1"/>
        <v>5</v>
      </c>
      <c r="N10" s="558" t="str">
        <f ca="1"/>
        <v xml:space="preserve">  Total Revenues</v>
      </c>
      <c r="O10" s="558">
        <f ca="1"/>
        <v>40</v>
      </c>
      <c r="P10" s="558"/>
      <c r="Q10" s="553">
        <f ca="1"/>
        <v>5</v>
      </c>
      <c r="R10" s="558" t="str">
        <f ca="1"/>
        <v>Balance @ 3/31/20X4</v>
      </c>
      <c r="S10" s="558">
        <f ca="1"/>
        <v>0</v>
      </c>
      <c r="T10" s="553" t="str">
        <f ca="1"/>
        <v/>
      </c>
      <c r="U10" s="558" t="str">
        <f ca="1"/>
        <v/>
      </c>
      <c r="V10" s="558" t="str">
        <f ca="1"/>
        <v/>
      </c>
      <c r="W10" s="558"/>
      <c r="X10" s="39">
        <v>6</v>
      </c>
      <c r="Y10" s="63" t="str">
        <v>Cash</v>
      </c>
      <c r="Z10" s="63">
        <v>40.050000000000011</v>
      </c>
      <c r="AC10" s="162" t="b">
        <f ca="1">ISNUMBER(MATCH(N10&amp;O10,FSData!$V$7:$V$95,0))</f>
        <v>0</v>
      </c>
      <c r="AD10" s="162" t="b">
        <f t="shared" ref="AD10:AD73" ca="1" si="0">OR(ISNUMBER(SEARCH("Total",N10,1)),ISNUMBER(SEARCH("Net Income",N10,1)))</f>
        <v>1</v>
      </c>
      <c r="AE10" s="97" t="b">
        <f t="shared" ref="AE10:AE73" ca="1" si="1">AND(NOT(AC10),NOT(AD10))</f>
        <v>0</v>
      </c>
      <c r="AF10" s="162" t="b">
        <f ca="1">ISNUMBER(MATCH(R10&amp;S10,FSData!$X$7:$X$95,0))</f>
        <v>0</v>
      </c>
      <c r="AG10" s="162" t="b">
        <f t="shared" ref="AG10:AG73" ca="1" si="2">OR(ISNUMBER(SEARCH("Total",R10,1)),ISNUMBER(SEARCH("Balance",R10,1)))</f>
        <v>1</v>
      </c>
      <c r="AH10" s="97" t="b">
        <f t="shared" ref="AH10:AH73" ca="1" si="3">AND(NOT(AF10),NOT(AG10))</f>
        <v>0</v>
      </c>
      <c r="AJ10" s="162" t="b">
        <f ca="1">ISNUMBER(MATCH(U10&amp;V10,FSData!$Z$7:$Z$95,0))</f>
        <v>1</v>
      </c>
      <c r="AK10" s="162" t="b">
        <f t="shared" ref="AK10:AK73" ca="1"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ca="1" si="5">AND(NOT(AJ10),NOT(AK10))</f>
        <v>0</v>
      </c>
      <c r="AN10" s="162" t="b">
        <f>ISNUMBER(MATCH(Y10&amp;Z10,FSData!$AB$7:$AB$95,0))</f>
        <v>0</v>
      </c>
      <c r="AO10" s="162" t="b">
        <f t="shared" ref="AO10:AO73" si="6">OR(ISNUMBER(SEARCH("Total",Y10,1)))</f>
        <v>0</v>
      </c>
      <c r="AP10" s="97" t="b">
        <f t="shared" ref="AP10:AP73" si="7">AND(NOT(AN10),NOT(AO10))</f>
        <v>1</v>
      </c>
    </row>
    <row r="11" spans="3:42" ht="15" thickBot="1" x14ac:dyDescent="0.35">
      <c r="C11" s="98" t="s">
        <v>96</v>
      </c>
      <c r="D11" s="99" t="str">
        <f>"for the "&amp;D8&amp;" ended "&amp;D7</f>
        <v>for the Three Quarters ended 12/31/20x4</v>
      </c>
      <c r="H11" s="39"/>
      <c r="I11" s="39">
        <v>7</v>
      </c>
      <c r="J11" s="63" t="str">
        <v>Accounts Receivable</v>
      </c>
      <c r="K11" s="63">
        <v>0</v>
      </c>
      <c r="L11" s="39"/>
      <c r="M11" s="553" t="str">
        <f ca="1"/>
        <v/>
      </c>
      <c r="N11" s="558" t="str">
        <f ca="1"/>
        <v/>
      </c>
      <c r="O11" s="558" t="str">
        <f ca="1"/>
        <v/>
      </c>
      <c r="P11" s="558"/>
      <c r="Q11" s="553">
        <f ca="1"/>
        <v>7</v>
      </c>
      <c r="R11" s="558" t="str">
        <f ca="1"/>
        <v>Issued common stock</v>
      </c>
      <c r="S11" s="558">
        <f ca="1"/>
        <v>100</v>
      </c>
      <c r="T11" s="553">
        <f ca="1"/>
        <v>6</v>
      </c>
      <c r="U11" s="558" t="str">
        <f ca="1"/>
        <v>Collections from customers</v>
      </c>
      <c r="V11" s="558">
        <f ca="1"/>
        <v>30.05</v>
      </c>
      <c r="W11" s="558"/>
      <c r="X11" s="39">
        <v>7</v>
      </c>
      <c r="Y11" s="63" t="str">
        <v>Accounts Receivable</v>
      </c>
      <c r="Z11" s="63">
        <v>9.8000000000000007</v>
      </c>
      <c r="AC11" s="162" t="b">
        <f ca="1">ISNUMBER(MATCH(N11&amp;O11,FSData!$V$7:$V$95,0))</f>
        <v>1</v>
      </c>
      <c r="AD11" s="162" t="b">
        <f t="shared" ca="1" si="0"/>
        <v>0</v>
      </c>
      <c r="AE11" s="97" t="b">
        <f t="shared" ca="1" si="1"/>
        <v>0</v>
      </c>
      <c r="AF11" s="162" t="b">
        <f ca="1">ISNUMBER(MATCH(R11&amp;S11,FSData!$X$7:$X$95,0))</f>
        <v>0</v>
      </c>
      <c r="AG11" s="162" t="b">
        <f t="shared" ca="1" si="2"/>
        <v>0</v>
      </c>
      <c r="AH11" s="97" t="b">
        <f t="shared" ca="1" si="3"/>
        <v>1</v>
      </c>
      <c r="AJ11" s="162" t="b">
        <f ca="1">ISNUMBER(MATCH(U11&amp;V11,FSData!$Z$7:$Z$95,0))</f>
        <v>0</v>
      </c>
      <c r="AK11" s="162" t="b">
        <f t="shared" ca="1" si="4"/>
        <v>0</v>
      </c>
      <c r="AL11" s="97" t="b">
        <f t="shared" ca="1" si="5"/>
        <v>1</v>
      </c>
      <c r="AN11" s="162" t="b">
        <f>ISNUMBER(MATCH(Y11&amp;Z11,FSData!$AB$7:$AB$95,0))</f>
        <v>0</v>
      </c>
      <c r="AO11" s="162" t="b">
        <f t="shared" si="6"/>
        <v>0</v>
      </c>
      <c r="AP11" s="97" t="b">
        <f t="shared" si="7"/>
        <v>1</v>
      </c>
    </row>
    <row r="12" spans="3:42" ht="15" thickBot="1" x14ac:dyDescent="0.35">
      <c r="H12" s="39"/>
      <c r="I12" s="39">
        <v>7</v>
      </c>
      <c r="J12" s="63" t="str">
        <v>Marketable Securities</v>
      </c>
      <c r="K12" s="63">
        <v>0</v>
      </c>
      <c r="L12" s="39"/>
      <c r="M12" s="553">
        <f ca="1"/>
        <v>2</v>
      </c>
      <c r="N12" s="558" t="str">
        <f ca="1"/>
        <v>Expenses</v>
      </c>
      <c r="O12" s="558" t="str">
        <f ca="1"/>
        <v/>
      </c>
      <c r="P12" s="558"/>
      <c r="Q12" s="553">
        <f ca="1"/>
        <v>5</v>
      </c>
      <c r="R12" s="558" t="str">
        <f ca="1"/>
        <v>Balance @ 12/31/20x4</v>
      </c>
      <c r="S12" s="558">
        <f ca="1"/>
        <v>100</v>
      </c>
      <c r="T12" s="553">
        <f ca="1"/>
        <v>7</v>
      </c>
      <c r="U12" s="558" t="str">
        <f ca="1"/>
        <v>Payments to suppliers</v>
      </c>
      <c r="V12" s="558">
        <f ca="1"/>
        <v>-15</v>
      </c>
      <c r="W12" s="558"/>
      <c r="X12" s="39">
        <v>7</v>
      </c>
      <c r="Y12" s="63" t="str">
        <v>Marketable Securities</v>
      </c>
      <c r="Z12" s="63">
        <v>25</v>
      </c>
      <c r="AC12" s="162" t="b">
        <f ca="1">ISNUMBER(MATCH(N12&amp;O12,FSData!$V$7:$V$95,0))</f>
        <v>1</v>
      </c>
      <c r="AD12" s="162" t="b">
        <f t="shared" ca="1" si="0"/>
        <v>0</v>
      </c>
      <c r="AE12" s="97" t="b">
        <f t="shared" ca="1" si="1"/>
        <v>0</v>
      </c>
      <c r="AF12" s="162" t="b">
        <f ca="1">ISNUMBER(MATCH(R12&amp;S12,FSData!$X$7:$X$95,0))</f>
        <v>0</v>
      </c>
      <c r="AG12" s="162" t="b">
        <f t="shared" ca="1" si="2"/>
        <v>1</v>
      </c>
      <c r="AH12" s="97" t="b">
        <f t="shared" ca="1" si="3"/>
        <v>0</v>
      </c>
      <c r="AJ12" s="162" t="b">
        <f ca="1">ISNUMBER(MATCH(U12&amp;V12,FSData!$Z$7:$Z$95,0))</f>
        <v>0</v>
      </c>
      <c r="AK12" s="162" t="b">
        <f t="shared" ca="1" si="4"/>
        <v>0</v>
      </c>
      <c r="AL12" s="97" t="b">
        <f t="shared" ca="1" si="5"/>
        <v>1</v>
      </c>
      <c r="AN12" s="162" t="b">
        <f>ISNUMBER(MATCH(Y12&amp;Z12,FSData!$AB$7:$AB$95,0))</f>
        <v>0</v>
      </c>
      <c r="AO12" s="162" t="b">
        <f t="shared" si="6"/>
        <v>0</v>
      </c>
      <c r="AP12" s="97" t="b">
        <f t="shared" si="7"/>
        <v>1</v>
      </c>
    </row>
    <row r="13" spans="3:42" ht="15" thickBot="1" x14ac:dyDescent="0.35">
      <c r="C13" s="503" t="s">
        <v>106</v>
      </c>
      <c r="D13" s="504" t="s">
        <v>107</v>
      </c>
      <c r="H13" s="39"/>
      <c r="I13" s="39">
        <v>7</v>
      </c>
      <c r="J13" s="63" t="str">
        <v>Inventories</v>
      </c>
      <c r="K13" s="63">
        <v>0</v>
      </c>
      <c r="L13" s="39"/>
      <c r="M13" s="553" t="str">
        <f ca="1"/>
        <v/>
      </c>
      <c r="N13" s="558" t="str">
        <f ca="1"/>
        <v/>
      </c>
      <c r="O13" s="558" t="str">
        <f ca="1"/>
        <v/>
      </c>
      <c r="P13" s="558"/>
      <c r="Q13" s="553">
        <f ca="1"/>
        <v>3</v>
      </c>
      <c r="R13" s="558" t="str">
        <f ca="1"/>
        <v>Retained Earnings</v>
      </c>
      <c r="S13" s="558" t="str">
        <f ca="1"/>
        <v/>
      </c>
      <c r="T13" s="553">
        <f ca="1"/>
        <v>7</v>
      </c>
      <c r="U13" s="558" t="str">
        <f ca="1"/>
        <v>Payments to employees</v>
      </c>
      <c r="V13" s="558">
        <f ca="1"/>
        <v>-6</v>
      </c>
      <c r="W13" s="558"/>
      <c r="X13" s="39">
        <v>7</v>
      </c>
      <c r="Y13" s="63" t="str">
        <v>Inventories</v>
      </c>
      <c r="Z13" s="63">
        <v>5</v>
      </c>
      <c r="AC13" s="162" t="b">
        <f ca="1">ISNUMBER(MATCH(N13&amp;O13,FSData!$V$7:$V$95,0))</f>
        <v>1</v>
      </c>
      <c r="AD13" s="162" t="b">
        <f t="shared" ca="1" si="0"/>
        <v>0</v>
      </c>
      <c r="AE13" s="97" t="b">
        <f t="shared" ca="1" si="1"/>
        <v>0</v>
      </c>
      <c r="AF13" s="162" t="b">
        <f ca="1">ISNUMBER(MATCH(R13&amp;S13,FSData!$X$7:$X$95,0))</f>
        <v>1</v>
      </c>
      <c r="AG13" s="162" t="b">
        <f t="shared" ca="1" si="2"/>
        <v>0</v>
      </c>
      <c r="AH13" s="97" t="b">
        <f t="shared" ca="1" si="3"/>
        <v>0</v>
      </c>
      <c r="AJ13" s="162" t="b">
        <f ca="1">ISNUMBER(MATCH(U13&amp;V13,FSData!$Z$7:$Z$95,0))</f>
        <v>0</v>
      </c>
      <c r="AK13" s="162" t="b">
        <f t="shared" ca="1" si="4"/>
        <v>0</v>
      </c>
      <c r="AL13" s="97" t="b">
        <f t="shared" ca="1" si="5"/>
        <v>1</v>
      </c>
      <c r="AN13" s="162" t="b">
        <f>ISNUMBER(MATCH(Y13&amp;Z13,FSData!$AB$7:$AB$95,0))</f>
        <v>0</v>
      </c>
      <c r="AO13" s="162" t="b">
        <f t="shared" si="6"/>
        <v>0</v>
      </c>
      <c r="AP13" s="97" t="b">
        <f t="shared" si="7"/>
        <v>1</v>
      </c>
    </row>
    <row r="14" spans="3:42" x14ac:dyDescent="0.3">
      <c r="C14" s="96" t="str" cm="1">
        <f t="array" ref="C14:C19">IFERROR(_xlfn._xlws.FILTER(ProblemData!D10:D17,ProblemData!E10:E17),"")</f>
        <v>Beginning Balance Sheet</v>
      </c>
      <c r="D14" s="512" t="b">
        <v>1</v>
      </c>
      <c r="H14" s="39"/>
      <c r="I14" s="39">
        <v>7</v>
      </c>
      <c r="J14" s="63" t="str">
        <v>Prepaid Rent</v>
      </c>
      <c r="K14" s="63">
        <v>0</v>
      </c>
      <c r="L14" s="39"/>
      <c r="M14" s="553">
        <f ca="1"/>
        <v>6</v>
      </c>
      <c r="N14" s="558" t="str">
        <f ca="1"/>
        <v>Cost of Goods Sold</v>
      </c>
      <c r="O14" s="558">
        <f ca="1"/>
        <v>25</v>
      </c>
      <c r="P14" s="558"/>
      <c r="Q14" s="553">
        <f ca="1"/>
        <v>5</v>
      </c>
      <c r="R14" s="558" t="str">
        <f ca="1"/>
        <v>Balance @ 3/31/20X4</v>
      </c>
      <c r="S14" s="558">
        <f ca="1"/>
        <v>0</v>
      </c>
      <c r="T14" s="553">
        <f ca="1"/>
        <v>7</v>
      </c>
      <c r="U14" s="558" t="str">
        <f ca="1"/>
        <v>Payments for prepaid expenses</v>
      </c>
      <c r="V14" s="558">
        <f ca="1"/>
        <v>-4</v>
      </c>
      <c r="W14" s="558"/>
      <c r="X14" s="39">
        <v>7</v>
      </c>
      <c r="Y14" s="63" t="str">
        <v>Prepaid Rent</v>
      </c>
      <c r="Z14" s="63">
        <v>1</v>
      </c>
      <c r="AC14" s="162" t="b">
        <f ca="1">ISNUMBER(MATCH(N14&amp;O14,FSData!$V$7:$V$95,0))</f>
        <v>0</v>
      </c>
      <c r="AD14" s="162" t="b">
        <f t="shared" ca="1" si="0"/>
        <v>0</v>
      </c>
      <c r="AE14" s="97" t="b">
        <f t="shared" ca="1" si="1"/>
        <v>1</v>
      </c>
      <c r="AF14" s="162" t="b">
        <f ca="1">ISNUMBER(MATCH(R14&amp;S14,FSData!$X$7:$X$95,0))</f>
        <v>0</v>
      </c>
      <c r="AG14" s="162" t="b">
        <f t="shared" ca="1" si="2"/>
        <v>1</v>
      </c>
      <c r="AH14" s="97" t="b">
        <f t="shared" ca="1" si="3"/>
        <v>0</v>
      </c>
      <c r="AJ14" s="162" t="b">
        <f ca="1">ISNUMBER(MATCH(U14&amp;V14,FSData!$Z$7:$Z$95,0))</f>
        <v>0</v>
      </c>
      <c r="AK14" s="162" t="b">
        <f t="shared" ca="1" si="4"/>
        <v>0</v>
      </c>
      <c r="AL14" s="97" t="b">
        <f t="shared" ca="1" si="5"/>
        <v>1</v>
      </c>
      <c r="AN14" s="162" t="b">
        <f>ISNUMBER(MATCH(Y14&amp;Z14,FSData!$AB$7:$AB$95,0))</f>
        <v>0</v>
      </c>
      <c r="AO14" s="162" t="b">
        <f t="shared" si="6"/>
        <v>0</v>
      </c>
      <c r="AP14" s="97" t="b">
        <f t="shared" si="7"/>
        <v>1</v>
      </c>
    </row>
    <row r="15" spans="3:42" x14ac:dyDescent="0.3">
      <c r="C15" s="510" t="str">
        <v>Income Statement</v>
      </c>
      <c r="D15" s="512" t="b">
        <v>1</v>
      </c>
      <c r="H15" s="39"/>
      <c r="I15" s="39">
        <v>5</v>
      </c>
      <c r="J15" s="63" t="str">
        <v xml:space="preserve">  Total Current Assets</v>
      </c>
      <c r="K15" s="63">
        <v>0</v>
      </c>
      <c r="L15" s="39"/>
      <c r="M15" s="553">
        <f ca="1"/>
        <v>7</v>
      </c>
      <c r="N15" s="558" t="str">
        <f ca="1"/>
        <v>Interest Expense</v>
      </c>
      <c r="O15" s="558">
        <f ca="1"/>
        <v>1.55</v>
      </c>
      <c r="P15" s="558"/>
      <c r="Q15" s="553">
        <f ca="1"/>
        <v>7</v>
      </c>
      <c r="R15" s="558" t="str">
        <f ca="1"/>
        <v>Net Income (Loss)</v>
      </c>
      <c r="S15" s="558">
        <f ca="1"/>
        <v>-4.2</v>
      </c>
      <c r="T15" s="553">
        <f ca="1"/>
        <v>5</v>
      </c>
      <c r="U15" s="558" t="str">
        <f ca="1"/>
        <v>Total Cash Flow from Operating Activities</v>
      </c>
      <c r="V15" s="558">
        <f ca="1"/>
        <v>5.05</v>
      </c>
      <c r="W15" s="558"/>
      <c r="X15" s="39">
        <v>5</v>
      </c>
      <c r="Y15" s="63" t="str">
        <v xml:space="preserve">  Total Current Assets</v>
      </c>
      <c r="Z15" s="63">
        <v>80.849999999999994</v>
      </c>
      <c r="AC15" s="162" t="b">
        <f ca="1">ISNUMBER(MATCH(N15&amp;O15,FSData!$V$7:$V$95,0))</f>
        <v>0</v>
      </c>
      <c r="AD15" s="162" t="b">
        <f t="shared" ca="1" si="0"/>
        <v>0</v>
      </c>
      <c r="AE15" s="97" t="b">
        <f t="shared" ca="1" si="1"/>
        <v>1</v>
      </c>
      <c r="AF15" s="162" t="b">
        <f ca="1">ISNUMBER(MATCH(R15&amp;S15,FSData!$X$7:$X$95,0))</f>
        <v>0</v>
      </c>
      <c r="AG15" s="162" t="b">
        <f t="shared" ca="1" si="2"/>
        <v>0</v>
      </c>
      <c r="AH15" s="97" t="b">
        <f t="shared" ca="1" si="3"/>
        <v>1</v>
      </c>
      <c r="AJ15" s="162" t="b">
        <f ca="1">ISNUMBER(MATCH(U15&amp;V15,FSData!$Z$7:$Z$95,0))</f>
        <v>0</v>
      </c>
      <c r="AK15" s="162" t="b">
        <f t="shared" ca="1" si="4"/>
        <v>1</v>
      </c>
      <c r="AL15" s="97" t="b">
        <f t="shared" ca="1" si="5"/>
        <v>0</v>
      </c>
      <c r="AN15" s="162" t="b">
        <f>ISNUMBER(MATCH(Y15&amp;Z15,FSData!$AB$7:$AB$95,0))</f>
        <v>0</v>
      </c>
      <c r="AO15" s="162" t="b">
        <f t="shared" si="6"/>
        <v>1</v>
      </c>
      <c r="AP15" s="97" t="b">
        <f t="shared" si="7"/>
        <v>0</v>
      </c>
    </row>
    <row r="16" spans="3:42" x14ac:dyDescent="0.3">
      <c r="C16" s="96" t="str">
        <v>Statement of Changes in Shareholders' Equity</v>
      </c>
      <c r="D16" s="512" t="b">
        <v>1</v>
      </c>
      <c r="H16" s="39"/>
      <c r="I16" s="39" t="str">
        <v/>
      </c>
      <c r="J16" s="63" t="str">
        <v/>
      </c>
      <c r="K16" s="63" t="str">
        <v/>
      </c>
      <c r="L16" s="39"/>
      <c r="M16" s="553">
        <f ca="1"/>
        <v>7</v>
      </c>
      <c r="N16" s="558" t="str">
        <f ca="1"/>
        <v>Depreciation Expense</v>
      </c>
      <c r="O16" s="558">
        <f ca="1"/>
        <v>7.5</v>
      </c>
      <c r="P16" s="558"/>
      <c r="Q16" s="553">
        <f ca="1"/>
        <v>5</v>
      </c>
      <c r="R16" s="558" t="str">
        <f ca="1"/>
        <v>Balance @ 12/31/20x4</v>
      </c>
      <c r="S16" s="558">
        <f ca="1"/>
        <v>-4.2</v>
      </c>
      <c r="T16" s="553" t="str">
        <f ca="1"/>
        <v/>
      </c>
      <c r="U16" s="558" t="str">
        <f ca="1"/>
        <v/>
      </c>
      <c r="V16" s="558" t="str">
        <f ca="1"/>
        <v/>
      </c>
      <c r="W16" s="558"/>
      <c r="X16" s="39" t="str">
        <v/>
      </c>
      <c r="Y16" s="63" t="str">
        <v/>
      </c>
      <c r="Z16" s="63" t="str">
        <v/>
      </c>
      <c r="AC16" s="162" t="b">
        <f ca="1">ISNUMBER(MATCH(N16&amp;O16,FSData!$V$7:$V$95,0))</f>
        <v>0</v>
      </c>
      <c r="AD16" s="162" t="b">
        <f t="shared" ca="1" si="0"/>
        <v>0</v>
      </c>
      <c r="AE16" s="97" t="b">
        <f t="shared" ca="1" si="1"/>
        <v>1</v>
      </c>
      <c r="AF16" s="162" t="b">
        <f ca="1">ISNUMBER(MATCH(R16&amp;S16,FSData!$X$7:$X$95,0))</f>
        <v>0</v>
      </c>
      <c r="AG16" s="162" t="b">
        <f t="shared" ca="1" si="2"/>
        <v>1</v>
      </c>
      <c r="AH16" s="97" t="b">
        <f t="shared" ca="1" si="3"/>
        <v>0</v>
      </c>
      <c r="AJ16" s="162" t="b">
        <f ca="1">ISNUMBER(MATCH(U16&amp;V16,FSData!$Z$7:$Z$95,0))</f>
        <v>1</v>
      </c>
      <c r="AK16" s="162" t="b">
        <f t="shared" ca="1" si="4"/>
        <v>0</v>
      </c>
      <c r="AL16" s="97" t="b">
        <f t="shared" ca="1" si="5"/>
        <v>0</v>
      </c>
      <c r="AN16" s="162" t="b">
        <f>ISNUMBER(MATCH(Y16&amp;Z16,FSData!$AB$7:$AB$95,0))</f>
        <v>1</v>
      </c>
      <c r="AO16" s="162" t="b">
        <f t="shared" si="6"/>
        <v>0</v>
      </c>
      <c r="AP16" s="97" t="b">
        <f t="shared" si="7"/>
        <v>0</v>
      </c>
    </row>
    <row r="17" spans="3:61" x14ac:dyDescent="0.3">
      <c r="C17" s="510" t="str">
        <v>Cash Flow Statement</v>
      </c>
      <c r="D17" s="512" t="b">
        <v>1</v>
      </c>
      <c r="H17" s="39"/>
      <c r="I17" s="39">
        <v>4</v>
      </c>
      <c r="J17" s="63" t="str">
        <v xml:space="preserve"> Noncurrent Assets:</v>
      </c>
      <c r="K17" s="63" t="str">
        <v/>
      </c>
      <c r="L17" s="39"/>
      <c r="M17" s="553">
        <f ca="1"/>
        <v>7</v>
      </c>
      <c r="N17" s="558" t="str">
        <f ca="1"/>
        <v>Rent Expense</v>
      </c>
      <c r="O17" s="558">
        <f ca="1"/>
        <v>3</v>
      </c>
      <c r="P17" s="558"/>
      <c r="Q17" s="553">
        <f ca="1"/>
        <v>2</v>
      </c>
      <c r="R17" s="558" t="str">
        <f ca="1"/>
        <v>Total Shareholders' Equity @ 12/31/20x4</v>
      </c>
      <c r="S17" s="558">
        <f ca="1"/>
        <v>95.8</v>
      </c>
      <c r="T17" s="553">
        <f ca="1"/>
        <v>3</v>
      </c>
      <c r="U17" s="558" t="str">
        <f ca="1"/>
        <v>Investing Activities</v>
      </c>
      <c r="V17" s="558" t="str">
        <f ca="1"/>
        <v/>
      </c>
      <c r="W17" s="558"/>
      <c r="X17" s="39">
        <v>4</v>
      </c>
      <c r="Y17" s="63" t="str">
        <v xml:space="preserve"> Noncurrent Assets:</v>
      </c>
      <c r="Z17" s="63" t="str">
        <v/>
      </c>
      <c r="AC17" s="162" t="b">
        <f ca="1">ISNUMBER(MATCH(N17&amp;O17,FSData!$V$7:$V$95,0))</f>
        <v>0</v>
      </c>
      <c r="AD17" s="162" t="b">
        <f t="shared" ca="1" si="0"/>
        <v>0</v>
      </c>
      <c r="AE17" s="97" t="b">
        <f t="shared" ca="1" si="1"/>
        <v>1</v>
      </c>
      <c r="AF17" s="162" t="b">
        <f ca="1">ISNUMBER(MATCH(R17&amp;S17,FSData!$X$7:$X$95,0))</f>
        <v>0</v>
      </c>
      <c r="AG17" s="162" t="b">
        <f t="shared" ca="1" si="2"/>
        <v>1</v>
      </c>
      <c r="AH17" s="97" t="b">
        <f t="shared" ca="1" si="3"/>
        <v>0</v>
      </c>
      <c r="AJ17" s="162" t="b">
        <f ca="1">ISNUMBER(MATCH(U17&amp;V17,FSData!$Z$7:$Z$95,0))</f>
        <v>1</v>
      </c>
      <c r="AK17" s="162" t="b">
        <f t="shared" ca="1" si="4"/>
        <v>1</v>
      </c>
      <c r="AL17" s="97" t="b">
        <f t="shared" ca="1" si="5"/>
        <v>0</v>
      </c>
      <c r="AN17" s="162" t="b">
        <f>ISNUMBER(MATCH(Y17&amp;Z17,FSData!$AB$7:$AB$95,0))</f>
        <v>1</v>
      </c>
      <c r="AO17" s="162" t="b">
        <f t="shared" si="6"/>
        <v>0</v>
      </c>
      <c r="AP17" s="97" t="b">
        <f t="shared" si="7"/>
        <v>0</v>
      </c>
    </row>
    <row r="18" spans="3:61" x14ac:dyDescent="0.3">
      <c r="C18" s="510" t="str">
        <v>Reconciliation of NI and CFO</v>
      </c>
      <c r="D18" s="512" t="b">
        <v>1</v>
      </c>
      <c r="H18" s="39"/>
      <c r="I18" s="39">
        <v>6</v>
      </c>
      <c r="J18" s="63" t="str">
        <v>Property, Plant &amp; Equipment</v>
      </c>
      <c r="K18" s="63">
        <v>0</v>
      </c>
      <c r="L18" s="39"/>
      <c r="M18" s="553">
        <f ca="1"/>
        <v>7</v>
      </c>
      <c r="N18" s="558" t="str">
        <f ca="1"/>
        <v>Bad Debts Expense</v>
      </c>
      <c r="O18" s="558">
        <f ca="1"/>
        <v>0.15</v>
      </c>
      <c r="P18" s="558"/>
      <c r="Q18" s="553" t="str">
        <f ca="1"/>
        <v/>
      </c>
      <c r="R18" s="558" t="str">
        <f ca="1"/>
        <v/>
      </c>
      <c r="S18" s="558" t="str">
        <f ca="1"/>
        <v/>
      </c>
      <c r="T18" s="553" t="str">
        <f ca="1"/>
        <v/>
      </c>
      <c r="U18" s="558" t="str">
        <f ca="1"/>
        <v/>
      </c>
      <c r="V18" s="558" t="str">
        <f ca="1"/>
        <v/>
      </c>
      <c r="W18" s="558"/>
      <c r="X18" s="39">
        <v>6</v>
      </c>
      <c r="Y18" s="63" t="str">
        <v>Property, Plant &amp; Equipment</v>
      </c>
      <c r="Z18" s="63">
        <v>60</v>
      </c>
      <c r="AC18" s="162" t="b">
        <f ca="1">ISNUMBER(MATCH(N18&amp;O18,FSData!$V$7:$V$95,0))</f>
        <v>0</v>
      </c>
      <c r="AD18" s="162" t="b">
        <f t="shared" ca="1" si="0"/>
        <v>0</v>
      </c>
      <c r="AE18" s="97" t="b">
        <f t="shared" ca="1" si="1"/>
        <v>1</v>
      </c>
      <c r="AF18" s="162" t="b">
        <f ca="1">ISNUMBER(MATCH(R18&amp;S18,FSData!$X$7:$X$95,0))</f>
        <v>1</v>
      </c>
      <c r="AG18" s="162" t="b">
        <f t="shared" ca="1" si="2"/>
        <v>0</v>
      </c>
      <c r="AH18" s="97" t="b">
        <f t="shared" ca="1" si="3"/>
        <v>0</v>
      </c>
      <c r="AJ18" s="162" t="b">
        <f ca="1">ISNUMBER(MATCH(U18&amp;V18,FSData!$Z$7:$Z$95,0))</f>
        <v>1</v>
      </c>
      <c r="AK18" s="162" t="b">
        <f t="shared" ca="1" si="4"/>
        <v>0</v>
      </c>
      <c r="AL18" s="97" t="b">
        <f t="shared" ca="1" si="5"/>
        <v>0</v>
      </c>
      <c r="AN18" s="162" t="b">
        <f>ISNUMBER(MATCH(Y18&amp;Z18,FSData!$AB$7:$AB$95,0))</f>
        <v>0</v>
      </c>
      <c r="AO18" s="162" t="b">
        <f t="shared" si="6"/>
        <v>0</v>
      </c>
      <c r="AP18" s="97" t="b">
        <f t="shared" si="7"/>
        <v>1</v>
      </c>
    </row>
    <row r="19" spans="3:61" x14ac:dyDescent="0.3">
      <c r="C19" s="510" t="str">
        <v>Ending Balance Sheet</v>
      </c>
      <c r="D19" s="512" t="b">
        <v>1</v>
      </c>
      <c r="H19" s="39"/>
      <c r="I19" s="39">
        <v>7</v>
      </c>
      <c r="J19" s="63" t="str">
        <v>Accumulated Depreciation</v>
      </c>
      <c r="K19" s="63">
        <v>0</v>
      </c>
      <c r="L19" s="39"/>
      <c r="M19" s="553">
        <f ca="1"/>
        <v>7</v>
      </c>
      <c r="N19" s="558" t="str">
        <f ca="1"/>
        <v>Salaries &amp; Wages Expense</v>
      </c>
      <c r="O19" s="558">
        <f ca="1"/>
        <v>7</v>
      </c>
      <c r="P19" s="558"/>
      <c r="Q19" s="553"/>
      <c r="R19" s="558"/>
      <c r="S19" s="558"/>
      <c r="T19" s="553">
        <f ca="1"/>
        <v>6</v>
      </c>
      <c r="U19" s="558" t="str">
        <f ca="1"/>
        <v>Acquired marketable securities</v>
      </c>
      <c r="V19" s="558">
        <f ca="1"/>
        <v>-25</v>
      </c>
      <c r="W19" s="558"/>
      <c r="X19" s="39">
        <v>7</v>
      </c>
      <c r="Y19" s="63" t="str">
        <v>Accumulated Depreciation</v>
      </c>
      <c r="Z19" s="63">
        <v>-7.5</v>
      </c>
      <c r="AC19" s="162" t="b">
        <f ca="1">ISNUMBER(MATCH(N19&amp;O19,FSData!$V$7:$V$95,0))</f>
        <v>0</v>
      </c>
      <c r="AD19" s="162" t="b">
        <f t="shared" ca="1" si="0"/>
        <v>0</v>
      </c>
      <c r="AE19" s="97" t="b">
        <f t="shared" ca="1" si="1"/>
        <v>1</v>
      </c>
      <c r="AF19" s="162" t="b">
        <f>ISNUMBER(MATCH(R19&amp;S19,FSData!$X$7:$X$95,0))</f>
        <v>1</v>
      </c>
      <c r="AG19" s="162" t="b">
        <f t="shared" si="2"/>
        <v>0</v>
      </c>
      <c r="AH19" s="97" t="b">
        <f t="shared" si="3"/>
        <v>0</v>
      </c>
      <c r="AJ19" s="162" t="b">
        <f ca="1">ISNUMBER(MATCH(U19&amp;V19,FSData!$Z$7:$Z$95,0))</f>
        <v>0</v>
      </c>
      <c r="AK19" s="162" t="b">
        <f t="shared" ca="1" si="4"/>
        <v>0</v>
      </c>
      <c r="AL19" s="97" t="b">
        <f t="shared" ca="1" si="5"/>
        <v>1</v>
      </c>
      <c r="AN19" s="162" t="b">
        <f>ISNUMBER(MATCH(Y19&amp;Z19,FSData!$AB$7:$AB$95,0))</f>
        <v>0</v>
      </c>
      <c r="AO19" s="162" t="b">
        <f t="shared" si="6"/>
        <v>0</v>
      </c>
      <c r="AP19" s="97" t="b">
        <f t="shared" si="7"/>
        <v>1</v>
      </c>
    </row>
    <row r="20" spans="3:61" x14ac:dyDescent="0.3">
      <c r="C20" s="510"/>
      <c r="D20" s="512" t="b">
        <v>0</v>
      </c>
      <c r="H20" s="39"/>
      <c r="I20" s="39">
        <v>5</v>
      </c>
      <c r="J20" s="63" t="str">
        <v xml:space="preserve">  Total Noncurrent Assets</v>
      </c>
      <c r="K20" s="63">
        <v>0</v>
      </c>
      <c r="L20" s="39"/>
      <c r="M20" s="553">
        <f ca="1"/>
        <v>5</v>
      </c>
      <c r="N20" s="558" t="str">
        <f ca="1"/>
        <v xml:space="preserve">  Total Expenses</v>
      </c>
      <c r="O20" s="558">
        <f ca="1"/>
        <v>44.2</v>
      </c>
      <c r="P20" s="558"/>
      <c r="Q20" s="553"/>
      <c r="R20" s="558"/>
      <c r="S20" s="558"/>
      <c r="T20" s="553">
        <f ca="1"/>
        <v>7</v>
      </c>
      <c r="U20" s="558" t="str">
        <f ca="1"/>
        <v>Acquired PP&amp;E</v>
      </c>
      <c r="V20" s="558">
        <f ca="1"/>
        <v>-60</v>
      </c>
      <c r="W20" s="558"/>
      <c r="X20" s="39">
        <v>5</v>
      </c>
      <c r="Y20" s="63" t="str">
        <v xml:space="preserve">  Total Noncurrent Assets</v>
      </c>
      <c r="Z20" s="63">
        <v>52.5</v>
      </c>
      <c r="AC20" s="162" t="b">
        <f ca="1">ISNUMBER(MATCH(N20&amp;O20,FSData!$V$7:$V$95,0))</f>
        <v>0</v>
      </c>
      <c r="AD20" s="162" t="b">
        <f t="shared" ca="1" si="0"/>
        <v>1</v>
      </c>
      <c r="AE20" s="97" t="b">
        <f t="shared" ca="1" si="1"/>
        <v>0</v>
      </c>
      <c r="AF20" s="162" t="b">
        <f>ISNUMBER(MATCH(R20&amp;S20,FSData!$X$7:$X$95,0))</f>
        <v>1</v>
      </c>
      <c r="AG20" s="162" t="b">
        <f t="shared" si="2"/>
        <v>0</v>
      </c>
      <c r="AH20" s="97" t="b">
        <f t="shared" si="3"/>
        <v>0</v>
      </c>
      <c r="AJ20" s="162" t="b">
        <f ca="1">ISNUMBER(MATCH(U20&amp;V20,FSData!$Z$7:$Z$95,0))</f>
        <v>0</v>
      </c>
      <c r="AK20" s="162" t="b">
        <f t="shared" ca="1" si="4"/>
        <v>0</v>
      </c>
      <c r="AL20" s="97" t="b">
        <f t="shared" ca="1" si="5"/>
        <v>1</v>
      </c>
      <c r="AN20" s="162" t="b">
        <f>ISNUMBER(MATCH(Y20&amp;Z20,FSData!$AB$7:$AB$95,0))</f>
        <v>0</v>
      </c>
      <c r="AO20" s="162" t="b">
        <f t="shared" si="6"/>
        <v>1</v>
      </c>
      <c r="AP20" s="97" t="b">
        <f t="shared" si="7"/>
        <v>0</v>
      </c>
      <c r="BI20" t="s">
        <v>0</v>
      </c>
    </row>
    <row r="21" spans="3:61" ht="15" thickBot="1" x14ac:dyDescent="0.35">
      <c r="C21" s="511"/>
      <c r="D21" s="513" t="b">
        <v>0</v>
      </c>
      <c r="H21" s="39"/>
      <c r="I21" s="39" t="str">
        <v/>
      </c>
      <c r="J21" s="63" t="str">
        <v/>
      </c>
      <c r="K21" s="63" t="str">
        <v/>
      </c>
      <c r="L21" s="39"/>
      <c r="M21" s="553" t="str">
        <f ca="1"/>
        <v/>
      </c>
      <c r="N21" s="558" t="str">
        <f ca="1"/>
        <v/>
      </c>
      <c r="O21" s="558" t="str">
        <f ca="1"/>
        <v/>
      </c>
      <c r="P21" s="558"/>
      <c r="Q21" s="553"/>
      <c r="R21" s="558"/>
      <c r="S21" s="558"/>
      <c r="T21" s="553">
        <f ca="1"/>
        <v>5</v>
      </c>
      <c r="U21" s="558" t="str">
        <f ca="1"/>
        <v>Total Cash Flow from Investing Activities</v>
      </c>
      <c r="V21" s="558">
        <f ca="1"/>
        <v>-85</v>
      </c>
      <c r="W21" s="558"/>
      <c r="X21" s="39" t="str">
        <v/>
      </c>
      <c r="Y21" s="63" t="str">
        <v/>
      </c>
      <c r="Z21" s="63" t="str">
        <v/>
      </c>
      <c r="AC21" s="162" t="b">
        <f ca="1">ISNUMBER(MATCH(N21&amp;O21,FSData!$V$7:$V$95,0))</f>
        <v>1</v>
      </c>
      <c r="AD21" s="162" t="b">
        <f t="shared" ca="1" si="0"/>
        <v>0</v>
      </c>
      <c r="AE21" s="97" t="b">
        <f t="shared" ca="1" si="1"/>
        <v>0</v>
      </c>
      <c r="AF21" s="162" t="b">
        <f>ISNUMBER(MATCH(R21&amp;S21,FSData!$X$7:$X$95,0))</f>
        <v>1</v>
      </c>
      <c r="AG21" s="162" t="b">
        <f t="shared" si="2"/>
        <v>0</v>
      </c>
      <c r="AH21" s="97" t="b">
        <f t="shared" si="3"/>
        <v>0</v>
      </c>
      <c r="AJ21" s="162" t="b">
        <f ca="1">ISNUMBER(MATCH(U21&amp;V21,FSData!$Z$7:$Z$95,0))</f>
        <v>0</v>
      </c>
      <c r="AK21" s="162" t="b">
        <f t="shared" ca="1" si="4"/>
        <v>1</v>
      </c>
      <c r="AL21" s="97" t="b">
        <f t="shared" ca="1" si="5"/>
        <v>0</v>
      </c>
      <c r="AN21" s="162" t="b">
        <f>ISNUMBER(MATCH(Y21&amp;Z21,FSData!$AB$7:$AB$95,0))</f>
        <v>1</v>
      </c>
      <c r="AO21" s="162" t="b">
        <f t="shared" si="6"/>
        <v>0</v>
      </c>
      <c r="AP21" s="97" t="b">
        <f t="shared" si="7"/>
        <v>0</v>
      </c>
    </row>
    <row r="22" spans="3:61" x14ac:dyDescent="0.3">
      <c r="H22" s="39"/>
      <c r="I22" s="39">
        <v>3</v>
      </c>
      <c r="J22" s="63" t="str">
        <v>Total Assets</v>
      </c>
      <c r="K22" s="63">
        <v>0</v>
      </c>
      <c r="L22" s="39"/>
      <c r="M22" s="553">
        <f ca="1"/>
        <v>3</v>
      </c>
      <c r="N22" s="558" t="str">
        <f ca="1"/>
        <v>Net Income</v>
      </c>
      <c r="O22" s="558">
        <f ca="1"/>
        <v>-4.2</v>
      </c>
      <c r="P22" s="558"/>
      <c r="Q22" s="553"/>
      <c r="R22" s="558"/>
      <c r="S22" s="558"/>
      <c r="T22" s="553" t="str">
        <f ca="1"/>
        <v/>
      </c>
      <c r="U22" s="558" t="str">
        <f ca="1"/>
        <v/>
      </c>
      <c r="V22" s="558" t="str">
        <f ca="1"/>
        <v/>
      </c>
      <c r="W22" s="558"/>
      <c r="X22" s="39">
        <v>3</v>
      </c>
      <c r="Y22" s="63" t="str">
        <v>Total Assets</v>
      </c>
      <c r="Z22" s="63">
        <v>133.35</v>
      </c>
      <c r="AC22" s="162" t="b">
        <f ca="1">ISNUMBER(MATCH(N22&amp;O22,FSData!$V$7:$V$95,0))</f>
        <v>0</v>
      </c>
      <c r="AD22" s="162" t="b">
        <f t="shared" ca="1" si="0"/>
        <v>1</v>
      </c>
      <c r="AE22" s="97" t="b">
        <f t="shared" ca="1" si="1"/>
        <v>0</v>
      </c>
      <c r="AF22" s="162" t="b">
        <f>ISNUMBER(MATCH(R22&amp;S22,FSData!$X$7:$X$95,0))</f>
        <v>1</v>
      </c>
      <c r="AG22" s="162" t="b">
        <f t="shared" si="2"/>
        <v>0</v>
      </c>
      <c r="AH22" s="97" t="b">
        <f t="shared" si="3"/>
        <v>0</v>
      </c>
      <c r="AJ22" s="162" t="b">
        <f ca="1">ISNUMBER(MATCH(U22&amp;V22,FSData!$Z$7:$Z$95,0))</f>
        <v>1</v>
      </c>
      <c r="AK22" s="162" t="b">
        <f t="shared" ca="1" si="4"/>
        <v>0</v>
      </c>
      <c r="AL22" s="97" t="b">
        <f t="shared" ca="1" si="5"/>
        <v>0</v>
      </c>
      <c r="AN22" s="162" t="b">
        <f>ISNUMBER(MATCH(Y22&amp;Z22,FSData!$AB$7:$AB$95,0))</f>
        <v>0</v>
      </c>
      <c r="AO22" s="162" t="b">
        <f t="shared" si="6"/>
        <v>1</v>
      </c>
      <c r="AP22" s="97" t="b">
        <f t="shared" si="7"/>
        <v>0</v>
      </c>
    </row>
    <row r="23" spans="3:61" x14ac:dyDescent="0.3">
      <c r="H23" s="39"/>
      <c r="I23" s="39" t="str">
        <v/>
      </c>
      <c r="J23" s="63" t="str">
        <v/>
      </c>
      <c r="K23" s="63" t="str">
        <v/>
      </c>
      <c r="L23" s="39"/>
      <c r="M23" s="553" t="str">
        <f ca="1"/>
        <v/>
      </c>
      <c r="N23" s="558" t="str">
        <f ca="1"/>
        <v/>
      </c>
      <c r="O23" s="558" t="str">
        <f ca="1"/>
        <v/>
      </c>
      <c r="P23" s="558"/>
      <c r="Q23" s="553"/>
      <c r="R23" s="558"/>
      <c r="S23" s="558"/>
      <c r="T23" s="553">
        <f ca="1"/>
        <v>3</v>
      </c>
      <c r="U23" s="558" t="str">
        <f ca="1"/>
        <v>Financing Activities</v>
      </c>
      <c r="V23" s="558" t="str">
        <f ca="1"/>
        <v/>
      </c>
      <c r="W23" s="558"/>
      <c r="X23" s="39" t="str">
        <v/>
      </c>
      <c r="Y23" s="63" t="str">
        <v/>
      </c>
      <c r="Z23" s="63" t="str">
        <v/>
      </c>
      <c r="AC23" s="162" t="b">
        <f ca="1">ISNUMBER(MATCH(N23&amp;O23,FSData!$V$7:$V$95,0))</f>
        <v>1</v>
      </c>
      <c r="AD23" s="162" t="b">
        <f t="shared" ca="1" si="0"/>
        <v>0</v>
      </c>
      <c r="AE23" s="97" t="b">
        <f t="shared" ca="1" si="1"/>
        <v>0</v>
      </c>
      <c r="AF23" s="162" t="b">
        <f>ISNUMBER(MATCH(R23&amp;S23,FSData!$X$7:$X$95,0))</f>
        <v>1</v>
      </c>
      <c r="AG23" s="162" t="b">
        <f t="shared" si="2"/>
        <v>0</v>
      </c>
      <c r="AH23" s="97" t="b">
        <f t="shared" si="3"/>
        <v>0</v>
      </c>
      <c r="AJ23" s="162" t="b">
        <f ca="1">ISNUMBER(MATCH(U23&amp;V23,FSData!$Z$7:$Z$95,0))</f>
        <v>1</v>
      </c>
      <c r="AK23" s="162" t="b">
        <f t="shared" ca="1" si="4"/>
        <v>1</v>
      </c>
      <c r="AL23" s="97" t="b">
        <f t="shared" ca="1" si="5"/>
        <v>0</v>
      </c>
      <c r="AN23" s="162" t="b">
        <f>ISNUMBER(MATCH(Y23&amp;Z23,FSData!$AB$7:$AB$95,0))</f>
        <v>1</v>
      </c>
      <c r="AO23" s="162" t="b">
        <f t="shared" si="6"/>
        <v>0</v>
      </c>
      <c r="AP23" s="97" t="b">
        <f t="shared" si="7"/>
        <v>0</v>
      </c>
      <c r="AR23" s="5" t="s">
        <v>108</v>
      </c>
    </row>
    <row r="24" spans="3:61" ht="15" thickBot="1" x14ac:dyDescent="0.35">
      <c r="C24" s="469" t="s">
        <v>109</v>
      </c>
      <c r="D24" s="469" t="s">
        <v>110</v>
      </c>
      <c r="E24" s="469" t="s">
        <v>111</v>
      </c>
      <c r="F24" s="469" t="s">
        <v>112</v>
      </c>
      <c r="H24" s="39"/>
      <c r="I24" s="39">
        <v>2</v>
      </c>
      <c r="J24" s="63" t="str">
        <v>Liabilities</v>
      </c>
      <c r="K24" s="63" t="str">
        <v/>
      </c>
      <c r="L24" s="39"/>
      <c r="M24" s="553" t="str">
        <f ca="1"/>
        <v/>
      </c>
      <c r="N24" s="558" t="str">
        <f ca="1"/>
        <v/>
      </c>
      <c r="O24" s="558" t="str">
        <f ca="1"/>
        <v/>
      </c>
      <c r="P24" s="558"/>
      <c r="Q24" s="553"/>
      <c r="R24" s="558"/>
      <c r="S24" s="558"/>
      <c r="T24" s="553" t="str">
        <f ca="1"/>
        <v/>
      </c>
      <c r="U24" s="558" t="str">
        <f ca="1"/>
        <v/>
      </c>
      <c r="V24" s="558" t="str">
        <f ca="1"/>
        <v/>
      </c>
      <c r="W24" s="558"/>
      <c r="X24" s="39">
        <v>2</v>
      </c>
      <c r="Y24" s="63" t="str">
        <v>Liabilities</v>
      </c>
      <c r="Z24" s="63" t="str">
        <v/>
      </c>
      <c r="AC24" s="162" t="b">
        <f ca="1">ISNUMBER(MATCH(N24&amp;O24,FSData!$V$7:$V$95,0))</f>
        <v>1</v>
      </c>
      <c r="AD24" s="162" t="b">
        <f t="shared" ca="1" si="0"/>
        <v>0</v>
      </c>
      <c r="AE24" s="97" t="b">
        <f t="shared" ca="1" si="1"/>
        <v>0</v>
      </c>
      <c r="AF24" s="162" t="b">
        <f>ISNUMBER(MATCH(R24&amp;S24,FSData!$X$7:$X$95,0))</f>
        <v>1</v>
      </c>
      <c r="AG24" s="162" t="b">
        <f t="shared" si="2"/>
        <v>0</v>
      </c>
      <c r="AH24" s="97" t="b">
        <f t="shared" si="3"/>
        <v>0</v>
      </c>
      <c r="AJ24" s="162" t="b">
        <f ca="1">ISNUMBER(MATCH(U24&amp;V24,FSData!$Z$7:$Z$95,0))</f>
        <v>1</v>
      </c>
      <c r="AK24" s="162" t="b">
        <f t="shared" ca="1" si="4"/>
        <v>0</v>
      </c>
      <c r="AL24" s="97" t="b">
        <f t="shared" ca="1" si="5"/>
        <v>0</v>
      </c>
      <c r="AN24" s="162" t="b">
        <f>ISNUMBER(MATCH(Y24&amp;Z24,FSData!$AB$7:$AB$95,0))</f>
        <v>1</v>
      </c>
      <c r="AO24" s="162" t="b">
        <f t="shared" si="6"/>
        <v>0</v>
      </c>
      <c r="AP24" s="97" t="b">
        <f t="shared" si="7"/>
        <v>0</v>
      </c>
      <c r="AR24" s="5" t="s">
        <v>113</v>
      </c>
      <c r="AS24" s="5" t="s">
        <v>110</v>
      </c>
    </row>
    <row r="25" spans="3:61" x14ac:dyDescent="0.3">
      <c r="C25" s="467" t="s">
        <v>96</v>
      </c>
      <c r="D25" s="467" t="s">
        <v>114</v>
      </c>
      <c r="E25" s="467" t="s">
        <v>115</v>
      </c>
      <c r="F25" s="497"/>
      <c r="H25" s="39" t="str">
        <f>_xlfn.TEXTJOIN(6,1,FSBuilder[[#This Row],[Statement]:[Account or Explanation]])</f>
        <v>Cash Flow Statement6  Investing Activities6Acquired marketable securities</v>
      </c>
      <c r="I25" s="39" t="str">
        <v/>
      </c>
      <c r="J25" s="63" t="str">
        <v/>
      </c>
      <c r="K25" s="63" t="str">
        <v/>
      </c>
      <c r="L25" s="39"/>
      <c r="M25" s="553" t="str">
        <f ca="1"/>
        <v/>
      </c>
      <c r="N25" s="558" t="str">
        <f ca="1"/>
        <v/>
      </c>
      <c r="O25" s="558" t="str">
        <f ca="1"/>
        <v/>
      </c>
      <c r="P25" s="558"/>
      <c r="Q25" s="553"/>
      <c r="R25" s="558"/>
      <c r="S25" s="558"/>
      <c r="T25" s="553">
        <f ca="1"/>
        <v>6</v>
      </c>
      <c r="U25" s="558" t="str">
        <f ca="1"/>
        <v>Issued common stock</v>
      </c>
      <c r="V25" s="558">
        <f ca="1"/>
        <v>100</v>
      </c>
      <c r="W25" s="558"/>
      <c r="X25" s="39" t="str">
        <v/>
      </c>
      <c r="Y25" s="63" t="str">
        <v/>
      </c>
      <c r="Z25" s="63" t="str">
        <v/>
      </c>
      <c r="AC25" s="162" t="b">
        <f ca="1">ISNUMBER(MATCH(N25&amp;O25,FSData!$V$7:$V$95,0))</f>
        <v>1</v>
      </c>
      <c r="AD25" s="162" t="b">
        <f t="shared" ca="1" si="0"/>
        <v>0</v>
      </c>
      <c r="AE25" s="97" t="b">
        <f t="shared" ca="1" si="1"/>
        <v>0</v>
      </c>
      <c r="AF25" s="162" t="b">
        <f>ISNUMBER(MATCH(R25&amp;S25,FSData!$X$7:$X$95,0))</f>
        <v>1</v>
      </c>
      <c r="AG25" s="162" t="b">
        <f t="shared" si="2"/>
        <v>0</v>
      </c>
      <c r="AH25" s="97" t="b">
        <f t="shared" si="3"/>
        <v>0</v>
      </c>
      <c r="AJ25" s="162" t="b">
        <f ca="1">ISNUMBER(MATCH(U25&amp;V25,FSData!$Z$7:$Z$95,0))</f>
        <v>0</v>
      </c>
      <c r="AK25" s="162" t="b">
        <f t="shared" ca="1" si="4"/>
        <v>0</v>
      </c>
      <c r="AL25" s="97" t="b">
        <f t="shared" ca="1" si="5"/>
        <v>1</v>
      </c>
      <c r="AN25" s="162" t="b">
        <f>ISNUMBER(MATCH(Y25&amp;Z25,FSData!$AB$7:$AB$95,0))</f>
        <v>1</v>
      </c>
      <c r="AO25" s="162" t="b">
        <f t="shared" si="6"/>
        <v>0</v>
      </c>
      <c r="AP25" s="97" t="b">
        <f t="shared" si="7"/>
        <v>0</v>
      </c>
      <c r="AR25" t="str" cm="1">
        <f t="array" ref="AR25">_xlfn.IFS(ISNUMBER(SEARCH("Balance",C25,1)),"MasterData!O56#",ISNUMBER(SEARCH("Income St",C25,1)),"MasterData!O116#",ISNUMBER(SEARCH("Shareholders",C25,1)),"D115#",ISNUMBER(SEARCH("Cash Flow",C25,1)),"E115#",ISNUMBER(SEARCH("Noncash",C25,1)),"C139#",ISNUMBER(SEARCH("Comprehensive",C25,1)),"E145",ISNUMBER(SEARCH("Reconciliation",C25,1)),"D137#")</f>
        <v>E115#</v>
      </c>
      <c r="AS25" t="str" cm="1">
        <f t="array" ref="AS25">_xlfn.IFS(ISNUMBER(SEARCH("Balance",C25,1)),"AX25:AX29",ISNUMBER(SEARCH("Income St",C25,1)),"AY25:AY28",ISNUMBER(SEARCH("Shareholders",C25,1)),"EquityUsed",ISNUMBER(SEARCH("Cash Flow",C25,1)),"BA25:BA27",ISNUMBER(SEARCH("Noncash",C25,1)),"AZ25",ISNUMBER(SEARCH("Comprehensive",C25,1)),"AZ25",ISNUMBER(SEARCH("Reconciliation",C25,1)),"BB25:BB26")</f>
        <v>BA25:BA27</v>
      </c>
      <c r="AU25" t="str" cm="1">
        <f t="array" aca="1" ref="AU25:AU32" ca="1">INDIRECT(AR25)</f>
        <v>Acquired marketable securities</v>
      </c>
      <c r="AX25" t="s">
        <v>116</v>
      </c>
      <c r="AY25" t="s">
        <v>117</v>
      </c>
      <c r="AZ25" t="s">
        <v>118</v>
      </c>
      <c r="BA25" t="s">
        <v>119</v>
      </c>
      <c r="BB25" t="s">
        <v>120</v>
      </c>
    </row>
    <row r="26" spans="3:61" x14ac:dyDescent="0.3">
      <c r="C26" s="468" t="s">
        <v>96</v>
      </c>
      <c r="D26" s="468" t="s">
        <v>114</v>
      </c>
      <c r="E26" s="468" t="s">
        <v>121</v>
      </c>
      <c r="F26" s="498"/>
      <c r="H26" s="39" t="str">
        <f>_xlfn.TEXTJOIN(6,1,FSBuilder[[#This Row],[Statement]:[Account or Explanation]])</f>
        <v>Cash Flow Statement6  Investing Activities6Acquired PP&amp;E</v>
      </c>
      <c r="I26" s="39">
        <v>4</v>
      </c>
      <c r="J26" s="63" t="str">
        <v xml:space="preserve"> Current Liabilities:</v>
      </c>
      <c r="K26" s="63" t="str">
        <v/>
      </c>
      <c r="L26" s="39"/>
      <c r="M26" s="553" t="str">
        <f ca="1"/>
        <v/>
      </c>
      <c r="N26" s="558" t="str">
        <f ca="1"/>
        <v/>
      </c>
      <c r="O26" s="558" t="str">
        <f ca="1"/>
        <v/>
      </c>
      <c r="P26" s="558"/>
      <c r="Q26" s="553"/>
      <c r="R26" s="558"/>
      <c r="S26" s="558"/>
      <c r="T26" s="553">
        <f ca="1"/>
        <v>7</v>
      </c>
      <c r="U26" s="558" t="str">
        <f ca="1"/>
        <v>Issued bonds</v>
      </c>
      <c r="V26" s="558">
        <f ca="1"/>
        <v>20</v>
      </c>
      <c r="W26" s="558"/>
      <c r="X26" s="39">
        <v>4</v>
      </c>
      <c r="Y26" s="63" t="str">
        <v xml:space="preserve"> Current Liabilities:</v>
      </c>
      <c r="Z26" s="63" t="str">
        <v/>
      </c>
      <c r="AC26" s="162" t="b">
        <f ca="1">ISNUMBER(MATCH(N26&amp;O26,FSData!$V$7:$V$95,0))</f>
        <v>1</v>
      </c>
      <c r="AD26" s="162" t="b">
        <f t="shared" ca="1" si="0"/>
        <v>0</v>
      </c>
      <c r="AE26" s="97" t="b">
        <f t="shared" ca="1" si="1"/>
        <v>0</v>
      </c>
      <c r="AF26" s="162" t="b">
        <f>ISNUMBER(MATCH(R26&amp;S26,FSData!$X$7:$X$95,0))</f>
        <v>1</v>
      </c>
      <c r="AG26" s="162" t="b">
        <f t="shared" si="2"/>
        <v>0</v>
      </c>
      <c r="AH26" s="97" t="b">
        <f t="shared" si="3"/>
        <v>0</v>
      </c>
      <c r="AJ26" s="162" t="b">
        <f ca="1">ISNUMBER(MATCH(U26&amp;V26,FSData!$Z$7:$Z$95,0))</f>
        <v>0</v>
      </c>
      <c r="AK26" s="162" t="b">
        <f t="shared" ca="1" si="4"/>
        <v>0</v>
      </c>
      <c r="AL26" s="97" t="b">
        <f t="shared" ca="1" si="5"/>
        <v>1</v>
      </c>
      <c r="AN26" s="162" t="b">
        <f>ISNUMBER(MATCH(Y26&amp;Z26,FSData!$AB$7:$AB$95,0))</f>
        <v>1</v>
      </c>
      <c r="AO26" s="162" t="b">
        <f t="shared" si="6"/>
        <v>0</v>
      </c>
      <c r="AP26" s="97" t="b">
        <f t="shared" si="7"/>
        <v>0</v>
      </c>
      <c r="AR26" t="str" cm="1">
        <f t="array" ref="AR26">_xlfn.IFS(ISNUMBER(SEARCH("Balance",C26,1)),"MasterData!O56#",ISNUMBER(SEARCH("Income St",C26,1)),"MasterData!O116#",ISNUMBER(SEARCH("Shareholders",C26,1)),"D115#",ISNUMBER(SEARCH("Cash Flow",C26,1)),"E115#",ISNUMBER(SEARCH("Noncash",C26,1)),"C139#",ISNUMBER(SEARCH("Comprehensive",C26,1)),"E145",ISNUMBER(SEARCH("Reconciliation",C26,1)),"D137#")</f>
        <v>E115#</v>
      </c>
      <c r="AS26" t="str" cm="1">
        <f t="array" ref="AS26">_xlfn.IFS(ISNUMBER(SEARCH("Balance",C26,1)),"AX25:AX29",ISNUMBER(SEARCH("Income St",C26,1)),"AY25:AY28",ISNUMBER(SEARCH("Shareholders",C26,1)),"EquityUsed",ISNUMBER(SEARCH("Cash Flow",C26,1)),"BA25:BA27",ISNUMBER(SEARCH("Noncash",C26,1)),"AZ25",ISNUMBER(SEARCH("Comprehensive",C26,1)),"AZ25",ISNUMBER(SEARCH("Reconciliation",C26,1)),"BB25:BB26")</f>
        <v>BA25:BA27</v>
      </c>
      <c r="AU26" t="str">
        <f ca="1"/>
        <v>Acquired PP&amp;E</v>
      </c>
      <c r="AX26" t="s">
        <v>122</v>
      </c>
      <c r="AY26" t="s">
        <v>123</v>
      </c>
      <c r="BA26" t="s">
        <v>114</v>
      </c>
      <c r="BB26" t="s">
        <v>124</v>
      </c>
    </row>
    <row r="27" spans="3:61" x14ac:dyDescent="0.3">
      <c r="C27" s="468" t="s">
        <v>96</v>
      </c>
      <c r="D27" s="468" t="s">
        <v>125</v>
      </c>
      <c r="E27" s="468" t="s">
        <v>126</v>
      </c>
      <c r="F27" s="498"/>
      <c r="H27" s="39" t="str">
        <f>_xlfn.TEXTJOIN(6,1,FSBuilder[[#This Row],[Statement]:[Account or Explanation]])</f>
        <v>Cash Flow Statement6  Financing Activities6Issued common stock</v>
      </c>
      <c r="I27" s="39">
        <v>6</v>
      </c>
      <c r="J27" s="63" t="str">
        <v>Accounts Payable</v>
      </c>
      <c r="K27" s="63">
        <v>0</v>
      </c>
      <c r="L27" s="39"/>
      <c r="M27" s="553" t="str">
        <f ca="1"/>
        <v/>
      </c>
      <c r="N27" s="558" t="str">
        <f ca="1"/>
        <v/>
      </c>
      <c r="O27" s="558" t="str">
        <f ca="1"/>
        <v/>
      </c>
      <c r="P27" s="558"/>
      <c r="Q27" s="553"/>
      <c r="R27" s="558"/>
      <c r="S27" s="558"/>
      <c r="T27" s="553">
        <f ca="1"/>
        <v>5</v>
      </c>
      <c r="U27" s="558" t="str">
        <f ca="1"/>
        <v>Total Cash Flow from Financing Activities</v>
      </c>
      <c r="V27" s="558">
        <f ca="1"/>
        <v>120</v>
      </c>
      <c r="W27" s="558"/>
      <c r="X27" s="39">
        <v>6</v>
      </c>
      <c r="Y27" s="63" t="str">
        <v>Accounts Payable</v>
      </c>
      <c r="Z27" s="63">
        <v>15</v>
      </c>
      <c r="AC27" s="162" t="b">
        <f ca="1">ISNUMBER(MATCH(N27&amp;O27,FSData!$V$7:$V$95,0))</f>
        <v>1</v>
      </c>
      <c r="AD27" s="162" t="b">
        <f t="shared" ca="1" si="0"/>
        <v>0</v>
      </c>
      <c r="AE27" s="97" t="b">
        <f t="shared" ca="1" si="1"/>
        <v>0</v>
      </c>
      <c r="AF27" s="162" t="b">
        <f>ISNUMBER(MATCH(R27&amp;S27,FSData!$X$7:$X$95,0))</f>
        <v>1</v>
      </c>
      <c r="AG27" s="162" t="b">
        <f t="shared" si="2"/>
        <v>0</v>
      </c>
      <c r="AH27" s="97" t="b">
        <f t="shared" si="3"/>
        <v>0</v>
      </c>
      <c r="AJ27" s="162" t="b">
        <f ca="1">ISNUMBER(MATCH(U27&amp;V27,FSData!$Z$7:$Z$95,0))</f>
        <v>0</v>
      </c>
      <c r="AK27" s="162" t="b">
        <f t="shared" ca="1" si="4"/>
        <v>1</v>
      </c>
      <c r="AL27" s="97" t="b">
        <f t="shared" ca="1" si="5"/>
        <v>0</v>
      </c>
      <c r="AN27" s="162" t="b">
        <f>ISNUMBER(MATCH(Y27&amp;Z27,FSData!$AB$7:$AB$95,0))</f>
        <v>0</v>
      </c>
      <c r="AO27" s="162" t="b">
        <f t="shared" si="6"/>
        <v>0</v>
      </c>
      <c r="AP27" s="97" t="b">
        <f t="shared" si="7"/>
        <v>1</v>
      </c>
      <c r="AR27" t="str" cm="1">
        <f t="array" ref="AR27">_xlfn.IFS(ISNUMBER(SEARCH("Balance",C27,1)),"MasterData!O56#",ISNUMBER(SEARCH("Income St",C27,1)),"MasterData!O116#",ISNUMBER(SEARCH("Shareholders",C27,1)),"D115#",ISNUMBER(SEARCH("Cash Flow",C27,1)),"E115#",ISNUMBER(SEARCH("Noncash",C27,1)),"C139#",ISNUMBER(SEARCH("Comprehensive",C27,1)),"E145",ISNUMBER(SEARCH("Reconciliation",C27,1)),"D137#")</f>
        <v>E115#</v>
      </c>
      <c r="AS27" t="str" cm="1">
        <f t="array" ref="AS27">_xlfn.IFS(ISNUMBER(SEARCH("Balance",C27,1)),"AX25:AX29",ISNUMBER(SEARCH("Income St",C27,1)),"AY25:AY28",ISNUMBER(SEARCH("Shareholders",C27,1)),"EquityUsed",ISNUMBER(SEARCH("Cash Flow",C27,1)),"BA25:BA27",ISNUMBER(SEARCH("Noncash",C27,1)),"AZ25",ISNUMBER(SEARCH("Comprehensive",C27,1)),"AZ25",ISNUMBER(SEARCH("Reconciliation",C27,1)),"BB25:BB26")</f>
        <v>BA25:BA27</v>
      </c>
      <c r="AU27" t="str">
        <f ca="1"/>
        <v>Collections from customers</v>
      </c>
      <c r="AX27" t="s">
        <v>127</v>
      </c>
      <c r="AY27" t="str">
        <f>IF(MAX(FSConstruction!P36:P51),"  Gains","")</f>
        <v/>
      </c>
      <c r="BA27" t="s">
        <v>125</v>
      </c>
    </row>
    <row r="28" spans="3:61" x14ac:dyDescent="0.3">
      <c r="C28" s="468" t="s">
        <v>96</v>
      </c>
      <c r="D28" s="468" t="s">
        <v>125</v>
      </c>
      <c r="E28" s="468" t="s">
        <v>128</v>
      </c>
      <c r="F28" s="498"/>
      <c r="H28" s="39" t="str">
        <f>_xlfn.TEXTJOIN(6,1,FSBuilder[[#This Row],[Statement]:[Account or Explanation]])</f>
        <v>Cash Flow Statement6  Financing Activities6Issued bonds</v>
      </c>
      <c r="I28" s="39">
        <v>7</v>
      </c>
      <c r="J28" s="63" t="str">
        <v>Interest Payable</v>
      </c>
      <c r="K28" s="63">
        <v>0</v>
      </c>
      <c r="L28" s="39"/>
      <c r="M28" s="553" t="str">
        <f ca="1"/>
        <v/>
      </c>
      <c r="N28" s="558" t="str">
        <f ca="1"/>
        <v/>
      </c>
      <c r="O28" s="558" t="str">
        <f ca="1"/>
        <v/>
      </c>
      <c r="P28" s="558"/>
      <c r="Q28" s="553"/>
      <c r="R28" s="558"/>
      <c r="S28" s="558"/>
      <c r="T28" s="553" t="str">
        <f ca="1"/>
        <v/>
      </c>
      <c r="U28" s="558" t="str">
        <f ca="1"/>
        <v/>
      </c>
      <c r="V28" s="558" t="str">
        <f ca="1"/>
        <v/>
      </c>
      <c r="W28" s="558"/>
      <c r="X28" s="39">
        <v>7</v>
      </c>
      <c r="Y28" s="63" t="str">
        <v>Interest Payable</v>
      </c>
      <c r="Z28" s="63">
        <v>1.55</v>
      </c>
      <c r="AC28" s="162" t="b">
        <f ca="1">ISNUMBER(MATCH(N28&amp;O28,FSData!$V$7:$V$95,0))</f>
        <v>1</v>
      </c>
      <c r="AD28" s="162" t="b">
        <f t="shared" ca="1" si="0"/>
        <v>0</v>
      </c>
      <c r="AE28" s="97" t="b">
        <f t="shared" ca="1" si="1"/>
        <v>0</v>
      </c>
      <c r="AF28" s="162" t="b">
        <f>ISNUMBER(MATCH(R28&amp;S28,FSData!$X$7:$X$95,0))</f>
        <v>1</v>
      </c>
      <c r="AG28" s="162" t="b">
        <f t="shared" si="2"/>
        <v>0</v>
      </c>
      <c r="AH28" s="97" t="b">
        <f t="shared" si="3"/>
        <v>0</v>
      </c>
      <c r="AJ28" s="162" t="b">
        <f ca="1">ISNUMBER(MATCH(U28&amp;V28,FSData!$Z$7:$Z$95,0))</f>
        <v>1</v>
      </c>
      <c r="AK28" s="162" t="b">
        <f t="shared" ca="1" si="4"/>
        <v>0</v>
      </c>
      <c r="AL28" s="97" t="b">
        <f t="shared" ca="1" si="5"/>
        <v>0</v>
      </c>
      <c r="AN28" s="162" t="b">
        <f>ISNUMBER(MATCH(Y28&amp;Z28,FSData!$AB$7:$AB$95,0))</f>
        <v>0</v>
      </c>
      <c r="AO28" s="162" t="b">
        <f t="shared" si="6"/>
        <v>0</v>
      </c>
      <c r="AP28" s="97" t="b">
        <f t="shared" si="7"/>
        <v>1</v>
      </c>
      <c r="AR28" t="str" cm="1">
        <f t="array" ref="AR28">_xlfn.IFS(ISNUMBER(SEARCH("Balance",C28,1)),"MasterData!O56#",ISNUMBER(SEARCH("Income St",C28,1)),"MasterData!O116#",ISNUMBER(SEARCH("Shareholders",C28,1)),"D115#",ISNUMBER(SEARCH("Cash Flow",C28,1)),"E115#",ISNUMBER(SEARCH("Noncash",C28,1)),"C139#",ISNUMBER(SEARCH("Comprehensive",C28,1)),"E145",ISNUMBER(SEARCH("Reconciliation",C28,1)),"D137#")</f>
        <v>E115#</v>
      </c>
      <c r="AS28" t="str" cm="1">
        <f t="array" ref="AS28">_xlfn.IFS(ISNUMBER(SEARCH("Balance",C28,1)),"AX25:AX29",ISNUMBER(SEARCH("Income St",C28,1)),"AY25:AY28",ISNUMBER(SEARCH("Shareholders",C28,1)),"EquityUsed",ISNUMBER(SEARCH("Cash Flow",C28,1)),"BA25:BA27",ISNUMBER(SEARCH("Noncash",C28,1)),"AZ25",ISNUMBER(SEARCH("Comprehensive",C28,1)),"AZ25",ISNUMBER(SEARCH("Reconciliation",C28,1)),"BB25:BB26")</f>
        <v>BA25:BA27</v>
      </c>
      <c r="AU28" t="str">
        <f ca="1"/>
        <v>Issued bonds</v>
      </c>
      <c r="AX28" t="s">
        <v>129</v>
      </c>
      <c r="AY28" t="str">
        <f>IF(MAX(FSConstruction!P36:P51),"  Losses","")</f>
        <v/>
      </c>
    </row>
    <row r="29" spans="3:61" x14ac:dyDescent="0.3">
      <c r="C29" s="468" t="s">
        <v>96</v>
      </c>
      <c r="D29" s="468" t="s">
        <v>119</v>
      </c>
      <c r="E29" s="468" t="s">
        <v>130</v>
      </c>
      <c r="F29" s="498"/>
      <c r="H29" s="39" t="str">
        <f>_xlfn.TEXTJOIN(6,1,FSBuilder[[#This Row],[Statement]:[Account or Explanation]])</f>
        <v>Cash Flow Statement6  Operating Activities6Collections from customers</v>
      </c>
      <c r="I29" s="39">
        <v>7</v>
      </c>
      <c r="J29" s="63" t="str">
        <v>Salaries &amp; Wages Payable</v>
      </c>
      <c r="K29" s="63">
        <v>0</v>
      </c>
      <c r="L29" s="39"/>
      <c r="M29" s="553" t="str">
        <f ca="1"/>
        <v/>
      </c>
      <c r="N29" s="558" t="str">
        <f ca="1"/>
        <v/>
      </c>
      <c r="O29" s="558" t="str">
        <f ca="1"/>
        <v/>
      </c>
      <c r="P29" s="558"/>
      <c r="Q29" s="553"/>
      <c r="R29" s="558"/>
      <c r="S29" s="558"/>
      <c r="T29" s="553">
        <f ca="1"/>
        <v>5</v>
      </c>
      <c r="U29" s="558" t="str">
        <f ca="1"/>
        <v>Increase (decrease) in cash</v>
      </c>
      <c r="V29" s="558">
        <f ca="1"/>
        <v>40.049999999999997</v>
      </c>
      <c r="W29" s="558"/>
      <c r="X29" s="39">
        <v>7</v>
      </c>
      <c r="Y29" s="63" t="str">
        <v>Salaries &amp; Wages Payable</v>
      </c>
      <c r="Z29" s="63">
        <v>1</v>
      </c>
      <c r="AC29" s="162" t="b">
        <f ca="1">ISNUMBER(MATCH(N29&amp;O29,FSData!$V$7:$V$95,0))</f>
        <v>1</v>
      </c>
      <c r="AD29" s="162" t="b">
        <f t="shared" ca="1" si="0"/>
        <v>0</v>
      </c>
      <c r="AE29" s="97" t="b">
        <f t="shared" ca="1" si="1"/>
        <v>0</v>
      </c>
      <c r="AF29" s="162" t="b">
        <f>ISNUMBER(MATCH(R29&amp;S29,FSData!$X$7:$X$95,0))</f>
        <v>1</v>
      </c>
      <c r="AG29" s="162" t="b">
        <f t="shared" si="2"/>
        <v>0</v>
      </c>
      <c r="AH29" s="97" t="b">
        <f t="shared" si="3"/>
        <v>0</v>
      </c>
      <c r="AJ29" s="162" t="b">
        <f ca="1">ISNUMBER(MATCH(U29&amp;V29,FSData!$Z$7:$Z$95,0))</f>
        <v>0</v>
      </c>
      <c r="AK29" s="162" t="b">
        <f t="shared" ca="1" si="4"/>
        <v>1</v>
      </c>
      <c r="AL29" s="97" t="b">
        <f t="shared" ca="1" si="5"/>
        <v>0</v>
      </c>
      <c r="AN29" s="162" t="b">
        <f>ISNUMBER(MATCH(Y29&amp;Z29,FSData!$AB$7:$AB$95,0))</f>
        <v>0</v>
      </c>
      <c r="AO29" s="162" t="b">
        <f t="shared" si="6"/>
        <v>0</v>
      </c>
      <c r="AP29" s="97" t="b">
        <f t="shared" si="7"/>
        <v>1</v>
      </c>
      <c r="AR29" t="str" cm="1">
        <f t="array" ref="AR29">_xlfn.IFS(ISNUMBER(SEARCH("Balance",C29,1)),"MasterData!O56#",ISNUMBER(SEARCH("Income St",C29,1)),"MasterData!O116#",ISNUMBER(SEARCH("Shareholders",C29,1)),"D115#",ISNUMBER(SEARCH("Cash Flow",C29,1)),"E115#",ISNUMBER(SEARCH("Noncash",C29,1)),"C139#",ISNUMBER(SEARCH("Comprehensive",C29,1)),"E145",ISNUMBER(SEARCH("Reconciliation",C29,1)),"D137#")</f>
        <v>E115#</v>
      </c>
      <c r="AS29" t="str" cm="1">
        <f t="array" ref="AS29">_xlfn.IFS(ISNUMBER(SEARCH("Balance",C29,1)),"AX25:AX29",ISNUMBER(SEARCH("Income St",C29,1)),"AY25:AY28",ISNUMBER(SEARCH("Shareholders",C29,1)),"EquityUsed",ISNUMBER(SEARCH("Cash Flow",C29,1)),"BA25:BA27",ISNUMBER(SEARCH("Noncash",C29,1)),"AZ25",ISNUMBER(SEARCH("Comprehensive",C29,1)),"AZ25",ISNUMBER(SEARCH("Reconciliation",C29,1)),"BB25:BB26")</f>
        <v>BA25:BA27</v>
      </c>
      <c r="AU29" t="str">
        <f ca="1"/>
        <v>Issued common stock</v>
      </c>
      <c r="AX29" t="s">
        <v>131</v>
      </c>
    </row>
    <row r="30" spans="3:61" x14ac:dyDescent="0.3">
      <c r="C30" s="468" t="s">
        <v>96</v>
      </c>
      <c r="D30" s="468" t="s">
        <v>119</v>
      </c>
      <c r="E30" s="468" t="s">
        <v>132</v>
      </c>
      <c r="F30" s="498"/>
      <c r="H30" s="39" t="str">
        <f>_xlfn.TEXTJOIN(6,1,FSBuilder[[#This Row],[Statement]:[Account or Explanation]])</f>
        <v>Cash Flow Statement6  Operating Activities6Payments for prepaid expenses</v>
      </c>
      <c r="I30" s="39">
        <v>5</v>
      </c>
      <c r="J30" s="63" t="str">
        <v xml:space="preserve">  Total Current Liabilities</v>
      </c>
      <c r="K30" s="63">
        <v>0</v>
      </c>
      <c r="L30" s="39"/>
      <c r="M30" s="553" t="str">
        <f ca="1"/>
        <v/>
      </c>
      <c r="N30" s="558" t="str">
        <f ca="1"/>
        <v/>
      </c>
      <c r="O30" s="558" t="str">
        <f ca="1"/>
        <v/>
      </c>
      <c r="P30" s="558"/>
      <c r="Q30" s="553"/>
      <c r="R30" s="558"/>
      <c r="S30" s="558"/>
      <c r="T30" s="553" t="str">
        <f ca="1"/>
        <v/>
      </c>
      <c r="U30" s="558" t="str">
        <f ca="1"/>
        <v/>
      </c>
      <c r="V30" s="558" t="str">
        <f ca="1"/>
        <v/>
      </c>
      <c r="W30" s="558"/>
      <c r="X30" s="39">
        <v>5</v>
      </c>
      <c r="Y30" s="63" t="str">
        <v xml:space="preserve">  Total Current Liabilities</v>
      </c>
      <c r="Z30" s="63">
        <v>17.55</v>
      </c>
      <c r="AC30" s="162" t="b">
        <f ca="1">ISNUMBER(MATCH(N30&amp;O30,FSData!$V$7:$V$95,0))</f>
        <v>1</v>
      </c>
      <c r="AD30" s="162" t="b">
        <f t="shared" ca="1" si="0"/>
        <v>0</v>
      </c>
      <c r="AE30" s="97" t="b">
        <f t="shared" ca="1" si="1"/>
        <v>0</v>
      </c>
      <c r="AF30" s="162" t="b">
        <f>ISNUMBER(MATCH(R30&amp;S30,FSData!$X$7:$X$95,0))</f>
        <v>1</v>
      </c>
      <c r="AG30" s="162" t="b">
        <f t="shared" si="2"/>
        <v>0</v>
      </c>
      <c r="AH30" s="97" t="b">
        <f t="shared" si="3"/>
        <v>0</v>
      </c>
      <c r="AJ30" s="162" t="b">
        <f ca="1">ISNUMBER(MATCH(U30&amp;V30,FSData!$Z$7:$Z$95,0))</f>
        <v>1</v>
      </c>
      <c r="AK30" s="162" t="b">
        <f t="shared" ca="1" si="4"/>
        <v>0</v>
      </c>
      <c r="AL30" s="97" t="b">
        <f t="shared" ca="1" si="5"/>
        <v>0</v>
      </c>
      <c r="AN30" s="162" t="b">
        <f>ISNUMBER(MATCH(Y30&amp;Z30,FSData!$AB$7:$AB$95,0))</f>
        <v>0</v>
      </c>
      <c r="AO30" s="162" t="b">
        <f t="shared" si="6"/>
        <v>1</v>
      </c>
      <c r="AP30" s="97" t="b">
        <f t="shared" si="7"/>
        <v>0</v>
      </c>
      <c r="AR30" t="str" cm="1">
        <f t="array" ref="AR30">_xlfn.IFS(ISNUMBER(SEARCH("Balance",C30,1)),"MasterData!O56#",ISNUMBER(SEARCH("Income St",C30,1)),"MasterData!O116#",ISNUMBER(SEARCH("Shareholders",C30,1)),"D115#",ISNUMBER(SEARCH("Cash Flow",C30,1)),"E115#",ISNUMBER(SEARCH("Noncash",C30,1)),"C139#",ISNUMBER(SEARCH("Comprehensive",C30,1)),"E145",ISNUMBER(SEARCH("Reconciliation",C30,1)),"D137#")</f>
        <v>E115#</v>
      </c>
      <c r="AS30" t="str" cm="1">
        <f t="array" ref="AS30">_xlfn.IFS(ISNUMBER(SEARCH("Balance",C30,1)),"AX25:AX29",ISNUMBER(SEARCH("Income St",C30,1)),"AY25:AY28",ISNUMBER(SEARCH("Shareholders",C30,1)),"EquityUsed",ISNUMBER(SEARCH("Cash Flow",C30,1)),"BA25:BA27",ISNUMBER(SEARCH("Noncash",C30,1)),"AZ25",ISNUMBER(SEARCH("Comprehensive",C30,1)),"AZ25",ISNUMBER(SEARCH("Reconciliation",C30,1)),"BB25:BB26")</f>
        <v>BA25:BA27</v>
      </c>
      <c r="AU30" t="str">
        <f ca="1"/>
        <v>Payments for prepaid expenses</v>
      </c>
    </row>
    <row r="31" spans="3:61" x14ac:dyDescent="0.3">
      <c r="C31" s="468" t="s">
        <v>96</v>
      </c>
      <c r="D31" s="468" t="s">
        <v>119</v>
      </c>
      <c r="E31" s="468" t="s">
        <v>133</v>
      </c>
      <c r="F31" s="498"/>
      <c r="H31" s="39" t="str">
        <f>_xlfn.TEXTJOIN(6,1,FSBuilder[[#This Row],[Statement]:[Account or Explanation]])</f>
        <v>Cash Flow Statement6  Operating Activities6Payments to employees</v>
      </c>
      <c r="I31" s="39" t="str">
        <v/>
      </c>
      <c r="J31" s="63" t="str">
        <v/>
      </c>
      <c r="K31" s="63" t="str">
        <v/>
      </c>
      <c r="L31" s="39"/>
      <c r="M31" s="553" t="str">
        <f ca="1"/>
        <v/>
      </c>
      <c r="N31" s="558" t="str">
        <f ca="1"/>
        <v/>
      </c>
      <c r="O31" s="558" t="str">
        <f ca="1"/>
        <v/>
      </c>
      <c r="P31" s="558"/>
      <c r="Q31" s="553"/>
      <c r="R31" s="558"/>
      <c r="S31" s="558"/>
      <c r="T31" s="553">
        <f ca="1"/>
        <v>2</v>
      </c>
      <c r="U31" s="558" t="str">
        <f ca="1"/>
        <v>Cash @ 12/31/20x4</v>
      </c>
      <c r="V31" s="558">
        <f ca="1"/>
        <v>40.050000000000011</v>
      </c>
      <c r="W31" s="558"/>
      <c r="X31" s="39" t="str">
        <v/>
      </c>
      <c r="Y31" s="63" t="str">
        <v/>
      </c>
      <c r="Z31" s="63" t="str">
        <v/>
      </c>
      <c r="AC31" s="162" t="b">
        <f ca="1">ISNUMBER(MATCH(N31&amp;O31,FSData!$V$7:$V$95,0))</f>
        <v>1</v>
      </c>
      <c r="AD31" s="162" t="b">
        <f t="shared" ca="1" si="0"/>
        <v>0</v>
      </c>
      <c r="AE31" s="97" t="b">
        <f t="shared" ca="1" si="1"/>
        <v>0</v>
      </c>
      <c r="AF31" s="162" t="b">
        <f>ISNUMBER(MATCH(R31&amp;S31,FSData!$X$7:$X$95,0))</f>
        <v>1</v>
      </c>
      <c r="AG31" s="162" t="b">
        <f t="shared" si="2"/>
        <v>0</v>
      </c>
      <c r="AH31" s="97" t="b">
        <f t="shared" si="3"/>
        <v>0</v>
      </c>
      <c r="AJ31" s="162" t="b">
        <f ca="1">ISNUMBER(MATCH(U31&amp;V31,FSData!$Z$7:$Z$95,0))</f>
        <v>0</v>
      </c>
      <c r="AK31" s="162" t="b">
        <f t="shared" ca="1" si="4"/>
        <v>1</v>
      </c>
      <c r="AL31" s="97" t="b">
        <f t="shared" ca="1" si="5"/>
        <v>0</v>
      </c>
      <c r="AN31" s="162" t="b">
        <f>ISNUMBER(MATCH(Y31&amp;Z31,FSData!$AB$7:$AB$95,0))</f>
        <v>1</v>
      </c>
      <c r="AO31" s="162" t="b">
        <f t="shared" si="6"/>
        <v>0</v>
      </c>
      <c r="AP31" s="97" t="b">
        <f t="shared" si="7"/>
        <v>0</v>
      </c>
      <c r="AR31" t="str" cm="1">
        <f t="array" ref="AR31">_xlfn.IFS(ISNUMBER(SEARCH("Balance",C31,1)),"MasterData!O56#",ISNUMBER(SEARCH("Income St",C31,1)),"MasterData!O116#",ISNUMBER(SEARCH("Shareholders",C31,1)),"D115#",ISNUMBER(SEARCH("Cash Flow",C31,1)),"E115#",ISNUMBER(SEARCH("Noncash",C31,1)),"C139#",ISNUMBER(SEARCH("Comprehensive",C31,1)),"E145",ISNUMBER(SEARCH("Reconciliation",C31,1)),"D137#")</f>
        <v>E115#</v>
      </c>
      <c r="AS31" t="str" cm="1">
        <f t="array" ref="AS31">_xlfn.IFS(ISNUMBER(SEARCH("Balance",C31,1)),"AX25:AX29",ISNUMBER(SEARCH("Income St",C31,1)),"AY25:AY28",ISNUMBER(SEARCH("Shareholders",C31,1)),"EquityUsed",ISNUMBER(SEARCH("Cash Flow",C31,1)),"BA25:BA27",ISNUMBER(SEARCH("Noncash",C31,1)),"AZ25",ISNUMBER(SEARCH("Comprehensive",C31,1)),"AZ25",ISNUMBER(SEARCH("Reconciliation",C31,1)),"BB25:BB26")</f>
        <v>BA25:BA27</v>
      </c>
      <c r="AU31" t="str">
        <f ca="1"/>
        <v>Payments to employees</v>
      </c>
    </row>
    <row r="32" spans="3:61" x14ac:dyDescent="0.3">
      <c r="C32" s="468" t="s">
        <v>96</v>
      </c>
      <c r="D32" s="468" t="s">
        <v>119</v>
      </c>
      <c r="E32" s="468" t="s">
        <v>134</v>
      </c>
      <c r="F32" s="498"/>
      <c r="H32" s="39" t="str">
        <f>_xlfn.TEXTJOIN(6,1,FSBuilder[[#This Row],[Statement]:[Account or Explanation]])</f>
        <v>Cash Flow Statement6  Operating Activities6Payments to suppliers</v>
      </c>
      <c r="I32" s="39">
        <v>4</v>
      </c>
      <c r="J32" s="63" t="str">
        <v xml:space="preserve"> Noncurrent Liabilities:</v>
      </c>
      <c r="K32" s="63" t="str">
        <v/>
      </c>
      <c r="L32" s="39"/>
      <c r="M32" s="553" t="str">
        <f ca="1"/>
        <v/>
      </c>
      <c r="N32" s="558" t="str">
        <f ca="1"/>
        <v/>
      </c>
      <c r="O32" s="558" t="str">
        <f ca="1"/>
        <v/>
      </c>
      <c r="P32" s="558"/>
      <c r="Q32" s="553"/>
      <c r="R32" s="558"/>
      <c r="S32" s="558"/>
      <c r="T32" s="553" t="str">
        <f ca="1"/>
        <v/>
      </c>
      <c r="U32" s="558" t="str">
        <f ca="1"/>
        <v/>
      </c>
      <c r="V32" s="558" t="str">
        <f ca="1"/>
        <v/>
      </c>
      <c r="W32" s="558"/>
      <c r="X32" s="39">
        <v>4</v>
      </c>
      <c r="Y32" s="63" t="str">
        <v xml:space="preserve"> Noncurrent Liabilities:</v>
      </c>
      <c r="Z32" s="63" t="str">
        <v/>
      </c>
      <c r="AC32" s="162" t="b">
        <f ca="1">ISNUMBER(MATCH(N32&amp;O32,FSData!$V$7:$V$95,0))</f>
        <v>1</v>
      </c>
      <c r="AD32" s="162" t="b">
        <f t="shared" ca="1" si="0"/>
        <v>0</v>
      </c>
      <c r="AE32" s="97" t="b">
        <f t="shared" ca="1" si="1"/>
        <v>0</v>
      </c>
      <c r="AF32" s="162" t="b">
        <f>ISNUMBER(MATCH(R32&amp;S32,FSData!$X$7:$X$95,0))</f>
        <v>1</v>
      </c>
      <c r="AG32" s="162" t="b">
        <f t="shared" si="2"/>
        <v>0</v>
      </c>
      <c r="AH32" s="97" t="b">
        <f t="shared" si="3"/>
        <v>0</v>
      </c>
      <c r="AJ32" s="162" t="b">
        <f ca="1">ISNUMBER(MATCH(U32&amp;V32,FSData!$Z$7:$Z$95,0))</f>
        <v>1</v>
      </c>
      <c r="AK32" s="162" t="b">
        <f t="shared" ca="1" si="4"/>
        <v>0</v>
      </c>
      <c r="AL32" s="97" t="b">
        <f t="shared" ca="1" si="5"/>
        <v>0</v>
      </c>
      <c r="AN32" s="162" t="b">
        <f>ISNUMBER(MATCH(Y32&amp;Z32,FSData!$AB$7:$AB$95,0))</f>
        <v>1</v>
      </c>
      <c r="AO32" s="162" t="b">
        <f t="shared" si="6"/>
        <v>0</v>
      </c>
      <c r="AP32" s="97" t="b">
        <f t="shared" si="7"/>
        <v>0</v>
      </c>
      <c r="AR32" t="str" cm="1">
        <f t="array" ref="AR32">_xlfn.IFS(ISNUMBER(SEARCH("Balance",C32,1)),"MasterData!O56#",ISNUMBER(SEARCH("Income St",C32,1)),"MasterData!O116#",ISNUMBER(SEARCH("Shareholders",C32,1)),"D115#",ISNUMBER(SEARCH("Cash Flow",C32,1)),"E115#",ISNUMBER(SEARCH("Noncash",C32,1)),"C139#",ISNUMBER(SEARCH("Comprehensive",C32,1)),"E145",ISNUMBER(SEARCH("Reconciliation",C32,1)),"D137#")</f>
        <v>E115#</v>
      </c>
      <c r="AS32" t="str" cm="1">
        <f t="array" ref="AS32">_xlfn.IFS(ISNUMBER(SEARCH("Balance",C32,1)),"AX25:AX29",ISNUMBER(SEARCH("Income St",C32,1)),"AY25:AY28",ISNUMBER(SEARCH("Shareholders",C32,1)),"EquityUsed",ISNUMBER(SEARCH("Cash Flow",C32,1)),"BA25:BA27",ISNUMBER(SEARCH("Noncash",C32,1)),"AZ25",ISNUMBER(SEARCH("Comprehensive",C32,1)),"AZ25",ISNUMBER(SEARCH("Reconciliation",C32,1)),"BB25:BB26")</f>
        <v>BA25:BA27</v>
      </c>
      <c r="AU32" t="str">
        <f ca="1"/>
        <v>Payments to suppliers</v>
      </c>
    </row>
    <row r="33" spans="3:45" x14ac:dyDescent="0.3">
      <c r="C33" s="468"/>
      <c r="D33" s="468"/>
      <c r="E33" s="468"/>
      <c r="F33" s="498"/>
      <c r="H33" s="39" t="str">
        <f>_xlfn.TEXTJOIN(6,1,FSBuilder[[#This Row],[Statement]:[Account or Explanation]])</f>
        <v/>
      </c>
      <c r="I33" s="39">
        <v>6</v>
      </c>
      <c r="J33" s="63" t="str">
        <v>Bonds Payable</v>
      </c>
      <c r="K33" s="63">
        <v>0</v>
      </c>
      <c r="L33" s="39"/>
      <c r="M33" s="553"/>
      <c r="N33" s="558"/>
      <c r="O33" s="558"/>
      <c r="P33" s="558"/>
      <c r="Q33" s="553"/>
      <c r="R33" s="558"/>
      <c r="S33" s="558"/>
      <c r="T33" s="553" t="str">
        <f ca="1"/>
        <v/>
      </c>
      <c r="U33" s="558" t="str">
        <f ca="1"/>
        <v/>
      </c>
      <c r="V33" s="558" t="str">
        <f ca="1"/>
        <v/>
      </c>
      <c r="W33" s="558"/>
      <c r="X33" s="39">
        <v>6</v>
      </c>
      <c r="Y33" s="63" t="str">
        <v>Bonds Payable</v>
      </c>
      <c r="Z33" s="63">
        <v>20</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 ca="1">ISNUMBER(MATCH(U33&amp;V33,FSData!$Z$7:$Z$95,0))</f>
        <v>1</v>
      </c>
      <c r="AK33" s="162" t="b">
        <f t="shared" ca="1" si="4"/>
        <v>0</v>
      </c>
      <c r="AL33" s="97" t="b">
        <f t="shared" ca="1" si="5"/>
        <v>0</v>
      </c>
      <c r="AN33" s="162" t="b">
        <f>ISNUMBER(MATCH(Y33&amp;Z33,FSData!$AB$7:$AB$95,0))</f>
        <v>0</v>
      </c>
      <c r="AO33" s="162" t="b">
        <f t="shared" si="6"/>
        <v>0</v>
      </c>
      <c r="AP33" s="97" t="b">
        <f t="shared" si="7"/>
        <v>1</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x14ac:dyDescent="0.3">
      <c r="C34" s="468"/>
      <c r="D34" s="468"/>
      <c r="E34" s="468"/>
      <c r="F34" s="498"/>
      <c r="H34" s="39" t="str">
        <f>_xlfn.TEXTJOIN(6,1,FSBuilder[[#This Row],[Statement]:[Account or Explanation]])</f>
        <v/>
      </c>
      <c r="I34" s="39">
        <v>5</v>
      </c>
      <c r="J34" s="63" t="str">
        <v xml:space="preserve">  Total Noncurrent Liabilities</v>
      </c>
      <c r="K34" s="63">
        <v>0</v>
      </c>
      <c r="L34" s="39"/>
      <c r="M34" s="553"/>
      <c r="N34" s="558"/>
      <c r="O34" s="558"/>
      <c r="P34" s="558"/>
      <c r="Q34" s="553"/>
      <c r="R34" s="558"/>
      <c r="S34" s="558"/>
      <c r="T34" s="553" t="str">
        <f ca="1"/>
        <v/>
      </c>
      <c r="U34" s="558" t="str">
        <f ca="1"/>
        <v/>
      </c>
      <c r="V34" s="558" t="str">
        <f ca="1"/>
        <v/>
      </c>
      <c r="W34" s="558"/>
      <c r="X34" s="39">
        <v>5</v>
      </c>
      <c r="Y34" s="63" t="str">
        <v xml:space="preserve">  Total Noncurrent Liabilities</v>
      </c>
      <c r="Z34" s="63">
        <v>20</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 ca="1">ISNUMBER(MATCH(U34&amp;V34,FSData!$Z$7:$Z$95,0))</f>
        <v>1</v>
      </c>
      <c r="AK34" s="162" t="b">
        <f t="shared" ca="1" si="4"/>
        <v>0</v>
      </c>
      <c r="AL34" s="97" t="b">
        <f t="shared" ca="1" si="5"/>
        <v>0</v>
      </c>
      <c r="AN34" s="162" t="b">
        <f>ISNUMBER(MATCH(Y34&amp;Z34,FSData!$AB$7:$AB$95,0))</f>
        <v>0</v>
      </c>
      <c r="AO34" s="162" t="b">
        <f t="shared" si="6"/>
        <v>1</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x14ac:dyDescent="0.3">
      <c r="C35" s="468"/>
      <c r="D35" s="468"/>
      <c r="E35" s="468"/>
      <c r="F35" s="498"/>
      <c r="H35" s="39" t="str">
        <f>_xlfn.TEXTJOIN(6,1,FSBuilder[[#This Row],[Statement]:[Account or Explanation]])</f>
        <v/>
      </c>
      <c r="I35" s="39" t="str">
        <v/>
      </c>
      <c r="J35" s="63" t="str">
        <v/>
      </c>
      <c r="K35" s="63" t="str">
        <v/>
      </c>
      <c r="L35" s="39"/>
      <c r="M35" s="553"/>
      <c r="N35" s="558"/>
      <c r="O35" s="558"/>
      <c r="P35" s="558"/>
      <c r="Q35" s="553"/>
      <c r="R35" s="558"/>
      <c r="S35" s="558"/>
      <c r="T35" s="553" t="str">
        <f ca="1"/>
        <v/>
      </c>
      <c r="U35" s="558" t="str">
        <f ca="1"/>
        <v/>
      </c>
      <c r="V35" s="558" t="str">
        <f ca="1"/>
        <v/>
      </c>
      <c r="W35" s="558"/>
      <c r="X35" s="39" t="str">
        <v/>
      </c>
      <c r="Y35" s="63" t="str">
        <v/>
      </c>
      <c r="Z35" s="63" t="str">
        <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 ca="1">ISNUMBER(MATCH(U35&amp;V35,FSData!$Z$7:$Z$95,0))</f>
        <v>1</v>
      </c>
      <c r="AK35" s="162" t="b">
        <f t="shared" ca="1" si="4"/>
        <v>0</v>
      </c>
      <c r="AL35" s="97" t="b">
        <f t="shared" ca="1" si="5"/>
        <v>0</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x14ac:dyDescent="0.3">
      <c r="C36" s="468"/>
      <c r="D36" s="468"/>
      <c r="E36" s="468"/>
      <c r="F36" s="498"/>
      <c r="H36" s="39" t="str">
        <f>_xlfn.TEXTJOIN(6,1,FSBuilder[[#This Row],[Statement]:[Account or Explanation]])</f>
        <v/>
      </c>
      <c r="I36" s="39">
        <v>3</v>
      </c>
      <c r="J36" s="63" t="str">
        <v>Total Liabilities</v>
      </c>
      <c r="K36" s="63">
        <v>0</v>
      </c>
      <c r="L36" s="39"/>
      <c r="M36" s="553"/>
      <c r="N36" s="558"/>
      <c r="O36" s="558"/>
      <c r="P36" s="558"/>
      <c r="Q36" s="553"/>
      <c r="R36" s="558"/>
      <c r="S36" s="558"/>
      <c r="T36" s="553" t="str">
        <f ca="1"/>
        <v/>
      </c>
      <c r="U36" s="558" t="str">
        <f ca="1"/>
        <v/>
      </c>
      <c r="V36" s="558" t="str">
        <f ca="1"/>
        <v/>
      </c>
      <c r="W36" s="558"/>
      <c r="X36" s="39">
        <v>3</v>
      </c>
      <c r="Y36" s="63" t="str">
        <v>Total Liabilities</v>
      </c>
      <c r="Z36" s="63">
        <v>37.549999999999997</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 ca="1">ISNUMBER(MATCH(U36&amp;V36,FSData!$Z$7:$Z$95,0))</f>
        <v>1</v>
      </c>
      <c r="AK36" s="162" t="b">
        <f t="shared" ca="1" si="4"/>
        <v>0</v>
      </c>
      <c r="AL36" s="97" t="b">
        <f t="shared" ca="1" si="5"/>
        <v>0</v>
      </c>
      <c r="AN36" s="162" t="b">
        <f>ISNUMBER(MATCH(Y36&amp;Z36,FSData!$AB$7:$AB$95,0))</f>
        <v>0</v>
      </c>
      <c r="AO36" s="162" t="b">
        <f t="shared" si="6"/>
        <v>1</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x14ac:dyDescent="0.3">
      <c r="C37" s="468"/>
      <c r="D37" s="468"/>
      <c r="E37" s="468"/>
      <c r="F37" s="498"/>
      <c r="H37" s="39" t="str">
        <f>_xlfn.TEXTJOIN(6,1,FSBuilder[[#This Row],[Statement]:[Account or Explanation]])</f>
        <v/>
      </c>
      <c r="I37" s="39" t="str">
        <v/>
      </c>
      <c r="J37" s="63" t="str">
        <v/>
      </c>
      <c r="K37" s="63" t="str">
        <v/>
      </c>
      <c r="L37" s="39"/>
      <c r="M37" s="553"/>
      <c r="N37" s="558"/>
      <c r="O37" s="558"/>
      <c r="P37" s="558"/>
      <c r="Q37" s="553"/>
      <c r="R37" s="558"/>
      <c r="S37" s="558"/>
      <c r="T37" s="553" t="str">
        <f ca="1"/>
        <v/>
      </c>
      <c r="U37" s="558" t="str">
        <f ca="1"/>
        <v/>
      </c>
      <c r="V37" s="558" t="str">
        <f ca="1"/>
        <v/>
      </c>
      <c r="W37" s="558"/>
      <c r="X37" s="39" t="str">
        <v/>
      </c>
      <c r="Y37" s="63" t="str">
        <v/>
      </c>
      <c r="Z37" s="63" t="str">
        <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 ca="1">ISNUMBER(MATCH(U37&amp;V37,FSData!$Z$7:$Z$95,0))</f>
        <v>1</v>
      </c>
      <c r="AK37" s="162" t="b">
        <f t="shared" ca="1" si="4"/>
        <v>0</v>
      </c>
      <c r="AL37" s="97" t="b">
        <f t="shared" ca="1" si="5"/>
        <v>0</v>
      </c>
      <c r="AN37" s="162" t="b">
        <f>ISNUMBER(MATCH(Y37&amp;Z37,FSData!$AB$7:$AB$95,0))</f>
        <v>1</v>
      </c>
      <c r="AO37" s="162" t="b">
        <f t="shared" si="6"/>
        <v>0</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x14ac:dyDescent="0.3">
      <c r="C38" s="468"/>
      <c r="D38" s="468"/>
      <c r="E38" s="468"/>
      <c r="F38" s="498"/>
      <c r="H38" s="39" t="str">
        <f>_xlfn.TEXTJOIN(6,1,FSBuilder[[#This Row],[Statement]:[Account or Explanation]])</f>
        <v/>
      </c>
      <c r="I38" s="39">
        <v>2</v>
      </c>
      <c r="J38" s="63" t="str">
        <v>Equities</v>
      </c>
      <c r="K38" s="63" t="str">
        <v/>
      </c>
      <c r="L38" s="39"/>
      <c r="M38" s="553"/>
      <c r="N38" s="558"/>
      <c r="O38" s="558"/>
      <c r="P38" s="558"/>
      <c r="Q38" s="553"/>
      <c r="R38" s="558"/>
      <c r="S38" s="558"/>
      <c r="T38" s="553" t="str">
        <f ca="1"/>
        <v/>
      </c>
      <c r="U38" s="558" t="str">
        <f ca="1"/>
        <v/>
      </c>
      <c r="V38" s="558" t="str">
        <f ca="1"/>
        <v/>
      </c>
      <c r="W38" s="558"/>
      <c r="X38" s="39">
        <v>2</v>
      </c>
      <c r="Y38" s="63" t="str">
        <v>Equities</v>
      </c>
      <c r="Z38" s="63" t="str">
        <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 ca="1">ISNUMBER(MATCH(U38&amp;V38,FSData!$Z$7:$Z$95,0))</f>
        <v>1</v>
      </c>
      <c r="AK38" s="162" t="b">
        <f t="shared" ca="1" si="4"/>
        <v>0</v>
      </c>
      <c r="AL38" s="97" t="b">
        <f t="shared" ca="1" si="5"/>
        <v>0</v>
      </c>
      <c r="AN38" s="162" t="b">
        <f>ISNUMBER(MATCH(Y38&amp;Z38,FSData!$AB$7:$AB$95,0))</f>
        <v>1</v>
      </c>
      <c r="AO38" s="162" t="b">
        <f t="shared" si="6"/>
        <v>0</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x14ac:dyDescent="0.3">
      <c r="C39" s="468"/>
      <c r="D39" s="468"/>
      <c r="E39" s="468"/>
      <c r="F39" s="498"/>
      <c r="H39" s="39" t="str">
        <f>_xlfn.TEXTJOIN(6,1,FSBuilder[[#This Row],[Statement]:[Account or Explanation]])</f>
        <v/>
      </c>
      <c r="I39" s="39" t="str">
        <v/>
      </c>
      <c r="J39" s="63" t="str">
        <v/>
      </c>
      <c r="K39" s="63" t="str">
        <v/>
      </c>
      <c r="L39" s="39"/>
      <c r="M39" s="553"/>
      <c r="N39" s="558"/>
      <c r="O39" s="558"/>
      <c r="P39" s="558"/>
      <c r="Q39" s="553"/>
      <c r="R39" s="558"/>
      <c r="S39" s="558"/>
      <c r="T39" s="553" t="str">
        <f ca="1"/>
        <v/>
      </c>
      <c r="U39" s="558" t="str">
        <f ca="1"/>
        <v/>
      </c>
      <c r="V39" s="558" t="str">
        <f ca="1"/>
        <v/>
      </c>
      <c r="W39" s="558"/>
      <c r="X39" s="39" t="str">
        <v/>
      </c>
      <c r="Y39" s="63" t="str">
        <v/>
      </c>
      <c r="Z39" s="63" t="str">
        <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 ca="1">ISNUMBER(MATCH(U39&amp;V39,FSData!$Z$7:$Z$95,0))</f>
        <v>1</v>
      </c>
      <c r="AK39" s="162" t="b">
        <f t="shared" ca="1" si="4"/>
        <v>0</v>
      </c>
      <c r="AL39" s="97" t="b">
        <f t="shared" ca="1" si="5"/>
        <v>0</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x14ac:dyDescent="0.3">
      <c r="C40" s="468"/>
      <c r="D40" s="468"/>
      <c r="E40" s="468"/>
      <c r="F40" s="498"/>
      <c r="H40" s="39" t="str">
        <f>_xlfn.TEXTJOIN(6,1,FSBuilder[[#This Row],[Statement]:[Account or Explanation]])</f>
        <v/>
      </c>
      <c r="I40" s="39">
        <v>6</v>
      </c>
      <c r="J40" s="63" t="str">
        <v>Common Stock</v>
      </c>
      <c r="K40" s="63">
        <v>0</v>
      </c>
      <c r="L40" s="39"/>
      <c r="M40" s="553"/>
      <c r="N40" s="558"/>
      <c r="O40" s="558"/>
      <c r="P40" s="558"/>
      <c r="Q40" s="553"/>
      <c r="R40" s="558"/>
      <c r="S40" s="558"/>
      <c r="T40" s="553" t="str">
        <f ca="1"/>
        <v/>
      </c>
      <c r="U40" s="558" t="str">
        <f ca="1"/>
        <v/>
      </c>
      <c r="V40" s="558" t="str">
        <f ca="1"/>
        <v/>
      </c>
      <c r="W40" s="558"/>
      <c r="X40" s="39">
        <v>6</v>
      </c>
      <c r="Y40" s="63" t="str">
        <v>Common Stock</v>
      </c>
      <c r="Z40" s="63">
        <v>100</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 ca="1">ISNUMBER(MATCH(U40&amp;V40,FSData!$Z$7:$Z$95,0))</f>
        <v>1</v>
      </c>
      <c r="AK40" s="162" t="b">
        <f t="shared" ca="1" si="4"/>
        <v>0</v>
      </c>
      <c r="AL40" s="97" t="b">
        <f t="shared" ca="1" si="5"/>
        <v>0</v>
      </c>
      <c r="AN40" s="162" t="b">
        <f>ISNUMBER(MATCH(Y40&amp;Z40,FSData!$AB$7:$AB$95,0))</f>
        <v>0</v>
      </c>
      <c r="AO40" s="162" t="b">
        <f t="shared" si="6"/>
        <v>0</v>
      </c>
      <c r="AP40" s="97" t="b">
        <f t="shared" si="7"/>
        <v>1</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x14ac:dyDescent="0.3">
      <c r="C41" s="468"/>
      <c r="D41" s="468"/>
      <c r="E41" s="468"/>
      <c r="F41" s="498"/>
      <c r="H41" s="39" t="str">
        <f>_xlfn.TEXTJOIN(6,1,FSBuilder[[#This Row],[Statement]:[Account or Explanation]])</f>
        <v/>
      </c>
      <c r="I41" s="39">
        <v>7</v>
      </c>
      <c r="J41" s="63" t="str">
        <v>Retained Earnings</v>
      </c>
      <c r="K41" s="63">
        <v>0</v>
      </c>
      <c r="L41" s="39"/>
      <c r="M41" s="553"/>
      <c r="N41" s="558"/>
      <c r="O41" s="558"/>
      <c r="P41" s="558"/>
      <c r="Q41" s="553"/>
      <c r="R41" s="558"/>
      <c r="S41" s="558"/>
      <c r="T41" s="553">
        <f ca="1"/>
        <v>1</v>
      </c>
      <c r="U41" s="558" t="str">
        <f ca="1"/>
        <v>NI CFO Reconciliation</v>
      </c>
      <c r="V41" s="558" t="str">
        <f ca="1"/>
        <v/>
      </c>
      <c r="W41" s="558"/>
      <c r="X41" s="39">
        <v>7</v>
      </c>
      <c r="Y41" s="63" t="str">
        <v>Retained Earnings</v>
      </c>
      <c r="Z41" s="63">
        <v>-4.2</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 ca="1">ISNUMBER(MATCH(U41&amp;V41,FSData!$Z$7:$Z$95,0))</f>
        <v>1</v>
      </c>
      <c r="AK41" s="162" t="b">
        <f t="shared" ca="1" si="4"/>
        <v>0</v>
      </c>
      <c r="AL41" s="97" t="b">
        <f t="shared" ca="1" si="5"/>
        <v>0</v>
      </c>
      <c r="AN41" s="162" t="b">
        <f>ISNUMBER(MATCH(Y41&amp;Z41,FSData!$AB$7:$AB$95,0))</f>
        <v>0</v>
      </c>
      <c r="AO41" s="162" t="b">
        <f t="shared" si="6"/>
        <v>0</v>
      </c>
      <c r="AP41" s="97" t="b">
        <f t="shared" si="7"/>
        <v>1</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x14ac:dyDescent="0.3">
      <c r="C42" s="468"/>
      <c r="D42" s="468"/>
      <c r="E42" s="468"/>
      <c r="F42" s="498"/>
      <c r="H42" s="39" t="str">
        <f>_xlfn.TEXTJOIN(6,1,FSBuilder[[#This Row],[Statement]:[Account or Explanation]])</f>
        <v/>
      </c>
      <c r="I42" s="39" t="str">
        <v/>
      </c>
      <c r="J42" s="63" t="str">
        <v/>
      </c>
      <c r="K42" s="63" t="str">
        <v/>
      </c>
      <c r="L42" s="39"/>
      <c r="M42" s="553"/>
      <c r="N42" s="558"/>
      <c r="O42" s="558"/>
      <c r="P42" s="558"/>
      <c r="Q42" s="553"/>
      <c r="R42" s="558"/>
      <c r="S42" s="558"/>
      <c r="T42" s="553" t="str">
        <f ca="1"/>
        <v/>
      </c>
      <c r="U42" s="558" t="str">
        <f ca="1"/>
        <v/>
      </c>
      <c r="V42" s="558" t="str">
        <f ca="1"/>
        <v/>
      </c>
      <c r="W42" s="558"/>
      <c r="X42" s="39" t="str">
        <v/>
      </c>
      <c r="Y42" s="63" t="str">
        <v/>
      </c>
      <c r="Z42" s="63" t="str">
        <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 ca="1">ISNUMBER(MATCH(U42&amp;V42,FSData!$Z$7:$Z$95,0))</f>
        <v>1</v>
      </c>
      <c r="AK42" s="162" t="b">
        <f t="shared" ca="1" si="4"/>
        <v>0</v>
      </c>
      <c r="AL42" s="97" t="b">
        <f t="shared" ca="1"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x14ac:dyDescent="0.3">
      <c r="C43" s="468"/>
      <c r="D43" s="468"/>
      <c r="E43" s="468"/>
      <c r="F43" s="498"/>
      <c r="H43" s="39" t="str">
        <f>_xlfn.TEXTJOIN(6,1,FSBuilder[[#This Row],[Statement]:[Account or Explanation]])</f>
        <v/>
      </c>
      <c r="I43" s="39">
        <v>3</v>
      </c>
      <c r="J43" s="63" t="str">
        <v>Total Equities</v>
      </c>
      <c r="K43" s="63">
        <v>0</v>
      </c>
      <c r="L43" s="39"/>
      <c r="M43" s="553"/>
      <c r="N43" s="558"/>
      <c r="O43" s="558"/>
      <c r="P43" s="558"/>
      <c r="Q43" s="553"/>
      <c r="R43" s="558"/>
      <c r="S43" s="558"/>
      <c r="T43" s="553">
        <f ca="1"/>
        <v>2</v>
      </c>
      <c r="U43" s="558" t="str">
        <f ca="1"/>
        <v>Net Income</v>
      </c>
      <c r="V43" s="558">
        <f ca="1"/>
        <v>-4.2</v>
      </c>
      <c r="W43" s="558"/>
      <c r="X43" s="39">
        <v>3</v>
      </c>
      <c r="Y43" s="63" t="str">
        <v>Total Equities</v>
      </c>
      <c r="Z43" s="63">
        <v>95.8</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 ca="1">ISNUMBER(MATCH(U43&amp;V43,FSData!$Z$7:$Z$95,0))</f>
        <v>0</v>
      </c>
      <c r="AK43" s="162" t="b">
        <f t="shared" ca="1" si="4"/>
        <v>1</v>
      </c>
      <c r="AL43" s="97" t="b">
        <f t="shared" ca="1" si="5"/>
        <v>0</v>
      </c>
      <c r="AN43" s="162" t="b">
        <f>ISNUMBER(MATCH(Y43&amp;Z43,FSData!$AB$7:$AB$95,0))</f>
        <v>0</v>
      </c>
      <c r="AO43" s="162" t="b">
        <f t="shared" si="6"/>
        <v>1</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x14ac:dyDescent="0.3">
      <c r="C44" s="468"/>
      <c r="D44" s="468"/>
      <c r="E44" s="468"/>
      <c r="F44" s="498"/>
      <c r="H44" s="39" t="str">
        <f>_xlfn.TEXTJOIN(6,1,FSBuilder[[#This Row],[Statement]:[Account or Explanation]])</f>
        <v/>
      </c>
      <c r="I44" s="39" t="str">
        <v/>
      </c>
      <c r="J44" s="63" t="str">
        <v/>
      </c>
      <c r="K44" s="63" t="str">
        <v/>
      </c>
      <c r="L44" s="39"/>
      <c r="M44" s="553"/>
      <c r="N44" s="558"/>
      <c r="O44" s="558"/>
      <c r="P44" s="558"/>
      <c r="Q44" s="553"/>
      <c r="R44" s="558"/>
      <c r="S44" s="558"/>
      <c r="T44" s="553" t="str">
        <f ca="1"/>
        <v/>
      </c>
      <c r="U44" s="558" t="str">
        <f ca="1"/>
        <v/>
      </c>
      <c r="V44" s="558" t="str">
        <f ca="1"/>
        <v/>
      </c>
      <c r="W44" s="558"/>
      <c r="X44" s="39" t="str">
        <v/>
      </c>
      <c r="Y44" s="63" t="str">
        <v/>
      </c>
      <c r="Z44" s="63" t="str">
        <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 ca="1">ISNUMBER(MATCH(U44&amp;V44,FSData!$Z$7:$Z$95,0))</f>
        <v>1</v>
      </c>
      <c r="AK44" s="162" t="b">
        <f t="shared" ca="1" si="4"/>
        <v>0</v>
      </c>
      <c r="AL44" s="97" t="b">
        <f t="shared" ca="1"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x14ac:dyDescent="0.3">
      <c r="C45" s="468"/>
      <c r="D45" s="468"/>
      <c r="E45" s="468"/>
      <c r="F45" s="514"/>
      <c r="H45" s="39" t="str">
        <f>_xlfn.TEXTJOIN(6,1,FSBuilder[[#This Row],[Statement]:[Account or Explanation]])</f>
        <v/>
      </c>
      <c r="I45" s="39">
        <v>3</v>
      </c>
      <c r="J45" s="63" t="str">
        <v>Total Liabilities and Equities</v>
      </c>
      <c r="K45" s="63">
        <v>0</v>
      </c>
      <c r="L45" s="39"/>
      <c r="M45" s="553"/>
      <c r="N45" s="558"/>
      <c r="O45" s="558"/>
      <c r="P45" s="558"/>
      <c r="Q45" s="553"/>
      <c r="R45" s="558"/>
      <c r="S45" s="558"/>
      <c r="T45" s="553">
        <f ca="1"/>
        <v>3</v>
      </c>
      <c r="U45" s="558" t="str">
        <f ca="1"/>
        <v>Adjustments:</v>
      </c>
      <c r="V45" s="558" t="str">
        <f ca="1"/>
        <v/>
      </c>
      <c r="W45" s="558"/>
      <c r="X45" s="39">
        <v>3</v>
      </c>
      <c r="Y45" s="63" t="str">
        <v>Total Liabilities and Equities</v>
      </c>
      <c r="Z45" s="63">
        <v>133.35</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 ca="1">ISNUMBER(MATCH(U45&amp;V45,FSData!$Z$7:$Z$95,0))</f>
        <v>1</v>
      </c>
      <c r="AK45" s="162" t="b">
        <f t="shared" ca="1" si="4"/>
        <v>0</v>
      </c>
      <c r="AL45" s="97" t="b">
        <f t="shared" ca="1" si="5"/>
        <v>0</v>
      </c>
      <c r="AN45" s="162" t="b">
        <f>ISNUMBER(MATCH(Y45&amp;Z45,FSData!$AB$7:$AB$95,0))</f>
        <v>0</v>
      </c>
      <c r="AO45" s="162" t="b">
        <f t="shared" si="6"/>
        <v>1</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x14ac:dyDescent="0.3">
      <c r="C46" s="468"/>
      <c r="D46" s="468"/>
      <c r="E46" s="468"/>
      <c r="F46" s="514"/>
      <c r="H46" s="39" t="str">
        <f>_xlfn.TEXTJOIN(6,1,FSBuilder[[#This Row],[Statement]:[Account or Explanation]])</f>
        <v/>
      </c>
      <c r="I46" s="39" t="str">
        <v/>
      </c>
      <c r="J46" s="63" t="str">
        <v/>
      </c>
      <c r="K46" s="63" t="str">
        <v/>
      </c>
      <c r="L46" s="39"/>
      <c r="M46" s="553"/>
      <c r="N46" s="558"/>
      <c r="O46" s="558"/>
      <c r="P46" s="558"/>
      <c r="Q46" s="553"/>
      <c r="R46" s="558"/>
      <c r="S46" s="558"/>
      <c r="T46" s="553">
        <f ca="1"/>
        <v>6</v>
      </c>
      <c r="U46" s="558" t="str">
        <f ca="1"/>
        <v>Depreciation expense</v>
      </c>
      <c r="V46" s="558">
        <f ca="1"/>
        <v>7.5</v>
      </c>
      <c r="W46" s="558"/>
      <c r="X46" s="39" t="str">
        <v/>
      </c>
      <c r="Y46" s="63" t="str">
        <v/>
      </c>
      <c r="Z46" s="63" t="str">
        <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 ca="1">ISNUMBER(MATCH(U46&amp;V46,FSData!$Z$7:$Z$95,0))</f>
        <v>0</v>
      </c>
      <c r="AK46" s="162" t="b">
        <f t="shared" ca="1" si="4"/>
        <v>0</v>
      </c>
      <c r="AL46" s="97" t="b">
        <f t="shared" ca="1" si="5"/>
        <v>1</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x14ac:dyDescent="0.3">
      <c r="C47" s="468"/>
      <c r="D47" s="468"/>
      <c r="E47" s="468"/>
      <c r="F47" s="514"/>
      <c r="H47" s="39" t="str">
        <f>_xlfn.TEXTJOIN(6,1,FSBuilder[[#This Row],[Statement]:[Account or Explanation]])</f>
        <v/>
      </c>
      <c r="I47" s="39"/>
      <c r="J47" s="63"/>
      <c r="K47" s="63"/>
      <c r="L47" s="39"/>
      <c r="M47" s="553"/>
      <c r="N47" s="558"/>
      <c r="O47" s="558"/>
      <c r="P47" s="558"/>
      <c r="Q47" s="553"/>
      <c r="R47" s="558"/>
      <c r="S47" s="558"/>
      <c r="T47" s="553" t="str">
        <f ca="1"/>
        <v/>
      </c>
      <c r="U47" s="558" t="str">
        <f ca="1"/>
        <v/>
      </c>
      <c r="V47" s="558" t="str">
        <f ca="1"/>
        <v/>
      </c>
      <c r="W47" s="558"/>
      <c r="X47" s="39"/>
      <c r="Y47" s="63"/>
      <c r="Z47" s="63"/>
      <c r="AC47" s="162" t="b">
        <f>ISNUMBER(MATCH(N47&amp;O47,FSData!$V$7:$V$95,0))</f>
        <v>1</v>
      </c>
      <c r="AD47" s="162" t="b">
        <f t="shared" si="0"/>
        <v>0</v>
      </c>
      <c r="AE47" s="97" t="b">
        <f t="shared" si="1"/>
        <v>0</v>
      </c>
      <c r="AF47" s="162" t="b">
        <f>ISNUMBER(MATCH(R47&amp;S47,FSData!$X$7:$X$95,0))</f>
        <v>1</v>
      </c>
      <c r="AG47" s="162" t="b">
        <f t="shared" si="2"/>
        <v>0</v>
      </c>
      <c r="AH47" s="97" t="b">
        <f t="shared" si="3"/>
        <v>0</v>
      </c>
      <c r="AJ47" s="162" t="b">
        <f ca="1">ISNUMBER(MATCH(U47&amp;V47,FSData!$Z$7:$Z$95,0))</f>
        <v>1</v>
      </c>
      <c r="AK47" s="162" t="b">
        <f t="shared" ca="1" si="4"/>
        <v>0</v>
      </c>
      <c r="AL47" s="97" t="b">
        <f t="shared" ca="1" si="5"/>
        <v>0</v>
      </c>
      <c r="AN47" s="162" t="b">
        <f>ISNUMBER(MATCH(Y47&amp;Z47,FSData!$AB$7:$AB$95,0))</f>
        <v>1</v>
      </c>
      <c r="AO47" s="162" t="b">
        <f t="shared" si="6"/>
        <v>0</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x14ac:dyDescent="0.3">
      <c r="C48" s="468"/>
      <c r="D48" s="468"/>
      <c r="E48" s="468"/>
      <c r="F48" s="498"/>
      <c r="H48" s="39" t="str">
        <f>_xlfn.TEXTJOIN(6,1,FSBuilder[[#This Row],[Statement]:[Account or Explanation]])</f>
        <v/>
      </c>
      <c r="I48" s="39"/>
      <c r="J48" s="63"/>
      <c r="K48" s="63"/>
      <c r="L48" s="39"/>
      <c r="M48" s="553"/>
      <c r="N48" s="558"/>
      <c r="O48" s="558"/>
      <c r="P48" s="558"/>
      <c r="Q48" s="553"/>
      <c r="R48" s="558"/>
      <c r="S48" s="558"/>
      <c r="T48" s="553">
        <f ca="1"/>
        <v>3</v>
      </c>
      <c r="U48" s="558" t="str">
        <f ca="1"/>
        <v>ΔBalance sheet accounts due to Operations:</v>
      </c>
      <c r="V48" s="558" t="str">
        <f ca="1"/>
        <v/>
      </c>
      <c r="W48" s="558"/>
      <c r="X48" s="39"/>
      <c r="Y48" s="63"/>
      <c r="Z48" s="63"/>
      <c r="AC48" s="162" t="b">
        <f>ISNUMBER(MATCH(N48&amp;O48,FSData!$V$7:$V$95,0))</f>
        <v>1</v>
      </c>
      <c r="AD48" s="162" t="b">
        <f t="shared" si="0"/>
        <v>0</v>
      </c>
      <c r="AE48" s="97" t="b">
        <f t="shared" si="1"/>
        <v>0</v>
      </c>
      <c r="AF48" s="162" t="b">
        <f>ISNUMBER(MATCH(R48&amp;S48,FSData!$X$7:$X$95,0))</f>
        <v>1</v>
      </c>
      <c r="AG48" s="162" t="b">
        <f t="shared" si="2"/>
        <v>0</v>
      </c>
      <c r="AH48" s="97" t="b">
        <f t="shared" si="3"/>
        <v>0</v>
      </c>
      <c r="AJ48" s="162" t="b">
        <f ca="1">ISNUMBER(MATCH(U48&amp;V48,FSData!$Z$7:$Z$95,0))</f>
        <v>1</v>
      </c>
      <c r="AK48" s="162" t="b">
        <f t="shared" ca="1" si="4"/>
        <v>0</v>
      </c>
      <c r="AL48" s="97" t="b">
        <f t="shared" ca="1"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x14ac:dyDescent="0.3">
      <c r="C49" s="468"/>
      <c r="D49" s="468"/>
      <c r="E49" s="468"/>
      <c r="F49" s="498"/>
      <c r="H49" s="39" t="str">
        <f>_xlfn.TEXTJOIN(6,1,FSBuilder[[#This Row],[Statement]:[Account or Explanation]])</f>
        <v/>
      </c>
      <c r="I49" s="39"/>
      <c r="J49" s="63"/>
      <c r="K49" s="63"/>
      <c r="L49" s="39"/>
      <c r="M49" s="553"/>
      <c r="N49" s="558"/>
      <c r="O49" s="558"/>
      <c r="P49" s="558"/>
      <c r="Q49" s="553"/>
      <c r="R49" s="558"/>
      <c r="S49" s="558"/>
      <c r="T49" s="553">
        <f ca="1"/>
        <v>7</v>
      </c>
      <c r="U49" s="558" t="str">
        <f ca="1"/>
        <v>Accounts Receivable</v>
      </c>
      <c r="V49" s="558">
        <f ca="1"/>
        <v>-9.8000000000000007</v>
      </c>
      <c r="W49" s="558"/>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 ca="1">ISNUMBER(MATCH(U49&amp;V49,FSData!$Z$7:$Z$95,0))</f>
        <v>0</v>
      </c>
      <c r="AK49" s="162" t="b">
        <f t="shared" ca="1" si="4"/>
        <v>0</v>
      </c>
      <c r="AL49" s="97" t="b">
        <f t="shared" ca="1" si="5"/>
        <v>1</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x14ac:dyDescent="0.3">
      <c r="C50" s="468"/>
      <c r="D50" s="468"/>
      <c r="E50" s="468"/>
      <c r="F50" s="498"/>
      <c r="H50" s="39" t="str">
        <f>_xlfn.TEXTJOIN(6,1,FSBuilder[[#This Row],[Statement]:[Account or Explanation]])</f>
        <v/>
      </c>
      <c r="I50" s="39"/>
      <c r="J50" s="63"/>
      <c r="K50" s="63"/>
      <c r="L50" s="39"/>
      <c r="M50" s="553"/>
      <c r="N50" s="558"/>
      <c r="O50" s="558"/>
      <c r="P50" s="558"/>
      <c r="Q50" s="553"/>
      <c r="R50" s="558"/>
      <c r="S50" s="558"/>
      <c r="T50" s="553">
        <f ca="1"/>
        <v>7</v>
      </c>
      <c r="U50" s="558" t="str">
        <f ca="1"/>
        <v>Inventories</v>
      </c>
      <c r="V50" s="558">
        <f ca="1"/>
        <v>-5</v>
      </c>
      <c r="W50" s="558"/>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 ca="1">ISNUMBER(MATCH(U50&amp;V50,FSData!$Z$7:$Z$95,0))</f>
        <v>0</v>
      </c>
      <c r="AK50" s="162" t="b">
        <f t="shared" ca="1" si="4"/>
        <v>0</v>
      </c>
      <c r="AL50" s="97" t="b">
        <f t="shared" ca="1" si="5"/>
        <v>1</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x14ac:dyDescent="0.3">
      <c r="C51" s="468"/>
      <c r="D51" s="468"/>
      <c r="E51" s="468"/>
      <c r="F51" s="498"/>
      <c r="H51" s="39" t="str">
        <f>_xlfn.TEXTJOIN(6,1,FSBuilder[[#This Row],[Statement]:[Account or Explanation]])</f>
        <v/>
      </c>
      <c r="I51" s="39"/>
      <c r="J51" s="63"/>
      <c r="K51" s="63"/>
      <c r="L51" s="39"/>
      <c r="M51" s="553"/>
      <c r="N51" s="558"/>
      <c r="O51" s="558"/>
      <c r="P51" s="558"/>
      <c r="Q51" s="553"/>
      <c r="R51" s="558"/>
      <c r="S51" s="558"/>
      <c r="T51" s="553">
        <f ca="1"/>
        <v>7</v>
      </c>
      <c r="U51" s="558" t="str">
        <f ca="1"/>
        <v>Prepaid Rent</v>
      </c>
      <c r="V51" s="558">
        <f ca="1"/>
        <v>-1</v>
      </c>
      <c r="W51" s="558"/>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 ca="1">ISNUMBER(MATCH(U51&amp;V51,FSData!$Z$7:$Z$95,0))</f>
        <v>0</v>
      </c>
      <c r="AK51" s="162" t="b">
        <f t="shared" ca="1" si="4"/>
        <v>0</v>
      </c>
      <c r="AL51" s="97" t="b">
        <f t="shared" ca="1" si="5"/>
        <v>1</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x14ac:dyDescent="0.3">
      <c r="C52" s="468"/>
      <c r="D52" s="468"/>
      <c r="E52" s="468"/>
      <c r="F52" s="498"/>
      <c r="H52" s="39" t="str">
        <f>_xlfn.TEXTJOIN(6,1,FSBuilder[[#This Row],[Statement]:[Account or Explanation]])</f>
        <v/>
      </c>
      <c r="I52" s="39"/>
      <c r="J52" s="63"/>
      <c r="K52" s="63"/>
      <c r="L52" s="39"/>
      <c r="M52" s="553"/>
      <c r="N52" s="558"/>
      <c r="O52" s="558"/>
      <c r="P52" s="558"/>
      <c r="Q52" s="553"/>
      <c r="R52" s="558"/>
      <c r="S52" s="558"/>
      <c r="T52" s="553">
        <f ca="1"/>
        <v>7</v>
      </c>
      <c r="U52" s="558" t="str">
        <f ca="1"/>
        <v>Accounts Payable</v>
      </c>
      <c r="V52" s="558">
        <f ca="1"/>
        <v>15</v>
      </c>
      <c r="W52" s="558"/>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 ca="1">ISNUMBER(MATCH(U52&amp;V52,FSData!$Z$7:$Z$95,0))</f>
        <v>0</v>
      </c>
      <c r="AK52" s="162" t="b">
        <f t="shared" ca="1" si="4"/>
        <v>0</v>
      </c>
      <c r="AL52" s="97" t="b">
        <f t="shared" ca="1" si="5"/>
        <v>1</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x14ac:dyDescent="0.3">
      <c r="C53" s="468"/>
      <c r="D53" s="468"/>
      <c r="E53" s="468"/>
      <c r="F53" s="498"/>
      <c r="H53" s="39" t="str">
        <f>_xlfn.TEXTJOIN(6,1,FSBuilder[[#This Row],[Statement]:[Account or Explanation]])</f>
        <v/>
      </c>
      <c r="I53" s="39"/>
      <c r="J53" s="63"/>
      <c r="K53" s="63"/>
      <c r="L53" s="39"/>
      <c r="M53" s="553"/>
      <c r="N53" s="558"/>
      <c r="O53" s="558"/>
      <c r="P53" s="558"/>
      <c r="Q53" s="553"/>
      <c r="R53" s="558"/>
      <c r="S53" s="558"/>
      <c r="T53" s="553">
        <f ca="1"/>
        <v>7</v>
      </c>
      <c r="U53" s="558" t="str">
        <f ca="1"/>
        <v>Interest Payable</v>
      </c>
      <c r="V53" s="558">
        <f ca="1"/>
        <v>1.55</v>
      </c>
      <c r="W53" s="558"/>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 ca="1">ISNUMBER(MATCH(U53&amp;V53,FSData!$Z$7:$Z$95,0))</f>
        <v>0</v>
      </c>
      <c r="AK53" s="162" t="b">
        <f t="shared" ca="1" si="4"/>
        <v>0</v>
      </c>
      <c r="AL53" s="97" t="b">
        <f t="shared" ca="1" si="5"/>
        <v>1</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x14ac:dyDescent="0.3">
      <c r="C54" s="468"/>
      <c r="D54" s="468"/>
      <c r="E54" s="468"/>
      <c r="F54" s="498"/>
      <c r="H54" s="39" t="str">
        <f>_xlfn.TEXTJOIN(6,1,FSBuilder[[#This Row],[Statement]:[Account or Explanation]])</f>
        <v/>
      </c>
      <c r="I54" s="39"/>
      <c r="J54" s="63"/>
      <c r="K54" s="63"/>
      <c r="L54" s="39"/>
      <c r="M54" s="553"/>
      <c r="N54" s="558"/>
      <c r="O54" s="558"/>
      <c r="P54" s="558"/>
      <c r="Q54" s="553"/>
      <c r="R54" s="558"/>
      <c r="S54" s="558"/>
      <c r="T54" s="553">
        <f ca="1"/>
        <v>7</v>
      </c>
      <c r="U54" s="558" t="str">
        <f ca="1"/>
        <v>Salaries &amp; Wages Payable</v>
      </c>
      <c r="V54" s="558">
        <f ca="1"/>
        <v>1</v>
      </c>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 ca="1">ISNUMBER(MATCH(U54&amp;V54,FSData!$Z$7:$Z$95,0))</f>
        <v>0</v>
      </c>
      <c r="AK54" s="162" t="b">
        <f t="shared" ca="1" si="4"/>
        <v>0</v>
      </c>
      <c r="AL54" s="97" t="b">
        <f t="shared" ca="1" si="5"/>
        <v>1</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x14ac:dyDescent="0.3">
      <c r="C55" s="468"/>
      <c r="D55" s="468"/>
      <c r="E55" s="468"/>
      <c r="F55" s="498"/>
      <c r="H55" s="39" t="str">
        <f>_xlfn.TEXTJOIN(6,1,FSBuilder[[#This Row],[Statement]:[Account or Explanation]])</f>
        <v/>
      </c>
      <c r="I55" s="39"/>
      <c r="J55" s="63"/>
      <c r="K55" s="63"/>
      <c r="L55" s="39"/>
      <c r="M55" s="553"/>
      <c r="N55" s="558"/>
      <c r="O55" s="558"/>
      <c r="P55" s="558"/>
      <c r="Q55" s="553"/>
      <c r="R55" s="558"/>
      <c r="S55" s="558"/>
      <c r="T55" s="553" t="str">
        <f ca="1"/>
        <v/>
      </c>
      <c r="U55" s="558" t="str">
        <f ca="1"/>
        <v/>
      </c>
      <c r="V55" s="558" t="str">
        <f ca="1"/>
        <v/>
      </c>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 ca="1">ISNUMBER(MATCH(U55&amp;V55,FSData!$Z$7:$Z$95,0))</f>
        <v>1</v>
      </c>
      <c r="AK55" s="162" t="b">
        <f t="shared" ca="1" si="4"/>
        <v>0</v>
      </c>
      <c r="AL55" s="97" t="b">
        <f t="shared" ca="1"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x14ac:dyDescent="0.3">
      <c r="C56" s="468"/>
      <c r="D56" s="468"/>
      <c r="E56" s="468"/>
      <c r="F56" s="498"/>
      <c r="H56" s="39" t="str">
        <f>_xlfn.TEXTJOIN(6,1,FSBuilder[[#This Row],[Statement]:[Account or Explanation]])</f>
        <v/>
      </c>
      <c r="I56" s="39"/>
      <c r="J56" s="63"/>
      <c r="K56" s="63"/>
      <c r="L56" s="39"/>
      <c r="M56" s="553"/>
      <c r="N56" s="558"/>
      <c r="O56" s="558"/>
      <c r="P56" s="558"/>
      <c r="Q56" s="553"/>
      <c r="R56" s="558"/>
      <c r="S56" s="558"/>
      <c r="T56" s="553">
        <f ca="1"/>
        <v>2</v>
      </c>
      <c r="U56" s="558" t="str">
        <f ca="1"/>
        <v>Cash Flow from Operations</v>
      </c>
      <c r="V56" s="558">
        <f ca="1"/>
        <v>5.05</v>
      </c>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 ca="1">ISNUMBER(MATCH(U56&amp;V56,FSData!$Z$7:$Z$95,0))</f>
        <v>0</v>
      </c>
      <c r="AK56" s="162" t="b">
        <f t="shared" ca="1" si="4"/>
        <v>1</v>
      </c>
      <c r="AL56" s="97" t="b">
        <f t="shared" ca="1"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x14ac:dyDescent="0.3">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x14ac:dyDescent="0.3">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x14ac:dyDescent="0.3">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x14ac:dyDescent="0.3">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x14ac:dyDescent="0.3">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x14ac:dyDescent="0.3">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x14ac:dyDescent="0.3">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x14ac:dyDescent="0.3">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x14ac:dyDescent="0.3">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x14ac:dyDescent="0.3">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x14ac:dyDescent="0.3">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x14ac:dyDescent="0.3">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x14ac:dyDescent="0.3">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x14ac:dyDescent="0.3">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x14ac:dyDescent="0.3">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x14ac:dyDescent="0.3">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x14ac:dyDescent="0.3">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x14ac:dyDescent="0.3">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x14ac:dyDescent="0.3">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x14ac:dyDescent="0.3">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x14ac:dyDescent="0.3">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x14ac:dyDescent="0.3">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x14ac:dyDescent="0.3">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x14ac:dyDescent="0.3">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x14ac:dyDescent="0.3">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x14ac:dyDescent="0.3">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x14ac:dyDescent="0.3">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x14ac:dyDescent="0.3">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x14ac:dyDescent="0.3">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x14ac:dyDescent="0.3">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x14ac:dyDescent="0.3">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x14ac:dyDescent="0.3">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x14ac:dyDescent="0.3">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 thickBot="1" x14ac:dyDescent="0.35">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x14ac:dyDescent="0.3">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hidden="1" x14ac:dyDescent="0.3">
      <c r="F92" s="506"/>
      <c r="H92" s="39"/>
      <c r="L92" s="39"/>
      <c r="M92" s="39"/>
    </row>
    <row r="93" spans="2:45" hidden="1" x14ac:dyDescent="0.3">
      <c r="F93" s="192"/>
      <c r="H93" s="39"/>
      <c r="L93" s="39"/>
      <c r="M93" s="39"/>
    </row>
    <row r="94" spans="2:45" hidden="1" x14ac:dyDescent="0.3">
      <c r="C94" s="192"/>
      <c r="D94" s="192"/>
      <c r="E94" s="192"/>
      <c r="F94" s="192"/>
      <c r="H94" s="39"/>
      <c r="L94" s="39"/>
      <c r="M94" s="39"/>
    </row>
    <row r="95" spans="2:45" s="171" customFormat="1" hidden="1" x14ac:dyDescent="0.3">
      <c r="B95" s="176" t="s">
        <v>135</v>
      </c>
      <c r="L95" s="521"/>
      <c r="M95" s="521"/>
    </row>
    <row r="96" spans="2:45" hidden="1" x14ac:dyDescent="0.3">
      <c r="B96" s="260"/>
      <c r="C96" s="5" t="s">
        <v>136</v>
      </c>
    </row>
    <row r="97" spans="2:33" hidden="1" x14ac:dyDescent="0.3">
      <c r="B97" s="260"/>
      <c r="C97" s="372" t="s">
        <v>109</v>
      </c>
      <c r="D97" s="372" t="s">
        <v>110</v>
      </c>
      <c r="E97" s="372" t="s">
        <v>137</v>
      </c>
      <c r="AC97" s="528" t="s">
        <v>96</v>
      </c>
      <c r="AF97" s="528" t="s">
        <v>138</v>
      </c>
    </row>
    <row r="98" spans="2:33" hidden="1" x14ac:dyDescent="0.3">
      <c r="B98" s="260"/>
      <c r="C98" s="192" t="str">
        <f>_xlfn.TEXTJOIN("6",TRUE,C25:C91)</f>
        <v>Cash Flow Statement6Cash Flow Statement6Cash Flow Statement6Cash Flow Statement6Cash Flow Statement6Cash Flow Statement6Cash Flow Statement6Cash Flow Statement</v>
      </c>
      <c r="D98" s="192" t="str">
        <f>_xlfn.TEXTJOIN("6",TRUE,D25:D91)</f>
        <v xml:space="preserve">  Investing Activities6  Investing Activities6  Financing Activities6  Financing Activities6  Operating Activities6  Operating Activities6  Operating Activities6  Operating Activities</v>
      </c>
      <c r="E98" s="192" t="str">
        <f>_xlfn.TEXTJOIN(6,1,H25:H91)</f>
        <v>Cash Flow Statement6  Investing Activities6Acquired marketable securities6Cash Flow Statement6  Investing Activities6Acquired PP&amp;E6Cash Flow Statement6  Financing Activities6Issued common stock6Cash Flow Statement6  Financing Activities6Issued bonds6Cash Flow Statement6  Operating Activities6Collections from customers6Cash Flow Statement6  Operating Activities6Payments for prepaid expenses6Cash Flow Statement6  Operating Activities6Payments to employees6Cash Flow Statement6  Operating Activities6Payments to suppliers</v>
      </c>
      <c r="AC98" t="s">
        <v>139</v>
      </c>
      <c r="AF98" t="s">
        <v>140</v>
      </c>
      <c r="AG98" s="5" t="b">
        <f>OR(F107,E107)</f>
        <v>0</v>
      </c>
    </row>
    <row r="99" spans="2:33" ht="15" hidden="1" thickBot="1" x14ac:dyDescent="0.35">
      <c r="B99" s="260"/>
      <c r="AC99" s="5" t="s">
        <v>141</v>
      </c>
      <c r="AD99" s="5" t="b">
        <f>$S$126</f>
        <v>1</v>
      </c>
    </row>
    <row r="100" spans="2:33" hidden="1" x14ac:dyDescent="0.3">
      <c r="B100" s="372"/>
      <c r="C100" s="465" t="s">
        <v>142</v>
      </c>
      <c r="D100" s="515" t="s">
        <v>143</v>
      </c>
      <c r="E100" s="515" t="s">
        <v>144</v>
      </c>
      <c r="F100" s="515" t="s">
        <v>145</v>
      </c>
      <c r="G100" s="515" t="s">
        <v>146</v>
      </c>
      <c r="H100" s="516" t="s">
        <v>147</v>
      </c>
      <c r="M100" s="372"/>
      <c r="N100" s="465" t="s">
        <v>148</v>
      </c>
      <c r="O100" s="516" t="s">
        <v>144</v>
      </c>
      <c r="R100" s="404" t="s">
        <v>149</v>
      </c>
      <c r="S100" s="174"/>
      <c r="U100" s="5" t="s">
        <v>150</v>
      </c>
      <c r="AC100" s="5" t="s">
        <v>151</v>
      </c>
      <c r="AD100" s="5" t="b">
        <f>$S$126</f>
        <v>1</v>
      </c>
      <c r="AF100" s="528" t="s">
        <v>152</v>
      </c>
    </row>
    <row r="101" spans="2:33" hidden="1" x14ac:dyDescent="0.3">
      <c r="C101" s="96" t="s">
        <v>153</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154</v>
      </c>
      <c r="O101" s="97" t="b">
        <f t="shared" ref="O101:O108" si="17">ISNUMBER(SEARCH(N101,$E$98,1))</f>
        <v>0</v>
      </c>
      <c r="R101" s="96"/>
      <c r="S101" s="97"/>
      <c r="AF101" t="s">
        <v>140</v>
      </c>
      <c r="AG101" s="5" t="b">
        <f>OR(F105,E105)</f>
        <v>1</v>
      </c>
    </row>
    <row r="102" spans="2:33" hidden="1" x14ac:dyDescent="0.3">
      <c r="B102" s="372"/>
      <c r="C102" s="96" t="s">
        <v>94</v>
      </c>
      <c r="D102" s="1" t="str">
        <f>ProblemData!F41</f>
        <v>Prepare</v>
      </c>
      <c r="E102" t="b">
        <f t="shared" si="16"/>
        <v>0</v>
      </c>
      <c r="F102" s="1" t="b">
        <f>IF(ProblemData!E11,_xlfn.XLOOKUP(C102,$C$14:$C$21,$D$14:$D$21),"FALSE")</f>
        <v>1</v>
      </c>
      <c r="H102" s="97" t="b">
        <f ca="1">FSAnswers!I99</f>
        <v>0</v>
      </c>
      <c r="N102" s="96" t="s">
        <v>155</v>
      </c>
      <c r="O102" s="97" t="b">
        <f t="shared" si="17"/>
        <v>0</v>
      </c>
      <c r="R102" s="524" t="s">
        <v>153</v>
      </c>
      <c r="S102" s="97"/>
      <c r="U102" s="528" t="s">
        <v>153</v>
      </c>
      <c r="Y102" s="528" t="s">
        <v>94</v>
      </c>
      <c r="AC102" s="5" t="s">
        <v>156</v>
      </c>
    </row>
    <row r="103" spans="2:33" hidden="1" x14ac:dyDescent="0.3">
      <c r="B103" s="372"/>
      <c r="C103" s="96" t="s">
        <v>95</v>
      </c>
      <c r="D103" s="1" t="str">
        <f>ProblemData!F43</f>
        <v>Prepare</v>
      </c>
      <c r="E103" t="b">
        <f t="shared" si="16"/>
        <v>0</v>
      </c>
      <c r="F103" s="1" t="b">
        <f>IF(ProblemData!E13,_xlfn.XLOOKUP(C103,$C$14:$C$21,$D$14:$D$21),"FALSE")</f>
        <v>1</v>
      </c>
      <c r="H103" s="97" t="b">
        <f ca="1">FSAnswers!M99</f>
        <v>0</v>
      </c>
      <c r="N103" s="96" t="s">
        <v>157</v>
      </c>
      <c r="O103" s="97" t="b">
        <f t="shared" si="17"/>
        <v>0</v>
      </c>
      <c r="R103" s="96" t="s">
        <v>158</v>
      </c>
      <c r="S103" s="535" t="b">
        <f>$F$101</f>
        <v>1</v>
      </c>
      <c r="U103" t="s">
        <v>159</v>
      </c>
      <c r="Y103" t="s">
        <v>160</v>
      </c>
      <c r="AC103" t="s">
        <v>161</v>
      </c>
      <c r="AD103" t="b">
        <f>$F$104</f>
        <v>1</v>
      </c>
      <c r="AF103" t="s">
        <v>162</v>
      </c>
    </row>
    <row r="104" spans="2:33" hidden="1" x14ac:dyDescent="0.3">
      <c r="B104" s="372"/>
      <c r="C104" s="96" t="s">
        <v>96</v>
      </c>
      <c r="D104" s="1" t="str">
        <f>ProblemData!F45</f>
        <v>Prepare</v>
      </c>
      <c r="E104" t="b">
        <f t="shared" si="16"/>
        <v>1</v>
      </c>
      <c r="F104" s="1" t="b">
        <f>IF(ProblemData!E14,_xlfn.XLOOKUP(C104,$C$14:$C$21,$D$14:$D$21),"FALSE")</f>
        <v>1</v>
      </c>
      <c r="H104" s="97"/>
      <c r="N104" s="96" t="s">
        <v>163</v>
      </c>
      <c r="O104" s="97" t="b">
        <f t="shared" si="17"/>
        <v>0</v>
      </c>
      <c r="R104" s="96" t="s">
        <v>164</v>
      </c>
      <c r="S104" s="535" t="b">
        <f>$E$101</f>
        <v>0</v>
      </c>
      <c r="U104" s="5" t="s">
        <v>37</v>
      </c>
      <c r="V104" s="5" t="b">
        <f>$S$105</f>
        <v>1</v>
      </c>
      <c r="Y104" s="5" t="s">
        <v>43</v>
      </c>
      <c r="Z104" s="5" t="b">
        <f>$S$111</f>
        <v>1</v>
      </c>
      <c r="AC104" t="s">
        <v>165</v>
      </c>
      <c r="AD104" t="b">
        <f>$S$126</f>
        <v>1</v>
      </c>
      <c r="AF104" t="s">
        <v>166</v>
      </c>
    </row>
    <row r="105" spans="2:33" hidden="1" x14ac:dyDescent="0.3">
      <c r="B105" s="372"/>
      <c r="C105" s="96" t="s">
        <v>167</v>
      </c>
      <c r="D105" s="1" t="str">
        <f>ProblemData!F47</f>
        <v>Review</v>
      </c>
      <c r="E105" t="b">
        <f t="shared" si="16"/>
        <v>0</v>
      </c>
      <c r="F105" s="1" t="b">
        <f>IF(ProblemData!E15,_xlfn.XLOOKUP(C105,$C$14:$C$21,$D$14:$D$21),"FALSE")</f>
        <v>1</v>
      </c>
      <c r="H105" s="97"/>
      <c r="N105" s="96" t="s">
        <v>168</v>
      </c>
      <c r="O105" s="97" t="b">
        <f t="shared" si="17"/>
        <v>0</v>
      </c>
      <c r="R105" s="524" t="s">
        <v>169</v>
      </c>
      <c r="S105" s="536" t="b">
        <f>OR(S103,S104)</f>
        <v>1</v>
      </c>
      <c r="U105" s="5" t="s">
        <v>38</v>
      </c>
      <c r="V105" s="5" t="b">
        <f t="shared" ref="V105:V106" si="18">$S$105</f>
        <v>1</v>
      </c>
      <c r="Y105" s="5" t="s">
        <v>44</v>
      </c>
      <c r="Z105" s="5" t="b">
        <f>$S$111</f>
        <v>1</v>
      </c>
      <c r="AC105" t="s">
        <v>170</v>
      </c>
      <c r="AD105" t="b">
        <f>$K$125</f>
        <v>1</v>
      </c>
      <c r="AF105" t="s">
        <v>171</v>
      </c>
    </row>
    <row r="106" spans="2:33" hidden="1" x14ac:dyDescent="0.3">
      <c r="B106" s="372"/>
      <c r="C106" s="96" t="s">
        <v>97</v>
      </c>
      <c r="D106" s="1" t="str">
        <f>ProblemData!F40</f>
        <v>Prepare</v>
      </c>
      <c r="E106" t="b">
        <f t="shared" si="16"/>
        <v>0</v>
      </c>
      <c r="F106" s="1" t="b">
        <f>IF(ProblemData!E17,_xlfn.XLOOKUP(C106,$C$14:$C$21,$D$14:$D$21),"FALSE")</f>
        <v>1</v>
      </c>
      <c r="G106" t="b">
        <f>ABS(AD555-AD556-AD557)&lt;0.00001</f>
        <v>1</v>
      </c>
      <c r="H106" s="97" t="b">
        <f>FSAnswers!U99</f>
        <v>0</v>
      </c>
      <c r="N106" s="96" t="str">
        <f>$N$105&amp;"6Preferred Stock"</f>
        <v>Beginning Balance Sheet6  Equities6Preferred Stock</v>
      </c>
      <c r="O106" s="97" t="b">
        <f t="shared" si="17"/>
        <v>0</v>
      </c>
      <c r="R106" s="96"/>
      <c r="S106" s="535"/>
      <c r="U106" s="5" t="s">
        <v>39</v>
      </c>
      <c r="V106" s="5" t="b">
        <f t="shared" si="18"/>
        <v>1</v>
      </c>
      <c r="AC106" t="s">
        <v>172</v>
      </c>
      <c r="AD106" t="b">
        <f>$K$126</f>
        <v>1</v>
      </c>
      <c r="AF106" t="s">
        <v>173</v>
      </c>
    </row>
    <row r="107" spans="2:33" hidden="1" x14ac:dyDescent="0.3">
      <c r="B107" s="372"/>
      <c r="C107" s="96" t="s">
        <v>138</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94</v>
      </c>
      <c r="S107" s="535"/>
      <c r="Y107" s="5" t="s">
        <v>45</v>
      </c>
      <c r="AC107" t="s">
        <v>174</v>
      </c>
      <c r="AD107" t="b">
        <f>$K$127</f>
        <v>1</v>
      </c>
    </row>
    <row r="108" spans="2:33" ht="15" hidden="1" thickBot="1" x14ac:dyDescent="0.35">
      <c r="B108" s="372"/>
      <c r="C108" s="98" t="s">
        <v>175</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158</v>
      </c>
      <c r="S108" s="535" t="b">
        <f>$F$102</f>
        <v>1</v>
      </c>
      <c r="Y108" t="s">
        <v>160</v>
      </c>
      <c r="Z108" t="b">
        <f>$S$111</f>
        <v>1</v>
      </c>
      <c r="AC108" s="5" t="s">
        <v>169</v>
      </c>
      <c r="AD108" s="5" t="b">
        <f>OR(AD103,AND(AD104,OR(AD105,AD106,AD107)))</f>
        <v>1</v>
      </c>
      <c r="AF108" s="528" t="s">
        <v>97</v>
      </c>
    </row>
    <row r="109" spans="2:33" ht="15" hidden="1" thickBot="1" x14ac:dyDescent="0.35">
      <c r="B109" s="260"/>
      <c r="N109" s="96" t="str">
        <f>$N$105&amp;"6Retained Earnings"</f>
        <v>Beginning Balance Sheet6  Equities6Retained Earnings</v>
      </c>
      <c r="O109" s="97" t="b">
        <f t="shared" ref="O109:O111" si="19">ISNUMBER(SEARCH(N109,$E$98,1))</f>
        <v>0</v>
      </c>
      <c r="R109" s="96" t="s">
        <v>164</v>
      </c>
      <c r="S109" s="535" t="b">
        <f>$E$102</f>
        <v>0</v>
      </c>
      <c r="U109" s="5" t="s">
        <v>176</v>
      </c>
      <c r="Y109" t="s">
        <v>177</v>
      </c>
      <c r="Z109" t="b">
        <f>FSConstruction!$J$42=1</f>
        <v>0</v>
      </c>
      <c r="AF109" s="5" t="s">
        <v>37</v>
      </c>
      <c r="AG109" s="5" t="b">
        <f>$S$146</f>
        <v>1</v>
      </c>
    </row>
    <row r="110" spans="2:33" hidden="1" x14ac:dyDescent="0.3">
      <c r="B110" s="260"/>
      <c r="C110" s="355" t="str">
        <f>"as of "&amp;EndDate</f>
        <v>as of 12/31/20x4</v>
      </c>
      <c r="N110" s="96" t="str">
        <f>$N$105&amp;"6Accumulated Other Comprehensive Income"</f>
        <v>Beginning Balance Sheet6  Equities6Accumulated Other Comprehensive Income</v>
      </c>
      <c r="O110" s="97" t="b">
        <f t="shared" si="19"/>
        <v>0</v>
      </c>
      <c r="R110" s="96" t="s">
        <v>178</v>
      </c>
      <c r="S110" s="535" t="b">
        <f>AND($S$105,$S$146)</f>
        <v>1</v>
      </c>
      <c r="U110" t="s">
        <v>179</v>
      </c>
      <c r="V110" t="b">
        <f>$S$105</f>
        <v>1</v>
      </c>
      <c r="Y110" t="s">
        <v>180</v>
      </c>
      <c r="Z110" t="b">
        <f>$K$123</f>
        <v>0</v>
      </c>
      <c r="AC110" s="5" t="s">
        <v>181</v>
      </c>
      <c r="AF110" s="5" t="s">
        <v>38</v>
      </c>
      <c r="AG110" s="5" t="b">
        <f t="shared" ref="AG110:AG111" si="20">$S$146</f>
        <v>1</v>
      </c>
    </row>
    <row r="111" spans="2:33" hidden="1" x14ac:dyDescent="0.3">
      <c r="B111" s="260"/>
      <c r="C111" s="162" t="str">
        <f>"as of "&amp;BegDate</f>
        <v>as of 3/31/20X4</v>
      </c>
      <c r="N111" s="96" t="str">
        <f>$N$105&amp;"6Treasury Stock"</f>
        <v>Beginning Balance Sheet6  Equities6Treasury Stock</v>
      </c>
      <c r="O111" s="97" t="b">
        <f t="shared" si="19"/>
        <v>0</v>
      </c>
      <c r="R111" s="524" t="s">
        <v>169</v>
      </c>
      <c r="S111" s="536" t="b">
        <f>OR(S108,S109,S110)</f>
        <v>1</v>
      </c>
      <c r="U111" t="s">
        <v>182</v>
      </c>
      <c r="V111" t="b">
        <f>$K$116</f>
        <v>0</v>
      </c>
      <c r="Y111" t="s">
        <v>183</v>
      </c>
      <c r="Z111" t="b">
        <f>FSConstruction!$J$52=1</f>
        <v>0</v>
      </c>
      <c r="AC111" t="s">
        <v>161</v>
      </c>
      <c r="AD111" t="b">
        <f>$F$104</f>
        <v>1</v>
      </c>
      <c r="AF111" s="5" t="s">
        <v>39</v>
      </c>
      <c r="AG111" s="5" t="b">
        <f t="shared" si="20"/>
        <v>1</v>
      </c>
    </row>
    <row r="112" spans="2:33" ht="15" hidden="1" thickBot="1" x14ac:dyDescent="0.35">
      <c r="B112" s="260"/>
      <c r="C112" s="163" t="str">
        <f>"for the "&amp;Period&amp;" ended "&amp;EndDate</f>
        <v>for the Three Quarters ended 12/31/20x4</v>
      </c>
      <c r="N112" s="96" t="s">
        <v>184</v>
      </c>
      <c r="O112" s="97" t="b">
        <f t="shared" ref="O112:O119" si="21">ISNUMBER(SEARCH(N112,$E$98,1))</f>
        <v>0</v>
      </c>
      <c r="R112" s="96"/>
      <c r="S112" s="535"/>
      <c r="U112" t="s">
        <v>185</v>
      </c>
      <c r="V112" t="b">
        <f>$K$117</f>
        <v>0</v>
      </c>
      <c r="Y112" t="s">
        <v>186</v>
      </c>
      <c r="Z112" t="b">
        <f>$K$124</f>
        <v>0</v>
      </c>
      <c r="AC112" t="s">
        <v>165</v>
      </c>
      <c r="AD112" t="b">
        <f>$S$126</f>
        <v>1</v>
      </c>
    </row>
    <row r="113" spans="2:33" hidden="1" x14ac:dyDescent="0.3">
      <c r="B113" s="260"/>
      <c r="N113" s="96" t="s">
        <v>187</v>
      </c>
      <c r="O113" s="97" t="b">
        <f t="shared" si="21"/>
        <v>0</v>
      </c>
      <c r="R113" s="96"/>
      <c r="S113" s="535"/>
      <c r="U113" s="5" t="s">
        <v>169</v>
      </c>
      <c r="V113" s="5" t="b">
        <f>AND(V110,OR(V111,V112))</f>
        <v>0</v>
      </c>
      <c r="Y113" s="5" t="s">
        <v>169</v>
      </c>
      <c r="Z113" s="5" t="b">
        <f>AND(Z108,OR(Z109,Z110,Z111,Z112))</f>
        <v>0</v>
      </c>
      <c r="AC113" t="s">
        <v>170</v>
      </c>
      <c r="AD113" t="b">
        <f>$K$125</f>
        <v>1</v>
      </c>
      <c r="AF113" s="5" t="s">
        <v>176</v>
      </c>
    </row>
    <row r="114" spans="2:33" ht="15" hidden="1" thickBot="1" x14ac:dyDescent="0.35">
      <c r="B114" s="260"/>
      <c r="C114" s="40"/>
      <c r="D114" s="40" t="s">
        <v>188</v>
      </c>
      <c r="E114" s="40" t="s">
        <v>189</v>
      </c>
      <c r="F114" s="40" t="s">
        <v>190</v>
      </c>
      <c r="G114" s="40"/>
      <c r="N114" s="96" t="s">
        <v>191</v>
      </c>
      <c r="O114" s="97" t="b">
        <f t="shared" si="21"/>
        <v>0</v>
      </c>
      <c r="R114" s="524" t="s">
        <v>192</v>
      </c>
      <c r="S114" s="535"/>
      <c r="AC114" t="s">
        <v>172</v>
      </c>
      <c r="AD114" t="b">
        <f>$K$126</f>
        <v>1</v>
      </c>
      <c r="AF114" t="s">
        <v>193</v>
      </c>
      <c r="AG114" t="b">
        <f>$S$146</f>
        <v>1</v>
      </c>
    </row>
    <row r="115" spans="2:33" hidden="1" x14ac:dyDescent="0.3">
      <c r="B115" s="260"/>
      <c r="D115" t="str" cm="1">
        <f t="array" aca="1" ref="D115:D116" ca="1">_xlfn._xlws.FILTER(StChsSE[Item],ABS(StChsSE[AmtAnswer])&gt;0,"")</f>
        <v>Issued common stock</v>
      </c>
      <c r="E115" t="str" cm="1">
        <f t="array" aca="1" ref="E115:E122" ca="1">_xlfn._xlws.SORT(_xlfn.VSTACK(_xlfn.ANCHORARRAY(C129),_xlfn.ANCHORARRAY(D129),_xlfn.ANCHORARRAY(E129)))</f>
        <v>Acquired marketable securities</v>
      </c>
      <c r="F115" t="str" cm="1">
        <f t="array" aca="1" ref="F115" ca="1">_xlfn._xlws.FILTER(NI_CFO_Recon_Adjs[Account],NI_CFO_Recon_Adjs[UsedAnswer]=1,"")</f>
        <v>Depreciation expense</v>
      </c>
      <c r="J115" s="465" t="s">
        <v>194</v>
      </c>
      <c r="K115" s="516" t="s">
        <v>144</v>
      </c>
      <c r="N115" s="96" t="s">
        <v>195</v>
      </c>
      <c r="O115" s="97" t="b">
        <f t="shared" si="21"/>
        <v>0</v>
      </c>
      <c r="R115" s="96" t="s">
        <v>158</v>
      </c>
      <c r="S115" s="535" t="b">
        <f>$F$103</f>
        <v>1</v>
      </c>
      <c r="Y115" s="5" t="s">
        <v>46</v>
      </c>
      <c r="AC115" t="s">
        <v>174</v>
      </c>
      <c r="AD115" t="b">
        <f>$K$127</f>
        <v>1</v>
      </c>
      <c r="AF115" t="s">
        <v>182</v>
      </c>
      <c r="AG115" t="b">
        <f>$O$113</f>
        <v>0</v>
      </c>
    </row>
    <row r="116" spans="2:33" hidden="1" x14ac:dyDescent="0.3">
      <c r="B116" s="260"/>
      <c r="D116" t="str">
        <f ca="1"/>
        <v>Net Income (Loss)</v>
      </c>
      <c r="E116" t="str">
        <f ca="1"/>
        <v>Acquired PP&amp;E</v>
      </c>
      <c r="J116" s="96" t="s">
        <v>116</v>
      </c>
      <c r="K116" s="97" t="b">
        <f t="shared" ref="K116:K128" si="22">ISNUMBER(SEARCH(J116,$D$98))</f>
        <v>0</v>
      </c>
      <c r="N116" s="96" t="s">
        <v>196</v>
      </c>
      <c r="O116" s="97" t="b">
        <f t="shared" si="21"/>
        <v>0</v>
      </c>
      <c r="R116" s="96" t="s">
        <v>197</v>
      </c>
      <c r="S116" s="535" t="b">
        <f>AND($O$105,$O$117)</f>
        <v>0</v>
      </c>
      <c r="U116" s="5" t="s">
        <v>198</v>
      </c>
      <c r="Y116" t="s">
        <v>160</v>
      </c>
      <c r="Z116" t="b">
        <f>$S$111</f>
        <v>1</v>
      </c>
      <c r="AC116" s="5" t="s">
        <v>169</v>
      </c>
      <c r="AD116" s="5" t="b">
        <f>OR(AD111,AND(AD112,OR(AD113,AD114,AD115)))</f>
        <v>1</v>
      </c>
      <c r="AF116" t="s">
        <v>185</v>
      </c>
      <c r="AG116" t="b">
        <f>$O$114</f>
        <v>0</v>
      </c>
    </row>
    <row r="117" spans="2:33" hidden="1" x14ac:dyDescent="0.3">
      <c r="B117" s="260"/>
      <c r="E117" t="str">
        <f ca="1"/>
        <v>Collections from customers</v>
      </c>
      <c r="J117" s="96" t="s">
        <v>127</v>
      </c>
      <c r="K117" s="97" t="b">
        <f t="shared" si="22"/>
        <v>0</v>
      </c>
      <c r="N117" s="96" t="s">
        <v>199</v>
      </c>
      <c r="O117" s="97" t="b">
        <f t="shared" si="21"/>
        <v>0</v>
      </c>
      <c r="R117" s="96" t="s">
        <v>178</v>
      </c>
      <c r="S117" s="535" t="b">
        <f>AND($S$105,$S$146)</f>
        <v>1</v>
      </c>
      <c r="U117" t="s">
        <v>179</v>
      </c>
      <c r="V117" t="b">
        <f>$S$105</f>
        <v>1</v>
      </c>
      <c r="Y117" t="s">
        <v>177</v>
      </c>
      <c r="Z117" t="b">
        <f>FSConstruction!$J$42=1</f>
        <v>0</v>
      </c>
      <c r="AF117" s="5" t="s">
        <v>169</v>
      </c>
      <c r="AG117" s="5" t="b">
        <f>AND(AG114,OR(AG115,AG116))</f>
        <v>0</v>
      </c>
    </row>
    <row r="118" spans="2:33" hidden="1" x14ac:dyDescent="0.3">
      <c r="B118" s="260"/>
      <c r="E118" t="str">
        <f ca="1"/>
        <v>Issued bonds</v>
      </c>
      <c r="J118" s="96" t="s">
        <v>122</v>
      </c>
      <c r="K118" s="97" t="b">
        <f t="shared" si="22"/>
        <v>0</v>
      </c>
      <c r="N118" s="96" t="str">
        <f>$N$117&amp;"6Preferred Stock"</f>
        <v>Ending Balance Sheet6  Equities6Preferred Stock</v>
      </c>
      <c r="O118" s="97" t="b">
        <f t="shared" si="21"/>
        <v>0</v>
      </c>
      <c r="R118" s="524" t="s">
        <v>169</v>
      </c>
      <c r="S118" s="536" t="b">
        <f>OR(S115,S116,S117)</f>
        <v>1</v>
      </c>
      <c r="U118" t="s">
        <v>182</v>
      </c>
      <c r="V118" t="b">
        <f>$K$116</f>
        <v>0</v>
      </c>
      <c r="Y118" t="s">
        <v>180</v>
      </c>
      <c r="Z118" t="b">
        <f>$K$123</f>
        <v>0</v>
      </c>
      <c r="AC118" s="5" t="s">
        <v>200</v>
      </c>
    </row>
    <row r="119" spans="2:33" hidden="1" x14ac:dyDescent="0.3">
      <c r="B119" s="260"/>
      <c r="E119" t="str">
        <f ca="1"/>
        <v>Issued common stock</v>
      </c>
      <c r="J119" s="96" t="s">
        <v>129</v>
      </c>
      <c r="K119" s="97" t="b">
        <f t="shared" si="22"/>
        <v>0</v>
      </c>
      <c r="N119" s="96" t="str">
        <f>$N$117&amp;"6Common Stock"</f>
        <v>Ending Balance Sheet6  Equities6Common Stock</v>
      </c>
      <c r="O119" s="97" t="b">
        <f t="shared" si="21"/>
        <v>0</v>
      </c>
      <c r="R119" s="96"/>
      <c r="S119" s="535"/>
      <c r="U119" t="s">
        <v>185</v>
      </c>
      <c r="V119" t="b">
        <f>K117</f>
        <v>0</v>
      </c>
      <c r="Y119" t="s">
        <v>183</v>
      </c>
      <c r="Z119" t="b">
        <f>FSConstruction!$J$52=1</f>
        <v>0</v>
      </c>
      <c r="AC119" t="s">
        <v>161</v>
      </c>
      <c r="AD119" t="b">
        <f>$F$104</f>
        <v>1</v>
      </c>
    </row>
    <row r="120" spans="2:33" hidden="1" x14ac:dyDescent="0.3">
      <c r="B120" s="260"/>
      <c r="E120" t="str">
        <f ca="1"/>
        <v>Payments for prepaid expenses</v>
      </c>
      <c r="J120" s="96" t="s">
        <v>131</v>
      </c>
      <c r="K120" s="97" t="b">
        <f t="shared" si="22"/>
        <v>0</v>
      </c>
      <c r="N120" s="96" t="str">
        <f>$N$117&amp;"6Additional Paid-in Capital"</f>
        <v>Ending Balance Sheet6  Equities6Additional Paid-in Capital</v>
      </c>
      <c r="O120" s="97" t="b">
        <f t="shared" ref="O120:O123" si="23">ISNUMBER(SEARCH(N120,$E$98,1))</f>
        <v>0</v>
      </c>
      <c r="R120" s="96"/>
      <c r="S120" s="535"/>
      <c r="U120" s="5" t="s">
        <v>169</v>
      </c>
      <c r="V120" s="5" t="b">
        <f>AND(V117,OR(V118,V119))</f>
        <v>0</v>
      </c>
      <c r="Y120" t="s">
        <v>186</v>
      </c>
      <c r="Z120" t="b">
        <f>$K$124</f>
        <v>0</v>
      </c>
      <c r="AC120" t="s">
        <v>165</v>
      </c>
      <c r="AD120" t="b">
        <f>$S$126</f>
        <v>1</v>
      </c>
      <c r="AF120" s="5" t="s">
        <v>198</v>
      </c>
    </row>
    <row r="121" spans="2:33" hidden="1" x14ac:dyDescent="0.3">
      <c r="B121" s="260"/>
      <c r="E121" t="str">
        <f ca="1"/>
        <v>Payments to employees</v>
      </c>
      <c r="J121" s="96" t="s">
        <v>117</v>
      </c>
      <c r="K121" s="97" t="b">
        <f t="shared" si="22"/>
        <v>0</v>
      </c>
      <c r="N121" s="96" t="str">
        <f>$N$117&amp;"6Retained Earnings"</f>
        <v>Ending Balance Sheet6  Equities6Retained Earnings</v>
      </c>
      <c r="O121" s="97" t="b">
        <f t="shared" si="23"/>
        <v>0</v>
      </c>
      <c r="R121" s="524" t="s">
        <v>96</v>
      </c>
      <c r="S121" s="535"/>
      <c r="Y121" s="5" t="s">
        <v>169</v>
      </c>
      <c r="Z121" s="5" t="b">
        <f>AND(Z116,OR(Z117,Z118,Z119,Z120))</f>
        <v>0</v>
      </c>
      <c r="AC121" t="s">
        <v>170</v>
      </c>
      <c r="AD121" t="b">
        <f>$K$125</f>
        <v>1</v>
      </c>
      <c r="AF121" t="s">
        <v>193</v>
      </c>
      <c r="AG121" t="b">
        <f>$S$146</f>
        <v>1</v>
      </c>
    </row>
    <row r="122" spans="2:33" hidden="1" x14ac:dyDescent="0.3">
      <c r="B122" s="260"/>
      <c r="E122" t="str">
        <f ca="1"/>
        <v>Payments to suppliers</v>
      </c>
      <c r="J122" s="96" t="s">
        <v>123</v>
      </c>
      <c r="K122" s="97" t="b">
        <f t="shared" si="22"/>
        <v>0</v>
      </c>
      <c r="N122" s="96" t="str">
        <f>$N$117&amp;"6Accumulated Other Comprehensive Income"</f>
        <v>Ending Balance Sheet6  Equities6Accumulated Other Comprehensive Income</v>
      </c>
      <c r="O122" s="97" t="b">
        <f t="shared" si="23"/>
        <v>0</v>
      </c>
      <c r="R122" s="96" t="s">
        <v>158</v>
      </c>
      <c r="S122" s="535" t="b">
        <f>$F$104</f>
        <v>1</v>
      </c>
      <c r="AC122" t="s">
        <v>172</v>
      </c>
      <c r="AD122" t="b">
        <f>$K$126</f>
        <v>1</v>
      </c>
      <c r="AF122" t="s">
        <v>182</v>
      </c>
      <c r="AG122" t="b">
        <f>$O$113</f>
        <v>0</v>
      </c>
    </row>
    <row r="123" spans="2:33" hidden="1" x14ac:dyDescent="0.3">
      <c r="B123" s="260"/>
      <c r="J123" s="96" t="s">
        <v>201</v>
      </c>
      <c r="K123" s="97" t="b">
        <f t="shared" si="22"/>
        <v>0</v>
      </c>
      <c r="N123" s="96" t="str">
        <f>$N$117&amp;"6Treasury Stock"</f>
        <v>Ending Balance Sheet6  Equities6Treasury Stock</v>
      </c>
      <c r="O123" s="97" t="b">
        <f t="shared" si="23"/>
        <v>0</v>
      </c>
      <c r="R123" s="96" t="s">
        <v>202</v>
      </c>
      <c r="S123" s="535" t="b">
        <f>$E$104</f>
        <v>1</v>
      </c>
      <c r="U123" s="5" t="s">
        <v>203</v>
      </c>
      <c r="Y123" s="528" t="s">
        <v>204</v>
      </c>
      <c r="AC123" t="s">
        <v>174</v>
      </c>
      <c r="AD123" t="b">
        <f>$K$127</f>
        <v>1</v>
      </c>
      <c r="AF123" t="s">
        <v>185</v>
      </c>
      <c r="AG123" t="b">
        <f>$O$114</f>
        <v>0</v>
      </c>
    </row>
    <row r="124" spans="2:33" hidden="1" x14ac:dyDescent="0.3">
      <c r="B124" s="260"/>
      <c r="F124" s="5" t="s">
        <v>205</v>
      </c>
      <c r="J124" s="96" t="s">
        <v>206</v>
      </c>
      <c r="K124" s="97" t="b">
        <f t="shared" si="22"/>
        <v>0</v>
      </c>
      <c r="N124" s="96" t="s">
        <v>207</v>
      </c>
      <c r="O124" s="97" t="b">
        <f>ISNUMBER(SEARCH(N124,$E$98,1))</f>
        <v>0</v>
      </c>
      <c r="R124" s="96" t="s">
        <v>208</v>
      </c>
      <c r="S124" s="535" t="b">
        <f>AND($O$112,$O$124)</f>
        <v>0</v>
      </c>
      <c r="U124" t="s">
        <v>179</v>
      </c>
      <c r="V124" t="b">
        <f>$S$105</f>
        <v>1</v>
      </c>
      <c r="AC124" s="5" t="s">
        <v>169</v>
      </c>
      <c r="AD124" s="5" t="b">
        <f>OR(AD119,AND(AD120,OR(AD121,AD122,AD123)))</f>
        <v>1</v>
      </c>
      <c r="AF124" s="5" t="s">
        <v>169</v>
      </c>
      <c r="AG124" s="5" t="b">
        <f>AND(AG121,OR(AG122,AG123))</f>
        <v>0</v>
      </c>
    </row>
    <row r="125" spans="2:33" hidden="1" x14ac:dyDescent="0.3">
      <c r="B125" s="260"/>
      <c r="F125" t="str" cm="1">
        <f t="array" aca="1" ref="F125:F130" ca="1">_xlfn._xlws.FILTER(NI_CFO_Recon_Chs_Ops[Account],NI_CFO_Recon_Chs_Ops[UsedAnswer]=1,"")</f>
        <v>Accounts Receivable</v>
      </c>
      <c r="J125" s="96" t="s">
        <v>119</v>
      </c>
      <c r="K125" s="97" t="b">
        <f t="shared" si="22"/>
        <v>1</v>
      </c>
      <c r="N125" s="96"/>
      <c r="O125" s="97"/>
      <c r="R125" s="96" t="s">
        <v>178</v>
      </c>
      <c r="S125" s="535" t="b">
        <f>AND($S$105,$S$146)</f>
        <v>1</v>
      </c>
      <c r="U125" t="s">
        <v>209</v>
      </c>
      <c r="V125" t="b">
        <f>$K$118</f>
        <v>0</v>
      </c>
      <c r="Y125" t="s">
        <v>210</v>
      </c>
    </row>
    <row r="126" spans="2:33" hidden="1" x14ac:dyDescent="0.3">
      <c r="B126" s="260"/>
      <c r="F126" t="str">
        <f ca="1"/>
        <v>Inventories</v>
      </c>
      <c r="J126" s="96" t="s">
        <v>125</v>
      </c>
      <c r="K126" s="97" t="b">
        <f t="shared" si="22"/>
        <v>1</v>
      </c>
      <c r="N126" s="96"/>
      <c r="O126" s="97"/>
      <c r="R126" s="524" t="s">
        <v>169</v>
      </c>
      <c r="S126" s="536" t="b">
        <f>OR(S122,S123,S124,S125)</f>
        <v>1</v>
      </c>
      <c r="U126" t="s">
        <v>211</v>
      </c>
      <c r="V126" t="b">
        <f>$K$119</f>
        <v>0</v>
      </c>
      <c r="Y126" s="5" t="s">
        <v>212</v>
      </c>
      <c r="Z126" s="5" t="b">
        <f>$S$118</f>
        <v>1</v>
      </c>
      <c r="AC126" s="5" t="s">
        <v>213</v>
      </c>
    </row>
    <row r="127" spans="2:33" hidden="1" x14ac:dyDescent="0.3">
      <c r="B127" s="260"/>
      <c r="F127" t="str">
        <f ca="1"/>
        <v>Prepaid Rent</v>
      </c>
      <c r="J127" s="96" t="s">
        <v>114</v>
      </c>
      <c r="K127" s="97" t="b">
        <f t="shared" si="22"/>
        <v>1</v>
      </c>
      <c r="N127" s="96"/>
      <c r="O127" s="97"/>
      <c r="R127" s="96"/>
      <c r="S127" s="535"/>
      <c r="U127" s="5" t="s">
        <v>169</v>
      </c>
      <c r="V127" s="5" t="b">
        <f>AND(V124,OR(V125,V126))</f>
        <v>0</v>
      </c>
      <c r="Y127" s="5" t="s">
        <v>214</v>
      </c>
      <c r="Z127" s="5" t="b">
        <f>$S$118</f>
        <v>1</v>
      </c>
      <c r="AC127" s="5" t="s">
        <v>215</v>
      </c>
      <c r="AF127" s="5" t="s">
        <v>203</v>
      </c>
    </row>
    <row r="128" spans="2:33" ht="15" hidden="1" thickBot="1" x14ac:dyDescent="0.35">
      <c r="B128" s="260"/>
      <c r="C128" s="5" t="s">
        <v>216</v>
      </c>
      <c r="D128" s="5" t="s">
        <v>217</v>
      </c>
      <c r="E128" s="372" t="s">
        <v>218</v>
      </c>
      <c r="F128" t="str">
        <f ca="1"/>
        <v>Accounts Payable</v>
      </c>
      <c r="J128" s="98" t="s">
        <v>219</v>
      </c>
      <c r="K128" s="99" t="b">
        <f t="shared" si="22"/>
        <v>0</v>
      </c>
      <c r="N128" s="96"/>
      <c r="O128" s="97"/>
      <c r="R128" s="524" t="s">
        <v>152</v>
      </c>
      <c r="S128" s="535"/>
      <c r="AC128" t="s">
        <v>161</v>
      </c>
      <c r="AD128" t="b">
        <f>$F$104</f>
        <v>1</v>
      </c>
      <c r="AF128" t="s">
        <v>193</v>
      </c>
      <c r="AG128" t="b">
        <f>$S$146</f>
        <v>1</v>
      </c>
    </row>
    <row r="129" spans="2:33" hidden="1" x14ac:dyDescent="0.3">
      <c r="B129" s="260"/>
      <c r="C129" t="str" cm="1">
        <f t="array" aca="1" ref="C129:C132" ca="1">_xlfn._xlws.FILTER(FSConstruction!AQ9:AQ15,FSConstruction!AX9:AX15,"")</f>
        <v>Collections from customers</v>
      </c>
      <c r="D129" t="str" cm="1">
        <f t="array" aca="1" ref="D129:D130" ca="1">_xlfn._xlws.FILTER(FSConstruction!AQ20:AQ29,FSConstruction!AX20:AX29,"")</f>
        <v>Acquired marketable securities</v>
      </c>
      <c r="E129" s="192" t="str" cm="1">
        <f t="array" aca="1" ref="E129:E130" ca="1">_xlfn._xlws.FILTER(FSConstruction!AQ34:AQ46,FSConstruction!AX34:AX46,"")</f>
        <v>Issued common stock</v>
      </c>
      <c r="F129" t="str">
        <f ca="1"/>
        <v>Interest Payable</v>
      </c>
      <c r="N129" s="96"/>
      <c r="O129" s="97"/>
      <c r="R129" s="96" t="s">
        <v>158</v>
      </c>
      <c r="S129" s="535" t="b">
        <f>$F$105</f>
        <v>1</v>
      </c>
      <c r="U129" s="5" t="s">
        <v>220</v>
      </c>
      <c r="Y129" s="5" t="s">
        <v>221</v>
      </c>
      <c r="AC129" t="s">
        <v>165</v>
      </c>
      <c r="AD129" t="b">
        <f>$S$126</f>
        <v>1</v>
      </c>
      <c r="AF129" t="s">
        <v>209</v>
      </c>
      <c r="AG129" t="b">
        <f>$O$115</f>
        <v>0</v>
      </c>
    </row>
    <row r="130" spans="2:33" hidden="1" x14ac:dyDescent="0.3">
      <c r="B130" s="260"/>
      <c r="C130" t="str">
        <f ca="1"/>
        <v>Payments to suppliers</v>
      </c>
      <c r="D130" t="str">
        <f ca="1"/>
        <v>Acquired PP&amp;E</v>
      </c>
      <c r="E130" s="192" t="str">
        <f ca="1"/>
        <v>Issued bonds</v>
      </c>
      <c r="F130" t="str">
        <f ca="1"/>
        <v>Salaries &amp; Wages Payable</v>
      </c>
      <c r="J130" t="str" cm="1">
        <f t="array" ref="J130">IF(OR(($F$101=FALSE),$F$106=FALSE),_xlfn.ANCHORARRAY(FSConstruction!D88),"")</f>
        <v/>
      </c>
      <c r="L130" s="192" t="str" cm="1">
        <f t="array" ref="L130">IF(($F$102=FALSE),_xlfn.ANCHORARRAY(FSConstruction!I88),"")</f>
        <v/>
      </c>
      <c r="N130" s="96"/>
      <c r="O130" s="97"/>
      <c r="R130" s="96" t="s">
        <v>164</v>
      </c>
      <c r="S130" s="535" t="b">
        <f>$E$106</f>
        <v>0</v>
      </c>
      <c r="U130" t="s">
        <v>179</v>
      </c>
      <c r="V130" t="b">
        <f>$S$105</f>
        <v>1</v>
      </c>
      <c r="Y130" t="s">
        <v>222</v>
      </c>
      <c r="Z130" t="b">
        <f>$F$103</f>
        <v>1</v>
      </c>
      <c r="AC130" t="s">
        <v>170</v>
      </c>
      <c r="AD130" t="b">
        <f>$K$125</f>
        <v>1</v>
      </c>
      <c r="AF130" t="s">
        <v>211</v>
      </c>
      <c r="AG130" t="b">
        <f>$O$116</f>
        <v>0</v>
      </c>
    </row>
    <row r="131" spans="2:33" hidden="1" x14ac:dyDescent="0.3">
      <c r="B131" s="260"/>
      <c r="C131" t="str">
        <f ca="1"/>
        <v>Payments to employees</v>
      </c>
      <c r="E131" s="192"/>
      <c r="N131" s="96"/>
      <c r="O131" s="97"/>
      <c r="R131" s="524" t="s">
        <v>169</v>
      </c>
      <c r="S131" s="536" t="b">
        <f>OR(S129,S130)</f>
        <v>1</v>
      </c>
      <c r="U131" t="s">
        <v>209</v>
      </c>
      <c r="V131" t="b">
        <f>$K$118</f>
        <v>0</v>
      </c>
      <c r="Y131" t="s">
        <v>223</v>
      </c>
      <c r="Z131" t="b">
        <f>$S$118</f>
        <v>1</v>
      </c>
      <c r="AC131" t="s">
        <v>224</v>
      </c>
      <c r="AD131" t="b">
        <f ca="1">$W$159</f>
        <v>1</v>
      </c>
      <c r="AF131" s="5" t="s">
        <v>169</v>
      </c>
      <c r="AG131" s="5" t="b">
        <f>AND(AG128,OR(AG129,AG130))</f>
        <v>0</v>
      </c>
    </row>
    <row r="132" spans="2:33" hidden="1" x14ac:dyDescent="0.3">
      <c r="B132" s="260"/>
      <c r="C132" t="str">
        <f ca="1"/>
        <v>Payments for prepaid expenses</v>
      </c>
      <c r="N132" s="96"/>
      <c r="O132" s="97"/>
      <c r="R132" s="96"/>
      <c r="S132" s="535"/>
      <c r="U132" t="s">
        <v>211</v>
      </c>
      <c r="V132" t="b">
        <f>$K$119</f>
        <v>0</v>
      </c>
      <c r="Y132" t="s">
        <v>225</v>
      </c>
      <c r="Z132" t="b">
        <f>$K$120</f>
        <v>0</v>
      </c>
      <c r="AC132" t="s">
        <v>226</v>
      </c>
      <c r="AD132" t="b">
        <f ca="1">AND(AD128,AD131)</f>
        <v>1</v>
      </c>
    </row>
    <row r="133" spans="2:33" hidden="1" x14ac:dyDescent="0.3">
      <c r="B133" s="260"/>
      <c r="N133" s="96"/>
      <c r="O133" s="97"/>
      <c r="R133" s="96"/>
      <c r="S133" s="535"/>
      <c r="U133" s="5" t="s">
        <v>169</v>
      </c>
      <c r="V133" s="5" t="b">
        <f>AND(V130,OR(V131,V132))</f>
        <v>0</v>
      </c>
      <c r="Y133" s="5" t="s">
        <v>169</v>
      </c>
      <c r="Z133" s="5" t="b">
        <f>OR(Z130,AND(Z131,Z132))</f>
        <v>1</v>
      </c>
      <c r="AC133" t="s">
        <v>227</v>
      </c>
      <c r="AD133" t="b">
        <f ca="1">AND(AD129,AD130,AD131)</f>
        <v>1</v>
      </c>
      <c r="AF133" s="5" t="s">
        <v>220</v>
      </c>
    </row>
    <row r="134" spans="2:33" hidden="1" x14ac:dyDescent="0.3">
      <c r="B134" s="260"/>
      <c r="N134" s="96"/>
      <c r="O134" s="97"/>
      <c r="R134" s="524" t="s">
        <v>138</v>
      </c>
      <c r="S134" s="535"/>
      <c r="AC134" s="5" t="s">
        <v>169</v>
      </c>
      <c r="AD134" s="5" t="b">
        <f ca="1">OR(AD132,AD133)</f>
        <v>1</v>
      </c>
      <c r="AF134" t="s">
        <v>193</v>
      </c>
      <c r="AG134" t="b">
        <f>$S$146</f>
        <v>1</v>
      </c>
    </row>
    <row r="135" spans="2:33" hidden="1" x14ac:dyDescent="0.3">
      <c r="B135" s="260"/>
      <c r="N135" s="96"/>
      <c r="O135" s="97"/>
      <c r="R135" s="96" t="s">
        <v>158</v>
      </c>
      <c r="S135" s="535" t="str">
        <f>$F$107</f>
        <v>FALSE</v>
      </c>
      <c r="U135" s="5" t="s">
        <v>39</v>
      </c>
      <c r="AF135" t="s">
        <v>209</v>
      </c>
      <c r="AG135" t="b">
        <f>$O$115</f>
        <v>0</v>
      </c>
    </row>
    <row r="136" spans="2:33" hidden="1" x14ac:dyDescent="0.3">
      <c r="B136" s="260"/>
      <c r="C136" s="40"/>
      <c r="D136" s="5" t="s">
        <v>228</v>
      </c>
      <c r="N136" s="96"/>
      <c r="O136" s="97"/>
      <c r="R136" s="96" t="s">
        <v>164</v>
      </c>
      <c r="S136" s="535" t="b">
        <f>$E$107</f>
        <v>0</v>
      </c>
      <c r="U136" t="s">
        <v>179</v>
      </c>
      <c r="V136" t="b">
        <f>$S$105</f>
        <v>1</v>
      </c>
      <c r="Y136" s="5" t="s">
        <v>229</v>
      </c>
      <c r="AC136" s="5" t="s">
        <v>230</v>
      </c>
      <c r="AF136" t="s">
        <v>211</v>
      </c>
      <c r="AG136" t="b">
        <f>$O$116</f>
        <v>0</v>
      </c>
    </row>
    <row r="137" spans="2:33" ht="15" hidden="1" thickBot="1" x14ac:dyDescent="0.35">
      <c r="B137" s="260"/>
      <c r="D137" t="str" cm="1">
        <f t="array" aca="1" ref="D137:D143" ca="1">_xlfn._xlws.SORT(_xlfn.VSTACK(_xlfn.ANCHORARRAY(F115),_xlfn.ANCHORARRAY(F125)))</f>
        <v>Accounts Payable</v>
      </c>
      <c r="N137" s="98"/>
      <c r="O137" s="99"/>
      <c r="R137" s="524" t="s">
        <v>169</v>
      </c>
      <c r="S137" s="536" t="b">
        <f>OR(S135,S136)</f>
        <v>0</v>
      </c>
      <c r="U137" t="s">
        <v>231</v>
      </c>
      <c r="V137" t="b">
        <f>$K$120</f>
        <v>0</v>
      </c>
      <c r="Y137" t="s">
        <v>222</v>
      </c>
      <c r="Z137" t="b">
        <f>$F$103</f>
        <v>1</v>
      </c>
      <c r="AC137" t="s">
        <v>161</v>
      </c>
      <c r="AD137" t="b">
        <f>$F$104</f>
        <v>1</v>
      </c>
      <c r="AF137" s="5" t="s">
        <v>169</v>
      </c>
      <c r="AG137" s="5" t="b">
        <f>AND(AG134,OR(AG135,AG136))</f>
        <v>0</v>
      </c>
    </row>
    <row r="138" spans="2:33" hidden="1" x14ac:dyDescent="0.3">
      <c r="B138" s="260"/>
      <c r="C138" s="40" t="s">
        <v>138</v>
      </c>
      <c r="D138" t="str">
        <f ca="1"/>
        <v>Accounts Receivable</v>
      </c>
      <c r="R138" s="96"/>
      <c r="S138" s="535"/>
      <c r="U138" s="5" t="s">
        <v>169</v>
      </c>
      <c r="Y138" t="s">
        <v>225</v>
      </c>
      <c r="Z138" t="b">
        <f>$K$120</f>
        <v>0</v>
      </c>
      <c r="AC138" t="s">
        <v>165</v>
      </c>
      <c r="AD138" t="b">
        <f>$S$126</f>
        <v>1</v>
      </c>
    </row>
    <row r="139" spans="2:33" hidden="1" x14ac:dyDescent="0.3">
      <c r="B139" s="260"/>
      <c r="C139" t="str" cm="1">
        <f t="array" aca="1" ref="C139" ca="1">_xlfn._xlws.FILTER(Noncash_IF[Account],Noncash_IF[UsedAnswer],"")</f>
        <v/>
      </c>
      <c r="D139" t="str">
        <f ca="1"/>
        <v>Depreciation expense</v>
      </c>
      <c r="R139" s="524" t="s">
        <v>232</v>
      </c>
      <c r="S139" s="535"/>
      <c r="Y139" t="s">
        <v>233</v>
      </c>
      <c r="Z139" t="b">
        <f ca="1">FSConstruction!AF7&gt;0</f>
        <v>1</v>
      </c>
      <c r="AC139" t="s">
        <v>172</v>
      </c>
      <c r="AD139" t="b">
        <f>$K$126</f>
        <v>1</v>
      </c>
      <c r="AF139" s="5" t="s">
        <v>39</v>
      </c>
    </row>
    <row r="140" spans="2:33" hidden="1" x14ac:dyDescent="0.3">
      <c r="B140" s="260"/>
      <c r="D140" t="str">
        <f ca="1"/>
        <v>Interest Payable</v>
      </c>
      <c r="R140" s="96"/>
      <c r="S140" s="535"/>
      <c r="Y140" t="s">
        <v>234</v>
      </c>
      <c r="Z140" t="b">
        <f>StChsSE[[#Headers],[AmtFSBuilder]]&gt;0</f>
        <v>1</v>
      </c>
      <c r="AC140" t="s">
        <v>235</v>
      </c>
      <c r="AD140" t="b">
        <f ca="1">$W$185</f>
        <v>1</v>
      </c>
      <c r="AF140" t="s">
        <v>193</v>
      </c>
      <c r="AG140" t="b">
        <f>$S$146</f>
        <v>1</v>
      </c>
    </row>
    <row r="141" spans="2:33" hidden="1" x14ac:dyDescent="0.3">
      <c r="B141" s="260"/>
      <c r="D141" t="str">
        <f ca="1"/>
        <v>Inventories</v>
      </c>
      <c r="R141" s="96"/>
      <c r="S141" s="535"/>
      <c r="AC141" t="s">
        <v>236</v>
      </c>
      <c r="AD141" t="b">
        <f ca="1">AND(AD137,AD140)</f>
        <v>1</v>
      </c>
      <c r="AF141" t="s">
        <v>231</v>
      </c>
      <c r="AG141" t="b">
        <f>$O$117</f>
        <v>0</v>
      </c>
    </row>
    <row r="142" spans="2:33" hidden="1" x14ac:dyDescent="0.3">
      <c r="B142" s="260"/>
      <c r="D142" t="str">
        <f ca="1"/>
        <v>Prepaid Rent</v>
      </c>
      <c r="R142" s="96"/>
      <c r="S142" s="535"/>
      <c r="Y142" s="5" t="s">
        <v>169</v>
      </c>
      <c r="Z142" s="5" t="b">
        <f>OR(Z137,AND(Z138,Z141))</f>
        <v>1</v>
      </c>
      <c r="AC142" t="s">
        <v>237</v>
      </c>
      <c r="AD142" t="b">
        <f ca="1">AND(AD138,AD139,AD140)</f>
        <v>1</v>
      </c>
      <c r="AF142" s="5" t="s">
        <v>169</v>
      </c>
      <c r="AG142" s="5" t="b">
        <f>AND(AG140,AG141)</f>
        <v>0</v>
      </c>
    </row>
    <row r="143" spans="2:33" hidden="1" x14ac:dyDescent="0.3">
      <c r="B143" s="260"/>
      <c r="D143" t="str">
        <f ca="1"/>
        <v>Salaries &amp; Wages Payable</v>
      </c>
      <c r="R143" s="524" t="s">
        <v>97</v>
      </c>
      <c r="S143" s="535"/>
      <c r="AC143" s="5" t="s">
        <v>169</v>
      </c>
      <c r="AD143" s="5" t="b">
        <f ca="1">OR(AD141,AD142)</f>
        <v>1</v>
      </c>
    </row>
    <row r="144" spans="2:33" hidden="1" x14ac:dyDescent="0.3">
      <c r="B144" s="260"/>
      <c r="E144" s="5" t="s">
        <v>175</v>
      </c>
      <c r="R144" s="96" t="s">
        <v>158</v>
      </c>
      <c r="S144" s="535" t="b">
        <f>$F$106</f>
        <v>1</v>
      </c>
    </row>
    <row r="145" spans="2:31" hidden="1" x14ac:dyDescent="0.3">
      <c r="B145" s="260"/>
      <c r="C145" s="5" t="s">
        <v>238</v>
      </c>
      <c r="E145" t="str" cm="1">
        <f t="array" aca="1" ref="E145" ca="1">_xlfn._xlws.FILTER(OCI[Account],OCI[UsedAnswer]=1,"")</f>
        <v/>
      </c>
      <c r="R145" s="96" t="s">
        <v>164</v>
      </c>
      <c r="S145" s="535" t="b">
        <f>$E$106</f>
        <v>0</v>
      </c>
      <c r="AC145" s="5" t="s">
        <v>239</v>
      </c>
    </row>
    <row r="146" spans="2:31" hidden="1" x14ac:dyDescent="0.3">
      <c r="B146" s="260"/>
      <c r="C146" s="192" t="str" cm="1">
        <f t="array" ref="C146:C150">_xlfn._xlws.FILTER(C101:C108,D101:D108="Prepare","")</f>
        <v>Beginning Balance Sheet</v>
      </c>
      <c r="R146" s="524" t="s">
        <v>169</v>
      </c>
      <c r="S146" s="536" t="b">
        <f>OR(S144,S145)</f>
        <v>1</v>
      </c>
      <c r="AC146" t="s">
        <v>161</v>
      </c>
      <c r="AD146" t="b">
        <f>$F$104</f>
        <v>1</v>
      </c>
    </row>
    <row r="147" spans="2:31" hidden="1" x14ac:dyDescent="0.3">
      <c r="B147" s="260"/>
      <c r="C147" t="str">
        <v>Income Statement</v>
      </c>
      <c r="R147" s="96"/>
      <c r="S147" s="535"/>
      <c r="AC147" t="s">
        <v>165</v>
      </c>
      <c r="AD147" t="b">
        <f>$S$126</f>
        <v>1</v>
      </c>
    </row>
    <row r="148" spans="2:31" hidden="1" x14ac:dyDescent="0.3">
      <c r="B148" s="260"/>
      <c r="C148" t="str">
        <v>Statement of Changes in Shareholders' Equity</v>
      </c>
      <c r="R148" s="96"/>
      <c r="S148" s="535"/>
      <c r="AC148" t="s">
        <v>240</v>
      </c>
      <c r="AD148" t="b">
        <f>$K$127</f>
        <v>1</v>
      </c>
    </row>
    <row r="149" spans="2:31" ht="15" hidden="1" thickBot="1" x14ac:dyDescent="0.35">
      <c r="B149" s="260"/>
      <c r="C149" t="str">
        <v>Cash Flow Statement</v>
      </c>
      <c r="R149" s="525"/>
      <c r="S149" s="537"/>
      <c r="AC149" t="s">
        <v>241</v>
      </c>
      <c r="AD149" t="b">
        <f ca="1">$W$211</f>
        <v>1</v>
      </c>
    </row>
    <row r="150" spans="2:31" hidden="1" x14ac:dyDescent="0.3">
      <c r="B150" s="260"/>
      <c r="C150" t="str">
        <v>Ending Balance Sheet</v>
      </c>
      <c r="R150" s="5"/>
      <c r="S150" s="5"/>
      <c r="AC150" t="s">
        <v>242</v>
      </c>
      <c r="AD150" t="b">
        <f ca="1">AND(AD146,AD149)</f>
        <v>1</v>
      </c>
    </row>
    <row r="151" spans="2:31" hidden="1" x14ac:dyDescent="0.3">
      <c r="B151" s="260"/>
      <c r="AC151" t="s">
        <v>243</v>
      </c>
      <c r="AD151" t="b">
        <f ca="1">AND(AD147,AD148,AD149)</f>
        <v>1</v>
      </c>
    </row>
    <row r="152" spans="2:31" hidden="1" x14ac:dyDescent="0.3">
      <c r="B152" s="260"/>
      <c r="AC152" s="5" t="s">
        <v>169</v>
      </c>
      <c r="AD152" s="5" t="b">
        <f ca="1">OR(AD150,AD151)</f>
        <v>1</v>
      </c>
    </row>
    <row r="153" spans="2:31" hidden="1" x14ac:dyDescent="0.3">
      <c r="B153" s="260"/>
    </row>
    <row r="154" spans="2:31" s="171" customFormat="1" hidden="1" x14ac:dyDescent="0.3">
      <c r="B154" s="176" t="s">
        <v>244</v>
      </c>
      <c r="F154"/>
      <c r="G154"/>
      <c r="L154" s="521"/>
      <c r="M154" s="521"/>
    </row>
    <row r="155" spans="2:31" hidden="1" x14ac:dyDescent="0.3">
      <c r="B155" s="260"/>
    </row>
    <row r="156" spans="2:31" hidden="1" x14ac:dyDescent="0.3">
      <c r="B156" s="5" t="s">
        <v>153</v>
      </c>
      <c r="I156" s="5" t="s">
        <v>94</v>
      </c>
      <c r="Q156" s="5" t="s">
        <v>95</v>
      </c>
      <c r="U156" s="5" t="s">
        <v>96</v>
      </c>
      <c r="AB156" s="5" t="s">
        <v>97</v>
      </c>
    </row>
    <row r="157" spans="2:31" hidden="1" x14ac:dyDescent="0.3">
      <c r="C157" t="s">
        <v>245</v>
      </c>
      <c r="D157" s="5" t="b">
        <f>$F$101</f>
        <v>1</v>
      </c>
      <c r="J157" t="s">
        <v>245</v>
      </c>
      <c r="K157" s="5" t="b">
        <f>$F$102</f>
        <v>1</v>
      </c>
      <c r="R157" t="s">
        <v>245</v>
      </c>
      <c r="S157" s="5" t="b">
        <f>F103</f>
        <v>1</v>
      </c>
      <c r="AC157" t="s">
        <v>245</v>
      </c>
      <c r="AD157" s="5" t="b">
        <f>F106</f>
        <v>1</v>
      </c>
    </row>
    <row r="158" spans="2:31" hidden="1" x14ac:dyDescent="0.3"/>
    <row r="159" spans="2:31" ht="15" hidden="1" thickBot="1" x14ac:dyDescent="0.35">
      <c r="B159" s="5" t="s">
        <v>246</v>
      </c>
      <c r="E159" t="s">
        <v>247</v>
      </c>
      <c r="I159" s="5" t="s">
        <v>43</v>
      </c>
      <c r="L159" s="372" t="b">
        <f>COUNTIF(JournalAnswer[Accnt Type],"Revenue")&gt;0</f>
        <v>1</v>
      </c>
      <c r="M159" s="372"/>
      <c r="N159" t="s">
        <v>248</v>
      </c>
      <c r="R159" s="5" t="s">
        <v>249</v>
      </c>
      <c r="S159" cm="1">
        <f t="array" aca="1" ref="S159" ca="1">IF(MAX(ABS(S160:S162)&gt;0),1,0)</f>
        <v>0</v>
      </c>
      <c r="T159">
        <v>3</v>
      </c>
      <c r="U159" s="372" t="s">
        <v>215</v>
      </c>
      <c r="W159" t="b">
        <f ca="1">SUM(W160:W178)&gt;0.000001</f>
        <v>1</v>
      </c>
      <c r="AB159" s="5" t="s">
        <v>246</v>
      </c>
      <c r="AE159" t="s">
        <v>247</v>
      </c>
    </row>
    <row r="160" spans="2:31" hidden="1" x14ac:dyDescent="0.3">
      <c r="B160" s="175">
        <v>6</v>
      </c>
      <c r="C160" s="365" t="str" cm="1">
        <f t="array" ref="C160:D164">IF($D$157,_xlfn._xlws.FILTER(CHOOSE({1,2},BCurrAssets[Account],BCurrAssets[Amt]),BCurrAssets[Used]=1,{"",""}),_xlfn._xlws.FILTER(FSBuilder[[Account or Explanation]:[Amount]],(FSBuilder[Statement]="Beginning Balance Sheet")*(FSBuilder[Category]="  Current Assets"),{"",""}))</f>
        <v>Cash</v>
      </c>
      <c r="D160" s="381">
        <v>0</v>
      </c>
      <c r="E160">
        <f>IF(D160&lt;&gt;"",ABS(D160),0)</f>
        <v>0</v>
      </c>
      <c r="I160" s="479">
        <v>6</v>
      </c>
      <c r="J160" s="394" t="str" cm="1">
        <f t="array" aca="1" ref="J160:K160" ca="1">IF(K157,IF(L551,_xlfn._xlws.FILTER(CHOOSE({1,2},IS_Revenues[Account],IS_Revenues[AmtJournal]),IS_Revenues[UsedJournal]=1,{"",""}),{"",""}),_xlfn._xlws.FILTER(CHOOSE({1,2},IS_Revenues[Account],IS_Revenues[AmtFSBuilder]),IS_Revenues[UsedFSBuilder]=1,{"",""}))</f>
        <v>Sales</v>
      </c>
      <c r="K160" s="480">
        <f ca="1"/>
        <v>40</v>
      </c>
      <c r="L160" s="372" t="b">
        <f>COUNTIF(Journal[Accnt Type],"Revenue")&gt;0</f>
        <v>1</v>
      </c>
      <c r="M160" s="372"/>
      <c r="N160" t="s">
        <v>250</v>
      </c>
      <c r="P160" t="b">
        <v>1</v>
      </c>
      <c r="Q160">
        <v>5</v>
      </c>
      <c r="R160" s="175" t="str">
        <f>"Balance @ "&amp;BegDate</f>
        <v>Balance @ 3/31/20X4</v>
      </c>
      <c r="S160" s="381" cm="1">
        <f t="array" ref="S160">IF($S$157,_xlfn._xlws.FILTER(BEquities[Amt],BEquities[Account]=R159,0),_xlfn._xlws.FILTER(FSBuilder[Amount],((FSBuilder[Statement]="Beginning Balance Sheet")*(FSBuilder[Account or Explanation]=$R$159)),0))</f>
        <v>0</v>
      </c>
      <c r="T160" s="192">
        <v>6</v>
      </c>
      <c r="U160" s="479" t="str" cm="1">
        <f t="array" aca="1" ref="U160:V163" ca="1">IF($F$104,_xlfn._xlws.FILTER(CHOOSE({1,2},CFS_CFO[Account],CFS_CFO[AmtJournal]),ABS(CFS_CFO[AmtJournal])&gt;0.0001,{"",""}),_xlfn._xlws.FILTER(FSBuilder[[Account or Explanation]:[Amount]],(FSBuilder[Statement]="Cash Flow Statement")*(FSBuilder[Category]="  Operating Activities"),{"",""}))</f>
        <v>Collections from customers</v>
      </c>
      <c r="V160" s="480">
        <f ca="1"/>
        <v>30.05</v>
      </c>
      <c r="W160">
        <f ca="1">IF(V160&lt;&gt;"",ABS(V160),0)</f>
        <v>30.05</v>
      </c>
      <c r="X160" t="b">
        <f ca="1">NOT(W160&lt;0.000001)</f>
        <v>1</v>
      </c>
      <c r="AB160" s="175">
        <v>6</v>
      </c>
      <c r="AC160" s="365" t="str" cm="1">
        <f t="array" ref="AC160:AD164">IF($AD$157,_xlfn._xlws.FILTER(CHOOSE({1,2},ECurrAssets[Account],ECurrAssets[AmtJournal]),ECurrAssets[Used]=1,{"",""}),_xlfn._xlws.FILTER(FSBuilder[[Account or Explanation]:[Amount]],(FSBuilder[Statement]="Ending Balance Sheet")*(FSBuilder[Category]="  Current Assets"),{"",""}))</f>
        <v>Cash</v>
      </c>
      <c r="AD160" s="381">
        <v>40.050000000000011</v>
      </c>
      <c r="AE160">
        <f>IF(AD160&lt;&gt;"",ABS(AD160),0)</f>
        <v>40.050000000000011</v>
      </c>
    </row>
    <row r="161" spans="2:31" hidden="1" x14ac:dyDescent="0.3">
      <c r="B161" s="96">
        <v>7</v>
      </c>
      <c r="C161" t="str">
        <v>Accounts Receivable</v>
      </c>
      <c r="D161" s="173">
        <v>0</v>
      </c>
      <c r="E161">
        <f t="shared" ref="E161:E169" si="24">ABS(D161)</f>
        <v>0</v>
      </c>
      <c r="I161" s="481">
        <v>7</v>
      </c>
      <c r="J161" s="192"/>
      <c r="K161" s="482"/>
      <c r="P161" t="b">
        <f ca="1">IF(OR(S161=0,S161=""),FALSE,TRUE)</f>
        <v>0</v>
      </c>
      <c r="Q161">
        <v>7</v>
      </c>
      <c r="R161" s="96" t="s">
        <v>251</v>
      </c>
      <c r="S161" s="173">
        <f ca="1">IF($S$157,FSConstruction!AF9,FSConstruction!AH9)</f>
        <v>0</v>
      </c>
      <c r="T161" s="192">
        <v>7</v>
      </c>
      <c r="U161" s="481" t="str">
        <f ca="1"/>
        <v>Payments to suppliers</v>
      </c>
      <c r="V161" s="482">
        <f ca="1"/>
        <v>-15</v>
      </c>
      <c r="W161">
        <f t="shared" ref="W161:W178" ca="1" si="25">ABS(V161)</f>
        <v>15</v>
      </c>
      <c r="X161" t="b">
        <f t="shared" ref="X161:X178" ca="1" si="26">NOT(W161&lt;0.000001)</f>
        <v>1</v>
      </c>
      <c r="AB161" s="96">
        <v>7</v>
      </c>
      <c r="AC161" t="str">
        <v>Accounts Receivable</v>
      </c>
      <c r="AD161" s="173">
        <v>9.8000000000000007</v>
      </c>
      <c r="AE161">
        <f t="shared" ref="AE161:AE169" si="27">ABS(AD161)</f>
        <v>9.8000000000000007</v>
      </c>
    </row>
    <row r="162" spans="2:31" ht="15" hidden="1" thickBot="1" x14ac:dyDescent="0.35">
      <c r="B162" s="96">
        <v>7</v>
      </c>
      <c r="C162" t="str">
        <v>Marketable Securities</v>
      </c>
      <c r="D162" s="173">
        <v>0</v>
      </c>
      <c r="E162">
        <f t="shared" si="24"/>
        <v>0</v>
      </c>
      <c r="I162" s="481">
        <v>7</v>
      </c>
      <c r="J162" s="192"/>
      <c r="K162" s="482"/>
      <c r="P162" t="b">
        <v>1</v>
      </c>
      <c r="Q162">
        <v>5</v>
      </c>
      <c r="R162" s="98" t="str">
        <f>"Balance @ "&amp;EndDate</f>
        <v>Balance @ 12/31/20x4</v>
      </c>
      <c r="S162" s="285" cm="1">
        <f t="array" ref="S162">IF($S$157,_xlfn._xlws.FILTER(EEquities[AmtJournal],EEquities[Account]=R159,0),_xlfn._xlws.FILTER(FSBuilder[Amount],((FSBuilder[Statement]="Ending Balance Sheet")*(FSBuilder[Account or Explanation]=$R$159)),0))</f>
        <v>0</v>
      </c>
      <c r="T162" s="192">
        <v>7</v>
      </c>
      <c r="U162" s="481" t="str">
        <f ca="1"/>
        <v>Payments to employees</v>
      </c>
      <c r="V162" s="482">
        <f ca="1"/>
        <v>-6</v>
      </c>
      <c r="W162">
        <f t="shared" ca="1" si="25"/>
        <v>6</v>
      </c>
      <c r="X162" t="b">
        <f t="shared" ca="1" si="26"/>
        <v>1</v>
      </c>
      <c r="AB162" s="96">
        <v>7</v>
      </c>
      <c r="AC162" t="str">
        <v>Marketable Securities</v>
      </c>
      <c r="AD162" s="173">
        <v>25</v>
      </c>
      <c r="AE162">
        <f t="shared" si="27"/>
        <v>25</v>
      </c>
    </row>
    <row r="163" spans="2:31" hidden="1" x14ac:dyDescent="0.3">
      <c r="B163" s="96">
        <v>7</v>
      </c>
      <c r="C163" t="str">
        <v>Inventories</v>
      </c>
      <c r="D163" s="173">
        <v>0</v>
      </c>
      <c r="E163">
        <f t="shared" si="24"/>
        <v>0</v>
      </c>
      <c r="I163" s="481">
        <v>7</v>
      </c>
      <c r="J163" s="192"/>
      <c r="K163" s="482"/>
      <c r="T163" s="192">
        <v>7</v>
      </c>
      <c r="U163" s="481" t="str">
        <f ca="1"/>
        <v>Payments for prepaid expenses</v>
      </c>
      <c r="V163" s="482">
        <f ca="1"/>
        <v>-4</v>
      </c>
      <c r="W163">
        <f t="shared" ca="1" si="25"/>
        <v>4</v>
      </c>
      <c r="X163" t="b">
        <f t="shared" ca="1" si="26"/>
        <v>1</v>
      </c>
      <c r="AB163" s="96">
        <v>7</v>
      </c>
      <c r="AC163" t="str">
        <v>Inventories</v>
      </c>
      <c r="AD163" s="173">
        <v>5</v>
      </c>
      <c r="AE163">
        <f t="shared" si="27"/>
        <v>5</v>
      </c>
    </row>
    <row r="164" spans="2:31" ht="15" hidden="1" thickBot="1" x14ac:dyDescent="0.35">
      <c r="B164" s="96">
        <v>7</v>
      </c>
      <c r="C164" t="str">
        <v>Prepaid Rent</v>
      </c>
      <c r="D164" s="173">
        <v>0</v>
      </c>
      <c r="E164">
        <f t="shared" si="24"/>
        <v>0</v>
      </c>
      <c r="I164" s="481">
        <v>7</v>
      </c>
      <c r="J164" s="192"/>
      <c r="K164" s="482"/>
      <c r="R164" s="5" t="s">
        <v>65</v>
      </c>
      <c r="S164" cm="1">
        <f t="array" aca="1" ref="S164" ca="1">IF(MAX(ABS(S165:S169)&gt;0),1,0)</f>
        <v>0</v>
      </c>
      <c r="T164" s="192">
        <v>7</v>
      </c>
      <c r="U164" s="481"/>
      <c r="V164" s="482"/>
      <c r="W164">
        <f t="shared" si="25"/>
        <v>0</v>
      </c>
      <c r="X164" t="b">
        <f t="shared" si="26"/>
        <v>0</v>
      </c>
      <c r="AB164" s="96">
        <v>7</v>
      </c>
      <c r="AC164" t="str">
        <v>Prepaid Rent</v>
      </c>
      <c r="AD164" s="173">
        <v>1</v>
      </c>
      <c r="AE164">
        <f t="shared" si="27"/>
        <v>1</v>
      </c>
    </row>
    <row r="165" spans="2:31" hidden="1" x14ac:dyDescent="0.3">
      <c r="B165" s="96">
        <v>7</v>
      </c>
      <c r="D165" s="173"/>
      <c r="E165">
        <f t="shared" si="24"/>
        <v>0</v>
      </c>
      <c r="I165" s="481">
        <v>7</v>
      </c>
      <c r="J165" s="192"/>
      <c r="K165" s="482"/>
      <c r="P165" t="b">
        <v>1</v>
      </c>
      <c r="Q165">
        <v>5</v>
      </c>
      <c r="R165" s="175" t="str">
        <f>"Balance @ "&amp;BegDate</f>
        <v>Balance @ 3/31/20X4</v>
      </c>
      <c r="S165" s="381" cm="1">
        <f t="array" ref="S165">IF($S$157,_xlfn._xlws.FILTER(BEquities[Amt],BEquities[Account]=R164,0),_xlfn._xlws.FILTER(FSBuilder[Amount],((FSBuilder[Statement]="Beginning Balance Sheet")*(FSBuilder[Account or Explanation]=$R$164)),0))</f>
        <v>0</v>
      </c>
      <c r="T165" s="192">
        <v>7</v>
      </c>
      <c r="U165" s="481"/>
      <c r="V165" s="482"/>
      <c r="W165">
        <f t="shared" si="25"/>
        <v>0</v>
      </c>
      <c r="X165" t="b">
        <f t="shared" si="26"/>
        <v>0</v>
      </c>
      <c r="AB165" s="96">
        <v>7</v>
      </c>
      <c r="AD165" s="173"/>
      <c r="AE165">
        <f t="shared" si="27"/>
        <v>0</v>
      </c>
    </row>
    <row r="166" spans="2:31" hidden="1" x14ac:dyDescent="0.3">
      <c r="B166" s="96">
        <v>7</v>
      </c>
      <c r="D166" s="173"/>
      <c r="E166">
        <f t="shared" si="24"/>
        <v>0</v>
      </c>
      <c r="I166" s="481">
        <v>7</v>
      </c>
      <c r="J166" s="192"/>
      <c r="K166" s="482"/>
      <c r="P166" t="b">
        <f t="shared" ref="P166:P168" ca="1" si="28">IF(OR(S166=0,S166=""),FALSE,TRUE)</f>
        <v>1</v>
      </c>
      <c r="Q166">
        <v>7</v>
      </c>
      <c r="R166" s="96" t="s">
        <v>126</v>
      </c>
      <c r="S166" s="173">
        <f ca="1">IF($S$157,FSConstruction!$AF$10,FSConstruction!$AH$10)</f>
        <v>100</v>
      </c>
      <c r="T166" s="192">
        <v>7</v>
      </c>
      <c r="U166" s="481"/>
      <c r="V166" s="482"/>
      <c r="W166">
        <f t="shared" si="25"/>
        <v>0</v>
      </c>
      <c r="X166" t="b">
        <f t="shared" si="26"/>
        <v>0</v>
      </c>
      <c r="AB166" s="96">
        <v>7</v>
      </c>
      <c r="AD166" s="173"/>
      <c r="AE166">
        <f t="shared" si="27"/>
        <v>0</v>
      </c>
    </row>
    <row r="167" spans="2:31" hidden="1" x14ac:dyDescent="0.3">
      <c r="B167" s="96">
        <v>7</v>
      </c>
      <c r="D167" s="173"/>
      <c r="E167">
        <f t="shared" si="24"/>
        <v>0</v>
      </c>
      <c r="I167" s="481">
        <v>7</v>
      </c>
      <c r="J167" s="192"/>
      <c r="K167" s="482"/>
      <c r="P167" t="b">
        <f t="shared" ca="1" si="28"/>
        <v>0</v>
      </c>
      <c r="Q167">
        <v>7</v>
      </c>
      <c r="R167" s="96" t="s">
        <v>252</v>
      </c>
      <c r="S167" s="173">
        <f ca="1">IF($S$157,FSConstruction!AF17,FSConstruction!AH17)</f>
        <v>0</v>
      </c>
      <c r="T167" s="192">
        <v>7</v>
      </c>
      <c r="U167" s="481"/>
      <c r="V167" s="482"/>
      <c r="W167">
        <f t="shared" si="25"/>
        <v>0</v>
      </c>
      <c r="X167" t="b">
        <f t="shared" si="26"/>
        <v>0</v>
      </c>
      <c r="AB167" s="96">
        <v>7</v>
      </c>
      <c r="AD167" s="173"/>
      <c r="AE167">
        <f t="shared" si="27"/>
        <v>0</v>
      </c>
    </row>
    <row r="168" spans="2:31" hidden="1" x14ac:dyDescent="0.3">
      <c r="B168" s="96">
        <v>7</v>
      </c>
      <c r="D168" s="173"/>
      <c r="E168">
        <f t="shared" si="24"/>
        <v>0</v>
      </c>
      <c r="I168" s="481">
        <v>7</v>
      </c>
      <c r="J168" s="192"/>
      <c r="K168" s="482"/>
      <c r="P168" t="b">
        <f t="shared" ca="1" si="28"/>
        <v>0</v>
      </c>
      <c r="Q168">
        <v>7</v>
      </c>
      <c r="R168" s="96" t="s">
        <v>253</v>
      </c>
      <c r="S168" s="173">
        <f ca="1">IF($S$157,FSConstruction!$AF$19,FSConstruction!$AH$19)</f>
        <v>0</v>
      </c>
      <c r="T168" s="192">
        <v>7</v>
      </c>
      <c r="U168" s="481"/>
      <c r="V168" s="482"/>
      <c r="W168">
        <f t="shared" si="25"/>
        <v>0</v>
      </c>
      <c r="X168" t="b">
        <f t="shared" si="26"/>
        <v>0</v>
      </c>
      <c r="AB168" s="96">
        <v>7</v>
      </c>
      <c r="AD168" s="173"/>
      <c r="AE168">
        <f t="shared" si="27"/>
        <v>0</v>
      </c>
    </row>
    <row r="169" spans="2:31" ht="15" hidden="1" thickBot="1" x14ac:dyDescent="0.35">
      <c r="B169" s="98">
        <v>7</v>
      </c>
      <c r="C169" s="283"/>
      <c r="D169" s="285"/>
      <c r="E169">
        <f t="shared" si="24"/>
        <v>0</v>
      </c>
      <c r="I169" s="483">
        <v>7</v>
      </c>
      <c r="J169" s="484"/>
      <c r="K169" s="485"/>
      <c r="P169" t="b">
        <v>1</v>
      </c>
      <c r="Q169">
        <v>5</v>
      </c>
      <c r="R169" s="98" t="str">
        <f>"Balance @ "&amp;EndDate</f>
        <v>Balance @ 12/31/20x4</v>
      </c>
      <c r="S169" s="285" cm="1">
        <f t="array" ref="S169">IF($S$157,_xlfn._xlws.FILTER(EEquities[AmtJournal],EEquities[Account]=R164,0),_xlfn._xlws.FILTER(FSBuilder[Amount],((FSBuilder[Statement]="Ending Balance Sheet")*(FSBuilder[Account or Explanation]=$R$164)),0))</f>
        <v>100</v>
      </c>
      <c r="T169" s="192">
        <v>7</v>
      </c>
      <c r="U169" s="481"/>
      <c r="V169" s="482"/>
      <c r="W169">
        <f t="shared" si="25"/>
        <v>0</v>
      </c>
      <c r="X169" t="b">
        <f t="shared" si="26"/>
        <v>0</v>
      </c>
      <c r="AB169" s="98">
        <v>7</v>
      </c>
      <c r="AC169" s="283"/>
      <c r="AD169" s="285"/>
      <c r="AE169">
        <f t="shared" si="27"/>
        <v>0</v>
      </c>
    </row>
    <row r="170" spans="2:31" hidden="1" x14ac:dyDescent="0.3">
      <c r="E170">
        <f>SUM(E160:E169)</f>
        <v>0</v>
      </c>
      <c r="T170" s="192">
        <v>7</v>
      </c>
      <c r="U170" s="481"/>
      <c r="V170" s="482"/>
      <c r="W170">
        <f t="shared" si="25"/>
        <v>0</v>
      </c>
      <c r="X170" t="b">
        <f t="shared" si="26"/>
        <v>0</v>
      </c>
      <c r="AE170">
        <f>SUM(AE160:AE169)</f>
        <v>80.850000000000009</v>
      </c>
    </row>
    <row r="171" spans="2:31" ht="15" hidden="1" thickBot="1" x14ac:dyDescent="0.35">
      <c r="B171" s="5" t="s">
        <v>254</v>
      </c>
      <c r="D171" s="368"/>
      <c r="I171" s="5" t="s">
        <v>44</v>
      </c>
      <c r="L171" s="372" t="b">
        <f>COUNTIF(JournalAnswer[Accnt Type],"Expense")&gt;0</f>
        <v>1</v>
      </c>
      <c r="M171" s="372"/>
      <c r="N171" t="s">
        <v>248</v>
      </c>
      <c r="R171" s="5" t="s">
        <v>255</v>
      </c>
      <c r="S171" cm="1">
        <f t="array" aca="1" ref="S171" ca="1">IF(MAX(ABS(S172:S176)&gt;0),1,0)</f>
        <v>0</v>
      </c>
      <c r="T171" s="192">
        <v>7</v>
      </c>
      <c r="U171" s="481"/>
      <c r="V171" s="482"/>
      <c r="W171">
        <f t="shared" si="25"/>
        <v>0</v>
      </c>
      <c r="X171" t="b">
        <f t="shared" si="26"/>
        <v>0</v>
      </c>
      <c r="AB171" s="5" t="s">
        <v>254</v>
      </c>
      <c r="AD171" s="368"/>
    </row>
    <row r="172" spans="2:31" hidden="1" x14ac:dyDescent="0.3">
      <c r="B172" s="175">
        <v>6</v>
      </c>
      <c r="C172" s="365" t="str" cm="1">
        <f t="array" ref="C172:D173">IF($D$157,_xlfn._xlws.FILTER(CHOOSE({1,2},BNonCurrAssets[Account],BNonCurrAssets[Amt]),BNonCurrAssets[Used]=1,{"",""}),_xlfn._xlws.FILTER(FSBuilder[[Account or Explanation]:[Amount]],(FSBuilder[Statement]="Beginning Balance Sheet")*(FSBuilder[Category]="  Noncurrent Assets"),{"",""}))</f>
        <v>Property, Plant &amp; Equipment</v>
      </c>
      <c r="D172" s="381">
        <v>0</v>
      </c>
      <c r="E172">
        <f>IF(D172&lt;&gt;"",ABS(D172),0)</f>
        <v>0</v>
      </c>
      <c r="I172" s="192">
        <v>6</v>
      </c>
      <c r="J172" s="479" t="str" cm="1">
        <f t="array" aca="1" ref="J172:K177" ca="1">IF(K157,IF(L552,_xlfn._xlws.FILTER(CHOOSE({1,2},IS_Expenses[Account],IS_Expenses[AmtJournal]),IS_Expenses[UsedJournal]=1,""),{"",""}),_xlfn._xlws.FILTER(CHOOSE({1,2},IS_Expenses[Account],IS_Expenses[AmtFSBuilder]),IS_Expenses[UsedFSBuilder]=1,{"",""}))</f>
        <v>Cost of Goods Sold</v>
      </c>
      <c r="K172" s="480">
        <f ca="1"/>
        <v>25</v>
      </c>
      <c r="L172" s="372" t="b">
        <f>COUNTIF(Journal[Accnt Type],"Expense")&gt;0</f>
        <v>1</v>
      </c>
      <c r="M172" s="372"/>
      <c r="N172" t="s">
        <v>250</v>
      </c>
      <c r="P172" t="b">
        <v>1</v>
      </c>
      <c r="Q172">
        <v>5</v>
      </c>
      <c r="R172" s="175" t="str">
        <f>"Balance @ "&amp;BegDate</f>
        <v>Balance @ 3/31/20X4</v>
      </c>
      <c r="S172" s="381" cm="1">
        <f t="array" ref="S172">IF($S$157,_xlfn._xlws.FILTER(BEquities[Amt],BEquities[Account]=R171,0),_xlfn._xlws.FILTER(FSBuilder[Amount],((FSBuilder[Statement]="Beginning Balance Sheet")*(FSBuilder[Account or Explanation]=$R$171)),0))</f>
        <v>0</v>
      </c>
      <c r="T172" s="192">
        <v>7</v>
      </c>
      <c r="U172" s="481"/>
      <c r="V172" s="482"/>
      <c r="W172">
        <f t="shared" si="25"/>
        <v>0</v>
      </c>
      <c r="X172" t="b">
        <f t="shared" si="26"/>
        <v>0</v>
      </c>
      <c r="AB172" s="175">
        <v>6</v>
      </c>
      <c r="AC172" s="365" t="str" cm="1">
        <f t="array" ref="AC172:AD173">IF(AD157,_xlfn._xlws.FILTER(CHOOSE({1,2},ENonCurrAssets[Account],ENonCurrAssets[AmtJournal]),ENonCurrAssets[Used]=1,{"",""}),_xlfn._xlws.FILTER(FSBuilder[[Account or Explanation]:[Amount]],(FSBuilder[Statement]="Ending Balance Sheet")*(FSBuilder[Category]="  Noncurrent Assets"),{"",""}))</f>
        <v>Property, Plant &amp; Equipment</v>
      </c>
      <c r="AD172" s="381">
        <v>60</v>
      </c>
      <c r="AE172">
        <f>IF(AD172&lt;&gt;"",ABS(AD172),0)</f>
        <v>60</v>
      </c>
    </row>
    <row r="173" spans="2:31" hidden="1" x14ac:dyDescent="0.3">
      <c r="B173" s="96">
        <v>7</v>
      </c>
      <c r="C173" t="str">
        <v>Accumulated Depreciation</v>
      </c>
      <c r="D173" s="173">
        <v>0</v>
      </c>
      <c r="E173">
        <f t="shared" ref="E173:E181" si="29">ABS(D173)</f>
        <v>0</v>
      </c>
      <c r="I173" s="192">
        <v>7</v>
      </c>
      <c r="J173" s="481" t="str">
        <f ca="1"/>
        <v>Interest Expense</v>
      </c>
      <c r="K173" s="482">
        <f ca="1"/>
        <v>1.55</v>
      </c>
      <c r="P173" t="b">
        <f t="shared" ref="P173:P175" ca="1" si="30">IF(OR(S173=0,S173=""),FALSE,TRUE)</f>
        <v>0</v>
      </c>
      <c r="Q173">
        <v>7</v>
      </c>
      <c r="R173" s="96" t="s">
        <v>256</v>
      </c>
      <c r="S173" s="173">
        <f ca="1">IF($S$157,FSConstruction!$AF$11,FSConstruction!$AH$11)</f>
        <v>0</v>
      </c>
      <c r="T173" s="192">
        <v>7</v>
      </c>
      <c r="U173" s="481"/>
      <c r="V173" s="482"/>
      <c r="W173">
        <f t="shared" si="25"/>
        <v>0</v>
      </c>
      <c r="X173" t="b">
        <f t="shared" si="26"/>
        <v>0</v>
      </c>
      <c r="AB173" s="96">
        <v>7</v>
      </c>
      <c r="AC173" t="str">
        <v>Accumulated Depreciation</v>
      </c>
      <c r="AD173" s="173">
        <v>-7.5</v>
      </c>
      <c r="AE173">
        <f t="shared" ref="AE173:AE181" si="31">ABS(AD173)</f>
        <v>7.5</v>
      </c>
    </row>
    <row r="174" spans="2:31" hidden="1" x14ac:dyDescent="0.3">
      <c r="B174" s="96">
        <v>7</v>
      </c>
      <c r="D174" s="173"/>
      <c r="E174">
        <f t="shared" si="29"/>
        <v>0</v>
      </c>
      <c r="I174" s="192">
        <v>7</v>
      </c>
      <c r="J174" s="481" t="str">
        <f ca="1"/>
        <v>Depreciation Expense</v>
      </c>
      <c r="K174" s="482">
        <f ca="1"/>
        <v>7.5</v>
      </c>
      <c r="P174" t="b">
        <f t="shared" ca="1" si="30"/>
        <v>0</v>
      </c>
      <c r="Q174">
        <v>7</v>
      </c>
      <c r="R174" s="96" t="s">
        <v>257</v>
      </c>
      <c r="S174" s="173">
        <f ca="1">IF($S$157,FSConstruction!$AF$18,FSConstruction!$AH$18)</f>
        <v>0</v>
      </c>
      <c r="T174" s="192">
        <v>7</v>
      </c>
      <c r="U174" s="481"/>
      <c r="V174" s="482"/>
      <c r="W174">
        <f t="shared" si="25"/>
        <v>0</v>
      </c>
      <c r="X174" t="b">
        <f t="shared" si="26"/>
        <v>0</v>
      </c>
      <c r="AB174" s="96">
        <v>7</v>
      </c>
      <c r="AD174" s="173"/>
      <c r="AE174">
        <f t="shared" si="31"/>
        <v>0</v>
      </c>
    </row>
    <row r="175" spans="2:31" hidden="1" x14ac:dyDescent="0.3">
      <c r="B175" s="96">
        <v>7</v>
      </c>
      <c r="D175" s="173"/>
      <c r="E175">
        <f t="shared" si="29"/>
        <v>0</v>
      </c>
      <c r="I175" s="192">
        <v>7</v>
      </c>
      <c r="J175" s="481" t="str">
        <f ca="1"/>
        <v>Rent Expense</v>
      </c>
      <c r="K175" s="482">
        <f ca="1"/>
        <v>3</v>
      </c>
      <c r="P175" t="b">
        <f t="shared" ca="1" si="30"/>
        <v>0</v>
      </c>
      <c r="Q175">
        <v>7</v>
      </c>
      <c r="R175" s="96" t="s">
        <v>258</v>
      </c>
      <c r="S175" s="173">
        <f ca="1">IF($S$157,FSConstruction!$AF$20,FSConstruction!$AH$20)</f>
        <v>0</v>
      </c>
      <c r="T175" s="192">
        <v>7</v>
      </c>
      <c r="U175" s="481"/>
      <c r="V175" s="482"/>
      <c r="W175">
        <f t="shared" si="25"/>
        <v>0</v>
      </c>
      <c r="X175" t="b">
        <f t="shared" si="26"/>
        <v>0</v>
      </c>
      <c r="AB175" s="96">
        <v>7</v>
      </c>
      <c r="AD175" s="173"/>
      <c r="AE175">
        <f t="shared" si="31"/>
        <v>0</v>
      </c>
    </row>
    <row r="176" spans="2:31" ht="15" hidden="1" thickBot="1" x14ac:dyDescent="0.35">
      <c r="B176" s="96">
        <v>7</v>
      </c>
      <c r="D176" s="173"/>
      <c r="E176">
        <f t="shared" si="29"/>
        <v>0</v>
      </c>
      <c r="I176" s="192">
        <v>7</v>
      </c>
      <c r="J176" s="481" t="str">
        <f ca="1"/>
        <v>Bad Debts Expense</v>
      </c>
      <c r="K176" s="482">
        <f ca="1"/>
        <v>0.15</v>
      </c>
      <c r="P176" t="b">
        <v>1</v>
      </c>
      <c r="Q176">
        <v>5</v>
      </c>
      <c r="R176" s="98" t="str">
        <f>"Balance @ "&amp;EndDate</f>
        <v>Balance @ 12/31/20x4</v>
      </c>
      <c r="S176" s="285" cm="1">
        <f t="array" ref="S176">IF($S$157,_xlfn._xlws.FILTER(EEquities[AmtJournal],EEquities[Account]=R171,0),_xlfn._xlws.FILTER(FSBuilder[Amount],((FSBuilder[Statement]="Ending Balance Sheet")*(FSBuilder[Account or Explanation]=$R$171)),0))</f>
        <v>0</v>
      </c>
      <c r="T176" s="192">
        <v>7</v>
      </c>
      <c r="U176" s="481"/>
      <c r="V176" s="482"/>
      <c r="W176">
        <f t="shared" si="25"/>
        <v>0</v>
      </c>
      <c r="X176" t="b">
        <f t="shared" si="26"/>
        <v>0</v>
      </c>
      <c r="AB176" s="96">
        <v>7</v>
      </c>
      <c r="AD176" s="173"/>
      <c r="AE176">
        <f t="shared" si="31"/>
        <v>0</v>
      </c>
    </row>
    <row r="177" spans="2:31" hidden="1" x14ac:dyDescent="0.3">
      <c r="B177" s="96">
        <v>7</v>
      </c>
      <c r="D177" s="173"/>
      <c r="E177">
        <f t="shared" si="29"/>
        <v>0</v>
      </c>
      <c r="I177" s="192">
        <v>7</v>
      </c>
      <c r="J177" s="481" t="str">
        <f ca="1"/>
        <v>Salaries &amp; Wages Expense</v>
      </c>
      <c r="K177" s="482">
        <f ca="1"/>
        <v>7</v>
      </c>
      <c r="S177" s="34"/>
      <c r="T177" s="192">
        <v>7</v>
      </c>
      <c r="U177" s="481"/>
      <c r="V177" s="482"/>
      <c r="W177">
        <f t="shared" si="25"/>
        <v>0</v>
      </c>
      <c r="X177" t="b">
        <f t="shared" si="26"/>
        <v>0</v>
      </c>
      <c r="AB177" s="96">
        <v>7</v>
      </c>
      <c r="AD177" s="173"/>
      <c r="AE177">
        <f t="shared" si="31"/>
        <v>0</v>
      </c>
    </row>
    <row r="178" spans="2:31" ht="15" hidden="1" thickBot="1" x14ac:dyDescent="0.35">
      <c r="B178" s="96">
        <v>7</v>
      </c>
      <c r="D178" s="173"/>
      <c r="E178">
        <f t="shared" si="29"/>
        <v>0</v>
      </c>
      <c r="I178" s="192">
        <v>7</v>
      </c>
      <c r="J178" s="481"/>
      <c r="K178" s="482"/>
      <c r="R178" s="5" t="s">
        <v>86</v>
      </c>
      <c r="S178" cm="1">
        <f t="array" aca="1" ref="S178" ca="1">IF(MAX(ABS(S179:S182)&gt;0),1,0)</f>
        <v>0</v>
      </c>
      <c r="T178" s="192">
        <v>7</v>
      </c>
      <c r="U178" s="483"/>
      <c r="V178" s="485"/>
      <c r="W178">
        <f t="shared" si="25"/>
        <v>0</v>
      </c>
      <c r="X178" t="b">
        <f t="shared" si="26"/>
        <v>0</v>
      </c>
      <c r="AB178" s="96">
        <v>7</v>
      </c>
      <c r="AD178" s="173"/>
      <c r="AE178">
        <f t="shared" si="31"/>
        <v>0</v>
      </c>
    </row>
    <row r="179" spans="2:31" hidden="1" x14ac:dyDescent="0.3">
      <c r="B179" s="96">
        <v>7</v>
      </c>
      <c r="D179" s="173"/>
      <c r="E179">
        <f t="shared" si="29"/>
        <v>0</v>
      </c>
      <c r="I179" s="192">
        <v>7</v>
      </c>
      <c r="J179" s="481"/>
      <c r="K179" s="482"/>
      <c r="P179" t="b">
        <v>1</v>
      </c>
      <c r="Q179">
        <v>5</v>
      </c>
      <c r="R179" s="175" t="str">
        <f>"Balance @ "&amp;BegDate</f>
        <v>Balance @ 3/31/20X4</v>
      </c>
      <c r="S179" s="381" cm="1">
        <f t="array" ref="S179">IF($S$157,_xlfn._xlws.FILTER(BEquities[Amt],BEquities[Account]=R178,0),_xlfn._xlws.FILTER(FSBuilder[Amount],((FSBuilder[Statement]="Beginning Balance Sheet")*(FSBuilder[Account or Explanation]=$R$178)),0))</f>
        <v>0</v>
      </c>
      <c r="AB179" s="96">
        <v>7</v>
      </c>
      <c r="AD179" s="173"/>
      <c r="AE179">
        <f t="shared" si="31"/>
        <v>0</v>
      </c>
    </row>
    <row r="180" spans="2:31" hidden="1" x14ac:dyDescent="0.3">
      <c r="B180" s="96">
        <v>7</v>
      </c>
      <c r="D180" s="173"/>
      <c r="E180">
        <f t="shared" si="29"/>
        <v>0</v>
      </c>
      <c r="I180" s="192">
        <v>7</v>
      </c>
      <c r="J180" s="481"/>
      <c r="K180" s="482"/>
      <c r="P180" t="b">
        <f t="shared" ref="P180:P181" ca="1" si="32">IF(OR(S180=0,S180=""),FALSE,TRUE)</f>
        <v>0</v>
      </c>
      <c r="Q180">
        <v>7</v>
      </c>
      <c r="R180" s="96" t="s">
        <v>259</v>
      </c>
      <c r="S180" s="173">
        <f ca="1">IF($S$157,FSConstruction!$AF$12,FSConstruction!$AH$12)</f>
        <v>0</v>
      </c>
      <c r="U180" s="5"/>
      <c r="AB180" s="96">
        <v>7</v>
      </c>
      <c r="AD180" s="173"/>
      <c r="AE180">
        <f t="shared" si="31"/>
        <v>0</v>
      </c>
    </row>
    <row r="181" spans="2:31" ht="15" hidden="1" thickBot="1" x14ac:dyDescent="0.35">
      <c r="B181" s="98">
        <v>7</v>
      </c>
      <c r="C181" s="283"/>
      <c r="D181" s="285"/>
      <c r="E181">
        <f t="shared" si="29"/>
        <v>0</v>
      </c>
      <c r="I181" s="192">
        <v>7</v>
      </c>
      <c r="J181" s="481"/>
      <c r="K181" s="482"/>
      <c r="N181" s="192"/>
      <c r="O181" s="192"/>
      <c r="P181" t="b">
        <f t="shared" ca="1" si="32"/>
        <v>1</v>
      </c>
      <c r="Q181">
        <v>7</v>
      </c>
      <c r="R181" s="96" t="s">
        <v>162</v>
      </c>
      <c r="S181" s="173">
        <f ca="1">IF($S$157,FSConstruction!$AF$13,FSConstruction!$AH$13)</f>
        <v>-4.2</v>
      </c>
      <c r="AB181" s="98">
        <v>7</v>
      </c>
      <c r="AC181" s="283"/>
      <c r="AD181" s="285"/>
      <c r="AE181">
        <f t="shared" si="31"/>
        <v>0</v>
      </c>
    </row>
    <row r="182" spans="2:31" ht="15" hidden="1" thickBot="1" x14ac:dyDescent="0.35">
      <c r="E182">
        <f>SUM(E172:E181)</f>
        <v>0</v>
      </c>
      <c r="H182" s="5"/>
      <c r="I182" s="192">
        <v>7</v>
      </c>
      <c r="J182" s="481"/>
      <c r="K182" s="482"/>
      <c r="P182" t="b">
        <v>1</v>
      </c>
      <c r="Q182">
        <v>5</v>
      </c>
      <c r="R182" s="98" t="str">
        <f>"Balance @ "&amp;EndDate</f>
        <v>Balance @ 12/31/20x4</v>
      </c>
      <c r="S182" s="285" cm="1">
        <f t="array" ref="S182">IF($S$157,_xlfn._xlws.FILTER(EEquities[AmtJournal],EEquities[Account]=R178,0),_xlfn._xlws.FILTER(FSBuilder[Amount],((FSBuilder[Statement]="Ending Balance Sheet")*(FSBuilder[Account or Explanation]=$R$178)),0))</f>
        <v>-4.2</v>
      </c>
      <c r="W182" s="5"/>
      <c r="AE182">
        <f>SUM(AE172:AE181)</f>
        <v>67.5</v>
      </c>
    </row>
    <row r="183" spans="2:31" ht="15" hidden="1" thickBot="1" x14ac:dyDescent="0.35">
      <c r="B183" s="5" t="s">
        <v>260</v>
      </c>
      <c r="I183" s="192">
        <v>7</v>
      </c>
      <c r="J183" s="481"/>
      <c r="K183" s="482"/>
      <c r="S183" s="34"/>
      <c r="AB183" s="5" t="s">
        <v>260</v>
      </c>
    </row>
    <row r="184" spans="2:31" ht="15" hidden="1" thickBot="1" x14ac:dyDescent="0.35">
      <c r="B184" s="175">
        <v>6</v>
      </c>
      <c r="C184" s="365" t="str" cm="1">
        <f t="array" ref="C184:D186">IF(D157,_xlfn._xlws.FILTER(CHOOSE({1,2},BCurrLiabs[Account],BCurrLiabs[Amt]),BCurrLiabs[Used]=1,{"",""}),_xlfn._xlws.FILTER(FSBuilder[[Account or Explanation]:[Amount]],(FSBuilder[Statement]="Beginning Balance Sheet")*(FSBuilder[Category]="  Current Liabilities"),{"",""}))</f>
        <v>Accounts Payable</v>
      </c>
      <c r="D184" s="381">
        <v>0</v>
      </c>
      <c r="E184">
        <f>IF(D184&lt;&gt;"",ABS(D184),0)</f>
        <v>0</v>
      </c>
      <c r="I184" s="192">
        <v>7</v>
      </c>
      <c r="J184" s="481"/>
      <c r="K184" s="482"/>
      <c r="R184" s="5" t="s">
        <v>261</v>
      </c>
      <c r="S184" cm="1">
        <f t="array" aca="1" ref="S184" ca="1">IF(MAX(ABS(S185:S187)&gt;0),1,0)</f>
        <v>0</v>
      </c>
      <c r="AB184" s="175">
        <v>6</v>
      </c>
      <c r="AC184" s="365" t="str" cm="1">
        <f t="array" ref="AC184:AD186">IF(AD157,_xlfn._xlws.FILTER(CHOOSE({1,2},ECurrLiabs[Account],ECurrLiabs[AmtJournal]),ECurrLiabs[Used]=1,{"",""}),_xlfn._xlws.FILTER(FSBuilder[[Account or Explanation]:[Amount]],(FSBuilder[Statement]="Ending Balance Sheet")*(FSBuilder[Category]="  Current Liabilities"),{"",""}))</f>
        <v>Accounts Payable</v>
      </c>
      <c r="AD184" s="381">
        <v>15</v>
      </c>
      <c r="AE184">
        <f>IF(AD184&lt;&gt;"",ABS(AD184),0)</f>
        <v>15</v>
      </c>
    </row>
    <row r="185" spans="2:31" ht="15" hidden="1" thickBot="1" x14ac:dyDescent="0.35">
      <c r="B185" s="96">
        <v>7</v>
      </c>
      <c r="C185" t="str">
        <v>Interest Payable</v>
      </c>
      <c r="D185" s="173">
        <v>0</v>
      </c>
      <c r="E185">
        <f t="shared" ref="E185:E193" si="33">ABS(D185)</f>
        <v>0</v>
      </c>
      <c r="I185" s="192">
        <v>7</v>
      </c>
      <c r="J185" s="481"/>
      <c r="K185" s="482"/>
      <c r="P185" t="b">
        <v>1</v>
      </c>
      <c r="Q185">
        <v>5</v>
      </c>
      <c r="R185" s="175" t="str">
        <f>"Balance @ "&amp;BegDate</f>
        <v>Balance @ 3/31/20X4</v>
      </c>
      <c r="S185" s="381" cm="1">
        <f t="array" ref="S185">IF($S$157,_xlfn._xlws.FILTER(BEquities[Amt],BEquities[Account]=R184,0),_xlfn._xlws.FILTER(FSBuilder[Amount],((FSBuilder[Statement]="Beginning Balance Sheet")*(FSBuilder[Account or Explanation]=$R$184)),0))</f>
        <v>0</v>
      </c>
      <c r="T185">
        <v>3</v>
      </c>
      <c r="U185" s="372" t="s">
        <v>230</v>
      </c>
      <c r="V185" s="192"/>
      <c r="W185" t="b">
        <f ca="1">SUM(W186:W204)&gt;0.000001</f>
        <v>1</v>
      </c>
      <c r="AB185" s="96">
        <v>7</v>
      </c>
      <c r="AC185" t="str">
        <v>Interest Payable</v>
      </c>
      <c r="AD185" s="173">
        <v>1.55</v>
      </c>
      <c r="AE185">
        <f t="shared" ref="AE185:AE193" si="34">ABS(AD185)</f>
        <v>1.55</v>
      </c>
    </row>
    <row r="186" spans="2:31" hidden="1" x14ac:dyDescent="0.3">
      <c r="B186" s="96">
        <v>7</v>
      </c>
      <c r="C186" t="str">
        <v>Salaries &amp; Wages Payable</v>
      </c>
      <c r="D186" s="173">
        <v>0</v>
      </c>
      <c r="E186">
        <f t="shared" si="33"/>
        <v>0</v>
      </c>
      <c r="I186" s="192">
        <v>7</v>
      </c>
      <c r="J186" s="481"/>
      <c r="K186" s="482"/>
      <c r="P186" t="b">
        <f ca="1">IF(OR(S186=0,S186=""),FALSE,TRUE)</f>
        <v>0</v>
      </c>
      <c r="Q186">
        <v>7</v>
      </c>
      <c r="R186" s="96" t="s">
        <v>262</v>
      </c>
      <c r="S186" s="527">
        <f ca="1">IF($S$157,FSConstruction!$AF$16,FSConstruction!$AH$16)</f>
        <v>0</v>
      </c>
      <c r="T186" s="192">
        <v>6</v>
      </c>
      <c r="U186" s="479" t="str" cm="1">
        <f t="array" aca="1" ref="U186:V187" ca="1">IF($F$104,_xlfn._xlws.FILTER(CHOOSE({1,2},CFS_CFI[Account],CFS_CFI[AmtJournal]),ABS(CFS_CFI[AmtJournal])&gt;0.0001,{"",""}),_xlfn._xlws.FILTER(FSBuilder[[Account or Explanation]:[Amount]],(FSBuilder[Statement]="Cash Flow Statement")*(FSBuilder[Category]="  Investing Activities"),{"",""}))</f>
        <v>Acquired marketable securities</v>
      </c>
      <c r="V186" s="480">
        <f ca="1"/>
        <v>-25</v>
      </c>
      <c r="W186">
        <f ca="1">IF(V186&lt;&gt;"",ABS(V186),0)</f>
        <v>25</v>
      </c>
      <c r="X186" t="b">
        <f ca="1">NOT(W186&lt;0.000001)</f>
        <v>1</v>
      </c>
      <c r="AB186" s="96">
        <v>7</v>
      </c>
      <c r="AC186" t="str">
        <v>Salaries &amp; Wages Payable</v>
      </c>
      <c r="AD186" s="173">
        <v>1</v>
      </c>
      <c r="AE186">
        <f t="shared" si="34"/>
        <v>1</v>
      </c>
    </row>
    <row r="187" spans="2:31" ht="15" hidden="1" thickBot="1" x14ac:dyDescent="0.35">
      <c r="B187" s="96">
        <v>7</v>
      </c>
      <c r="D187" s="173"/>
      <c r="E187">
        <f t="shared" si="33"/>
        <v>0</v>
      </c>
      <c r="I187" s="192">
        <v>7</v>
      </c>
      <c r="J187" s="481"/>
      <c r="K187" s="482"/>
      <c r="P187" t="b">
        <v>1</v>
      </c>
      <c r="Q187">
        <v>5</v>
      </c>
      <c r="R187" s="98" t="str">
        <f>"Balance @ "&amp;EndDate</f>
        <v>Balance @ 12/31/20x4</v>
      </c>
      <c r="S187" s="285" cm="1">
        <f t="array" ref="S187">IF($S$157,_xlfn._xlws.FILTER(EEquities[AmtJournal],EEquities[Account]=R184,0),_xlfn._xlws.FILTER(FSBuilder[Amount],((FSBuilder[Statement]="Ending Balance Sheet")*(FSBuilder[Account or Explanation]=$R$184)),0))</f>
        <v>0</v>
      </c>
      <c r="T187" s="192">
        <v>7</v>
      </c>
      <c r="U187" s="481" t="str">
        <f ca="1"/>
        <v>Acquired PP&amp;E</v>
      </c>
      <c r="V187" s="482">
        <f ca="1"/>
        <v>-60</v>
      </c>
      <c r="W187">
        <f t="shared" ref="W187:W204" ca="1" si="35">ABS(V187)</f>
        <v>60</v>
      </c>
      <c r="X187" t="b">
        <f t="shared" ref="X187:X204" ca="1" si="36">NOT(W187&lt;0.000001)</f>
        <v>1</v>
      </c>
      <c r="AB187" s="96">
        <v>7</v>
      </c>
      <c r="AD187" s="173"/>
      <c r="AE187">
        <f t="shared" si="34"/>
        <v>0</v>
      </c>
    </row>
    <row r="188" spans="2:31" hidden="1" x14ac:dyDescent="0.3">
      <c r="B188" s="96">
        <v>7</v>
      </c>
      <c r="D188" s="173"/>
      <c r="E188">
        <f t="shared" si="33"/>
        <v>0</v>
      </c>
      <c r="I188" s="192">
        <v>7</v>
      </c>
      <c r="J188" s="481"/>
      <c r="K188" s="482"/>
      <c r="S188" s="34"/>
      <c r="T188" s="192">
        <v>7</v>
      </c>
      <c r="U188" s="481"/>
      <c r="V188" s="482"/>
      <c r="W188">
        <f t="shared" si="35"/>
        <v>0</v>
      </c>
      <c r="X188" t="b">
        <f t="shared" si="36"/>
        <v>0</v>
      </c>
      <c r="AB188" s="96">
        <v>7</v>
      </c>
      <c r="AD188" s="173"/>
      <c r="AE188">
        <f t="shared" si="34"/>
        <v>0</v>
      </c>
    </row>
    <row r="189" spans="2:31" ht="15" hidden="1" thickBot="1" x14ac:dyDescent="0.35">
      <c r="B189" s="96">
        <v>7</v>
      </c>
      <c r="D189" s="173"/>
      <c r="E189">
        <f t="shared" si="33"/>
        <v>0</v>
      </c>
      <c r="I189" s="192">
        <v>7</v>
      </c>
      <c r="J189" s="481"/>
      <c r="K189" s="482"/>
      <c r="R189" s="5" t="s">
        <v>263</v>
      </c>
      <c r="S189" cm="1">
        <f t="array" aca="1" ref="S189" ca="1">IF(MAX(ABS(S190:S193)&gt;0),1,0)</f>
        <v>0</v>
      </c>
      <c r="T189" s="192">
        <v>7</v>
      </c>
      <c r="U189" s="481"/>
      <c r="V189" s="482"/>
      <c r="W189">
        <f t="shared" si="35"/>
        <v>0</v>
      </c>
      <c r="X189" t="b">
        <f t="shared" si="36"/>
        <v>0</v>
      </c>
      <c r="AB189" s="96">
        <v>7</v>
      </c>
      <c r="AD189" s="173"/>
      <c r="AE189">
        <f t="shared" si="34"/>
        <v>0</v>
      </c>
    </row>
    <row r="190" spans="2:31" hidden="1" x14ac:dyDescent="0.3">
      <c r="B190" s="96">
        <v>7</v>
      </c>
      <c r="D190" s="173"/>
      <c r="E190">
        <f t="shared" si="33"/>
        <v>0</v>
      </c>
      <c r="I190" s="192">
        <v>7</v>
      </c>
      <c r="J190" s="481"/>
      <c r="K190" s="482"/>
      <c r="P190" t="b">
        <v>1</v>
      </c>
      <c r="Q190">
        <v>5</v>
      </c>
      <c r="R190" s="175" t="str">
        <f>"Balance @ "&amp;BegDate</f>
        <v>Balance @ 3/31/20X4</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 hidden="1" thickBot="1" x14ac:dyDescent="0.35">
      <c r="B191" s="96">
        <v>7</v>
      </c>
      <c r="D191" s="173"/>
      <c r="E191">
        <f t="shared" si="33"/>
        <v>0</v>
      </c>
      <c r="I191" s="192">
        <v>7</v>
      </c>
      <c r="J191" s="483"/>
      <c r="K191" s="485"/>
      <c r="P191" t="b">
        <f t="shared" ref="P191:P192" ca="1" si="37">IF(OR(S191=0,S191=""),FALSE,TRUE)</f>
        <v>0</v>
      </c>
      <c r="Q191">
        <v>7</v>
      </c>
      <c r="R191" s="96" t="s">
        <v>264</v>
      </c>
      <c r="S191" s="173">
        <f ca="1">IF($S$157,FSConstruction!$AF$15,FSConstruction!$AH$15)</f>
        <v>0</v>
      </c>
      <c r="T191" s="192">
        <v>7</v>
      </c>
      <c r="U191" s="481"/>
      <c r="V191" s="482"/>
      <c r="W191">
        <f t="shared" si="35"/>
        <v>0</v>
      </c>
      <c r="X191" t="b">
        <f t="shared" si="36"/>
        <v>0</v>
      </c>
      <c r="AB191" s="96">
        <v>7</v>
      </c>
      <c r="AD191" s="173"/>
      <c r="AE191">
        <f t="shared" si="34"/>
        <v>0</v>
      </c>
    </row>
    <row r="192" spans="2:31" hidden="1" x14ac:dyDescent="0.3">
      <c r="B192" s="96">
        <v>7</v>
      </c>
      <c r="D192" s="173"/>
      <c r="E192">
        <f t="shared" si="33"/>
        <v>0</v>
      </c>
      <c r="H192" s="5"/>
      <c r="P192" t="b">
        <f t="shared" ca="1" si="37"/>
        <v>0</v>
      </c>
      <c r="Q192">
        <v>7</v>
      </c>
      <c r="R192" s="96" t="s">
        <v>265</v>
      </c>
      <c r="S192" s="173">
        <f ca="1">IF($S$157,FSConstruction!$AF$14,FSConstruction!$AH$14)</f>
        <v>0</v>
      </c>
      <c r="T192" s="192">
        <v>7</v>
      </c>
      <c r="U192" s="481"/>
      <c r="V192" s="482"/>
      <c r="W192">
        <f t="shared" si="35"/>
        <v>0</v>
      </c>
      <c r="X192" t="b">
        <f t="shared" si="36"/>
        <v>0</v>
      </c>
      <c r="AB192" s="96">
        <v>7</v>
      </c>
      <c r="AD192" s="173"/>
      <c r="AE192">
        <f t="shared" si="34"/>
        <v>0</v>
      </c>
    </row>
    <row r="193" spans="2:31" ht="15" hidden="1" thickBot="1" x14ac:dyDescent="0.35">
      <c r="B193" s="98">
        <v>7</v>
      </c>
      <c r="C193" s="283"/>
      <c r="D193" s="285"/>
      <c r="E193">
        <f t="shared" si="33"/>
        <v>0</v>
      </c>
      <c r="P193" t="b">
        <v>1</v>
      </c>
      <c r="Q193">
        <v>5</v>
      </c>
      <c r="R193" s="98" t="str">
        <f>"Balance @ "&amp;EndDate</f>
        <v>Balance @ 12/31/20x4</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x14ac:dyDescent="0.3">
      <c r="E194">
        <f>SUM(E184:E193)</f>
        <v>0</v>
      </c>
      <c r="T194" s="192">
        <v>7</v>
      </c>
      <c r="U194" s="481"/>
      <c r="V194" s="482"/>
      <c r="W194">
        <f t="shared" si="35"/>
        <v>0</v>
      </c>
      <c r="X194" t="b">
        <f t="shared" si="36"/>
        <v>0</v>
      </c>
      <c r="AE194">
        <f>SUM(AE184:AE193)</f>
        <v>17.55</v>
      </c>
    </row>
    <row r="195" spans="2:31" ht="15" hidden="1" thickBot="1" x14ac:dyDescent="0.35">
      <c r="B195" s="5" t="s">
        <v>220</v>
      </c>
      <c r="I195" s="5" t="s">
        <v>45</v>
      </c>
      <c r="L195" s="372" t="b">
        <f>COUNTIF(JournalAnswer[Accnt Type],"Gain")&gt;0</f>
        <v>0</v>
      </c>
      <c r="M195" s="372"/>
      <c r="N195" t="s">
        <v>248</v>
      </c>
      <c r="P195" t="b">
        <v>1</v>
      </c>
      <c r="Q195">
        <v>2</v>
      </c>
      <c r="R195" t="str">
        <f>"Total Shareholders' Equity @ "&amp;BegDate</f>
        <v>Total Shareholders' Equity @ 3/31/20X4</v>
      </c>
      <c r="S195" s="216">
        <f>S160+S165+S172+S179+S185+S190</f>
        <v>0</v>
      </c>
      <c r="T195" s="192">
        <v>7</v>
      </c>
      <c r="U195" s="481"/>
      <c r="V195" s="482"/>
      <c r="W195">
        <f t="shared" si="35"/>
        <v>0</v>
      </c>
      <c r="X195" t="b">
        <f t="shared" si="36"/>
        <v>0</v>
      </c>
      <c r="AB195" s="5" t="s">
        <v>220</v>
      </c>
    </row>
    <row r="196" spans="2:31" hidden="1" x14ac:dyDescent="0.3">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Bonds Payable</v>
      </c>
      <c r="D196" s="381">
        <v>0</v>
      </c>
      <c r="E196">
        <f>IF(D196&lt;&gt;"",ABS(D196),0)</f>
        <v>0</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250</v>
      </c>
      <c r="P196" t="b">
        <v>1</v>
      </c>
      <c r="Q196">
        <v>2</v>
      </c>
      <c r="R196" t="str">
        <f>"Total Shareholders' Equity @ "&amp;EndDate</f>
        <v>Total Shareholders' Equity @ 12/31/20x4</v>
      </c>
      <c r="S196" s="216">
        <f>S162+S169+S176+S182+S187+S193</f>
        <v>95.8</v>
      </c>
      <c r="T196" s="192">
        <v>7</v>
      </c>
      <c r="U196" s="481"/>
      <c r="V196" s="482"/>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Bonds Payable</v>
      </c>
      <c r="AD196" s="381">
        <v>20</v>
      </c>
      <c r="AE196">
        <f>IF(AD196&lt;&gt;"",ABS(AD196),0)</f>
        <v>20</v>
      </c>
    </row>
    <row r="197" spans="2:31" hidden="1" x14ac:dyDescent="0.3">
      <c r="B197" s="96">
        <v>7</v>
      </c>
      <c r="D197" s="173"/>
      <c r="E197">
        <f t="shared" ref="E197:E205" si="38">ABS(D197)</f>
        <v>0</v>
      </c>
      <c r="I197" s="192">
        <v>7</v>
      </c>
      <c r="J197" s="481"/>
      <c r="K197" s="482"/>
      <c r="T197" s="192">
        <v>7</v>
      </c>
      <c r="U197" s="481"/>
      <c r="V197" s="482"/>
      <c r="W197">
        <f t="shared" si="35"/>
        <v>0</v>
      </c>
      <c r="X197" t="b">
        <f t="shared" si="36"/>
        <v>0</v>
      </c>
      <c r="AB197" s="96">
        <v>7</v>
      </c>
      <c r="AD197" s="173"/>
      <c r="AE197">
        <f t="shared" ref="AE197:AE205" si="39">ABS(AD197)</f>
        <v>0</v>
      </c>
    </row>
    <row r="198" spans="2:31" hidden="1" x14ac:dyDescent="0.3">
      <c r="B198" s="96">
        <v>7</v>
      </c>
      <c r="D198" s="173"/>
      <c r="E198">
        <f t="shared" si="38"/>
        <v>0</v>
      </c>
      <c r="I198" s="192">
        <v>7</v>
      </c>
      <c r="J198" s="481"/>
      <c r="K198" s="482"/>
      <c r="T198" s="192">
        <v>7</v>
      </c>
      <c r="U198" s="481"/>
      <c r="V198" s="482"/>
      <c r="W198">
        <f t="shared" si="35"/>
        <v>0</v>
      </c>
      <c r="X198" t="b">
        <f t="shared" si="36"/>
        <v>0</v>
      </c>
      <c r="AB198" s="96">
        <v>7</v>
      </c>
      <c r="AD198" s="173"/>
      <c r="AE198">
        <f t="shared" si="39"/>
        <v>0</v>
      </c>
    </row>
    <row r="199" spans="2:31" hidden="1" x14ac:dyDescent="0.3">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x14ac:dyDescent="0.3">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x14ac:dyDescent="0.3">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x14ac:dyDescent="0.3">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x14ac:dyDescent="0.3">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 hidden="1" thickBot="1" x14ac:dyDescent="0.35">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 hidden="1" thickBot="1" x14ac:dyDescent="0.35">
      <c r="B205" s="98">
        <v>7</v>
      </c>
      <c r="C205" s="283"/>
      <c r="D205" s="285"/>
      <c r="E205">
        <f t="shared" si="38"/>
        <v>0</v>
      </c>
      <c r="I205" s="192">
        <v>7</v>
      </c>
      <c r="J205" s="483"/>
      <c r="K205" s="485"/>
      <c r="AB205" s="98">
        <v>7</v>
      </c>
      <c r="AC205" s="283"/>
      <c r="AD205" s="285"/>
      <c r="AE205">
        <f t="shared" si="39"/>
        <v>0</v>
      </c>
    </row>
    <row r="206" spans="2:31" hidden="1" x14ac:dyDescent="0.3">
      <c r="E206">
        <f>SUM(E196:E205)</f>
        <v>0</v>
      </c>
      <c r="AE206">
        <f>SUM(AE196:AE205)</f>
        <v>20</v>
      </c>
    </row>
    <row r="207" spans="2:31" ht="15" hidden="1" thickBot="1" x14ac:dyDescent="0.35">
      <c r="B207" s="5" t="s">
        <v>39</v>
      </c>
      <c r="I207" s="5" t="s">
        <v>46</v>
      </c>
      <c r="L207" s="372" t="b">
        <f>COUNTIF(JournalAnswer[Accnt Type],"Loss")&gt;0</f>
        <v>0</v>
      </c>
      <c r="M207" s="372"/>
      <c r="N207" t="s">
        <v>248</v>
      </c>
      <c r="AB207" s="5" t="s">
        <v>39</v>
      </c>
    </row>
    <row r="208" spans="2:31" hidden="1" x14ac:dyDescent="0.3">
      <c r="B208" s="175">
        <v>6</v>
      </c>
      <c r="C208" s="365" t="str" cm="1">
        <f t="array" ref="C208:D209">IF($D$157,_xlfn._xlws.FILTER(CHOOSE({1,2},BEquities[Account],BEquities[Amt]),BEquities[Used]=1,{"",""}),_xlfn._xlws.FILTER(FSBuilder[[Account or Explanation]:[Amount]],(FSBuilder[Statement]="Beginning Balance Sheet")*(FSBuilder[Category]="  Equities"),{"",""}))</f>
        <v>Common Stock</v>
      </c>
      <c r="D208" s="381">
        <v>0</v>
      </c>
      <c r="E208">
        <f>IF(D208&lt;&gt;"",ABS(D208),0)</f>
        <v>0</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250</v>
      </c>
      <c r="AB208" s="175">
        <v>6</v>
      </c>
      <c r="AC208" s="365" t="str" cm="1">
        <f t="array" ref="AC208:AD209">IF(AD157,_xlfn._xlws.FILTER(CHOOSE({1,2},EEquities[Account],EEquities[AmtJournal]),EEquities[Used]=1,{"",""}),_xlfn._xlws.FILTER(FSBuilder[[Account or Explanation]:[Amount]],(FSBuilder[Statement]="Ending Balance Sheet")*(FSBuilder[Category]="  Equities"),{"",""}))</f>
        <v>Common Stock</v>
      </c>
      <c r="AD208" s="381">
        <v>100</v>
      </c>
      <c r="AE208">
        <f>IF(AD208&lt;&gt;"",ABS(AD208),0)</f>
        <v>100</v>
      </c>
    </row>
    <row r="209" spans="2:31" hidden="1" x14ac:dyDescent="0.3">
      <c r="B209" s="96">
        <v>7</v>
      </c>
      <c r="C209" t="str">
        <v>Retained Earnings</v>
      </c>
      <c r="D209" s="173">
        <v>0</v>
      </c>
      <c r="E209">
        <f t="shared" ref="E209:E217" si="40">ABS(D209)</f>
        <v>0</v>
      </c>
      <c r="I209" s="192">
        <v>7</v>
      </c>
      <c r="J209" s="481"/>
      <c r="K209" s="482"/>
      <c r="AB209" s="96">
        <v>7</v>
      </c>
      <c r="AC209" t="str">
        <v>Retained Earnings</v>
      </c>
      <c r="AD209" s="173">
        <v>-4.2</v>
      </c>
      <c r="AE209">
        <f t="shared" ref="AE209:AE217" si="41">ABS(AD209)</f>
        <v>4.2</v>
      </c>
    </row>
    <row r="210" spans="2:31" hidden="1" x14ac:dyDescent="0.3">
      <c r="B210" s="96">
        <v>7</v>
      </c>
      <c r="D210" s="173"/>
      <c r="E210">
        <f t="shared" si="40"/>
        <v>0</v>
      </c>
      <c r="I210" s="192">
        <v>7</v>
      </c>
      <c r="J210" s="481"/>
      <c r="K210" s="482"/>
      <c r="AB210" s="96">
        <v>7</v>
      </c>
      <c r="AD210" s="173"/>
      <c r="AE210">
        <f t="shared" si="41"/>
        <v>0</v>
      </c>
    </row>
    <row r="211" spans="2:31" ht="15" hidden="1" thickBot="1" x14ac:dyDescent="0.35">
      <c r="B211" s="96">
        <v>7</v>
      </c>
      <c r="D211" s="173"/>
      <c r="E211">
        <f t="shared" si="40"/>
        <v>0</v>
      </c>
      <c r="I211" s="192">
        <v>7</v>
      </c>
      <c r="J211" s="481"/>
      <c r="K211" s="482"/>
      <c r="T211">
        <v>3</v>
      </c>
      <c r="U211" s="372" t="s">
        <v>239</v>
      </c>
      <c r="V211" s="192"/>
      <c r="W211" t="b">
        <f ca="1">SUM(W212:W230)&gt;0.000001</f>
        <v>1</v>
      </c>
      <c r="AB211" s="96">
        <v>7</v>
      </c>
      <c r="AD211" s="173"/>
      <c r="AE211">
        <f t="shared" si="41"/>
        <v>0</v>
      </c>
    </row>
    <row r="212" spans="2:31" hidden="1" x14ac:dyDescent="0.3">
      <c r="B212" s="96">
        <v>7</v>
      </c>
      <c r="D212" s="173"/>
      <c r="E212">
        <f t="shared" si="40"/>
        <v>0</v>
      </c>
      <c r="H212" s="5"/>
      <c r="I212" s="192">
        <v>7</v>
      </c>
      <c r="J212" s="481"/>
      <c r="K212" s="482"/>
      <c r="T212" s="192">
        <v>6</v>
      </c>
      <c r="U212" s="479" t="str" cm="1">
        <f t="array" aca="1" ref="U212:V213" ca="1">IF($F$104,_xlfn._xlws.FILTER(CHOOSE({1,2},CFS_CFF[Account],CFS_CFF[AmtJournal]),ABS(CFS_CFF[AmtJournal])&gt;0.0001,{"",""}),_xlfn._xlws.FILTER(FSBuilder[[Account or Explanation]:[Amount]],(FSBuilder[Statement]="Cash Flow Statement")*(FSBuilder[Category]="  Financing Activities"),{"",""}))</f>
        <v>Issued common stock</v>
      </c>
      <c r="V212" s="480">
        <f ca="1"/>
        <v>100</v>
      </c>
      <c r="W212">
        <f ca="1">IF(V212&lt;&gt;"",ABS(V212),0)</f>
        <v>100</v>
      </c>
      <c r="X212" t="b">
        <f ca="1">NOT(W212&lt;0.000001)</f>
        <v>1</v>
      </c>
      <c r="AB212" s="96">
        <v>7</v>
      </c>
      <c r="AD212" s="173"/>
      <c r="AE212">
        <f t="shared" si="41"/>
        <v>0</v>
      </c>
    </row>
    <row r="213" spans="2:31" hidden="1" x14ac:dyDescent="0.3">
      <c r="B213" s="96">
        <v>7</v>
      </c>
      <c r="D213" s="173"/>
      <c r="E213">
        <f t="shared" si="40"/>
        <v>0</v>
      </c>
      <c r="I213" s="192">
        <v>7</v>
      </c>
      <c r="J213" s="481"/>
      <c r="K213" s="482"/>
      <c r="T213" s="192">
        <v>7</v>
      </c>
      <c r="U213" s="481" t="str">
        <f ca="1"/>
        <v>Issued bonds</v>
      </c>
      <c r="V213" s="482">
        <f ca="1"/>
        <v>20</v>
      </c>
      <c r="W213">
        <f t="shared" ref="W213:W230" ca="1" si="42">ABS(V213)</f>
        <v>20</v>
      </c>
      <c r="X213" t="b">
        <f t="shared" ref="X213:X230" ca="1" si="43">NOT(W213&lt;0.000001)</f>
        <v>1</v>
      </c>
      <c r="AB213" s="96">
        <v>7</v>
      </c>
      <c r="AD213" s="173"/>
      <c r="AE213">
        <f t="shared" si="41"/>
        <v>0</v>
      </c>
    </row>
    <row r="214" spans="2:31" hidden="1" x14ac:dyDescent="0.3">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x14ac:dyDescent="0.3">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x14ac:dyDescent="0.3">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 hidden="1" thickBot="1" x14ac:dyDescent="0.35">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x14ac:dyDescent="0.3">
      <c r="E218">
        <f>SUM(E208:E217)</f>
        <v>0</v>
      </c>
      <c r="J218" s="192"/>
      <c r="T218" s="192">
        <v>7</v>
      </c>
      <c r="U218" s="481"/>
      <c r="V218" s="482"/>
      <c r="W218">
        <f t="shared" si="42"/>
        <v>0</v>
      </c>
      <c r="X218" t="b">
        <f t="shared" si="43"/>
        <v>0</v>
      </c>
      <c r="AE218">
        <f>SUM(AE208:AE217)</f>
        <v>104.2</v>
      </c>
    </row>
    <row r="219" spans="2:31" hidden="1" x14ac:dyDescent="0.3">
      <c r="T219" s="192">
        <v>7</v>
      </c>
      <c r="U219" s="481"/>
      <c r="V219" s="482"/>
      <c r="W219">
        <f t="shared" si="42"/>
        <v>0</v>
      </c>
      <c r="X219" t="b">
        <f t="shared" si="43"/>
        <v>0</v>
      </c>
    </row>
    <row r="220" spans="2:31" ht="15" hidden="1" thickBot="1" x14ac:dyDescent="0.35">
      <c r="C220" s="5"/>
      <c r="I220" s="5" t="s">
        <v>175</v>
      </c>
      <c r="T220" s="192">
        <v>7</v>
      </c>
      <c r="U220" s="481"/>
      <c r="V220" s="482"/>
      <c r="W220">
        <f t="shared" si="42"/>
        <v>0</v>
      </c>
      <c r="X220" t="b">
        <f t="shared" si="43"/>
        <v>0</v>
      </c>
      <c r="AC220" s="5" t="s">
        <v>266</v>
      </c>
    </row>
    <row r="221" spans="2:31" hidden="1" x14ac:dyDescent="0.3">
      <c r="I221">
        <v>6</v>
      </c>
      <c r="J221" s="175" t="str" cm="1">
        <f t="array" aca="1" ref="J221:K221" ca="1">_xlfn.IFS($F$108,_xlfn._xlws.FILTER(CHOOSE({1,2},OCI[Account],OCI[AmtJournal]),OCI[UsedJournal]=1,{"",""}),AND($E$108,$K$128),_xlfn._xlws.FILTER(CHOOSE({1,2},OCI[Account],OCI[AmtFSBuilder]),OCI[UsedFSBuilder]=1,{"",""}),AND(NOT(F108),NOT(AND(E108,K128))),{"",""})</f>
        <v/>
      </c>
      <c r="K221" s="174" t="str">
        <f ca="1"/>
        <v/>
      </c>
      <c r="T221" s="192">
        <v>7</v>
      </c>
      <c r="U221" s="481"/>
      <c r="V221" s="482"/>
      <c r="W221">
        <f t="shared" si="42"/>
        <v>0</v>
      </c>
      <c r="X221" t="b">
        <f t="shared" si="43"/>
        <v>0</v>
      </c>
      <c r="AB221">
        <v>5</v>
      </c>
      <c r="AC221" t="s">
        <v>267</v>
      </c>
      <c r="AD221">
        <f>SUM(AD160:AD169)</f>
        <v>80.850000000000009</v>
      </c>
    </row>
    <row r="222" spans="2:31" hidden="1" x14ac:dyDescent="0.3">
      <c r="H222" s="5"/>
      <c r="I222">
        <v>7</v>
      </c>
      <c r="J222" s="96"/>
      <c r="K222" s="97"/>
      <c r="T222" s="192">
        <v>7</v>
      </c>
      <c r="U222" s="481"/>
      <c r="V222" s="482"/>
      <c r="W222">
        <f t="shared" si="42"/>
        <v>0</v>
      </c>
      <c r="X222" t="b">
        <f t="shared" si="43"/>
        <v>0</v>
      </c>
      <c r="AB222">
        <v>5</v>
      </c>
      <c r="AC222" t="s">
        <v>268</v>
      </c>
      <c r="AD222">
        <f>SUM(AD172:AD181)</f>
        <v>52.5</v>
      </c>
    </row>
    <row r="223" spans="2:31" hidden="1" x14ac:dyDescent="0.3">
      <c r="I223">
        <v>7</v>
      </c>
      <c r="J223" s="96"/>
      <c r="K223" s="97"/>
      <c r="T223" s="192">
        <v>7</v>
      </c>
      <c r="U223" s="481"/>
      <c r="V223" s="482"/>
      <c r="W223">
        <f t="shared" si="42"/>
        <v>0</v>
      </c>
      <c r="X223" t="b">
        <f t="shared" si="43"/>
        <v>0</v>
      </c>
      <c r="AB223">
        <v>3</v>
      </c>
      <c r="AC223" t="s">
        <v>269</v>
      </c>
      <c r="AD223">
        <f>AD221+AD222</f>
        <v>133.35000000000002</v>
      </c>
    </row>
    <row r="224" spans="2:31" hidden="1" x14ac:dyDescent="0.3">
      <c r="I224">
        <v>7</v>
      </c>
      <c r="J224" s="96"/>
      <c r="K224" s="97"/>
      <c r="T224" s="192">
        <v>7</v>
      </c>
      <c r="U224" s="481"/>
      <c r="V224" s="482"/>
      <c r="W224">
        <f t="shared" si="42"/>
        <v>0</v>
      </c>
      <c r="X224" t="b">
        <f t="shared" si="43"/>
        <v>0</v>
      </c>
      <c r="AB224">
        <v>5</v>
      </c>
      <c r="AC224" t="s">
        <v>270</v>
      </c>
      <c r="AD224">
        <f>SUM(AD184:AD193)</f>
        <v>17.55</v>
      </c>
    </row>
    <row r="225" spans="9:30" ht="15" hidden="1" thickBot="1" x14ac:dyDescent="0.35">
      <c r="I225">
        <v>7</v>
      </c>
      <c r="J225" s="98"/>
      <c r="K225" s="99"/>
      <c r="T225" s="192">
        <v>7</v>
      </c>
      <c r="U225" s="481"/>
      <c r="V225" s="482"/>
      <c r="W225">
        <f t="shared" si="42"/>
        <v>0</v>
      </c>
      <c r="X225" t="b">
        <f t="shared" si="43"/>
        <v>0</v>
      </c>
      <c r="AB225">
        <v>5</v>
      </c>
      <c r="AC225" t="s">
        <v>271</v>
      </c>
      <c r="AD225">
        <f>SUM(AD196:AD205)</f>
        <v>20</v>
      </c>
    </row>
    <row r="226" spans="9:30" hidden="1" x14ac:dyDescent="0.3">
      <c r="T226" s="192">
        <v>7</v>
      </c>
      <c r="U226" s="481"/>
      <c r="V226" s="482"/>
      <c r="W226">
        <f t="shared" si="42"/>
        <v>0</v>
      </c>
      <c r="X226" t="b">
        <f t="shared" si="43"/>
        <v>0</v>
      </c>
      <c r="AB226">
        <v>3</v>
      </c>
      <c r="AC226" t="s">
        <v>272</v>
      </c>
      <c r="AD226">
        <f>AD224+AD225</f>
        <v>37.549999999999997</v>
      </c>
    </row>
    <row r="227" spans="9:30" hidden="1" x14ac:dyDescent="0.3">
      <c r="T227" s="192">
        <v>7</v>
      </c>
      <c r="U227" s="481"/>
      <c r="V227" s="482"/>
      <c r="W227">
        <f t="shared" si="42"/>
        <v>0</v>
      </c>
      <c r="X227" t="b">
        <f t="shared" si="43"/>
        <v>0</v>
      </c>
      <c r="AB227">
        <v>3</v>
      </c>
      <c r="AC227" t="s">
        <v>273</v>
      </c>
      <c r="AD227">
        <f>SUM(AD208:AD217)</f>
        <v>95.8</v>
      </c>
    </row>
    <row r="228" spans="9:30" hidden="1" x14ac:dyDescent="0.3">
      <c r="T228" s="192">
        <v>7</v>
      </c>
      <c r="U228" s="481"/>
      <c r="V228" s="482"/>
      <c r="W228">
        <f t="shared" si="42"/>
        <v>0</v>
      </c>
      <c r="X228" t="b">
        <f t="shared" si="43"/>
        <v>0</v>
      </c>
      <c r="AB228">
        <v>3</v>
      </c>
      <c r="AC228" t="s">
        <v>274</v>
      </c>
      <c r="AD228">
        <f>AD226+AD227</f>
        <v>133.35</v>
      </c>
    </row>
    <row r="229" spans="9:30" hidden="1" x14ac:dyDescent="0.3">
      <c r="T229" s="192">
        <v>7</v>
      </c>
      <c r="U229" s="481"/>
      <c r="V229" s="482"/>
      <c r="W229">
        <f t="shared" si="42"/>
        <v>0</v>
      </c>
      <c r="X229" t="b">
        <f t="shared" si="43"/>
        <v>0</v>
      </c>
    </row>
    <row r="230" spans="9:30" ht="15" hidden="1" thickBot="1" x14ac:dyDescent="0.35">
      <c r="T230" s="192">
        <v>7</v>
      </c>
      <c r="U230" s="483"/>
      <c r="V230" s="485"/>
      <c r="W230">
        <f t="shared" si="42"/>
        <v>0</v>
      </c>
      <c r="X230" t="b">
        <f t="shared" si="43"/>
        <v>0</v>
      </c>
    </row>
    <row r="231" spans="9:30" hidden="1" x14ac:dyDescent="0.3"/>
    <row r="232" spans="9:30" hidden="1" x14ac:dyDescent="0.3">
      <c r="J232" s="5"/>
      <c r="R232" s="5"/>
      <c r="T232" s="192">
        <v>2</v>
      </c>
      <c r="U232" t="str">
        <f>"Cash @ "&amp;BegDate</f>
        <v>Cash @ 3/31/20X4</v>
      </c>
      <c r="V232" s="289">
        <f>FSConstruction!F11</f>
        <v>0</v>
      </c>
    </row>
    <row r="233" spans="9:30" hidden="1" x14ac:dyDescent="0.3">
      <c r="N233" s="5"/>
      <c r="R233" s="5"/>
      <c r="T233" s="192">
        <v>2</v>
      </c>
      <c r="U233" t="str">
        <f>"Cash @ "&amp;EndDate</f>
        <v>Cash @ 12/31/20x4</v>
      </c>
      <c r="V233" s="289">
        <f>FSConstruction!BP10</f>
        <v>40.050000000000011</v>
      </c>
    </row>
    <row r="234" spans="9:30" hidden="1" x14ac:dyDescent="0.3">
      <c r="O234" s="216"/>
      <c r="S234" s="34"/>
    </row>
    <row r="235" spans="9:30" hidden="1" x14ac:dyDescent="0.3">
      <c r="O235" s="216"/>
      <c r="S235" s="34"/>
      <c r="T235" s="192">
        <v>5</v>
      </c>
      <c r="U235" s="192" t="s">
        <v>275</v>
      </c>
      <c r="V235" s="491">
        <f ca="1">ROUND(SUM(V160:V178),2)</f>
        <v>5.05</v>
      </c>
    </row>
    <row r="236" spans="9:30" hidden="1" x14ac:dyDescent="0.3">
      <c r="O236" s="216"/>
      <c r="T236" s="192">
        <v>5</v>
      </c>
      <c r="U236" s="192" t="s">
        <v>276</v>
      </c>
      <c r="V236" s="491">
        <f ca="1">ROUND(SUM(V186:V204),2)</f>
        <v>-85</v>
      </c>
    </row>
    <row r="237" spans="9:30" hidden="1" x14ac:dyDescent="0.3">
      <c r="O237" s="216"/>
      <c r="R237" s="5"/>
      <c r="T237" s="192">
        <v>5</v>
      </c>
      <c r="U237" s="192" t="s">
        <v>277</v>
      </c>
      <c r="V237" s="491">
        <f ca="1">ROUND(SUM(V212:V230),2)</f>
        <v>120</v>
      </c>
    </row>
    <row r="238" spans="9:30" hidden="1" x14ac:dyDescent="0.3">
      <c r="O238" s="216"/>
    </row>
    <row r="239" spans="9:30" hidden="1" x14ac:dyDescent="0.3">
      <c r="T239" s="192">
        <v>5</v>
      </c>
      <c r="U239" s="192" t="s">
        <v>278</v>
      </c>
      <c r="V239" s="371">
        <f ca="1">ROUND(V235+V236+V237,2)</f>
        <v>40.049999999999997</v>
      </c>
    </row>
    <row r="240" spans="9:30" hidden="1" x14ac:dyDescent="0.3"/>
    <row r="241" spans="10:26" hidden="1" x14ac:dyDescent="0.3">
      <c r="T241" s="39"/>
      <c r="U241" s="192"/>
      <c r="V241" s="192"/>
    </row>
    <row r="242" spans="10:26" ht="15" hidden="1" thickBot="1" x14ac:dyDescent="0.35">
      <c r="J242" s="5"/>
      <c r="N242" s="5"/>
      <c r="T242">
        <v>1</v>
      </c>
      <c r="U242" s="372" t="s">
        <v>138</v>
      </c>
      <c r="V242" s="192"/>
    </row>
    <row r="243" spans="10:26" hidden="1" x14ac:dyDescent="0.3">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x14ac:dyDescent="0.3">
      <c r="T244" s="192">
        <v>7</v>
      </c>
      <c r="U244" s="481"/>
      <c r="V244" s="257"/>
    </row>
    <row r="245" spans="10:26" hidden="1" x14ac:dyDescent="0.3">
      <c r="T245" s="192">
        <v>7</v>
      </c>
      <c r="U245" s="481"/>
      <c r="V245" s="257"/>
    </row>
    <row r="246" spans="10:26" hidden="1" x14ac:dyDescent="0.3">
      <c r="T246" s="192">
        <v>7</v>
      </c>
      <c r="U246" s="481"/>
      <c r="V246" s="257"/>
    </row>
    <row r="247" spans="10:26" hidden="1" x14ac:dyDescent="0.3">
      <c r="T247" s="192">
        <v>7</v>
      </c>
      <c r="U247" s="481"/>
      <c r="V247" s="257"/>
    </row>
    <row r="248" spans="10:26" hidden="1" x14ac:dyDescent="0.3">
      <c r="N248" s="5"/>
      <c r="T248" s="192">
        <v>7</v>
      </c>
      <c r="U248" s="481"/>
      <c r="V248" s="257"/>
    </row>
    <row r="249" spans="10:26" hidden="1" x14ac:dyDescent="0.3">
      <c r="T249" s="192">
        <v>7</v>
      </c>
      <c r="U249" s="481"/>
      <c r="V249" s="257"/>
    </row>
    <row r="250" spans="10:26" hidden="1" x14ac:dyDescent="0.3">
      <c r="T250" s="192">
        <v>7</v>
      </c>
      <c r="U250" s="481"/>
      <c r="V250" s="257"/>
    </row>
    <row r="251" spans="10:26" hidden="1" x14ac:dyDescent="0.3">
      <c r="T251" s="192">
        <v>7</v>
      </c>
      <c r="U251" s="481"/>
      <c r="V251" s="257"/>
    </row>
    <row r="252" spans="10:26" ht="14.1" hidden="1" customHeight="1" x14ac:dyDescent="0.3">
      <c r="T252" s="192">
        <v>7</v>
      </c>
      <c r="U252" s="481"/>
      <c r="V252" s="257"/>
    </row>
    <row r="253" spans="10:26" hidden="1" x14ac:dyDescent="0.3">
      <c r="T253" s="192">
        <v>7</v>
      </c>
      <c r="U253" s="481"/>
      <c r="V253" s="257"/>
    </row>
    <row r="254" spans="10:26" hidden="1" x14ac:dyDescent="0.3">
      <c r="T254" s="192">
        <v>7</v>
      </c>
      <c r="U254" s="481"/>
      <c r="V254" s="257"/>
    </row>
    <row r="255" spans="10:26" hidden="1" x14ac:dyDescent="0.3">
      <c r="T255" s="192">
        <v>7</v>
      </c>
      <c r="U255" s="481"/>
      <c r="V255" s="257"/>
    </row>
    <row r="256" spans="10:26" hidden="1" x14ac:dyDescent="0.3">
      <c r="T256" s="192">
        <v>7</v>
      </c>
      <c r="U256" s="481"/>
      <c r="V256" s="257"/>
    </row>
    <row r="257" spans="17:22" hidden="1" x14ac:dyDescent="0.3">
      <c r="T257" s="192">
        <v>7</v>
      </c>
      <c r="U257" s="481"/>
      <c r="V257" s="257"/>
    </row>
    <row r="258" spans="17:22" hidden="1" x14ac:dyDescent="0.3">
      <c r="T258" s="192">
        <v>7</v>
      </c>
      <c r="U258" s="481"/>
      <c r="V258" s="257"/>
    </row>
    <row r="259" spans="17:22" hidden="1" x14ac:dyDescent="0.3">
      <c r="T259" s="192">
        <v>7</v>
      </c>
      <c r="U259" s="481"/>
      <c r="V259" s="257"/>
    </row>
    <row r="260" spans="17:22" hidden="1" x14ac:dyDescent="0.3">
      <c r="T260" s="192">
        <v>7</v>
      </c>
      <c r="U260" s="481"/>
      <c r="V260" s="257"/>
    </row>
    <row r="261" spans="17:22" ht="15" hidden="1" thickBot="1" x14ac:dyDescent="0.35">
      <c r="T261" s="192">
        <v>7</v>
      </c>
      <c r="U261" s="483"/>
      <c r="V261" s="488"/>
    </row>
    <row r="262" spans="17:22" hidden="1" x14ac:dyDescent="0.3">
      <c r="T262" s="192"/>
    </row>
    <row r="263" spans="17:22" hidden="1" x14ac:dyDescent="0.3">
      <c r="T263" s="192"/>
    </row>
    <row r="264" spans="17:22" hidden="1" x14ac:dyDescent="0.3">
      <c r="T264" s="192"/>
    </row>
    <row r="265" spans="17:22" hidden="1" x14ac:dyDescent="0.3">
      <c r="T265" s="192"/>
    </row>
    <row r="266" spans="17:22" hidden="1" x14ac:dyDescent="0.3">
      <c r="T266" s="192"/>
    </row>
    <row r="267" spans="17:22" hidden="1" x14ac:dyDescent="0.3">
      <c r="T267" s="192"/>
    </row>
    <row r="268" spans="17:22" hidden="1" x14ac:dyDescent="0.3"/>
    <row r="269" spans="17:22" hidden="1" x14ac:dyDescent="0.3"/>
    <row r="270" spans="17:22" hidden="1" x14ac:dyDescent="0.3"/>
    <row r="271" spans="17:22" hidden="1" x14ac:dyDescent="0.3"/>
    <row r="272" spans="17:22" hidden="1" x14ac:dyDescent="0.3">
      <c r="Q272" t="str" cm="1">
        <f t="array" aca="1" ref="Q272:S272" ca="1">IF(AND($S$232=1,ABS(MAX(S182:S186))&gt;0),_xlfn.ANCHORARRAY(Q242),{"","",""})</f>
        <v/>
      </c>
      <c r="R272" t="str">
        <f ca="1"/>
        <v/>
      </c>
      <c r="S272" t="str">
        <f ca="1"/>
        <v/>
      </c>
    </row>
    <row r="273" spans="9:22" hidden="1" x14ac:dyDescent="0.3"/>
    <row r="274" spans="9:22" hidden="1" x14ac:dyDescent="0.3"/>
    <row r="275" spans="9:22" hidden="1" x14ac:dyDescent="0.3"/>
    <row r="276" spans="9:22" hidden="1" x14ac:dyDescent="0.3"/>
    <row r="277" spans="9:22" hidden="1" x14ac:dyDescent="0.3">
      <c r="I277" t="str" cm="1">
        <f t="array" ref="I277:K277">IF(K249=1,B222:D222,{"","",""})</f>
        <v/>
      </c>
      <c r="J277" t="str">
        <v/>
      </c>
      <c r="K277" t="str">
        <v/>
      </c>
    </row>
    <row r="278" spans="9:22" hidden="1" x14ac:dyDescent="0.3">
      <c r="I278" t="str" cm="1">
        <f t="array" ref="I278:K278">IF(OR(ISNUMBER(SEARCH("Current Assets",$D$98)),ISNUMBER(SEARCH("Noncurrent Assets",$D$98))),B223:D223,{"","",""})</f>
        <v/>
      </c>
      <c r="J278" t="str">
        <v/>
      </c>
      <c r="K278" t="str">
        <v/>
      </c>
    </row>
    <row r="279" spans="9:22" hidden="1" x14ac:dyDescent="0.3">
      <c r="U279" s="372" t="s">
        <v>152</v>
      </c>
    </row>
    <row r="280" spans="9:22" hidden="1" x14ac:dyDescent="0.3">
      <c r="T280">
        <v>2</v>
      </c>
      <c r="U280" t="s">
        <v>279</v>
      </c>
      <c r="V280" s="371">
        <f ca="1">K562</f>
        <v>-4.2</v>
      </c>
    </row>
    <row r="281" spans="9:22" ht="15" hidden="1" thickBot="1" x14ac:dyDescent="0.35">
      <c r="T281" s="39"/>
      <c r="V281" s="192"/>
    </row>
    <row r="282" spans="9:22" hidden="1" x14ac:dyDescent="0.3">
      <c r="Q282" t="str" cm="1">
        <f t="array" aca="1" ref="Q282:S282" ca="1">IF(AND($S$232=1,ABS(MAX(S185:S187))&gt;0),_xlfn.ANCHORARRAY(Q243),{"","",""})</f>
        <v/>
      </c>
      <c r="R282" t="str">
        <f ca="1"/>
        <v/>
      </c>
      <c r="S282" t="str">
        <f ca="1"/>
        <v/>
      </c>
      <c r="T282" s="192">
        <v>6</v>
      </c>
      <c r="U282" s="479" t="str" cm="1">
        <f t="array" aca="1" ref="U282:V282" ca="1">IF($F$105,_xlfn._xlws.FILTER(CHOOSE({1,2},NI_CFO_Recon_Adjs[Account],NI_CFO_Recon_Adjs[AmtJournal]),NI_CFO_Recon_Adjs[UsedJournal]=1,{"",""}),_xlfn._xlws.FILTER(FSBuilder[[Account or Explanation]:[Amount]],((FSBuilder[Statement]="Reconciliation of NI and CFO")*(FSBuilder[Category]=BB25)),{"",""}))</f>
        <v>Depreciation expense</v>
      </c>
      <c r="V282" s="487">
        <f ca="1"/>
        <v>7.5</v>
      </c>
    </row>
    <row r="283" spans="9:22" hidden="1" x14ac:dyDescent="0.3">
      <c r="Q283" t="str" cm="1">
        <f t="array" aca="1" ref="Q283:S283" ca="1">IF(ABS(MAX(S185:S187))&gt;0,_xlfn._xlws.FILTER(Q185:S187,S185:S187&lt;&gt;""),{"","",""})</f>
        <v/>
      </c>
      <c r="R283" t="str">
        <f ca="1"/>
        <v/>
      </c>
      <c r="S283" t="str">
        <f ca="1"/>
        <v/>
      </c>
      <c r="T283" s="192">
        <v>7</v>
      </c>
      <c r="U283" s="481"/>
      <c r="V283" s="257"/>
    </row>
    <row r="284" spans="9:22" hidden="1" x14ac:dyDescent="0.3">
      <c r="T284" s="192">
        <v>7</v>
      </c>
      <c r="U284" s="481"/>
      <c r="V284" s="257"/>
    </row>
    <row r="285" spans="9:22" hidden="1" x14ac:dyDescent="0.3">
      <c r="T285" s="192">
        <v>7</v>
      </c>
      <c r="U285" s="481"/>
      <c r="V285" s="257"/>
    </row>
    <row r="286" spans="9:22" hidden="1" x14ac:dyDescent="0.3">
      <c r="T286" s="192">
        <v>7</v>
      </c>
      <c r="U286" s="481"/>
      <c r="V286" s="257"/>
    </row>
    <row r="287" spans="9:22" hidden="1" x14ac:dyDescent="0.3">
      <c r="T287" s="192">
        <v>7</v>
      </c>
      <c r="U287" s="481"/>
      <c r="V287" s="257"/>
    </row>
    <row r="288" spans="9:22" hidden="1" x14ac:dyDescent="0.3">
      <c r="T288" s="192">
        <v>7</v>
      </c>
      <c r="U288" s="481"/>
      <c r="V288" s="257"/>
    </row>
    <row r="289" spans="9:22" hidden="1" x14ac:dyDescent="0.3">
      <c r="T289" s="192">
        <v>7</v>
      </c>
      <c r="U289" s="481"/>
      <c r="V289" s="257"/>
    </row>
    <row r="290" spans="9:22" hidden="1" x14ac:dyDescent="0.3">
      <c r="T290" s="192">
        <v>7</v>
      </c>
      <c r="U290" s="481"/>
      <c r="V290" s="257"/>
    </row>
    <row r="291" spans="9:22" hidden="1" x14ac:dyDescent="0.3">
      <c r="T291" s="192">
        <v>7</v>
      </c>
      <c r="U291" s="481"/>
      <c r="V291" s="257"/>
    </row>
    <row r="292" spans="9:22" hidden="1" x14ac:dyDescent="0.3">
      <c r="Q292" t="str" cm="1">
        <f t="array" aca="1" ref="Q292:S292" ca="1">IF(AND($S$232=1,ABS(MAX(S190:S193))&gt;0),_xlfn.ANCHORARRAY(Q244),{"","",""})</f>
        <v/>
      </c>
      <c r="R292" t="str">
        <f ca="1"/>
        <v/>
      </c>
      <c r="S292" t="str">
        <f ca="1"/>
        <v/>
      </c>
      <c r="T292" s="192">
        <v>7</v>
      </c>
      <c r="U292" s="481"/>
      <c r="V292" s="257"/>
    </row>
    <row r="293" spans="9:22" hidden="1" x14ac:dyDescent="0.3">
      <c r="Q293" t="str" cm="1">
        <f t="array" aca="1" ref="Q293:S293" ca="1">IF(ABS(MAX(S190:S193))&gt;0,_xlfn._xlws.FILTER(Q190:S193,S190:S193&lt;&gt;""),{"","",""})</f>
        <v/>
      </c>
      <c r="R293" t="str">
        <f ca="1"/>
        <v/>
      </c>
      <c r="S293" t="str">
        <f ca="1"/>
        <v/>
      </c>
      <c r="T293" s="192">
        <v>7</v>
      </c>
      <c r="U293" s="481"/>
      <c r="V293" s="257"/>
    </row>
    <row r="294" spans="9:22" hidden="1" x14ac:dyDescent="0.3">
      <c r="T294" s="192">
        <v>7</v>
      </c>
      <c r="U294" s="481"/>
      <c r="V294" s="257"/>
    </row>
    <row r="295" spans="9:22" hidden="1" x14ac:dyDescent="0.3">
      <c r="T295" s="192">
        <v>7</v>
      </c>
      <c r="U295" s="481"/>
      <c r="V295" s="257"/>
    </row>
    <row r="296" spans="9:22" hidden="1" x14ac:dyDescent="0.3">
      <c r="T296" s="192">
        <v>7</v>
      </c>
      <c r="U296" s="481"/>
      <c r="V296" s="257"/>
    </row>
    <row r="297" spans="9:22" hidden="1" x14ac:dyDescent="0.3">
      <c r="T297" s="192">
        <v>7</v>
      </c>
      <c r="U297" s="481"/>
      <c r="V297" s="257"/>
    </row>
    <row r="298" spans="9:22" hidden="1" x14ac:dyDescent="0.3">
      <c r="T298" s="192">
        <v>7</v>
      </c>
      <c r="U298" s="481"/>
      <c r="V298" s="257"/>
    </row>
    <row r="299" spans="9:22" hidden="1" x14ac:dyDescent="0.3">
      <c r="T299" s="192">
        <v>7</v>
      </c>
      <c r="U299" s="481"/>
      <c r="V299" s="257"/>
    </row>
    <row r="300" spans="9:22" hidden="1" x14ac:dyDescent="0.3">
      <c r="T300" s="192">
        <v>7</v>
      </c>
      <c r="U300" s="481"/>
      <c r="V300" s="257"/>
    </row>
    <row r="301" spans="9:22" ht="15" hidden="1" thickBot="1" x14ac:dyDescent="0.35">
      <c r="T301" s="192">
        <v>7</v>
      </c>
      <c r="U301" s="483"/>
      <c r="V301" s="488"/>
    </row>
    <row r="302" spans="9:22" hidden="1" x14ac:dyDescent="0.3">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aca="1" ref="U302:V307" ca="1">IF($F$105,_xlfn._xlws.FILTER(CHOOSE({1,2},NI_CFO_Recon_Chs_Ops[Account],NI_CFO_Recon_Chs_Ops[AmtJournal]),NI_CFO_Recon_Chs_Ops[UsedJournal]=1,{"",""}),_xlfn._xlws.FILTER(FSBuilder[[Account or Explanation]:[Amount]],((FSBuilder[Statement]="Reconciliation of NI and CFO")*(FSBuilder[Category]=BB26)),{"",""}))</f>
        <v>Accounts Receivable</v>
      </c>
      <c r="V302" s="487">
        <f ca="1"/>
        <v>-9.8000000000000007</v>
      </c>
    </row>
    <row r="303" spans="9:22" hidden="1" x14ac:dyDescent="0.3">
      <c r="T303" s="192">
        <v>7</v>
      </c>
      <c r="U303" s="481" t="str">
        <f ca="1"/>
        <v>Inventories</v>
      </c>
      <c r="V303" s="257">
        <f ca="1"/>
        <v>-5</v>
      </c>
    </row>
    <row r="304" spans="9:22" hidden="1" x14ac:dyDescent="0.3">
      <c r="I304" t="str" cm="1">
        <f t="array" ref="I304:K304">IF(K245=1,{2,"EQUITIES",""},{"","",""})</f>
        <v/>
      </c>
      <c r="J304" t="str">
        <v/>
      </c>
      <c r="K304" t="str">
        <v/>
      </c>
      <c r="T304" s="192">
        <v>7</v>
      </c>
      <c r="U304" s="481" t="str">
        <f ca="1"/>
        <v>Prepaid Rent</v>
      </c>
      <c r="V304" s="257">
        <f ca="1"/>
        <v>-1</v>
      </c>
    </row>
    <row r="305" spans="9:22" hidden="1" x14ac:dyDescent="0.3">
      <c r="T305" s="192">
        <v>7</v>
      </c>
      <c r="U305" s="481" t="str">
        <f ca="1"/>
        <v>Accounts Payable</v>
      </c>
      <c r="V305" s="257">
        <f ca="1"/>
        <v>15</v>
      </c>
    </row>
    <row r="306" spans="9:22" hidden="1" x14ac:dyDescent="0.3">
      <c r="I306" t="str" cm="1">
        <f t="array" ref="I306:K306">IF(K245=1,_xlfn._xlws.FILTER(B208:D217,D208:D217&lt;&gt;"",{"","",""}),{"","",""})</f>
        <v/>
      </c>
      <c r="J306" t="str">
        <v/>
      </c>
      <c r="K306" t="str">
        <v/>
      </c>
      <c r="T306" s="192">
        <v>7</v>
      </c>
      <c r="U306" s="481" t="str">
        <f ca="1"/>
        <v>Interest Payable</v>
      </c>
      <c r="V306" s="257">
        <f ca="1"/>
        <v>1.55</v>
      </c>
    </row>
    <row r="307" spans="9:22" hidden="1" x14ac:dyDescent="0.3">
      <c r="T307" s="192">
        <v>7</v>
      </c>
      <c r="U307" s="481" t="str">
        <f ca="1"/>
        <v>Salaries &amp; Wages Payable</v>
      </c>
      <c r="V307" s="257">
        <f ca="1"/>
        <v>1</v>
      </c>
    </row>
    <row r="308" spans="9:22" hidden="1" x14ac:dyDescent="0.3">
      <c r="T308" s="192">
        <v>7</v>
      </c>
      <c r="U308" s="481"/>
      <c r="V308" s="257"/>
    </row>
    <row r="309" spans="9:22" hidden="1" x14ac:dyDescent="0.3">
      <c r="T309" s="192">
        <v>7</v>
      </c>
      <c r="U309" s="481"/>
      <c r="V309" s="257"/>
    </row>
    <row r="310" spans="9:22" hidden="1" x14ac:dyDescent="0.3">
      <c r="T310" s="192">
        <v>7</v>
      </c>
      <c r="U310" s="481"/>
      <c r="V310" s="257"/>
    </row>
    <row r="311" spans="9:22" hidden="1" x14ac:dyDescent="0.3">
      <c r="T311" s="192">
        <v>7</v>
      </c>
      <c r="U311" s="481"/>
      <c r="V311" s="257"/>
    </row>
    <row r="312" spans="9:22" hidden="1" x14ac:dyDescent="0.3">
      <c r="I312" t="str" cm="1">
        <f t="array" ref="I312:K312">IF(K256=1,B227:D227,{"","",""})</f>
        <v/>
      </c>
      <c r="J312" t="str">
        <v/>
      </c>
      <c r="K312" t="str">
        <v/>
      </c>
      <c r="T312" s="192">
        <v>6</v>
      </c>
      <c r="U312" s="481"/>
      <c r="V312" s="257"/>
    </row>
    <row r="313" spans="9:22" hidden="1" x14ac:dyDescent="0.3">
      <c r="T313" s="192">
        <v>7</v>
      </c>
      <c r="U313" s="481"/>
      <c r="V313" s="257"/>
    </row>
    <row r="314" spans="9:22" hidden="1" x14ac:dyDescent="0.3">
      <c r="I314" t="str" cm="1">
        <f t="array" ref="I314:K314">IF(OR(ISNUMBER(SEARCH("Current Liabilities",$D$98)),ISNUMBER(SEARCH("Noncurrent Liabilities",$D$98)),K256),B228:D228,{"","",""})</f>
        <v/>
      </c>
      <c r="J314" t="str">
        <v/>
      </c>
      <c r="K314" t="str">
        <v/>
      </c>
      <c r="T314" s="192">
        <v>7</v>
      </c>
      <c r="U314" s="481"/>
      <c r="V314" s="257"/>
    </row>
    <row r="315" spans="9:22" hidden="1" x14ac:dyDescent="0.3">
      <c r="T315" s="192">
        <v>7</v>
      </c>
      <c r="U315" s="481"/>
      <c r="V315" s="257"/>
    </row>
    <row r="316" spans="9:22" hidden="1" x14ac:dyDescent="0.3">
      <c r="T316" s="192">
        <v>7</v>
      </c>
      <c r="U316" s="481"/>
      <c r="V316" s="257"/>
    </row>
    <row r="317" spans="9:22" hidden="1" x14ac:dyDescent="0.3">
      <c r="T317" s="192">
        <v>7</v>
      </c>
      <c r="U317" s="481"/>
      <c r="V317" s="257"/>
    </row>
    <row r="318" spans="9:22" hidden="1" x14ac:dyDescent="0.3">
      <c r="T318" s="192">
        <v>7</v>
      </c>
      <c r="U318" s="481"/>
      <c r="V318" s="257"/>
    </row>
    <row r="319" spans="9:22" hidden="1" x14ac:dyDescent="0.3">
      <c r="T319" s="192">
        <v>7</v>
      </c>
      <c r="U319" s="481"/>
      <c r="V319" s="257"/>
    </row>
    <row r="320" spans="9:22" hidden="1" x14ac:dyDescent="0.3">
      <c r="T320" s="192">
        <v>7</v>
      </c>
      <c r="U320" s="481"/>
      <c r="V320" s="257"/>
    </row>
    <row r="321" spans="20:22" hidden="1" x14ac:dyDescent="0.3">
      <c r="T321" s="192">
        <v>7</v>
      </c>
      <c r="U321" s="481"/>
      <c r="V321" s="257"/>
    </row>
    <row r="322" spans="20:22" hidden="1" x14ac:dyDescent="0.3">
      <c r="T322" s="192">
        <v>6</v>
      </c>
      <c r="U322" s="481"/>
      <c r="V322" s="257"/>
    </row>
    <row r="323" spans="20:22" hidden="1" x14ac:dyDescent="0.3">
      <c r="T323" s="192">
        <v>7</v>
      </c>
      <c r="U323" s="481"/>
      <c r="V323" s="257"/>
    </row>
    <row r="324" spans="20:22" hidden="1" x14ac:dyDescent="0.3">
      <c r="T324" s="192">
        <v>7</v>
      </c>
      <c r="U324" s="481"/>
      <c r="V324" s="257"/>
    </row>
    <row r="325" spans="20:22" hidden="1" x14ac:dyDescent="0.3">
      <c r="T325" s="192">
        <v>7</v>
      </c>
      <c r="U325" s="481"/>
      <c r="V325" s="257"/>
    </row>
    <row r="326" spans="20:22" hidden="1" x14ac:dyDescent="0.3">
      <c r="T326" s="192">
        <v>7</v>
      </c>
      <c r="U326" s="481"/>
      <c r="V326" s="257"/>
    </row>
    <row r="327" spans="20:22" hidden="1" x14ac:dyDescent="0.3">
      <c r="T327" s="192">
        <v>7</v>
      </c>
      <c r="U327" s="481"/>
      <c r="V327" s="257"/>
    </row>
    <row r="328" spans="20:22" hidden="1" x14ac:dyDescent="0.3">
      <c r="T328" s="192">
        <v>7</v>
      </c>
      <c r="U328" s="481"/>
      <c r="V328" s="257"/>
    </row>
    <row r="329" spans="20:22" hidden="1" x14ac:dyDescent="0.3">
      <c r="T329" s="192">
        <v>7</v>
      </c>
      <c r="U329" s="481"/>
      <c r="V329" s="257"/>
    </row>
    <row r="330" spans="20:22" hidden="1" x14ac:dyDescent="0.3">
      <c r="T330" s="192">
        <v>7</v>
      </c>
      <c r="U330" s="481"/>
      <c r="V330" s="257"/>
    </row>
    <row r="331" spans="20:22" ht="15" hidden="1" thickBot="1" x14ac:dyDescent="0.35">
      <c r="T331" s="192">
        <v>7</v>
      </c>
      <c r="U331" s="483"/>
      <c r="V331" s="488"/>
    </row>
    <row r="332" spans="20:22" hidden="1" x14ac:dyDescent="0.3">
      <c r="T332" s="39"/>
      <c r="U332" s="5"/>
    </row>
    <row r="333" spans="20:22" hidden="1" x14ac:dyDescent="0.3">
      <c r="T333" s="192">
        <v>2</v>
      </c>
      <c r="U333" s="192" t="s">
        <v>173</v>
      </c>
      <c r="V333" s="491">
        <f ca="1">SUM(V280:V331)</f>
        <v>5.05</v>
      </c>
    </row>
    <row r="334" spans="20:22" hidden="1" x14ac:dyDescent="0.3"/>
    <row r="335" spans="20:22" hidden="1" x14ac:dyDescent="0.3"/>
    <row r="336" spans="20:22" hidden="1" x14ac:dyDescent="0.3"/>
    <row r="337" spans="20:22" hidden="1" x14ac:dyDescent="0.3">
      <c r="T337" s="192"/>
      <c r="U337" s="192"/>
      <c r="V337" s="192"/>
    </row>
    <row r="338" spans="20:22" hidden="1" x14ac:dyDescent="0.3">
      <c r="T338" s="192"/>
      <c r="U338" s="192"/>
      <c r="V338" s="192"/>
    </row>
    <row r="339" spans="20:22" hidden="1" x14ac:dyDescent="0.3">
      <c r="T339" s="192"/>
      <c r="U339" s="192"/>
      <c r="V339" s="192"/>
    </row>
    <row r="340" spans="20:22" hidden="1" x14ac:dyDescent="0.3">
      <c r="T340" s="192"/>
      <c r="U340" s="192"/>
      <c r="V340" s="192"/>
    </row>
    <row r="341" spans="20:22" hidden="1" x14ac:dyDescent="0.3">
      <c r="T341" s="192"/>
    </row>
    <row r="342" spans="20:22" hidden="1" x14ac:dyDescent="0.3">
      <c r="T342" s="192"/>
    </row>
    <row r="343" spans="20:22" hidden="1" x14ac:dyDescent="0.3">
      <c r="T343" s="192"/>
    </row>
    <row r="344" spans="20:22" hidden="1" x14ac:dyDescent="0.3">
      <c r="T344" s="192"/>
    </row>
    <row r="345" spans="20:22" hidden="1" x14ac:dyDescent="0.3">
      <c r="T345" s="192"/>
    </row>
    <row r="346" spans="20:22" hidden="1" x14ac:dyDescent="0.3">
      <c r="T346" s="192"/>
    </row>
    <row r="347" spans="20:22" hidden="1" x14ac:dyDescent="0.3">
      <c r="T347" s="192"/>
    </row>
    <row r="348" spans="20:22" hidden="1" x14ac:dyDescent="0.3">
      <c r="T348" s="192"/>
    </row>
    <row r="349" spans="20:22" hidden="1" x14ac:dyDescent="0.3">
      <c r="T349" s="192"/>
    </row>
    <row r="350" spans="20:22" hidden="1" x14ac:dyDescent="0.3">
      <c r="T350" s="192"/>
    </row>
    <row r="351" spans="20:22" hidden="1" x14ac:dyDescent="0.3">
      <c r="T351" s="192"/>
    </row>
    <row r="352" spans="20:22" hidden="1" x14ac:dyDescent="0.3">
      <c r="T352" s="192"/>
    </row>
    <row r="353" spans="20:22" hidden="1" x14ac:dyDescent="0.3">
      <c r="T353" s="192"/>
    </row>
    <row r="354" spans="20:22" hidden="1" x14ac:dyDescent="0.3">
      <c r="T354" s="192"/>
    </row>
    <row r="355" spans="20:22" hidden="1" x14ac:dyDescent="0.3">
      <c r="T355" s="192"/>
    </row>
    <row r="356" spans="20:22" hidden="1" x14ac:dyDescent="0.3">
      <c r="T356" s="192"/>
    </row>
    <row r="357" spans="20:22" hidden="1" x14ac:dyDescent="0.3">
      <c r="T357" s="192"/>
      <c r="U357" s="192"/>
      <c r="V357" s="491"/>
    </row>
    <row r="358" spans="20:22" hidden="1" x14ac:dyDescent="0.3">
      <c r="T358" s="192"/>
      <c r="U358" s="192"/>
    </row>
    <row r="359" spans="20:22" hidden="1" x14ac:dyDescent="0.3">
      <c r="T359" s="192"/>
    </row>
    <row r="360" spans="20:22" hidden="1" x14ac:dyDescent="0.3">
      <c r="T360" s="192"/>
    </row>
    <row r="361" spans="20:22" hidden="1" x14ac:dyDescent="0.3">
      <c r="T361" s="192"/>
    </row>
    <row r="362" spans="20:22" hidden="1" x14ac:dyDescent="0.3">
      <c r="T362" s="192"/>
    </row>
    <row r="363" spans="20:22" hidden="1" x14ac:dyDescent="0.3">
      <c r="T363" s="192"/>
    </row>
    <row r="364" spans="20:22" hidden="1" x14ac:dyDescent="0.3">
      <c r="T364" s="192"/>
    </row>
    <row r="365" spans="20:22" hidden="1" x14ac:dyDescent="0.3">
      <c r="T365" s="192"/>
    </row>
    <row r="366" spans="20:22" hidden="1" x14ac:dyDescent="0.3">
      <c r="T366" s="192"/>
    </row>
    <row r="367" spans="20:22" hidden="1" x14ac:dyDescent="0.3">
      <c r="T367" s="192"/>
    </row>
    <row r="368" spans="20:22" hidden="1" x14ac:dyDescent="0.3">
      <c r="T368" s="192"/>
    </row>
    <row r="369" spans="20:21" hidden="1" x14ac:dyDescent="0.3">
      <c r="T369" s="192"/>
    </row>
    <row r="370" spans="20:21" hidden="1" x14ac:dyDescent="0.3">
      <c r="T370" s="192"/>
    </row>
    <row r="371" spans="20:21" hidden="1" x14ac:dyDescent="0.3">
      <c r="T371" s="192"/>
    </row>
    <row r="372" spans="20:21" hidden="1" x14ac:dyDescent="0.3">
      <c r="T372" s="192"/>
      <c r="U372" s="192"/>
    </row>
    <row r="373" spans="20:21" hidden="1" x14ac:dyDescent="0.3">
      <c r="T373" s="192"/>
      <c r="U373" s="192"/>
    </row>
    <row r="374" spans="20:21" hidden="1" x14ac:dyDescent="0.3">
      <c r="T374" s="192"/>
    </row>
    <row r="375" spans="20:21" hidden="1" x14ac:dyDescent="0.3">
      <c r="T375" s="192"/>
    </row>
    <row r="376" spans="20:21" hidden="1" x14ac:dyDescent="0.3">
      <c r="T376" s="192"/>
    </row>
    <row r="377" spans="20:21" hidden="1" x14ac:dyDescent="0.3">
      <c r="T377" s="192"/>
    </row>
    <row r="378" spans="20:21" hidden="1" x14ac:dyDescent="0.3">
      <c r="T378" s="192"/>
    </row>
    <row r="379" spans="20:21" hidden="1" x14ac:dyDescent="0.3">
      <c r="T379" s="192"/>
    </row>
    <row r="380" spans="20:21" hidden="1" x14ac:dyDescent="0.3">
      <c r="T380" s="192"/>
    </row>
    <row r="381" spans="20:21" hidden="1" x14ac:dyDescent="0.3">
      <c r="T381" s="192"/>
    </row>
    <row r="382" spans="20:21" hidden="1" x14ac:dyDescent="0.3">
      <c r="T382" s="192"/>
    </row>
    <row r="383" spans="20:21" hidden="1" x14ac:dyDescent="0.3">
      <c r="T383" s="192"/>
    </row>
    <row r="384" spans="20:21" hidden="1" x14ac:dyDescent="0.3">
      <c r="T384" s="192"/>
    </row>
    <row r="385" spans="20:21" hidden="1" x14ac:dyDescent="0.3">
      <c r="T385" s="192"/>
    </row>
    <row r="386" spans="20:21" hidden="1" x14ac:dyDescent="0.3">
      <c r="T386" s="192"/>
    </row>
    <row r="387" spans="20:21" hidden="1" x14ac:dyDescent="0.3">
      <c r="T387" s="192"/>
      <c r="U387" s="192"/>
    </row>
    <row r="388" spans="20:21" hidden="1" x14ac:dyDescent="0.3">
      <c r="T388" s="192"/>
    </row>
    <row r="389" spans="20:21" hidden="1" x14ac:dyDescent="0.3">
      <c r="T389" s="192"/>
    </row>
    <row r="390" spans="20:21" hidden="1" x14ac:dyDescent="0.3">
      <c r="T390" s="192"/>
    </row>
    <row r="391" spans="20:21" hidden="1" x14ac:dyDescent="0.3">
      <c r="T391" s="192"/>
    </row>
    <row r="392" spans="20:21" hidden="1" x14ac:dyDescent="0.3"/>
    <row r="393" spans="20:21" hidden="1" x14ac:dyDescent="0.3"/>
    <row r="394" spans="20:21" hidden="1" x14ac:dyDescent="0.3"/>
    <row r="395" spans="20:21" hidden="1" x14ac:dyDescent="0.3"/>
    <row r="396" spans="20:21" hidden="1" x14ac:dyDescent="0.3"/>
    <row r="397" spans="20:21" hidden="1" x14ac:dyDescent="0.3"/>
    <row r="398" spans="20:21" hidden="1" x14ac:dyDescent="0.3"/>
    <row r="399" spans="20:21" hidden="1" x14ac:dyDescent="0.3"/>
    <row r="400" spans="20:21" hidden="1" x14ac:dyDescent="0.3"/>
    <row r="401" spans="2:26" s="177" customFormat="1" hidden="1" x14ac:dyDescent="0.3">
      <c r="B401" s="176" t="s">
        <v>280</v>
      </c>
      <c r="L401" s="521"/>
      <c r="M401" s="521"/>
    </row>
    <row r="402" spans="2:26" hidden="1" x14ac:dyDescent="0.3">
      <c r="J402" t="s">
        <v>281</v>
      </c>
      <c r="N402" s="5" t="s">
        <v>282</v>
      </c>
      <c r="R402" s="5" t="s">
        <v>283</v>
      </c>
      <c r="U402" s="5" t="s">
        <v>284</v>
      </c>
      <c r="Y402" s="5" t="s">
        <v>285</v>
      </c>
    </row>
    <row r="403" spans="2:26" hidden="1" x14ac:dyDescent="0.3">
      <c r="J403" s="5" t="s">
        <v>286</v>
      </c>
      <c r="K403" s="5" t="b">
        <f>NOT(ISNUMBER(MATCH(FALSE,K405:K487,0)))</f>
        <v>1</v>
      </c>
      <c r="N403" s="5" t="s">
        <v>286</v>
      </c>
      <c r="O403" s="5" t="b">
        <f>NOT(ISNUMBER(MATCH(FALSE,O405:O487,0)))</f>
        <v>1</v>
      </c>
      <c r="R403" s="5" t="s">
        <v>286</v>
      </c>
      <c r="S403" s="5" t="b">
        <f>NOT(ISNUMBER(MATCH(FALSE,S405:S487,0)))</f>
        <v>1</v>
      </c>
      <c r="U403" s="5" t="s">
        <v>286</v>
      </c>
      <c r="V403" s="5" t="b">
        <f>NOT(ISNUMBER(MATCH(FALSE,V405:V487,0)))</f>
        <v>1</v>
      </c>
      <c r="Y403" s="5" t="s">
        <v>287</v>
      </c>
      <c r="Z403" s="5" t="b">
        <f>NOT(ISNUMBER(MATCH(FALSE,Z405:Z487,0)))</f>
        <v>1</v>
      </c>
    </row>
    <row r="404" spans="2:26" ht="15" hidden="1" thickBot="1" x14ac:dyDescent="0.35">
      <c r="K404" s="5" t="s">
        <v>288</v>
      </c>
      <c r="Z404" s="5" t="s">
        <v>288</v>
      </c>
    </row>
    <row r="405" spans="2:26" hidden="1" x14ac:dyDescent="0.3">
      <c r="J405" s="175" t="str">
        <f t="shared" ref="J405:J436" si="44">IF(J7&lt;&gt;"",J7&amp;K7,"")</f>
        <v>Assets</v>
      </c>
      <c r="K405" s="174" t="b">
        <f>IF(J405&lt;&gt;"",ISNUMBER(MATCH(J405,FSAnswers!$C$97:$C$151,0)),"")</f>
        <v>1</v>
      </c>
      <c r="N405" s="175" t="str">
        <f t="shared" ref="N405:N436" ca="1" si="45">IF(N7&lt;&gt;"",N7&amp;O7,"")</f>
        <v>Revenues</v>
      </c>
      <c r="O405" s="174"/>
      <c r="R405" s="175" t="str">
        <f t="shared" ref="R405:R436" ca="1" si="46">IF(R7&lt;&gt;"",R7&amp;S7,"")</f>
        <v>Total Shareholders' Equity @ 3/31/20X40</v>
      </c>
      <c r="S405" s="174"/>
      <c r="U405" s="175" t="str">
        <f t="shared" ref="U405:U436" ca="1" si="47">IF(U7&lt;&gt;"",U7&amp;V7,"")</f>
        <v>Cash @ 3/31/20X40</v>
      </c>
      <c r="V405" s="174"/>
      <c r="Y405" s="175" t="str">
        <f t="shared" ref="Y405:Y436" si="48">IF(Y7&lt;&gt;"",Y7&amp;Z7,"")</f>
        <v>Assets</v>
      </c>
      <c r="Z405" s="174" t="b">
        <f>IF(Y405&lt;&gt;"",ISNUMBER(MATCH(Y405,FSAnswers!$T$100:$T$200,0)),"")</f>
        <v>1</v>
      </c>
    </row>
    <row r="406" spans="2:26" hidden="1" x14ac:dyDescent="0.3">
      <c r="J406" s="96" t="str">
        <f t="shared" si="44"/>
        <v/>
      </c>
      <c r="K406" s="97" t="str">
        <f>IF(J406&lt;&gt;"",ISNUMBER(MATCH(J406,FSAnswers!$C$97:$C$151,0)),"")</f>
        <v/>
      </c>
      <c r="N406" s="96" t="str">
        <f t="shared" ca="1" si="45"/>
        <v/>
      </c>
      <c r="O406" s="97"/>
      <c r="R406" s="96" t="str">
        <f t="shared" ca="1" si="46"/>
        <v/>
      </c>
      <c r="S406" s="97"/>
      <c r="U406" s="96" t="str">
        <f t="shared" ca="1" si="47"/>
        <v/>
      </c>
      <c r="V406" s="97"/>
      <c r="Y406" s="96" t="str">
        <f t="shared" si="48"/>
        <v/>
      </c>
      <c r="Z406" s="97" t="str">
        <f>IF(Y406&lt;&gt;"",ISNUMBER(MATCH(Y406,FSAnswers!$T$100:$T$200,0)),"")</f>
        <v/>
      </c>
    </row>
    <row r="407" spans="2:26" hidden="1" x14ac:dyDescent="0.3">
      <c r="J407" s="96" t="str">
        <f t="shared" si="44"/>
        <v xml:space="preserve"> Current Assets:</v>
      </c>
      <c r="K407" s="97" t="b">
        <f>IF(J407&lt;&gt;"",ISNUMBER(MATCH(J407,FSAnswers!$C$97:$C$151,0)),"")</f>
        <v>1</v>
      </c>
      <c r="N407" s="96" t="str">
        <f t="shared" ca="1" si="45"/>
        <v>Sales40</v>
      </c>
      <c r="O407" s="97"/>
      <c r="R407" s="96" t="str">
        <f t="shared" ca="1" si="46"/>
        <v>Common Stock</v>
      </c>
      <c r="S407" s="97"/>
      <c r="U407" s="96" t="str">
        <f t="shared" ca="1" si="47"/>
        <v>Operating Activities</v>
      </c>
      <c r="V407" s="97"/>
      <c r="Y407" s="96" t="str">
        <f t="shared" si="48"/>
        <v xml:space="preserve"> Current Assets:</v>
      </c>
      <c r="Z407" s="97" t="b">
        <f>IF(Y407&lt;&gt;"",ISNUMBER(MATCH(Y407,FSAnswers!$T$100:$T$200,0)),"")</f>
        <v>1</v>
      </c>
    </row>
    <row r="408" spans="2:26" hidden="1" x14ac:dyDescent="0.3">
      <c r="J408" s="96" t="str">
        <f t="shared" si="44"/>
        <v>Cash0</v>
      </c>
      <c r="K408" s="97" t="b">
        <f>IF(J408&lt;&gt;"",ISNUMBER(MATCH(J408,FSAnswers!$C$97:$C$151,0)),"")</f>
        <v>1</v>
      </c>
      <c r="N408" s="96" t="str">
        <f t="shared" ca="1" si="45"/>
        <v xml:space="preserve">  Total Revenues40</v>
      </c>
      <c r="O408" s="97"/>
      <c r="R408" s="96" t="str">
        <f t="shared" ca="1" si="46"/>
        <v>Balance @ 3/31/20X40</v>
      </c>
      <c r="S408" s="97"/>
      <c r="U408" s="96" t="str">
        <f t="shared" ca="1" si="47"/>
        <v/>
      </c>
      <c r="V408" s="97"/>
      <c r="Y408" s="96" t="str">
        <f t="shared" si="48"/>
        <v>Cash40.05</v>
      </c>
      <c r="Z408" s="97" t="b">
        <f>IF(Y408&lt;&gt;"",ISNUMBER(MATCH(Y408,FSAnswers!$T$100:$T$200,0)),"")</f>
        <v>1</v>
      </c>
    </row>
    <row r="409" spans="2:26" hidden="1" x14ac:dyDescent="0.3">
      <c r="J409" s="96" t="str">
        <f t="shared" si="44"/>
        <v>Accounts Receivable0</v>
      </c>
      <c r="K409" s="97" t="b">
        <f>IF(J409&lt;&gt;"",ISNUMBER(MATCH(J409,FSAnswers!$C$97:$C$151,0)),"")</f>
        <v>1</v>
      </c>
      <c r="N409" s="96" t="str">
        <f t="shared" ca="1" si="45"/>
        <v/>
      </c>
      <c r="O409" s="97"/>
      <c r="R409" s="96" t="str">
        <f t="shared" ca="1" si="46"/>
        <v>Issued common stock100</v>
      </c>
      <c r="S409" s="97"/>
      <c r="U409" s="96" t="str">
        <f t="shared" ca="1" si="47"/>
        <v>Collections from customers30.05</v>
      </c>
      <c r="V409" s="97"/>
      <c r="Y409" s="96" t="str">
        <f t="shared" si="48"/>
        <v>Accounts Receivable9.8</v>
      </c>
      <c r="Z409" s="97" t="b">
        <f>IF(Y409&lt;&gt;"",ISNUMBER(MATCH(Y409,FSAnswers!$T$100:$T$200,0)),"")</f>
        <v>1</v>
      </c>
    </row>
    <row r="410" spans="2:26" hidden="1" x14ac:dyDescent="0.3">
      <c r="J410" s="96" t="str">
        <f t="shared" si="44"/>
        <v>Marketable Securities0</v>
      </c>
      <c r="K410" s="97" t="b">
        <f>IF(J410&lt;&gt;"",ISNUMBER(MATCH(J410,FSAnswers!$C$97:$C$151,0)),"")</f>
        <v>1</v>
      </c>
      <c r="N410" s="96" t="str">
        <f t="shared" ca="1" si="45"/>
        <v>Expenses</v>
      </c>
      <c r="O410" s="97"/>
      <c r="R410" s="96" t="str">
        <f t="shared" ca="1" si="46"/>
        <v>Balance @ 12/31/20x4100</v>
      </c>
      <c r="S410" s="97"/>
      <c r="U410" s="96" t="str">
        <f t="shared" ca="1" si="47"/>
        <v>Payments to suppliers-15</v>
      </c>
      <c r="V410" s="97"/>
      <c r="Y410" s="96" t="str">
        <f t="shared" si="48"/>
        <v>Marketable Securities25</v>
      </c>
      <c r="Z410" s="97" t="b">
        <f>IF(Y410&lt;&gt;"",ISNUMBER(MATCH(Y410,FSAnswers!$T$100:$T$200,0)),"")</f>
        <v>1</v>
      </c>
    </row>
    <row r="411" spans="2:26" hidden="1" x14ac:dyDescent="0.3">
      <c r="J411" s="96" t="str">
        <f t="shared" si="44"/>
        <v>Inventories0</v>
      </c>
      <c r="K411" s="97" t="b">
        <f>IF(J411&lt;&gt;"",ISNUMBER(MATCH(J411,FSAnswers!$C$97:$C$151,0)),"")</f>
        <v>1</v>
      </c>
      <c r="N411" s="96" t="str">
        <f t="shared" ca="1" si="45"/>
        <v/>
      </c>
      <c r="O411" s="97"/>
      <c r="R411" s="96" t="str">
        <f t="shared" ca="1" si="46"/>
        <v>Retained Earnings</v>
      </c>
      <c r="S411" s="97"/>
      <c r="U411" s="96" t="str">
        <f t="shared" ca="1" si="47"/>
        <v>Payments to employees-6</v>
      </c>
      <c r="V411" s="97"/>
      <c r="Y411" s="96" t="str">
        <f t="shared" si="48"/>
        <v>Inventories5</v>
      </c>
      <c r="Z411" s="97" t="b">
        <f>IF(Y411&lt;&gt;"",ISNUMBER(MATCH(Y411,FSAnswers!$T$100:$T$200,0)),"")</f>
        <v>1</v>
      </c>
    </row>
    <row r="412" spans="2:26" hidden="1" x14ac:dyDescent="0.3">
      <c r="J412" s="96" t="str">
        <f t="shared" si="44"/>
        <v>Prepaid Rent0</v>
      </c>
      <c r="K412" s="97" t="b">
        <f>IF(J412&lt;&gt;"",ISNUMBER(MATCH(J412,FSAnswers!$C$97:$C$151,0)),"")</f>
        <v>1</v>
      </c>
      <c r="N412" s="96" t="str">
        <f t="shared" ca="1" si="45"/>
        <v>Cost of Goods Sold25</v>
      </c>
      <c r="O412" s="97"/>
      <c r="R412" s="96" t="str">
        <f t="shared" ca="1" si="46"/>
        <v>Balance @ 3/31/20X40</v>
      </c>
      <c r="S412" s="97"/>
      <c r="U412" s="96" t="str">
        <f t="shared" ca="1" si="47"/>
        <v>Payments for prepaid expenses-4</v>
      </c>
      <c r="V412" s="97"/>
      <c r="Y412" s="96" t="str">
        <f t="shared" si="48"/>
        <v>Prepaid Rent1</v>
      </c>
      <c r="Z412" s="97" t="b">
        <f>IF(Y412&lt;&gt;"",ISNUMBER(MATCH(Y412,FSAnswers!$T$100:$T$200,0)),"")</f>
        <v>1</v>
      </c>
    </row>
    <row r="413" spans="2:26" hidden="1" x14ac:dyDescent="0.3">
      <c r="J413" s="96" t="str">
        <f t="shared" si="44"/>
        <v xml:space="preserve">  Total Current Assets0</v>
      </c>
      <c r="K413" s="97" t="b">
        <f>IF(J413&lt;&gt;"",ISNUMBER(MATCH(J413,FSAnswers!$C$97:$C$151,0)),"")</f>
        <v>1</v>
      </c>
      <c r="N413" s="96" t="str">
        <f t="shared" ca="1" si="45"/>
        <v>Interest Expense1.55</v>
      </c>
      <c r="O413" s="97"/>
      <c r="R413" s="96" t="str">
        <f t="shared" ca="1" si="46"/>
        <v>Net Income (Loss)-4.2</v>
      </c>
      <c r="S413" s="97"/>
      <c r="U413" s="96" t="str">
        <f t="shared" ca="1" si="47"/>
        <v>Total Cash Flow from Operating Activities5.05</v>
      </c>
      <c r="V413" s="97"/>
      <c r="Y413" s="96" t="str">
        <f t="shared" si="48"/>
        <v xml:space="preserve">  Total Current Assets80.85</v>
      </c>
      <c r="Z413" s="97" t="b">
        <f>IF(Y413&lt;&gt;"",ISNUMBER(MATCH(Y413,FSAnswers!$T$100:$T$200,0)),"")</f>
        <v>1</v>
      </c>
    </row>
    <row r="414" spans="2:26" hidden="1" x14ac:dyDescent="0.3">
      <c r="J414" s="96" t="str">
        <f t="shared" si="44"/>
        <v/>
      </c>
      <c r="K414" s="97" t="str">
        <f>IF(J414&lt;&gt;"",ISNUMBER(MATCH(J414,FSAnswers!$C$97:$C$151,0)),"")</f>
        <v/>
      </c>
      <c r="N414" s="96" t="str">
        <f t="shared" ca="1" si="45"/>
        <v>Depreciation Expense7.5</v>
      </c>
      <c r="O414" s="97"/>
      <c r="R414" s="96" t="str">
        <f t="shared" ca="1" si="46"/>
        <v>Balance @ 12/31/20x4-4.2</v>
      </c>
      <c r="S414" s="97"/>
      <c r="U414" s="96" t="str">
        <f t="shared" ca="1" si="47"/>
        <v/>
      </c>
      <c r="V414" s="97"/>
      <c r="Y414" s="96" t="str">
        <f t="shared" si="48"/>
        <v/>
      </c>
      <c r="Z414" s="97" t="str">
        <f>IF(Y414&lt;&gt;"",ISNUMBER(MATCH(Y414,FSAnswers!$T$100:$T$200,0)),"")</f>
        <v/>
      </c>
    </row>
    <row r="415" spans="2:26" hidden="1" x14ac:dyDescent="0.3">
      <c r="J415" s="96" t="str">
        <f t="shared" si="44"/>
        <v xml:space="preserve"> Noncurrent Assets:</v>
      </c>
      <c r="K415" s="97" t="b">
        <f>IF(J415&lt;&gt;"",ISNUMBER(MATCH(J415,FSAnswers!$C$97:$C$151,0)),"")</f>
        <v>1</v>
      </c>
      <c r="N415" s="96" t="str">
        <f t="shared" ca="1" si="45"/>
        <v>Rent Expense3</v>
      </c>
      <c r="O415" s="97"/>
      <c r="R415" s="96" t="str">
        <f t="shared" ca="1" si="46"/>
        <v>Total Shareholders' Equity @ 12/31/20x495.8</v>
      </c>
      <c r="S415" s="97"/>
      <c r="U415" s="96" t="str">
        <f t="shared" ca="1" si="47"/>
        <v>Investing Activities</v>
      </c>
      <c r="V415" s="97"/>
      <c r="Y415" s="96" t="str">
        <f t="shared" si="48"/>
        <v xml:space="preserve"> Noncurrent Assets:</v>
      </c>
      <c r="Z415" s="97" t="b">
        <f>IF(Y415&lt;&gt;"",ISNUMBER(MATCH(Y415,FSAnswers!$T$100:$T$200,0)),"")</f>
        <v>1</v>
      </c>
    </row>
    <row r="416" spans="2:26" hidden="1" x14ac:dyDescent="0.3">
      <c r="J416" s="96" t="str">
        <f t="shared" si="44"/>
        <v>Property, Plant &amp; Equipment0</v>
      </c>
      <c r="K416" s="97" t="b">
        <f>IF(J416&lt;&gt;"",ISNUMBER(MATCH(J416,FSAnswers!$C$97:$C$151,0)),"")</f>
        <v>1</v>
      </c>
      <c r="N416" s="96" t="str">
        <f t="shared" ca="1" si="45"/>
        <v>Bad Debts Expense0.15</v>
      </c>
      <c r="O416" s="97"/>
      <c r="R416" s="96" t="str">
        <f t="shared" ca="1" si="46"/>
        <v/>
      </c>
      <c r="S416" s="97"/>
      <c r="U416" s="96" t="str">
        <f t="shared" ca="1" si="47"/>
        <v/>
      </c>
      <c r="V416" s="97"/>
      <c r="Y416" s="96" t="str">
        <f t="shared" si="48"/>
        <v>Property, Plant &amp; Equipment60</v>
      </c>
      <c r="Z416" s="97" t="b">
        <f>IF(Y416&lt;&gt;"",ISNUMBER(MATCH(Y416,FSAnswers!$T$100:$T$200,0)),"")</f>
        <v>1</v>
      </c>
    </row>
    <row r="417" spans="10:26" hidden="1" x14ac:dyDescent="0.3">
      <c r="J417" s="96" t="str">
        <f t="shared" si="44"/>
        <v>Accumulated Depreciation0</v>
      </c>
      <c r="K417" s="97" t="b">
        <f>IF(J417&lt;&gt;"",ISNUMBER(MATCH(J417,FSAnswers!$C$97:$C$151,0)),"")</f>
        <v>1</v>
      </c>
      <c r="N417" s="96" t="str">
        <f t="shared" ca="1" si="45"/>
        <v>Salaries &amp; Wages Expense7</v>
      </c>
      <c r="O417" s="97"/>
      <c r="R417" s="96" t="str">
        <f t="shared" si="46"/>
        <v/>
      </c>
      <c r="S417" s="97"/>
      <c r="U417" s="96" t="str">
        <f t="shared" ca="1" si="47"/>
        <v>Acquired marketable securities-25</v>
      </c>
      <c r="V417" s="97"/>
      <c r="Y417" s="96" t="str">
        <f t="shared" si="48"/>
        <v>Accumulated Depreciation-7.5</v>
      </c>
      <c r="Z417" s="97" t="b">
        <f>IF(Y417&lt;&gt;"",ISNUMBER(MATCH(Y417,FSAnswers!$T$100:$T$200,0)),"")</f>
        <v>1</v>
      </c>
    </row>
    <row r="418" spans="10:26" hidden="1" x14ac:dyDescent="0.3">
      <c r="J418" s="96" t="str">
        <f t="shared" si="44"/>
        <v xml:space="preserve">  Total Noncurrent Assets0</v>
      </c>
      <c r="K418" s="97" t="b">
        <f>IF(J418&lt;&gt;"",ISNUMBER(MATCH(J418,FSAnswers!$C$97:$C$151,0)),"")</f>
        <v>1</v>
      </c>
      <c r="N418" s="96" t="str">
        <f t="shared" ca="1" si="45"/>
        <v xml:space="preserve">  Total Expenses44.2</v>
      </c>
      <c r="O418" s="97"/>
      <c r="R418" s="96" t="str">
        <f t="shared" si="46"/>
        <v/>
      </c>
      <c r="S418" s="97"/>
      <c r="U418" s="96" t="str">
        <f t="shared" ca="1" si="47"/>
        <v>Acquired PP&amp;E-60</v>
      </c>
      <c r="V418" s="97"/>
      <c r="Y418" s="96" t="str">
        <f t="shared" si="48"/>
        <v xml:space="preserve">  Total Noncurrent Assets52.5</v>
      </c>
      <c r="Z418" s="97" t="b">
        <f>IF(Y418&lt;&gt;"",ISNUMBER(MATCH(Y418,FSAnswers!$T$100:$T$200,0)),"")</f>
        <v>1</v>
      </c>
    </row>
    <row r="419" spans="10:26" hidden="1" x14ac:dyDescent="0.3">
      <c r="J419" s="96" t="str">
        <f t="shared" si="44"/>
        <v/>
      </c>
      <c r="K419" s="97" t="str">
        <f>IF(J419&lt;&gt;"",ISNUMBER(MATCH(J419,FSAnswers!$C$97:$C$151,0)),"")</f>
        <v/>
      </c>
      <c r="N419" s="96" t="str">
        <f t="shared" ca="1" si="45"/>
        <v/>
      </c>
      <c r="O419" s="97"/>
      <c r="R419" s="96" t="str">
        <f t="shared" si="46"/>
        <v/>
      </c>
      <c r="S419" s="97"/>
      <c r="U419" s="96" t="str">
        <f t="shared" ca="1" si="47"/>
        <v>Total Cash Flow from Investing Activities-85</v>
      </c>
      <c r="V419" s="97"/>
      <c r="Y419" s="96" t="str">
        <f t="shared" si="48"/>
        <v/>
      </c>
      <c r="Z419" s="97" t="str">
        <f>IF(Y419&lt;&gt;"",ISNUMBER(MATCH(Y419,FSAnswers!$T$100:$T$200,0)),"")</f>
        <v/>
      </c>
    </row>
    <row r="420" spans="10:26" hidden="1" x14ac:dyDescent="0.3">
      <c r="J420" s="96" t="str">
        <f t="shared" si="44"/>
        <v>Total Assets0</v>
      </c>
      <c r="K420" s="97" t="b">
        <f>IF(J420&lt;&gt;"",ISNUMBER(MATCH(J420,FSAnswers!$C$97:$C$151,0)),"")</f>
        <v>1</v>
      </c>
      <c r="N420" s="96" t="str">
        <f t="shared" ca="1" si="45"/>
        <v>Net Income-4.2</v>
      </c>
      <c r="O420" s="97"/>
      <c r="R420" s="96" t="str">
        <f t="shared" si="46"/>
        <v/>
      </c>
      <c r="S420" s="97"/>
      <c r="U420" s="96" t="str">
        <f t="shared" ca="1" si="47"/>
        <v/>
      </c>
      <c r="V420" s="97"/>
      <c r="Y420" s="96" t="str">
        <f t="shared" si="48"/>
        <v>Total Assets133.35</v>
      </c>
      <c r="Z420" s="97" t="b">
        <f>IF(Y420&lt;&gt;"",ISNUMBER(MATCH(Y420,FSAnswers!$T$100:$T$200,0)),"")</f>
        <v>1</v>
      </c>
    </row>
    <row r="421" spans="10:26" hidden="1" x14ac:dyDescent="0.3">
      <c r="J421" s="96" t="str">
        <f t="shared" si="44"/>
        <v/>
      </c>
      <c r="K421" s="97" t="str">
        <f>IF(J421&lt;&gt;"",ISNUMBER(MATCH(J421,FSAnswers!$C$97:$C$151,0)),"")</f>
        <v/>
      </c>
      <c r="N421" s="96" t="str">
        <f t="shared" ca="1" si="45"/>
        <v/>
      </c>
      <c r="O421" s="97"/>
      <c r="R421" s="96" t="str">
        <f t="shared" si="46"/>
        <v/>
      </c>
      <c r="S421" s="97"/>
      <c r="U421" s="96" t="str">
        <f t="shared" ca="1" si="47"/>
        <v>Financing Activities</v>
      </c>
      <c r="V421" s="97"/>
      <c r="Y421" s="96" t="str">
        <f t="shared" si="48"/>
        <v/>
      </c>
      <c r="Z421" s="97" t="str">
        <f>IF(Y421&lt;&gt;"",ISNUMBER(MATCH(Y421,FSAnswers!$T$100:$T$200,0)),"")</f>
        <v/>
      </c>
    </row>
    <row r="422" spans="10:26" hidden="1" x14ac:dyDescent="0.3">
      <c r="J422" s="96" t="str">
        <f t="shared" si="44"/>
        <v>Liabilities</v>
      </c>
      <c r="K422" s="97" t="b">
        <f>IF(J422&lt;&gt;"",ISNUMBER(MATCH(J422,FSAnswers!$C$97:$C$151,0)),"")</f>
        <v>1</v>
      </c>
      <c r="N422" s="96" t="str">
        <f t="shared" ca="1" si="45"/>
        <v/>
      </c>
      <c r="O422" s="97"/>
      <c r="R422" s="96" t="str">
        <f t="shared" si="46"/>
        <v/>
      </c>
      <c r="S422" s="97"/>
      <c r="U422" s="96" t="str">
        <f t="shared" ca="1" si="47"/>
        <v/>
      </c>
      <c r="V422" s="97"/>
      <c r="Y422" s="96" t="str">
        <f t="shared" si="48"/>
        <v>Liabilities</v>
      </c>
      <c r="Z422" s="97" t="b">
        <f>IF(Y422&lt;&gt;"",ISNUMBER(MATCH(Y422,FSAnswers!$T$100:$T$200,0)),"")</f>
        <v>1</v>
      </c>
    </row>
    <row r="423" spans="10:26" hidden="1" x14ac:dyDescent="0.3">
      <c r="J423" s="96" t="str">
        <f t="shared" si="44"/>
        <v/>
      </c>
      <c r="K423" s="97" t="str">
        <f>IF(J423&lt;&gt;"",ISNUMBER(MATCH(J423,FSAnswers!$C$97:$C$151,0)),"")</f>
        <v/>
      </c>
      <c r="N423" s="96" t="str">
        <f t="shared" ca="1" si="45"/>
        <v/>
      </c>
      <c r="O423" s="97"/>
      <c r="R423" s="96" t="str">
        <f t="shared" si="46"/>
        <v/>
      </c>
      <c r="S423" s="97"/>
      <c r="U423" s="96" t="str">
        <f t="shared" ca="1" si="47"/>
        <v>Issued common stock100</v>
      </c>
      <c r="V423" s="97"/>
      <c r="Y423" s="96" t="str">
        <f t="shared" si="48"/>
        <v/>
      </c>
      <c r="Z423" s="97" t="str">
        <f>IF(Y423&lt;&gt;"",ISNUMBER(MATCH(Y423,FSAnswers!$T$100:$T$200,0)),"")</f>
        <v/>
      </c>
    </row>
    <row r="424" spans="10:26" hidden="1" x14ac:dyDescent="0.3">
      <c r="J424" s="96" t="str">
        <f t="shared" si="44"/>
        <v xml:space="preserve"> Current Liabilities:</v>
      </c>
      <c r="K424" s="97" t="b">
        <f>IF(J424&lt;&gt;"",ISNUMBER(MATCH(J424,FSAnswers!$C$97:$C$151,0)),"")</f>
        <v>1</v>
      </c>
      <c r="N424" s="96" t="str">
        <f t="shared" ca="1" si="45"/>
        <v/>
      </c>
      <c r="O424" s="97"/>
      <c r="R424" s="96" t="str">
        <f t="shared" si="46"/>
        <v/>
      </c>
      <c r="S424" s="97"/>
      <c r="U424" s="96" t="str">
        <f t="shared" ca="1" si="47"/>
        <v>Issued bonds20</v>
      </c>
      <c r="V424" s="97"/>
      <c r="Y424" s="96" t="str">
        <f t="shared" si="48"/>
        <v xml:space="preserve"> Current Liabilities:</v>
      </c>
      <c r="Z424" s="97" t="b">
        <f>IF(Y424&lt;&gt;"",ISNUMBER(MATCH(Y424,FSAnswers!$T$100:$T$200,0)),"")</f>
        <v>1</v>
      </c>
    </row>
    <row r="425" spans="10:26" hidden="1" x14ac:dyDescent="0.3">
      <c r="J425" s="96" t="str">
        <f t="shared" si="44"/>
        <v>Accounts Payable0</v>
      </c>
      <c r="K425" s="97" t="b">
        <f>IF(J425&lt;&gt;"",ISNUMBER(MATCH(J425,FSAnswers!$C$97:$C$151,0)),"")</f>
        <v>1</v>
      </c>
      <c r="N425" s="96" t="str">
        <f t="shared" ca="1" si="45"/>
        <v/>
      </c>
      <c r="O425" s="97"/>
      <c r="R425" s="96" t="str">
        <f t="shared" si="46"/>
        <v/>
      </c>
      <c r="S425" s="97"/>
      <c r="U425" s="96" t="str">
        <f t="shared" ca="1" si="47"/>
        <v>Total Cash Flow from Financing Activities120</v>
      </c>
      <c r="V425" s="97"/>
      <c r="Y425" s="96" t="str">
        <f t="shared" si="48"/>
        <v>Accounts Payable15</v>
      </c>
      <c r="Z425" s="97" t="b">
        <f>IF(Y425&lt;&gt;"",ISNUMBER(MATCH(Y425,FSAnswers!$T$100:$T$200,0)),"")</f>
        <v>1</v>
      </c>
    </row>
    <row r="426" spans="10:26" hidden="1" x14ac:dyDescent="0.3">
      <c r="J426" s="96" t="str">
        <f t="shared" si="44"/>
        <v>Interest Payable0</v>
      </c>
      <c r="K426" s="97" t="b">
        <f>IF(J426&lt;&gt;"",ISNUMBER(MATCH(J426,FSAnswers!$C$97:$C$151,0)),"")</f>
        <v>1</v>
      </c>
      <c r="N426" s="96" t="str">
        <f t="shared" ca="1" si="45"/>
        <v/>
      </c>
      <c r="O426" s="97"/>
      <c r="R426" s="96" t="str">
        <f t="shared" si="46"/>
        <v/>
      </c>
      <c r="S426" s="97"/>
      <c r="U426" s="96" t="str">
        <f t="shared" ca="1" si="47"/>
        <v/>
      </c>
      <c r="V426" s="97"/>
      <c r="Y426" s="96" t="str">
        <f t="shared" si="48"/>
        <v>Interest Payable1.55</v>
      </c>
      <c r="Z426" s="97" t="b">
        <f>IF(Y426&lt;&gt;"",ISNUMBER(MATCH(Y426,FSAnswers!$T$100:$T$200,0)),"")</f>
        <v>1</v>
      </c>
    </row>
    <row r="427" spans="10:26" hidden="1" x14ac:dyDescent="0.3">
      <c r="J427" s="96" t="str">
        <f t="shared" si="44"/>
        <v>Salaries &amp; Wages Payable0</v>
      </c>
      <c r="K427" s="97" t="b">
        <f>IF(J427&lt;&gt;"",ISNUMBER(MATCH(J427,FSAnswers!$C$97:$C$151,0)),"")</f>
        <v>1</v>
      </c>
      <c r="N427" s="96" t="str">
        <f t="shared" ca="1" si="45"/>
        <v/>
      </c>
      <c r="O427" s="97"/>
      <c r="R427" s="96" t="str">
        <f t="shared" si="46"/>
        <v/>
      </c>
      <c r="S427" s="97"/>
      <c r="U427" s="96" t="str">
        <f t="shared" ca="1" si="47"/>
        <v>Increase (decrease) in cash40.05</v>
      </c>
      <c r="V427" s="97"/>
      <c r="Y427" s="96" t="str">
        <f t="shared" si="48"/>
        <v>Salaries &amp; Wages Payable1</v>
      </c>
      <c r="Z427" s="97" t="b">
        <f>IF(Y427&lt;&gt;"",ISNUMBER(MATCH(Y427,FSAnswers!$T$100:$T$200,0)),"")</f>
        <v>1</v>
      </c>
    </row>
    <row r="428" spans="10:26" hidden="1" x14ac:dyDescent="0.3">
      <c r="J428" s="96" t="str">
        <f t="shared" si="44"/>
        <v xml:space="preserve">  Total Current Liabilities0</v>
      </c>
      <c r="K428" s="97" t="b">
        <f>IF(J428&lt;&gt;"",ISNUMBER(MATCH(J428,FSAnswers!$C$97:$C$151,0)),"")</f>
        <v>1</v>
      </c>
      <c r="N428" s="96" t="str">
        <f t="shared" ca="1" si="45"/>
        <v/>
      </c>
      <c r="O428" s="97"/>
      <c r="R428" s="96" t="str">
        <f t="shared" si="46"/>
        <v/>
      </c>
      <c r="S428" s="97"/>
      <c r="U428" s="96" t="str">
        <f t="shared" ca="1" si="47"/>
        <v/>
      </c>
      <c r="V428" s="97"/>
      <c r="Y428" s="96" t="str">
        <f t="shared" si="48"/>
        <v xml:space="preserve">  Total Current Liabilities17.55</v>
      </c>
      <c r="Z428" s="97" t="b">
        <f>IF(Y428&lt;&gt;"",ISNUMBER(MATCH(Y428,FSAnswers!$T$100:$T$200,0)),"")</f>
        <v>1</v>
      </c>
    </row>
    <row r="429" spans="10:26" hidden="1" x14ac:dyDescent="0.3">
      <c r="J429" s="96" t="str">
        <f t="shared" si="44"/>
        <v/>
      </c>
      <c r="K429" s="97" t="str">
        <f>IF(J429&lt;&gt;"",ISNUMBER(MATCH(J429,FSAnswers!$C$97:$C$151,0)),"")</f>
        <v/>
      </c>
      <c r="N429" s="96" t="str">
        <f t="shared" ca="1" si="45"/>
        <v/>
      </c>
      <c r="O429" s="97"/>
      <c r="R429" s="96" t="str">
        <f t="shared" si="46"/>
        <v/>
      </c>
      <c r="S429" s="97"/>
      <c r="U429" s="96" t="str">
        <f t="shared" ca="1" si="47"/>
        <v>Cash @ 12/31/20x440.05</v>
      </c>
      <c r="V429" s="97"/>
      <c r="Y429" s="96" t="str">
        <f t="shared" si="48"/>
        <v/>
      </c>
      <c r="Z429" s="97" t="str">
        <f>IF(Y429&lt;&gt;"",ISNUMBER(MATCH(Y429,FSAnswers!$T$100:$T$200,0)),"")</f>
        <v/>
      </c>
    </row>
    <row r="430" spans="10:26" hidden="1" x14ac:dyDescent="0.3">
      <c r="J430" s="96" t="str">
        <f t="shared" si="44"/>
        <v xml:space="preserve"> Noncurrent Liabilities:</v>
      </c>
      <c r="K430" s="97" t="b">
        <f>IF(J430&lt;&gt;"",ISNUMBER(MATCH(J430,FSAnswers!$C$97:$C$151,0)),"")</f>
        <v>1</v>
      </c>
      <c r="N430" s="96" t="str">
        <f t="shared" ca="1" si="45"/>
        <v/>
      </c>
      <c r="O430" s="97"/>
      <c r="R430" s="96" t="str">
        <f t="shared" si="46"/>
        <v/>
      </c>
      <c r="S430" s="97"/>
      <c r="U430" s="96" t="str">
        <f t="shared" ca="1" si="47"/>
        <v/>
      </c>
      <c r="V430" s="97"/>
      <c r="Y430" s="96" t="str">
        <f t="shared" si="48"/>
        <v xml:space="preserve"> Noncurrent Liabilities:</v>
      </c>
      <c r="Z430" s="97" t="b">
        <f>IF(Y430&lt;&gt;"",ISNUMBER(MATCH(Y430,FSAnswers!$T$100:$T$200,0)),"")</f>
        <v>1</v>
      </c>
    </row>
    <row r="431" spans="10:26" hidden="1" x14ac:dyDescent="0.3">
      <c r="J431" s="96" t="str">
        <f t="shared" si="44"/>
        <v>Bonds Payable0</v>
      </c>
      <c r="K431" s="97" t="b">
        <f>IF(J431&lt;&gt;"",ISNUMBER(MATCH(J431,FSAnswers!$C$97:$C$151,0)),"")</f>
        <v>1</v>
      </c>
      <c r="N431" s="96" t="str">
        <f t="shared" si="45"/>
        <v/>
      </c>
      <c r="O431" s="97"/>
      <c r="R431" s="96" t="str">
        <f t="shared" si="46"/>
        <v/>
      </c>
      <c r="S431" s="97"/>
      <c r="U431" s="96" t="str">
        <f t="shared" ca="1" si="47"/>
        <v/>
      </c>
      <c r="V431" s="97"/>
      <c r="Y431" s="96" t="str">
        <f t="shared" si="48"/>
        <v>Bonds Payable20</v>
      </c>
      <c r="Z431" s="97" t="b">
        <f>IF(Y431&lt;&gt;"",ISNUMBER(MATCH(Y431,FSAnswers!$T$100:$T$200,0)),"")</f>
        <v>1</v>
      </c>
    </row>
    <row r="432" spans="10:26" hidden="1" x14ac:dyDescent="0.3">
      <c r="J432" s="96" t="str">
        <f t="shared" si="44"/>
        <v xml:space="preserve">  Total Noncurrent Liabilities0</v>
      </c>
      <c r="K432" s="97" t="b">
        <f>IF(J432&lt;&gt;"",ISNUMBER(MATCH(J432,FSAnswers!$C$97:$C$151,0)),"")</f>
        <v>1</v>
      </c>
      <c r="N432" s="96" t="str">
        <f t="shared" si="45"/>
        <v/>
      </c>
      <c r="O432" s="97"/>
      <c r="R432" s="96" t="str">
        <f t="shared" si="46"/>
        <v/>
      </c>
      <c r="S432" s="97"/>
      <c r="U432" s="96" t="str">
        <f t="shared" ca="1" si="47"/>
        <v/>
      </c>
      <c r="V432" s="97"/>
      <c r="Y432" s="96" t="str">
        <f t="shared" si="48"/>
        <v xml:space="preserve">  Total Noncurrent Liabilities20</v>
      </c>
      <c r="Z432" s="97" t="b">
        <f>IF(Y432&lt;&gt;"",ISNUMBER(MATCH(Y432,FSAnswers!$T$100:$T$200,0)),"")</f>
        <v>1</v>
      </c>
    </row>
    <row r="433" spans="10:26" hidden="1" x14ac:dyDescent="0.3">
      <c r="J433" s="96" t="str">
        <f t="shared" si="44"/>
        <v/>
      </c>
      <c r="K433" s="97" t="str">
        <f>IF(J433&lt;&gt;"",ISNUMBER(MATCH(J433,FSAnswers!$C$97:$C$151,0)),"")</f>
        <v/>
      </c>
      <c r="N433" s="96" t="str">
        <f t="shared" si="45"/>
        <v/>
      </c>
      <c r="O433" s="97"/>
      <c r="R433" s="96" t="str">
        <f t="shared" si="46"/>
        <v/>
      </c>
      <c r="S433" s="97"/>
      <c r="U433" s="96" t="str">
        <f t="shared" ca="1" si="47"/>
        <v/>
      </c>
      <c r="V433" s="97"/>
      <c r="Y433" s="96" t="str">
        <f t="shared" si="48"/>
        <v/>
      </c>
      <c r="Z433" s="97" t="str">
        <f>IF(Y433&lt;&gt;"",ISNUMBER(MATCH(Y433,FSAnswers!$T$100:$T$200,0)),"")</f>
        <v/>
      </c>
    </row>
    <row r="434" spans="10:26" hidden="1" x14ac:dyDescent="0.3">
      <c r="J434" s="96" t="str">
        <f t="shared" si="44"/>
        <v>Total Liabilities0</v>
      </c>
      <c r="K434" s="97" t="b">
        <f>IF(J434&lt;&gt;"",ISNUMBER(MATCH(J434,FSAnswers!$C$97:$C$151,0)),"")</f>
        <v>1</v>
      </c>
      <c r="N434" s="96" t="str">
        <f t="shared" si="45"/>
        <v/>
      </c>
      <c r="O434" s="97"/>
      <c r="R434" s="96" t="str">
        <f t="shared" si="46"/>
        <v/>
      </c>
      <c r="S434" s="97"/>
      <c r="U434" s="96" t="str">
        <f t="shared" ca="1" si="47"/>
        <v/>
      </c>
      <c r="V434" s="97"/>
      <c r="Y434" s="96" t="str">
        <f t="shared" si="48"/>
        <v>Total Liabilities37.55</v>
      </c>
      <c r="Z434" s="97" t="b">
        <f>IF(Y434&lt;&gt;"",ISNUMBER(MATCH(Y434,FSAnswers!$T$100:$T$200,0)),"")</f>
        <v>1</v>
      </c>
    </row>
    <row r="435" spans="10:26" hidden="1" x14ac:dyDescent="0.3">
      <c r="J435" s="96" t="str">
        <f t="shared" si="44"/>
        <v/>
      </c>
      <c r="K435" s="97" t="str">
        <f>IF(J435&lt;&gt;"",ISNUMBER(MATCH(J435,FSAnswers!$C$97:$C$151,0)),"")</f>
        <v/>
      </c>
      <c r="N435" s="96" t="str">
        <f t="shared" si="45"/>
        <v/>
      </c>
      <c r="O435" s="97"/>
      <c r="R435" s="96" t="str">
        <f t="shared" si="46"/>
        <v/>
      </c>
      <c r="S435" s="97"/>
      <c r="U435" s="96" t="str">
        <f t="shared" ca="1" si="47"/>
        <v/>
      </c>
      <c r="V435" s="97"/>
      <c r="Y435" s="96" t="str">
        <f t="shared" si="48"/>
        <v/>
      </c>
      <c r="Z435" s="97" t="str">
        <f>IF(Y435&lt;&gt;"",ISNUMBER(MATCH(Y435,FSAnswers!$T$100:$T$200,0)),"")</f>
        <v/>
      </c>
    </row>
    <row r="436" spans="10:26" hidden="1" x14ac:dyDescent="0.3">
      <c r="J436" s="96" t="str">
        <f t="shared" si="44"/>
        <v>Equities</v>
      </c>
      <c r="K436" s="97" t="b">
        <f>IF(J436&lt;&gt;"",ISNUMBER(MATCH(J436,FSAnswers!$C$97:$C$151,0)),"")</f>
        <v>1</v>
      </c>
      <c r="N436" s="96" t="str">
        <f t="shared" si="45"/>
        <v/>
      </c>
      <c r="O436" s="97"/>
      <c r="R436" s="96" t="str">
        <f t="shared" si="46"/>
        <v/>
      </c>
      <c r="S436" s="97"/>
      <c r="U436" s="96" t="str">
        <f t="shared" ca="1" si="47"/>
        <v/>
      </c>
      <c r="V436" s="97"/>
      <c r="Y436" s="96" t="str">
        <f t="shared" si="48"/>
        <v>Equities</v>
      </c>
      <c r="Z436" s="97" t="b">
        <f>IF(Y436&lt;&gt;"",ISNUMBER(MATCH(Y436,FSAnswers!$T$100:$T$200,0)),"")</f>
        <v>1</v>
      </c>
    </row>
    <row r="437" spans="10:26" hidden="1" x14ac:dyDescent="0.3">
      <c r="J437" s="96" t="str">
        <f t="shared" ref="J437:J468" si="49">IF(J39&lt;&gt;"",J39&amp;K39,"")</f>
        <v/>
      </c>
      <c r="K437" s="97" t="str">
        <f>IF(J437&lt;&gt;"",ISNUMBER(MATCH(J437,FSAnswers!$C$97:$C$151,0)),"")</f>
        <v/>
      </c>
      <c r="N437" s="96" t="str">
        <f t="shared" ref="N437:N468" si="50">IF(N39&lt;&gt;"",N39&amp;O39,"")</f>
        <v/>
      </c>
      <c r="O437" s="97"/>
      <c r="R437" s="96" t="str">
        <f t="shared" ref="R437:R468" si="51">IF(R39&lt;&gt;"",R39&amp;S39,"")</f>
        <v/>
      </c>
      <c r="S437" s="97"/>
      <c r="U437" s="96" t="str">
        <f t="shared" ref="U437:U468" ca="1" si="52">IF(U39&lt;&gt;"",U39&amp;V39,"")</f>
        <v/>
      </c>
      <c r="V437" s="97"/>
      <c r="Y437" s="96" t="str">
        <f t="shared" ref="Y437:Y468" si="53">IF(Y39&lt;&gt;"",Y39&amp;Z39,"")</f>
        <v/>
      </c>
      <c r="Z437" s="97" t="str">
        <f>IF(Y437&lt;&gt;"",ISNUMBER(MATCH(Y437,FSAnswers!$T$100:$T$200,0)),"")</f>
        <v/>
      </c>
    </row>
    <row r="438" spans="10:26" hidden="1" x14ac:dyDescent="0.3">
      <c r="J438" s="96" t="str">
        <f t="shared" si="49"/>
        <v>Common Stock0</v>
      </c>
      <c r="K438" s="97" t="b">
        <f>IF(J438&lt;&gt;"",ISNUMBER(MATCH(J438,FSAnswers!$C$97:$C$151,0)),"")</f>
        <v>1</v>
      </c>
      <c r="N438" s="96" t="str">
        <f t="shared" si="50"/>
        <v/>
      </c>
      <c r="O438" s="97"/>
      <c r="R438" s="96" t="str">
        <f t="shared" si="51"/>
        <v/>
      </c>
      <c r="S438" s="97"/>
      <c r="U438" s="96" t="str">
        <f t="shared" ca="1" si="52"/>
        <v/>
      </c>
      <c r="V438" s="97"/>
      <c r="Y438" s="96" t="str">
        <f t="shared" si="53"/>
        <v>Common Stock100</v>
      </c>
      <c r="Z438" s="97" t="b">
        <f>IF(Y438&lt;&gt;"",ISNUMBER(MATCH(Y438,FSAnswers!$T$100:$T$200,0)),"")</f>
        <v>1</v>
      </c>
    </row>
    <row r="439" spans="10:26" hidden="1" x14ac:dyDescent="0.3">
      <c r="J439" s="96" t="str">
        <f t="shared" si="49"/>
        <v>Retained Earnings0</v>
      </c>
      <c r="K439" s="97" t="b">
        <f>IF(J439&lt;&gt;"",ISNUMBER(MATCH(J439,FSAnswers!$C$97:$C$151,0)),"")</f>
        <v>1</v>
      </c>
      <c r="N439" s="96" t="str">
        <f t="shared" si="50"/>
        <v/>
      </c>
      <c r="O439" s="97"/>
      <c r="R439" s="96" t="str">
        <f t="shared" si="51"/>
        <v/>
      </c>
      <c r="S439" s="97"/>
      <c r="U439" s="96" t="str">
        <f t="shared" ca="1" si="52"/>
        <v>NI CFO Reconciliation</v>
      </c>
      <c r="V439" s="97"/>
      <c r="Y439" s="96" t="str">
        <f t="shared" si="53"/>
        <v>Retained Earnings-4.2</v>
      </c>
      <c r="Z439" s="97" t="b">
        <f>IF(Y439&lt;&gt;"",ISNUMBER(MATCH(Y439,FSAnswers!$T$100:$T$200,0)),"")</f>
        <v>1</v>
      </c>
    </row>
    <row r="440" spans="10:26" hidden="1" x14ac:dyDescent="0.3">
      <c r="J440" s="96" t="str">
        <f t="shared" si="49"/>
        <v/>
      </c>
      <c r="K440" s="97" t="str">
        <f>IF(J440&lt;&gt;"",ISNUMBER(MATCH(J440,FSAnswers!$C$97:$C$151,0)),"")</f>
        <v/>
      </c>
      <c r="N440" s="96" t="str">
        <f t="shared" si="50"/>
        <v/>
      </c>
      <c r="O440" s="97"/>
      <c r="R440" s="96" t="str">
        <f t="shared" si="51"/>
        <v/>
      </c>
      <c r="S440" s="97"/>
      <c r="U440" s="96" t="str">
        <f t="shared" ca="1" si="52"/>
        <v/>
      </c>
      <c r="V440" s="97"/>
      <c r="Y440" s="96" t="str">
        <f t="shared" si="53"/>
        <v/>
      </c>
      <c r="Z440" s="97" t="str">
        <f>IF(Y440&lt;&gt;"",ISNUMBER(MATCH(Y440,FSAnswers!$T$100:$T$200,0)),"")</f>
        <v/>
      </c>
    </row>
    <row r="441" spans="10:26" hidden="1" x14ac:dyDescent="0.3">
      <c r="J441" s="96" t="str">
        <f t="shared" si="49"/>
        <v>Total Equities0</v>
      </c>
      <c r="K441" s="97" t="b">
        <f>IF(J441&lt;&gt;"",ISNUMBER(MATCH(J441,FSAnswers!$C$97:$C$151,0)),"")</f>
        <v>1</v>
      </c>
      <c r="N441" s="96" t="str">
        <f t="shared" si="50"/>
        <v/>
      </c>
      <c r="O441" s="97"/>
      <c r="R441" s="96" t="str">
        <f t="shared" si="51"/>
        <v/>
      </c>
      <c r="S441" s="97"/>
      <c r="U441" s="96" t="str">
        <f t="shared" ca="1" si="52"/>
        <v>Net Income-4.2</v>
      </c>
      <c r="V441" s="97"/>
      <c r="Y441" s="96" t="str">
        <f t="shared" si="53"/>
        <v>Total Equities95.8</v>
      </c>
      <c r="Z441" s="97" t="b">
        <f>IF(Y441&lt;&gt;"",ISNUMBER(MATCH(Y441,FSAnswers!$T$100:$T$200,0)),"")</f>
        <v>1</v>
      </c>
    </row>
    <row r="442" spans="10:26" hidden="1" x14ac:dyDescent="0.3">
      <c r="J442" s="96" t="str">
        <f t="shared" si="49"/>
        <v/>
      </c>
      <c r="K442" s="97" t="str">
        <f>IF(J442&lt;&gt;"",ISNUMBER(MATCH(J442,FSAnswers!$C$97:$C$151,0)),"")</f>
        <v/>
      </c>
      <c r="N442" s="96" t="str">
        <f t="shared" si="50"/>
        <v/>
      </c>
      <c r="O442" s="97"/>
      <c r="R442" s="96" t="str">
        <f t="shared" si="51"/>
        <v/>
      </c>
      <c r="S442" s="97"/>
      <c r="U442" s="96" t="str">
        <f t="shared" ca="1" si="52"/>
        <v/>
      </c>
      <c r="V442" s="97"/>
      <c r="Y442" s="96" t="str">
        <f t="shared" si="53"/>
        <v/>
      </c>
      <c r="Z442" s="97" t="str">
        <f>IF(Y442&lt;&gt;"",ISNUMBER(MATCH(Y442,FSAnswers!$T$100:$T$200,0)),"")</f>
        <v/>
      </c>
    </row>
    <row r="443" spans="10:26" hidden="1" x14ac:dyDescent="0.3">
      <c r="J443" s="96" t="str">
        <f t="shared" si="49"/>
        <v>Total Liabilities and Equities0</v>
      </c>
      <c r="K443" s="97" t="b">
        <f>IF(J443&lt;&gt;"",ISNUMBER(MATCH(J443,FSAnswers!$C$97:$C$151,0)),"")</f>
        <v>1</v>
      </c>
      <c r="N443" s="96" t="str">
        <f t="shared" si="50"/>
        <v/>
      </c>
      <c r="O443" s="97"/>
      <c r="R443" s="96" t="str">
        <f t="shared" si="51"/>
        <v/>
      </c>
      <c r="S443" s="97"/>
      <c r="U443" s="96" t="str">
        <f t="shared" ca="1" si="52"/>
        <v>Adjustments:</v>
      </c>
      <c r="V443" s="97"/>
      <c r="Y443" s="96" t="str">
        <f t="shared" si="53"/>
        <v>Total Liabilities and Equities133.35</v>
      </c>
      <c r="Z443" s="97" t="b">
        <f>IF(Y443&lt;&gt;"",ISNUMBER(MATCH(Y443,FSAnswers!$T$100:$T$200,0)),"")</f>
        <v>1</v>
      </c>
    </row>
    <row r="444" spans="10:26" hidden="1" x14ac:dyDescent="0.3">
      <c r="J444" s="96" t="str">
        <f t="shared" si="49"/>
        <v/>
      </c>
      <c r="K444" s="97" t="str">
        <f>IF(J444&lt;&gt;"",ISNUMBER(MATCH(J444,FSAnswers!$C$97:$C$151,0)),"")</f>
        <v/>
      </c>
      <c r="N444" s="96" t="str">
        <f t="shared" si="50"/>
        <v/>
      </c>
      <c r="O444" s="97"/>
      <c r="R444" s="96" t="str">
        <f t="shared" si="51"/>
        <v/>
      </c>
      <c r="S444" s="97"/>
      <c r="U444" s="96" t="str">
        <f t="shared" ca="1" si="52"/>
        <v>Depreciation expense7.5</v>
      </c>
      <c r="V444" s="97"/>
      <c r="Y444" s="96" t="str">
        <f t="shared" si="53"/>
        <v/>
      </c>
      <c r="Z444" s="97" t="str">
        <f>IF(Y444&lt;&gt;"",ISNUMBER(MATCH(Y444,FSAnswers!$T$100:$T$200,0)),"")</f>
        <v/>
      </c>
    </row>
    <row r="445" spans="10:26" hidden="1" x14ac:dyDescent="0.3">
      <c r="J445" s="96" t="str">
        <f t="shared" si="49"/>
        <v/>
      </c>
      <c r="K445" s="97" t="str">
        <f>IF(J445&lt;&gt;"",ISNUMBER(MATCH(J445,FSAnswers!$C$97:$C$151,0)),"")</f>
        <v/>
      </c>
      <c r="N445" s="96" t="str">
        <f t="shared" si="50"/>
        <v/>
      </c>
      <c r="O445" s="97"/>
      <c r="R445" s="96" t="str">
        <f t="shared" si="51"/>
        <v/>
      </c>
      <c r="S445" s="97"/>
      <c r="U445" s="96" t="str">
        <f t="shared" ca="1" si="52"/>
        <v/>
      </c>
      <c r="V445" s="97"/>
      <c r="Y445" s="96" t="str">
        <f t="shared" si="53"/>
        <v/>
      </c>
      <c r="Z445" s="97" t="str">
        <f>IF(Y445&lt;&gt;"",ISNUMBER(MATCH(Y445,FSAnswers!$T$100:$T$200,0)),"")</f>
        <v/>
      </c>
    </row>
    <row r="446" spans="10:26" hidden="1" x14ac:dyDescent="0.3">
      <c r="J446" s="96" t="str">
        <f t="shared" si="49"/>
        <v/>
      </c>
      <c r="K446" s="97" t="str">
        <f>IF(J446&lt;&gt;"",ISNUMBER(MATCH(J446,FSAnswers!$C$97:$C$151,0)),"")</f>
        <v/>
      </c>
      <c r="N446" s="96" t="str">
        <f t="shared" si="50"/>
        <v/>
      </c>
      <c r="O446" s="97"/>
      <c r="R446" s="96" t="str">
        <f t="shared" si="51"/>
        <v/>
      </c>
      <c r="S446" s="97"/>
      <c r="U446" s="96" t="str">
        <f t="shared" ca="1" si="52"/>
        <v>ΔBalance sheet accounts due to Operations:</v>
      </c>
      <c r="V446" s="97"/>
      <c r="Y446" s="96" t="str">
        <f t="shared" si="53"/>
        <v/>
      </c>
      <c r="Z446" s="97" t="str">
        <f>IF(Y446&lt;&gt;"",ISNUMBER(MATCH(Y446,FSAnswers!$T$100:$T$200,0)),"")</f>
        <v/>
      </c>
    </row>
    <row r="447" spans="10:26" hidden="1" x14ac:dyDescent="0.3">
      <c r="J447" s="96" t="str">
        <f t="shared" si="49"/>
        <v/>
      </c>
      <c r="K447" s="97" t="str">
        <f>IF(J447&lt;&gt;"",ISNUMBER(MATCH(J447,FSAnswers!$C$97:$C$151,0)),"")</f>
        <v/>
      </c>
      <c r="N447" s="96" t="str">
        <f t="shared" si="50"/>
        <v/>
      </c>
      <c r="O447" s="97"/>
      <c r="R447" s="96" t="str">
        <f t="shared" si="51"/>
        <v/>
      </c>
      <c r="S447" s="97"/>
      <c r="U447" s="96" t="str">
        <f t="shared" ca="1" si="52"/>
        <v>Accounts Receivable-9.8</v>
      </c>
      <c r="V447" s="97"/>
      <c r="Y447" s="96" t="str">
        <f t="shared" si="53"/>
        <v/>
      </c>
      <c r="Z447" s="97" t="str">
        <f>IF(Y447&lt;&gt;"",ISNUMBER(MATCH(Y447,FSAnswers!$T$100:$T$200,0)),"")</f>
        <v/>
      </c>
    </row>
    <row r="448" spans="10:26" hidden="1" x14ac:dyDescent="0.3">
      <c r="J448" s="96" t="str">
        <f t="shared" si="49"/>
        <v/>
      </c>
      <c r="K448" s="97" t="str">
        <f>IF(J448&lt;&gt;"",ISNUMBER(MATCH(J448,FSAnswers!$C$97:$C$151,0)),"")</f>
        <v/>
      </c>
      <c r="N448" s="96" t="str">
        <f t="shared" si="50"/>
        <v/>
      </c>
      <c r="O448" s="97"/>
      <c r="R448" s="96" t="str">
        <f t="shared" si="51"/>
        <v/>
      </c>
      <c r="S448" s="97"/>
      <c r="U448" s="96" t="str">
        <f t="shared" ca="1" si="52"/>
        <v>Inventories-5</v>
      </c>
      <c r="V448" s="97"/>
      <c r="Y448" s="96" t="str">
        <f t="shared" si="53"/>
        <v/>
      </c>
      <c r="Z448" s="97" t="str">
        <f>IF(Y448&lt;&gt;"",ISNUMBER(MATCH(Y448,FSAnswers!$T$100:$T$200,0)),"")</f>
        <v/>
      </c>
    </row>
    <row r="449" spans="10:26" hidden="1" x14ac:dyDescent="0.3">
      <c r="J449" s="96" t="str">
        <f t="shared" si="49"/>
        <v/>
      </c>
      <c r="K449" s="97" t="str">
        <f>IF(J449&lt;&gt;"",ISNUMBER(MATCH(J449,FSAnswers!$C$97:$C$151,0)),"")</f>
        <v/>
      </c>
      <c r="N449" s="96" t="str">
        <f t="shared" si="50"/>
        <v/>
      </c>
      <c r="O449" s="97"/>
      <c r="R449" s="96" t="str">
        <f t="shared" si="51"/>
        <v/>
      </c>
      <c r="S449" s="97"/>
      <c r="U449" s="96" t="str">
        <f t="shared" ca="1" si="52"/>
        <v>Prepaid Rent-1</v>
      </c>
      <c r="V449" s="97"/>
      <c r="Y449" s="96" t="str">
        <f t="shared" si="53"/>
        <v/>
      </c>
      <c r="Z449" s="97" t="str">
        <f>IF(Y449&lt;&gt;"",ISNUMBER(MATCH(Y449,FSAnswers!$T$100:$T$200,0)),"")</f>
        <v/>
      </c>
    </row>
    <row r="450" spans="10:26" hidden="1" x14ac:dyDescent="0.3">
      <c r="J450" s="96" t="str">
        <f t="shared" si="49"/>
        <v/>
      </c>
      <c r="K450" s="97" t="str">
        <f>IF(J450&lt;&gt;"",ISNUMBER(MATCH(J450,FSAnswers!$C$97:$C$151,0)),"")</f>
        <v/>
      </c>
      <c r="N450" s="96" t="str">
        <f t="shared" si="50"/>
        <v/>
      </c>
      <c r="O450" s="97"/>
      <c r="R450" s="96" t="str">
        <f t="shared" si="51"/>
        <v/>
      </c>
      <c r="S450" s="97"/>
      <c r="U450" s="96" t="str">
        <f t="shared" ca="1" si="52"/>
        <v>Accounts Payable15</v>
      </c>
      <c r="V450" s="97"/>
      <c r="Y450" s="96" t="str">
        <f t="shared" si="53"/>
        <v/>
      </c>
      <c r="Z450" s="97" t="str">
        <f>IF(Y450&lt;&gt;"",ISNUMBER(MATCH(Y450,FSAnswers!$T$100:$T$200,0)),"")</f>
        <v/>
      </c>
    </row>
    <row r="451" spans="10:26" hidden="1" x14ac:dyDescent="0.3">
      <c r="J451" s="96" t="str">
        <f t="shared" si="49"/>
        <v/>
      </c>
      <c r="K451" s="97" t="str">
        <f>IF(J451&lt;&gt;"",ISNUMBER(MATCH(J451,FSAnswers!$C$97:$C$151,0)),"")</f>
        <v/>
      </c>
      <c r="N451" s="96" t="str">
        <f t="shared" si="50"/>
        <v/>
      </c>
      <c r="O451" s="97"/>
      <c r="R451" s="96" t="str">
        <f t="shared" si="51"/>
        <v/>
      </c>
      <c r="S451" s="97"/>
      <c r="U451" s="96" t="str">
        <f t="shared" ca="1" si="52"/>
        <v>Interest Payable1.55</v>
      </c>
      <c r="V451" s="97"/>
      <c r="Y451" s="96" t="str">
        <f t="shared" si="53"/>
        <v/>
      </c>
      <c r="Z451" s="97" t="str">
        <f>IF(Y451&lt;&gt;"",ISNUMBER(MATCH(Y451,FSAnswers!$T$100:$T$200,0)),"")</f>
        <v/>
      </c>
    </row>
    <row r="452" spans="10:26" hidden="1" x14ac:dyDescent="0.3">
      <c r="J452" s="96" t="str">
        <f t="shared" si="49"/>
        <v/>
      </c>
      <c r="K452" s="97" t="str">
        <f>IF(J452&lt;&gt;"",ISNUMBER(MATCH(J452,FSAnswers!$C$97:$C$151,0)),"")</f>
        <v/>
      </c>
      <c r="N452" s="96" t="str">
        <f t="shared" si="50"/>
        <v/>
      </c>
      <c r="O452" s="97"/>
      <c r="R452" s="96" t="str">
        <f t="shared" si="51"/>
        <v/>
      </c>
      <c r="S452" s="97"/>
      <c r="U452" s="96" t="str">
        <f t="shared" ca="1" si="52"/>
        <v>Salaries &amp; Wages Payable1</v>
      </c>
      <c r="V452" s="97"/>
      <c r="Y452" s="96" t="str">
        <f t="shared" si="53"/>
        <v/>
      </c>
      <c r="Z452" s="97" t="str">
        <f>IF(Y452&lt;&gt;"",ISNUMBER(MATCH(Y452,FSAnswers!$T$100:$T$200,0)),"")</f>
        <v/>
      </c>
    </row>
    <row r="453" spans="10:26" hidden="1" x14ac:dyDescent="0.3">
      <c r="J453" s="96" t="str">
        <f t="shared" si="49"/>
        <v/>
      </c>
      <c r="K453" s="97" t="str">
        <f>IF(J453&lt;&gt;"",ISNUMBER(MATCH(J453,FSAnswers!$C$97:$C$151,0)),"")</f>
        <v/>
      </c>
      <c r="N453" s="96" t="str">
        <f t="shared" si="50"/>
        <v/>
      </c>
      <c r="O453" s="97"/>
      <c r="R453" s="96" t="str">
        <f t="shared" si="51"/>
        <v/>
      </c>
      <c r="S453" s="97"/>
      <c r="U453" s="96" t="str">
        <f t="shared" ca="1" si="52"/>
        <v/>
      </c>
      <c r="V453" s="97"/>
      <c r="Y453" s="96" t="str">
        <f t="shared" si="53"/>
        <v/>
      </c>
      <c r="Z453" s="97" t="str">
        <f>IF(Y453&lt;&gt;"",ISNUMBER(MATCH(Y453,FSAnswers!$T$100:$T$200,0)),"")</f>
        <v/>
      </c>
    </row>
    <row r="454" spans="10:26" hidden="1" x14ac:dyDescent="0.3">
      <c r="J454" s="96" t="str">
        <f t="shared" si="49"/>
        <v/>
      </c>
      <c r="K454" s="97" t="str">
        <f>IF(J454&lt;&gt;"",ISNUMBER(MATCH(J454,FSAnswers!$C$97:$C$151,0)),"")</f>
        <v/>
      </c>
      <c r="N454" s="96" t="str">
        <f t="shared" si="50"/>
        <v/>
      </c>
      <c r="O454" s="97"/>
      <c r="R454" s="96" t="str">
        <f t="shared" si="51"/>
        <v/>
      </c>
      <c r="S454" s="97"/>
      <c r="U454" s="96" t="str">
        <f t="shared" ca="1" si="52"/>
        <v>Cash Flow from Operations5.05</v>
      </c>
      <c r="V454" s="97"/>
      <c r="Y454" s="96" t="str">
        <f t="shared" si="53"/>
        <v/>
      </c>
      <c r="Z454" s="97" t="str">
        <f>IF(Y454&lt;&gt;"",ISNUMBER(MATCH(Y454,FSAnswers!$T$100:$T$200,0)),"")</f>
        <v/>
      </c>
    </row>
    <row r="455" spans="10:26" hidden="1" x14ac:dyDescent="0.3">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x14ac:dyDescent="0.3">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x14ac:dyDescent="0.3">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x14ac:dyDescent="0.3">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x14ac:dyDescent="0.3">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x14ac:dyDescent="0.3">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x14ac:dyDescent="0.3">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x14ac:dyDescent="0.3">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x14ac:dyDescent="0.3">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x14ac:dyDescent="0.3">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x14ac:dyDescent="0.3">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x14ac:dyDescent="0.3">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x14ac:dyDescent="0.3">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x14ac:dyDescent="0.3">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x14ac:dyDescent="0.3">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x14ac:dyDescent="0.3">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x14ac:dyDescent="0.3">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x14ac:dyDescent="0.3">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x14ac:dyDescent="0.3">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x14ac:dyDescent="0.3">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x14ac:dyDescent="0.3">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x14ac:dyDescent="0.3">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x14ac:dyDescent="0.3">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x14ac:dyDescent="0.3">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x14ac:dyDescent="0.3">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x14ac:dyDescent="0.3">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x14ac:dyDescent="0.3">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x14ac:dyDescent="0.3">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x14ac:dyDescent="0.3">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x14ac:dyDescent="0.3">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x14ac:dyDescent="0.3">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x14ac:dyDescent="0.3">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x14ac:dyDescent="0.3">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 hidden="1" thickBot="1" x14ac:dyDescent="0.35">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x14ac:dyDescent="0.3">
      <c r="J489" s="5"/>
    </row>
    <row r="490" spans="10:26" hidden="1" x14ac:dyDescent="0.3"/>
    <row r="491" spans="10:26" hidden="1" x14ac:dyDescent="0.3"/>
    <row r="492" spans="10:26" hidden="1" x14ac:dyDescent="0.3"/>
    <row r="493" spans="10:26" hidden="1" x14ac:dyDescent="0.3"/>
    <row r="494" spans="10:26" hidden="1" x14ac:dyDescent="0.3"/>
    <row r="495" spans="10:26" hidden="1" x14ac:dyDescent="0.3"/>
    <row r="496" spans="10:26" hidden="1" x14ac:dyDescent="0.3"/>
    <row r="497" hidden="1" x14ac:dyDescent="0.3"/>
    <row r="498" hidden="1" x14ac:dyDescent="0.3"/>
    <row r="499" hidden="1" x14ac:dyDescent="0.3"/>
    <row r="500" hidden="1" x14ac:dyDescent="0.3"/>
    <row r="501" hidden="1" x14ac:dyDescent="0.3"/>
    <row r="502" hidden="1" x14ac:dyDescent="0.3"/>
    <row r="503" hidden="1" x14ac:dyDescent="0.3"/>
    <row r="504" hidden="1" x14ac:dyDescent="0.3"/>
    <row r="505" hidden="1" x14ac:dyDescent="0.3"/>
    <row r="506" hidden="1" x14ac:dyDescent="0.3"/>
    <row r="507" hidden="1" x14ac:dyDescent="0.3"/>
    <row r="508" hidden="1" x14ac:dyDescent="0.3"/>
    <row r="509" hidden="1" x14ac:dyDescent="0.3"/>
    <row r="510" hidden="1" x14ac:dyDescent="0.3"/>
    <row r="511" hidden="1" x14ac:dyDescent="0.3"/>
    <row r="512" hidden="1" x14ac:dyDescent="0.3"/>
    <row r="513" hidden="1" x14ac:dyDescent="0.3"/>
    <row r="514" hidden="1" x14ac:dyDescent="0.3"/>
    <row r="515" hidden="1" x14ac:dyDescent="0.3"/>
    <row r="516" hidden="1" x14ac:dyDescent="0.3"/>
    <row r="517" hidden="1" x14ac:dyDescent="0.3"/>
    <row r="518" hidden="1" x14ac:dyDescent="0.3"/>
    <row r="519" hidden="1" x14ac:dyDescent="0.3"/>
    <row r="520" hidden="1" x14ac:dyDescent="0.3"/>
    <row r="521" hidden="1" x14ac:dyDescent="0.3"/>
    <row r="522" hidden="1" x14ac:dyDescent="0.3"/>
    <row r="523" hidden="1" x14ac:dyDescent="0.3"/>
    <row r="524" hidden="1" x14ac:dyDescent="0.3"/>
    <row r="525" hidden="1" x14ac:dyDescent="0.3"/>
    <row r="526" hidden="1" x14ac:dyDescent="0.3"/>
    <row r="527" hidden="1" x14ac:dyDescent="0.3"/>
    <row r="528" hidden="1" x14ac:dyDescent="0.3"/>
    <row r="529" hidden="1" x14ac:dyDescent="0.3"/>
    <row r="530" hidden="1" x14ac:dyDescent="0.3"/>
    <row r="531" hidden="1" x14ac:dyDescent="0.3"/>
    <row r="532" hidden="1" x14ac:dyDescent="0.3"/>
    <row r="533" hidden="1" x14ac:dyDescent="0.3"/>
    <row r="534" hidden="1" x14ac:dyDescent="0.3"/>
    <row r="535" hidden="1" x14ac:dyDescent="0.3"/>
    <row r="536" hidden="1" x14ac:dyDescent="0.3"/>
    <row r="537" hidden="1" x14ac:dyDescent="0.3"/>
    <row r="538" hidden="1" x14ac:dyDescent="0.3"/>
    <row r="539" hidden="1" x14ac:dyDescent="0.3"/>
    <row r="540" hidden="1" x14ac:dyDescent="0.3"/>
    <row r="541" hidden="1" x14ac:dyDescent="0.3"/>
    <row r="542" hidden="1" x14ac:dyDescent="0.3"/>
    <row r="543" hidden="1" x14ac:dyDescent="0.3"/>
    <row r="544" hidden="1" x14ac:dyDescent="0.3"/>
    <row r="545" spans="1:31" hidden="1" x14ac:dyDescent="0.3"/>
    <row r="546" spans="1:31" hidden="1" x14ac:dyDescent="0.3"/>
    <row r="547" spans="1:31" hidden="1" x14ac:dyDescent="0.3"/>
    <row r="548" spans="1:31" hidden="1" x14ac:dyDescent="0.3"/>
    <row r="549" spans="1:31" s="171" customFormat="1" hidden="1" x14ac:dyDescent="0.3">
      <c r="A549" s="176" t="s">
        <v>289</v>
      </c>
      <c r="L549" s="521"/>
      <c r="M549" s="521"/>
    </row>
    <row r="550" spans="1:31" hidden="1" x14ac:dyDescent="0.3">
      <c r="E550" s="40" t="s">
        <v>290</v>
      </c>
      <c r="L550" s="286" t="s">
        <v>290</v>
      </c>
      <c r="M550" s="286"/>
      <c r="O550" s="40" t="s">
        <v>290</v>
      </c>
      <c r="S550" s="40" t="s">
        <v>291</v>
      </c>
      <c r="AE550" s="40" t="s">
        <v>290</v>
      </c>
    </row>
    <row r="551" spans="1:31" hidden="1" x14ac:dyDescent="0.3">
      <c r="B551" cm="1">
        <f t="array" ref="B551:D551">{2,"Assets",""}</f>
        <v>2</v>
      </c>
      <c r="C551" t="str">
        <v>Assets</v>
      </c>
      <c r="D551" t="str">
        <v/>
      </c>
      <c r="E551" s="1" t="b">
        <f>OR(E101,$D$157)</f>
        <v>1</v>
      </c>
      <c r="I551" cm="1">
        <f t="array" ref="I551:K551">{2,"Revenues",""}</f>
        <v>2</v>
      </c>
      <c r="J551" t="str">
        <v>Revenues</v>
      </c>
      <c r="K551" t="str">
        <v/>
      </c>
      <c r="L551" s="192" t="b">
        <f>OR($E$102,$F$102)</f>
        <v>1</v>
      </c>
      <c r="N551" t="s">
        <v>292</v>
      </c>
      <c r="O551" s="5" t="b">
        <f>OR($E$108,$F$108)</f>
        <v>0</v>
      </c>
      <c r="R551" t="s">
        <v>249</v>
      </c>
      <c r="S551" t="b">
        <f ca="1">S159=1</f>
        <v>0</v>
      </c>
      <c r="AB551" cm="1">
        <f t="array" ref="AB551:AD551">{2,"Assets",""}</f>
        <v>2</v>
      </c>
      <c r="AC551" t="str">
        <v>Assets</v>
      </c>
      <c r="AD551" t="str">
        <v/>
      </c>
      <c r="AE551" s="1" t="b">
        <f>OR($E$106,$F$106)</f>
        <v>1</v>
      </c>
    </row>
    <row r="552" spans="1:31" hidden="1" x14ac:dyDescent="0.3">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279</v>
      </c>
      <c r="O552" s="371">
        <f ca="1">ROUND(K562,2)</f>
        <v>-4.2</v>
      </c>
      <c r="R552" t="s">
        <v>65</v>
      </c>
      <c r="S552" t="b">
        <f ca="1">S164=1</f>
        <v>0</v>
      </c>
      <c r="AB552" cm="1">
        <f t="array" ref="AB552:AD552">{2,"Liabilities",""}</f>
        <v>2</v>
      </c>
      <c r="AC552" t="str">
        <v>Liabilities</v>
      </c>
      <c r="AD552" t="str">
        <v/>
      </c>
      <c r="AE552" s="1" t="b">
        <f>OR($E$106,$F$106)</f>
        <v>1</v>
      </c>
    </row>
    <row r="553" spans="1:31" hidden="1" x14ac:dyDescent="0.3">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293</v>
      </c>
      <c r="O553">
        <f ca="1">ROUND(IFERROR(O558+O560,O552),2)</f>
        <v>-4.2</v>
      </c>
      <c r="R553" t="s">
        <v>255</v>
      </c>
      <c r="S553" t="b">
        <f ca="1">S171=1</f>
        <v>0</v>
      </c>
      <c r="AB553" cm="1">
        <f t="array" ref="AB553:AD553">{2,"Equities",""}</f>
        <v>2</v>
      </c>
      <c r="AC553" t="str">
        <v>Equities</v>
      </c>
      <c r="AD553" t="str">
        <v/>
      </c>
      <c r="AE553" s="1" t="b">
        <f>OR($E$106,$F$106)</f>
        <v>1</v>
      </c>
    </row>
    <row r="554" spans="1:31" hidden="1" x14ac:dyDescent="0.3">
      <c r="I554" cm="1">
        <f t="array" ref="I554:K554">{2,"Losses",""}</f>
        <v>2</v>
      </c>
      <c r="J554" t="str">
        <v>Losses</v>
      </c>
      <c r="K554" t="str">
        <v/>
      </c>
      <c r="L554" s="192" t="b">
        <f>OR(AND(($E$102,$K$124)),AND($F$102,FSConstruction!$J$52&gt;0))</f>
        <v>0</v>
      </c>
      <c r="R554" t="s">
        <v>86</v>
      </c>
      <c r="S554" t="b">
        <f ca="1">S178=1</f>
        <v>0</v>
      </c>
    </row>
    <row r="555" spans="1:31" hidden="1" x14ac:dyDescent="0.3">
      <c r="B555">
        <v>3</v>
      </c>
      <c r="C555" t="s">
        <v>269</v>
      </c>
      <c r="D555" s="216">
        <f>D566+D567</f>
        <v>0</v>
      </c>
      <c r="E555" t="b">
        <f>($E$170+$E$182)&gt;0.00000001</f>
        <v>0</v>
      </c>
      <c r="R555" t="s">
        <v>232</v>
      </c>
      <c r="S555" t="b">
        <f ca="1">S184=1</f>
        <v>0</v>
      </c>
      <c r="Z555" s="216"/>
      <c r="AB555">
        <v>3</v>
      </c>
      <c r="AC555" t="s">
        <v>269</v>
      </c>
      <c r="AD555" s="216">
        <f>ROUND(AD566+AD567,2)</f>
        <v>133.35</v>
      </c>
      <c r="AE555" t="b">
        <f>AD555&gt;0.00000001</f>
        <v>1</v>
      </c>
    </row>
    <row r="556" spans="1:31" hidden="1" x14ac:dyDescent="0.3">
      <c r="B556">
        <v>3</v>
      </c>
      <c r="C556" t="s">
        <v>272</v>
      </c>
      <c r="D556" s="216">
        <f>D568+D569</f>
        <v>0</v>
      </c>
      <c r="E556" t="b">
        <f>($E$194+$E$206)&gt;0.00000001</f>
        <v>0</v>
      </c>
      <c r="R556" t="s">
        <v>263</v>
      </c>
      <c r="S556" t="b">
        <f ca="1">S189=1</f>
        <v>0</v>
      </c>
      <c r="Z556" s="216"/>
      <c r="AB556">
        <v>3</v>
      </c>
      <c r="AC556" t="s">
        <v>272</v>
      </c>
      <c r="AD556" s="216">
        <f>ROUND(AD568+AD569,2)</f>
        <v>37.549999999999997</v>
      </c>
      <c r="AE556" t="b">
        <f t="shared" ref="AE556:AE557" si="59">AD556&gt;0.00000001</f>
        <v>1</v>
      </c>
    </row>
    <row r="557" spans="1:31" hidden="1" x14ac:dyDescent="0.3">
      <c r="B557">
        <v>3</v>
      </c>
      <c r="C557" t="s">
        <v>273</v>
      </c>
      <c r="D557" s="216">
        <f>SUM(D208:D217)</f>
        <v>0</v>
      </c>
      <c r="E557" t="b">
        <f>E218&gt;0.00000001</f>
        <v>0</v>
      </c>
      <c r="I557">
        <v>5</v>
      </c>
      <c r="J557" t="s">
        <v>294</v>
      </c>
      <c r="K557" s="289">
        <f ca="1">ROUND(SUM(K575:K580),2)</f>
        <v>40</v>
      </c>
      <c r="L557" s="192" t="b">
        <f ca="1">OR($K$157,AND(K121,$E$102,K557&gt;0.000001))</f>
        <v>1</v>
      </c>
      <c r="M557" s="517" t="str" cm="1">
        <f t="array" ref="M557:O557">IF(OR($E$108,$F$108),{1,"Statement of Comprehensive Income",""},{"","",""})</f>
        <v/>
      </c>
      <c r="N557" t="str">
        <v/>
      </c>
      <c r="O557" t="str">
        <v/>
      </c>
      <c r="Z557" s="216"/>
      <c r="AB557">
        <v>3</v>
      </c>
      <c r="AC557" t="s">
        <v>273</v>
      </c>
      <c r="AD557" s="216">
        <f>ROUND(SUM(AD208:AD217),2)</f>
        <v>95.8</v>
      </c>
      <c r="AE557" t="b">
        <f t="shared" si="59"/>
        <v>1</v>
      </c>
    </row>
    <row r="558" spans="1:31" hidden="1" x14ac:dyDescent="0.3">
      <c r="B558">
        <v>3</v>
      </c>
      <c r="C558" t="s">
        <v>274</v>
      </c>
      <c r="D558" s="216">
        <f>D556+D557</f>
        <v>0</v>
      </c>
      <c r="E558" t="b">
        <f>AND(D572,D573)</f>
        <v>1</v>
      </c>
      <c r="I558">
        <v>5</v>
      </c>
      <c r="J558" t="s">
        <v>295</v>
      </c>
      <c r="K558" s="289">
        <f ca="1">ROUND(SUM(K585:K613),2)</f>
        <v>44.2</v>
      </c>
      <c r="L558" s="192" t="b">
        <f ca="1">OR($K$157,AND(K122,$E$102,K558&gt;0.000001))</f>
        <v>1</v>
      </c>
      <c r="M558" s="517" t="str" cm="1">
        <f t="array" ref="M558:O558">IF(OR($E$108,$F$108),M552:O552,{"","",""})</f>
        <v/>
      </c>
      <c r="N558" t="str">
        <v/>
      </c>
      <c r="O558" t="str">
        <v/>
      </c>
      <c r="S558" s="40" t="s">
        <v>290</v>
      </c>
      <c r="Z558" s="216"/>
      <c r="AB558">
        <v>3</v>
      </c>
      <c r="AC558" t="s">
        <v>274</v>
      </c>
      <c r="AD558" s="216">
        <f>ROUND(AD556+AD557,2)</f>
        <v>133.35</v>
      </c>
      <c r="AE558" t="b">
        <f>AND(AE556,AE557)</f>
        <v>1</v>
      </c>
    </row>
    <row r="559" spans="1:31" hidden="1" x14ac:dyDescent="0.3">
      <c r="C559" s="5" t="s">
        <v>296</v>
      </c>
      <c r="E559" s="1" t="b">
        <f>ABS(D555-D556-D557)&lt;0.00001</f>
        <v>1</v>
      </c>
      <c r="I559">
        <v>5</v>
      </c>
      <c r="J559" t="s">
        <v>297</v>
      </c>
      <c r="K559" s="289">
        <f>ROUND(SUM(K620:K629),2)</f>
        <v>0</v>
      </c>
      <c r="L559" s="192" t="b">
        <f>OR(AND($K$157,K559&gt;0.000001),AND(K123,$E$102,K559&gt;0.000001))</f>
        <v>0</v>
      </c>
      <c r="M559" s="517" t="str" cm="1">
        <f t="array" ref="M559:O559">IF(OR($E$108,$F$108),{2,"Other Comprehensive Income:",""},{"","",""})</f>
        <v/>
      </c>
      <c r="N559" t="str">
        <v/>
      </c>
      <c r="O559" t="str">
        <v/>
      </c>
      <c r="R559" t="s">
        <v>249</v>
      </c>
      <c r="S559" t="b">
        <f ca="1">AND(S551,OR($E$103,$F$103,OR($O$118,$O$106)))</f>
        <v>0</v>
      </c>
      <c r="Y559" s="5"/>
      <c r="AC559" s="5" t="s">
        <v>296</v>
      </c>
      <c r="AE559" s="1" t="b">
        <f>ABS(AD555-AD556-AD557)&lt;0.00001</f>
        <v>1</v>
      </c>
    </row>
    <row r="560" spans="1:31" hidden="1" x14ac:dyDescent="0.3">
      <c r="I560">
        <v>5</v>
      </c>
      <c r="J560" t="s">
        <v>298</v>
      </c>
      <c r="K560" s="289">
        <f>ROUND(SUM(K635:K644),2)</f>
        <v>0</v>
      </c>
      <c r="L560" s="192" t="b">
        <f>OR(AND($K$157,K560&gt;0.000001),AND(K124,$E$102,K560&gt;0.000001))</f>
        <v>0</v>
      </c>
      <c r="M560" s="517" t="str" cm="1">
        <f t="array" ref="M560:O560">IF(OR(AND($E$108,K128),$F$108),I221:K221,{"","",""})</f>
        <v/>
      </c>
      <c r="N560" t="str">
        <v/>
      </c>
      <c r="O560" t="str">
        <v/>
      </c>
      <c r="R560" t="s">
        <v>65</v>
      </c>
      <c r="S560" t="b">
        <f ca="1">AND(S552,OR($E$103,$F$103,OR($O119,$O$107)))</f>
        <v>0</v>
      </c>
    </row>
    <row r="561" spans="2:31" hidden="1" x14ac:dyDescent="0.3">
      <c r="B561" cm="1">
        <f t="array" ref="B561:D561">{4," Current Assets:",""}</f>
        <v>4</v>
      </c>
      <c r="C561" t="str">
        <v xml:space="preserve"> Current Assets:</v>
      </c>
      <c r="D561" t="str">
        <v/>
      </c>
      <c r="E561" t="b">
        <f>AND(E555,O101,OR($F$101,$K$116))</f>
        <v>0</v>
      </c>
      <c r="R561" t="s">
        <v>255</v>
      </c>
      <c r="S561" t="b">
        <f ca="1">AND(S553,OR($E$103,$F$103,OR($O120,$O$107)))</f>
        <v>0</v>
      </c>
      <c r="AB561" cm="1">
        <f t="array" ref="AB561:AD561">{4," Current Assets:",""}</f>
        <v>4</v>
      </c>
      <c r="AC561" t="str">
        <v xml:space="preserve"> Current Assets:</v>
      </c>
      <c r="AD561" t="str">
        <v/>
      </c>
      <c r="AE561" t="b">
        <f>AND(AE555,O113,OR($AD$157,$K$116))</f>
        <v>0</v>
      </c>
    </row>
    <row r="562" spans="2:31" hidden="1" x14ac:dyDescent="0.3">
      <c r="B562" cm="1">
        <f t="array" ref="B562:D562">{4," Noncurrent Assets:",""}</f>
        <v>4</v>
      </c>
      <c r="C562" t="str">
        <v xml:space="preserve"> Noncurrent Assets:</v>
      </c>
      <c r="D562" t="str">
        <v/>
      </c>
      <c r="E562" t="b">
        <f>AND(E555,O102,OR($D$157,$K$117))</f>
        <v>0</v>
      </c>
      <c r="I562">
        <v>3</v>
      </c>
      <c r="J562" t="s">
        <v>279</v>
      </c>
      <c r="K562" s="289">
        <f ca="1">ROUND(K557-K558+K559-K560,2)</f>
        <v>-4.2</v>
      </c>
      <c r="L562" s="192" t="b">
        <f>OR($E$102,$K$157)</f>
        <v>1</v>
      </c>
      <c r="M562" s="517" t="str" cm="1">
        <f t="array" ref="M562:O562">IF(OR(AND($E$108,K128),$F$108),M553:O553,{"","",""})</f>
        <v/>
      </c>
      <c r="N562" t="str">
        <v/>
      </c>
      <c r="O562" t="str">
        <v/>
      </c>
      <c r="R562" t="s">
        <v>86</v>
      </c>
      <c r="S562" t="b">
        <f ca="1">AND(S554,OR($E$103,$F$103,OR($O121,$O$107)))</f>
        <v>0</v>
      </c>
      <c r="AB562" cm="1">
        <f t="array" ref="AB562:AD562">{4," Noncurrent Assets:",""}</f>
        <v>4</v>
      </c>
      <c r="AC562" t="str">
        <v xml:space="preserve"> Noncurrent Assets:</v>
      </c>
      <c r="AD562" t="str">
        <v/>
      </c>
      <c r="AE562" t="b">
        <f>AND(AE555,O114,OR($AD$157,$K$117))</f>
        <v>0</v>
      </c>
    </row>
    <row r="563" spans="2:31" hidden="1" x14ac:dyDescent="0.3">
      <c r="B563" cm="1">
        <f t="array" ref="B563:D563">{4," Current Liabilities:",""}</f>
        <v>4</v>
      </c>
      <c r="C563" t="str">
        <v xml:space="preserve"> Current Liabilities:</v>
      </c>
      <c r="D563" t="str">
        <v/>
      </c>
      <c r="E563" t="b">
        <f>AND(E556,O102,OR($D$157,$K$118))</f>
        <v>0</v>
      </c>
      <c r="R563" t="s">
        <v>232</v>
      </c>
      <c r="S563" t="b">
        <f ca="1">AND(S555,OR($E$103,$F$103,OR($O122,$O$107)))</f>
        <v>0</v>
      </c>
      <c r="AB563" cm="1">
        <f t="array" ref="AB563:AD563">{4," Current Liabilities:",""}</f>
        <v>4</v>
      </c>
      <c r="AC563" t="str">
        <v xml:space="preserve"> Current Liabilities:</v>
      </c>
      <c r="AD563" t="str">
        <v/>
      </c>
      <c r="AE563" t="b">
        <f>AND(AE556,O115,OR($AD$157,$K$118))</f>
        <v>0</v>
      </c>
    </row>
    <row r="564" spans="2:31" hidden="1" x14ac:dyDescent="0.3">
      <c r="B564" cm="1">
        <f t="array" ref="B564:D564">{4," Noncurrent Liabilities:",""}</f>
        <v>4</v>
      </c>
      <c r="C564" t="str">
        <v xml:space="preserve"> Noncurrent Liabilities:</v>
      </c>
      <c r="D564" t="str">
        <v/>
      </c>
      <c r="E564" t="b">
        <f>AND(E556,O104,OR($D$157,$K$119))</f>
        <v>0</v>
      </c>
      <c r="J564" t="s">
        <v>299</v>
      </c>
      <c r="L564" s="192" t="b">
        <f>AND(NOT(L559),NOT(L560))</f>
        <v>1</v>
      </c>
      <c r="R564" t="s">
        <v>263</v>
      </c>
      <c r="S564" t="b">
        <f ca="1">AND(S556,OR($E$103,$F$103,OR($O123,$O$107)))</f>
        <v>0</v>
      </c>
      <c r="AB564" cm="1">
        <f t="array" ref="AB564:AD564">{4," Noncurrent Liabilities:",""}</f>
        <v>4</v>
      </c>
      <c r="AC564" t="str">
        <v xml:space="preserve"> Noncurrent Liabilities:</v>
      </c>
      <c r="AD564" t="str">
        <v/>
      </c>
      <c r="AE564" t="b">
        <f>AND(AE556,O116,OR($AD$157,$K$119))</f>
        <v>0</v>
      </c>
    </row>
    <row r="565" spans="2:31" hidden="1" x14ac:dyDescent="0.3">
      <c r="J565" t="s">
        <v>300</v>
      </c>
      <c r="L565" s="192" t="b">
        <f>AND(L559,NOT(L560))</f>
        <v>0</v>
      </c>
    </row>
    <row r="566" spans="2:31" hidden="1" x14ac:dyDescent="0.3">
      <c r="B566">
        <v>5</v>
      </c>
      <c r="C566" t="s">
        <v>301</v>
      </c>
      <c r="D566" s="216">
        <f>SUM(D160:D169)</f>
        <v>0</v>
      </c>
      <c r="E566" t="b">
        <f>E170&gt;0.0000001</f>
        <v>0</v>
      </c>
      <c r="J566" t="s">
        <v>302</v>
      </c>
      <c r="L566" s="192" t="b">
        <f>AND(NOT(L559),L560)</f>
        <v>0</v>
      </c>
      <c r="R566" s="5" t="s">
        <v>303</v>
      </c>
      <c r="S566">
        <f>FSConstruction!$AF$28</f>
        <v>1</v>
      </c>
      <c r="Z566" s="216"/>
      <c r="AB566">
        <v>5</v>
      </c>
      <c r="AC566" t="s">
        <v>301</v>
      </c>
      <c r="AD566" s="216">
        <f>ROUND(SUM(AD160:AD169),2)</f>
        <v>80.849999999999994</v>
      </c>
      <c r="AE566" t="b">
        <f>AD566&gt;0.0000001</f>
        <v>1</v>
      </c>
    </row>
    <row r="567" spans="2:31" hidden="1" x14ac:dyDescent="0.3">
      <c r="B567">
        <v>5</v>
      </c>
      <c r="C567" t="s">
        <v>304</v>
      </c>
      <c r="D567" s="216">
        <f>SUM(D172:D181)</f>
        <v>0</v>
      </c>
      <c r="E567" t="b">
        <f>E182&gt;0.0000001</f>
        <v>0</v>
      </c>
      <c r="J567" t="s">
        <v>305</v>
      </c>
      <c r="L567" s="192" t="b">
        <f>AND(L559,L560)</f>
        <v>0</v>
      </c>
      <c r="T567" s="517" cm="1">
        <f t="array" ref="T567:V567">IF($AD$99,T232:V232,{"","",""})</f>
        <v>2</v>
      </c>
      <c r="U567" t="str">
        <v>Cash @ 3/31/20X4</v>
      </c>
      <c r="V567">
        <v>0</v>
      </c>
      <c r="Z567" s="216"/>
      <c r="AB567">
        <v>5</v>
      </c>
      <c r="AC567" t="s">
        <v>304</v>
      </c>
      <c r="AD567" s="216">
        <f>ROUND(SUM(AD172:AD181),2)</f>
        <v>52.5</v>
      </c>
      <c r="AE567" t="b">
        <f t="shared" ref="AE567:AE568" si="60">AD567&gt;0.0000001</f>
        <v>1</v>
      </c>
    </row>
    <row r="568" spans="2:31" hidden="1" x14ac:dyDescent="0.3">
      <c r="B568">
        <v>5</v>
      </c>
      <c r="C568" t="s">
        <v>306</v>
      </c>
      <c r="D568" s="216">
        <f>SUM(D184:D193)</f>
        <v>0</v>
      </c>
      <c r="E568" t="b">
        <f>E194&gt;0.0000001</f>
        <v>0</v>
      </c>
      <c r="J568" t="s">
        <v>307</v>
      </c>
      <c r="L568" s="192" t="b">
        <f>NOT(OR(L564,L565,L566,L567))</f>
        <v>0</v>
      </c>
      <c r="Z568" s="216"/>
      <c r="AB568">
        <v>5</v>
      </c>
      <c r="AC568" t="s">
        <v>306</v>
      </c>
      <c r="AD568" s="216">
        <f>ROUND(SUM(AD184:AD193),2)</f>
        <v>17.55</v>
      </c>
      <c r="AE568" t="b">
        <f t="shared" si="60"/>
        <v>1</v>
      </c>
    </row>
    <row r="569" spans="2:31" hidden="1" x14ac:dyDescent="0.3">
      <c r="B569">
        <v>5</v>
      </c>
      <c r="C569" t="s">
        <v>308</v>
      </c>
      <c r="D569" s="216">
        <f>SUM(D196:D205)</f>
        <v>0</v>
      </c>
      <c r="E569" t="b">
        <f>E206&gt;0.0000001</f>
        <v>0</v>
      </c>
      <c r="Q569" s="517" cm="1">
        <f t="array" ref="Q569:S569">IF($Z$133,{3,"Preferred Stock",""},{"","",""})</f>
        <v>3</v>
      </c>
      <c r="R569" t="str">
        <v>Preferred Stock</v>
      </c>
      <c r="S569" t="str">
        <v/>
      </c>
      <c r="T569" s="517" cm="1">
        <f t="array" ref="T569:V570">IF($AD$108,_xlfn.VSTACK({3,"Operating Activities",""},{"","",""}),{"","",""})</f>
        <v>3</v>
      </c>
      <c r="U569" t="str">
        <v>Operating Activities</v>
      </c>
      <c r="V569" t="str">
        <v/>
      </c>
      <c r="Z569" s="216"/>
      <c r="AB569">
        <v>5</v>
      </c>
      <c r="AC569" t="s">
        <v>308</v>
      </c>
      <c r="AD569" s="216">
        <f>ROUND(SUM(AD196:AD205),2)</f>
        <v>20</v>
      </c>
      <c r="AE569" t="b">
        <f>AD569&gt;0.0000001</f>
        <v>1</v>
      </c>
    </row>
    <row r="570" spans="2:31" hidden="1" x14ac:dyDescent="0.3">
      <c r="Q570" s="517" cm="1">
        <f t="array" aca="1" ref="Q570:S571" ca="1">IF($Z$142,_xlfn._xlws.FILTER(Q160:S162,P160:P162,{"","",""}),{"","",""})</f>
        <v>5</v>
      </c>
      <c r="R570" t="str">
        <f ca="1"/>
        <v>Balance @ 3/31/20X4</v>
      </c>
      <c r="S570">
        <f ca="1"/>
        <v>0</v>
      </c>
      <c r="T570" t="str">
        <v/>
      </c>
      <c r="U570" t="str">
        <v/>
      </c>
      <c r="V570" t="str">
        <v/>
      </c>
    </row>
    <row r="571" spans="2:31" hidden="1" x14ac:dyDescent="0.3">
      <c r="C571" t="s">
        <v>309</v>
      </c>
      <c r="D571" t="b">
        <f>IF(OR(C576&lt;&gt;"",C590&lt;&gt;""),TRUE,FALSE)</f>
        <v>1</v>
      </c>
      <c r="Q571">
        <f ca="1"/>
        <v>5</v>
      </c>
      <c r="R571" t="str">
        <f ca="1"/>
        <v>Balance @ 12/31/20x4</v>
      </c>
      <c r="S571">
        <f ca="1"/>
        <v>0</v>
      </c>
      <c r="T571" s="517" cm="1">
        <f t="array" aca="1" ref="T571:V576" ca="1">IF($AD$134,_xlfn.VSTACK(_xlfn._xlws.FILTER(T160:V178,X160:X178,{"","",""}),T235:V235,{"","",""}),{"","",""})</f>
        <v>6</v>
      </c>
      <c r="U571" t="str">
        <f ca="1"/>
        <v>Collections from customers</v>
      </c>
      <c r="V571">
        <f ca="1"/>
        <v>30.05</v>
      </c>
      <c r="AC571" t="s">
        <v>309</v>
      </c>
      <c r="AD571" t="b">
        <f>IF(OR(AC576&lt;&gt;"",AC590&lt;&gt;""),TRUE,FALSE)</f>
        <v>1</v>
      </c>
    </row>
    <row r="572" spans="2:31" hidden="1" x14ac:dyDescent="0.3">
      <c r="C572" t="s">
        <v>310</v>
      </c>
      <c r="D572" t="b">
        <f>IF(OR(C651&lt;&gt;"",C666&lt;&gt;""),TRUE,FALSE)</f>
        <v>1</v>
      </c>
      <c r="T572">
        <f ca="1"/>
        <v>7</v>
      </c>
      <c r="U572" t="str">
        <f ca="1"/>
        <v>Payments to suppliers</v>
      </c>
      <c r="V572">
        <f ca="1"/>
        <v>-15</v>
      </c>
      <c r="AC572" t="s">
        <v>310</v>
      </c>
      <c r="AD572" t="b">
        <f>IF(OR(AC651&lt;&gt;"",AC666&lt;&gt;""),TRUE,FALSE)</f>
        <v>1</v>
      </c>
    </row>
    <row r="573" spans="2:31" hidden="1" x14ac:dyDescent="0.3">
      <c r="C573" t="s">
        <v>311</v>
      </c>
      <c r="D573" t="b">
        <f>C730&lt;&gt;""</f>
        <v>1</v>
      </c>
      <c r="T573">
        <f ca="1"/>
        <v>7</v>
      </c>
      <c r="U573" t="str">
        <f ca="1"/>
        <v>Payments to employees</v>
      </c>
      <c r="V573">
        <f ca="1"/>
        <v>-6</v>
      </c>
      <c r="AC573" t="s">
        <v>311</v>
      </c>
      <c r="AD573" t="b">
        <f>AC730&lt;&gt;""</f>
        <v>1</v>
      </c>
    </row>
    <row r="574" spans="2:31" ht="15" hidden="1" thickBot="1" x14ac:dyDescent="0.35">
      <c r="B574" s="517" cm="1">
        <f t="array" ref="B574:D574">IF($V$104,_xlfn.ANCHORARRAY(B551),{"","",""})</f>
        <v>2</v>
      </c>
      <c r="C574" t="str">
        <v>Assets</v>
      </c>
      <c r="D574" t="str">
        <v/>
      </c>
      <c r="I574" s="517" cm="1">
        <f t="array" ref="I574:K574">IF(L551,_xlfn.ANCHORARRAY(I551),{"","",""})</f>
        <v>2</v>
      </c>
      <c r="J574" t="str">
        <v>Revenues</v>
      </c>
      <c r="K574" t="str">
        <v/>
      </c>
      <c r="T574">
        <f ca="1"/>
        <v>7</v>
      </c>
      <c r="U574" t="str">
        <f ca="1"/>
        <v>Payments for prepaid expenses</v>
      </c>
      <c r="V574">
        <f ca="1"/>
        <v>-4</v>
      </c>
      <c r="AB574" s="517" cm="1">
        <f t="array" ref="AB574:AD574">IF($AG$109,_xlfn.ANCHORARRAY(AB551),{"","",""})</f>
        <v>2</v>
      </c>
      <c r="AC574" t="str">
        <v>Assets</v>
      </c>
      <c r="AD574" t="str">
        <v/>
      </c>
    </row>
    <row r="575" spans="2:31" hidden="1" x14ac:dyDescent="0.3">
      <c r="B575" s="518" cm="1">
        <f t="array" ref="B575:D575">IF(OR($F$101,$V$113),_xlfn.ANCHORARRAY(B561),{"","",""})</f>
        <v>4</v>
      </c>
      <c r="C575" s="365" t="str">
        <v xml:space="preserve"> Current Assets:</v>
      </c>
      <c r="D575" s="174" t="str">
        <v/>
      </c>
      <c r="I575" s="518" cm="1">
        <f t="array" aca="1" ref="I575:K575" ca="1">IF(L551,_xlfn._xlws.FILTER(I160:K169,K160:K169&lt;&gt;"",{"","",""}),{"","",""})</f>
        <v>6</v>
      </c>
      <c r="J575" s="365" t="str">
        <f ca="1"/>
        <v>Sales</v>
      </c>
      <c r="K575" s="174">
        <f ca="1"/>
        <v>40</v>
      </c>
      <c r="T575">
        <f ca="1"/>
        <v>5</v>
      </c>
      <c r="U575" t="str">
        <f ca="1"/>
        <v>Total Cash Flow from Operating Activities</v>
      </c>
      <c r="V575">
        <f ca="1"/>
        <v>5.05</v>
      </c>
      <c r="AB575" s="518" cm="1">
        <f t="array" ref="AB575:AD575">IF(OR($F$106,$AG$116),_xlfn.ANCHORARRAY(AB561),{"","",""})</f>
        <v>4</v>
      </c>
      <c r="AC575" s="365" t="str">
        <v xml:space="preserve"> Current Assets:</v>
      </c>
      <c r="AD575" s="174" t="str">
        <v/>
      </c>
    </row>
    <row r="576" spans="2:31" hidden="1" x14ac:dyDescent="0.3">
      <c r="B576" s="519" cm="1">
        <f t="array" ref="B576:D580">IF(OR($F$101,AND($V$113,C160&lt;&gt;"")),_xlfn._xlws.FILTER(B160:D169,C160:C169&lt;&gt;""),{"","",""})</f>
        <v>6</v>
      </c>
      <c r="C576" t="str">
        <v>Cash</v>
      </c>
      <c r="D576" s="173">
        <v>0</v>
      </c>
      <c r="I576" s="96"/>
      <c r="K576" s="97"/>
      <c r="T576" t="str">
        <f ca="1"/>
        <v/>
      </c>
      <c r="U576" t="str">
        <f ca="1"/>
        <v/>
      </c>
      <c r="V576" t="str">
        <f ca="1"/>
        <v/>
      </c>
      <c r="AB576" s="519" cm="1">
        <f t="array" ref="AB576:AD580">IF(OR($F$106,AND($AG$116,AC160&lt;&gt;"")),_xlfn._xlws.FILTER(AB160:AD169,AC160:AC169&lt;&gt;""),{"","",""})</f>
        <v>6</v>
      </c>
      <c r="AC576" t="str">
        <v>Cash</v>
      </c>
      <c r="AD576" s="97">
        <v>40.050000000000011</v>
      </c>
    </row>
    <row r="577" spans="2:30" hidden="1" x14ac:dyDescent="0.3">
      <c r="B577" s="96">
        <v>7</v>
      </c>
      <c r="C577" t="str">
        <v>Accounts Receivable</v>
      </c>
      <c r="D577" s="173">
        <v>0</v>
      </c>
      <c r="I577" s="96"/>
      <c r="K577" s="97"/>
      <c r="AB577" s="96">
        <v>7</v>
      </c>
      <c r="AC577" t="str">
        <v>Accounts Receivable</v>
      </c>
      <c r="AD577" s="97">
        <v>9.8000000000000007</v>
      </c>
    </row>
    <row r="578" spans="2:30" hidden="1" x14ac:dyDescent="0.3">
      <c r="B578" s="96">
        <v>7</v>
      </c>
      <c r="C578" t="str">
        <v>Marketable Securities</v>
      </c>
      <c r="D578" s="173">
        <v>0</v>
      </c>
      <c r="I578" s="96"/>
      <c r="K578" s="97"/>
      <c r="AB578" s="96">
        <v>7</v>
      </c>
      <c r="AC578" t="str">
        <v>Marketable Securities</v>
      </c>
      <c r="AD578" s="97">
        <v>25</v>
      </c>
    </row>
    <row r="579" spans="2:30" hidden="1" x14ac:dyDescent="0.3">
      <c r="B579" s="96">
        <v>7</v>
      </c>
      <c r="C579" t="str">
        <v>Inventories</v>
      </c>
      <c r="D579" s="173">
        <v>0</v>
      </c>
      <c r="I579" s="96"/>
      <c r="K579" s="97"/>
      <c r="Q579" s="517" cm="1">
        <f t="array" ref="Q579:S579">IF($Z$133,{3,"Common Stock",""},{"","",""})</f>
        <v>3</v>
      </c>
      <c r="R579" t="str">
        <v>Common Stock</v>
      </c>
      <c r="S579" t="str">
        <v/>
      </c>
      <c r="AB579" s="96">
        <v>7</v>
      </c>
      <c r="AC579" t="str">
        <v>Inventories</v>
      </c>
      <c r="AD579" s="97">
        <v>5</v>
      </c>
    </row>
    <row r="580" spans="2:30" ht="15" hidden="1" thickBot="1" x14ac:dyDescent="0.35">
      <c r="B580" s="96">
        <v>7</v>
      </c>
      <c r="C580" t="str">
        <v>Prepaid Rent</v>
      </c>
      <c r="D580" s="173">
        <v>0</v>
      </c>
      <c r="I580" s="98"/>
      <c r="J580" s="283"/>
      <c r="K580" s="99"/>
      <c r="Q580" s="517" cm="1">
        <f t="array" aca="1" ref="Q580:S582" ca="1">IF($Z$142,_xlfn._xlws.FILTER(Q165:S169,P165:P169,{"","",""}),{"","",""})</f>
        <v>5</v>
      </c>
      <c r="R580" t="str">
        <f ca="1"/>
        <v>Balance @ 3/31/20X4</v>
      </c>
      <c r="S580">
        <f ca="1"/>
        <v>0</v>
      </c>
      <c r="AB580" s="96">
        <v>7</v>
      </c>
      <c r="AC580" t="str">
        <v>Prepaid Rent</v>
      </c>
      <c r="AD580" s="97">
        <v>1</v>
      </c>
    </row>
    <row r="581" spans="2:30" hidden="1" x14ac:dyDescent="0.3">
      <c r="B581" s="96"/>
      <c r="D581" s="173"/>
      <c r="Q581">
        <f ca="1"/>
        <v>7</v>
      </c>
      <c r="R581" t="str">
        <f ca="1"/>
        <v>Issued common stock</v>
      </c>
      <c r="S581">
        <f ca="1"/>
        <v>100</v>
      </c>
      <c r="AB581" s="96"/>
      <c r="AD581" s="97"/>
    </row>
    <row r="582" spans="2:30" hidden="1" x14ac:dyDescent="0.3">
      <c r="B582" s="96"/>
      <c r="D582" s="173"/>
      <c r="Q582">
        <f ca="1"/>
        <v>5</v>
      </c>
      <c r="R582" t="str">
        <f ca="1"/>
        <v>Balance @ 12/31/20x4</v>
      </c>
      <c r="S582">
        <f ca="1"/>
        <v>100</v>
      </c>
      <c r="AB582" s="96"/>
      <c r="AD582" s="97"/>
    </row>
    <row r="583" spans="2:30" hidden="1" x14ac:dyDescent="0.3">
      <c r="B583" s="96"/>
      <c r="D583" s="173"/>
      <c r="AB583" s="96"/>
      <c r="AD583" s="97"/>
    </row>
    <row r="584" spans="2:30" ht="15" hidden="1" thickBot="1" x14ac:dyDescent="0.35">
      <c r="B584" s="96"/>
      <c r="D584" s="173"/>
      <c r="I584" s="517" cm="1">
        <f t="array" ref="I584:K584">IF(L552,_xlfn.ANCHORARRAY(I552),{"","",""})</f>
        <v>2</v>
      </c>
      <c r="J584" t="str">
        <v>Expenses</v>
      </c>
      <c r="K584" t="str">
        <v/>
      </c>
      <c r="AB584" s="96"/>
      <c r="AD584" s="97"/>
    </row>
    <row r="585" spans="2:30" ht="15" hidden="1" thickBot="1" x14ac:dyDescent="0.35">
      <c r="B585" s="520" cm="1">
        <f t="array" ref="B585:D585">IF(C575=" Current Assets:",B566:D566,{"","",""})</f>
        <v>5</v>
      </c>
      <c r="C585" s="283" t="str">
        <v xml:space="preserve">  Total Current Assets</v>
      </c>
      <c r="D585" s="285">
        <v>0</v>
      </c>
      <c r="I585" s="518" cm="1">
        <f t="array" aca="1" ref="I585:K590" ca="1">IF(L552,_xlfn._xlws.FILTER(I172:K191,K172:K191&lt;&gt;"",{"","",""}),{"","",""})</f>
        <v>6</v>
      </c>
      <c r="J585" s="365" t="str">
        <f ca="1"/>
        <v>Cost of Goods Sold</v>
      </c>
      <c r="K585" s="174">
        <f ca="1"/>
        <v>25</v>
      </c>
      <c r="AB585" s="520" cm="1">
        <f t="array" ref="AB585:AD585">IF(AC575=" Current Assets:",AB566:AD566,{"","",""})</f>
        <v>5</v>
      </c>
      <c r="AC585" s="283" t="str">
        <v xml:space="preserve">  Total Current Assets</v>
      </c>
      <c r="AD585" s="99">
        <v>80.849999999999994</v>
      </c>
    </row>
    <row r="586" spans="2:30" hidden="1" x14ac:dyDescent="0.3">
      <c r="I586" s="96">
        <f ca="1"/>
        <v>7</v>
      </c>
      <c r="J586" t="str">
        <f ca="1"/>
        <v>Interest Expense</v>
      </c>
      <c r="K586" s="97">
        <f ca="1"/>
        <v>1.55</v>
      </c>
    </row>
    <row r="587" spans="2:30" hidden="1" x14ac:dyDescent="0.3">
      <c r="I587" s="96">
        <f ca="1"/>
        <v>7</v>
      </c>
      <c r="J587" t="str">
        <f ca="1"/>
        <v>Depreciation Expense</v>
      </c>
      <c r="K587" s="97">
        <f ca="1"/>
        <v>7.5</v>
      </c>
    </row>
    <row r="588" spans="2:30" ht="15" hidden="1" thickBot="1" x14ac:dyDescent="0.35">
      <c r="I588" s="96">
        <f ca="1"/>
        <v>7</v>
      </c>
      <c r="J588" t="str">
        <f ca="1"/>
        <v>Rent Expense</v>
      </c>
      <c r="K588" s="97">
        <f ca="1"/>
        <v>3</v>
      </c>
    </row>
    <row r="589" spans="2:30" hidden="1" x14ac:dyDescent="0.3">
      <c r="B589" s="518" cm="1">
        <f t="array" ref="B589:D589">IF(OR($F$101,$V$120),_xlfn.ANCHORARRAY(B562),{"","",""})</f>
        <v>4</v>
      </c>
      <c r="C589" s="365" t="str">
        <v xml:space="preserve"> Noncurrent Assets:</v>
      </c>
      <c r="D589" s="381" t="str">
        <v/>
      </c>
      <c r="I589" s="96">
        <f ca="1"/>
        <v>7</v>
      </c>
      <c r="J589" t="str">
        <f ca="1"/>
        <v>Bad Debts Expense</v>
      </c>
      <c r="K589" s="97">
        <f ca="1"/>
        <v>0.15</v>
      </c>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x14ac:dyDescent="0.3">
      <c r="B590" s="519" cm="1">
        <f t="array" ref="B590:D591">IF(OR($F$101,AND($V$120,$C$172&lt;&gt;"")),_xlfn._xlws.FILTER(B172:D181,C172:C181&lt;&gt;""),{"","",""})</f>
        <v>6</v>
      </c>
      <c r="C590" t="str">
        <v>Property, Plant &amp; Equipment</v>
      </c>
      <c r="D590" s="173">
        <v>0</v>
      </c>
      <c r="I590" s="96">
        <f ca="1"/>
        <v>7</v>
      </c>
      <c r="J590" t="str">
        <f ca="1"/>
        <v>Salaries &amp; Wages Expense</v>
      </c>
      <c r="K590" s="97">
        <f ca="1"/>
        <v>7</v>
      </c>
      <c r="Q590" s="517" cm="1">
        <f t="array" aca="1" ref="Q590:S591" ca="1">IF($Z$142,_xlfn._xlws.FILTER(Q172:S176,P172:P176,{"","",""}),{"","",""})</f>
        <v>5</v>
      </c>
      <c r="R590" t="str">
        <f ca="1"/>
        <v>Balance @ 3/31/20X4</v>
      </c>
      <c r="S590">
        <f ca="1"/>
        <v>0</v>
      </c>
      <c r="AB590" s="519" cm="1">
        <f t="array" ref="AB590:AD591">IF(OR($F$106,AND($AG$123,$AC$172&lt;&gt;"")),_xlfn._xlws.FILTER(AB172:AD181,AC172:AC181&lt;&gt;""),{"","",""})</f>
        <v>6</v>
      </c>
      <c r="AC590" t="str">
        <v>Property, Plant &amp; Equipment</v>
      </c>
      <c r="AD590" s="97">
        <v>60</v>
      </c>
    </row>
    <row r="591" spans="2:30" hidden="1" x14ac:dyDescent="0.3">
      <c r="B591" s="96">
        <v>7</v>
      </c>
      <c r="C591" t="str">
        <v>Accumulated Depreciation</v>
      </c>
      <c r="D591" s="173">
        <v>0</v>
      </c>
      <c r="I591" s="96"/>
      <c r="K591" s="97"/>
      <c r="Q591">
        <f ca="1"/>
        <v>5</v>
      </c>
      <c r="R591" t="str">
        <f ca="1"/>
        <v>Balance @ 12/31/20x4</v>
      </c>
      <c r="S591">
        <f ca="1"/>
        <v>0</v>
      </c>
      <c r="AB591" s="96">
        <v>7</v>
      </c>
      <c r="AC591" t="str">
        <v>Accumulated Depreciation</v>
      </c>
      <c r="AD591" s="97">
        <v>-7.5</v>
      </c>
    </row>
    <row r="592" spans="2:30" hidden="1" x14ac:dyDescent="0.3">
      <c r="B592" s="96"/>
      <c r="D592" s="173"/>
      <c r="I592" s="96"/>
      <c r="K592" s="97"/>
      <c r="AB592" s="96"/>
      <c r="AD592" s="97"/>
    </row>
    <row r="593" spans="2:30" hidden="1" x14ac:dyDescent="0.3">
      <c r="B593" s="96"/>
      <c r="D593" s="173"/>
      <c r="I593" s="96"/>
      <c r="K593" s="97"/>
      <c r="AB593" s="96"/>
      <c r="AD593" s="97"/>
    </row>
    <row r="594" spans="2:30" hidden="1" x14ac:dyDescent="0.3">
      <c r="B594" s="96"/>
      <c r="D594" s="173"/>
      <c r="I594" s="96"/>
      <c r="K594" s="97"/>
      <c r="T594" s="517" cm="1">
        <f t="array" ref="T594:V595">IF($AD$116,_xlfn.VSTACK({3,"Investing Activities",""},{"","",""}),{"","",""})</f>
        <v>3</v>
      </c>
      <c r="U594" t="str">
        <v>Investing Activities</v>
      </c>
      <c r="V594" t="str">
        <v/>
      </c>
      <c r="AB594" s="96"/>
      <c r="AD594" s="97"/>
    </row>
    <row r="595" spans="2:30" hidden="1" x14ac:dyDescent="0.3">
      <c r="B595" s="96"/>
      <c r="D595" s="173"/>
      <c r="I595" s="96"/>
      <c r="K595" s="97"/>
      <c r="T595" t="str">
        <v/>
      </c>
      <c r="U595" t="str">
        <v/>
      </c>
      <c r="V595" t="str">
        <v/>
      </c>
      <c r="AB595" s="96"/>
      <c r="AD595" s="97"/>
    </row>
    <row r="596" spans="2:30" hidden="1" x14ac:dyDescent="0.3">
      <c r="B596" s="96"/>
      <c r="D596" s="173"/>
      <c r="I596" s="96"/>
      <c r="K596" s="97"/>
      <c r="T596" s="517" cm="1">
        <f t="array" aca="1" ref="T596:V599" ca="1">IF($AD$143,_xlfn.VSTACK(_xlfn._xlws.FILTER(T186:V204,X186:X204,{"","",""}),T236:V236,{"","",""}),{"","",""})</f>
        <v>6</v>
      </c>
      <c r="U596" t="str">
        <f ca="1"/>
        <v>Acquired marketable securities</v>
      </c>
      <c r="V596">
        <f ca="1"/>
        <v>-25</v>
      </c>
      <c r="AB596" s="96"/>
      <c r="AD596" s="97"/>
    </row>
    <row r="597" spans="2:30" hidden="1" x14ac:dyDescent="0.3">
      <c r="B597" s="96"/>
      <c r="D597" s="173"/>
      <c r="I597" s="96"/>
      <c r="K597" s="97"/>
      <c r="T597">
        <f ca="1"/>
        <v>7</v>
      </c>
      <c r="U597" t="str">
        <f ca="1"/>
        <v>Acquired PP&amp;E</v>
      </c>
      <c r="V597">
        <f ca="1"/>
        <v>-60</v>
      </c>
      <c r="AB597" s="96"/>
      <c r="AD597" s="97"/>
    </row>
    <row r="598" spans="2:30" hidden="1" x14ac:dyDescent="0.3">
      <c r="B598" s="96"/>
      <c r="D598" s="173"/>
      <c r="I598" s="96"/>
      <c r="K598" s="97"/>
      <c r="T598">
        <f ca="1"/>
        <v>5</v>
      </c>
      <c r="U598" t="str">
        <f ca="1"/>
        <v>Total Cash Flow from Investing Activities</v>
      </c>
      <c r="V598">
        <f ca="1"/>
        <v>-85</v>
      </c>
      <c r="AB598" s="96"/>
      <c r="AD598" s="97"/>
    </row>
    <row r="599" spans="2:30" ht="15" hidden="1" thickBot="1" x14ac:dyDescent="0.35">
      <c r="B599" s="520" cm="1">
        <f t="array" ref="B599:D599">IF(C589=" Noncurrent Assets:",B567:D567,{"","",""})</f>
        <v>5</v>
      </c>
      <c r="C599" s="283" t="str">
        <v xml:space="preserve">  Total Noncurrent Assets</v>
      </c>
      <c r="D599" s="285">
        <v>0</v>
      </c>
      <c r="I599" s="96"/>
      <c r="K599" s="97"/>
      <c r="Q599" s="517" cm="1">
        <f t="array" ref="Q599:S599">IF($Z$133,{3,"Retained Earnings",""},{"","",""})</f>
        <v>3</v>
      </c>
      <c r="R599" t="str">
        <v>Retained Earnings</v>
      </c>
      <c r="S599" t="str">
        <v/>
      </c>
      <c r="T599" t="str">
        <f ca="1"/>
        <v/>
      </c>
      <c r="U599" t="str">
        <f ca="1"/>
        <v/>
      </c>
      <c r="V599" t="str">
        <f ca="1"/>
        <v/>
      </c>
      <c r="AB599" s="520" cm="1">
        <f t="array" ref="AB599:AD599">IF(AC589=" Noncurrent Assets:",AB567:AD567,{"","",""})</f>
        <v>5</v>
      </c>
      <c r="AC599" s="283" t="str">
        <v xml:space="preserve">  Total Noncurrent Assets</v>
      </c>
      <c r="AD599" s="99">
        <v>52.5</v>
      </c>
    </row>
    <row r="600" spans="2:30" hidden="1" x14ac:dyDescent="0.3">
      <c r="I600" s="96"/>
      <c r="K600" s="97"/>
      <c r="Q600" s="517" cm="1">
        <f t="array" aca="1" ref="Q600:S602" ca="1">IF($Z$142,_xlfn._xlws.FILTER(Q179:S182,P179:P182,{"","",""}),{"","",""})</f>
        <v>5</v>
      </c>
      <c r="R600" t="str">
        <f ca="1"/>
        <v>Balance @ 3/31/20X4</v>
      </c>
      <c r="S600">
        <f ca="1"/>
        <v>0</v>
      </c>
    </row>
    <row r="601" spans="2:30" hidden="1" x14ac:dyDescent="0.3">
      <c r="I601" s="96"/>
      <c r="K601" s="97"/>
      <c r="Q601">
        <f ca="1"/>
        <v>7</v>
      </c>
      <c r="R601" t="str">
        <f ca="1"/>
        <v>Net Income (Loss)</v>
      </c>
      <c r="S601">
        <f ca="1"/>
        <v>-4.2</v>
      </c>
    </row>
    <row r="602" spans="2:30" hidden="1" x14ac:dyDescent="0.3">
      <c r="I602" s="96"/>
      <c r="K602" s="97"/>
      <c r="Q602">
        <f ca="1"/>
        <v>5</v>
      </c>
      <c r="R602" t="str">
        <f ca="1"/>
        <v>Balance @ 12/31/20x4</v>
      </c>
      <c r="S602">
        <f ca="1"/>
        <v>-4.2</v>
      </c>
    </row>
    <row r="603" spans="2:30" hidden="1" x14ac:dyDescent="0.3">
      <c r="I603" s="96"/>
      <c r="K603" s="97"/>
    </row>
    <row r="604" spans="2:30" hidden="1" x14ac:dyDescent="0.3">
      <c r="B604" s="517" cm="1">
        <f t="array" ref="B604:D604">IF(OR($F$101,OR($V$113,$V$120)),B555:D555,{"","",""})</f>
        <v>3</v>
      </c>
      <c r="C604" t="str">
        <v>Total Assets</v>
      </c>
      <c r="D604">
        <v>0</v>
      </c>
      <c r="I604" s="96"/>
      <c r="K604" s="97"/>
      <c r="AB604" s="517" cm="1">
        <f t="array" ref="AB604:AD604">IF(OR($F$106,OR($AG$117,$AG$123)),AB555:AD555,{"","",""})</f>
        <v>3</v>
      </c>
      <c r="AC604" t="str">
        <v>Total Assets</v>
      </c>
      <c r="AD604">
        <v>133.35</v>
      </c>
    </row>
    <row r="605" spans="2:30" hidden="1" x14ac:dyDescent="0.3">
      <c r="I605" s="96"/>
      <c r="K605" s="97"/>
    </row>
    <row r="606" spans="2:30" hidden="1" x14ac:dyDescent="0.3">
      <c r="I606" s="96"/>
      <c r="K606" s="97"/>
    </row>
    <row r="607" spans="2:30" hidden="1" x14ac:dyDescent="0.3">
      <c r="I607" s="96"/>
      <c r="K607" s="97"/>
    </row>
    <row r="608" spans="2:30" ht="15" hidden="1" thickBot="1" x14ac:dyDescent="0.35">
      <c r="B608" s="5" t="s">
        <v>312</v>
      </c>
      <c r="I608" s="96"/>
      <c r="K608" s="97"/>
      <c r="X608" s="5"/>
      <c r="AB608" s="5" t="s">
        <v>312</v>
      </c>
    </row>
    <row r="609" spans="2:30" hidden="1" x14ac:dyDescent="0.3">
      <c r="B609" s="175" cm="1">
        <f t="array" ref="B609:D624">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4">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x14ac:dyDescent="0.3">
      <c r="B610" s="96" t="str">
        <v/>
      </c>
      <c r="C610" t="str">
        <v/>
      </c>
      <c r="D610" s="173" t="str">
        <v/>
      </c>
      <c r="I610" s="96"/>
      <c r="K610" s="97"/>
      <c r="Q610" s="517" cm="1">
        <f t="array" aca="1" ref="Q610:S611" ca="1">IF($Z$142,_xlfn._xlws.FILTER(Q185:S187,P185:P187,{"","",""}),{"","",""})</f>
        <v>5</v>
      </c>
      <c r="R610" t="str">
        <f ca="1"/>
        <v>Balance @ 3/31/20X4</v>
      </c>
      <c r="S610">
        <f ca="1"/>
        <v>0</v>
      </c>
      <c r="AB610" s="96" t="str">
        <v/>
      </c>
      <c r="AC610" t="str">
        <v/>
      </c>
      <c r="AD610" s="97" t="str">
        <v/>
      </c>
    </row>
    <row r="611" spans="2:30" hidden="1" x14ac:dyDescent="0.3">
      <c r="B611" s="96">
        <v>4</v>
      </c>
      <c r="C611" t="str">
        <v xml:space="preserve"> Current Assets:</v>
      </c>
      <c r="D611" s="173" t="str">
        <v/>
      </c>
      <c r="I611" s="96"/>
      <c r="K611" s="97"/>
      <c r="Q611">
        <f ca="1"/>
        <v>5</v>
      </c>
      <c r="R611" t="str">
        <f ca="1"/>
        <v>Balance @ 12/31/20x4</v>
      </c>
      <c r="S611">
        <f ca="1"/>
        <v>0</v>
      </c>
      <c r="AB611" s="96">
        <v>4</v>
      </c>
      <c r="AC611" t="str">
        <v xml:space="preserve"> Current Assets:</v>
      </c>
      <c r="AD611" s="97" t="str">
        <v/>
      </c>
    </row>
    <row r="612" spans="2:30" hidden="1" x14ac:dyDescent="0.3">
      <c r="B612" s="96">
        <v>6</v>
      </c>
      <c r="C612" t="str">
        <v>Cash</v>
      </c>
      <c r="D612" s="173">
        <v>0</v>
      </c>
      <c r="I612" s="96"/>
      <c r="K612" s="97"/>
      <c r="AB612" s="96">
        <v>6</v>
      </c>
      <c r="AC612" t="str">
        <v>Cash</v>
      </c>
      <c r="AD612" s="97">
        <v>40.050000000000011</v>
      </c>
    </row>
    <row r="613" spans="2:30" ht="15" hidden="1" thickBot="1" x14ac:dyDescent="0.35">
      <c r="B613" s="96">
        <v>7</v>
      </c>
      <c r="C613" t="str">
        <v>Accounts Receivable</v>
      </c>
      <c r="D613" s="173">
        <v>0</v>
      </c>
      <c r="I613" s="98"/>
      <c r="J613" s="283"/>
      <c r="K613" s="99"/>
      <c r="AB613" s="96">
        <v>7</v>
      </c>
      <c r="AC613" t="str">
        <v>Accounts Receivable</v>
      </c>
      <c r="AD613" s="97">
        <v>9.8000000000000007</v>
      </c>
    </row>
    <row r="614" spans="2:30" hidden="1" x14ac:dyDescent="0.3">
      <c r="B614" s="96">
        <v>7</v>
      </c>
      <c r="C614" t="str">
        <v>Marketable Securities</v>
      </c>
      <c r="D614" s="173">
        <v>0</v>
      </c>
      <c r="T614" s="517" cm="1">
        <f t="array" ref="T614:V615">IF(AD124,_xlfn.VSTACK({3,"Financing Activities",""},{"","",""}),{"","",""})</f>
        <v>3</v>
      </c>
      <c r="U614" t="str">
        <v>Financing Activities</v>
      </c>
      <c r="V614" t="str">
        <v/>
      </c>
      <c r="AB614" s="96">
        <v>7</v>
      </c>
      <c r="AC614" t="str">
        <v>Marketable Securities</v>
      </c>
      <c r="AD614" s="97">
        <v>25</v>
      </c>
    </row>
    <row r="615" spans="2:30" hidden="1" x14ac:dyDescent="0.3">
      <c r="B615" s="96">
        <v>7</v>
      </c>
      <c r="C615" t="str">
        <v>Inventories</v>
      </c>
      <c r="D615" s="173">
        <v>0</v>
      </c>
      <c r="T615" t="str">
        <v/>
      </c>
      <c r="U615" t="str">
        <v/>
      </c>
      <c r="V615" t="str">
        <v/>
      </c>
      <c r="AB615" s="96">
        <v>7</v>
      </c>
      <c r="AC615" t="str">
        <v>Inventories</v>
      </c>
      <c r="AD615" s="97">
        <v>5</v>
      </c>
    </row>
    <row r="616" spans="2:30" hidden="1" x14ac:dyDescent="0.3">
      <c r="B616" s="96">
        <v>7</v>
      </c>
      <c r="C616" t="str">
        <v>Prepaid Rent</v>
      </c>
      <c r="D616" s="173">
        <v>0</v>
      </c>
      <c r="T616" s="517" cm="1">
        <f t="array" aca="1" ref="T616:V619" ca="1">IF($AD$152,_xlfn.VSTACK(_xlfn._xlws.FILTER(T212:V230,X212:X230,{"","",""}),T237:V237,{"","",""}),{"","",""})</f>
        <v>6</v>
      </c>
      <c r="U616" t="str">
        <f ca="1"/>
        <v>Issued common stock</v>
      </c>
      <c r="V616">
        <f ca="1"/>
        <v>100</v>
      </c>
      <c r="AB616" s="96">
        <v>7</v>
      </c>
      <c r="AC616" t="str">
        <v>Prepaid Rent</v>
      </c>
      <c r="AD616" s="97">
        <v>1</v>
      </c>
    </row>
    <row r="617" spans="2:30" hidden="1" x14ac:dyDescent="0.3">
      <c r="B617" s="96">
        <v>5</v>
      </c>
      <c r="C617" t="str">
        <v xml:space="preserve">  Total Current Assets</v>
      </c>
      <c r="D617" s="173">
        <v>0</v>
      </c>
      <c r="T617">
        <f ca="1"/>
        <v>7</v>
      </c>
      <c r="U617" t="str">
        <f ca="1"/>
        <v>Issued bonds</v>
      </c>
      <c r="V617">
        <f ca="1"/>
        <v>20</v>
      </c>
      <c r="AB617" s="96">
        <v>5</v>
      </c>
      <c r="AC617" t="str">
        <v xml:space="preserve">  Total Current Assets</v>
      </c>
      <c r="AD617" s="97">
        <v>80.849999999999994</v>
      </c>
    </row>
    <row r="618" spans="2:30" hidden="1" x14ac:dyDescent="0.3">
      <c r="B618" s="96" t="str">
        <v/>
      </c>
      <c r="C618" t="str">
        <v/>
      </c>
      <c r="D618" s="173" t="str">
        <v/>
      </c>
      <c r="T618">
        <f ca="1"/>
        <v>5</v>
      </c>
      <c r="U618" t="str">
        <f ca="1"/>
        <v>Total Cash Flow from Financing Activities</v>
      </c>
      <c r="V618">
        <f ca="1"/>
        <v>120</v>
      </c>
      <c r="AB618" s="96" t="str">
        <v/>
      </c>
      <c r="AC618" t="str">
        <v/>
      </c>
      <c r="AD618" s="97" t="str">
        <v/>
      </c>
    </row>
    <row r="619" spans="2:30" ht="15" hidden="1" thickBot="1" x14ac:dyDescent="0.35">
      <c r="B619" s="96">
        <v>4</v>
      </c>
      <c r="C619" t="str">
        <v xml:space="preserve"> Noncurrent Assets:</v>
      </c>
      <c r="D619" s="173" t="str">
        <v/>
      </c>
      <c r="I619" s="517" t="str" cm="1">
        <f t="array" ref="I619:K619">IF(L553,_xlfn.ANCHORARRAY(I553),{"","",""})</f>
        <v/>
      </c>
      <c r="J619" t="str">
        <v/>
      </c>
      <c r="K619" t="str">
        <v/>
      </c>
      <c r="Q619" s="517" cm="1">
        <f t="array" ref="Q619:S619">IF($Z$133,{3,"Treasury Stock",""},{"","",""})</f>
        <v>3</v>
      </c>
      <c r="R619" t="str">
        <v>Treasury Stock</v>
      </c>
      <c r="S619" t="str">
        <v/>
      </c>
      <c r="T619" t="str">
        <f ca="1"/>
        <v/>
      </c>
      <c r="U619" t="str">
        <f ca="1"/>
        <v/>
      </c>
      <c r="V619" t="str">
        <f ca="1"/>
        <v/>
      </c>
      <c r="AB619" s="96">
        <v>4</v>
      </c>
      <c r="AC619" t="str">
        <v xml:space="preserve"> Noncurrent Assets:</v>
      </c>
      <c r="AD619" s="97" t="str">
        <v/>
      </c>
    </row>
    <row r="620" spans="2:30" hidden="1" x14ac:dyDescent="0.3">
      <c r="B620" s="96">
        <v>6</v>
      </c>
      <c r="C620" t="str">
        <v>Property, Plant &amp; Equipment</v>
      </c>
      <c r="D620" s="173">
        <v>0</v>
      </c>
      <c r="I620" s="518" t="str" cm="1">
        <f t="array" ref="I620:K620">IF(L553,_xlfn._xlws.FILTER(I196:K205,K196:K205&lt;&gt;"",{"","",""}),{"","",""})</f>
        <v/>
      </c>
      <c r="J620" s="365" t="str">
        <v/>
      </c>
      <c r="K620" s="174" t="str">
        <v/>
      </c>
      <c r="Q620" s="517" cm="1">
        <f t="array" aca="1" ref="Q620:S621" ca="1">IF($Z$142,_xlfn._xlws.FILTER(Q190:S193,P190:P193,{"","",""}),{"","",""})</f>
        <v>5</v>
      </c>
      <c r="R620" t="str">
        <f ca="1"/>
        <v>Balance @ 3/31/20X4</v>
      </c>
      <c r="S620">
        <f ca="1"/>
        <v>0</v>
      </c>
      <c r="AB620" s="96">
        <v>6</v>
      </c>
      <c r="AC620" t="str">
        <v>Property, Plant &amp; Equipment</v>
      </c>
      <c r="AD620" s="97">
        <v>60</v>
      </c>
    </row>
    <row r="621" spans="2:30" hidden="1" x14ac:dyDescent="0.3">
      <c r="B621" s="96">
        <v>7</v>
      </c>
      <c r="C621" t="str">
        <v>Accumulated Depreciation</v>
      </c>
      <c r="D621" s="173">
        <v>0</v>
      </c>
      <c r="I621" s="96"/>
      <c r="K621" s="97"/>
      <c r="Q621">
        <f ca="1"/>
        <v>5</v>
      </c>
      <c r="R621" t="str">
        <f ca="1"/>
        <v>Balance @ 12/31/20x4</v>
      </c>
      <c r="S621">
        <f ca="1"/>
        <v>0</v>
      </c>
      <c r="AB621" s="96">
        <v>7</v>
      </c>
      <c r="AC621" t="str">
        <v>Accumulated Depreciation</v>
      </c>
      <c r="AD621" s="97">
        <v>-7.5</v>
      </c>
    </row>
    <row r="622" spans="2:30" hidden="1" x14ac:dyDescent="0.3">
      <c r="B622" s="96">
        <v>5</v>
      </c>
      <c r="C622" t="str">
        <v xml:space="preserve">  Total Noncurrent Assets</v>
      </c>
      <c r="D622" s="173">
        <v>0</v>
      </c>
      <c r="I622" s="96"/>
      <c r="K622" s="97"/>
      <c r="AB622" s="96">
        <v>5</v>
      </c>
      <c r="AC622" t="str">
        <v xml:space="preserve">  Total Noncurrent Assets</v>
      </c>
      <c r="AD622" s="97">
        <v>52.5</v>
      </c>
    </row>
    <row r="623" spans="2:30" hidden="1" x14ac:dyDescent="0.3">
      <c r="B623" s="96" t="str">
        <v/>
      </c>
      <c r="C623" t="str">
        <v/>
      </c>
      <c r="D623" s="173" t="str">
        <v/>
      </c>
      <c r="I623" s="96"/>
      <c r="K623" s="97"/>
      <c r="AB623" s="96" t="str">
        <v/>
      </c>
      <c r="AC623" t="str">
        <v/>
      </c>
      <c r="AD623" s="97" t="str">
        <v/>
      </c>
    </row>
    <row r="624" spans="2:30" hidden="1" x14ac:dyDescent="0.3">
      <c r="B624" s="96">
        <v>3</v>
      </c>
      <c r="C624" t="str">
        <v>Total Assets</v>
      </c>
      <c r="D624" s="173">
        <v>0</v>
      </c>
      <c r="I624" s="96"/>
      <c r="K624" s="97"/>
      <c r="AB624" s="96">
        <v>3</v>
      </c>
      <c r="AC624" t="str">
        <v>Total Assets</v>
      </c>
      <c r="AD624" s="97">
        <v>133.35</v>
      </c>
    </row>
    <row r="625" spans="2:30" hidden="1" x14ac:dyDescent="0.3">
      <c r="B625" s="96"/>
      <c r="D625" s="173"/>
      <c r="I625" s="96"/>
      <c r="K625" s="97"/>
      <c r="AB625" s="96"/>
      <c r="AD625" s="97"/>
    </row>
    <row r="626" spans="2:30" hidden="1" x14ac:dyDescent="0.3">
      <c r="B626" s="96"/>
      <c r="D626" s="173"/>
      <c r="I626" s="96"/>
      <c r="K626" s="97"/>
      <c r="AB626" s="96"/>
      <c r="AD626" s="97"/>
    </row>
    <row r="627" spans="2:30" hidden="1" x14ac:dyDescent="0.3">
      <c r="B627" s="96"/>
      <c r="D627" s="173"/>
      <c r="I627" s="96"/>
      <c r="K627" s="97"/>
      <c r="T627" s="517" cm="1">
        <f t="array" aca="1" ref="T627:V627" ca="1">IF(OR($AD$134,$AD$143,$AD$152),T239:V239,{"","",""})</f>
        <v>5</v>
      </c>
      <c r="U627" t="str">
        <f ca="1"/>
        <v>Increase (decrease) in cash</v>
      </c>
      <c r="V627">
        <f ca="1"/>
        <v>40.049999999999997</v>
      </c>
      <c r="AB627" s="96"/>
      <c r="AD627" s="97"/>
    </row>
    <row r="628" spans="2:30" hidden="1" x14ac:dyDescent="0.3">
      <c r="B628" s="96"/>
      <c r="D628" s="173"/>
      <c r="I628" s="96"/>
      <c r="K628" s="97"/>
      <c r="AB628" s="96"/>
      <c r="AD628" s="97"/>
    </row>
    <row r="629" spans="2:30" ht="15" hidden="1" thickBot="1" x14ac:dyDescent="0.35">
      <c r="B629" s="96"/>
      <c r="D629" s="173"/>
      <c r="I629" s="98"/>
      <c r="J629" s="283"/>
      <c r="K629" s="99"/>
      <c r="T629" s="517" cm="1">
        <f t="array" ref="T629:V629">IF($AD$100,T233:V233,{"","",""})</f>
        <v>2</v>
      </c>
      <c r="U629" t="str">
        <v>Cash @ 12/31/20x4</v>
      </c>
      <c r="V629">
        <v>40.050000000000011</v>
      </c>
      <c r="AB629" s="96"/>
      <c r="AD629" s="97"/>
    </row>
    <row r="630" spans="2:30" hidden="1" x14ac:dyDescent="0.3">
      <c r="B630" s="96"/>
      <c r="D630" s="173"/>
      <c r="AB630" s="96"/>
      <c r="AD630" s="97"/>
    </row>
    <row r="631" spans="2:30" hidden="1" x14ac:dyDescent="0.3">
      <c r="B631" s="96"/>
      <c r="D631" s="173"/>
      <c r="AB631" s="96"/>
      <c r="AD631" s="97"/>
    </row>
    <row r="632" spans="2:30" hidden="1" x14ac:dyDescent="0.3">
      <c r="B632" s="96"/>
      <c r="D632" s="173"/>
      <c r="AB632" s="96"/>
      <c r="AD632" s="97"/>
    </row>
    <row r="633" spans="2:30" hidden="1" x14ac:dyDescent="0.3">
      <c r="B633" s="96"/>
      <c r="D633" s="173"/>
      <c r="AB633" s="96"/>
      <c r="AD633" s="97"/>
    </row>
    <row r="634" spans="2:30" ht="15" hidden="1" thickBot="1" x14ac:dyDescent="0.35">
      <c r="B634" s="96"/>
      <c r="D634" s="173"/>
      <c r="I634" s="517" t="str" cm="1">
        <f t="array" ref="I634:K634">IF(L554,_xlfn.ANCHORARRAY(I554),{"","",""})</f>
        <v/>
      </c>
      <c r="J634" t="str">
        <v/>
      </c>
      <c r="K634" t="str">
        <v/>
      </c>
      <c r="AB634" s="96"/>
      <c r="AD634" s="97"/>
    </row>
    <row r="635" spans="2:30" hidden="1" x14ac:dyDescent="0.3">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x14ac:dyDescent="0.3">
      <c r="B636" s="96"/>
      <c r="D636" s="173"/>
      <c r="I636" s="96"/>
      <c r="K636" s="97"/>
      <c r="AB636" s="96"/>
      <c r="AD636" s="97"/>
    </row>
    <row r="637" spans="2:30" hidden="1" x14ac:dyDescent="0.3">
      <c r="B637" s="96"/>
      <c r="D637" s="173"/>
      <c r="I637" s="96"/>
      <c r="K637" s="97"/>
      <c r="AB637" s="96"/>
      <c r="AD637" s="97"/>
    </row>
    <row r="638" spans="2:30" hidden="1" x14ac:dyDescent="0.3">
      <c r="B638" s="96"/>
      <c r="D638" s="173"/>
      <c r="I638" s="96"/>
      <c r="K638" s="97"/>
      <c r="AB638" s="96"/>
      <c r="AD638" s="97"/>
    </row>
    <row r="639" spans="2:30" hidden="1" x14ac:dyDescent="0.3">
      <c r="B639" s="96"/>
      <c r="D639" s="173"/>
      <c r="I639" s="96"/>
      <c r="K639" s="97"/>
      <c r="AB639" s="96"/>
      <c r="AD639" s="97"/>
    </row>
    <row r="640" spans="2:30" hidden="1" x14ac:dyDescent="0.3">
      <c r="B640" s="96"/>
      <c r="D640" s="173"/>
      <c r="I640" s="96"/>
      <c r="K640" s="97"/>
      <c r="AB640" s="96"/>
      <c r="AD640" s="97"/>
    </row>
    <row r="641" spans="2:30" hidden="1" x14ac:dyDescent="0.3">
      <c r="B641" s="96"/>
      <c r="D641" s="173"/>
      <c r="I641" s="96"/>
      <c r="K641" s="97"/>
      <c r="AB641" s="96"/>
      <c r="AD641" s="97"/>
    </row>
    <row r="642" spans="2:30" hidden="1" x14ac:dyDescent="0.3">
      <c r="B642" s="96"/>
      <c r="D642" s="173"/>
      <c r="I642" s="96"/>
      <c r="K642" s="97"/>
      <c r="AB642" s="96"/>
      <c r="AD642" s="97"/>
    </row>
    <row r="643" spans="2:30" hidden="1" x14ac:dyDescent="0.3">
      <c r="B643" s="96"/>
      <c r="D643" s="173"/>
      <c r="I643" s="96"/>
      <c r="K643" s="97"/>
      <c r="AB643" s="96"/>
      <c r="AD643" s="97"/>
    </row>
    <row r="644" spans="2:30" ht="15" hidden="1" thickBot="1" x14ac:dyDescent="0.35">
      <c r="B644" s="96"/>
      <c r="D644" s="173"/>
      <c r="I644" s="98"/>
      <c r="J644" s="283"/>
      <c r="K644" s="99"/>
      <c r="AB644" s="96"/>
      <c r="AD644" s="97"/>
    </row>
    <row r="645" spans="2:30" hidden="1" x14ac:dyDescent="0.3">
      <c r="B645" s="96"/>
      <c r="D645" s="173"/>
      <c r="AB645" s="96"/>
      <c r="AD645" s="97"/>
    </row>
    <row r="646" spans="2:30" hidden="1" x14ac:dyDescent="0.3">
      <c r="B646" s="96"/>
      <c r="D646" s="173"/>
      <c r="I646" s="5"/>
      <c r="AB646" s="96"/>
      <c r="AD646" s="97"/>
    </row>
    <row r="647" spans="2:30" ht="15" hidden="1" thickBot="1" x14ac:dyDescent="0.35">
      <c r="B647" s="98"/>
      <c r="C647" s="283"/>
      <c r="D647" s="285"/>
      <c r="I647" s="5" t="s">
        <v>313</v>
      </c>
      <c r="AB647" s="98"/>
      <c r="AC647" s="283"/>
      <c r="AD647" s="99"/>
    </row>
    <row r="648" spans="2:30" ht="15" hidden="1" thickBot="1" x14ac:dyDescent="0.35">
      <c r="I648" s="5" t="s">
        <v>43</v>
      </c>
    </row>
    <row r="649" spans="2:30" ht="15" hidden="1" thickBot="1" x14ac:dyDescent="0.35">
      <c r="B649" s="517" cm="1">
        <f t="array" ref="B649:D649">IF($V$105,_xlfn.ANCHORARRAY(B552),{"","",""})</f>
        <v>2</v>
      </c>
      <c r="C649" t="str">
        <v>Liabilities</v>
      </c>
      <c r="D649" t="str">
        <v/>
      </c>
      <c r="I649" s="175" cm="1">
        <f t="array" aca="1" ref="I649:K652" ca="1">_xlfn.IFS(AND(L551,L557),_xlfn.VSTACK(_xlfn.ANCHORARRAY(I574),{"","",""},_xlfn.ANCHORARRAY(I575),I557:K557),AND(L551,NOT(L557)),_xlfn.ANCHORARRAY(I551),NOT(L551),{"","",""})</f>
        <v>2</v>
      </c>
      <c r="J649" s="365" t="str">
        <f ca="1"/>
        <v>Revenues</v>
      </c>
      <c r="K649" s="174" t="str">
        <f ca="1"/>
        <v/>
      </c>
      <c r="AB649" s="517" cm="1">
        <f t="array" ref="AB649:AD649">IF($AG$110,_xlfn.ANCHORARRAY(AB552),{"","",""})</f>
        <v>2</v>
      </c>
      <c r="AC649" t="str">
        <v>Liabilities</v>
      </c>
      <c r="AD649" t="str">
        <v/>
      </c>
    </row>
    <row r="650" spans="2:30" hidden="1" x14ac:dyDescent="0.3">
      <c r="B650" s="518" cm="1">
        <f t="array" ref="B650:D650">IF(OR($F$101,$V$127),_xlfn.ANCHORARRAY(B563),{"","",""})</f>
        <v>4</v>
      </c>
      <c r="C650" s="365" t="str">
        <v xml:space="preserve"> Current Liabilities:</v>
      </c>
      <c r="D650" s="381" t="str">
        <v/>
      </c>
      <c r="I650" s="96" t="str">
        <f ca="1"/>
        <v/>
      </c>
      <c r="J650" t="str">
        <f ca="1"/>
        <v/>
      </c>
      <c r="K650" s="173" t="str">
        <f ca="1"/>
        <v/>
      </c>
      <c r="AB650" s="518" cm="1">
        <f t="array" ref="AB650:AD650">IF(OR($F$106,$AG$131),_xlfn.ANCHORARRAY(AB563),{"","",""})</f>
        <v>4</v>
      </c>
      <c r="AC650" s="365" t="str">
        <v xml:space="preserve"> Current Liabilities:</v>
      </c>
      <c r="AD650" s="174" t="str">
        <v/>
      </c>
    </row>
    <row r="651" spans="2:30" hidden="1" x14ac:dyDescent="0.3">
      <c r="B651" s="519" cm="1">
        <f t="array" ref="B651:D653">IF(OR($F$101,AND($V$127,$C$184&lt;&gt;"")),_xlfn._xlws.FILTER(B184:D193,C184:C193&lt;&gt;""),{"","",""})</f>
        <v>6</v>
      </c>
      <c r="C651" t="str">
        <v>Accounts Payable</v>
      </c>
      <c r="D651" s="173">
        <v>0</v>
      </c>
      <c r="I651" s="96">
        <f ca="1"/>
        <v>6</v>
      </c>
      <c r="J651" t="str">
        <f ca="1"/>
        <v>Sales</v>
      </c>
      <c r="K651" s="173">
        <f ca="1"/>
        <v>40</v>
      </c>
      <c r="AB651" s="519" cm="1">
        <f t="array" ref="AB651:AD653">IF(OR($F$106,AND($AG$131,$AC$184&lt;&gt;"")),_xlfn._xlws.FILTER(AB184:AD193,AC184:AC193&lt;&gt;""),{"","",""})</f>
        <v>6</v>
      </c>
      <c r="AC651" t="str">
        <v>Accounts Payable</v>
      </c>
      <c r="AD651" s="97">
        <v>15</v>
      </c>
    </row>
    <row r="652" spans="2:30" hidden="1" x14ac:dyDescent="0.3">
      <c r="B652" s="96">
        <v>7</v>
      </c>
      <c r="C652" t="str">
        <v>Interest Payable</v>
      </c>
      <c r="D652" s="173">
        <v>0</v>
      </c>
      <c r="I652" s="96">
        <f ca="1"/>
        <v>5</v>
      </c>
      <c r="J652" t="str">
        <f ca="1"/>
        <v xml:space="preserve">  Total Revenues</v>
      </c>
      <c r="K652" s="173">
        <f ca="1"/>
        <v>40</v>
      </c>
      <c r="Q652" s="5" t="s">
        <v>314</v>
      </c>
      <c r="T652" s="544" cm="1">
        <f t="array" ref="T652:V652">IF($AG$101,{1,"NI CFO Reconciliation",""},{"","",""})</f>
        <v>1</v>
      </c>
      <c r="U652" t="str">
        <v>NI CFO Reconciliation</v>
      </c>
      <c r="V652" t="str">
        <v/>
      </c>
      <c r="AB652" s="96">
        <v>7</v>
      </c>
      <c r="AC652" t="str">
        <v>Interest Payable</v>
      </c>
      <c r="AD652" s="97">
        <v>1.55</v>
      </c>
    </row>
    <row r="653" spans="2:30" hidden="1" x14ac:dyDescent="0.3">
      <c r="B653" s="96">
        <v>7</v>
      </c>
      <c r="C653" t="str">
        <v>Salaries &amp; Wages Payable</v>
      </c>
      <c r="D653" s="173">
        <v>0</v>
      </c>
      <c r="I653" s="96"/>
      <c r="K653" s="173"/>
      <c r="Q653" cm="1">
        <f t="array" aca="1" ref="Q653:S664" ca="1">IF($S$118,_xlfn.VSTACK(Q195:S195,{"","",""},_xlfn.ANCHORARRAY(Q579),_xlfn.ANCHORARRAY(Q580),_xlfn.ANCHORARRAY(Q599),_xlfn.ANCHORARRAY(Q600),Q196:S196,{"","",""}),{"","",""})</f>
        <v>2</v>
      </c>
      <c r="R653" t="str">
        <f ca="1"/>
        <v>Total Shareholders' Equity @ 3/31/20X4</v>
      </c>
      <c r="S653">
        <f ca="1"/>
        <v>0</v>
      </c>
      <c r="AB653" s="96">
        <v>7</v>
      </c>
      <c r="AC653" t="str">
        <v>Salaries &amp; Wages Payable</v>
      </c>
      <c r="AD653" s="97">
        <v>1</v>
      </c>
    </row>
    <row r="654" spans="2:30" hidden="1" x14ac:dyDescent="0.3">
      <c r="B654" s="96"/>
      <c r="D654" s="173"/>
      <c r="I654" s="96"/>
      <c r="K654" s="173"/>
      <c r="Q654" t="str">
        <f ca="1"/>
        <v/>
      </c>
      <c r="R654" t="str">
        <f ca="1"/>
        <v/>
      </c>
      <c r="S654" t="str">
        <f ca="1"/>
        <v/>
      </c>
      <c r="T654" s="544" cm="1">
        <f t="array" aca="1" ref="T654:V654" ca="1">IF($AG$101,T280:V280,{"","",""})</f>
        <v>2</v>
      </c>
      <c r="U654" t="str">
        <f ca="1"/>
        <v>Net Income</v>
      </c>
      <c r="V654">
        <f ca="1"/>
        <v>-4.2</v>
      </c>
      <c r="AB654" s="96"/>
      <c r="AD654" s="97"/>
    </row>
    <row r="655" spans="2:30" hidden="1" x14ac:dyDescent="0.3">
      <c r="B655" s="96"/>
      <c r="D655" s="173"/>
      <c r="I655" s="96"/>
      <c r="K655" s="173"/>
      <c r="Q655">
        <f ca="1"/>
        <v>3</v>
      </c>
      <c r="R655" t="str">
        <f ca="1"/>
        <v>Common Stock</v>
      </c>
      <c r="S655" t="str">
        <f ca="1"/>
        <v/>
      </c>
      <c r="AB655" s="96"/>
      <c r="AD655" s="97"/>
    </row>
    <row r="656" spans="2:30" hidden="1" x14ac:dyDescent="0.3">
      <c r="B656" s="96"/>
      <c r="D656" s="173"/>
      <c r="I656" s="96"/>
      <c r="K656" s="173"/>
      <c r="Q656">
        <f ca="1"/>
        <v>5</v>
      </c>
      <c r="R656" t="str">
        <f ca="1"/>
        <v>Balance @ 3/31/20X4</v>
      </c>
      <c r="S656">
        <f ca="1"/>
        <v>0</v>
      </c>
      <c r="T656" s="544" cm="1">
        <f t="array" ref="T656:V656">IF($AG$101,{3,"Adjustments:",""},{"","",""})</f>
        <v>3</v>
      </c>
      <c r="U656" t="str">
        <v>Adjustments:</v>
      </c>
      <c r="V656" t="str">
        <v/>
      </c>
      <c r="AB656" s="96"/>
      <c r="AD656" s="97"/>
    </row>
    <row r="657" spans="2:30" ht="15" hidden="1" thickBot="1" x14ac:dyDescent="0.35">
      <c r="B657" s="96"/>
      <c r="D657" s="173"/>
      <c r="I657" s="98"/>
      <c r="J657" s="283"/>
      <c r="K657" s="285"/>
      <c r="Q657">
        <f ca="1"/>
        <v>7</v>
      </c>
      <c r="R657" t="str">
        <f ca="1"/>
        <v>Issued common stock</v>
      </c>
      <c r="S657">
        <f ca="1"/>
        <v>100</v>
      </c>
      <c r="T657" s="544" cm="1">
        <f t="array" aca="1" ref="T657:V657" ca="1">IF($AG$101,_xlfn._xlws.FILTER(T282:V301,U282:U301&lt;&gt;"",{"","",""}),{"","",""})</f>
        <v>6</v>
      </c>
      <c r="U657" t="str">
        <f ca="1"/>
        <v>Depreciation expense</v>
      </c>
      <c r="V657">
        <f ca="1"/>
        <v>7.5</v>
      </c>
      <c r="AB657" s="96"/>
      <c r="AD657" s="97"/>
    </row>
    <row r="658" spans="2:30" hidden="1" x14ac:dyDescent="0.3">
      <c r="B658" s="96"/>
      <c r="D658" s="173"/>
      <c r="K658" s="34"/>
      <c r="Q658">
        <f ca="1"/>
        <v>5</v>
      </c>
      <c r="R658" t="str">
        <f ca="1"/>
        <v>Balance @ 12/31/20x4</v>
      </c>
      <c r="S658">
        <f ca="1"/>
        <v>100</v>
      </c>
      <c r="AB658" s="96"/>
      <c r="AD658" s="97"/>
    </row>
    <row r="659" spans="2:30" hidden="1" x14ac:dyDescent="0.3">
      <c r="B659" s="96"/>
      <c r="D659" s="173"/>
      <c r="K659" s="34"/>
      <c r="Q659">
        <f ca="1"/>
        <v>3</v>
      </c>
      <c r="R659" t="str">
        <f ca="1"/>
        <v>Retained Earnings</v>
      </c>
      <c r="S659" t="str">
        <f ca="1"/>
        <v/>
      </c>
      <c r="AB659" s="96"/>
      <c r="AD659" s="97"/>
    </row>
    <row r="660" spans="2:30" ht="15" hidden="1" thickBot="1" x14ac:dyDescent="0.35">
      <c r="B660" s="520" cm="1">
        <f t="array" ref="B660:D660">IF(C650=" Current Liabilities:",B568:D568,{"","",""})</f>
        <v>5</v>
      </c>
      <c r="C660" s="283" t="str">
        <v xml:space="preserve">  Total Current Liabilities</v>
      </c>
      <c r="D660" s="285">
        <v>0</v>
      </c>
      <c r="K660" s="34"/>
      <c r="Q660">
        <f ca="1"/>
        <v>5</v>
      </c>
      <c r="R660" t="str">
        <f ca="1"/>
        <v>Balance @ 3/31/20X4</v>
      </c>
      <c r="S660">
        <f ca="1"/>
        <v>0</v>
      </c>
      <c r="AB660" s="520" cm="1">
        <f t="array" ref="AB660:AD660">IF(AC650=" Current Liabilities:",AB568:AD568,{"","",""})</f>
        <v>5</v>
      </c>
      <c r="AC660" s="283" t="str">
        <v xml:space="preserve">  Total Current Liabilities</v>
      </c>
      <c r="AD660" s="99">
        <v>17.55</v>
      </c>
    </row>
    <row r="661" spans="2:30" hidden="1" x14ac:dyDescent="0.3">
      <c r="K661" s="34"/>
      <c r="Q661">
        <f ca="1"/>
        <v>7</v>
      </c>
      <c r="R661" t="str">
        <f ca="1"/>
        <v>Net Income (Loss)</v>
      </c>
      <c r="S661">
        <f ca="1"/>
        <v>-4.2</v>
      </c>
    </row>
    <row r="662" spans="2:30" hidden="1" x14ac:dyDescent="0.3">
      <c r="K662" s="34"/>
      <c r="Q662">
        <f ca="1"/>
        <v>5</v>
      </c>
      <c r="R662" t="str">
        <f ca="1"/>
        <v>Balance @ 12/31/20x4</v>
      </c>
      <c r="S662">
        <f ca="1"/>
        <v>-4.2</v>
      </c>
    </row>
    <row r="663" spans="2:30" ht="15" hidden="1" thickBot="1" x14ac:dyDescent="0.35">
      <c r="I663" s="5" t="s">
        <v>44</v>
      </c>
      <c r="K663" s="34"/>
      <c r="Q663">
        <f ca="1"/>
        <v>2</v>
      </c>
      <c r="R663" t="str">
        <f ca="1"/>
        <v>Total Shareholders' Equity @ 12/31/20x4</v>
      </c>
      <c r="S663">
        <f ca="1"/>
        <v>95.8</v>
      </c>
    </row>
    <row r="664" spans="2:30" ht="15" hidden="1" thickBot="1" x14ac:dyDescent="0.35">
      <c r="I664" s="175" cm="1">
        <f t="array" aca="1" ref="I664:K672" ca="1">_xlfn.IFS(AND(L552,L558),_xlfn.VSTACK(_xlfn.ANCHORARRAY(I584),{"","",""},_xlfn.ANCHORARRAY(I585),I558:K558),AND(L552,NOT(L558)),_xlfn.ANCHORARRAY(I552),NOT(L552),{"","",""})</f>
        <v>2</v>
      </c>
      <c r="J664" s="365" t="str">
        <f ca="1"/>
        <v>Expenses</v>
      </c>
      <c r="K664" s="381" t="str">
        <f ca="1"/>
        <v/>
      </c>
      <c r="Q664" t="str">
        <f ca="1"/>
        <v/>
      </c>
      <c r="R664" t="str">
        <f ca="1"/>
        <v/>
      </c>
      <c r="S664" t="str">
        <f ca="1"/>
        <v/>
      </c>
    </row>
    <row r="665" spans="2:30" hidden="1" x14ac:dyDescent="0.3">
      <c r="B665" s="518" cm="1">
        <f t="array" ref="B665:D665">IF(OR($F$101,$V$133),_xlfn.ANCHORARRAY(B564),{"","",""})</f>
        <v>4</v>
      </c>
      <c r="C665" s="365" t="str">
        <v xml:space="preserve"> Noncurrent Liabilities:</v>
      </c>
      <c r="D665" s="381" t="str">
        <v/>
      </c>
      <c r="I665" s="96" t="str">
        <f ca="1"/>
        <v/>
      </c>
      <c r="J665" t="str">
        <f ca="1"/>
        <v/>
      </c>
      <c r="K665" s="173" t="str">
        <f ca="1"/>
        <v/>
      </c>
      <c r="AB665" s="518" cm="1">
        <f t="array" ref="AB665:AD665">IF(OR($F$106,$AG$137),_xlfn.ANCHORARRAY(AB564),{"","",""})</f>
        <v>4</v>
      </c>
      <c r="AC665" s="365" t="str">
        <v xml:space="preserve"> Noncurrent Liabilities:</v>
      </c>
      <c r="AD665" s="174" t="str">
        <v/>
      </c>
    </row>
    <row r="666" spans="2:30" hidden="1" x14ac:dyDescent="0.3">
      <c r="B666" s="519" cm="1">
        <f t="array" ref="B666:D666">IF(OR($F$101,AND($V$133,$C$196&lt;&gt;"")),_xlfn._xlws.FILTER(B196:D205,C196:C205&lt;&gt;""),{"","",""})</f>
        <v>6</v>
      </c>
      <c r="C666" t="str">
        <v>Bonds Payable</v>
      </c>
      <c r="D666" s="173">
        <v>0</v>
      </c>
      <c r="I666" s="96">
        <f ca="1"/>
        <v>6</v>
      </c>
      <c r="J666" t="str">
        <f ca="1"/>
        <v>Cost of Goods Sold</v>
      </c>
      <c r="K666" s="173">
        <f ca="1"/>
        <v>25</v>
      </c>
      <c r="AB666" s="519" cm="1">
        <f t="array" ref="AB666:AD666">IF(OR($F$106,AND($AG$137,$AC$196&lt;&gt;"")),_xlfn._xlws.FILTER(AB196:AD205,AC196:AC205&lt;&gt;""),{"","",""})</f>
        <v>6</v>
      </c>
      <c r="AC666" t="str">
        <v>Bonds Payable</v>
      </c>
      <c r="AD666" s="97">
        <v>20</v>
      </c>
    </row>
    <row r="667" spans="2:30" hidden="1" x14ac:dyDescent="0.3">
      <c r="B667" s="96"/>
      <c r="D667" s="173"/>
      <c r="I667" s="96">
        <f ca="1"/>
        <v>7</v>
      </c>
      <c r="J667" t="str">
        <f ca="1"/>
        <v>Interest Expense</v>
      </c>
      <c r="K667" s="173">
        <f ca="1"/>
        <v>1.55</v>
      </c>
      <c r="AB667" s="96"/>
      <c r="AD667" s="97"/>
    </row>
    <row r="668" spans="2:30" hidden="1" x14ac:dyDescent="0.3">
      <c r="B668" s="96"/>
      <c r="D668" s="173"/>
      <c r="I668" s="96">
        <f ca="1"/>
        <v>7</v>
      </c>
      <c r="J668" t="str">
        <f ca="1"/>
        <v>Depreciation Expense</v>
      </c>
      <c r="K668" s="173">
        <f ca="1"/>
        <v>7.5</v>
      </c>
      <c r="AB668" s="96"/>
      <c r="AD668" s="97"/>
    </row>
    <row r="669" spans="2:30" hidden="1" x14ac:dyDescent="0.3">
      <c r="B669" s="96"/>
      <c r="D669" s="173"/>
      <c r="I669" s="96">
        <f ca="1"/>
        <v>7</v>
      </c>
      <c r="J669" t="str">
        <f ca="1"/>
        <v>Rent Expense</v>
      </c>
      <c r="K669" s="173">
        <f ca="1"/>
        <v>3</v>
      </c>
      <c r="AB669" s="96"/>
      <c r="AD669" s="97"/>
    </row>
    <row r="670" spans="2:30" hidden="1" x14ac:dyDescent="0.3">
      <c r="B670" s="96"/>
      <c r="D670" s="173"/>
      <c r="I670" s="96">
        <f ca="1"/>
        <v>7</v>
      </c>
      <c r="J670" t="str">
        <f ca="1"/>
        <v>Bad Debts Expense</v>
      </c>
      <c r="K670" s="173">
        <f ca="1"/>
        <v>0.15</v>
      </c>
      <c r="T670" s="544" cm="1">
        <f t="array" ref="T670:V670">IF($AG$101,{3,"ΔBalance sheet accounts due to Operations:",""},{"","",""})</f>
        <v>3</v>
      </c>
      <c r="U670" t="str">
        <v>ΔBalance sheet accounts due to Operations:</v>
      </c>
      <c r="V670" t="str">
        <v/>
      </c>
      <c r="AB670" s="96"/>
      <c r="AD670" s="97"/>
    </row>
    <row r="671" spans="2:30" hidden="1" x14ac:dyDescent="0.3">
      <c r="B671" s="96"/>
      <c r="D671" s="173"/>
      <c r="I671" s="96">
        <f ca="1"/>
        <v>7</v>
      </c>
      <c r="J671" t="str">
        <f ca="1"/>
        <v>Salaries &amp; Wages Expense</v>
      </c>
      <c r="K671" s="173">
        <f ca="1"/>
        <v>7</v>
      </c>
      <c r="T671" s="544" cm="1">
        <f t="array" aca="1" ref="T671:V676" ca="1">IF($AG$101,_xlfn._xlws.FILTER(T302:V321,U302:U321&lt;&gt;"",{"","",""}),{"","",""})</f>
        <v>7</v>
      </c>
      <c r="U671" t="str">
        <f ca="1"/>
        <v>Accounts Receivable</v>
      </c>
      <c r="V671">
        <f ca="1"/>
        <v>-9.8000000000000007</v>
      </c>
      <c r="AB671" s="96"/>
      <c r="AD671" s="97"/>
    </row>
    <row r="672" spans="2:30" hidden="1" x14ac:dyDescent="0.3">
      <c r="B672" s="96"/>
      <c r="D672" s="173"/>
      <c r="I672" s="96">
        <f ca="1"/>
        <v>5</v>
      </c>
      <c r="J672" t="str">
        <f ca="1"/>
        <v xml:space="preserve">  Total Expenses</v>
      </c>
      <c r="K672" s="173">
        <f ca="1"/>
        <v>44.2</v>
      </c>
      <c r="T672">
        <f ca="1"/>
        <v>7</v>
      </c>
      <c r="U672" t="str">
        <f ca="1"/>
        <v>Inventories</v>
      </c>
      <c r="V672">
        <f ca="1"/>
        <v>-5</v>
      </c>
      <c r="AB672" s="96"/>
      <c r="AD672" s="97"/>
    </row>
    <row r="673" spans="2:30" hidden="1" x14ac:dyDescent="0.3">
      <c r="B673" s="96"/>
      <c r="D673" s="173"/>
      <c r="I673" s="96"/>
      <c r="K673" s="173"/>
      <c r="T673">
        <f ca="1"/>
        <v>7</v>
      </c>
      <c r="U673" t="str">
        <f ca="1"/>
        <v>Prepaid Rent</v>
      </c>
      <c r="V673">
        <f ca="1"/>
        <v>-1</v>
      </c>
      <c r="AB673" s="96"/>
      <c r="AD673" s="97"/>
    </row>
    <row r="674" spans="2:30" hidden="1" x14ac:dyDescent="0.3">
      <c r="B674" s="96"/>
      <c r="D674" s="173"/>
      <c r="I674" s="96"/>
      <c r="K674" s="173"/>
      <c r="T674">
        <f ca="1"/>
        <v>7</v>
      </c>
      <c r="U674" t="str">
        <f ca="1"/>
        <v>Accounts Payable</v>
      </c>
      <c r="V674">
        <f ca="1"/>
        <v>15</v>
      </c>
      <c r="AB674" s="96"/>
      <c r="AD674" s="97"/>
    </row>
    <row r="675" spans="2:30" ht="15" hidden="1" thickBot="1" x14ac:dyDescent="0.35">
      <c r="B675" s="520" cm="1">
        <f t="array" ref="B675:D675">IF(C665=" Noncurrent Liabilities:",B569:D569,{"","",""})</f>
        <v>5</v>
      </c>
      <c r="C675" s="283" t="str">
        <v xml:space="preserve">  Total Noncurrent Liabilities</v>
      </c>
      <c r="D675" s="285">
        <v>0</v>
      </c>
      <c r="I675" s="96"/>
      <c r="K675" s="173"/>
      <c r="T675">
        <f ca="1"/>
        <v>7</v>
      </c>
      <c r="U675" t="str">
        <f ca="1"/>
        <v>Interest Payable</v>
      </c>
      <c r="V675">
        <f ca="1"/>
        <v>1.55</v>
      </c>
      <c r="AB675" s="520" cm="1">
        <f t="array" ref="AB675:AD675">IF(AC665=" Noncurrent Liabilities:",AB569:AD569,{"","",""})</f>
        <v>5</v>
      </c>
      <c r="AC675" s="283" t="str">
        <v xml:space="preserve">  Total Noncurrent Liabilities</v>
      </c>
      <c r="AD675" s="99">
        <v>20</v>
      </c>
    </row>
    <row r="676" spans="2:30" hidden="1" x14ac:dyDescent="0.3">
      <c r="I676" s="96"/>
      <c r="K676" s="173"/>
      <c r="T676">
        <f ca="1"/>
        <v>7</v>
      </c>
      <c r="U676" t="str">
        <f ca="1"/>
        <v>Salaries &amp; Wages Payable</v>
      </c>
      <c r="V676">
        <f ca="1"/>
        <v>1</v>
      </c>
    </row>
    <row r="677" spans="2:30" hidden="1" x14ac:dyDescent="0.3">
      <c r="I677" s="96"/>
      <c r="K677" s="173"/>
    </row>
    <row r="678" spans="2:30" hidden="1" x14ac:dyDescent="0.3">
      <c r="I678" s="96"/>
      <c r="K678" s="173"/>
    </row>
    <row r="679" spans="2:30" hidden="1" x14ac:dyDescent="0.3">
      <c r="I679" s="96"/>
      <c r="K679" s="173"/>
    </row>
    <row r="680" spans="2:30" hidden="1" x14ac:dyDescent="0.3">
      <c r="B680" s="517" cm="1">
        <f t="array" ref="B680:D680">IF(OR($F$101,OR(V127,V133)),B556:D556,{"","",""})</f>
        <v>3</v>
      </c>
      <c r="C680" t="str">
        <v>Total Liabilities</v>
      </c>
      <c r="D680">
        <v>0</v>
      </c>
      <c r="I680" s="96"/>
      <c r="K680" s="173"/>
      <c r="AB680" s="517" cm="1">
        <f t="array" ref="AB680:AD680">IF(OR($F$106,OR($AG$131,$AG$136)),AB556:AD556,{"","",""})</f>
        <v>3</v>
      </c>
      <c r="AC680" t="str">
        <v>Total Liabilities</v>
      </c>
      <c r="AD680">
        <v>37.549999999999997</v>
      </c>
    </row>
    <row r="681" spans="2:30" hidden="1" x14ac:dyDescent="0.3">
      <c r="I681" s="96"/>
      <c r="K681" s="173"/>
    </row>
    <row r="682" spans="2:30" hidden="1" x14ac:dyDescent="0.3">
      <c r="I682" s="96"/>
      <c r="K682" s="173"/>
    </row>
    <row r="683" spans="2:30" hidden="1" x14ac:dyDescent="0.3">
      <c r="I683" s="96"/>
      <c r="K683" s="173"/>
    </row>
    <row r="684" spans="2:30" ht="15" hidden="1" thickBot="1" x14ac:dyDescent="0.35">
      <c r="I684" s="98"/>
      <c r="J684" s="283"/>
      <c r="K684" s="285"/>
    </row>
    <row r="685" spans="2:30" hidden="1" x14ac:dyDescent="0.3">
      <c r="K685" s="34"/>
      <c r="T685" s="544" cm="1">
        <f t="array" aca="1" ref="T685:V685" ca="1">IF($AG$101,T333:V333,{"","",""})</f>
        <v>2</v>
      </c>
      <c r="U685" t="str">
        <f ca="1"/>
        <v>Cash Flow from Operations</v>
      </c>
      <c r="V685">
        <f ca="1"/>
        <v>5.05</v>
      </c>
    </row>
    <row r="686" spans="2:30" hidden="1" x14ac:dyDescent="0.3">
      <c r="K686" s="34"/>
    </row>
    <row r="687" spans="2:30" hidden="1" x14ac:dyDescent="0.3">
      <c r="K687" s="34"/>
      <c r="Q687" s="5" t="s">
        <v>315</v>
      </c>
    </row>
    <row r="688" spans="2:30" ht="15" hidden="1" thickBot="1" x14ac:dyDescent="0.35">
      <c r="B688" s="5" t="s">
        <v>316</v>
      </c>
      <c r="I688" s="5" t="s">
        <v>45</v>
      </c>
      <c r="K688" s="34"/>
      <c r="Q688" cm="1">
        <f t="array" aca="1" ref="Q688:S702" ca="1">IF($S$118,_xlfn.VSTACK($Q$195:$S$195,{"","",""},_xlfn.ANCHORARRAY($Q$579),_xlfn.ANCHORARRAY($Q$580),_xlfn.ANCHORARRAY($Q$589),_xlfn.ANCHORARRAY($Q$590),_xlfn.ANCHORARRAY($Q$599),_xlfn.ANCHORARRAY($Q$600),$Q$196:$S$196,{"","",""}),{"","",""})</f>
        <v>2</v>
      </c>
      <c r="R688" t="str">
        <f ca="1"/>
        <v>Total Shareholders' Equity @ 3/31/20X4</v>
      </c>
      <c r="S688">
        <f ca="1"/>
        <v>0</v>
      </c>
      <c r="X688" s="5"/>
      <c r="AB688" s="5" t="s">
        <v>317</v>
      </c>
    </row>
    <row r="689" spans="2:30" hidden="1" x14ac:dyDescent="0.3">
      <c r="B689" s="175" cm="1">
        <f t="array" ref="B689:D701">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f ca="1"/>
        <v/>
      </c>
      <c r="R689" t="str">
        <f ca="1"/>
        <v/>
      </c>
      <c r="S689" t="str">
        <f ca="1"/>
        <v/>
      </c>
      <c r="AB689" s="175" cm="1">
        <f t="array" ref="AB689:AD701">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x14ac:dyDescent="0.3">
      <c r="B690" s="96" t="str">
        <v/>
      </c>
      <c r="C690" t="str">
        <v/>
      </c>
      <c r="D690" s="173" t="str">
        <v/>
      </c>
      <c r="I690" s="96"/>
      <c r="K690" s="173"/>
      <c r="Q690">
        <f ca="1"/>
        <v>3</v>
      </c>
      <c r="R690" t="str">
        <f ca="1"/>
        <v>Common Stock</v>
      </c>
      <c r="S690" t="str">
        <f ca="1"/>
        <v/>
      </c>
      <c r="AB690" s="96" t="str">
        <v/>
      </c>
      <c r="AC690" t="str">
        <v/>
      </c>
      <c r="AD690" s="97" t="str">
        <v/>
      </c>
    </row>
    <row r="691" spans="2:30" hidden="1" x14ac:dyDescent="0.3">
      <c r="B691" s="96">
        <v>4</v>
      </c>
      <c r="C691" t="str">
        <v xml:space="preserve"> Current Liabilities:</v>
      </c>
      <c r="D691" s="173" t="str">
        <v/>
      </c>
      <c r="I691" s="96"/>
      <c r="K691" s="173"/>
      <c r="Q691">
        <f ca="1"/>
        <v>5</v>
      </c>
      <c r="R691" t="str">
        <f ca="1"/>
        <v>Balance @ 3/31/20X4</v>
      </c>
      <c r="S691">
        <f ca="1"/>
        <v>0</v>
      </c>
      <c r="AB691" s="96">
        <v>4</v>
      </c>
      <c r="AC691" t="str">
        <v xml:space="preserve"> Current Liabilities:</v>
      </c>
      <c r="AD691" s="97" t="str">
        <v/>
      </c>
    </row>
    <row r="692" spans="2:30" hidden="1" x14ac:dyDescent="0.3">
      <c r="B692" s="96">
        <v>6</v>
      </c>
      <c r="C692" t="str">
        <v>Accounts Payable</v>
      </c>
      <c r="D692" s="173">
        <v>0</v>
      </c>
      <c r="I692" s="96"/>
      <c r="K692" s="173"/>
      <c r="Q692">
        <f ca="1"/>
        <v>7</v>
      </c>
      <c r="R692" t="str">
        <f ca="1"/>
        <v>Issued common stock</v>
      </c>
      <c r="S692">
        <f ca="1"/>
        <v>100</v>
      </c>
      <c r="AB692" s="96">
        <v>6</v>
      </c>
      <c r="AC692" t="str">
        <v>Accounts Payable</v>
      </c>
      <c r="AD692" s="97">
        <v>15</v>
      </c>
    </row>
    <row r="693" spans="2:30" hidden="1" x14ac:dyDescent="0.3">
      <c r="B693" s="96">
        <v>7</v>
      </c>
      <c r="C693" t="str">
        <v>Interest Payable</v>
      </c>
      <c r="D693" s="173">
        <v>0</v>
      </c>
      <c r="I693" s="96"/>
      <c r="K693" s="173"/>
      <c r="Q693">
        <f ca="1"/>
        <v>5</v>
      </c>
      <c r="R693" t="str">
        <f ca="1"/>
        <v>Balance @ 12/31/20x4</v>
      </c>
      <c r="S693">
        <f ca="1"/>
        <v>100</v>
      </c>
      <c r="AB693" s="96">
        <v>7</v>
      </c>
      <c r="AC693" t="str">
        <v>Interest Payable</v>
      </c>
      <c r="AD693" s="97">
        <v>1.55</v>
      </c>
    </row>
    <row r="694" spans="2:30" hidden="1" x14ac:dyDescent="0.3">
      <c r="B694" s="96">
        <v>7</v>
      </c>
      <c r="C694" t="str">
        <v>Salaries &amp; Wages Payable</v>
      </c>
      <c r="D694" s="173">
        <v>0</v>
      </c>
      <c r="I694" s="96"/>
      <c r="K694" s="173"/>
      <c r="Q694">
        <f ca="1"/>
        <v>3</v>
      </c>
      <c r="R694" t="str">
        <f ca="1"/>
        <v>Additional Paid-in Capital</v>
      </c>
      <c r="S694" t="str">
        <f ca="1"/>
        <v/>
      </c>
      <c r="AB694" s="96">
        <v>7</v>
      </c>
      <c r="AC694" t="str">
        <v>Salaries &amp; Wages Payable</v>
      </c>
      <c r="AD694" s="97">
        <v>1</v>
      </c>
    </row>
    <row r="695" spans="2:30" hidden="1" x14ac:dyDescent="0.3">
      <c r="B695" s="96">
        <v>5</v>
      </c>
      <c r="C695" t="str">
        <v xml:space="preserve">  Total Current Liabilities</v>
      </c>
      <c r="D695" s="173">
        <v>0</v>
      </c>
      <c r="I695" s="96"/>
      <c r="K695" s="173"/>
      <c r="Q695">
        <f ca="1"/>
        <v>5</v>
      </c>
      <c r="R695" t="str">
        <f ca="1"/>
        <v>Balance @ 3/31/20X4</v>
      </c>
      <c r="S695">
        <f ca="1"/>
        <v>0</v>
      </c>
      <c r="AB695" s="96">
        <v>5</v>
      </c>
      <c r="AC695" t="str">
        <v xml:space="preserve">  Total Current Liabilities</v>
      </c>
      <c r="AD695" s="97">
        <v>17.55</v>
      </c>
    </row>
    <row r="696" spans="2:30" hidden="1" x14ac:dyDescent="0.3">
      <c r="B696" s="96" t="str">
        <v/>
      </c>
      <c r="C696" t="str">
        <v/>
      </c>
      <c r="D696" s="173" t="str">
        <v/>
      </c>
      <c r="I696" s="96"/>
      <c r="K696" s="173"/>
      <c r="Q696">
        <f ca="1"/>
        <v>5</v>
      </c>
      <c r="R696" t="str">
        <f ca="1"/>
        <v>Balance @ 12/31/20x4</v>
      </c>
      <c r="S696">
        <f ca="1"/>
        <v>0</v>
      </c>
      <c r="AB696" s="96" t="str">
        <v/>
      </c>
      <c r="AC696" t="str">
        <v/>
      </c>
      <c r="AD696" s="97" t="str">
        <v/>
      </c>
    </row>
    <row r="697" spans="2:30" ht="15" hidden="1" thickBot="1" x14ac:dyDescent="0.35">
      <c r="B697" s="96">
        <v>4</v>
      </c>
      <c r="C697" t="str">
        <v xml:space="preserve"> Noncurrent Liabilities:</v>
      </c>
      <c r="D697" s="173" t="str">
        <v/>
      </c>
      <c r="I697" s="98"/>
      <c r="J697" s="283"/>
      <c r="K697" s="285"/>
      <c r="Q697">
        <f ca="1"/>
        <v>3</v>
      </c>
      <c r="R697" t="str">
        <f ca="1"/>
        <v>Retained Earnings</v>
      </c>
      <c r="S697" t="str">
        <f ca="1"/>
        <v/>
      </c>
      <c r="AB697" s="96">
        <v>4</v>
      </c>
      <c r="AC697" t="str">
        <v xml:space="preserve"> Noncurrent Liabilities:</v>
      </c>
      <c r="AD697" s="97" t="str">
        <v/>
      </c>
    </row>
    <row r="698" spans="2:30" hidden="1" x14ac:dyDescent="0.3">
      <c r="B698" s="96">
        <v>6</v>
      </c>
      <c r="C698" t="str">
        <v>Bonds Payable</v>
      </c>
      <c r="D698" s="173">
        <v>0</v>
      </c>
      <c r="K698" s="34"/>
      <c r="Q698">
        <f ca="1"/>
        <v>5</v>
      </c>
      <c r="R698" t="str">
        <f ca="1"/>
        <v>Balance @ 3/31/20X4</v>
      </c>
      <c r="S698">
        <f ca="1"/>
        <v>0</v>
      </c>
      <c r="AB698" s="96">
        <v>6</v>
      </c>
      <c r="AC698" t="str">
        <v>Bonds Payable</v>
      </c>
      <c r="AD698" s="97">
        <v>20</v>
      </c>
    </row>
    <row r="699" spans="2:30" hidden="1" x14ac:dyDescent="0.3">
      <c r="B699" s="96">
        <v>5</v>
      </c>
      <c r="C699" t="str">
        <v xml:space="preserve">  Total Noncurrent Liabilities</v>
      </c>
      <c r="D699" s="173">
        <v>0</v>
      </c>
      <c r="K699" s="34"/>
      <c r="Q699">
        <f ca="1"/>
        <v>7</v>
      </c>
      <c r="R699" t="str">
        <f ca="1"/>
        <v>Net Income (Loss)</v>
      </c>
      <c r="S699">
        <f ca="1"/>
        <v>-4.2</v>
      </c>
      <c r="AB699" s="96">
        <v>5</v>
      </c>
      <c r="AC699" t="str">
        <v xml:space="preserve">  Total Noncurrent Liabilities</v>
      </c>
      <c r="AD699" s="97">
        <v>20</v>
      </c>
    </row>
    <row r="700" spans="2:30" hidden="1" x14ac:dyDescent="0.3">
      <c r="B700" s="96" t="str">
        <v/>
      </c>
      <c r="C700" t="str">
        <v/>
      </c>
      <c r="D700" s="173" t="str">
        <v/>
      </c>
      <c r="K700" s="34"/>
      <c r="M700" s="192" t="str" cm="1">
        <f t="array" ref="M700:O700">_xlfn.IFS(AND(L554,L560),_xlfn.VSTACK(_xlfn.ANCHORARRAY(I634),{"","",""},_xlfn.ANCHORARRAY(I635),I560:K560),AND(L554,NOT(L560)),_xlfn.ANCHORARRAY(I554),NOT(L554),{"","",""})</f>
        <v/>
      </c>
      <c r="N700" t="str">
        <v/>
      </c>
      <c r="O700" t="str">
        <v/>
      </c>
      <c r="Q700">
        <f ca="1"/>
        <v>5</v>
      </c>
      <c r="R700" t="str">
        <f ca="1"/>
        <v>Balance @ 12/31/20x4</v>
      </c>
      <c r="S700">
        <f ca="1"/>
        <v>-4.2</v>
      </c>
      <c r="AB700" s="96" t="str">
        <v/>
      </c>
      <c r="AC700" t="str">
        <v/>
      </c>
      <c r="AD700" s="97" t="str">
        <v/>
      </c>
    </row>
    <row r="701" spans="2:30" hidden="1" x14ac:dyDescent="0.3">
      <c r="B701" s="96">
        <v>3</v>
      </c>
      <c r="C701" t="str">
        <v>Total Liabilities</v>
      </c>
      <c r="D701" s="173">
        <v>0</v>
      </c>
      <c r="K701" s="34"/>
      <c r="Q701">
        <f ca="1"/>
        <v>2</v>
      </c>
      <c r="R701" t="str">
        <f ca="1"/>
        <v>Total Shareholders' Equity @ 12/31/20x4</v>
      </c>
      <c r="S701">
        <f ca="1"/>
        <v>95.8</v>
      </c>
      <c r="AB701" s="96">
        <v>3</v>
      </c>
      <c r="AC701" t="str">
        <v>Total Liabilities</v>
      </c>
      <c r="AD701" s="97">
        <v>37.549999999999997</v>
      </c>
    </row>
    <row r="702" spans="2:30" hidden="1" x14ac:dyDescent="0.3">
      <c r="B702" s="96"/>
      <c r="D702" s="173"/>
      <c r="K702" s="34"/>
      <c r="Q702" t="str">
        <f ca="1"/>
        <v/>
      </c>
      <c r="R702" t="str">
        <f ca="1"/>
        <v/>
      </c>
      <c r="S702" t="str">
        <f ca="1"/>
        <v/>
      </c>
      <c r="AB702" s="96"/>
      <c r="AD702" s="97"/>
    </row>
    <row r="703" spans="2:30" ht="15" hidden="1" thickBot="1" x14ac:dyDescent="0.35">
      <c r="B703" s="96"/>
      <c r="D703" s="173"/>
      <c r="I703" s="5" t="s">
        <v>46</v>
      </c>
      <c r="K703" s="34"/>
      <c r="AB703" s="96"/>
      <c r="AD703" s="97"/>
    </row>
    <row r="704" spans="2:30" hidden="1" x14ac:dyDescent="0.3">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hidden="1" x14ac:dyDescent="0.3">
      <c r="B705" s="96"/>
      <c r="D705" s="173"/>
      <c r="I705" s="96"/>
      <c r="K705" s="173"/>
      <c r="AB705" s="96"/>
      <c r="AD705" s="97"/>
    </row>
    <row r="706" spans="2:30" hidden="1" x14ac:dyDescent="0.3">
      <c r="B706" s="96"/>
      <c r="D706" s="173"/>
      <c r="I706" s="96"/>
      <c r="K706" s="173"/>
      <c r="AB706" s="96"/>
      <c r="AD706" s="97"/>
    </row>
    <row r="707" spans="2:30" hidden="1" x14ac:dyDescent="0.3">
      <c r="B707" s="96"/>
      <c r="D707" s="173"/>
      <c r="I707" s="96"/>
      <c r="K707" s="173"/>
      <c r="AB707" s="96"/>
      <c r="AD707" s="97"/>
    </row>
    <row r="708" spans="2:30" hidden="1" x14ac:dyDescent="0.3">
      <c r="B708" s="96"/>
      <c r="D708" s="173"/>
      <c r="I708" s="96"/>
      <c r="K708" s="173"/>
      <c r="AB708" s="96"/>
      <c r="AD708" s="97"/>
    </row>
    <row r="709" spans="2:30" hidden="1" x14ac:dyDescent="0.3">
      <c r="B709" s="96"/>
      <c r="D709" s="173"/>
      <c r="I709" s="96"/>
      <c r="K709" s="173"/>
      <c r="AB709" s="96"/>
      <c r="AD709" s="97"/>
    </row>
    <row r="710" spans="2:30" hidden="1" x14ac:dyDescent="0.3">
      <c r="B710" s="96"/>
      <c r="D710" s="173"/>
      <c r="I710" s="96"/>
      <c r="K710" s="173"/>
      <c r="AB710" s="96"/>
      <c r="AD710" s="97"/>
    </row>
    <row r="711" spans="2:30" hidden="1" x14ac:dyDescent="0.3">
      <c r="B711" s="96"/>
      <c r="D711" s="173"/>
      <c r="I711" s="96"/>
      <c r="K711" s="173"/>
      <c r="AB711" s="96"/>
      <c r="AD711" s="97"/>
    </row>
    <row r="712" spans="2:30" ht="15" hidden="1" thickBot="1" x14ac:dyDescent="0.35">
      <c r="B712" s="96"/>
      <c r="D712" s="173"/>
      <c r="I712" s="98"/>
      <c r="J712" s="283"/>
      <c r="K712" s="285"/>
      <c r="AB712" s="96"/>
      <c r="AD712" s="97"/>
    </row>
    <row r="713" spans="2:30" hidden="1" x14ac:dyDescent="0.3">
      <c r="B713" s="96"/>
      <c r="D713" s="173"/>
      <c r="K713" s="34"/>
      <c r="AB713" s="96"/>
      <c r="AD713" s="97"/>
    </row>
    <row r="714" spans="2:30" hidden="1" x14ac:dyDescent="0.3">
      <c r="B714" s="96"/>
      <c r="D714" s="173"/>
      <c r="I714" cm="1">
        <f t="array" aca="1" ref="I714:K714" ca="1">IF(L562,I562:K562,{"","",""})</f>
        <v>3</v>
      </c>
      <c r="J714" t="str">
        <f ca="1"/>
        <v>Net Income</v>
      </c>
      <c r="K714" s="34">
        <f ca="1"/>
        <v>-4.2</v>
      </c>
      <c r="AB714" s="96"/>
      <c r="AD714" s="97"/>
    </row>
    <row r="715" spans="2:30" hidden="1" x14ac:dyDescent="0.3">
      <c r="B715" s="96"/>
      <c r="D715" s="173"/>
      <c r="K715" s="34"/>
      <c r="AB715" s="96"/>
      <c r="AD715" s="97"/>
    </row>
    <row r="716" spans="2:30" hidden="1" x14ac:dyDescent="0.3">
      <c r="B716" s="96"/>
      <c r="D716" s="173"/>
      <c r="K716" s="34"/>
      <c r="AB716" s="96"/>
      <c r="AD716" s="97"/>
    </row>
    <row r="717" spans="2:30" ht="15" hidden="1" thickBot="1" x14ac:dyDescent="0.35">
      <c r="B717" s="98"/>
      <c r="C717" s="283"/>
      <c r="D717" s="285"/>
      <c r="K717" s="34"/>
      <c r="AB717" s="98"/>
      <c r="AC717" s="283"/>
      <c r="AD717" s="99"/>
    </row>
    <row r="718" spans="2:30" hidden="1" x14ac:dyDescent="0.3">
      <c r="I718" t="s">
        <v>318</v>
      </c>
      <c r="K718" s="34"/>
    </row>
    <row r="719" spans="2:30" hidden="1" x14ac:dyDescent="0.3">
      <c r="I719" s="517" cm="1">
        <f t="array" aca="1" ref="I719:K734" ca="1">_xlfn.VSTACK(_xlfn.ANCHORARRAY(I649),{"","",""},_xlfn.ANCHORARRAY(I664),{"","",""},_xlfn.ANCHORARRAY(I714))</f>
        <v>2</v>
      </c>
      <c r="J719" t="str">
        <f ca="1"/>
        <v>Revenues</v>
      </c>
      <c r="K719" s="34" t="str">
        <f ca="1"/>
        <v/>
      </c>
    </row>
    <row r="720" spans="2:30" hidden="1" x14ac:dyDescent="0.3">
      <c r="I720" t="str">
        <f ca="1"/>
        <v/>
      </c>
      <c r="J720" t="str">
        <f ca="1"/>
        <v/>
      </c>
      <c r="K720" s="34" t="str">
        <f ca="1"/>
        <v/>
      </c>
    </row>
    <row r="721" spans="2:30" hidden="1" x14ac:dyDescent="0.3">
      <c r="I721">
        <f ca="1"/>
        <v>6</v>
      </c>
      <c r="J721" t="str">
        <f ca="1"/>
        <v>Sales</v>
      </c>
      <c r="K721" s="34">
        <f ca="1"/>
        <v>40</v>
      </c>
    </row>
    <row r="722" spans="2:30" hidden="1" x14ac:dyDescent="0.3">
      <c r="I722">
        <f ca="1"/>
        <v>5</v>
      </c>
      <c r="J722" t="str">
        <f ca="1"/>
        <v xml:space="preserve">  Total Revenues</v>
      </c>
      <c r="K722" s="34">
        <f ca="1"/>
        <v>40</v>
      </c>
    </row>
    <row r="723" spans="2:30" hidden="1" x14ac:dyDescent="0.3">
      <c r="I723" t="str">
        <f ca="1"/>
        <v/>
      </c>
      <c r="J723" t="str">
        <f ca="1"/>
        <v/>
      </c>
      <c r="K723" s="34" t="str">
        <f ca="1"/>
        <v/>
      </c>
    </row>
    <row r="724" spans="2:30" hidden="1" x14ac:dyDescent="0.3">
      <c r="I724">
        <f ca="1"/>
        <v>2</v>
      </c>
      <c r="J724" t="str">
        <f ca="1"/>
        <v>Expenses</v>
      </c>
      <c r="K724" s="34" t="str">
        <f ca="1"/>
        <v/>
      </c>
    </row>
    <row r="725" spans="2:30" hidden="1" x14ac:dyDescent="0.3">
      <c r="I725" t="str">
        <f ca="1"/>
        <v/>
      </c>
      <c r="J725" t="str">
        <f ca="1"/>
        <v/>
      </c>
      <c r="K725" s="34" t="str">
        <f ca="1"/>
        <v/>
      </c>
    </row>
    <row r="726" spans="2:30" hidden="1" x14ac:dyDescent="0.3">
      <c r="I726">
        <f ca="1"/>
        <v>6</v>
      </c>
      <c r="J726" t="str">
        <f ca="1"/>
        <v>Cost of Goods Sold</v>
      </c>
      <c r="K726" s="34">
        <f ca="1"/>
        <v>25</v>
      </c>
    </row>
    <row r="727" spans="2:30" hidden="1" x14ac:dyDescent="0.3">
      <c r="I727">
        <f ca="1"/>
        <v>7</v>
      </c>
      <c r="J727" t="str">
        <f ca="1"/>
        <v>Interest Expense</v>
      </c>
      <c r="K727" s="34">
        <f ca="1"/>
        <v>1.55</v>
      </c>
      <c r="Q727" s="5" t="s">
        <v>319</v>
      </c>
    </row>
    <row r="728" spans="2:30" hidden="1" x14ac:dyDescent="0.3">
      <c r="B728" s="5" t="s">
        <v>320</v>
      </c>
      <c r="I728">
        <f ca="1"/>
        <v>7</v>
      </c>
      <c r="J728" t="str">
        <f ca="1"/>
        <v>Depreciation Expense</v>
      </c>
      <c r="K728" s="34">
        <f ca="1"/>
        <v>7.5</v>
      </c>
      <c r="Q728" cm="1">
        <f t="array" aca="1" ref="Q728:S749" ca="1">_xlfn.VSTACK(Q195:S195,{"","",""},_xlfn.ANCHORARRAY(Q569),_xlfn.ANCHORARRAY(Q570),{"","",""},_xlfn.ANCHORARRAY(Q579),_xlfn.ANCHORARRAY(Q580),{"","",""},_xlfn.ANCHORARRAY(Q589),_xlfn.ANCHORARRAY(Q590),{"","",""},_xlfn.ANCHORARRAY(Q599),_xlfn.ANCHORARRAY(Q600),{"","",""},Q196:S196,{"","",""})</f>
        <v>2</v>
      </c>
      <c r="R728" t="str">
        <f ca="1"/>
        <v>Total Shareholders' Equity @ 3/31/20X4</v>
      </c>
      <c r="S728">
        <f ca="1"/>
        <v>0</v>
      </c>
      <c r="X728" s="5"/>
      <c r="AB728" s="5" t="s">
        <v>320</v>
      </c>
    </row>
    <row r="729" spans="2:30" ht="15" hidden="1" thickBot="1" x14ac:dyDescent="0.35">
      <c r="B729" s="517" cm="1">
        <f t="array" ref="B729:D729">IF(OR($F$101,$V$106),_xlfn.ANCHORARRAY(B553),{"","",""})</f>
        <v>2</v>
      </c>
      <c r="C729" t="str">
        <v>Equities</v>
      </c>
      <c r="D729" t="str">
        <v/>
      </c>
      <c r="I729">
        <f ca="1"/>
        <v>7</v>
      </c>
      <c r="J729" t="str">
        <f ca="1"/>
        <v>Rent Expense</v>
      </c>
      <c r="K729" s="34">
        <f ca="1"/>
        <v>3</v>
      </c>
      <c r="Q729" t="str">
        <f ca="1"/>
        <v/>
      </c>
      <c r="R729" t="str">
        <f ca="1"/>
        <v/>
      </c>
      <c r="S729" t="str">
        <f ca="1"/>
        <v/>
      </c>
      <c r="AB729" s="517" cm="1">
        <f t="array" ref="AB729:AD729">IF(OR($F$106,$AG$111),_xlfn.ANCHORARRAY(AB553),{"","",""})</f>
        <v>2</v>
      </c>
      <c r="AC729" t="str">
        <v>Equities</v>
      </c>
      <c r="AD729" t="str">
        <v/>
      </c>
    </row>
    <row r="730" spans="2:30" hidden="1" x14ac:dyDescent="0.3">
      <c r="B730" s="518" cm="1">
        <f t="array" ref="B730:D731">IF(AND($V$106,C208&lt;&gt;""),_xlfn._xlws.FILTER(B208:D217,C208:C217&lt;&gt;""),{"","",""})</f>
        <v>6</v>
      </c>
      <c r="C730" s="365" t="str">
        <v>Common Stock</v>
      </c>
      <c r="D730" s="381">
        <v>0</v>
      </c>
      <c r="I730">
        <f ca="1"/>
        <v>7</v>
      </c>
      <c r="J730" t="str">
        <f ca="1"/>
        <v>Bad Debts Expense</v>
      </c>
      <c r="K730" s="34">
        <f ca="1"/>
        <v>0.15</v>
      </c>
      <c r="Q730">
        <f ca="1"/>
        <v>3</v>
      </c>
      <c r="R730" t="str">
        <f ca="1"/>
        <v>Preferred Stock</v>
      </c>
      <c r="S730" t="str">
        <f ca="1"/>
        <v/>
      </c>
      <c r="AB730" s="518" cm="1">
        <f t="array" ref="AB730:AD731">IF(AND($AG$110,$AC$208&lt;&gt;""),_xlfn._xlws.FILTER(AB208:AD217,AC208:AC217&lt;&gt;""),{"","",""})</f>
        <v>6</v>
      </c>
      <c r="AC730" s="365" t="str">
        <v>Common Stock</v>
      </c>
      <c r="AD730" s="174">
        <v>100</v>
      </c>
    </row>
    <row r="731" spans="2:30" hidden="1" x14ac:dyDescent="0.3">
      <c r="B731" s="96">
        <v>7</v>
      </c>
      <c r="C731" t="str">
        <v>Retained Earnings</v>
      </c>
      <c r="D731" s="173">
        <v>0</v>
      </c>
      <c r="I731">
        <f ca="1"/>
        <v>7</v>
      </c>
      <c r="J731" t="str">
        <f ca="1"/>
        <v>Salaries &amp; Wages Expense</v>
      </c>
      <c r="K731" s="34">
        <f ca="1"/>
        <v>7</v>
      </c>
      <c r="Q731">
        <f ca="1"/>
        <v>5</v>
      </c>
      <c r="R731" t="str">
        <f ca="1"/>
        <v>Balance @ 3/31/20X4</v>
      </c>
      <c r="S731">
        <f ca="1"/>
        <v>0</v>
      </c>
      <c r="AB731" s="96">
        <v>7</v>
      </c>
      <c r="AC731" t="str">
        <v>Retained Earnings</v>
      </c>
      <c r="AD731" s="97">
        <v>-4.2</v>
      </c>
    </row>
    <row r="732" spans="2:30" hidden="1" x14ac:dyDescent="0.3">
      <c r="B732" s="96"/>
      <c r="D732" s="173"/>
      <c r="I732">
        <f ca="1"/>
        <v>5</v>
      </c>
      <c r="J732" t="str">
        <f ca="1"/>
        <v xml:space="preserve">  Total Expenses</v>
      </c>
      <c r="K732" s="34">
        <f ca="1"/>
        <v>44.2</v>
      </c>
      <c r="Q732">
        <f ca="1"/>
        <v>5</v>
      </c>
      <c r="R732" t="str">
        <f ca="1"/>
        <v>Balance @ 12/31/20x4</v>
      </c>
      <c r="S732">
        <f ca="1"/>
        <v>0</v>
      </c>
      <c r="AB732" s="96"/>
      <c r="AD732" s="97"/>
    </row>
    <row r="733" spans="2:30" hidden="1" x14ac:dyDescent="0.3">
      <c r="B733" s="96"/>
      <c r="D733" s="173"/>
      <c r="I733" t="str">
        <f ca="1"/>
        <v/>
      </c>
      <c r="J733" t="str">
        <f ca="1"/>
        <v/>
      </c>
      <c r="K733" s="34" t="str">
        <f ca="1"/>
        <v/>
      </c>
      <c r="Q733" t="str">
        <f ca="1"/>
        <v/>
      </c>
      <c r="R733" t="str">
        <f ca="1"/>
        <v/>
      </c>
      <c r="S733" t="str">
        <f ca="1"/>
        <v/>
      </c>
      <c r="AB733" s="96"/>
      <c r="AD733" s="97"/>
    </row>
    <row r="734" spans="2:30" hidden="1" x14ac:dyDescent="0.3">
      <c r="B734" s="96"/>
      <c r="D734" s="173"/>
      <c r="I734">
        <f ca="1"/>
        <v>3</v>
      </c>
      <c r="J734" t="str">
        <f ca="1"/>
        <v>Net Income</v>
      </c>
      <c r="K734" s="34">
        <f ca="1"/>
        <v>-4.2</v>
      </c>
      <c r="Q734">
        <f ca="1"/>
        <v>3</v>
      </c>
      <c r="R734" t="str">
        <f ca="1"/>
        <v>Common Stock</v>
      </c>
      <c r="S734" t="str">
        <f ca="1"/>
        <v/>
      </c>
      <c r="AB734" s="96"/>
      <c r="AD734" s="97"/>
    </row>
    <row r="735" spans="2:30" hidden="1" x14ac:dyDescent="0.3">
      <c r="B735" s="96"/>
      <c r="D735" s="173"/>
      <c r="K735" s="34"/>
      <c r="Q735">
        <f ca="1"/>
        <v>5</v>
      </c>
      <c r="R735" t="str">
        <f ca="1"/>
        <v>Balance @ 3/31/20X4</v>
      </c>
      <c r="S735">
        <f ca="1"/>
        <v>0</v>
      </c>
      <c r="AB735" s="96"/>
      <c r="AD735" s="97"/>
    </row>
    <row r="736" spans="2:30" hidden="1" x14ac:dyDescent="0.3">
      <c r="B736" s="96"/>
      <c r="D736" s="173"/>
      <c r="K736" s="34"/>
      <c r="Q736">
        <f ca="1"/>
        <v>7</v>
      </c>
      <c r="R736" t="str">
        <f ca="1"/>
        <v>Issued common stock</v>
      </c>
      <c r="S736">
        <f ca="1"/>
        <v>100</v>
      </c>
      <c r="AB736" s="96"/>
      <c r="AD736" s="97"/>
    </row>
    <row r="737" spans="2:30" hidden="1" x14ac:dyDescent="0.3">
      <c r="B737" s="96"/>
      <c r="D737" s="173"/>
      <c r="K737" s="34"/>
      <c r="Q737">
        <f ca="1"/>
        <v>5</v>
      </c>
      <c r="R737" t="str">
        <f ca="1"/>
        <v>Balance @ 12/31/20x4</v>
      </c>
      <c r="S737">
        <f ca="1"/>
        <v>100</v>
      </c>
      <c r="AB737" s="96"/>
      <c r="AD737" s="97"/>
    </row>
    <row r="738" spans="2:30" hidden="1" x14ac:dyDescent="0.3">
      <c r="B738" s="96"/>
      <c r="D738" s="173"/>
      <c r="K738" s="34"/>
      <c r="Q738" t="str">
        <f ca="1"/>
        <v/>
      </c>
      <c r="R738" t="str">
        <f ca="1"/>
        <v/>
      </c>
      <c r="S738" t="str">
        <f ca="1"/>
        <v/>
      </c>
      <c r="AB738" s="96"/>
      <c r="AD738" s="97"/>
    </row>
    <row r="739" spans="2:30" hidden="1" x14ac:dyDescent="0.3">
      <c r="B739" s="96"/>
      <c r="D739" s="173"/>
      <c r="K739" s="34"/>
      <c r="Q739">
        <f ca="1"/>
        <v>3</v>
      </c>
      <c r="R739" t="str">
        <f ca="1"/>
        <v>Additional Paid-in Capital</v>
      </c>
      <c r="S739" t="str">
        <f ca="1"/>
        <v/>
      </c>
      <c r="AB739" s="96"/>
      <c r="AD739" s="97"/>
    </row>
    <row r="740" spans="2:30" ht="15" hidden="1" thickBot="1" x14ac:dyDescent="0.35">
      <c r="B740" s="520" cm="1">
        <f t="array" ref="B740:D740">IF(AND($V$106,C208&lt;&gt;""),B557:D557,{"","",""})</f>
        <v>3</v>
      </c>
      <c r="C740" s="283" t="str">
        <v>Total Equities</v>
      </c>
      <c r="D740" s="285">
        <v>0</v>
      </c>
      <c r="K740" s="34"/>
      <c r="Q740">
        <f ca="1"/>
        <v>5</v>
      </c>
      <c r="R740" t="str">
        <f ca="1"/>
        <v>Balance @ 3/31/20X4</v>
      </c>
      <c r="S740">
        <f ca="1"/>
        <v>0</v>
      </c>
      <c r="AB740" s="520" cm="1">
        <f t="array" ref="AB740:AD740">IF(AC730&lt;&gt;"",AB557:AD557,{"","",""})</f>
        <v>3</v>
      </c>
      <c r="AC740" s="283" t="str">
        <v>Total Equities</v>
      </c>
      <c r="AD740" s="99">
        <v>95.8</v>
      </c>
    </row>
    <row r="741" spans="2:30" hidden="1" x14ac:dyDescent="0.3">
      <c r="B741" s="517" cm="1">
        <f t="array" ref="B741:D741">IF(AND($D$572,$D$573),B558:D558,{"","",""})</f>
        <v>3</v>
      </c>
      <c r="C741" t="str">
        <v>Total Liabilities and Equities</v>
      </c>
      <c r="D741">
        <v>0</v>
      </c>
      <c r="K741" s="34"/>
      <c r="Q741">
        <f ca="1"/>
        <v>5</v>
      </c>
      <c r="R741" t="str">
        <f ca="1"/>
        <v>Balance @ 12/31/20x4</v>
      </c>
      <c r="S741">
        <f ca="1"/>
        <v>0</v>
      </c>
      <c r="X741" cm="1">
        <f t="array" ref="X741:Z741">IF(AE569,X569:Z569,{"","",""})</f>
        <v>0</v>
      </c>
      <c r="Y741">
        <v>0</v>
      </c>
      <c r="Z741">
        <v>0</v>
      </c>
      <c r="AB741" s="517" cm="1">
        <f t="array" ref="AB741:AD741">IF(AE558,AB558:AD558,{"","",""})</f>
        <v>3</v>
      </c>
      <c r="AC741" t="str">
        <v>Total Liabilities and Equities</v>
      </c>
      <c r="AD741">
        <v>133.35</v>
      </c>
    </row>
    <row r="742" spans="2:30" hidden="1" x14ac:dyDescent="0.3">
      <c r="K742" s="34"/>
      <c r="Q742" t="str">
        <f ca="1"/>
        <v/>
      </c>
      <c r="R742" t="str">
        <f ca="1"/>
        <v/>
      </c>
      <c r="S742" t="str">
        <f ca="1"/>
        <v/>
      </c>
    </row>
    <row r="743" spans="2:30" hidden="1" x14ac:dyDescent="0.3">
      <c r="K743" s="34"/>
      <c r="Q743">
        <f ca="1"/>
        <v>3</v>
      </c>
      <c r="R743" t="str">
        <f ca="1"/>
        <v>Retained Earnings</v>
      </c>
      <c r="S743" t="str">
        <f ca="1"/>
        <v/>
      </c>
    </row>
    <row r="744" spans="2:30" hidden="1" x14ac:dyDescent="0.3">
      <c r="B744" cm="1">
        <f t="array" ref="B744:D752">_xlfn.VSTACK(_xlfn.ANCHORARRAY(B729),{"","",""},_xlfn.ANCHORARRAY(B730),{"","",""},_xlfn.ANCHORARRAY(B740),{"","",""},_xlfn.ANCHORARRAY(B741),{"","",""})</f>
        <v>2</v>
      </c>
      <c r="C744" t="str">
        <v>Equities</v>
      </c>
      <c r="D744" t="str">
        <v/>
      </c>
      <c r="K744" s="34"/>
      <c r="Q744">
        <f ca="1"/>
        <v>5</v>
      </c>
      <c r="R744" t="str">
        <f ca="1"/>
        <v>Balance @ 3/31/20X4</v>
      </c>
      <c r="S744">
        <f ca="1"/>
        <v>0</v>
      </c>
      <c r="AB744" cm="1">
        <f t="array" ref="AB744:AD752">_xlfn.VSTACK(_xlfn.ANCHORARRAY(AB729),{"","",""},_xlfn.ANCHORARRAY(AB730),{"","",""},_xlfn.ANCHORARRAY(AB740),{"","",""},_xlfn.ANCHORARRAY(AB741),{"","",""})</f>
        <v>2</v>
      </c>
      <c r="AC744" t="str">
        <v>Equities</v>
      </c>
      <c r="AD744" t="str">
        <v/>
      </c>
    </row>
    <row r="745" spans="2:30" hidden="1" x14ac:dyDescent="0.3">
      <c r="B745" t="str">
        <v/>
      </c>
      <c r="C745" t="str">
        <v/>
      </c>
      <c r="D745" t="str">
        <v/>
      </c>
      <c r="K745" s="34"/>
      <c r="Q745">
        <f ca="1"/>
        <v>7</v>
      </c>
      <c r="R745" t="str">
        <f ca="1"/>
        <v>Net Income (Loss)</v>
      </c>
      <c r="S745">
        <f ca="1"/>
        <v>-4.2</v>
      </c>
      <c r="AB745" t="str">
        <v/>
      </c>
      <c r="AC745" t="str">
        <v/>
      </c>
      <c r="AD745" t="str">
        <v/>
      </c>
    </row>
    <row r="746" spans="2:30" hidden="1" x14ac:dyDescent="0.3">
      <c r="B746">
        <v>6</v>
      </c>
      <c r="C746" t="str">
        <v>Common Stock</v>
      </c>
      <c r="D746">
        <v>0</v>
      </c>
      <c r="K746" s="34"/>
      <c r="Q746">
        <f ca="1"/>
        <v>5</v>
      </c>
      <c r="R746" t="str">
        <f ca="1"/>
        <v>Balance @ 12/31/20x4</v>
      </c>
      <c r="S746">
        <f ca="1"/>
        <v>-4.2</v>
      </c>
      <c r="AB746">
        <v>6</v>
      </c>
      <c r="AC746" t="str">
        <v>Common Stock</v>
      </c>
      <c r="AD746">
        <v>100</v>
      </c>
    </row>
    <row r="747" spans="2:30" hidden="1" x14ac:dyDescent="0.3">
      <c r="B747">
        <v>7</v>
      </c>
      <c r="C747" t="str">
        <v>Retained Earnings</v>
      </c>
      <c r="D747">
        <v>0</v>
      </c>
      <c r="K747" s="34"/>
      <c r="Q747" t="str">
        <f ca="1"/>
        <v/>
      </c>
      <c r="R747" t="str">
        <f ca="1"/>
        <v/>
      </c>
      <c r="S747" t="str">
        <f ca="1"/>
        <v/>
      </c>
      <c r="AB747">
        <v>7</v>
      </c>
      <c r="AC747" t="str">
        <v>Retained Earnings</v>
      </c>
      <c r="AD747">
        <v>-4.2</v>
      </c>
    </row>
    <row r="748" spans="2:30" hidden="1" x14ac:dyDescent="0.3">
      <c r="B748" t="str">
        <v/>
      </c>
      <c r="C748" t="str">
        <v/>
      </c>
      <c r="D748" t="str">
        <v/>
      </c>
      <c r="K748" s="34"/>
      <c r="Q748">
        <f ca="1"/>
        <v>2</v>
      </c>
      <c r="R748" t="str">
        <f ca="1"/>
        <v>Total Shareholders' Equity @ 12/31/20x4</v>
      </c>
      <c r="S748">
        <f ca="1"/>
        <v>95.8</v>
      </c>
      <c r="AB748" t="str">
        <v/>
      </c>
      <c r="AC748" t="str">
        <v/>
      </c>
      <c r="AD748" t="str">
        <v/>
      </c>
    </row>
    <row r="749" spans="2:30" hidden="1" x14ac:dyDescent="0.3">
      <c r="B749">
        <v>3</v>
      </c>
      <c r="C749" t="str">
        <v>Total Equities</v>
      </c>
      <c r="D749">
        <v>0</v>
      </c>
      <c r="Q749" t="str">
        <f ca="1"/>
        <v/>
      </c>
      <c r="R749" t="str">
        <f ca="1"/>
        <v/>
      </c>
      <c r="S749" t="str">
        <f ca="1"/>
        <v/>
      </c>
      <c r="AB749">
        <v>3</v>
      </c>
      <c r="AC749" t="str">
        <v>Total Equities</v>
      </c>
      <c r="AD749">
        <v>95.8</v>
      </c>
    </row>
    <row r="750" spans="2:30" hidden="1" x14ac:dyDescent="0.3">
      <c r="B750" t="str">
        <v/>
      </c>
      <c r="C750" t="str">
        <v/>
      </c>
      <c r="D750" t="str">
        <v/>
      </c>
      <c r="AB750" t="str">
        <v/>
      </c>
      <c r="AC750" t="str">
        <v/>
      </c>
      <c r="AD750" t="str">
        <v/>
      </c>
    </row>
    <row r="751" spans="2:30" hidden="1" x14ac:dyDescent="0.3">
      <c r="B751">
        <v>3</v>
      </c>
      <c r="C751" t="str">
        <v>Total Liabilities and Equities</v>
      </c>
      <c r="D751">
        <v>0</v>
      </c>
      <c r="AB751">
        <v>3</v>
      </c>
      <c r="AC751" t="str">
        <v>Total Liabilities and Equities</v>
      </c>
      <c r="AD751">
        <v>133.35</v>
      </c>
    </row>
    <row r="752" spans="2:30" hidden="1" x14ac:dyDescent="0.3">
      <c r="B752" t="str">
        <v/>
      </c>
      <c r="C752" t="str">
        <v/>
      </c>
      <c r="D752" t="str">
        <v/>
      </c>
      <c r="AB752" t="str">
        <v/>
      </c>
      <c r="AC752" t="str">
        <v/>
      </c>
      <c r="AD752" t="str">
        <v/>
      </c>
    </row>
    <row r="753" spans="9:11" hidden="1" x14ac:dyDescent="0.3"/>
    <row r="754" spans="9:11" hidden="1" x14ac:dyDescent="0.3"/>
    <row r="755" spans="9:11" hidden="1" x14ac:dyDescent="0.3"/>
    <row r="756" spans="9:11" hidden="1" x14ac:dyDescent="0.3"/>
    <row r="757" spans="9:11" hidden="1" x14ac:dyDescent="0.3"/>
    <row r="758" spans="9:11" hidden="1" x14ac:dyDescent="0.3"/>
    <row r="759" spans="9:11" hidden="1" x14ac:dyDescent="0.3"/>
    <row r="760" spans="9:11" hidden="1" x14ac:dyDescent="0.3"/>
    <row r="761" spans="9:11" hidden="1" x14ac:dyDescent="0.3">
      <c r="K761" s="34"/>
    </row>
    <row r="762" spans="9:11" hidden="1" x14ac:dyDescent="0.3">
      <c r="K762" s="34"/>
    </row>
    <row r="763" spans="9:11" hidden="1" x14ac:dyDescent="0.3">
      <c r="I763" t="s">
        <v>321</v>
      </c>
      <c r="K763" s="34"/>
    </row>
    <row r="764" spans="9:11" hidden="1" x14ac:dyDescent="0.3">
      <c r="I764" s="517" cm="1">
        <f t="array" aca="1" ref="I764:K781" ca="1">_xlfn.VSTACK(_xlfn.ANCHORARRAY(I649),{"","",""},_xlfn.ANCHORARRAY(I664),{"","",""},_xlfn.ANCHORARRAY(I689),{"","",""},_xlfn.ANCHORARRAY(I714))</f>
        <v>2</v>
      </c>
      <c r="J764" t="str">
        <f ca="1"/>
        <v>Revenues</v>
      </c>
      <c r="K764" s="34" t="str">
        <f ca="1"/>
        <v/>
      </c>
    </row>
    <row r="765" spans="9:11" hidden="1" x14ac:dyDescent="0.3">
      <c r="I765" t="str">
        <f ca="1"/>
        <v/>
      </c>
      <c r="J765" t="str">
        <f ca="1"/>
        <v/>
      </c>
      <c r="K765" s="34" t="str">
        <f ca="1"/>
        <v/>
      </c>
    </row>
    <row r="766" spans="9:11" hidden="1" x14ac:dyDescent="0.3">
      <c r="I766">
        <f ca="1"/>
        <v>6</v>
      </c>
      <c r="J766" t="str">
        <f ca="1"/>
        <v>Sales</v>
      </c>
      <c r="K766" s="34">
        <f ca="1"/>
        <v>40</v>
      </c>
    </row>
    <row r="767" spans="9:11" hidden="1" x14ac:dyDescent="0.3">
      <c r="I767">
        <f ca="1"/>
        <v>5</v>
      </c>
      <c r="J767" t="str">
        <f ca="1"/>
        <v xml:space="preserve">  Total Revenues</v>
      </c>
      <c r="K767" s="34">
        <f ca="1"/>
        <v>40</v>
      </c>
    </row>
    <row r="768" spans="9:11" hidden="1" x14ac:dyDescent="0.3">
      <c r="I768" t="str">
        <f ca="1"/>
        <v/>
      </c>
      <c r="J768" t="str">
        <f ca="1"/>
        <v/>
      </c>
      <c r="K768" s="34" t="str">
        <f ca="1"/>
        <v/>
      </c>
    </row>
    <row r="769" spans="9:19" hidden="1" x14ac:dyDescent="0.3">
      <c r="I769">
        <f ca="1"/>
        <v>2</v>
      </c>
      <c r="J769" t="str">
        <f ca="1"/>
        <v>Expenses</v>
      </c>
      <c r="K769" s="34" t="str">
        <f ca="1"/>
        <v/>
      </c>
    </row>
    <row r="770" spans="9:19" hidden="1" x14ac:dyDescent="0.3">
      <c r="I770" t="str">
        <f ca="1"/>
        <v/>
      </c>
      <c r="J770" t="str">
        <f ca="1"/>
        <v/>
      </c>
      <c r="K770" s="34" t="str">
        <f ca="1"/>
        <v/>
      </c>
    </row>
    <row r="771" spans="9:19" hidden="1" x14ac:dyDescent="0.3">
      <c r="I771">
        <f ca="1"/>
        <v>6</v>
      </c>
      <c r="J771" t="str">
        <f ca="1"/>
        <v>Cost of Goods Sold</v>
      </c>
      <c r="K771" s="34">
        <f ca="1"/>
        <v>25</v>
      </c>
    </row>
    <row r="772" spans="9:19" hidden="1" x14ac:dyDescent="0.3">
      <c r="I772">
        <f ca="1"/>
        <v>7</v>
      </c>
      <c r="J772" t="str">
        <f ca="1"/>
        <v>Interest Expense</v>
      </c>
      <c r="K772" s="34">
        <f ca="1"/>
        <v>1.55</v>
      </c>
    </row>
    <row r="773" spans="9:19" hidden="1" x14ac:dyDescent="0.3">
      <c r="I773">
        <f ca="1"/>
        <v>7</v>
      </c>
      <c r="J773" t="str">
        <f ca="1"/>
        <v>Depreciation Expense</v>
      </c>
      <c r="K773" s="34">
        <f ca="1"/>
        <v>7.5</v>
      </c>
    </row>
    <row r="774" spans="9:19" hidden="1" x14ac:dyDescent="0.3">
      <c r="I774">
        <f ca="1"/>
        <v>7</v>
      </c>
      <c r="J774" t="str">
        <f ca="1"/>
        <v>Rent Expense</v>
      </c>
      <c r="K774" s="34">
        <f ca="1"/>
        <v>3</v>
      </c>
    </row>
    <row r="775" spans="9:19" hidden="1" x14ac:dyDescent="0.3">
      <c r="I775">
        <f ca="1"/>
        <v>7</v>
      </c>
      <c r="J775" t="str">
        <f ca="1"/>
        <v>Bad Debts Expense</v>
      </c>
      <c r="K775" s="34">
        <f ca="1"/>
        <v>0.15</v>
      </c>
    </row>
    <row r="776" spans="9:19" hidden="1" x14ac:dyDescent="0.3">
      <c r="I776">
        <f ca="1"/>
        <v>7</v>
      </c>
      <c r="J776" t="str">
        <f ca="1"/>
        <v>Salaries &amp; Wages Expense</v>
      </c>
      <c r="K776" s="34">
        <f ca="1"/>
        <v>7</v>
      </c>
    </row>
    <row r="777" spans="9:19" hidden="1" x14ac:dyDescent="0.3">
      <c r="I777">
        <f ca="1"/>
        <v>5</v>
      </c>
      <c r="J777" t="str">
        <f ca="1"/>
        <v xml:space="preserve">  Total Expenses</v>
      </c>
      <c r="K777" s="34">
        <f ca="1"/>
        <v>44.2</v>
      </c>
      <c r="Q777" s="5" t="s">
        <v>322</v>
      </c>
    </row>
    <row r="778" spans="9:19" hidden="1" x14ac:dyDescent="0.3">
      <c r="I778" t="str">
        <f ca="1"/>
        <v/>
      </c>
      <c r="J778" t="str">
        <f ca="1"/>
        <v/>
      </c>
      <c r="K778" s="34" t="str">
        <f ca="1"/>
        <v/>
      </c>
      <c r="Q778" cm="1">
        <f t="array" aca="1" ref="Q778:S807" ca="1">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f ca="1"/>
        <v>Total Shareholders' Equity @ 3/31/20X4</v>
      </c>
      <c r="S778">
        <f ca="1"/>
        <v>0</v>
      </c>
    </row>
    <row r="779" spans="9:19" hidden="1" x14ac:dyDescent="0.3">
      <c r="I779" t="str">
        <f ca="1"/>
        <v/>
      </c>
      <c r="J779" t="str">
        <f ca="1"/>
        <v/>
      </c>
      <c r="K779" s="34" t="str">
        <f ca="1"/>
        <v/>
      </c>
      <c r="Q779" t="str">
        <f ca="1"/>
        <v/>
      </c>
      <c r="R779" t="str">
        <f ca="1"/>
        <v/>
      </c>
      <c r="S779" t="str">
        <f ca="1"/>
        <v/>
      </c>
    </row>
    <row r="780" spans="9:19" hidden="1" x14ac:dyDescent="0.3">
      <c r="I780" t="str">
        <f ca="1"/>
        <v/>
      </c>
      <c r="J780" t="str">
        <f ca="1"/>
        <v/>
      </c>
      <c r="K780" s="34" t="str">
        <f ca="1"/>
        <v/>
      </c>
      <c r="Q780">
        <f ca="1"/>
        <v>3</v>
      </c>
      <c r="R780" t="str">
        <f ca="1"/>
        <v>Preferred Stock</v>
      </c>
      <c r="S780" t="str">
        <f ca="1"/>
        <v/>
      </c>
    </row>
    <row r="781" spans="9:19" hidden="1" x14ac:dyDescent="0.3">
      <c r="I781">
        <f ca="1"/>
        <v>3</v>
      </c>
      <c r="J781" t="str">
        <f ca="1"/>
        <v>Net Income</v>
      </c>
      <c r="K781" s="34">
        <f ca="1"/>
        <v>-4.2</v>
      </c>
      <c r="Q781">
        <f ca="1"/>
        <v>5</v>
      </c>
      <c r="R781" t="str">
        <f ca="1"/>
        <v>Balance @ 3/31/20X4</v>
      </c>
      <c r="S781">
        <f ca="1"/>
        <v>0</v>
      </c>
    </row>
    <row r="782" spans="9:19" hidden="1" x14ac:dyDescent="0.3">
      <c r="K782" s="34"/>
      <c r="Q782">
        <f ca="1"/>
        <v>5</v>
      </c>
      <c r="R782" t="str">
        <f ca="1"/>
        <v>Balance @ 12/31/20x4</v>
      </c>
      <c r="S782">
        <f ca="1"/>
        <v>0</v>
      </c>
    </row>
    <row r="783" spans="9:19" hidden="1" x14ac:dyDescent="0.3">
      <c r="K783" s="34"/>
      <c r="Q783" t="str">
        <f ca="1"/>
        <v/>
      </c>
      <c r="R783" t="str">
        <f ca="1"/>
        <v/>
      </c>
      <c r="S783" t="str">
        <f ca="1"/>
        <v/>
      </c>
    </row>
    <row r="784" spans="9:19" hidden="1" x14ac:dyDescent="0.3">
      <c r="K784" s="34"/>
      <c r="Q784">
        <f ca="1"/>
        <v>3</v>
      </c>
      <c r="R784" t="str">
        <f ca="1"/>
        <v>Common Stock</v>
      </c>
      <c r="S784" t="str">
        <f ca="1"/>
        <v/>
      </c>
    </row>
    <row r="785" spans="9:20" hidden="1" x14ac:dyDescent="0.3">
      <c r="K785" s="34"/>
      <c r="Q785">
        <f ca="1"/>
        <v>5</v>
      </c>
      <c r="R785" t="str">
        <f ca="1"/>
        <v>Balance @ 3/31/20X4</v>
      </c>
      <c r="S785">
        <f ca="1"/>
        <v>0</v>
      </c>
    </row>
    <row r="786" spans="9:20" hidden="1" x14ac:dyDescent="0.3">
      <c r="K786" s="34"/>
      <c r="Q786">
        <f ca="1"/>
        <v>7</v>
      </c>
      <c r="R786" t="str">
        <f ca="1"/>
        <v>Issued common stock</v>
      </c>
      <c r="S786">
        <f ca="1"/>
        <v>100</v>
      </c>
    </row>
    <row r="787" spans="9:20" hidden="1" x14ac:dyDescent="0.3">
      <c r="K787" s="34"/>
      <c r="Q787">
        <f ca="1"/>
        <v>5</v>
      </c>
      <c r="R787" t="str">
        <f ca="1"/>
        <v>Balance @ 12/31/20x4</v>
      </c>
      <c r="S787">
        <f ca="1"/>
        <v>100</v>
      </c>
    </row>
    <row r="788" spans="9:20" hidden="1" x14ac:dyDescent="0.3">
      <c r="K788" s="34"/>
      <c r="Q788" t="str">
        <f ca="1"/>
        <v/>
      </c>
      <c r="R788" t="str">
        <f ca="1"/>
        <v/>
      </c>
      <c r="S788" t="str">
        <f ca="1"/>
        <v/>
      </c>
    </row>
    <row r="789" spans="9:20" hidden="1" x14ac:dyDescent="0.3">
      <c r="K789" s="34"/>
      <c r="Q789">
        <f ca="1"/>
        <v>3</v>
      </c>
      <c r="R789" t="str">
        <f ca="1"/>
        <v>Additional Paid-in Capital</v>
      </c>
      <c r="S789" t="str">
        <f ca="1"/>
        <v/>
      </c>
    </row>
    <row r="790" spans="9:20" hidden="1" x14ac:dyDescent="0.3">
      <c r="K790" s="34"/>
      <c r="Q790">
        <f ca="1"/>
        <v>5</v>
      </c>
      <c r="R790" t="str">
        <f ca="1"/>
        <v>Balance @ 3/31/20X4</v>
      </c>
      <c r="S790">
        <f ca="1"/>
        <v>0</v>
      </c>
    </row>
    <row r="791" spans="9:20" hidden="1" x14ac:dyDescent="0.3">
      <c r="K791" s="34"/>
      <c r="Q791">
        <f ca="1"/>
        <v>5</v>
      </c>
      <c r="R791" t="str">
        <f ca="1"/>
        <v>Balance @ 12/31/20x4</v>
      </c>
      <c r="S791">
        <f ca="1"/>
        <v>0</v>
      </c>
    </row>
    <row r="792" spans="9:20" hidden="1" x14ac:dyDescent="0.3">
      <c r="K792" s="34"/>
      <c r="Q792" t="str">
        <f ca="1"/>
        <v/>
      </c>
      <c r="R792" t="str">
        <f ca="1"/>
        <v/>
      </c>
      <c r="S792" t="str">
        <f ca="1"/>
        <v/>
      </c>
    </row>
    <row r="793" spans="9:20" hidden="1" x14ac:dyDescent="0.3">
      <c r="K793" s="34"/>
      <c r="Q793">
        <f ca="1"/>
        <v>3</v>
      </c>
      <c r="R793" t="str">
        <f ca="1"/>
        <v>Retained Earnings</v>
      </c>
      <c r="S793" t="str">
        <f ca="1"/>
        <v/>
      </c>
    </row>
    <row r="794" spans="9:20" hidden="1" x14ac:dyDescent="0.3">
      <c r="K794" s="34"/>
      <c r="Q794">
        <f ca="1"/>
        <v>5</v>
      </c>
      <c r="R794" t="str">
        <f ca="1"/>
        <v>Balance @ 3/31/20X4</v>
      </c>
      <c r="S794">
        <f ca="1"/>
        <v>0</v>
      </c>
    </row>
    <row r="795" spans="9:20" hidden="1" x14ac:dyDescent="0.3">
      <c r="K795" s="34"/>
      <c r="Q795">
        <f ca="1"/>
        <v>7</v>
      </c>
      <c r="R795" t="str">
        <f ca="1"/>
        <v>Net Income (Loss)</v>
      </c>
      <c r="S795">
        <f ca="1"/>
        <v>-4.2</v>
      </c>
    </row>
    <row r="796" spans="9:20" hidden="1" x14ac:dyDescent="0.3">
      <c r="Q796">
        <f ca="1"/>
        <v>5</v>
      </c>
      <c r="R796" t="str">
        <f ca="1"/>
        <v>Balance @ 12/31/20x4</v>
      </c>
      <c r="S796">
        <f ca="1"/>
        <v>-4.2</v>
      </c>
    </row>
    <row r="797" spans="9:20" hidden="1" x14ac:dyDescent="0.3">
      <c r="Q797" t="str">
        <f ca="1"/>
        <v/>
      </c>
      <c r="R797" t="str">
        <f ca="1"/>
        <v/>
      </c>
      <c r="S797" t="str">
        <f ca="1"/>
        <v/>
      </c>
    </row>
    <row r="798" spans="9:20" hidden="1" x14ac:dyDescent="0.3">
      <c r="I798" t="s">
        <v>323</v>
      </c>
      <c r="Q798">
        <f ca="1"/>
        <v>3</v>
      </c>
      <c r="R798" t="str">
        <f ca="1"/>
        <v>Accumulated Other Comprehensive Income</v>
      </c>
      <c r="S798" t="str">
        <f ca="1"/>
        <v/>
      </c>
    </row>
    <row r="799" spans="9:20" hidden="1" x14ac:dyDescent="0.3">
      <c r="I799" s="517" cm="1">
        <f t="array" aca="1" ref="I799:K816" ca="1">_xlfn.VSTACK(_xlfn.ANCHORARRAY(I649),{"","",""},_xlfn.ANCHORARRAY(I664),{"","",""},_xlfn.ANCHORARRAY(I704),{"","",""},_xlfn.ANCHORARRAY(I714))</f>
        <v>2</v>
      </c>
      <c r="J799" t="str">
        <f ca="1"/>
        <v>Revenues</v>
      </c>
      <c r="K799" t="str">
        <f ca="1"/>
        <v/>
      </c>
      <c r="Q799">
        <f ca="1"/>
        <v>5</v>
      </c>
      <c r="R799" t="str">
        <f ca="1"/>
        <v>Balance @ 3/31/20X4</v>
      </c>
      <c r="S799">
        <f ca="1"/>
        <v>0</v>
      </c>
    </row>
    <row r="800" spans="9:20" hidden="1" x14ac:dyDescent="0.3">
      <c r="I800" t="str">
        <f ca="1"/>
        <v/>
      </c>
      <c r="J800" t="str">
        <f ca="1"/>
        <v/>
      </c>
      <c r="K800" t="str">
        <f ca="1"/>
        <v/>
      </c>
      <c r="Q800">
        <f ca="1"/>
        <v>5</v>
      </c>
      <c r="R800" t="str">
        <f ca="1"/>
        <v>Balance @ 12/31/20x4</v>
      </c>
      <c r="S800">
        <f ca="1"/>
        <v>0</v>
      </c>
      <c r="T800" s="192"/>
    </row>
    <row r="801" spans="9:22" hidden="1" x14ac:dyDescent="0.3">
      <c r="I801">
        <f ca="1"/>
        <v>6</v>
      </c>
      <c r="J801" t="str">
        <f ca="1"/>
        <v>Sales</v>
      </c>
      <c r="K801">
        <f ca="1"/>
        <v>40</v>
      </c>
      <c r="Q801" t="str">
        <f ca="1"/>
        <v/>
      </c>
      <c r="R801" t="str">
        <f ca="1"/>
        <v/>
      </c>
      <c r="S801" t="str">
        <f ca="1"/>
        <v/>
      </c>
      <c r="T801" s="192"/>
    </row>
    <row r="802" spans="9:22" hidden="1" x14ac:dyDescent="0.3">
      <c r="I802">
        <f ca="1"/>
        <v>5</v>
      </c>
      <c r="J802" t="str">
        <f ca="1"/>
        <v xml:space="preserve">  Total Revenues</v>
      </c>
      <c r="K802">
        <f ca="1"/>
        <v>40</v>
      </c>
      <c r="Q802">
        <f ca="1"/>
        <v>3</v>
      </c>
      <c r="R802" t="str">
        <f ca="1"/>
        <v>Treasury Stock</v>
      </c>
      <c r="S802" t="str">
        <f ca="1"/>
        <v/>
      </c>
      <c r="T802" s="192"/>
    </row>
    <row r="803" spans="9:22" hidden="1" x14ac:dyDescent="0.3">
      <c r="I803" t="str">
        <f ca="1"/>
        <v/>
      </c>
      <c r="J803" t="str">
        <f ca="1"/>
        <v/>
      </c>
      <c r="K803" t="str">
        <f ca="1"/>
        <v/>
      </c>
      <c r="Q803">
        <f ca="1"/>
        <v>5</v>
      </c>
      <c r="R803" t="str">
        <f ca="1"/>
        <v>Balance @ 3/31/20X4</v>
      </c>
      <c r="S803">
        <f ca="1"/>
        <v>0</v>
      </c>
      <c r="T803" s="192"/>
    </row>
    <row r="804" spans="9:22" hidden="1" x14ac:dyDescent="0.3">
      <c r="I804">
        <f ca="1"/>
        <v>2</v>
      </c>
      <c r="J804" t="str">
        <f ca="1"/>
        <v>Expenses</v>
      </c>
      <c r="K804" t="str">
        <f ca="1"/>
        <v/>
      </c>
      <c r="Q804">
        <f ca="1"/>
        <v>5</v>
      </c>
      <c r="R804" t="str">
        <f ca="1"/>
        <v>Balance @ 12/31/20x4</v>
      </c>
      <c r="S804">
        <f ca="1"/>
        <v>0</v>
      </c>
      <c r="T804" s="192"/>
    </row>
    <row r="805" spans="9:22" hidden="1" x14ac:dyDescent="0.3">
      <c r="I805" t="str">
        <f ca="1"/>
        <v/>
      </c>
      <c r="J805" t="str">
        <f ca="1"/>
        <v/>
      </c>
      <c r="K805" t="str">
        <f ca="1"/>
        <v/>
      </c>
      <c r="Q805" t="str">
        <f ca="1"/>
        <v/>
      </c>
      <c r="R805" t="str">
        <f ca="1"/>
        <v/>
      </c>
      <c r="S805" t="str">
        <f ca="1"/>
        <v/>
      </c>
      <c r="T805" s="192"/>
    </row>
    <row r="806" spans="9:22" hidden="1" x14ac:dyDescent="0.3">
      <c r="I806">
        <f ca="1"/>
        <v>6</v>
      </c>
      <c r="J806" t="str">
        <f ca="1"/>
        <v>Cost of Goods Sold</v>
      </c>
      <c r="K806">
        <f ca="1"/>
        <v>25</v>
      </c>
      <c r="Q806">
        <f ca="1"/>
        <v>2</v>
      </c>
      <c r="R806" t="str">
        <f ca="1"/>
        <v>Total Shareholders' Equity @ 12/31/20x4</v>
      </c>
      <c r="S806">
        <f ca="1"/>
        <v>95.8</v>
      </c>
      <c r="T806" s="192"/>
    </row>
    <row r="807" spans="9:22" hidden="1" x14ac:dyDescent="0.3">
      <c r="I807">
        <f ca="1"/>
        <v>7</v>
      </c>
      <c r="J807" t="str">
        <f ca="1"/>
        <v>Interest Expense</v>
      </c>
      <c r="K807">
        <f ca="1"/>
        <v>1.55</v>
      </c>
      <c r="Q807" t="str">
        <f ca="1"/>
        <v/>
      </c>
      <c r="R807" t="str">
        <f ca="1"/>
        <v/>
      </c>
      <c r="S807" t="str">
        <f ca="1"/>
        <v/>
      </c>
      <c r="T807" s="192"/>
    </row>
    <row r="808" spans="9:22" hidden="1" x14ac:dyDescent="0.3">
      <c r="I808">
        <f ca="1"/>
        <v>7</v>
      </c>
      <c r="J808" t="str">
        <f ca="1"/>
        <v>Depreciation Expense</v>
      </c>
      <c r="K808">
        <f ca="1"/>
        <v>7.5</v>
      </c>
      <c r="T808" s="192"/>
    </row>
    <row r="809" spans="9:22" hidden="1" x14ac:dyDescent="0.3">
      <c r="I809">
        <f ca="1"/>
        <v>7</v>
      </c>
      <c r="J809" t="str">
        <f ca="1"/>
        <v>Rent Expense</v>
      </c>
      <c r="K809">
        <f ca="1"/>
        <v>3</v>
      </c>
      <c r="T809" s="192" t="e" cm="1">
        <f t="array" ref="T809">#REF!</f>
        <v>#REF!</v>
      </c>
      <c r="U809" s="192"/>
    </row>
    <row r="810" spans="9:22" hidden="1" x14ac:dyDescent="0.3">
      <c r="I810">
        <f ca="1"/>
        <v>7</v>
      </c>
      <c r="J810" t="str">
        <f ca="1"/>
        <v>Bad Debts Expense</v>
      </c>
      <c r="K810">
        <f ca="1"/>
        <v>0.15</v>
      </c>
      <c r="T810" s="192"/>
    </row>
    <row r="811" spans="9:22" hidden="1" x14ac:dyDescent="0.3">
      <c r="I811">
        <f ca="1"/>
        <v>7</v>
      </c>
      <c r="J811" t="str">
        <f ca="1"/>
        <v>Salaries &amp; Wages Expense</v>
      </c>
      <c r="K811">
        <f ca="1"/>
        <v>7</v>
      </c>
      <c r="T811" s="192" t="str" cm="1">
        <f t="array" ref="T811:V811">IFERROR(_xlfn._xlws.FILTER(#REF!,#REF!&lt;&gt;""),{"","",""})</f>
        <v/>
      </c>
      <c r="U811" t="str">
        <v/>
      </c>
      <c r="V811" t="str">
        <v/>
      </c>
    </row>
    <row r="812" spans="9:22" hidden="1" x14ac:dyDescent="0.3">
      <c r="I812">
        <f ca="1"/>
        <v>5</v>
      </c>
      <c r="J812" t="str">
        <f ca="1"/>
        <v xml:space="preserve">  Total Expenses</v>
      </c>
      <c r="K812">
        <f ca="1"/>
        <v>44.2</v>
      </c>
      <c r="T812" s="192"/>
    </row>
    <row r="813" spans="9:22" hidden="1" x14ac:dyDescent="0.3">
      <c r="I813" t="str">
        <f ca="1"/>
        <v/>
      </c>
      <c r="J813" t="str">
        <f ca="1"/>
        <v/>
      </c>
      <c r="K813" t="str">
        <f ca="1"/>
        <v/>
      </c>
      <c r="T813" s="192"/>
    </row>
    <row r="814" spans="9:22" hidden="1" x14ac:dyDescent="0.3">
      <c r="I814" t="str">
        <f ca="1"/>
        <v/>
      </c>
      <c r="J814" t="str">
        <f ca="1"/>
        <v/>
      </c>
      <c r="K814" t="str">
        <f ca="1"/>
        <v/>
      </c>
    </row>
    <row r="815" spans="9:22" hidden="1" x14ac:dyDescent="0.3">
      <c r="I815" t="str">
        <f ca="1"/>
        <v/>
      </c>
      <c r="J815" t="str">
        <f ca="1"/>
        <v/>
      </c>
      <c r="K815" t="str">
        <f ca="1"/>
        <v/>
      </c>
    </row>
    <row r="816" spans="9:22" hidden="1" x14ac:dyDescent="0.3">
      <c r="I816">
        <f ca="1"/>
        <v>3</v>
      </c>
      <c r="J816" t="str">
        <f ca="1"/>
        <v>Net Income</v>
      </c>
      <c r="K816">
        <f ca="1"/>
        <v>-4.2</v>
      </c>
    </row>
    <row r="817" hidden="1" x14ac:dyDescent="0.3"/>
    <row r="818" hidden="1" x14ac:dyDescent="0.3"/>
    <row r="819" hidden="1" x14ac:dyDescent="0.3"/>
    <row r="820" hidden="1" x14ac:dyDescent="0.3"/>
    <row r="821" hidden="1" x14ac:dyDescent="0.3"/>
    <row r="822" hidden="1" x14ac:dyDescent="0.3"/>
    <row r="823" hidden="1" x14ac:dyDescent="0.3"/>
    <row r="824" hidden="1" x14ac:dyDescent="0.3"/>
    <row r="825" hidden="1" x14ac:dyDescent="0.3"/>
    <row r="826" hidden="1" x14ac:dyDescent="0.3"/>
    <row r="827" hidden="1" x14ac:dyDescent="0.3"/>
    <row r="828" hidden="1" x14ac:dyDescent="0.3"/>
    <row r="829" hidden="1" x14ac:dyDescent="0.3"/>
    <row r="830" hidden="1" x14ac:dyDescent="0.3"/>
    <row r="831" hidden="1" x14ac:dyDescent="0.3"/>
    <row r="832" hidden="1" x14ac:dyDescent="0.3"/>
    <row r="833" spans="9:11" hidden="1" x14ac:dyDescent="0.3"/>
    <row r="834" spans="9:11" hidden="1" x14ac:dyDescent="0.3"/>
    <row r="835" spans="9:11" hidden="1" x14ac:dyDescent="0.3"/>
    <row r="836" spans="9:11" hidden="1" x14ac:dyDescent="0.3"/>
    <row r="837" spans="9:11" hidden="1" x14ac:dyDescent="0.3"/>
    <row r="838" spans="9:11" hidden="1" x14ac:dyDescent="0.3">
      <c r="I838" t="s">
        <v>324</v>
      </c>
    </row>
    <row r="839" spans="9:11" hidden="1" x14ac:dyDescent="0.3">
      <c r="I839" s="517" cm="1">
        <f t="array" aca="1" ref="I839:K858" ca="1">_xlfn.VSTACK(_xlfn.ANCHORARRAY(I649),{"","",""},_xlfn.ANCHORARRAY(I664),{"","",""},_xlfn.ANCHORARRAY(I689),{"","",""},_xlfn.ANCHORARRAY(I704),{"","",""},_xlfn.ANCHORARRAY(I714))</f>
        <v>2</v>
      </c>
      <c r="J839" t="str">
        <f ca="1"/>
        <v>Revenues</v>
      </c>
      <c r="K839" t="str">
        <f ca="1"/>
        <v/>
      </c>
    </row>
    <row r="840" spans="9:11" hidden="1" x14ac:dyDescent="0.3">
      <c r="I840" t="str">
        <f ca="1"/>
        <v/>
      </c>
      <c r="J840" t="str">
        <f ca="1"/>
        <v/>
      </c>
      <c r="K840" t="str">
        <f ca="1"/>
        <v/>
      </c>
    </row>
    <row r="841" spans="9:11" hidden="1" x14ac:dyDescent="0.3">
      <c r="I841">
        <f ca="1"/>
        <v>6</v>
      </c>
      <c r="J841" t="str">
        <f ca="1"/>
        <v>Sales</v>
      </c>
      <c r="K841">
        <f ca="1"/>
        <v>40</v>
      </c>
    </row>
    <row r="842" spans="9:11" hidden="1" x14ac:dyDescent="0.3">
      <c r="I842">
        <f ca="1"/>
        <v>5</v>
      </c>
      <c r="J842" t="str">
        <f ca="1"/>
        <v xml:space="preserve">  Total Revenues</v>
      </c>
      <c r="K842">
        <f ca="1"/>
        <v>40</v>
      </c>
    </row>
    <row r="843" spans="9:11" hidden="1" x14ac:dyDescent="0.3">
      <c r="I843" t="str">
        <f ca="1"/>
        <v/>
      </c>
      <c r="J843" t="str">
        <f ca="1"/>
        <v/>
      </c>
      <c r="K843" t="str">
        <f ca="1"/>
        <v/>
      </c>
    </row>
    <row r="844" spans="9:11" hidden="1" x14ac:dyDescent="0.3">
      <c r="I844">
        <f ca="1"/>
        <v>2</v>
      </c>
      <c r="J844" t="str">
        <f ca="1"/>
        <v>Expenses</v>
      </c>
      <c r="K844" t="str">
        <f ca="1"/>
        <v/>
      </c>
    </row>
    <row r="845" spans="9:11" hidden="1" x14ac:dyDescent="0.3">
      <c r="I845" t="str">
        <f ca="1"/>
        <v/>
      </c>
      <c r="J845" t="str">
        <f ca="1"/>
        <v/>
      </c>
      <c r="K845" t="str">
        <f ca="1"/>
        <v/>
      </c>
    </row>
    <row r="846" spans="9:11" hidden="1" x14ac:dyDescent="0.3">
      <c r="I846">
        <f ca="1"/>
        <v>6</v>
      </c>
      <c r="J846" t="str">
        <f ca="1"/>
        <v>Cost of Goods Sold</v>
      </c>
      <c r="K846">
        <f ca="1"/>
        <v>25</v>
      </c>
    </row>
    <row r="847" spans="9:11" hidden="1" x14ac:dyDescent="0.3">
      <c r="I847">
        <f ca="1"/>
        <v>7</v>
      </c>
      <c r="J847" t="str">
        <f ca="1"/>
        <v>Interest Expense</v>
      </c>
      <c r="K847">
        <f ca="1"/>
        <v>1.55</v>
      </c>
    </row>
    <row r="848" spans="9:11" hidden="1" x14ac:dyDescent="0.3">
      <c r="I848">
        <f ca="1"/>
        <v>7</v>
      </c>
      <c r="J848" t="str">
        <f ca="1"/>
        <v>Depreciation Expense</v>
      </c>
      <c r="K848">
        <f ca="1"/>
        <v>7.5</v>
      </c>
    </row>
    <row r="849" spans="9:11" hidden="1" x14ac:dyDescent="0.3">
      <c r="I849">
        <f ca="1"/>
        <v>7</v>
      </c>
      <c r="J849" t="str">
        <f ca="1"/>
        <v>Rent Expense</v>
      </c>
      <c r="K849">
        <f ca="1"/>
        <v>3</v>
      </c>
    </row>
    <row r="850" spans="9:11" x14ac:dyDescent="0.3">
      <c r="I850">
        <f ca="1"/>
        <v>7</v>
      </c>
      <c r="J850" t="str">
        <f ca="1"/>
        <v>Bad Debts Expense</v>
      </c>
      <c r="K850">
        <f ca="1"/>
        <v>0.15</v>
      </c>
    </row>
    <row r="851" spans="9:11" collapsed="1" x14ac:dyDescent="0.3">
      <c r="I851">
        <f ca="1"/>
        <v>7</v>
      </c>
      <c r="J851" t="str">
        <f ca="1"/>
        <v>Salaries &amp; Wages Expense</v>
      </c>
      <c r="K851">
        <f ca="1"/>
        <v>7</v>
      </c>
    </row>
    <row r="852" spans="9:11" x14ac:dyDescent="0.3">
      <c r="I852">
        <f ca="1"/>
        <v>5</v>
      </c>
      <c r="J852" t="str">
        <f ca="1"/>
        <v xml:space="preserve">  Total Expenses</v>
      </c>
      <c r="K852">
        <f ca="1"/>
        <v>44.2</v>
      </c>
    </row>
    <row r="853" spans="9:11" x14ac:dyDescent="0.3">
      <c r="I853" t="str">
        <f ca="1"/>
        <v/>
      </c>
      <c r="J853" t="str">
        <f ca="1"/>
        <v/>
      </c>
      <c r="K853" t="str">
        <f ca="1"/>
        <v/>
      </c>
    </row>
    <row r="854" spans="9:11" x14ac:dyDescent="0.3">
      <c r="I854" t="str">
        <f ca="1"/>
        <v/>
      </c>
      <c r="J854" t="str">
        <f ca="1"/>
        <v/>
      </c>
      <c r="K854" t="str">
        <f ca="1"/>
        <v/>
      </c>
    </row>
    <row r="855" spans="9:11" x14ac:dyDescent="0.3">
      <c r="I855" t="str">
        <f ca="1"/>
        <v/>
      </c>
      <c r="J855" t="str">
        <f ca="1"/>
        <v/>
      </c>
      <c r="K855" t="str">
        <f ca="1"/>
        <v/>
      </c>
    </row>
    <row r="856" spans="9:11" x14ac:dyDescent="0.3">
      <c r="I856" t="str">
        <f ca="1"/>
        <v/>
      </c>
      <c r="J856" t="str">
        <f ca="1"/>
        <v/>
      </c>
      <c r="K856" t="str">
        <f ca="1"/>
        <v/>
      </c>
    </row>
    <row r="857" spans="9:11" x14ac:dyDescent="0.3">
      <c r="I857" t="str">
        <f ca="1"/>
        <v/>
      </c>
      <c r="J857" t="str">
        <f ca="1"/>
        <v/>
      </c>
      <c r="K857" t="str">
        <f ca="1"/>
        <v/>
      </c>
    </row>
    <row r="858" spans="9:11" x14ac:dyDescent="0.3">
      <c r="I858">
        <f ca="1"/>
        <v>3</v>
      </c>
      <c r="J858" t="str">
        <f ca="1"/>
        <v>Net Income</v>
      </c>
      <c r="K858">
        <f ca="1"/>
        <v>-4.2</v>
      </c>
    </row>
  </sheetData>
  <sheetProtection formatColumns="0"/>
  <mergeCells count="1">
    <mergeCell ref="N4:V4"/>
  </mergeCells>
  <phoneticPr fontId="4" type="noConversion"/>
  <conditionalFormatting sqref="D14:D21">
    <cfRule type="expression" dxfId="430" priority="35">
      <formula>$C$14="Beginning Balance Sheet"</formula>
    </cfRule>
  </conditionalFormatting>
  <conditionalFormatting sqref="J7:J90">
    <cfRule type="expression" dxfId="429" priority="94">
      <formula>I7=2</formula>
    </cfRule>
    <cfRule type="expression" dxfId="428" priority="93">
      <formula>I7=4</formula>
    </cfRule>
    <cfRule type="expression" dxfId="427" priority="92">
      <formula>I7=5</formula>
    </cfRule>
    <cfRule type="expression" dxfId="426" priority="91">
      <formula>I7=3</formula>
    </cfRule>
  </conditionalFormatting>
  <conditionalFormatting sqref="J6:K6">
    <cfRule type="expression" dxfId="425" priority="436">
      <formula>NOT($H$101)</formula>
    </cfRule>
    <cfRule type="expression" dxfId="424" priority="434">
      <formula>NOT($G$101)</formula>
    </cfRule>
    <cfRule type="expression" dxfId="423" priority="435">
      <formula>AND($S$105,$G$101,$H$101)</formula>
    </cfRule>
  </conditionalFormatting>
  <conditionalFormatting sqref="K7:K90">
    <cfRule type="expression" dxfId="422" priority="85">
      <formula>I7=6</formula>
    </cfRule>
    <cfRule type="expression" dxfId="421" priority="87">
      <formula>I7=5</formula>
    </cfRule>
    <cfRule type="expression" dxfId="420" priority="90">
      <formula>I7=2</formula>
    </cfRule>
    <cfRule type="expression" dxfId="419" priority="89">
      <formula>I7=3</formula>
    </cfRule>
    <cfRule type="expression" dxfId="418" priority="86">
      <formula>I7=7</formula>
    </cfRule>
  </conditionalFormatting>
  <conditionalFormatting sqref="N7:N90">
    <cfRule type="expression" dxfId="417" priority="68">
      <formula>M7=2</formula>
    </cfRule>
    <cfRule type="expression" dxfId="416" priority="33">
      <formula>M7=5</formula>
    </cfRule>
    <cfRule type="expression" dxfId="415" priority="66">
      <formula>M7=3</formula>
    </cfRule>
  </conditionalFormatting>
  <conditionalFormatting sqref="N6:O6">
    <cfRule type="expression" dxfId="414" priority="438">
      <formula>NOT($H$102)</formula>
    </cfRule>
    <cfRule type="expression" dxfId="413" priority="437">
      <formula>AND($S$111,$H$102)</formula>
    </cfRule>
  </conditionalFormatting>
  <conditionalFormatting sqref="N7:O90">
    <cfRule type="expression" dxfId="412" priority="5">
      <formula>$M7=1</formula>
    </cfRule>
  </conditionalFormatting>
  <conditionalFormatting sqref="N9:O90">
    <cfRule type="expression" dxfId="411" priority="446">
      <formula>AND($O$3,$AE9)</formula>
    </cfRule>
  </conditionalFormatting>
  <conditionalFormatting sqref="O7:O90">
    <cfRule type="expression" dxfId="410" priority="34">
      <formula>M7=5</formula>
    </cfRule>
    <cfRule type="expression" dxfId="409" priority="69">
      <formula>M7=2</formula>
    </cfRule>
    <cfRule type="expression" dxfId="408" priority="67">
      <formula>M7=6</formula>
    </cfRule>
    <cfRule type="expression" dxfId="407" priority="7">
      <formula>M7=7</formula>
    </cfRule>
    <cfRule type="expression" dxfId="406" priority="65">
      <formula>M7=3</formula>
    </cfRule>
  </conditionalFormatting>
  <conditionalFormatting sqref="R7:R90">
    <cfRule type="expression" dxfId="405" priority="43">
      <formula>Q7=3</formula>
    </cfRule>
    <cfRule type="expression" dxfId="404" priority="44">
      <formula>Q7=5</formula>
    </cfRule>
    <cfRule type="expression" dxfId="403" priority="45">
      <formula>Q7=4</formula>
    </cfRule>
    <cfRule type="expression" dxfId="402" priority="46">
      <formula>Q7=2</formula>
    </cfRule>
  </conditionalFormatting>
  <conditionalFormatting sqref="R6:S6">
    <cfRule type="expression" dxfId="401" priority="439">
      <formula>IF($R$6&lt;&gt;"",$H$103)</formula>
    </cfRule>
    <cfRule type="expression" dxfId="400" priority="440">
      <formula>NOT($H$103)</formula>
    </cfRule>
  </conditionalFormatting>
  <conditionalFormatting sqref="R9:S89">
    <cfRule type="expression" dxfId="399" priority="3">
      <formula>AND($O$3,$AH9)</formula>
    </cfRule>
  </conditionalFormatting>
  <conditionalFormatting sqref="S7:S90">
    <cfRule type="expression" dxfId="398" priority="38">
      <formula>Q7=6</formula>
    </cfRule>
    <cfRule type="expression" dxfId="397" priority="39">
      <formula>Q7=7</formula>
    </cfRule>
    <cfRule type="expression" dxfId="396" priority="40">
      <formula>Q7=5</formula>
    </cfRule>
    <cfRule type="expression" dxfId="395" priority="41">
      <formula>Q7=3</formula>
    </cfRule>
    <cfRule type="expression" dxfId="394" priority="42">
      <formula>Q7=2</formula>
    </cfRule>
  </conditionalFormatting>
  <conditionalFormatting sqref="U7:U90">
    <cfRule type="expression" dxfId="393" priority="61">
      <formula>T7=5</formula>
    </cfRule>
    <cfRule type="expression" dxfId="392" priority="62">
      <formula>T7=4</formula>
    </cfRule>
    <cfRule type="expression" dxfId="391" priority="63">
      <formula>T7=2</formula>
    </cfRule>
    <cfRule type="expression" dxfId="390" priority="60">
      <formula>T7=3</formula>
    </cfRule>
  </conditionalFormatting>
  <conditionalFormatting sqref="U7:V90">
    <cfRule type="expression" dxfId="387" priority="6">
      <formula>$T7=1</formula>
    </cfRule>
  </conditionalFormatting>
  <conditionalFormatting sqref="U9:V90">
    <cfRule type="expression" dxfId="386" priority="2">
      <formula>AND($O$3,$AL9)</formula>
    </cfRule>
  </conditionalFormatting>
  <conditionalFormatting sqref="V7:V90">
    <cfRule type="expression" dxfId="385" priority="58">
      <formula>T7=3</formula>
    </cfRule>
    <cfRule type="expression" dxfId="384" priority="57">
      <formula>T7=5</formula>
    </cfRule>
    <cfRule type="expression" dxfId="383" priority="56">
      <formula>T7=7</formula>
    </cfRule>
    <cfRule type="expression" dxfId="382" priority="55">
      <formula>T7=6</formula>
    </cfRule>
    <cfRule type="expression" dxfId="381"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380" priority="79">
      <formula>X7=3</formula>
    </cfRule>
    <cfRule type="expression" dxfId="379" priority="80">
      <formula>X7=5</formula>
    </cfRule>
    <cfRule type="expression" dxfId="378" priority="81">
      <formula>X7=4</formula>
    </cfRule>
    <cfRule type="expression" dxfId="377" priority="82">
      <formula>X7=2</formula>
    </cfRule>
  </conditionalFormatting>
  <conditionalFormatting sqref="Y6:Z6">
    <cfRule type="expression" dxfId="376" priority="441">
      <formula>NOT($G$106)</formula>
    </cfRule>
    <cfRule type="expression" dxfId="375" priority="442">
      <formula>AND($S$146,$G$106,$H$106)</formula>
    </cfRule>
    <cfRule type="expression" dxfId="374" priority="443">
      <formula>NOT($H$106)</formula>
    </cfRule>
  </conditionalFormatting>
  <conditionalFormatting sqref="Y9:Z90">
    <cfRule type="expression" dxfId="373" priority="1">
      <formula>AND($O$3,$AP9)</formula>
    </cfRule>
  </conditionalFormatting>
  <conditionalFormatting sqref="Z7:Z90">
    <cfRule type="expression" dxfId="372" priority="74">
      <formula>X7=6</formula>
    </cfRule>
    <cfRule type="expression" dxfId="371" priority="75">
      <formula>X7=7</formula>
    </cfRule>
    <cfRule type="expression" dxfId="370" priority="76">
      <formula>X7=5</formula>
    </cfRule>
    <cfRule type="expression" dxfId="369" priority="77">
      <formula>X7=3</formula>
    </cfRule>
    <cfRule type="expression" dxfId="368"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defaultColWidth="9.109375" defaultRowHeight="14.4" x14ac:dyDescent="0.3"/>
  <cols>
    <col min="1" max="1" width="4" style="450" customWidth="1"/>
    <col min="2" max="2" width="5.88671875" style="451" customWidth="1"/>
    <col min="3" max="3" width="103.77734375" style="450" customWidth="1"/>
    <col min="4" max="16384" width="9.109375" style="450"/>
  </cols>
  <sheetData>
    <row r="1" spans="2:3" ht="23.4" x14ac:dyDescent="0.45">
      <c r="C1" s="363" t="str">
        <f>Entity</f>
        <v>Ralphy's Business</v>
      </c>
    </row>
    <row r="2" spans="2:3" x14ac:dyDescent="0.3">
      <c r="C2" s="362" t="str">
        <f>Units</f>
        <v>Dollars in Thousands</v>
      </c>
    </row>
    <row r="4" spans="2:3" x14ac:dyDescent="0.3">
      <c r="C4" s="456" t="s">
        <v>325</v>
      </c>
    </row>
    <row r="5" spans="2:3" x14ac:dyDescent="0.3">
      <c r="B5" s="451" cm="1">
        <f t="array" ref="B5:C23">FSConstruction!B117:C135</f>
        <v>10</v>
      </c>
      <c r="C5" s="194" t="str">
        <v>BUSINESS OPERATIONS</v>
      </c>
    </row>
    <row r="6" spans="2:3" x14ac:dyDescent="0.3">
      <c r="B6" s="451">
        <v>11</v>
      </c>
      <c r="C6" s="194" t="str">
        <v>Ralphy's Business (the 'Company', 'we', 'us', 'our') is a For-profit corporation whose activity is Retail.</v>
      </c>
    </row>
    <row r="7" spans="2:3" ht="28.8" x14ac:dyDescent="0.3">
      <c r="B7" s="451">
        <v>10</v>
      </c>
      <c r="C7" s="194" t="str">
        <v xml:space="preserve">
SUMMARY OF SIGNIFICANT ACCOUNTING POLICIES</v>
      </c>
    </row>
    <row r="8" spans="2:3" ht="28.8" x14ac:dyDescent="0.3">
      <c r="B8" s="451">
        <v>10</v>
      </c>
      <c r="C8" s="194" t="str">
        <v xml:space="preserve">
Basis of Presentation and Use of Estimates</v>
      </c>
    </row>
    <row r="9" spans="2:3" ht="57.6" x14ac:dyDescent="0.3">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28.8" x14ac:dyDescent="0.3">
      <c r="B10" s="451">
        <v>10</v>
      </c>
      <c r="C10" s="194" t="str">
        <v xml:space="preserve">
Cash</v>
      </c>
    </row>
    <row r="11" spans="2:3" x14ac:dyDescent="0.3">
      <c r="B11" s="451">
        <v>11</v>
      </c>
      <c r="C11" s="194" t="str">
        <v>Cash includes demand deposits, money market accounts, …</v>
      </c>
    </row>
    <row r="12" spans="2:3" ht="28.8" x14ac:dyDescent="0.3">
      <c r="B12" s="451">
        <v>10</v>
      </c>
      <c r="C12" s="194" t="str">
        <v xml:space="preserve">
Inventories</v>
      </c>
    </row>
    <row r="13" spans="2:3" x14ac:dyDescent="0.3">
      <c r="B13" s="451">
        <v>11</v>
      </c>
      <c r="C13" s="194" t="str">
        <v>Our inventories are exclusively goods held for resale and stated on a First-in, first-out (FIFO) basis.</v>
      </c>
    </row>
    <row r="14" spans="2:3" ht="28.8" x14ac:dyDescent="0.3">
      <c r="B14" s="451">
        <v>10</v>
      </c>
      <c r="C14" s="194" t="str">
        <v xml:space="preserve">
Property, Plant &amp; Equipment</v>
      </c>
    </row>
    <row r="15" spans="2:3" x14ac:dyDescent="0.3">
      <c r="B15" s="451">
        <v>11</v>
      </c>
      <c r="C15" s="194" t="str">
        <v>The Company calculates depreciation expense on a straight-line basis.</v>
      </c>
    </row>
    <row r="16" spans="2:3" ht="28.8" x14ac:dyDescent="0.3">
      <c r="B16" s="451">
        <v>10</v>
      </c>
      <c r="C16" s="194" t="str">
        <v xml:space="preserve">
Revenue Recognition</v>
      </c>
    </row>
    <row r="17" spans="2:3" ht="57.6" x14ac:dyDescent="0.3">
      <c r="B17" s="451">
        <v>11</v>
      </c>
      <c r="C17" s="194" t="str">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8" spans="2:3" ht="28.8" x14ac:dyDescent="0.3">
      <c r="B18" s="451">
        <v>10</v>
      </c>
      <c r="C18" s="194" t="str">
        <v xml:space="preserve">
New Accounting Pronouncements </v>
      </c>
    </row>
    <row r="19" spans="2:3" ht="28.8" x14ac:dyDescent="0.3">
      <c r="B19" s="451">
        <v>11</v>
      </c>
      <c r="C19" s="194" t="str">
        <v>In May 20x1, the FASB issued Accounting Standards Update (ASU) No. 20x1-zz, Title, which requires …. We will adopt this ASU on …</v>
      </c>
    </row>
    <row r="20" spans="2:3" ht="28.8" x14ac:dyDescent="0.3">
      <c r="B20" s="451">
        <v>10</v>
      </c>
      <c r="C20" s="194" t="str">
        <v xml:space="preserve">
Contingent Liabilities and Commitments</v>
      </c>
    </row>
    <row r="21" spans="2:3" ht="28.8" x14ac:dyDescent="0.3">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28.8" x14ac:dyDescent="0.3">
      <c r="B22" s="451">
        <v>10</v>
      </c>
      <c r="C22" s="194" t="str">
        <v xml:space="preserve">
Subsequent Events</v>
      </c>
    </row>
    <row r="23" spans="2:3" ht="28.8" x14ac:dyDescent="0.3">
      <c r="B23" s="451">
        <v>11</v>
      </c>
      <c r="C23" s="194" t="str">
        <v>We have evaluated subsequent events through 3/31/20x5, the date we have issued these financial statements. As of that date, there were no material, reportable subsequent events.</v>
      </c>
    </row>
    <row r="24" spans="2:3" x14ac:dyDescent="0.3">
      <c r="C24" s="194"/>
    </row>
    <row r="25" spans="2:3" x14ac:dyDescent="0.3">
      <c r="C25" s="194"/>
    </row>
    <row r="26" spans="2:3" x14ac:dyDescent="0.3">
      <c r="C26" s="457"/>
    </row>
    <row r="27" spans="2:3" x14ac:dyDescent="0.3">
      <c r="C27" s="457"/>
    </row>
    <row r="28" spans="2:3" x14ac:dyDescent="0.3">
      <c r="C28" s="457"/>
    </row>
    <row r="29" spans="2:3" x14ac:dyDescent="0.3">
      <c r="C29" s="457"/>
    </row>
    <row r="30" spans="2:3" x14ac:dyDescent="0.3">
      <c r="C30" s="457"/>
    </row>
    <row r="31" spans="2:3" x14ac:dyDescent="0.3">
      <c r="C31" s="457"/>
    </row>
    <row r="32" spans="2:3" x14ac:dyDescent="0.3">
      <c r="C32" s="457"/>
    </row>
    <row r="33" spans="3:3" x14ac:dyDescent="0.3">
      <c r="C33" s="457"/>
    </row>
    <row r="34" spans="3:3" x14ac:dyDescent="0.3">
      <c r="C34" s="457"/>
    </row>
    <row r="35" spans="3:3" x14ac:dyDescent="0.3">
      <c r="C35" s="457"/>
    </row>
    <row r="36" spans="3:3" x14ac:dyDescent="0.3">
      <c r="C36" s="457"/>
    </row>
    <row r="37" spans="3:3" x14ac:dyDescent="0.3">
      <c r="C37" s="457"/>
    </row>
    <row r="38" spans="3:3" x14ac:dyDescent="0.3">
      <c r="C38" s="457"/>
    </row>
    <row r="39" spans="3:3" x14ac:dyDescent="0.3">
      <c r="C39" s="457"/>
    </row>
    <row r="40" spans="3:3" x14ac:dyDescent="0.3">
      <c r="C40" s="457"/>
    </row>
    <row r="41" spans="3:3" x14ac:dyDescent="0.3">
      <c r="C41" s="457"/>
    </row>
    <row r="42" spans="3:3" x14ac:dyDescent="0.3">
      <c r="C42" s="457"/>
    </row>
    <row r="43" spans="3:3" x14ac:dyDescent="0.3">
      <c r="C43" s="457"/>
    </row>
    <row r="44" spans="3:3" x14ac:dyDescent="0.3">
      <c r="C44" s="457"/>
    </row>
    <row r="45" spans="3:3" x14ac:dyDescent="0.3">
      <c r="C45" s="457"/>
    </row>
    <row r="46" spans="3:3" x14ac:dyDescent="0.3">
      <c r="C46" s="457"/>
    </row>
    <row r="47" spans="3:3" x14ac:dyDescent="0.3">
      <c r="C47" s="457"/>
    </row>
    <row r="48" spans="3:3" x14ac:dyDescent="0.3">
      <c r="C48" s="457"/>
    </row>
    <row r="49" spans="3:3" x14ac:dyDescent="0.3">
      <c r="C49" s="457"/>
    </row>
    <row r="50" spans="3:3" x14ac:dyDescent="0.3">
      <c r="C50" s="457"/>
    </row>
    <row r="51" spans="3:3" x14ac:dyDescent="0.3">
      <c r="C51" s="457"/>
    </row>
    <row r="52" spans="3:3" x14ac:dyDescent="0.3">
      <c r="C52" s="457"/>
    </row>
    <row r="53" spans="3:3" x14ac:dyDescent="0.3">
      <c r="C53" s="457"/>
    </row>
    <row r="54" spans="3:3" x14ac:dyDescent="0.3">
      <c r="C54" s="457"/>
    </row>
    <row r="55" spans="3:3" x14ac:dyDescent="0.3">
      <c r="C55" s="457"/>
    </row>
    <row r="56" spans="3:3" x14ac:dyDescent="0.3">
      <c r="C56" s="457"/>
    </row>
    <row r="57" spans="3:3" x14ac:dyDescent="0.3">
      <c r="C57" s="457"/>
    </row>
    <row r="58" spans="3:3" x14ac:dyDescent="0.3">
      <c r="C58" s="457"/>
    </row>
    <row r="59" spans="3:3" x14ac:dyDescent="0.3">
      <c r="C59" s="457"/>
    </row>
    <row r="60" spans="3:3" x14ac:dyDescent="0.3">
      <c r="C60" s="457"/>
    </row>
  </sheetData>
  <conditionalFormatting sqref="C5:C60">
    <cfRule type="expression" dxfId="367" priority="1">
      <formula>B5=8</formula>
    </cfRule>
    <cfRule type="expression" dxfId="366"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12"/>
  <sheetViews>
    <sheetView zoomScaleNormal="100" workbookViewId="0">
      <selection activeCell="A4" sqref="A4"/>
    </sheetView>
  </sheetViews>
  <sheetFormatPr defaultRowHeight="14.4" outlineLevelRow="1" x14ac:dyDescent="0.3"/>
  <cols>
    <col min="1" max="1" width="6" customWidth="1"/>
    <col min="2" max="2" width="6.21875" customWidth="1"/>
    <col min="3" max="3" width="20" customWidth="1"/>
    <col min="4" max="4" width="19.109375" customWidth="1"/>
    <col min="5" max="5" width="18.44140625" customWidth="1"/>
    <col min="6" max="7" width="11.44140625" customWidth="1"/>
    <col min="8" max="8" width="6.44140625" customWidth="1"/>
    <col min="9" max="9" width="22.44140625" customWidth="1"/>
    <col min="10" max="10" width="15.5546875" customWidth="1"/>
    <col min="11" max="11" width="14" customWidth="1"/>
    <col min="12" max="12" width="10.88671875" customWidth="1"/>
    <col min="13" max="13" width="11.5546875" customWidth="1"/>
    <col min="14" max="15" width="13" customWidth="1"/>
    <col min="17" max="17" width="14.88671875" customWidth="1"/>
    <col min="18" max="18" width="15.44140625" customWidth="1"/>
  </cols>
  <sheetData>
    <row r="2" spans="2:14" x14ac:dyDescent="0.3">
      <c r="B2" s="176" t="s">
        <v>326</v>
      </c>
      <c r="C2" s="176"/>
      <c r="D2" s="177"/>
      <c r="E2" s="177"/>
      <c r="F2" s="177"/>
      <c r="G2" s="177"/>
      <c r="H2" s="177"/>
      <c r="I2" s="177"/>
      <c r="J2" s="177"/>
      <c r="K2" s="177"/>
      <c r="L2" s="177"/>
      <c r="M2" s="177"/>
      <c r="N2" s="177"/>
    </row>
    <row r="3" spans="2:14" ht="15" thickBot="1" x14ac:dyDescent="0.35">
      <c r="D3" s="178" t="s">
        <v>327</v>
      </c>
    </row>
    <row r="4" spans="2:14" ht="15" thickBot="1" x14ac:dyDescent="0.35">
      <c r="C4" s="179" t="s">
        <v>48</v>
      </c>
      <c r="D4" s="180"/>
      <c r="F4" s="181"/>
      <c r="H4" s="656"/>
      <c r="I4" s="656"/>
      <c r="J4" s="656"/>
      <c r="K4" s="656"/>
      <c r="L4" s="656"/>
      <c r="M4" s="656"/>
    </row>
    <row r="5" spans="2:14" ht="15" thickBot="1" x14ac:dyDescent="0.35">
      <c r="H5" s="656"/>
      <c r="I5" s="656"/>
      <c r="J5" s="656"/>
      <c r="K5" s="656"/>
      <c r="L5" s="656"/>
      <c r="M5" s="656"/>
    </row>
    <row r="6" spans="2:14" ht="15" thickBot="1" x14ac:dyDescent="0.35">
      <c r="C6" s="764" t="s">
        <v>328</v>
      </c>
      <c r="D6" s="765"/>
      <c r="E6" s="766"/>
      <c r="H6" s="656"/>
      <c r="I6" s="656"/>
      <c r="J6" s="656"/>
      <c r="K6" s="656"/>
      <c r="L6" s="656"/>
      <c r="M6" s="656"/>
    </row>
    <row r="7" spans="2:14" ht="14.85" customHeight="1" x14ac:dyDescent="0.3">
      <c r="C7" s="767" t="str" cm="1">
        <f t="array" ref="C7">INDEX(ProblemData!D78:AN79,2,D4+1)</f>
        <v>Transaction Info</v>
      </c>
      <c r="D7" s="768"/>
      <c r="E7" s="769"/>
      <c r="H7" s="656"/>
      <c r="I7" s="656"/>
      <c r="J7" s="656"/>
      <c r="K7" s="656"/>
      <c r="L7" s="656"/>
      <c r="M7" s="656"/>
    </row>
    <row r="8" spans="2:14" x14ac:dyDescent="0.3">
      <c r="C8" s="745"/>
      <c r="D8" s="746"/>
      <c r="E8" s="770"/>
      <c r="H8" s="656"/>
      <c r="I8" s="656"/>
      <c r="J8" s="656"/>
      <c r="K8" s="656"/>
      <c r="L8" s="656"/>
      <c r="M8" s="656"/>
    </row>
    <row r="9" spans="2:14" x14ac:dyDescent="0.3">
      <c r="C9" s="745"/>
      <c r="D9" s="746"/>
      <c r="E9" s="770"/>
      <c r="H9" s="656"/>
      <c r="I9" s="656"/>
      <c r="J9" s="656"/>
      <c r="K9" s="656"/>
      <c r="L9" s="656"/>
      <c r="M9" s="656"/>
    </row>
    <row r="10" spans="2:14" x14ac:dyDescent="0.3">
      <c r="C10" s="745"/>
      <c r="D10" s="746"/>
      <c r="E10" s="770"/>
      <c r="H10" s="656"/>
      <c r="I10" s="656"/>
      <c r="J10" s="656"/>
      <c r="K10" s="656"/>
      <c r="L10" s="656"/>
      <c r="M10" s="656"/>
    </row>
    <row r="11" spans="2:14" ht="15" thickBot="1" x14ac:dyDescent="0.35">
      <c r="C11" s="747"/>
      <c r="D11" s="748"/>
      <c r="E11" s="771"/>
    </row>
    <row r="13" spans="2:14" x14ac:dyDescent="0.3">
      <c r="B13" s="176" t="s">
        <v>329</v>
      </c>
      <c r="C13" s="176"/>
      <c r="D13" s="177"/>
      <c r="E13" s="177"/>
      <c r="F13" s="177"/>
      <c r="G13" s="177"/>
      <c r="H13" s="177"/>
      <c r="I13" s="177"/>
      <c r="J13" s="177"/>
      <c r="K13" s="177"/>
      <c r="L13" s="177"/>
      <c r="M13" s="177"/>
      <c r="N13" s="177"/>
    </row>
    <row r="14" spans="2:14" ht="15" hidden="1" outlineLevel="1" thickBot="1" x14ac:dyDescent="0.35"/>
    <row r="15" spans="2:14" hidden="1" outlineLevel="1" x14ac:dyDescent="0.3">
      <c r="C15" s="708" t="s">
        <v>330</v>
      </c>
      <c r="D15" s="721"/>
    </row>
    <row r="16" spans="2:14" ht="15" hidden="1" outlineLevel="1" thickBot="1" x14ac:dyDescent="0.35">
      <c r="C16" s="709"/>
      <c r="D16" s="722"/>
    </row>
    <row r="17" spans="2:14" ht="15" hidden="1" outlineLevel="1" thickBot="1" x14ac:dyDescent="0.35">
      <c r="E17" s="1"/>
      <c r="I17" s="39" t="str">
        <f>_xlfn.IFNA(MATCH($D$4,ProblemData!E78:$AM$78,0),"")</f>
        <v/>
      </c>
    </row>
    <row r="18" spans="2:14" ht="15" hidden="1" outlineLevel="1" thickBot="1" x14ac:dyDescent="0.35">
      <c r="C18" s="772" t="s">
        <v>331</v>
      </c>
      <c r="D18" s="773"/>
      <c r="E18" s="774"/>
      <c r="I18" s="39" t="str" cm="1">
        <f t="array" ref="I18">IFERROR(D15&amp;INDEX(ProblemData!$E$78:$AM$83,3,I17),"")</f>
        <v/>
      </c>
    </row>
    <row r="19" spans="2:14" hidden="1" outlineLevel="1" x14ac:dyDescent="0.3">
      <c r="C19" s="767" t="str">
        <f>IF(ISBLANK(D15),"",_xlfn.XLOOKUP(I18,MD_RecognitionFeedback[Student&amp;Answer],MD_RecognitionFeedback[Feedback],""))</f>
        <v/>
      </c>
      <c r="D19" s="768"/>
      <c r="E19" s="769"/>
      <c r="H19" s="1"/>
    </row>
    <row r="20" spans="2:14" hidden="1" outlineLevel="1" x14ac:dyDescent="0.3">
      <c r="B20" s="1"/>
      <c r="C20" s="745"/>
      <c r="D20" s="746"/>
      <c r="E20" s="770"/>
      <c r="F20" s="181"/>
    </row>
    <row r="21" spans="2:14" ht="15" hidden="1" customHeight="1" outlineLevel="1" x14ac:dyDescent="0.3">
      <c r="B21" s="1"/>
      <c r="C21" s="745" t="str" cm="1">
        <f t="array" ref="C21">IF(NOT(ISBLANK(D15)),INDEX(ProblemData!$E$78:$AM$83,4,I17),"")</f>
        <v/>
      </c>
      <c r="D21" s="746"/>
      <c r="E21" s="770"/>
    </row>
    <row r="22" spans="2:14" ht="15" hidden="1" customHeight="1" outlineLevel="1" x14ac:dyDescent="0.3">
      <c r="B22" s="1"/>
      <c r="C22" s="745"/>
      <c r="D22" s="746"/>
      <c r="E22" s="770"/>
    </row>
    <row r="23" spans="2:14" ht="15" hidden="1" customHeight="1" outlineLevel="1" x14ac:dyDescent="0.3">
      <c r="B23" s="1"/>
      <c r="C23" s="745"/>
      <c r="D23" s="746"/>
      <c r="E23" s="770"/>
    </row>
    <row r="24" spans="2:14" ht="18" hidden="1" outlineLevel="1" x14ac:dyDescent="0.35">
      <c r="B24" s="1"/>
      <c r="C24" s="745"/>
      <c r="D24" s="746"/>
      <c r="E24" s="770"/>
      <c r="G24" s="183"/>
      <c r="H24" s="184"/>
    </row>
    <row r="25" spans="2:14" ht="15" hidden="1" outlineLevel="1" thickBot="1" x14ac:dyDescent="0.35">
      <c r="B25" s="1"/>
      <c r="C25" s="747"/>
      <c r="D25" s="748"/>
      <c r="E25" s="771"/>
    </row>
    <row r="26" spans="2:14" ht="15" hidden="1" outlineLevel="1" thickBot="1" x14ac:dyDescent="0.35">
      <c r="B26" s="1"/>
      <c r="C26" s="182"/>
      <c r="D26" s="182"/>
      <c r="E26" s="182"/>
    </row>
    <row r="27" spans="2:14" hidden="1" outlineLevel="1" x14ac:dyDescent="0.3">
      <c r="B27" s="1"/>
      <c r="C27" s="723" t="s">
        <v>332</v>
      </c>
      <c r="D27" s="775"/>
      <c r="E27" s="776"/>
    </row>
    <row r="28" spans="2:14" ht="14.1" hidden="1" customHeight="1" outlineLevel="1" x14ac:dyDescent="0.3">
      <c r="B28" s="1"/>
      <c r="C28" s="777"/>
      <c r="D28" s="778"/>
      <c r="E28" s="779"/>
    </row>
    <row r="29" spans="2:14" ht="20.85" hidden="1" customHeight="1" outlineLevel="1" x14ac:dyDescent="0.3">
      <c r="B29" s="1"/>
      <c r="C29" s="777"/>
      <c r="D29" s="778"/>
      <c r="E29" s="779"/>
    </row>
    <row r="30" spans="2:14" ht="20.85" hidden="1" customHeight="1" outlineLevel="1" thickBot="1" x14ac:dyDescent="0.35">
      <c r="B30" s="1"/>
      <c r="C30" s="780"/>
      <c r="D30" s="781"/>
      <c r="E30" s="782"/>
    </row>
    <row r="31" spans="2:14" collapsed="1" x14ac:dyDescent="0.3"/>
    <row r="32" spans="2:14" x14ac:dyDescent="0.3">
      <c r="B32" s="176" t="s">
        <v>333</v>
      </c>
      <c r="C32" s="176"/>
      <c r="D32" s="177"/>
      <c r="E32" s="177"/>
      <c r="F32" s="177"/>
      <c r="G32" s="177"/>
      <c r="H32" s="177"/>
      <c r="I32" s="177"/>
      <c r="J32" s="177"/>
      <c r="K32" s="177"/>
      <c r="L32" s="177"/>
      <c r="M32" s="177"/>
      <c r="N32" s="177"/>
    </row>
    <row r="33" spans="3:9" hidden="1" outlineLevel="1" x14ac:dyDescent="0.3"/>
    <row r="34" spans="3:9" hidden="1" outlineLevel="1" x14ac:dyDescent="0.3">
      <c r="C34" s="783" t="s">
        <v>334</v>
      </c>
      <c r="D34" s="783"/>
      <c r="E34" s="783"/>
    </row>
    <row r="35" spans="3:9" ht="15" hidden="1" outlineLevel="1" thickBot="1" x14ac:dyDescent="0.35"/>
    <row r="36" spans="3:9" ht="15" hidden="1" outlineLevel="1" thickBot="1" x14ac:dyDescent="0.35">
      <c r="C36" s="784" t="s">
        <v>335</v>
      </c>
      <c r="D36" s="785"/>
      <c r="E36" s="786"/>
      <c r="G36" s="761" t="s">
        <v>336</v>
      </c>
      <c r="H36" s="762"/>
      <c r="I36" s="763"/>
    </row>
    <row r="37" spans="3:9" ht="15" hidden="1" outlineLevel="1" thickBot="1" x14ac:dyDescent="0.35">
      <c r="C37" s="431" t="s">
        <v>37</v>
      </c>
      <c r="D37" s="432" t="s">
        <v>38</v>
      </c>
      <c r="E37" s="185" t="s">
        <v>39</v>
      </c>
      <c r="G37" s="755" t="s">
        <v>337</v>
      </c>
      <c r="H37" s="756"/>
      <c r="I37" s="757"/>
    </row>
    <row r="38" spans="3:9" hidden="1" outlineLevel="1" x14ac:dyDescent="0.3">
      <c r="C38" s="425"/>
      <c r="D38" s="428"/>
      <c r="E38" s="186"/>
      <c r="G38" s="758" t="s">
        <v>338</v>
      </c>
      <c r="H38" s="759"/>
      <c r="I38" s="760"/>
    </row>
    <row r="39" spans="3:9" ht="15" hidden="1" outlineLevel="1" thickBot="1" x14ac:dyDescent="0.35">
      <c r="C39" s="426"/>
      <c r="D39" s="429"/>
      <c r="E39" s="187"/>
      <c r="G39" s="749" t="s">
        <v>339</v>
      </c>
      <c r="H39" s="750"/>
      <c r="I39" s="751"/>
    </row>
    <row r="40" spans="3:9" hidden="1" outlineLevel="1" x14ac:dyDescent="0.3">
      <c r="C40" s="426"/>
      <c r="D40" s="429"/>
      <c r="E40" s="187"/>
    </row>
    <row r="41" spans="3:9" ht="15" hidden="1" outlineLevel="1" thickBot="1" x14ac:dyDescent="0.35">
      <c r="C41" s="426"/>
      <c r="D41" s="429"/>
      <c r="E41" s="187"/>
    </row>
    <row r="42" spans="3:9" ht="15" hidden="1" outlineLevel="1" thickBot="1" x14ac:dyDescent="0.35">
      <c r="C42" s="426"/>
      <c r="D42" s="429"/>
      <c r="E42" s="187"/>
      <c r="G42" s="752" t="s">
        <v>340</v>
      </c>
      <c r="H42" s="753"/>
      <c r="I42" s="754"/>
    </row>
    <row r="43" spans="3:9" hidden="1" outlineLevel="1" x14ac:dyDescent="0.3">
      <c r="C43" s="426"/>
      <c r="D43" s="429"/>
      <c r="E43" s="187"/>
      <c r="G43" s="755" t="s">
        <v>341</v>
      </c>
      <c r="H43" s="756"/>
      <c r="I43" s="757"/>
    </row>
    <row r="44" spans="3:9" hidden="1" outlineLevel="1" x14ac:dyDescent="0.3">
      <c r="C44" s="426"/>
      <c r="D44" s="429"/>
      <c r="E44" s="187"/>
      <c r="G44" s="758" t="s">
        <v>342</v>
      </c>
      <c r="H44" s="759"/>
      <c r="I44" s="760"/>
    </row>
    <row r="45" spans="3:9" ht="15" hidden="1" outlineLevel="1" thickBot="1" x14ac:dyDescent="0.35">
      <c r="C45" s="427"/>
      <c r="D45" s="430"/>
      <c r="E45" s="187"/>
      <c r="G45" s="749" t="s">
        <v>339</v>
      </c>
      <c r="H45" s="750"/>
      <c r="I45" s="751"/>
    </row>
    <row r="46" spans="3:9" ht="15" hidden="1" outlineLevel="1" thickBot="1" x14ac:dyDescent="0.35">
      <c r="C46" s="188">
        <f>SUM(C38:C45)</f>
        <v>0</v>
      </c>
      <c r="D46" s="189">
        <f>SUM(D38:D45)</f>
        <v>0</v>
      </c>
      <c r="E46" s="190">
        <f>C46-D46</f>
        <v>0</v>
      </c>
    </row>
    <row r="47" spans="3:9" ht="15" hidden="1" outlineLevel="1" thickBot="1" x14ac:dyDescent="0.35"/>
    <row r="48" spans="3:9" ht="19.350000000000001" hidden="1" customHeight="1" outlineLevel="1" x14ac:dyDescent="0.3">
      <c r="C48" s="708" t="s">
        <v>343</v>
      </c>
      <c r="D48" s="721"/>
    </row>
    <row r="49" spans="2:19" ht="19.350000000000001" hidden="1" customHeight="1" outlineLevel="1" thickBot="1" x14ac:dyDescent="0.35">
      <c r="C49" s="709"/>
      <c r="D49" s="722"/>
    </row>
    <row r="50" spans="2:19" ht="19.350000000000001" hidden="1" customHeight="1" outlineLevel="1" thickBot="1" x14ac:dyDescent="0.35">
      <c r="C50" s="191"/>
      <c r="D50" s="28"/>
    </row>
    <row r="51" spans="2:19" ht="19.350000000000001" hidden="1" customHeight="1" outlineLevel="1" x14ac:dyDescent="0.3">
      <c r="C51" s="723" t="str" cm="1">
        <f t="array" ref="C51">_xlfn.IFS(AND(E46=0,D48="YES"),MasterData!C405,AND(E46&lt;&gt;0,D48="YES"),MasterData!C406,OR(D48="",D48="NO"),"")</f>
        <v/>
      </c>
      <c r="D51" s="724"/>
      <c r="E51" s="725"/>
      <c r="G51" s="39"/>
    </row>
    <row r="52" spans="2:19" ht="19.350000000000001" hidden="1" customHeight="1" outlineLevel="1" x14ac:dyDescent="0.3">
      <c r="C52" s="726"/>
      <c r="D52" s="727"/>
      <c r="E52" s="728"/>
      <c r="G52" s="39"/>
    </row>
    <row r="53" spans="2:19" ht="19.350000000000001" hidden="1" customHeight="1" outlineLevel="1" x14ac:dyDescent="0.3">
      <c r="C53" s="726"/>
      <c r="D53" s="727"/>
      <c r="E53" s="728"/>
    </row>
    <row r="54" spans="2:19" ht="19.350000000000001" hidden="1" customHeight="1" outlineLevel="1" x14ac:dyDescent="0.3">
      <c r="C54" s="726"/>
      <c r="D54" s="727"/>
      <c r="E54" s="728"/>
    </row>
    <row r="55" spans="2:19" ht="19.350000000000001" hidden="1" customHeight="1" outlineLevel="1" x14ac:dyDescent="0.3">
      <c r="C55" s="726"/>
      <c r="D55" s="727"/>
      <c r="E55" s="728"/>
    </row>
    <row r="56" spans="2:19" ht="19.350000000000001" hidden="1" customHeight="1" outlineLevel="1" thickBot="1" x14ac:dyDescent="0.35">
      <c r="C56" s="729"/>
      <c r="D56" s="730"/>
      <c r="E56" s="731"/>
    </row>
    <row r="57" spans="2:19" collapsed="1" x14ac:dyDescent="0.3"/>
    <row r="58" spans="2:19" x14ac:dyDescent="0.3">
      <c r="B58" s="176" t="s">
        <v>344</v>
      </c>
      <c r="C58" s="176"/>
      <c r="D58" s="176"/>
      <c r="E58" s="177"/>
      <c r="F58" s="177"/>
      <c r="G58" s="177"/>
      <c r="H58" s="177"/>
      <c r="I58" s="177"/>
      <c r="J58" s="177"/>
      <c r="K58" s="177"/>
      <c r="L58" s="177"/>
      <c r="M58" s="177"/>
      <c r="N58" s="177"/>
    </row>
    <row r="59" spans="2:19" ht="15" hidden="1" outlineLevel="1" thickBot="1" x14ac:dyDescent="0.35">
      <c r="H59" t="s">
        <v>345</v>
      </c>
      <c r="I59" s="192"/>
      <c r="J59" s="192"/>
      <c r="K59" s="192"/>
      <c r="L59" s="192"/>
    </row>
    <row r="60" spans="2:19" ht="15" hidden="1" outlineLevel="1" thickBot="1" x14ac:dyDescent="0.35">
      <c r="C60" t="s">
        <v>346</v>
      </c>
      <c r="D60" s="193"/>
      <c r="G60" s="403" t="s">
        <v>347</v>
      </c>
      <c r="L60" s="192"/>
      <c r="Q60" s="192"/>
      <c r="R60" s="192"/>
      <c r="S60" s="192"/>
    </row>
    <row r="61" spans="2:19" ht="14.85" hidden="1" customHeight="1" outlineLevel="1" x14ac:dyDescent="0.3">
      <c r="C61" t="s">
        <v>348</v>
      </c>
      <c r="D61" s="732"/>
      <c r="E61" s="733"/>
      <c r="L61" s="192"/>
      <c r="Q61" s="39" t="str">
        <f>"MD_Equity"&amp;D60&amp;"[Reasons]"</f>
        <v>MD_Equity[Reasons]</v>
      </c>
      <c r="R61" s="192"/>
      <c r="S61" s="192"/>
    </row>
    <row r="62" spans="2:19" hidden="1" outlineLevel="1" x14ac:dyDescent="0.3">
      <c r="D62" s="734"/>
      <c r="E62" s="735"/>
      <c r="L62" s="192"/>
      <c r="Q62" s="39" t="b">
        <f ca="1">ISNUMBER(MATCH(D61,INDIRECT(Q61),0))</f>
        <v>0</v>
      </c>
      <c r="R62" s="192"/>
      <c r="S62" s="192"/>
    </row>
    <row r="63" spans="2:19" ht="15" hidden="1" outlineLevel="1" thickBot="1" x14ac:dyDescent="0.35">
      <c r="D63" s="736"/>
      <c r="E63" s="737"/>
      <c r="L63" s="192"/>
      <c r="Q63" s="192"/>
      <c r="R63" s="192"/>
      <c r="S63" s="192"/>
    </row>
    <row r="64" spans="2:19" hidden="1" outlineLevel="1" x14ac:dyDescent="0.3">
      <c r="C64" t="s">
        <v>349</v>
      </c>
      <c r="D64" s="741" t="str" cm="1">
        <f t="array" ref="D64">_xlfn.IFNA(_xlfn.IFS(ISBLANK(D60),"",D60="Increased",_xlfn.XLOOKUP(D61,MD_EquityIncreased[Reasons],MD_EquityIncreased[Response]),D60="Decreased",_xlfn.XLOOKUP(D61,MD_EquityDecreased[Reasons],MD_EquityDecreased[Response])),"")</f>
        <v/>
      </c>
      <c r="E64" s="742"/>
      <c r="L64" s="192"/>
      <c r="Q64" s="192"/>
      <c r="R64" s="192"/>
      <c r="S64" s="192"/>
    </row>
    <row r="65" spans="2:19" ht="15" hidden="1" outlineLevel="1" thickBot="1" x14ac:dyDescent="0.35">
      <c r="D65" s="743"/>
      <c r="E65" s="744"/>
      <c r="L65" s="192"/>
      <c r="Q65" s="192"/>
      <c r="R65" s="192"/>
      <c r="S65" s="192"/>
    </row>
    <row r="66" spans="2:19" collapsed="1" x14ac:dyDescent="0.3">
      <c r="E66" s="194"/>
      <c r="I66" s="192"/>
      <c r="J66" s="192"/>
      <c r="K66" s="192"/>
      <c r="L66" s="192"/>
    </row>
    <row r="67" spans="2:19" x14ac:dyDescent="0.3">
      <c r="B67" s="176" t="s">
        <v>350</v>
      </c>
      <c r="C67" s="176"/>
      <c r="D67" s="177"/>
      <c r="E67" s="177"/>
      <c r="F67" s="177"/>
      <c r="G67" s="177"/>
      <c r="H67" s="177"/>
      <c r="I67" s="177"/>
      <c r="J67" s="177"/>
      <c r="K67" s="177"/>
      <c r="L67" s="177"/>
      <c r="M67" s="177"/>
      <c r="N67" s="177"/>
    </row>
    <row r="68" spans="2:19" ht="18.600000000000001" hidden="1" customHeight="1" outlineLevel="1" thickBot="1" x14ac:dyDescent="0.35">
      <c r="E68" s="39"/>
    </row>
    <row r="69" spans="2:19" ht="15.6" hidden="1" customHeight="1" outlineLevel="1" thickBot="1" x14ac:dyDescent="0.35">
      <c r="C69" s="195" t="s">
        <v>351</v>
      </c>
      <c r="D69" s="196" t="s">
        <v>352</v>
      </c>
      <c r="E69" s="39"/>
    </row>
    <row r="70" spans="2:19" ht="16.350000000000001" hidden="1" customHeight="1" outlineLevel="1" thickBot="1" x14ac:dyDescent="0.35">
      <c r="C70" s="197"/>
      <c r="D70" s="198"/>
      <c r="E70" s="39" t="str">
        <f>C70&amp;"Used"</f>
        <v>Used</v>
      </c>
    </row>
    <row r="71" spans="2:19" ht="14.85" hidden="1" customHeight="1" outlineLevel="1" thickBot="1" x14ac:dyDescent="0.35">
      <c r="E71" s="199"/>
    </row>
    <row r="72" spans="2:19" ht="16.5" hidden="1" customHeight="1" outlineLevel="1" thickBot="1" x14ac:dyDescent="0.35">
      <c r="C72" s="738" t="s">
        <v>353</v>
      </c>
      <c r="D72" s="739"/>
      <c r="E72" s="740"/>
    </row>
    <row r="73" spans="2:19" ht="16.350000000000001" hidden="1" customHeight="1" outlineLevel="1" x14ac:dyDescent="0.3">
      <c r="C73" s="745" t="str" cm="1">
        <f t="array" aca="1" ref="C73" ca="1">IFERROR(_xlfn.XLOOKUP(D70,INDIRECT(I74),INDIRECT(I75)),"")</f>
        <v/>
      </c>
      <c r="D73" s="746"/>
      <c r="E73" s="728"/>
    </row>
    <row r="74" spans="2:19" ht="16.350000000000001" hidden="1" customHeight="1" outlineLevel="1" x14ac:dyDescent="0.3">
      <c r="C74" s="745"/>
      <c r="D74" s="746"/>
      <c r="E74" s="728"/>
      <c r="I74" s="39" t="str">
        <f>"MD_"&amp;C70&amp;"[Account Name]"</f>
        <v>MD_[Account Name]</v>
      </c>
    </row>
    <row r="75" spans="2:19" ht="16.350000000000001" hidden="1" customHeight="1" outlineLevel="1" x14ac:dyDescent="0.3">
      <c r="C75" s="745"/>
      <c r="D75" s="746"/>
      <c r="E75" s="728"/>
      <c r="I75" s="39" t="str">
        <f>"MD_"&amp;C70&amp;"[Definition]"</f>
        <v>MD_[Definition]</v>
      </c>
    </row>
    <row r="76" spans="2:19" ht="16.350000000000001" hidden="1" customHeight="1" outlineLevel="1" x14ac:dyDescent="0.3">
      <c r="C76" s="745"/>
      <c r="D76" s="746"/>
      <c r="E76" s="728"/>
      <c r="I76" s="39" t="e" cm="1">
        <f t="array" aca="1" ref="I76" ca="1">_xlfn.IFNA(_xlfn.XLOOKUP(D70,INDIRECT(I74),INDIRECT(I75)),"Not Found")</f>
        <v>#REF!</v>
      </c>
    </row>
    <row r="77" spans="2:19" ht="16.350000000000001" hidden="1" customHeight="1" outlineLevel="1" thickBot="1" x14ac:dyDescent="0.35">
      <c r="C77" s="747"/>
      <c r="D77" s="748"/>
      <c r="E77" s="731"/>
    </row>
    <row r="78" spans="2:19" ht="16.350000000000001" customHeight="1" collapsed="1" x14ac:dyDescent="0.3">
      <c r="C78" s="182"/>
      <c r="D78" s="182"/>
    </row>
    <row r="79" spans="2:19" x14ac:dyDescent="0.3">
      <c r="B79" s="176" t="s">
        <v>354</v>
      </c>
      <c r="C79" s="176"/>
      <c r="D79" s="176"/>
      <c r="E79" s="177"/>
      <c r="F79" s="177"/>
      <c r="G79" s="177"/>
      <c r="H79" s="177"/>
      <c r="I79" s="177"/>
      <c r="J79" s="177"/>
      <c r="K79" s="177"/>
      <c r="L79" s="177"/>
      <c r="M79" s="177"/>
      <c r="N79" s="177"/>
    </row>
    <row r="80" spans="2:19" ht="15" hidden="1" outlineLevel="1" thickBot="1" x14ac:dyDescent="0.35"/>
    <row r="81" spans="3:12" ht="16.5" hidden="1" customHeight="1" outlineLevel="1" x14ac:dyDescent="0.3">
      <c r="C81" s="200" t="s">
        <v>37</v>
      </c>
      <c r="D81" s="201"/>
      <c r="E81" s="202"/>
      <c r="F81" s="39"/>
    </row>
    <row r="82" spans="3:12" ht="14.85" hidden="1" customHeight="1" outlineLevel="1" x14ac:dyDescent="0.3">
      <c r="C82" s="203" t="s">
        <v>355</v>
      </c>
      <c r="D82" s="204" t="s">
        <v>112</v>
      </c>
      <c r="E82" s="205" t="s">
        <v>356</v>
      </c>
    </row>
    <row r="83" spans="3:12" hidden="1" outlineLevel="1" x14ac:dyDescent="0.3">
      <c r="C83" s="206"/>
      <c r="D83" s="207">
        <f t="shared" ref="D83:D90" si="0">C38</f>
        <v>0</v>
      </c>
      <c r="E83" s="208" t="str" cm="1">
        <f t="array" ref="E83">IFERROR(_xlfn.IFS(D83&gt;0,"Debit",D83&lt;0,"Credit",D83=0,""),"")</f>
        <v/>
      </c>
    </row>
    <row r="84" spans="3:12" hidden="1" outlineLevel="1" x14ac:dyDescent="0.3">
      <c r="C84" s="206"/>
      <c r="D84" s="207">
        <f t="shared" si="0"/>
        <v>0</v>
      </c>
      <c r="E84" s="208" t="str" cm="1">
        <f t="array" ref="E84">IFERROR(_xlfn.IFS(D84&gt;0,"Debit",D84&lt;0,"Credit",D84=0,""),"")</f>
        <v/>
      </c>
    </row>
    <row r="85" spans="3:12" hidden="1" outlineLevel="1" x14ac:dyDescent="0.3">
      <c r="C85" s="206"/>
      <c r="D85" s="207">
        <f t="shared" si="0"/>
        <v>0</v>
      </c>
      <c r="E85" s="208"/>
      <c r="G85" s="194"/>
      <c r="H85" s="194"/>
      <c r="I85" s="194"/>
    </row>
    <row r="86" spans="3:12" hidden="1" outlineLevel="1" x14ac:dyDescent="0.3">
      <c r="C86" s="206"/>
      <c r="D86" s="207">
        <f t="shared" si="0"/>
        <v>0</v>
      </c>
      <c r="E86" s="208"/>
    </row>
    <row r="87" spans="3:12" hidden="1" outlineLevel="1" x14ac:dyDescent="0.3">
      <c r="C87" s="206"/>
      <c r="D87" s="207">
        <f t="shared" si="0"/>
        <v>0</v>
      </c>
      <c r="E87" s="208"/>
    </row>
    <row r="88" spans="3:12" hidden="1" outlineLevel="1" x14ac:dyDescent="0.3">
      <c r="C88" s="206"/>
      <c r="D88" s="207">
        <f t="shared" si="0"/>
        <v>0</v>
      </c>
      <c r="E88" s="208"/>
    </row>
    <row r="89" spans="3:12" hidden="1" outlineLevel="1" x14ac:dyDescent="0.3">
      <c r="C89" s="206"/>
      <c r="D89" s="207">
        <f t="shared" si="0"/>
        <v>0</v>
      </c>
      <c r="E89" s="208"/>
      <c r="L89" t="s">
        <v>357</v>
      </c>
    </row>
    <row r="90" spans="3:12" ht="15" hidden="1" outlineLevel="1" thickBot="1" x14ac:dyDescent="0.35">
      <c r="C90" s="209"/>
      <c r="D90" s="210">
        <f t="shared" si="0"/>
        <v>0</v>
      </c>
      <c r="E90" s="211"/>
    </row>
    <row r="91" spans="3:12" ht="15" hidden="1" outlineLevel="1" thickBot="1" x14ac:dyDescent="0.35"/>
    <row r="92" spans="3:12" hidden="1" outlineLevel="1" x14ac:dyDescent="0.3">
      <c r="C92" s="702" t="s">
        <v>38</v>
      </c>
      <c r="D92" s="703"/>
      <c r="E92" s="704"/>
      <c r="F92" s="39"/>
    </row>
    <row r="93" spans="3:12" hidden="1" outlineLevel="1" x14ac:dyDescent="0.3">
      <c r="C93" s="203" t="s">
        <v>355</v>
      </c>
      <c r="D93" s="204" t="s">
        <v>112</v>
      </c>
      <c r="E93" s="205" t="s">
        <v>356</v>
      </c>
    </row>
    <row r="94" spans="3:12" hidden="1" outlineLevel="1" x14ac:dyDescent="0.3">
      <c r="C94" s="206"/>
      <c r="D94" s="212">
        <f>D38</f>
        <v>0</v>
      </c>
      <c r="E94" s="208" t="str" cm="1">
        <f t="array" ref="E94">IFERROR(_xlfn.IFS(D94&gt;0,"Credit",D94&lt;0,"Debit",D94=0,""),"")</f>
        <v/>
      </c>
    </row>
    <row r="95" spans="3:12" hidden="1" outlineLevel="1" x14ac:dyDescent="0.3">
      <c r="C95" s="206"/>
      <c r="D95" s="212">
        <f t="shared" ref="D95:D101" si="1">D39</f>
        <v>0</v>
      </c>
      <c r="E95" s="208" t="str" cm="1">
        <f t="array" ref="E95">IFERROR(_xlfn.IFS(D95&gt;0,"Credit",D95&lt;0,"Debit",D95=0,""),"")</f>
        <v/>
      </c>
    </row>
    <row r="96" spans="3:12" hidden="1" outlineLevel="1" x14ac:dyDescent="0.3">
      <c r="C96" s="206"/>
      <c r="D96" s="212">
        <f t="shared" si="1"/>
        <v>0</v>
      </c>
      <c r="E96" s="208" t="str" cm="1">
        <f t="array" ref="E96">IFERROR(_xlfn.IFS(D96&gt;0,"Credit",D96&lt;0,"Debit",D96=0,""),"")</f>
        <v/>
      </c>
    </row>
    <row r="97" spans="3:6" hidden="1" outlineLevel="1" x14ac:dyDescent="0.3">
      <c r="C97" s="206"/>
      <c r="D97" s="212">
        <f t="shared" si="1"/>
        <v>0</v>
      </c>
      <c r="E97" s="208" t="str" cm="1">
        <f t="array" ref="E97">IFERROR(_xlfn.IFS(D97&gt;0,"Credit",D97&lt;0,"Debit",D97=0,""),"")</f>
        <v/>
      </c>
    </row>
    <row r="98" spans="3:6" hidden="1" outlineLevel="1" x14ac:dyDescent="0.3">
      <c r="C98" s="206"/>
      <c r="D98" s="212">
        <f t="shared" si="1"/>
        <v>0</v>
      </c>
      <c r="E98" s="208" t="str" cm="1">
        <f t="array" ref="E98">IFERROR(_xlfn.IFS(D98&gt;0,"Credit",D98&lt;0,"Debit",D98=0,""),"")</f>
        <v/>
      </c>
    </row>
    <row r="99" spans="3:6" hidden="1" outlineLevel="1" x14ac:dyDescent="0.3">
      <c r="C99" s="206"/>
      <c r="D99" s="212">
        <f t="shared" si="1"/>
        <v>0</v>
      </c>
      <c r="E99" s="208" t="str" cm="1">
        <f t="array" ref="E99">IFERROR(_xlfn.IFS(D99&gt;0,"Credit",D99&lt;0,"Debit",D99=0,""),"")</f>
        <v/>
      </c>
    </row>
    <row r="100" spans="3:6" hidden="1" outlineLevel="1" x14ac:dyDescent="0.3">
      <c r="C100" s="206"/>
      <c r="D100" s="212">
        <f t="shared" si="1"/>
        <v>0</v>
      </c>
      <c r="E100" s="208" t="str" cm="1">
        <f t="array" ref="E100">IFERROR(_xlfn.IFS(D100&gt;0,"Credit",D100&lt;0,"Debit",D100=0,""),"")</f>
        <v/>
      </c>
    </row>
    <row r="101" spans="3:6" ht="15" hidden="1" outlineLevel="1" thickBot="1" x14ac:dyDescent="0.35">
      <c r="C101" s="209"/>
      <c r="D101" s="213">
        <f t="shared" si="1"/>
        <v>0</v>
      </c>
      <c r="E101" s="211" t="str" cm="1">
        <f t="array" ref="E101">IFERROR(_xlfn.IFS(D101&gt;0,"Credit",D101&lt;0,"Debit",D101=0,""),"")</f>
        <v/>
      </c>
    </row>
    <row r="102" spans="3:6" ht="17.850000000000001" hidden="1" customHeight="1" outlineLevel="1" thickBot="1" x14ac:dyDescent="0.35"/>
    <row r="103" spans="3:6" ht="17.850000000000001" hidden="1" customHeight="1" outlineLevel="1" x14ac:dyDescent="0.3">
      <c r="C103" s="705" t="s">
        <v>39</v>
      </c>
      <c r="D103" s="706"/>
      <c r="E103" s="707"/>
      <c r="F103" s="39"/>
    </row>
    <row r="104" spans="3:6" ht="17.850000000000001" hidden="1" customHeight="1" outlineLevel="1" x14ac:dyDescent="0.3">
      <c r="C104" s="203" t="s">
        <v>355</v>
      </c>
      <c r="D104" s="204" t="s">
        <v>112</v>
      </c>
      <c r="E104" s="205" t="s">
        <v>356</v>
      </c>
    </row>
    <row r="105" spans="3:6" ht="17.850000000000001" hidden="1" customHeight="1" outlineLevel="1" x14ac:dyDescent="0.3">
      <c r="C105" s="206"/>
      <c r="D105" s="214"/>
      <c r="E105" s="208" t="str" cm="1">
        <f t="array" ref="E105">IFERROR(_xlfn.IFS(D105&gt;0,"Credit",D105&lt;0,"Debit",D105=0,""),"")</f>
        <v/>
      </c>
    </row>
    <row r="106" spans="3:6" ht="17.850000000000001" hidden="1" customHeight="1" outlineLevel="1" x14ac:dyDescent="0.3">
      <c r="C106" s="206"/>
      <c r="D106" s="214"/>
      <c r="E106" s="208" t="str" cm="1">
        <f t="array" ref="E106">IFERROR(_xlfn.IFS(D106&gt;0,"Credit",D106&lt;0,"Debit",D106=0,""),"")</f>
        <v/>
      </c>
    </row>
    <row r="107" spans="3:6" ht="17.850000000000001" hidden="1" customHeight="1" outlineLevel="1" x14ac:dyDescent="0.3">
      <c r="C107" s="206"/>
      <c r="D107" s="214"/>
      <c r="E107" s="208" t="str" cm="1">
        <f t="array" ref="E107">IFERROR(_xlfn.IFS(D107&gt;0,"Credit",D107&lt;0,"Debit",D107=0,""),"")</f>
        <v/>
      </c>
    </row>
    <row r="108" spans="3:6" ht="17.850000000000001" hidden="1" customHeight="1" outlineLevel="1" x14ac:dyDescent="0.3">
      <c r="C108" s="206"/>
      <c r="D108" s="214"/>
      <c r="E108" s="208" t="str" cm="1">
        <f t="array" ref="E108">IFERROR(_xlfn.IFS(D108&gt;0,"Credit",D108&lt;0,"Debit",D108=0,""),"")</f>
        <v/>
      </c>
    </row>
    <row r="109" spans="3:6" ht="17.850000000000001" hidden="1" customHeight="1" outlineLevel="1" x14ac:dyDescent="0.3">
      <c r="C109" s="206"/>
      <c r="D109" s="214"/>
      <c r="E109" s="208" t="str" cm="1">
        <f t="array" ref="E109">IFERROR(_xlfn.IFS(D109&gt;0,"Credit",D109&lt;0,"Debit",D109=0,""),"")</f>
        <v/>
      </c>
    </row>
    <row r="110" spans="3:6" ht="17.850000000000001" hidden="1" customHeight="1" outlineLevel="1" x14ac:dyDescent="0.3">
      <c r="C110" s="206"/>
      <c r="D110" s="214"/>
      <c r="E110" s="208" t="str" cm="1">
        <f t="array" ref="E110">IFERROR(_xlfn.IFS(D110&gt;0,"Credit",D110&lt;0,"Debit",D110=0,""),"")</f>
        <v/>
      </c>
    </row>
    <row r="111" spans="3:6" ht="17.850000000000001" hidden="1" customHeight="1" outlineLevel="1" x14ac:dyDescent="0.3">
      <c r="C111" s="206"/>
      <c r="D111" s="214"/>
      <c r="E111" s="208" t="str" cm="1">
        <f t="array" ref="E111">IFERROR(_xlfn.IFS(D111&gt;0,"Credit",D111&lt;0,"Debit",D111=0,""),"")</f>
        <v/>
      </c>
    </row>
    <row r="112" spans="3:6" ht="17.850000000000001" hidden="1" customHeight="1" outlineLevel="1" thickBot="1" x14ac:dyDescent="0.35">
      <c r="C112" s="209"/>
      <c r="D112" s="215"/>
      <c r="E112" s="211" t="str" cm="1">
        <f t="array" ref="E112">IFERROR(_xlfn.IFS(D112&gt;0,"Credit",D112&lt;0,"Debit",D112=0,""),"")</f>
        <v/>
      </c>
    </row>
    <row r="113" spans="3:5" ht="17.850000000000001" hidden="1" customHeight="1" outlineLevel="1" x14ac:dyDescent="0.3">
      <c r="C113" t="s">
        <v>358</v>
      </c>
      <c r="D113" s="216">
        <f>SUM(D105:D112)</f>
        <v>0</v>
      </c>
    </row>
    <row r="114" spans="3:5" ht="17.850000000000001" hidden="1" customHeight="1" outlineLevel="1" x14ac:dyDescent="0.3">
      <c r="C114" t="s">
        <v>359</v>
      </c>
      <c r="D114" s="216">
        <f>E46</f>
        <v>0</v>
      </c>
    </row>
    <row r="115" spans="3:5" ht="17.850000000000001" hidden="1" customHeight="1" outlineLevel="1" thickBot="1" x14ac:dyDescent="0.35">
      <c r="C115" t="s">
        <v>360</v>
      </c>
      <c r="D115" s="217">
        <f>D114-D113</f>
        <v>0</v>
      </c>
    </row>
    <row r="116" spans="3:5" ht="17.850000000000001" hidden="1" customHeight="1" outlineLevel="1" thickTop="1" thickBot="1" x14ac:dyDescent="0.35"/>
    <row r="117" spans="3:5" ht="17.850000000000001" hidden="1" customHeight="1" outlineLevel="1" x14ac:dyDescent="0.3">
      <c r="C117" s="708" t="s">
        <v>361</v>
      </c>
      <c r="D117" s="710"/>
    </row>
    <row r="118" spans="3:5" ht="17.850000000000001" hidden="1" customHeight="1" outlineLevel="1" thickBot="1" x14ac:dyDescent="0.35">
      <c r="C118" s="709"/>
      <c r="D118" s="711"/>
    </row>
    <row r="119" spans="3:5" ht="17.850000000000001" hidden="1" customHeight="1" outlineLevel="1" thickBot="1" x14ac:dyDescent="0.35">
      <c r="C119" s="39">
        <f>COUNTIF(C105:C112,"Retained Earnings")</f>
        <v>0</v>
      </c>
    </row>
    <row r="120" spans="3:5" ht="17.850000000000001" hidden="1" customHeight="1" outlineLevel="1" x14ac:dyDescent="0.3">
      <c r="C120" s="715" t="s">
        <v>362</v>
      </c>
      <c r="D120" s="716"/>
      <c r="E120" s="717"/>
    </row>
    <row r="121" spans="3:5" ht="17.850000000000001" hidden="1" customHeight="1" outlineLevel="1" x14ac:dyDescent="0.3">
      <c r="C121" s="718"/>
      <c r="D121" s="719"/>
      <c r="E121" s="720"/>
    </row>
    <row r="122" spans="3:5" ht="17.850000000000001" hidden="1" customHeight="1" outlineLevel="1" x14ac:dyDescent="0.3">
      <c r="C122" s="718"/>
      <c r="D122" s="719"/>
      <c r="E122" s="720"/>
    </row>
    <row r="123" spans="3:5" ht="17.850000000000001" hidden="1" customHeight="1" outlineLevel="1" x14ac:dyDescent="0.3">
      <c r="C123" s="718"/>
      <c r="D123" s="719"/>
      <c r="E123" s="720"/>
    </row>
    <row r="124" spans="3:5" ht="17.850000000000001" hidden="1" customHeight="1" outlineLevel="1" x14ac:dyDescent="0.3">
      <c r="C124" s="718"/>
      <c r="D124" s="719"/>
      <c r="E124" s="720"/>
    </row>
    <row r="125" spans="3:5" ht="17.850000000000001" hidden="1" customHeight="1" outlineLevel="1" thickBot="1" x14ac:dyDescent="0.35">
      <c r="C125" s="712"/>
      <c r="D125" s="713"/>
      <c r="E125" s="714"/>
    </row>
    <row r="126" spans="3:5" ht="17.850000000000001" hidden="1" customHeight="1" outlineLevel="1" thickBot="1" x14ac:dyDescent="0.35"/>
    <row r="127" spans="3:5" ht="17.850000000000001" hidden="1" customHeight="1" outlineLevel="1" x14ac:dyDescent="0.3">
      <c r="C127" s="708" t="s">
        <v>363</v>
      </c>
      <c r="D127" s="721"/>
    </row>
    <row r="128" spans="3:5" ht="17.850000000000001" hidden="1" customHeight="1" outlineLevel="1" thickBot="1" x14ac:dyDescent="0.35">
      <c r="C128" s="709"/>
      <c r="D128" s="722"/>
    </row>
    <row r="129" spans="2:14" ht="17.850000000000001" hidden="1" customHeight="1" outlineLevel="1" thickBot="1" x14ac:dyDescent="0.35"/>
    <row r="130" spans="2:14" ht="33.6" hidden="1" customHeight="1" outlineLevel="1" x14ac:dyDescent="0.3">
      <c r="C130" s="715" t="s">
        <v>364</v>
      </c>
      <c r="D130" s="716"/>
      <c r="E130" s="717"/>
    </row>
    <row r="131" spans="2:14" ht="43.35" hidden="1" customHeight="1" outlineLevel="1" x14ac:dyDescent="0.3">
      <c r="C131" s="718" t="s">
        <v>365</v>
      </c>
      <c r="D131" s="719"/>
      <c r="E131" s="720"/>
    </row>
    <row r="132" spans="2:14" ht="54" hidden="1" customHeight="1" outlineLevel="1" x14ac:dyDescent="0.3">
      <c r="C132" s="718" t="s">
        <v>366</v>
      </c>
      <c r="D132" s="719"/>
      <c r="E132" s="720"/>
    </row>
    <row r="133" spans="2:14" ht="57" hidden="1" customHeight="1" outlineLevel="1" thickBot="1" x14ac:dyDescent="0.35">
      <c r="C133" s="712" t="s">
        <v>367</v>
      </c>
      <c r="D133" s="713"/>
      <c r="E133" s="714"/>
    </row>
    <row r="134" spans="2:14" ht="17.850000000000001" customHeight="1" collapsed="1" x14ac:dyDescent="0.3"/>
    <row r="135" spans="2:14" x14ac:dyDescent="0.3">
      <c r="B135" s="176" t="s">
        <v>368</v>
      </c>
      <c r="C135" s="176"/>
      <c r="D135" s="176"/>
      <c r="E135" s="177"/>
      <c r="F135" s="177"/>
      <c r="G135" s="177"/>
      <c r="H135" s="177"/>
      <c r="I135" s="177"/>
      <c r="J135" s="177"/>
      <c r="K135" s="177"/>
      <c r="L135" s="177"/>
      <c r="M135" s="177"/>
      <c r="N135" s="177"/>
    </row>
    <row r="136" spans="2:14" ht="17.850000000000001" hidden="1" customHeight="1" outlineLevel="1" thickBot="1" x14ac:dyDescent="0.35"/>
    <row r="137" spans="2:14" ht="17.850000000000001" hidden="1" customHeight="1" outlineLevel="1" thickBot="1" x14ac:dyDescent="0.35">
      <c r="B137" s="436"/>
      <c r="C137" s="219" t="s">
        <v>369</v>
      </c>
      <c r="D137" s="219" t="s">
        <v>370</v>
      </c>
      <c r="E137" s="219" t="s">
        <v>371</v>
      </c>
      <c r="F137" s="219" t="s">
        <v>372</v>
      </c>
      <c r="G137" s="220" t="s">
        <v>373</v>
      </c>
      <c r="I137" s="221" t="s">
        <v>374</v>
      </c>
      <c r="J137" s="192"/>
      <c r="K137" s="192"/>
      <c r="L137" s="192"/>
      <c r="M137" s="39"/>
    </row>
    <row r="138" spans="2:14" ht="17.850000000000001" hidden="1" customHeight="1" outlineLevel="1" thickBot="1" x14ac:dyDescent="0.35">
      <c r="B138" s="437" t="str" cm="1">
        <f t="array" ref="B138">_xlfn.IFS(C138="","",AND(C138&lt;&gt;"",$J138),"OK",AND(C138&lt;&gt;"",NOT($J138)),"?")</f>
        <v/>
      </c>
      <c r="C138" s="433"/>
      <c r="D138" s="413"/>
      <c r="E138" s="414"/>
      <c r="F138" s="415"/>
      <c r="G138" s="416"/>
      <c r="I138" s="227">
        <f>SUM(F138:F153)-SUM(G138:G153)</f>
        <v>0</v>
      </c>
      <c r="J138" s="39" t="str" cm="1">
        <f t="array" ref="J138">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x14ac:dyDescent="0.3">
      <c r="B139" s="437" t="str" cm="1">
        <f t="array" ref="B139">_xlfn.IFS(C139="","",AND(C139&lt;&gt;"",$J139),"OK",AND(C139&lt;&gt;"",NOT($J139)),"?")</f>
        <v/>
      </c>
      <c r="C139" s="434"/>
      <c r="D139" s="417"/>
      <c r="E139" s="418"/>
      <c r="F139" s="419"/>
      <c r="G139" s="420"/>
      <c r="J139" s="39" t="str" cm="1">
        <f t="array" ref="J139">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x14ac:dyDescent="0.3">
      <c r="B140" s="437" t="str" cm="1">
        <f t="array" ref="B140">_xlfn.IFS(C140="","",AND(C140&lt;&gt;"",$J140),"OK",AND(C140&lt;&gt;"",NOT($J140)),"?")</f>
        <v/>
      </c>
      <c r="C140" s="434"/>
      <c r="D140" s="417"/>
      <c r="E140" s="418"/>
      <c r="F140" s="419"/>
      <c r="G140" s="420"/>
      <c r="J140" s="39" t="str" cm="1">
        <f t="array" ref="J140">_xlfn.IFNA(_xlfn.IFS(K140="----","",K140&lt;&gt;"----",ISNUMBER(MATCH(K140,MasterData!$AI$494:$AI$509,0))),"FALSE")</f>
        <v/>
      </c>
      <c r="K140" s="39" t="str">
        <f t="shared" si="2"/>
        <v>----</v>
      </c>
      <c r="L140" s="192"/>
      <c r="M140" s="39" t="str">
        <f t="shared" si="3"/>
        <v>Used</v>
      </c>
      <c r="N140" s="192"/>
    </row>
    <row r="141" spans="2:14" ht="17.850000000000001" hidden="1" customHeight="1" outlineLevel="1" x14ac:dyDescent="0.3">
      <c r="B141" s="437" t="str" cm="1">
        <f t="array" ref="B141">_xlfn.IFS(C141="","",AND(C141&lt;&gt;"",$J141),"OK",AND(C141&lt;&gt;"",NOT($J141)),"?")</f>
        <v/>
      </c>
      <c r="C141" s="434"/>
      <c r="D141" s="417"/>
      <c r="E141" s="418"/>
      <c r="F141" s="419"/>
      <c r="G141" s="420"/>
      <c r="J141" s="39" t="str" cm="1">
        <f t="array" ref="J141">_xlfn.IFNA(_xlfn.IFS(K141="----","",K141&lt;&gt;"----",ISNUMBER(MATCH(K141,MasterData!$AI$494:$AI$509,0))),"FALSE")</f>
        <v/>
      </c>
      <c r="K141" s="39" t="str">
        <f t="shared" si="2"/>
        <v>----</v>
      </c>
      <c r="L141" s="192"/>
      <c r="M141" s="39" t="str">
        <f t="shared" si="3"/>
        <v>Used</v>
      </c>
      <c r="N141" s="192"/>
    </row>
    <row r="142" spans="2:14" ht="17.850000000000001" hidden="1" customHeight="1" outlineLevel="1" x14ac:dyDescent="0.3">
      <c r="B142" s="437" t="str" cm="1">
        <f t="array" ref="B142">_xlfn.IFS(C142="","",AND(C142&lt;&gt;"",$J142),"OK",AND(C142&lt;&gt;"",NOT($J142)),"?")</f>
        <v/>
      </c>
      <c r="C142" s="434"/>
      <c r="D142" s="417"/>
      <c r="E142" s="418"/>
      <c r="F142" s="419"/>
      <c r="G142" s="420"/>
      <c r="J142" s="39" t="str" cm="1">
        <f t="array" ref="J142">_xlfn.IFNA(_xlfn.IFS(K142="----","",K142&lt;&gt;"----",ISNUMBER(MATCH(K142,MasterData!$AI$494:$AI$509,0))),"FALSE")</f>
        <v/>
      </c>
      <c r="K142" s="39" t="str">
        <f t="shared" si="2"/>
        <v>----</v>
      </c>
      <c r="L142" s="192"/>
      <c r="M142" s="39" t="str">
        <f t="shared" si="3"/>
        <v>Used</v>
      </c>
      <c r="N142" s="192"/>
    </row>
    <row r="143" spans="2:14" ht="17.850000000000001" hidden="1" customHeight="1" outlineLevel="1" x14ac:dyDescent="0.3">
      <c r="B143" s="437" t="str" cm="1">
        <f t="array" ref="B143">_xlfn.IFS(C143="","",AND(C143&lt;&gt;"",$J143),"OK",AND(C143&lt;&gt;"",NOT($J143)),"?")</f>
        <v/>
      </c>
      <c r="C143" s="434"/>
      <c r="D143" s="417"/>
      <c r="E143" s="418"/>
      <c r="F143" s="419"/>
      <c r="G143" s="420"/>
      <c r="J143" s="39" t="str" cm="1">
        <f t="array" ref="J143">_xlfn.IFNA(_xlfn.IFS(K143="----","",K143&lt;&gt;"----",ISNUMBER(MATCH(K143,MasterData!$AI$494:$AI$509,0))),"FALSE")</f>
        <v/>
      </c>
      <c r="K143" s="39" t="str">
        <f t="shared" si="2"/>
        <v>----</v>
      </c>
      <c r="L143" s="192"/>
      <c r="M143" s="39" t="str">
        <f t="shared" si="3"/>
        <v>Used</v>
      </c>
      <c r="N143" s="192"/>
    </row>
    <row r="144" spans="2:14" hidden="1" outlineLevel="1" x14ac:dyDescent="0.3">
      <c r="B144" s="437" t="str" cm="1">
        <f t="array" ref="B144">_xlfn.IFS(C144="","",AND(C144&lt;&gt;"",$J144),"OK",AND(C144&lt;&gt;"",NOT($J144)),"?")</f>
        <v/>
      </c>
      <c r="C144" s="434"/>
      <c r="D144" s="417"/>
      <c r="E144" s="418"/>
      <c r="F144" s="419"/>
      <c r="G144" s="420"/>
      <c r="J144" s="39" t="str" cm="1">
        <f t="array" ref="J144">_xlfn.IFNA(_xlfn.IFS(K144="----","",K144&lt;&gt;"----",ISNUMBER(MATCH(K144,MasterData!$AI$494:$AI$509,0))),"FALSE")</f>
        <v/>
      </c>
      <c r="K144" s="39" t="str">
        <f t="shared" si="2"/>
        <v>----</v>
      </c>
      <c r="L144" s="192"/>
      <c r="M144" s="39" t="str">
        <f t="shared" si="3"/>
        <v>Used</v>
      </c>
      <c r="N144" s="192"/>
    </row>
    <row r="145" spans="2:36" hidden="1" outlineLevel="1" x14ac:dyDescent="0.3">
      <c r="B145" s="437" t="str" cm="1">
        <f t="array" ref="B145">_xlfn.IFS(C145="","",AND(C145&lt;&gt;"",$J145),"OK",AND(C145&lt;&gt;"",NOT($J145)),"?")</f>
        <v/>
      </c>
      <c r="C145" s="434"/>
      <c r="D145" s="417"/>
      <c r="E145" s="418"/>
      <c r="F145" s="419"/>
      <c r="G145" s="420"/>
      <c r="J145" s="39" t="str" cm="1">
        <f t="array" ref="J145">_xlfn.IFNA(_xlfn.IFS(K145="----","",K145&lt;&gt;"----",ISNUMBER(MATCH(K145,MasterData!$AI$494:$AI$509,0))),"FALSE")</f>
        <v/>
      </c>
      <c r="K145" s="39" t="str">
        <f t="shared" si="2"/>
        <v>----</v>
      </c>
      <c r="L145" s="192"/>
      <c r="M145" s="39" t="str">
        <f t="shared" si="3"/>
        <v>Used</v>
      </c>
      <c r="N145" s="39"/>
    </row>
    <row r="146" spans="2:36" hidden="1" outlineLevel="1" x14ac:dyDescent="0.3">
      <c r="B146" s="437" t="str" cm="1">
        <f t="array" ref="B146">_xlfn.IFS(C146="","",AND(C146&lt;&gt;"",$J146),"OK",AND(C146&lt;&gt;"",NOT($J146)),"?")</f>
        <v/>
      </c>
      <c r="C146" s="434"/>
      <c r="D146" s="417"/>
      <c r="E146" s="418"/>
      <c r="F146" s="419"/>
      <c r="G146" s="420"/>
      <c r="J146" s="39" t="str" cm="1">
        <f t="array" ref="J146">_xlfn.IFNA(_xlfn.IFS(K146="----","",K146&lt;&gt;"----",ISNUMBER(MATCH(K146,MasterData!$AI$494:$AI$509,0))),"FALSE")</f>
        <v/>
      </c>
      <c r="K146" s="39" t="str">
        <f t="shared" si="2"/>
        <v>----</v>
      </c>
      <c r="L146" s="192"/>
      <c r="M146" s="39" t="str">
        <f t="shared" si="3"/>
        <v>Used</v>
      </c>
      <c r="N146" s="39"/>
    </row>
    <row r="147" spans="2:36" hidden="1" outlineLevel="1" x14ac:dyDescent="0.3">
      <c r="B147" s="437" t="str" cm="1">
        <f t="array" ref="B147">_xlfn.IFS(C147="","",AND(C147&lt;&gt;"",$J147),"OK",AND(C147&lt;&gt;"",NOT($J147)),"?")</f>
        <v/>
      </c>
      <c r="C147" s="434"/>
      <c r="D147" s="417"/>
      <c r="E147" s="418"/>
      <c r="F147" s="419"/>
      <c r="G147" s="420"/>
      <c r="J147" s="39" t="str" cm="1">
        <f t="array" ref="J147">_xlfn.IFNA(_xlfn.IFS(K147="----","",K147&lt;&gt;"----",ISNUMBER(MATCH(K147,MasterData!$AI$494:$AI$509,0))),"FALSE")</f>
        <v/>
      </c>
      <c r="K147" s="39" t="str">
        <f t="shared" si="2"/>
        <v>----</v>
      </c>
      <c r="L147" s="192"/>
      <c r="M147" s="39" t="str">
        <f t="shared" si="3"/>
        <v>Used</v>
      </c>
      <c r="N147" s="39"/>
    </row>
    <row r="148" spans="2:36" hidden="1" outlineLevel="1" x14ac:dyDescent="0.3">
      <c r="B148" s="437" t="str" cm="1">
        <f t="array" ref="B148">_xlfn.IFS(C148="","",AND(C148&lt;&gt;"",$J148),"OK",AND(C148&lt;&gt;"",NOT($J148)),"?")</f>
        <v/>
      </c>
      <c r="C148" s="434"/>
      <c r="D148" s="417"/>
      <c r="E148" s="418"/>
      <c r="F148" s="419"/>
      <c r="G148" s="420"/>
      <c r="J148" s="39" t="str" cm="1">
        <f t="array" ref="J148">_xlfn.IFNA(_xlfn.IFS(K148="----","",K148&lt;&gt;"----",ISNUMBER(MATCH(K148,MasterData!$AI$494:$AI$509,0))),"FALSE")</f>
        <v/>
      </c>
      <c r="K148" s="39" t="str">
        <f t="shared" si="2"/>
        <v>----</v>
      </c>
      <c r="L148" s="192"/>
      <c r="M148" s="39" t="str">
        <f t="shared" si="3"/>
        <v>Used</v>
      </c>
      <c r="N148" s="39"/>
    </row>
    <row r="149" spans="2:36" hidden="1" outlineLevel="1" x14ac:dyDescent="0.3">
      <c r="B149" s="437" t="str" cm="1">
        <f t="array" ref="B149">_xlfn.IFS(C149="","",AND(C149&lt;&gt;"",$J149),"OK",AND(C149&lt;&gt;"",NOT($J149)),"?")</f>
        <v/>
      </c>
      <c r="C149" s="434"/>
      <c r="D149" s="417"/>
      <c r="E149" s="418"/>
      <c r="F149" s="419"/>
      <c r="G149" s="420"/>
      <c r="J149" s="39" t="str" cm="1">
        <f t="array" ref="J149">_xlfn.IFNA(_xlfn.IFS(K149="----","",K149&lt;&gt;"----",ISNUMBER(MATCH(K149,MasterData!$AI$494:$AI$509,0))),"FALSE")</f>
        <v/>
      </c>
      <c r="K149" s="39" t="str">
        <f t="shared" si="2"/>
        <v>----</v>
      </c>
      <c r="L149" s="192"/>
      <c r="M149" s="39" t="str">
        <f t="shared" si="3"/>
        <v>Used</v>
      </c>
      <c r="N149" s="39"/>
    </row>
    <row r="150" spans="2:36" hidden="1" outlineLevel="1" x14ac:dyDescent="0.3">
      <c r="B150" s="437" t="str" cm="1">
        <f t="array" ref="B150">_xlfn.IFS(C150="","",AND(C150&lt;&gt;"",$J150),"OK",AND(C150&lt;&gt;"",NOT($J150)),"?")</f>
        <v/>
      </c>
      <c r="C150" s="434"/>
      <c r="D150" s="417"/>
      <c r="E150" s="418"/>
      <c r="F150" s="419"/>
      <c r="G150" s="420"/>
      <c r="J150" s="39" t="str" cm="1">
        <f t="array" ref="J150">_xlfn.IFNA(_xlfn.IFS(K150="----","",K150&lt;&gt;"----",ISNUMBER(MATCH(K150,MasterData!$AI$494:$AI$509,0))),"FALSE")</f>
        <v/>
      </c>
      <c r="K150" s="39" t="str">
        <f t="shared" si="2"/>
        <v>----</v>
      </c>
      <c r="L150" s="192"/>
      <c r="M150" s="39" t="str">
        <f t="shared" si="3"/>
        <v>Used</v>
      </c>
      <c r="N150" s="39"/>
    </row>
    <row r="151" spans="2:36" ht="15" hidden="1" outlineLevel="1" thickBot="1" x14ac:dyDescent="0.35">
      <c r="B151" s="437" t="str" cm="1">
        <f t="array" ref="B151">_xlfn.IFS(C151="","",AND(C151&lt;&gt;"",$J151),"OK",AND(C151&lt;&gt;"",NOT($J151)),"?")</f>
        <v/>
      </c>
      <c r="C151" s="434"/>
      <c r="D151" s="417"/>
      <c r="E151" s="418"/>
      <c r="F151" s="419"/>
      <c r="G151" s="420"/>
      <c r="J151" s="39" t="str" cm="1">
        <f t="array" ref="J151">_xlfn.IFNA(_xlfn.IFS(K151="----","",K151&lt;&gt;"----",ISNUMBER(MATCH(K151,MasterData!$AI$494:$AI$509,0))),"FALSE")</f>
        <v/>
      </c>
      <c r="K151" s="39" t="str">
        <f t="shared" si="2"/>
        <v>----</v>
      </c>
      <c r="L151" s="192"/>
      <c r="M151" s="39" t="str">
        <f t="shared" si="3"/>
        <v>Used</v>
      </c>
      <c r="N151" s="39"/>
    </row>
    <row r="152" spans="2:36" ht="15" hidden="1" outlineLevel="1" thickBot="1" x14ac:dyDescent="0.35">
      <c r="B152" s="437" t="str" cm="1">
        <f t="array" ref="B152">_xlfn.IFS(C152="","",AND(C152&lt;&gt;"",$J152),"OK",AND(C152&lt;&gt;"",NOT($J152)),"?")</f>
        <v/>
      </c>
      <c r="C152" s="434"/>
      <c r="D152" s="417"/>
      <c r="E152" s="418"/>
      <c r="F152" s="419"/>
      <c r="G152" s="420"/>
      <c r="I152" s="439" t="s">
        <v>375</v>
      </c>
      <c r="J152" s="39" t="str" cm="1">
        <f t="array" ref="J152">_xlfn.IFNA(_xlfn.IFS(K152="----","",K152&lt;&gt;"----",ISNUMBER(MATCH(K152,MasterData!$AI$494:$AI$509,0))),"FALSE")</f>
        <v/>
      </c>
      <c r="K152" s="39" t="str">
        <f t="shared" si="2"/>
        <v>----</v>
      </c>
      <c r="L152" s="192"/>
      <c r="M152" s="39" t="str">
        <f t="shared" si="3"/>
        <v>Used</v>
      </c>
      <c r="N152" s="39"/>
    </row>
    <row r="153" spans="2:36" ht="15" hidden="1" outlineLevel="1" thickBot="1" x14ac:dyDescent="0.35">
      <c r="B153" s="437" t="str" cm="1">
        <f t="array" ref="B153">_xlfn.IFS(C153="","",AND(C153&lt;&gt;"",$J153),"OK",AND(C153&lt;&gt;"",NOT($J153)),"?")</f>
        <v/>
      </c>
      <c r="C153" s="435"/>
      <c r="D153" s="421"/>
      <c r="E153" s="422"/>
      <c r="F153" s="423"/>
      <c r="G153" s="424"/>
      <c r="I153" s="438"/>
      <c r="J153" s="39" t="str" cm="1">
        <f t="array" ref="J153">_xlfn.IFNA(_xlfn.IFS(K153="----","",K153&lt;&gt;"----",ISNUMBER(MATCH(K153,MasterData!$AI$494:$AI$509,0))),"FALSE")</f>
        <v/>
      </c>
      <c r="K153" s="39" t="str">
        <f t="shared" si="2"/>
        <v>----</v>
      </c>
      <c r="L153" s="192"/>
      <c r="M153" s="39"/>
      <c r="N153" s="39"/>
    </row>
    <row r="154" spans="2:36" ht="15" hidden="1" outlineLevel="1" thickBot="1" x14ac:dyDescent="0.35">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 hidden="1" outlineLevel="1" thickBot="1" x14ac:dyDescent="0.35">
      <c r="C155" s="236"/>
      <c r="D155" s="237" t="s">
        <v>376</v>
      </c>
      <c r="E155" s="237" t="s">
        <v>377</v>
      </c>
      <c r="F155" s="237" t="s">
        <v>378</v>
      </c>
      <c r="G155" s="238" t="s">
        <v>379</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x14ac:dyDescent="0.3">
      <c r="C156" s="239" t="s">
        <v>380</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 hidden="1" outlineLevel="1" thickBot="1" x14ac:dyDescent="0.35">
      <c r="C157" s="243" t="s">
        <v>381</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 hidden="1" outlineLevel="1" thickBot="1" x14ac:dyDescent="0.35">
      <c r="C158" s="236" t="s">
        <v>360</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x14ac:dyDescent="0.3">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 hidden="1" outlineLevel="1" thickBot="1" x14ac:dyDescent="0.35">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 hidden="1" outlineLevel="1" thickBot="1" x14ac:dyDescent="0.35">
      <c r="C161" s="249" t="s">
        <v>382</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x14ac:dyDescent="0.3">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x14ac:dyDescent="0.3">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 hidden="1" outlineLevel="1" thickBot="1" x14ac:dyDescent="0.35">
      <c r="B164" s="192"/>
      <c r="C164" s="255" t="s">
        <v>383</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 hidden="1" outlineLevel="1" thickBot="1" x14ac:dyDescent="0.35">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 hidden="1" outlineLevel="1" thickBot="1" x14ac:dyDescent="0.35">
      <c r="B166" s="192"/>
      <c r="C166" s="255" t="s">
        <v>384</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 hidden="1" outlineLevel="1" thickBot="1" x14ac:dyDescent="0.35">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x14ac:dyDescent="0.3">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x14ac:dyDescent="0.3">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x14ac:dyDescent="0.3">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x14ac:dyDescent="0.3">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x14ac:dyDescent="0.3">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x14ac:dyDescent="0.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x14ac:dyDescent="0.3">
      <c r="N178" s="39"/>
      <c r="O178" s="39"/>
      <c r="P178" s="39"/>
      <c r="Q178" s="39"/>
      <c r="R178" s="39"/>
    </row>
    <row r="179" spans="14:18" x14ac:dyDescent="0.3">
      <c r="N179" s="39"/>
      <c r="O179" s="39"/>
      <c r="P179" s="39"/>
      <c r="Q179" s="39"/>
      <c r="R179" s="39"/>
    </row>
    <row r="180" spans="14:18" x14ac:dyDescent="0.3">
      <c r="N180" s="39"/>
      <c r="O180" s="39"/>
      <c r="P180" s="39"/>
      <c r="Q180" s="39"/>
      <c r="R180" s="39"/>
    </row>
    <row r="181" spans="14:18" x14ac:dyDescent="0.3">
      <c r="N181" s="39"/>
      <c r="O181" s="39"/>
      <c r="P181" s="39"/>
      <c r="Q181" s="39"/>
      <c r="R181" s="39"/>
    </row>
    <row r="182" spans="14:18" x14ac:dyDescent="0.3">
      <c r="N182" s="39"/>
      <c r="O182" s="39"/>
      <c r="P182" s="39"/>
      <c r="Q182" s="39"/>
      <c r="R182" s="39"/>
    </row>
    <row r="183" spans="14:18" x14ac:dyDescent="0.3">
      <c r="N183" s="39"/>
      <c r="O183" s="39"/>
      <c r="P183" s="39"/>
      <c r="Q183" s="39"/>
      <c r="R183" s="39"/>
    </row>
    <row r="184" spans="14:18" x14ac:dyDescent="0.3">
      <c r="N184" s="39"/>
      <c r="O184" s="39"/>
      <c r="P184" s="39"/>
      <c r="Q184" s="39"/>
      <c r="R184" s="39"/>
    </row>
    <row r="185" spans="14:18" x14ac:dyDescent="0.3">
      <c r="N185" s="39"/>
      <c r="O185" s="39"/>
      <c r="P185" s="39"/>
      <c r="Q185" s="39"/>
      <c r="R185" s="39"/>
    </row>
    <row r="186" spans="14:18" x14ac:dyDescent="0.3">
      <c r="N186" s="39"/>
      <c r="O186" s="39"/>
      <c r="P186" s="39"/>
      <c r="Q186" s="39"/>
      <c r="R186" s="39"/>
    </row>
    <row r="187" spans="14:18" x14ac:dyDescent="0.3">
      <c r="N187" s="39"/>
      <c r="O187" s="39"/>
      <c r="P187" s="39"/>
      <c r="Q187" s="39"/>
      <c r="R187" s="39"/>
    </row>
    <row r="188" spans="14:18" x14ac:dyDescent="0.3">
      <c r="N188" s="39"/>
      <c r="O188" s="39"/>
      <c r="P188" s="39"/>
      <c r="Q188" s="39"/>
      <c r="R188" s="39"/>
    </row>
    <row r="189" spans="14:18" x14ac:dyDescent="0.3">
      <c r="N189" s="39"/>
      <c r="O189" s="39"/>
      <c r="P189" s="39"/>
      <c r="Q189" s="39"/>
      <c r="R189" s="39"/>
    </row>
    <row r="190" spans="14:18" x14ac:dyDescent="0.3">
      <c r="N190" s="39"/>
      <c r="O190" s="39"/>
      <c r="P190" s="39"/>
      <c r="Q190" s="39"/>
      <c r="R190" s="39"/>
    </row>
    <row r="191" spans="14:18" x14ac:dyDescent="0.3">
      <c r="N191" s="39"/>
      <c r="O191" s="39"/>
      <c r="P191" s="39"/>
      <c r="Q191" s="39"/>
      <c r="R191" s="39"/>
    </row>
    <row r="192" spans="14:18" x14ac:dyDescent="0.3">
      <c r="N192" s="39"/>
      <c r="O192" s="39"/>
      <c r="P192" s="39"/>
      <c r="Q192" s="39"/>
      <c r="R192" s="39"/>
    </row>
    <row r="193" spans="14:18" x14ac:dyDescent="0.3">
      <c r="N193" s="39"/>
      <c r="O193" s="39"/>
      <c r="P193" s="39"/>
      <c r="Q193" s="39"/>
      <c r="R193" s="39"/>
    </row>
    <row r="194" spans="14:18" x14ac:dyDescent="0.3">
      <c r="N194" s="39"/>
      <c r="O194" s="39"/>
      <c r="P194" s="39"/>
      <c r="Q194" s="39"/>
      <c r="R194" s="39"/>
    </row>
    <row r="195" spans="14:18" x14ac:dyDescent="0.3">
      <c r="N195" s="39"/>
      <c r="O195" s="39"/>
      <c r="P195" s="39"/>
      <c r="Q195" s="39"/>
      <c r="R195" s="39"/>
    </row>
    <row r="196" spans="14:18" x14ac:dyDescent="0.3">
      <c r="N196" s="39"/>
      <c r="O196" s="39"/>
      <c r="P196" s="39"/>
      <c r="Q196" s="39"/>
      <c r="R196" s="39"/>
    </row>
    <row r="197" spans="14:18" x14ac:dyDescent="0.3">
      <c r="N197" s="39"/>
      <c r="O197" s="39"/>
      <c r="P197" s="39"/>
      <c r="Q197" s="39"/>
      <c r="R197" s="39"/>
    </row>
    <row r="198" spans="14:18" x14ac:dyDescent="0.3">
      <c r="N198" s="39"/>
      <c r="O198" s="39"/>
      <c r="P198" s="39"/>
      <c r="Q198" s="39"/>
      <c r="R198" s="39"/>
    </row>
    <row r="199" spans="14:18" x14ac:dyDescent="0.3">
      <c r="N199" s="39"/>
      <c r="O199" s="39"/>
      <c r="P199" s="39"/>
      <c r="Q199" s="39"/>
      <c r="R199" s="39"/>
    </row>
    <row r="200" spans="14:18" x14ac:dyDescent="0.3">
      <c r="N200" s="39"/>
      <c r="O200" s="39"/>
      <c r="P200" s="39"/>
      <c r="Q200" s="39"/>
      <c r="R200" s="39"/>
    </row>
    <row r="201" spans="14:18" x14ac:dyDescent="0.3">
      <c r="N201" s="39"/>
      <c r="O201" s="39"/>
      <c r="P201" s="39"/>
      <c r="Q201" s="39"/>
      <c r="R201" s="39"/>
    </row>
    <row r="202" spans="14:18" x14ac:dyDescent="0.3">
      <c r="N202" s="39"/>
      <c r="O202" s="39"/>
      <c r="P202" s="39"/>
      <c r="Q202" s="39"/>
      <c r="R202" s="39"/>
    </row>
    <row r="203" spans="14:18" x14ac:dyDescent="0.3">
      <c r="N203" s="39"/>
      <c r="O203" s="39"/>
      <c r="P203" s="39"/>
      <c r="Q203" s="39"/>
      <c r="R203" s="39"/>
    </row>
    <row r="204" spans="14:18" x14ac:dyDescent="0.3">
      <c r="N204" s="39"/>
      <c r="O204" s="39"/>
      <c r="P204" s="39"/>
      <c r="Q204" s="39"/>
      <c r="R204" s="39"/>
    </row>
    <row r="205" spans="14:18" x14ac:dyDescent="0.3">
      <c r="N205" s="39"/>
      <c r="O205" s="39"/>
      <c r="P205" s="39"/>
      <c r="Q205" s="39"/>
      <c r="R205" s="39"/>
    </row>
    <row r="206" spans="14:18" x14ac:dyDescent="0.3">
      <c r="N206" s="39"/>
      <c r="O206" s="39"/>
      <c r="P206" s="39"/>
      <c r="Q206" s="39"/>
      <c r="R206" s="39"/>
    </row>
    <row r="207" spans="14:18" x14ac:dyDescent="0.3">
      <c r="N207" s="39"/>
      <c r="O207" s="39"/>
      <c r="P207" s="39"/>
      <c r="Q207" s="39"/>
      <c r="R207" s="39"/>
    </row>
    <row r="208" spans="14:18" x14ac:dyDescent="0.3">
      <c r="N208" s="39"/>
      <c r="O208" s="39"/>
      <c r="P208" s="39"/>
      <c r="Q208" s="39"/>
      <c r="R208" s="39"/>
    </row>
    <row r="209" spans="14:18" x14ac:dyDescent="0.3">
      <c r="N209" s="39"/>
      <c r="O209" s="39"/>
      <c r="P209" s="39"/>
      <c r="Q209" s="39"/>
      <c r="R209" s="39"/>
    </row>
    <row r="210" spans="14:18" x14ac:dyDescent="0.3">
      <c r="N210" s="39"/>
      <c r="O210" s="39"/>
      <c r="P210" s="39"/>
      <c r="Q210" s="39"/>
      <c r="R210" s="39"/>
    </row>
    <row r="211" spans="14:18" x14ac:dyDescent="0.3">
      <c r="N211" s="39"/>
      <c r="O211" s="39"/>
      <c r="P211" s="39"/>
      <c r="Q211" s="39"/>
      <c r="R211" s="39"/>
    </row>
    <row r="212" spans="14:18" x14ac:dyDescent="0.3">
      <c r="N212" s="39"/>
      <c r="O212" s="39"/>
      <c r="P212" s="39"/>
      <c r="Q212" s="39"/>
      <c r="R212" s="39"/>
    </row>
    <row r="213" spans="14:18" x14ac:dyDescent="0.3">
      <c r="N213" s="39"/>
      <c r="O213" s="39"/>
      <c r="P213" s="39"/>
      <c r="Q213" s="39"/>
      <c r="R213" s="39"/>
    </row>
    <row r="214" spans="14:18" x14ac:dyDescent="0.3">
      <c r="N214" s="39"/>
      <c r="O214" s="39"/>
      <c r="P214" s="39"/>
      <c r="Q214" s="39"/>
      <c r="R214" s="39"/>
    </row>
    <row r="215" spans="14:18" x14ac:dyDescent="0.3">
      <c r="N215" s="39"/>
      <c r="O215" s="39"/>
      <c r="P215" s="39"/>
      <c r="Q215" s="39"/>
      <c r="R215" s="39"/>
    </row>
    <row r="216" spans="14:18" x14ac:dyDescent="0.3">
      <c r="N216" s="39"/>
      <c r="O216" s="39"/>
      <c r="P216" s="39"/>
      <c r="Q216" s="39"/>
      <c r="R216" s="39"/>
    </row>
    <row r="217" spans="14:18" x14ac:dyDescent="0.3">
      <c r="N217" s="39"/>
      <c r="O217" s="39"/>
      <c r="P217" s="39"/>
      <c r="Q217" s="39"/>
      <c r="R217" s="39"/>
    </row>
    <row r="218" spans="14:18" x14ac:dyDescent="0.3">
      <c r="N218" s="39"/>
      <c r="O218" s="39"/>
      <c r="P218" s="39"/>
      <c r="Q218" s="39"/>
      <c r="R218" s="39"/>
    </row>
    <row r="219" spans="14:18" x14ac:dyDescent="0.3">
      <c r="N219" s="39"/>
      <c r="O219" s="39"/>
      <c r="P219" s="39"/>
      <c r="Q219" s="39"/>
      <c r="R219" s="39"/>
    </row>
    <row r="220" spans="14:18" x14ac:dyDescent="0.3">
      <c r="N220" s="39"/>
      <c r="O220" s="39"/>
      <c r="P220" s="39"/>
      <c r="Q220" s="39"/>
      <c r="R220" s="39"/>
    </row>
    <row r="221" spans="14:18" x14ac:dyDescent="0.3">
      <c r="N221" s="39"/>
      <c r="O221" s="39"/>
      <c r="P221" s="39"/>
      <c r="Q221" s="39"/>
      <c r="R221" s="39"/>
    </row>
    <row r="222" spans="14:18" x14ac:dyDescent="0.3">
      <c r="N222" s="39"/>
      <c r="O222" s="39"/>
      <c r="P222" s="39"/>
      <c r="Q222" s="39"/>
      <c r="R222" s="39"/>
    </row>
    <row r="223" spans="14:18" x14ac:dyDescent="0.3">
      <c r="N223" s="39"/>
      <c r="O223" s="39"/>
      <c r="P223" s="39"/>
      <c r="Q223" s="39"/>
      <c r="R223" s="39"/>
    </row>
    <row r="224" spans="14:18" x14ac:dyDescent="0.3">
      <c r="N224" s="39"/>
      <c r="O224" s="39"/>
      <c r="P224" s="39"/>
      <c r="Q224" s="39"/>
      <c r="R224" s="39"/>
    </row>
    <row r="225" spans="14:18" x14ac:dyDescent="0.3">
      <c r="N225" s="39"/>
      <c r="O225" s="39"/>
      <c r="P225" s="39"/>
      <c r="Q225" s="39"/>
      <c r="R225" s="39"/>
    </row>
    <row r="226" spans="14:18" x14ac:dyDescent="0.3">
      <c r="N226" s="39"/>
      <c r="O226" s="39"/>
      <c r="P226" s="39"/>
      <c r="Q226" s="39"/>
      <c r="R226" s="39"/>
    </row>
    <row r="227" spans="14:18" x14ac:dyDescent="0.3">
      <c r="N227" s="39"/>
      <c r="O227" s="39"/>
      <c r="P227" s="39"/>
      <c r="Q227" s="39"/>
      <c r="R227" s="39"/>
    </row>
    <row r="228" spans="14:18" x14ac:dyDescent="0.3">
      <c r="N228" s="39"/>
      <c r="O228" s="39"/>
      <c r="P228" s="39"/>
      <c r="Q228" s="39"/>
      <c r="R228" s="39"/>
    </row>
    <row r="229" spans="14:18" x14ac:dyDescent="0.3">
      <c r="N229" s="39"/>
      <c r="O229" s="39"/>
      <c r="P229" s="39"/>
      <c r="Q229" s="39"/>
      <c r="R229" s="39"/>
    </row>
    <row r="230" spans="14:18" x14ac:dyDescent="0.3">
      <c r="N230" s="39"/>
      <c r="O230" s="39"/>
      <c r="P230" s="39"/>
      <c r="Q230" s="39"/>
      <c r="R230" s="39"/>
    </row>
    <row r="231" spans="14:18" x14ac:dyDescent="0.3">
      <c r="N231" s="39"/>
      <c r="O231" s="39"/>
      <c r="P231" s="39"/>
      <c r="Q231" s="39"/>
      <c r="R231" s="39"/>
    </row>
    <row r="232" spans="14:18" x14ac:dyDescent="0.3">
      <c r="N232" s="39"/>
      <c r="O232" s="39"/>
      <c r="P232" s="39"/>
      <c r="Q232" s="39"/>
      <c r="R232" s="39"/>
    </row>
    <row r="233" spans="14:18" x14ac:dyDescent="0.3">
      <c r="N233" s="39"/>
      <c r="O233" s="39"/>
      <c r="P233" s="39"/>
      <c r="Q233" s="39"/>
      <c r="R233" s="39"/>
    </row>
    <row r="234" spans="14:18" x14ac:dyDescent="0.3">
      <c r="N234" s="39"/>
      <c r="O234" s="39"/>
      <c r="P234" s="39"/>
      <c r="Q234" s="39"/>
      <c r="R234" s="39"/>
    </row>
    <row r="235" spans="14:18" x14ac:dyDescent="0.3">
      <c r="N235" s="39"/>
      <c r="O235" s="39"/>
      <c r="P235" s="39"/>
      <c r="Q235" s="39"/>
      <c r="R235" s="39"/>
    </row>
    <row r="236" spans="14:18" x14ac:dyDescent="0.3">
      <c r="N236" s="39"/>
      <c r="O236" s="39"/>
      <c r="P236" s="39"/>
      <c r="Q236" s="39"/>
      <c r="R236" s="39"/>
    </row>
    <row r="237" spans="14:18" x14ac:dyDescent="0.3">
      <c r="N237" s="39"/>
      <c r="O237" s="39"/>
      <c r="P237" s="39"/>
      <c r="Q237" s="39"/>
      <c r="R237" s="39"/>
    </row>
    <row r="238" spans="14:18" x14ac:dyDescent="0.3">
      <c r="N238" s="39"/>
      <c r="O238" s="39"/>
      <c r="P238" s="39"/>
      <c r="Q238" s="39"/>
      <c r="R238" s="39"/>
    </row>
    <row r="239" spans="14:18" x14ac:dyDescent="0.3">
      <c r="N239" s="39"/>
      <c r="O239" s="39"/>
      <c r="P239" s="39"/>
      <c r="Q239" s="39"/>
      <c r="R239" s="39"/>
    </row>
    <row r="240" spans="14:18" x14ac:dyDescent="0.3">
      <c r="N240" s="39"/>
      <c r="O240" s="39"/>
      <c r="P240" s="39"/>
      <c r="Q240" s="39"/>
      <c r="R240" s="39"/>
    </row>
    <row r="241" spans="14:18" x14ac:dyDescent="0.3">
      <c r="N241" s="39"/>
      <c r="O241" s="39"/>
      <c r="P241" s="39"/>
      <c r="Q241" s="39"/>
      <c r="R241" s="39"/>
    </row>
    <row r="242" spans="14:18" x14ac:dyDescent="0.3">
      <c r="N242" s="39"/>
      <c r="O242" s="39"/>
      <c r="P242" s="39"/>
      <c r="Q242" s="39"/>
      <c r="R242" s="39"/>
    </row>
    <row r="243" spans="14:18" x14ac:dyDescent="0.3">
      <c r="N243" s="39"/>
      <c r="O243" s="39"/>
      <c r="P243" s="39"/>
      <c r="Q243" s="39"/>
      <c r="R243" s="39"/>
    </row>
    <row r="244" spans="14:18" x14ac:dyDescent="0.3">
      <c r="N244" s="39"/>
      <c r="O244" s="39"/>
      <c r="P244" s="39"/>
      <c r="Q244" s="39"/>
      <c r="R244" s="39"/>
    </row>
    <row r="245" spans="14:18" x14ac:dyDescent="0.3">
      <c r="N245" s="39"/>
      <c r="O245" s="39"/>
      <c r="P245" s="39"/>
      <c r="Q245" s="39"/>
      <c r="R245" s="39"/>
    </row>
    <row r="246" spans="14:18" x14ac:dyDescent="0.3">
      <c r="N246" s="39"/>
      <c r="O246" s="39"/>
      <c r="P246" s="39"/>
      <c r="Q246" s="39"/>
      <c r="R246" s="39"/>
    </row>
    <row r="247" spans="14:18" x14ac:dyDescent="0.3">
      <c r="N247" s="39"/>
      <c r="O247" s="39"/>
      <c r="P247" s="39"/>
      <c r="Q247" s="39"/>
      <c r="R247" s="39"/>
    </row>
    <row r="248" spans="14:18" x14ac:dyDescent="0.3">
      <c r="N248" s="39"/>
      <c r="O248" s="39"/>
      <c r="P248" s="39"/>
      <c r="Q248" s="39"/>
      <c r="R248" s="39"/>
    </row>
    <row r="249" spans="14:18" x14ac:dyDescent="0.3">
      <c r="N249" s="39"/>
      <c r="O249" s="39"/>
      <c r="P249" s="39"/>
      <c r="Q249" s="39"/>
      <c r="R249" s="39"/>
    </row>
    <row r="250" spans="14:18" x14ac:dyDescent="0.3">
      <c r="N250" s="39"/>
      <c r="O250" s="39"/>
      <c r="P250" s="39"/>
      <c r="Q250" s="39"/>
      <c r="R250" s="39"/>
    </row>
    <row r="251" spans="14:18" x14ac:dyDescent="0.3">
      <c r="N251" s="39"/>
      <c r="O251" s="39"/>
      <c r="P251" s="39"/>
      <c r="Q251" s="39"/>
      <c r="R251" s="39"/>
    </row>
    <row r="252" spans="14:18" x14ac:dyDescent="0.3">
      <c r="N252" s="39"/>
      <c r="O252" s="39"/>
      <c r="P252" s="39"/>
      <c r="Q252" s="39"/>
      <c r="R252" s="39"/>
    </row>
    <row r="253" spans="14:18" x14ac:dyDescent="0.3">
      <c r="N253" s="39"/>
      <c r="O253" s="39"/>
      <c r="P253" s="39"/>
      <c r="Q253" s="39"/>
      <c r="R253" s="39"/>
    </row>
    <row r="254" spans="14:18" x14ac:dyDescent="0.3">
      <c r="N254" s="39"/>
      <c r="O254" s="39"/>
      <c r="P254" s="39"/>
      <c r="Q254" s="39"/>
      <c r="R254" s="39"/>
    </row>
    <row r="255" spans="14:18" x14ac:dyDescent="0.3">
      <c r="N255" s="39"/>
      <c r="O255" s="39"/>
      <c r="P255" s="39"/>
      <c r="Q255" s="39"/>
      <c r="R255" s="39"/>
    </row>
    <row r="256" spans="14:18" x14ac:dyDescent="0.3">
      <c r="N256" s="39"/>
      <c r="O256" s="39"/>
      <c r="P256" s="39"/>
      <c r="Q256" s="39"/>
      <c r="R256" s="39"/>
    </row>
    <row r="257" spans="14:18" x14ac:dyDescent="0.3">
      <c r="N257" s="39"/>
      <c r="O257" s="39"/>
      <c r="P257" s="39"/>
      <c r="Q257" s="39"/>
      <c r="R257" s="39"/>
    </row>
    <row r="258" spans="14:18" x14ac:dyDescent="0.3">
      <c r="N258" s="39"/>
      <c r="O258" s="39"/>
      <c r="P258" s="39"/>
      <c r="Q258" s="39"/>
      <c r="R258" s="39"/>
    </row>
    <row r="259" spans="14:18" x14ac:dyDescent="0.3">
      <c r="N259" s="39"/>
      <c r="O259" s="39"/>
      <c r="P259" s="39"/>
      <c r="Q259" s="39"/>
      <c r="R259" s="39"/>
    </row>
    <row r="260" spans="14:18" x14ac:dyDescent="0.3">
      <c r="N260" s="39"/>
      <c r="O260" s="39"/>
      <c r="P260" s="39"/>
      <c r="Q260" s="39"/>
      <c r="R260" s="39"/>
    </row>
    <row r="261" spans="14:18" x14ac:dyDescent="0.3">
      <c r="N261" s="39"/>
      <c r="O261" s="39"/>
      <c r="P261" s="39"/>
      <c r="Q261" s="39"/>
      <c r="R261" s="39"/>
    </row>
    <row r="262" spans="14:18" x14ac:dyDescent="0.3">
      <c r="N262" s="39"/>
      <c r="O262" s="39"/>
      <c r="P262" s="39"/>
      <c r="Q262" s="39"/>
      <c r="R262" s="39"/>
    </row>
    <row r="263" spans="14:18" x14ac:dyDescent="0.3">
      <c r="N263" s="39"/>
      <c r="O263" s="39"/>
      <c r="P263" s="39"/>
      <c r="Q263" s="39"/>
      <c r="R263" s="39"/>
    </row>
    <row r="264" spans="14:18" x14ac:dyDescent="0.3">
      <c r="N264" s="39"/>
      <c r="O264" s="39"/>
      <c r="P264" s="39"/>
      <c r="Q264" s="39"/>
      <c r="R264" s="39"/>
    </row>
    <row r="265" spans="14:18" x14ac:dyDescent="0.3">
      <c r="N265" s="39"/>
      <c r="O265" s="39"/>
      <c r="P265" s="39"/>
      <c r="Q265" s="39"/>
      <c r="R265" s="39"/>
    </row>
    <row r="266" spans="14:18" x14ac:dyDescent="0.3">
      <c r="N266" s="39"/>
      <c r="O266" s="39"/>
      <c r="P266" s="39"/>
      <c r="Q266" s="39"/>
      <c r="R266" s="39"/>
    </row>
    <row r="267" spans="14:18" x14ac:dyDescent="0.3">
      <c r="N267" s="39"/>
      <c r="O267" s="39"/>
      <c r="P267" s="39"/>
      <c r="Q267" s="39"/>
      <c r="R267" s="39"/>
    </row>
    <row r="268" spans="14:18" x14ac:dyDescent="0.3">
      <c r="N268" s="39"/>
      <c r="O268" s="39"/>
      <c r="P268" s="39"/>
      <c r="Q268" s="39"/>
      <c r="R268" s="39"/>
    </row>
    <row r="269" spans="14:18" x14ac:dyDescent="0.3">
      <c r="N269" s="39"/>
      <c r="O269" s="39"/>
      <c r="P269" s="39"/>
      <c r="Q269" s="39"/>
      <c r="R269" s="39"/>
    </row>
    <row r="270" spans="14:18" x14ac:dyDescent="0.3">
      <c r="N270" s="39"/>
      <c r="O270" s="39"/>
      <c r="P270" s="39"/>
      <c r="Q270" s="39"/>
      <c r="R270" s="39"/>
    </row>
    <row r="271" spans="14:18" x14ac:dyDescent="0.3">
      <c r="N271" s="39"/>
      <c r="O271" s="39"/>
      <c r="P271" s="39"/>
      <c r="Q271" s="39"/>
      <c r="R271" s="39"/>
    </row>
    <row r="272" spans="14:18" x14ac:dyDescent="0.3">
      <c r="N272" s="39"/>
      <c r="O272" s="39"/>
      <c r="P272" s="39"/>
      <c r="Q272" s="39"/>
      <c r="R272" s="39"/>
    </row>
    <row r="273" spans="3:18" x14ac:dyDescent="0.3">
      <c r="N273" s="39"/>
      <c r="O273" s="39"/>
      <c r="P273" s="39"/>
      <c r="Q273" s="39"/>
      <c r="R273" s="39"/>
    </row>
    <row r="274" spans="3:18" x14ac:dyDescent="0.3">
      <c r="N274" s="39"/>
      <c r="O274" s="39"/>
      <c r="P274" s="39"/>
      <c r="Q274" s="39"/>
      <c r="R274" s="39"/>
    </row>
    <row r="275" spans="3:18" x14ac:dyDescent="0.3">
      <c r="N275" s="39"/>
      <c r="O275" s="39"/>
      <c r="P275" s="39"/>
      <c r="Q275" s="39"/>
      <c r="R275" s="39"/>
    </row>
    <row r="276" spans="3:18" x14ac:dyDescent="0.3">
      <c r="N276" s="39"/>
      <c r="O276" s="39"/>
      <c r="P276" s="39"/>
      <c r="Q276" s="39"/>
      <c r="R276" s="39"/>
    </row>
    <row r="277" spans="3:18" x14ac:dyDescent="0.3">
      <c r="N277" s="39"/>
      <c r="O277" s="39"/>
      <c r="P277" s="39"/>
      <c r="Q277" s="39"/>
      <c r="R277" s="39"/>
    </row>
    <row r="278" spans="3:18" x14ac:dyDescent="0.3">
      <c r="N278" s="39"/>
      <c r="O278" s="39"/>
      <c r="P278" s="39"/>
      <c r="Q278" s="39"/>
      <c r="R278" s="39"/>
    </row>
    <row r="279" spans="3:18" x14ac:dyDescent="0.3">
      <c r="N279" s="39"/>
      <c r="O279" s="39"/>
      <c r="P279" s="39"/>
      <c r="Q279" s="39"/>
      <c r="R279" s="39"/>
    </row>
    <row r="280" spans="3:18" x14ac:dyDescent="0.3">
      <c r="N280" s="39"/>
      <c r="O280" s="39"/>
      <c r="P280" s="39"/>
      <c r="Q280" s="39"/>
      <c r="R280" s="39"/>
    </row>
    <row r="281" spans="3:18" x14ac:dyDescent="0.3">
      <c r="N281" s="39"/>
      <c r="O281" s="39"/>
      <c r="P281" s="39"/>
      <c r="Q281" s="39"/>
      <c r="R281" s="39"/>
    </row>
    <row r="282" spans="3:18" x14ac:dyDescent="0.3">
      <c r="N282" s="39"/>
      <c r="O282" s="39"/>
      <c r="P282" s="39"/>
      <c r="Q282" s="39"/>
      <c r="R282" s="39"/>
    </row>
    <row r="283" spans="3:18" x14ac:dyDescent="0.3">
      <c r="C283" t="str" cm="1">
        <f t="array" ref="C283:G412">IFERROR(_xlfn._xlws.FILTER(JournalAnswer[Accnt Type]:JournalAnswer[Cr Amt],JournalAnswer[Transaction '#]=$D$4,"No Entry Found"),"")</f>
        <v/>
      </c>
      <c r="D283" t="str">
        <v/>
      </c>
      <c r="E283" t="str">
        <v/>
      </c>
      <c r="F283" t="str">
        <v/>
      </c>
      <c r="G283" t="str">
        <v/>
      </c>
      <c r="N283" s="39"/>
      <c r="O283" s="39"/>
      <c r="P283" s="39"/>
      <c r="Q283" s="39"/>
      <c r="R283" s="39"/>
    </row>
    <row r="284" spans="3:18" x14ac:dyDescent="0.3">
      <c r="C284" t="str">
        <v/>
      </c>
      <c r="D284" t="str">
        <v/>
      </c>
      <c r="E284" t="str">
        <v/>
      </c>
      <c r="F284" t="str">
        <v/>
      </c>
      <c r="G284" t="str">
        <v/>
      </c>
      <c r="N284" s="39"/>
      <c r="O284" s="39"/>
      <c r="P284" s="39"/>
      <c r="Q284" s="39"/>
      <c r="R284" s="39"/>
    </row>
    <row r="285" spans="3:18" x14ac:dyDescent="0.3">
      <c r="C285" t="str">
        <v/>
      </c>
      <c r="D285" t="str">
        <v/>
      </c>
      <c r="E285" t="str">
        <v/>
      </c>
      <c r="F285" t="str">
        <v/>
      </c>
      <c r="G285" t="str">
        <v/>
      </c>
      <c r="N285" s="39"/>
      <c r="O285" s="39"/>
      <c r="P285" s="39"/>
      <c r="Q285" s="39"/>
      <c r="R285" s="39"/>
    </row>
    <row r="286" spans="3:18" x14ac:dyDescent="0.3">
      <c r="C286" t="str">
        <v/>
      </c>
      <c r="D286" t="str">
        <v/>
      </c>
      <c r="E286" t="str">
        <v/>
      </c>
      <c r="F286" t="str">
        <v/>
      </c>
      <c r="G286" t="str">
        <v/>
      </c>
      <c r="N286" s="39"/>
      <c r="O286" s="39"/>
      <c r="P286" s="39"/>
      <c r="Q286" s="39"/>
      <c r="R286" s="39"/>
    </row>
    <row r="287" spans="3:18" x14ac:dyDescent="0.3">
      <c r="C287" t="str">
        <v/>
      </c>
      <c r="D287" t="str">
        <v/>
      </c>
      <c r="E287" t="str">
        <v/>
      </c>
      <c r="F287" t="str">
        <v/>
      </c>
      <c r="G287" t="str">
        <v/>
      </c>
      <c r="N287" s="39"/>
      <c r="O287" s="39"/>
      <c r="P287" s="39"/>
      <c r="Q287" s="39"/>
      <c r="R287" s="39"/>
    </row>
    <row r="288" spans="3:18" x14ac:dyDescent="0.3">
      <c r="C288" t="str">
        <v/>
      </c>
      <c r="D288" t="str">
        <v/>
      </c>
      <c r="E288" t="str">
        <v/>
      </c>
      <c r="F288" t="str">
        <v/>
      </c>
      <c r="G288" t="str">
        <v/>
      </c>
      <c r="N288" s="39"/>
      <c r="O288" s="39"/>
      <c r="P288" s="39"/>
      <c r="Q288" s="39"/>
      <c r="R288" s="39"/>
    </row>
    <row r="289" spans="3:18" x14ac:dyDescent="0.3">
      <c r="C289" t="str">
        <v/>
      </c>
      <c r="D289" t="str">
        <v/>
      </c>
      <c r="E289" t="str">
        <v/>
      </c>
      <c r="F289" t="str">
        <v/>
      </c>
      <c r="G289" t="str">
        <v/>
      </c>
      <c r="N289" s="39"/>
      <c r="O289" s="39"/>
      <c r="P289" s="39"/>
      <c r="Q289" s="39"/>
      <c r="R289" s="39"/>
    </row>
    <row r="290" spans="3:18" x14ac:dyDescent="0.3">
      <c r="C290" t="str">
        <v/>
      </c>
      <c r="D290" t="str">
        <v/>
      </c>
      <c r="E290" t="str">
        <v/>
      </c>
      <c r="F290" t="str">
        <v/>
      </c>
      <c r="G290" t="str">
        <v/>
      </c>
      <c r="N290" s="39"/>
      <c r="O290" s="39"/>
      <c r="P290" s="39"/>
      <c r="Q290" s="39"/>
      <c r="R290" s="39"/>
    </row>
    <row r="291" spans="3:18" x14ac:dyDescent="0.3">
      <c r="C291" t="str">
        <v/>
      </c>
      <c r="D291" t="str">
        <v/>
      </c>
      <c r="E291" t="str">
        <v/>
      </c>
      <c r="F291" t="str">
        <v/>
      </c>
      <c r="G291" t="str">
        <v/>
      </c>
      <c r="N291" s="39"/>
      <c r="O291" s="39"/>
      <c r="P291" s="39"/>
      <c r="Q291" s="39"/>
      <c r="R291" s="39"/>
    </row>
    <row r="292" spans="3:18" x14ac:dyDescent="0.3">
      <c r="C292" t="str">
        <v/>
      </c>
      <c r="D292" t="str">
        <v/>
      </c>
      <c r="E292" t="str">
        <v/>
      </c>
      <c r="F292" t="str">
        <v/>
      </c>
      <c r="G292" t="str">
        <v/>
      </c>
      <c r="N292" s="39"/>
      <c r="O292" s="39"/>
      <c r="P292" s="39"/>
      <c r="Q292" s="39"/>
      <c r="R292" s="39"/>
    </row>
    <row r="293" spans="3:18" x14ac:dyDescent="0.3">
      <c r="C293" t="str">
        <v/>
      </c>
      <c r="D293" t="str">
        <v/>
      </c>
      <c r="E293" t="str">
        <v/>
      </c>
      <c r="F293" t="str">
        <v/>
      </c>
      <c r="G293" t="str">
        <v/>
      </c>
      <c r="N293" s="39"/>
      <c r="O293" s="39"/>
      <c r="P293" s="39"/>
      <c r="Q293" s="39"/>
      <c r="R293" s="39"/>
    </row>
    <row r="294" spans="3:18" x14ac:dyDescent="0.3">
      <c r="C294" t="str">
        <v/>
      </c>
      <c r="D294" t="str">
        <v/>
      </c>
      <c r="E294" t="str">
        <v/>
      </c>
      <c r="F294" t="str">
        <v/>
      </c>
      <c r="G294" t="str">
        <v/>
      </c>
      <c r="N294" s="39"/>
      <c r="O294" s="39"/>
      <c r="P294" s="39"/>
      <c r="Q294" s="39"/>
      <c r="R294" s="39"/>
    </row>
    <row r="295" spans="3:18" x14ac:dyDescent="0.3">
      <c r="C295" t="str">
        <v/>
      </c>
      <c r="D295" t="str">
        <v/>
      </c>
      <c r="E295" t="str">
        <v/>
      </c>
      <c r="F295" t="str">
        <v/>
      </c>
      <c r="G295" t="str">
        <v/>
      </c>
      <c r="N295" s="39"/>
      <c r="O295" s="39"/>
      <c r="P295" s="39"/>
      <c r="Q295" s="39"/>
      <c r="R295" s="39"/>
    </row>
    <row r="296" spans="3:18" x14ac:dyDescent="0.3">
      <c r="C296" t="str">
        <v/>
      </c>
      <c r="D296" t="str">
        <v/>
      </c>
      <c r="E296" t="str">
        <v/>
      </c>
      <c r="F296" t="str">
        <v/>
      </c>
      <c r="G296" t="str">
        <v/>
      </c>
      <c r="N296" s="39"/>
      <c r="O296" s="39"/>
      <c r="P296" s="39"/>
      <c r="Q296" s="39"/>
      <c r="R296" s="39"/>
    </row>
    <row r="297" spans="3:18" x14ac:dyDescent="0.3">
      <c r="C297" t="str">
        <v/>
      </c>
      <c r="D297" t="str">
        <v/>
      </c>
      <c r="E297" t="str">
        <v/>
      </c>
      <c r="F297" t="str">
        <v/>
      </c>
      <c r="G297" t="str">
        <v/>
      </c>
      <c r="N297" s="39"/>
      <c r="O297" s="39"/>
      <c r="P297" s="39"/>
      <c r="Q297" s="39"/>
      <c r="R297" s="39"/>
    </row>
    <row r="298" spans="3:18" x14ac:dyDescent="0.3">
      <c r="C298" t="str">
        <v/>
      </c>
      <c r="D298" t="str">
        <v/>
      </c>
      <c r="E298" t="str">
        <v/>
      </c>
      <c r="F298" t="str">
        <v/>
      </c>
      <c r="G298" t="str">
        <v/>
      </c>
      <c r="N298" s="39"/>
      <c r="O298" s="39"/>
      <c r="P298" s="39"/>
      <c r="Q298" s="39"/>
      <c r="R298" s="39"/>
    </row>
    <row r="299" spans="3:18" x14ac:dyDescent="0.3">
      <c r="C299" t="str">
        <v/>
      </c>
      <c r="D299" t="str">
        <v/>
      </c>
      <c r="E299" t="str">
        <v/>
      </c>
      <c r="F299" t="str">
        <v/>
      </c>
      <c r="G299" t="str">
        <v/>
      </c>
      <c r="N299" s="39"/>
      <c r="O299" s="39"/>
      <c r="P299" s="39"/>
      <c r="Q299" s="39"/>
      <c r="R299" s="39"/>
    </row>
    <row r="300" spans="3:18" x14ac:dyDescent="0.3">
      <c r="C300" t="str">
        <v/>
      </c>
      <c r="D300" t="str">
        <v/>
      </c>
      <c r="E300" t="str">
        <v/>
      </c>
      <c r="F300" t="str">
        <v/>
      </c>
      <c r="G300" t="str">
        <v/>
      </c>
      <c r="N300" s="39"/>
      <c r="O300" s="39"/>
      <c r="P300" s="39"/>
      <c r="Q300" s="39"/>
      <c r="R300" s="39"/>
    </row>
    <row r="301" spans="3:18" x14ac:dyDescent="0.3">
      <c r="C301" t="str">
        <v/>
      </c>
      <c r="D301" t="str">
        <v/>
      </c>
      <c r="E301" t="str">
        <v/>
      </c>
      <c r="F301" t="str">
        <v/>
      </c>
      <c r="G301" t="str">
        <v/>
      </c>
      <c r="N301" s="39"/>
      <c r="O301" s="39"/>
      <c r="P301" s="39"/>
      <c r="Q301" s="39"/>
      <c r="R301" s="39"/>
    </row>
    <row r="302" spans="3:18" x14ac:dyDescent="0.3">
      <c r="C302" t="str">
        <v/>
      </c>
      <c r="D302" t="str">
        <v/>
      </c>
      <c r="E302" t="str">
        <v/>
      </c>
      <c r="F302" t="str">
        <v/>
      </c>
      <c r="G302" t="str">
        <v/>
      </c>
      <c r="N302" s="39"/>
      <c r="O302" s="39"/>
      <c r="P302" s="39"/>
      <c r="Q302" s="39"/>
      <c r="R302" s="39"/>
    </row>
    <row r="303" spans="3:18" x14ac:dyDescent="0.3">
      <c r="C303" t="str">
        <v/>
      </c>
      <c r="D303" t="str">
        <v/>
      </c>
      <c r="E303" t="str">
        <v/>
      </c>
      <c r="F303" t="str">
        <v/>
      </c>
      <c r="G303" t="str">
        <v/>
      </c>
      <c r="N303" s="39"/>
      <c r="O303" s="39"/>
      <c r="P303" s="39"/>
      <c r="Q303" s="39"/>
      <c r="R303" s="39"/>
    </row>
    <row r="304" spans="3:18" x14ac:dyDescent="0.3">
      <c r="C304" t="str">
        <v/>
      </c>
      <c r="D304" t="str">
        <v/>
      </c>
      <c r="E304" t="str">
        <v/>
      </c>
      <c r="F304" t="str">
        <v/>
      </c>
      <c r="G304" t="str">
        <v/>
      </c>
      <c r="N304" s="39"/>
      <c r="O304" s="39"/>
      <c r="P304" s="39"/>
      <c r="Q304" s="39"/>
      <c r="R304" s="39"/>
    </row>
    <row r="305" spans="3:18" x14ac:dyDescent="0.3">
      <c r="C305" t="str">
        <v/>
      </c>
      <c r="D305" t="str">
        <v/>
      </c>
      <c r="E305" t="str">
        <v/>
      </c>
      <c r="F305" t="str">
        <v/>
      </c>
      <c r="G305" t="str">
        <v/>
      </c>
      <c r="N305" s="39"/>
      <c r="O305" s="39"/>
      <c r="P305" s="39"/>
      <c r="Q305" s="39"/>
      <c r="R305" s="39"/>
    </row>
    <row r="306" spans="3:18" x14ac:dyDescent="0.3">
      <c r="C306" t="str">
        <v/>
      </c>
      <c r="D306" t="str">
        <v/>
      </c>
      <c r="E306" t="str">
        <v/>
      </c>
      <c r="F306" t="str">
        <v/>
      </c>
      <c r="G306" t="str">
        <v/>
      </c>
      <c r="N306" s="39"/>
      <c r="O306" s="39"/>
      <c r="P306" s="39"/>
      <c r="Q306" s="39"/>
      <c r="R306" s="39"/>
    </row>
    <row r="307" spans="3:18" x14ac:dyDescent="0.3">
      <c r="C307" t="str">
        <v/>
      </c>
      <c r="D307" t="str">
        <v/>
      </c>
      <c r="E307" t="str">
        <v/>
      </c>
      <c r="F307" t="str">
        <v/>
      </c>
      <c r="G307" t="str">
        <v/>
      </c>
      <c r="N307" s="39"/>
      <c r="O307" s="39"/>
      <c r="P307" s="39"/>
      <c r="Q307" s="39"/>
      <c r="R307" s="39"/>
    </row>
    <row r="308" spans="3:18" x14ac:dyDescent="0.3">
      <c r="C308" t="str">
        <v/>
      </c>
      <c r="D308" t="str">
        <v/>
      </c>
      <c r="E308" t="str">
        <v/>
      </c>
      <c r="F308" t="str">
        <v/>
      </c>
      <c r="G308" t="str">
        <v/>
      </c>
      <c r="N308" s="39"/>
      <c r="O308" s="39"/>
      <c r="P308" s="39"/>
      <c r="Q308" s="39"/>
      <c r="R308" s="39"/>
    </row>
    <row r="309" spans="3:18" x14ac:dyDescent="0.3">
      <c r="C309" t="str">
        <v/>
      </c>
      <c r="D309" t="str">
        <v/>
      </c>
      <c r="E309" t="str">
        <v/>
      </c>
      <c r="F309" t="str">
        <v/>
      </c>
      <c r="G309" t="str">
        <v/>
      </c>
      <c r="N309" s="39"/>
      <c r="O309" s="39"/>
      <c r="P309" s="39"/>
      <c r="Q309" s="39"/>
      <c r="R309" s="39"/>
    </row>
    <row r="310" spans="3:18" x14ac:dyDescent="0.3">
      <c r="C310" t="str">
        <v/>
      </c>
      <c r="D310" t="str">
        <v/>
      </c>
      <c r="E310" t="str">
        <v/>
      </c>
      <c r="F310" t="str">
        <v/>
      </c>
      <c r="G310" t="str">
        <v/>
      </c>
      <c r="N310" s="39"/>
      <c r="O310" s="39"/>
      <c r="P310" s="39"/>
      <c r="Q310" s="39"/>
      <c r="R310" s="39"/>
    </row>
    <row r="311" spans="3:18" x14ac:dyDescent="0.3">
      <c r="C311" t="str">
        <v/>
      </c>
      <c r="D311" t="str">
        <v/>
      </c>
      <c r="E311" t="str">
        <v/>
      </c>
      <c r="F311" t="str">
        <v/>
      </c>
      <c r="G311" t="str">
        <v/>
      </c>
      <c r="N311" s="39"/>
      <c r="O311" s="39"/>
      <c r="P311" s="39"/>
      <c r="Q311" s="39"/>
      <c r="R311" s="39"/>
    </row>
    <row r="312" spans="3:18" x14ac:dyDescent="0.3">
      <c r="C312" t="str">
        <v/>
      </c>
      <c r="D312" t="str">
        <v/>
      </c>
      <c r="E312" t="str">
        <v/>
      </c>
      <c r="F312" t="str">
        <v/>
      </c>
      <c r="G312" t="str">
        <v/>
      </c>
      <c r="N312" s="39"/>
      <c r="O312" s="39"/>
      <c r="P312" s="39"/>
      <c r="Q312" s="39"/>
      <c r="R312" s="39"/>
    </row>
    <row r="313" spans="3:18" x14ac:dyDescent="0.3">
      <c r="C313" t="str">
        <v/>
      </c>
      <c r="D313" t="str">
        <v/>
      </c>
      <c r="E313" t="str">
        <v/>
      </c>
      <c r="F313" t="str">
        <v/>
      </c>
      <c r="G313" t="str">
        <v/>
      </c>
      <c r="N313" s="39"/>
      <c r="O313" s="39"/>
      <c r="P313" s="39"/>
      <c r="Q313" s="39"/>
      <c r="R313" s="39"/>
    </row>
    <row r="314" spans="3:18" x14ac:dyDescent="0.3">
      <c r="C314" t="str">
        <v/>
      </c>
      <c r="D314" t="str">
        <v/>
      </c>
      <c r="E314" t="str">
        <v/>
      </c>
      <c r="F314" t="str">
        <v/>
      </c>
      <c r="G314" t="str">
        <v/>
      </c>
      <c r="N314" s="39"/>
      <c r="O314" s="39"/>
      <c r="P314" s="39"/>
      <c r="Q314" s="39"/>
      <c r="R314" s="39"/>
    </row>
    <row r="315" spans="3:18" x14ac:dyDescent="0.3">
      <c r="C315" t="str">
        <v/>
      </c>
      <c r="D315" t="str">
        <v/>
      </c>
      <c r="E315" t="str">
        <v/>
      </c>
      <c r="F315" t="str">
        <v/>
      </c>
      <c r="G315" t="str">
        <v/>
      </c>
      <c r="N315" s="39"/>
      <c r="O315" s="39"/>
      <c r="P315" s="39"/>
      <c r="Q315" s="39"/>
      <c r="R315" s="39"/>
    </row>
    <row r="316" spans="3:18" x14ac:dyDescent="0.3">
      <c r="C316" t="str">
        <v/>
      </c>
      <c r="D316" t="str">
        <v/>
      </c>
      <c r="E316" t="str">
        <v/>
      </c>
      <c r="F316" t="str">
        <v/>
      </c>
      <c r="G316" t="str">
        <v/>
      </c>
      <c r="N316" s="39"/>
      <c r="O316" s="39"/>
      <c r="P316" s="39"/>
      <c r="Q316" s="39"/>
      <c r="R316" s="39"/>
    </row>
    <row r="317" spans="3:18" x14ac:dyDescent="0.3">
      <c r="C317" t="str">
        <v/>
      </c>
      <c r="D317" t="str">
        <v/>
      </c>
      <c r="E317" t="str">
        <v/>
      </c>
      <c r="F317" t="str">
        <v/>
      </c>
      <c r="G317" t="str">
        <v/>
      </c>
      <c r="N317" s="39"/>
      <c r="O317" s="39"/>
      <c r="P317" s="39"/>
      <c r="Q317" s="39"/>
      <c r="R317" s="39"/>
    </row>
    <row r="318" spans="3:18" x14ac:dyDescent="0.3">
      <c r="C318" t="str">
        <v/>
      </c>
      <c r="D318" t="str">
        <v/>
      </c>
      <c r="E318" t="str">
        <v/>
      </c>
      <c r="F318" t="str">
        <v/>
      </c>
      <c r="G318" t="str">
        <v/>
      </c>
      <c r="N318" s="39"/>
      <c r="O318" s="39"/>
      <c r="P318" s="39"/>
      <c r="Q318" s="39"/>
      <c r="R318" s="39"/>
    </row>
    <row r="319" spans="3:18" x14ac:dyDescent="0.3">
      <c r="C319" t="str">
        <v/>
      </c>
      <c r="D319" t="str">
        <v/>
      </c>
      <c r="E319" t="str">
        <v/>
      </c>
      <c r="F319" t="str">
        <v/>
      </c>
      <c r="G319" t="str">
        <v/>
      </c>
      <c r="N319" s="39"/>
      <c r="O319" s="39"/>
      <c r="P319" s="39"/>
      <c r="Q319" s="39"/>
      <c r="R319" s="39"/>
    </row>
    <row r="320" spans="3:18" x14ac:dyDescent="0.3">
      <c r="C320" t="str">
        <v/>
      </c>
      <c r="D320" t="str">
        <v/>
      </c>
      <c r="E320" t="str">
        <v/>
      </c>
      <c r="F320" t="str">
        <v/>
      </c>
      <c r="G320" t="str">
        <v/>
      </c>
      <c r="N320" s="39"/>
      <c r="O320" s="39"/>
      <c r="P320" s="39"/>
      <c r="Q320" s="39"/>
      <c r="R320" s="39"/>
    </row>
    <row r="321" spans="3:18" x14ac:dyDescent="0.3">
      <c r="C321" t="str">
        <v/>
      </c>
      <c r="D321" t="str">
        <v/>
      </c>
      <c r="E321" t="str">
        <v/>
      </c>
      <c r="F321" t="str">
        <v/>
      </c>
      <c r="G321" t="str">
        <v/>
      </c>
      <c r="N321" s="39"/>
      <c r="O321" s="39"/>
      <c r="P321" s="39"/>
      <c r="Q321" s="39"/>
      <c r="R321" s="39"/>
    </row>
    <row r="322" spans="3:18" x14ac:dyDescent="0.3">
      <c r="C322" t="str">
        <v/>
      </c>
      <c r="D322" t="str">
        <v/>
      </c>
      <c r="E322" t="str">
        <v/>
      </c>
      <c r="F322" t="str">
        <v/>
      </c>
      <c r="G322" t="str">
        <v/>
      </c>
      <c r="N322" s="39"/>
      <c r="O322" s="39"/>
      <c r="P322" s="39"/>
      <c r="Q322" s="39"/>
      <c r="R322" s="39"/>
    </row>
    <row r="323" spans="3:18" x14ac:dyDescent="0.3">
      <c r="C323" t="str">
        <v/>
      </c>
      <c r="D323" t="str">
        <v/>
      </c>
      <c r="E323" t="str">
        <v/>
      </c>
      <c r="F323" t="str">
        <v/>
      </c>
      <c r="G323" t="str">
        <v/>
      </c>
      <c r="N323" s="39"/>
      <c r="O323" s="39"/>
      <c r="P323" s="39"/>
      <c r="Q323" s="39"/>
      <c r="R323" s="39"/>
    </row>
    <row r="324" spans="3:18" x14ac:dyDescent="0.3">
      <c r="C324" t="str">
        <v/>
      </c>
      <c r="D324" t="str">
        <v/>
      </c>
      <c r="E324" t="str">
        <v/>
      </c>
      <c r="F324" t="str">
        <v/>
      </c>
      <c r="G324" t="str">
        <v/>
      </c>
      <c r="N324" s="39"/>
      <c r="O324" s="39"/>
      <c r="P324" s="39"/>
      <c r="Q324" s="39"/>
      <c r="R324" s="39"/>
    </row>
    <row r="325" spans="3:18" x14ac:dyDescent="0.3">
      <c r="C325" t="str">
        <v/>
      </c>
      <c r="D325" t="str">
        <v/>
      </c>
      <c r="E325" t="str">
        <v/>
      </c>
      <c r="F325" t="str">
        <v/>
      </c>
      <c r="G325" t="str">
        <v/>
      </c>
      <c r="N325" s="39"/>
      <c r="O325" s="39"/>
      <c r="P325" s="39"/>
      <c r="Q325" s="39"/>
      <c r="R325" s="39"/>
    </row>
    <row r="326" spans="3:18" x14ac:dyDescent="0.3">
      <c r="C326" t="str">
        <v/>
      </c>
      <c r="D326" t="str">
        <v/>
      </c>
      <c r="E326" t="str">
        <v/>
      </c>
      <c r="F326" t="str">
        <v/>
      </c>
      <c r="G326" t="str">
        <v/>
      </c>
      <c r="N326" s="39"/>
      <c r="O326" s="39"/>
      <c r="P326" s="39"/>
      <c r="Q326" s="39"/>
      <c r="R326" s="39"/>
    </row>
    <row r="327" spans="3:18" x14ac:dyDescent="0.3">
      <c r="C327" t="str">
        <v/>
      </c>
      <c r="D327" t="str">
        <v/>
      </c>
      <c r="E327" t="str">
        <v/>
      </c>
      <c r="F327" t="str">
        <v/>
      </c>
      <c r="G327" t="str">
        <v/>
      </c>
      <c r="N327" s="39"/>
      <c r="O327" s="39"/>
      <c r="P327" s="39"/>
      <c r="Q327" s="39"/>
      <c r="R327" s="39"/>
    </row>
    <row r="328" spans="3:18" x14ac:dyDescent="0.3">
      <c r="C328" t="str">
        <v/>
      </c>
      <c r="D328" t="str">
        <v/>
      </c>
      <c r="E328" t="str">
        <v/>
      </c>
      <c r="F328" t="str">
        <v/>
      </c>
      <c r="G328" t="str">
        <v/>
      </c>
      <c r="N328" s="39"/>
      <c r="O328" s="39"/>
      <c r="P328" s="39"/>
      <c r="Q328" s="39"/>
      <c r="R328" s="39"/>
    </row>
    <row r="329" spans="3:18" x14ac:dyDescent="0.3">
      <c r="C329" t="str">
        <v/>
      </c>
      <c r="D329" t="str">
        <v/>
      </c>
      <c r="E329" t="str">
        <v/>
      </c>
      <c r="F329" t="str">
        <v/>
      </c>
      <c r="G329" t="str">
        <v/>
      </c>
      <c r="N329" s="39"/>
      <c r="O329" s="39"/>
      <c r="P329" s="39"/>
      <c r="Q329" s="39"/>
      <c r="R329" s="39"/>
    </row>
    <row r="330" spans="3:18" x14ac:dyDescent="0.3">
      <c r="C330" t="str">
        <v/>
      </c>
      <c r="D330" t="str">
        <v/>
      </c>
      <c r="E330" t="str">
        <v/>
      </c>
      <c r="F330" t="str">
        <v/>
      </c>
      <c r="G330" t="str">
        <v/>
      </c>
      <c r="N330" s="39"/>
      <c r="O330" s="39"/>
      <c r="P330" s="39"/>
      <c r="Q330" s="39"/>
      <c r="R330" s="39"/>
    </row>
    <row r="331" spans="3:18" x14ac:dyDescent="0.3">
      <c r="C331" t="str">
        <v/>
      </c>
      <c r="D331" t="str">
        <v/>
      </c>
      <c r="E331" t="str">
        <v/>
      </c>
      <c r="F331" t="str">
        <v/>
      </c>
      <c r="G331" t="str">
        <v/>
      </c>
      <c r="N331" s="39"/>
      <c r="O331" s="39"/>
      <c r="P331" s="39"/>
      <c r="Q331" s="39"/>
      <c r="R331" s="39"/>
    </row>
    <row r="332" spans="3:18" x14ac:dyDescent="0.3">
      <c r="C332" t="str">
        <v/>
      </c>
      <c r="D332" t="str">
        <v/>
      </c>
      <c r="E332" t="str">
        <v/>
      </c>
      <c r="F332" t="str">
        <v/>
      </c>
      <c r="G332" t="str">
        <v/>
      </c>
      <c r="N332" s="39"/>
      <c r="O332" s="39"/>
      <c r="P332" s="39"/>
      <c r="Q332" s="39"/>
      <c r="R332" s="39"/>
    </row>
    <row r="333" spans="3:18" x14ac:dyDescent="0.3">
      <c r="C333" t="str">
        <v/>
      </c>
      <c r="D333" t="str">
        <v/>
      </c>
      <c r="E333" t="str">
        <v/>
      </c>
      <c r="F333" t="str">
        <v/>
      </c>
      <c r="G333" t="str">
        <v/>
      </c>
      <c r="N333" s="39"/>
      <c r="O333" s="39"/>
      <c r="P333" s="39"/>
      <c r="Q333" s="39"/>
      <c r="R333" s="39"/>
    </row>
    <row r="334" spans="3:18" x14ac:dyDescent="0.3">
      <c r="C334" t="str">
        <v/>
      </c>
      <c r="D334" t="str">
        <v/>
      </c>
      <c r="E334" t="str">
        <v/>
      </c>
      <c r="F334" t="str">
        <v/>
      </c>
      <c r="G334" t="str">
        <v/>
      </c>
      <c r="N334" s="39"/>
      <c r="O334" s="39"/>
      <c r="P334" s="39"/>
      <c r="Q334" s="39"/>
      <c r="R334" s="39"/>
    </row>
    <row r="335" spans="3:18" x14ac:dyDescent="0.3">
      <c r="C335" t="str">
        <v/>
      </c>
      <c r="D335" t="str">
        <v/>
      </c>
      <c r="E335" t="str">
        <v/>
      </c>
      <c r="F335" t="str">
        <v/>
      </c>
      <c r="G335" t="str">
        <v/>
      </c>
      <c r="N335" s="39"/>
      <c r="O335" s="39"/>
      <c r="P335" s="39"/>
      <c r="Q335" s="39"/>
      <c r="R335" s="39"/>
    </row>
    <row r="336" spans="3:18" x14ac:dyDescent="0.3">
      <c r="C336" t="str">
        <v/>
      </c>
      <c r="D336" t="str">
        <v/>
      </c>
      <c r="E336" t="str">
        <v/>
      </c>
      <c r="F336" t="str">
        <v/>
      </c>
      <c r="G336" t="str">
        <v/>
      </c>
      <c r="N336" s="39"/>
      <c r="O336" s="39"/>
      <c r="P336" s="39"/>
      <c r="Q336" s="39"/>
      <c r="R336" s="39"/>
    </row>
    <row r="337" spans="3:18" x14ac:dyDescent="0.3">
      <c r="C337" t="str">
        <v/>
      </c>
      <c r="D337" t="str">
        <v/>
      </c>
      <c r="E337" t="str">
        <v/>
      </c>
      <c r="F337" t="str">
        <v/>
      </c>
      <c r="G337" t="str">
        <v/>
      </c>
      <c r="N337" s="39"/>
      <c r="O337" s="39"/>
      <c r="P337" s="39"/>
      <c r="Q337" s="39"/>
      <c r="R337" s="39"/>
    </row>
    <row r="338" spans="3:18" x14ac:dyDescent="0.3">
      <c r="C338" t="str">
        <v/>
      </c>
      <c r="D338" t="str">
        <v/>
      </c>
      <c r="E338" t="str">
        <v/>
      </c>
      <c r="F338" t="str">
        <v/>
      </c>
      <c r="G338" t="str">
        <v/>
      </c>
      <c r="N338" s="39"/>
      <c r="O338" s="39"/>
      <c r="P338" s="39"/>
      <c r="Q338" s="39"/>
      <c r="R338" s="39"/>
    </row>
    <row r="339" spans="3:18" x14ac:dyDescent="0.3">
      <c r="C339" t="str">
        <v/>
      </c>
      <c r="D339" t="str">
        <v/>
      </c>
      <c r="E339" t="str">
        <v/>
      </c>
      <c r="F339" t="str">
        <v/>
      </c>
      <c r="G339" t="str">
        <v/>
      </c>
      <c r="N339" s="39"/>
      <c r="O339" s="39"/>
      <c r="P339" s="39"/>
      <c r="Q339" s="39"/>
      <c r="R339" s="39"/>
    </row>
    <row r="340" spans="3:18" x14ac:dyDescent="0.3">
      <c r="C340" t="str">
        <v/>
      </c>
      <c r="D340" t="str">
        <v/>
      </c>
      <c r="E340" t="str">
        <v/>
      </c>
      <c r="F340" t="str">
        <v/>
      </c>
      <c r="G340" t="str">
        <v/>
      </c>
    </row>
    <row r="341" spans="3:18" x14ac:dyDescent="0.3">
      <c r="C341" t="str">
        <v/>
      </c>
      <c r="D341" t="str">
        <v/>
      </c>
      <c r="E341" t="str">
        <v/>
      </c>
      <c r="F341" t="str">
        <v/>
      </c>
      <c r="G341" t="str">
        <v/>
      </c>
    </row>
    <row r="342" spans="3:18" x14ac:dyDescent="0.3">
      <c r="C342" t="str">
        <v/>
      </c>
      <c r="D342" t="str">
        <v/>
      </c>
      <c r="E342" t="str">
        <v/>
      </c>
      <c r="F342" t="str">
        <v/>
      </c>
      <c r="G342" t="str">
        <v/>
      </c>
    </row>
    <row r="343" spans="3:18" x14ac:dyDescent="0.3">
      <c r="C343" t="str">
        <v/>
      </c>
      <c r="D343" t="str">
        <v/>
      </c>
      <c r="E343" t="str">
        <v/>
      </c>
      <c r="F343" t="str">
        <v/>
      </c>
      <c r="G343" t="str">
        <v/>
      </c>
    </row>
    <row r="344" spans="3:18" x14ac:dyDescent="0.3">
      <c r="C344" t="str">
        <v/>
      </c>
      <c r="D344" t="str">
        <v/>
      </c>
      <c r="E344" t="str">
        <v/>
      </c>
      <c r="F344" t="str">
        <v/>
      </c>
      <c r="G344" t="str">
        <v/>
      </c>
    </row>
    <row r="345" spans="3:18" x14ac:dyDescent="0.3">
      <c r="C345" t="str">
        <v/>
      </c>
      <c r="D345" t="str">
        <v/>
      </c>
      <c r="E345" t="str">
        <v/>
      </c>
      <c r="F345" t="str">
        <v/>
      </c>
      <c r="G345" t="str">
        <v/>
      </c>
    </row>
    <row r="346" spans="3:18" x14ac:dyDescent="0.3">
      <c r="C346" t="str">
        <v/>
      </c>
      <c r="D346" t="str">
        <v/>
      </c>
      <c r="E346" t="str">
        <v/>
      </c>
      <c r="F346" t="str">
        <v/>
      </c>
      <c r="G346" t="str">
        <v/>
      </c>
    </row>
    <row r="347" spans="3:18" x14ac:dyDescent="0.3">
      <c r="C347" t="str">
        <v/>
      </c>
      <c r="D347" t="str">
        <v/>
      </c>
      <c r="E347" t="str">
        <v/>
      </c>
      <c r="F347" t="str">
        <v/>
      </c>
      <c r="G347" t="str">
        <v/>
      </c>
    </row>
    <row r="348" spans="3:18" x14ac:dyDescent="0.3">
      <c r="C348" t="str">
        <v/>
      </c>
      <c r="D348" t="str">
        <v/>
      </c>
      <c r="E348" t="str">
        <v/>
      </c>
      <c r="F348" t="str">
        <v/>
      </c>
      <c r="G348" t="str">
        <v/>
      </c>
    </row>
    <row r="349" spans="3:18" x14ac:dyDescent="0.3">
      <c r="C349" t="str">
        <v/>
      </c>
      <c r="D349" t="str">
        <v/>
      </c>
      <c r="E349" t="str">
        <v/>
      </c>
      <c r="F349" t="str">
        <v/>
      </c>
      <c r="G349" t="str">
        <v/>
      </c>
    </row>
    <row r="350" spans="3:18" x14ac:dyDescent="0.3">
      <c r="C350" t="str">
        <v/>
      </c>
      <c r="D350" t="str">
        <v/>
      </c>
      <c r="E350" t="str">
        <v/>
      </c>
      <c r="F350" t="str">
        <v/>
      </c>
      <c r="G350" t="str">
        <v/>
      </c>
    </row>
    <row r="351" spans="3:18" x14ac:dyDescent="0.3">
      <c r="C351" t="str">
        <v/>
      </c>
      <c r="D351" t="str">
        <v/>
      </c>
      <c r="E351" t="str">
        <v/>
      </c>
      <c r="F351" t="str">
        <v/>
      </c>
      <c r="G351" t="str">
        <v/>
      </c>
    </row>
    <row r="352" spans="3:18" x14ac:dyDescent="0.3">
      <c r="C352" t="str">
        <v/>
      </c>
      <c r="D352" t="str">
        <v/>
      </c>
      <c r="E352" t="str">
        <v/>
      </c>
      <c r="F352" t="str">
        <v/>
      </c>
      <c r="G352" t="str">
        <v/>
      </c>
    </row>
    <row r="353" spans="3:7" x14ac:dyDescent="0.3">
      <c r="C353" t="str">
        <v/>
      </c>
      <c r="D353" t="str">
        <v/>
      </c>
      <c r="E353" t="str">
        <v/>
      </c>
      <c r="F353" t="str">
        <v/>
      </c>
      <c r="G353" t="str">
        <v/>
      </c>
    </row>
    <row r="354" spans="3:7" x14ac:dyDescent="0.3">
      <c r="C354" t="str">
        <v/>
      </c>
      <c r="D354" t="str">
        <v/>
      </c>
      <c r="E354" t="str">
        <v/>
      </c>
      <c r="F354" t="str">
        <v/>
      </c>
      <c r="G354" t="str">
        <v/>
      </c>
    </row>
    <row r="355" spans="3:7" x14ac:dyDescent="0.3">
      <c r="C355" t="str">
        <v/>
      </c>
      <c r="D355" t="str">
        <v/>
      </c>
      <c r="E355" t="str">
        <v/>
      </c>
      <c r="F355" t="str">
        <v/>
      </c>
      <c r="G355" t="str">
        <v/>
      </c>
    </row>
    <row r="356" spans="3:7" x14ac:dyDescent="0.3">
      <c r="C356" t="str">
        <v/>
      </c>
      <c r="D356" t="str">
        <v/>
      </c>
      <c r="E356" t="str">
        <v/>
      </c>
      <c r="F356" t="str">
        <v/>
      </c>
      <c r="G356" t="str">
        <v/>
      </c>
    </row>
    <row r="357" spans="3:7" x14ac:dyDescent="0.3">
      <c r="C357" t="str">
        <v/>
      </c>
      <c r="D357" t="str">
        <v/>
      </c>
      <c r="E357" t="str">
        <v/>
      </c>
      <c r="F357" t="str">
        <v/>
      </c>
      <c r="G357" t="str">
        <v/>
      </c>
    </row>
    <row r="358" spans="3:7" x14ac:dyDescent="0.3">
      <c r="C358" t="str">
        <v/>
      </c>
      <c r="D358" t="str">
        <v/>
      </c>
      <c r="E358" t="str">
        <v/>
      </c>
      <c r="F358" t="str">
        <v/>
      </c>
      <c r="G358" t="str">
        <v/>
      </c>
    </row>
    <row r="359" spans="3:7" x14ac:dyDescent="0.3">
      <c r="C359" t="str">
        <v/>
      </c>
      <c r="D359" t="str">
        <v/>
      </c>
      <c r="E359" t="str">
        <v/>
      </c>
      <c r="F359" t="str">
        <v/>
      </c>
      <c r="G359" t="str">
        <v/>
      </c>
    </row>
    <row r="360" spans="3:7" x14ac:dyDescent="0.3">
      <c r="C360" t="str">
        <v/>
      </c>
      <c r="D360" t="str">
        <v/>
      </c>
      <c r="E360" t="str">
        <v/>
      </c>
      <c r="F360" t="str">
        <v/>
      </c>
      <c r="G360" t="str">
        <v/>
      </c>
    </row>
    <row r="361" spans="3:7" x14ac:dyDescent="0.3">
      <c r="C361" t="str">
        <v/>
      </c>
      <c r="D361" t="str">
        <v/>
      </c>
      <c r="E361" t="str">
        <v/>
      </c>
      <c r="F361" t="str">
        <v/>
      </c>
      <c r="G361" t="str">
        <v/>
      </c>
    </row>
    <row r="362" spans="3:7" x14ac:dyDescent="0.3">
      <c r="C362" t="str">
        <v/>
      </c>
      <c r="D362" t="str">
        <v/>
      </c>
      <c r="E362" t="str">
        <v/>
      </c>
      <c r="F362" t="str">
        <v/>
      </c>
      <c r="G362" t="str">
        <v/>
      </c>
    </row>
    <row r="363" spans="3:7" x14ac:dyDescent="0.3">
      <c r="C363" t="str">
        <v/>
      </c>
      <c r="D363" t="str">
        <v/>
      </c>
      <c r="E363" t="str">
        <v/>
      </c>
      <c r="F363" t="str">
        <v/>
      </c>
      <c r="G363" t="str">
        <v/>
      </c>
    </row>
    <row r="364" spans="3:7" x14ac:dyDescent="0.3">
      <c r="C364" t="str">
        <v/>
      </c>
      <c r="D364" t="str">
        <v/>
      </c>
      <c r="E364" t="str">
        <v/>
      </c>
      <c r="F364" t="str">
        <v/>
      </c>
      <c r="G364" t="str">
        <v/>
      </c>
    </row>
    <row r="365" spans="3:7" x14ac:dyDescent="0.3">
      <c r="C365" t="str">
        <v/>
      </c>
      <c r="D365" t="str">
        <v/>
      </c>
      <c r="E365" t="str">
        <v/>
      </c>
      <c r="F365" t="str">
        <v/>
      </c>
      <c r="G365" t="str">
        <v/>
      </c>
    </row>
    <row r="366" spans="3:7" x14ac:dyDescent="0.3">
      <c r="C366" t="str">
        <v/>
      </c>
      <c r="D366" t="str">
        <v/>
      </c>
      <c r="E366" t="str">
        <v/>
      </c>
      <c r="F366" t="str">
        <v/>
      </c>
      <c r="G366" t="str">
        <v/>
      </c>
    </row>
    <row r="367" spans="3:7" x14ac:dyDescent="0.3">
      <c r="C367" t="str">
        <v/>
      </c>
      <c r="D367" t="str">
        <v/>
      </c>
      <c r="E367" t="str">
        <v/>
      </c>
      <c r="F367" t="str">
        <v/>
      </c>
      <c r="G367" t="str">
        <v/>
      </c>
    </row>
    <row r="368" spans="3:7" x14ac:dyDescent="0.3">
      <c r="C368" t="str">
        <v/>
      </c>
      <c r="D368" t="str">
        <v/>
      </c>
      <c r="E368" t="str">
        <v/>
      </c>
      <c r="F368" t="str">
        <v/>
      </c>
      <c r="G368" t="str">
        <v/>
      </c>
    </row>
    <row r="369" spans="3:7" x14ac:dyDescent="0.3">
      <c r="C369" t="str">
        <v/>
      </c>
      <c r="D369" t="str">
        <v/>
      </c>
      <c r="E369" t="str">
        <v/>
      </c>
      <c r="F369" t="str">
        <v/>
      </c>
      <c r="G369" t="str">
        <v/>
      </c>
    </row>
    <row r="370" spans="3:7" x14ac:dyDescent="0.3">
      <c r="C370" t="str">
        <v/>
      </c>
      <c r="D370" t="str">
        <v/>
      </c>
      <c r="E370" t="str">
        <v/>
      </c>
      <c r="F370" t="str">
        <v/>
      </c>
      <c r="G370" t="str">
        <v/>
      </c>
    </row>
    <row r="371" spans="3:7" x14ac:dyDescent="0.3">
      <c r="C371" t="str">
        <v/>
      </c>
      <c r="D371" t="str">
        <v/>
      </c>
      <c r="E371" t="str">
        <v/>
      </c>
      <c r="F371" t="str">
        <v/>
      </c>
      <c r="G371" t="str">
        <v/>
      </c>
    </row>
    <row r="372" spans="3:7" x14ac:dyDescent="0.3">
      <c r="C372" t="str">
        <v/>
      </c>
      <c r="D372" t="str">
        <v/>
      </c>
      <c r="E372" t="str">
        <v/>
      </c>
      <c r="F372" t="str">
        <v/>
      </c>
      <c r="G372" t="str">
        <v/>
      </c>
    </row>
    <row r="373" spans="3:7" x14ac:dyDescent="0.3">
      <c r="C373" t="str">
        <v/>
      </c>
      <c r="D373" t="str">
        <v/>
      </c>
      <c r="E373" t="str">
        <v/>
      </c>
      <c r="F373" t="str">
        <v/>
      </c>
      <c r="G373" t="str">
        <v/>
      </c>
    </row>
    <row r="374" spans="3:7" x14ac:dyDescent="0.3">
      <c r="C374" t="str">
        <v/>
      </c>
      <c r="D374" t="str">
        <v/>
      </c>
      <c r="E374" t="str">
        <v/>
      </c>
      <c r="F374" t="str">
        <v/>
      </c>
      <c r="G374" t="str">
        <v/>
      </c>
    </row>
    <row r="375" spans="3:7" x14ac:dyDescent="0.3">
      <c r="C375" t="str">
        <v/>
      </c>
      <c r="D375" t="str">
        <v/>
      </c>
      <c r="E375" t="str">
        <v/>
      </c>
      <c r="F375" t="str">
        <v/>
      </c>
      <c r="G375" t="str">
        <v/>
      </c>
    </row>
    <row r="376" spans="3:7" x14ac:dyDescent="0.3">
      <c r="C376" t="str">
        <v/>
      </c>
      <c r="D376" t="str">
        <v/>
      </c>
      <c r="E376" t="str">
        <v/>
      </c>
      <c r="F376" t="str">
        <v/>
      </c>
      <c r="G376" t="str">
        <v/>
      </c>
    </row>
    <row r="377" spans="3:7" x14ac:dyDescent="0.3">
      <c r="C377" t="str">
        <v/>
      </c>
      <c r="D377" t="str">
        <v/>
      </c>
      <c r="E377" t="str">
        <v/>
      </c>
      <c r="F377" t="str">
        <v/>
      </c>
      <c r="G377" t="str">
        <v/>
      </c>
    </row>
    <row r="378" spans="3:7" x14ac:dyDescent="0.3">
      <c r="C378" t="str">
        <v/>
      </c>
      <c r="D378" t="str">
        <v/>
      </c>
      <c r="E378" t="str">
        <v/>
      </c>
      <c r="F378" t="str">
        <v/>
      </c>
      <c r="G378" t="str">
        <v/>
      </c>
    </row>
    <row r="379" spans="3:7" x14ac:dyDescent="0.3">
      <c r="C379" t="str">
        <v/>
      </c>
      <c r="D379" t="str">
        <v/>
      </c>
      <c r="E379" t="str">
        <v/>
      </c>
      <c r="F379" t="str">
        <v/>
      </c>
      <c r="G379" t="str">
        <v/>
      </c>
    </row>
    <row r="380" spans="3:7" x14ac:dyDescent="0.3">
      <c r="C380" t="str">
        <v/>
      </c>
      <c r="D380" t="str">
        <v/>
      </c>
      <c r="E380" t="str">
        <v/>
      </c>
      <c r="F380" t="str">
        <v/>
      </c>
      <c r="G380" t="str">
        <v/>
      </c>
    </row>
    <row r="381" spans="3:7" x14ac:dyDescent="0.3">
      <c r="C381" t="str">
        <v/>
      </c>
      <c r="D381" t="str">
        <v/>
      </c>
      <c r="E381" t="str">
        <v/>
      </c>
      <c r="F381" t="str">
        <v/>
      </c>
      <c r="G381" t="str">
        <v/>
      </c>
    </row>
    <row r="382" spans="3:7" x14ac:dyDescent="0.3">
      <c r="C382" t="str">
        <v/>
      </c>
      <c r="D382" t="str">
        <v/>
      </c>
      <c r="E382" t="str">
        <v/>
      </c>
      <c r="F382" t="str">
        <v/>
      </c>
      <c r="G382" t="str">
        <v/>
      </c>
    </row>
    <row r="383" spans="3:7" x14ac:dyDescent="0.3">
      <c r="C383" t="str">
        <v/>
      </c>
      <c r="D383" t="str">
        <v/>
      </c>
      <c r="E383" t="str">
        <v/>
      </c>
      <c r="F383" t="str">
        <v/>
      </c>
      <c r="G383" t="str">
        <v/>
      </c>
    </row>
    <row r="384" spans="3:7" x14ac:dyDescent="0.3">
      <c r="C384" t="str">
        <v/>
      </c>
      <c r="D384" t="str">
        <v/>
      </c>
      <c r="E384" t="str">
        <v/>
      </c>
      <c r="F384" t="str">
        <v/>
      </c>
      <c r="G384" t="str">
        <v/>
      </c>
    </row>
    <row r="385" spans="3:7" x14ac:dyDescent="0.3">
      <c r="C385" t="str">
        <v/>
      </c>
      <c r="D385" t="str">
        <v/>
      </c>
      <c r="E385" t="str">
        <v/>
      </c>
      <c r="F385" t="str">
        <v/>
      </c>
      <c r="G385" t="str">
        <v/>
      </c>
    </row>
    <row r="386" spans="3:7" x14ac:dyDescent="0.3">
      <c r="C386" t="str">
        <v/>
      </c>
      <c r="D386" t="str">
        <v/>
      </c>
      <c r="E386" t="str">
        <v/>
      </c>
      <c r="F386" t="str">
        <v/>
      </c>
      <c r="G386" t="str">
        <v/>
      </c>
    </row>
    <row r="387" spans="3:7" x14ac:dyDescent="0.3">
      <c r="C387" t="str">
        <v/>
      </c>
      <c r="D387" t="str">
        <v/>
      </c>
      <c r="E387" t="str">
        <v/>
      </c>
      <c r="F387" t="str">
        <v/>
      </c>
      <c r="G387" t="str">
        <v/>
      </c>
    </row>
    <row r="388" spans="3:7" x14ac:dyDescent="0.3">
      <c r="C388" t="str">
        <v/>
      </c>
      <c r="D388" t="str">
        <v/>
      </c>
      <c r="E388" t="str">
        <v/>
      </c>
      <c r="F388" t="str">
        <v/>
      </c>
      <c r="G388" t="str">
        <v/>
      </c>
    </row>
    <row r="389" spans="3:7" x14ac:dyDescent="0.3">
      <c r="C389" t="str">
        <v/>
      </c>
      <c r="D389" t="str">
        <v/>
      </c>
      <c r="E389" t="str">
        <v/>
      </c>
      <c r="F389" t="str">
        <v/>
      </c>
      <c r="G389" t="str">
        <v/>
      </c>
    </row>
    <row r="390" spans="3:7" x14ac:dyDescent="0.3">
      <c r="C390" t="str">
        <v/>
      </c>
      <c r="D390" t="str">
        <v/>
      </c>
      <c r="E390" t="str">
        <v/>
      </c>
      <c r="F390" t="str">
        <v/>
      </c>
      <c r="G390" t="str">
        <v/>
      </c>
    </row>
    <row r="391" spans="3:7" x14ac:dyDescent="0.3">
      <c r="C391" t="str">
        <v/>
      </c>
      <c r="D391" t="str">
        <v/>
      </c>
      <c r="E391" t="str">
        <v/>
      </c>
      <c r="F391" t="str">
        <v/>
      </c>
      <c r="G391" t="str">
        <v/>
      </c>
    </row>
    <row r="392" spans="3:7" x14ac:dyDescent="0.3">
      <c r="C392" t="str">
        <v/>
      </c>
      <c r="D392" t="str">
        <v/>
      </c>
      <c r="E392" t="str">
        <v/>
      </c>
      <c r="F392" t="str">
        <v/>
      </c>
      <c r="G392" t="str">
        <v/>
      </c>
    </row>
    <row r="393" spans="3:7" x14ac:dyDescent="0.3">
      <c r="C393" t="str">
        <v/>
      </c>
      <c r="D393" t="str">
        <v/>
      </c>
      <c r="E393" t="str">
        <v/>
      </c>
      <c r="F393" t="str">
        <v/>
      </c>
      <c r="G393" t="str">
        <v/>
      </c>
    </row>
    <row r="394" spans="3:7" x14ac:dyDescent="0.3">
      <c r="C394" t="str">
        <v/>
      </c>
      <c r="D394" t="str">
        <v/>
      </c>
      <c r="E394" t="str">
        <v/>
      </c>
      <c r="F394" t="str">
        <v/>
      </c>
      <c r="G394" t="str">
        <v/>
      </c>
    </row>
    <row r="395" spans="3:7" x14ac:dyDescent="0.3">
      <c r="C395" t="str">
        <v/>
      </c>
      <c r="D395" t="str">
        <v/>
      </c>
      <c r="E395" t="str">
        <v/>
      </c>
      <c r="F395" t="str">
        <v/>
      </c>
      <c r="G395" t="str">
        <v/>
      </c>
    </row>
    <row r="396" spans="3:7" x14ac:dyDescent="0.3">
      <c r="C396" t="str">
        <v/>
      </c>
      <c r="D396" t="str">
        <v/>
      </c>
      <c r="E396" t="str">
        <v/>
      </c>
      <c r="F396" t="str">
        <v/>
      </c>
      <c r="G396" t="str">
        <v/>
      </c>
    </row>
    <row r="397" spans="3:7" x14ac:dyDescent="0.3">
      <c r="C397" t="str">
        <v/>
      </c>
      <c r="D397" t="str">
        <v/>
      </c>
      <c r="E397" t="str">
        <v/>
      </c>
      <c r="F397" t="str">
        <v/>
      </c>
      <c r="G397" t="str">
        <v/>
      </c>
    </row>
    <row r="398" spans="3:7" x14ac:dyDescent="0.3">
      <c r="C398" t="str">
        <v/>
      </c>
      <c r="D398" t="str">
        <v/>
      </c>
      <c r="E398" t="str">
        <v/>
      </c>
      <c r="F398" t="str">
        <v/>
      </c>
      <c r="G398" t="str">
        <v/>
      </c>
    </row>
    <row r="399" spans="3:7" x14ac:dyDescent="0.3">
      <c r="C399" t="str">
        <v/>
      </c>
      <c r="D399" t="str">
        <v/>
      </c>
      <c r="E399" t="str">
        <v/>
      </c>
      <c r="F399" t="str">
        <v/>
      </c>
      <c r="G399" t="str">
        <v/>
      </c>
    </row>
    <row r="400" spans="3:7" x14ac:dyDescent="0.3">
      <c r="C400" t="str">
        <v/>
      </c>
      <c r="D400" t="str">
        <v/>
      </c>
      <c r="E400" t="str">
        <v/>
      </c>
      <c r="F400" t="str">
        <v/>
      </c>
      <c r="G400" t="str">
        <v/>
      </c>
    </row>
    <row r="401" spans="3:7" x14ac:dyDescent="0.3">
      <c r="C401" t="str">
        <v/>
      </c>
      <c r="D401" t="str">
        <v/>
      </c>
      <c r="E401" t="str">
        <v/>
      </c>
      <c r="F401" t="str">
        <v/>
      </c>
      <c r="G401" t="str">
        <v/>
      </c>
    </row>
    <row r="402" spans="3:7" x14ac:dyDescent="0.3">
      <c r="C402" t="str">
        <v/>
      </c>
      <c r="D402" t="str">
        <v/>
      </c>
      <c r="E402" t="str">
        <v/>
      </c>
      <c r="F402" t="str">
        <v/>
      </c>
      <c r="G402" t="str">
        <v/>
      </c>
    </row>
    <row r="403" spans="3:7" x14ac:dyDescent="0.3">
      <c r="C403" t="str">
        <v/>
      </c>
      <c r="D403" t="str">
        <v/>
      </c>
      <c r="E403" t="str">
        <v/>
      </c>
      <c r="F403" t="str">
        <v/>
      </c>
      <c r="G403" t="str">
        <v/>
      </c>
    </row>
    <row r="404" spans="3:7" x14ac:dyDescent="0.3">
      <c r="C404" t="str">
        <v/>
      </c>
      <c r="D404" t="str">
        <v/>
      </c>
      <c r="E404" t="str">
        <v/>
      </c>
      <c r="F404" t="str">
        <v/>
      </c>
      <c r="G404" t="str">
        <v/>
      </c>
    </row>
    <row r="405" spans="3:7" x14ac:dyDescent="0.3">
      <c r="C405" t="str">
        <v/>
      </c>
      <c r="D405" t="str">
        <v/>
      </c>
      <c r="E405" t="str">
        <v/>
      </c>
      <c r="F405" t="str">
        <v/>
      </c>
      <c r="G405" t="str">
        <v/>
      </c>
    </row>
    <row r="406" spans="3:7" x14ac:dyDescent="0.3">
      <c r="C406" t="str">
        <v/>
      </c>
      <c r="D406" t="str">
        <v/>
      </c>
      <c r="E406" t="str">
        <v/>
      </c>
      <c r="F406" t="str">
        <v/>
      </c>
      <c r="G406" t="str">
        <v/>
      </c>
    </row>
    <row r="407" spans="3:7" x14ac:dyDescent="0.3">
      <c r="C407" t="str">
        <v/>
      </c>
      <c r="D407" t="str">
        <v/>
      </c>
      <c r="E407" t="str">
        <v/>
      </c>
      <c r="F407" t="str">
        <v/>
      </c>
      <c r="G407" t="str">
        <v/>
      </c>
    </row>
    <row r="408" spans="3:7" x14ac:dyDescent="0.3">
      <c r="C408" t="str">
        <v/>
      </c>
      <c r="D408" t="str">
        <v/>
      </c>
      <c r="E408" t="str">
        <v/>
      </c>
      <c r="F408" t="str">
        <v/>
      </c>
      <c r="G408" t="str">
        <v/>
      </c>
    </row>
    <row r="409" spans="3:7" x14ac:dyDescent="0.3">
      <c r="C409" t="str">
        <v/>
      </c>
      <c r="D409" t="str">
        <v/>
      </c>
      <c r="E409" t="str">
        <v/>
      </c>
      <c r="F409" t="str">
        <v/>
      </c>
      <c r="G409" t="str">
        <v/>
      </c>
    </row>
    <row r="410" spans="3:7" x14ac:dyDescent="0.3">
      <c r="C410" t="str">
        <v/>
      </c>
      <c r="D410" t="str">
        <v/>
      </c>
      <c r="E410" t="str">
        <v/>
      </c>
      <c r="F410" t="str">
        <v/>
      </c>
      <c r="G410" t="str">
        <v/>
      </c>
    </row>
    <row r="411" spans="3:7" x14ac:dyDescent="0.3">
      <c r="C411" t="str">
        <v/>
      </c>
      <c r="D411" t="str">
        <v/>
      </c>
      <c r="E411" t="str">
        <v/>
      </c>
      <c r="F411" t="str">
        <v/>
      </c>
      <c r="G411" t="str">
        <v/>
      </c>
    </row>
    <row r="412" spans="3:7" x14ac:dyDescent="0.3">
      <c r="C412" t="str">
        <v/>
      </c>
      <c r="D412" t="str">
        <v/>
      </c>
      <c r="E412" t="str">
        <v/>
      </c>
      <c r="F412" t="str">
        <v/>
      </c>
      <c r="G412" t="str">
        <v/>
      </c>
    </row>
  </sheetData>
  <sheetProtection formatRows="0"/>
  <mergeCells count="37">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 ref="G39:I39"/>
    <mergeCell ref="G42:I42"/>
    <mergeCell ref="G43:I43"/>
    <mergeCell ref="C48:C49"/>
    <mergeCell ref="D48:D49"/>
    <mergeCell ref="G44:I44"/>
    <mergeCell ref="G45:I45"/>
    <mergeCell ref="C51:E56"/>
    <mergeCell ref="D61:E63"/>
    <mergeCell ref="C72:E72"/>
    <mergeCell ref="D64:E65"/>
    <mergeCell ref="C73:E77"/>
    <mergeCell ref="C92:E92"/>
    <mergeCell ref="C103:E103"/>
    <mergeCell ref="C117:C118"/>
    <mergeCell ref="D117:D118"/>
    <mergeCell ref="C133:E133"/>
    <mergeCell ref="C120:E125"/>
    <mergeCell ref="C127:C128"/>
    <mergeCell ref="D127:D128"/>
    <mergeCell ref="C130:E130"/>
    <mergeCell ref="C131:E131"/>
    <mergeCell ref="C132:E132"/>
  </mergeCells>
  <conditionalFormatting sqref="B138:B153">
    <cfRule type="expression" dxfId="365" priority="1" stopIfTrue="1">
      <formula>OR($I$153="",$I$153="NO")</formula>
    </cfRule>
    <cfRule type="expression" dxfId="364" priority="380">
      <formula>AND($C138&lt;&gt;"",$I$153="YES",NOT($J138))</formula>
    </cfRule>
    <cfRule type="expression" dxfId="363" priority="378">
      <formula>AND($C138&lt;&gt;"",$I$153="YES",$J138)</formula>
    </cfRule>
  </conditionalFormatting>
  <conditionalFormatting sqref="B154:F154">
    <cfRule type="cellIs" dxfId="362" priority="20" operator="between">
      <formula>-0.000001</formula>
      <formula>0.000001</formula>
    </cfRule>
  </conditionalFormatting>
  <conditionalFormatting sqref="C37 C46">
    <cfRule type="expression" dxfId="361" priority="36">
      <formula>ROUND($B$25,2)&lt;&gt;0</formula>
    </cfRule>
  </conditionalFormatting>
  <conditionalFormatting sqref="C82">
    <cfRule type="expression" dxfId="360" priority="35">
      <formula>ROUND($B$23,2)&lt;&gt;0</formula>
    </cfRule>
  </conditionalFormatting>
  <conditionalFormatting sqref="C93">
    <cfRule type="expression" dxfId="359" priority="34">
      <formula>ROUND($B$23,2)&lt;&gt;0</formula>
    </cfRule>
  </conditionalFormatting>
  <conditionalFormatting sqref="C104">
    <cfRule type="expression" dxfId="358" priority="29">
      <formula>ROUND($B$23,2)&lt;&gt;0</formula>
    </cfRule>
  </conditionalFormatting>
  <conditionalFormatting sqref="C138:C153">
    <cfRule type="expression" dxfId="357" priority="24">
      <formula>NOT(ISBLANK($C138))</formula>
    </cfRule>
  </conditionalFormatting>
  <conditionalFormatting sqref="C167">
    <cfRule type="expression" dxfId="356" priority="3">
      <formula>$C$165=""</formula>
    </cfRule>
  </conditionalFormatting>
  <conditionalFormatting sqref="C19:E20">
    <cfRule type="beginsWith" dxfId="355" priority="2" operator="beginsWith" text="Correct">
      <formula>LEFT(C19,LEN("Correct"))="Correct"</formula>
    </cfRule>
    <cfRule type="beginsWith" dxfId="354" priority="6" operator="beginsWith" text="Incorrect">
      <formula>LEFT(C19,LEN("Incorrect"))="Incorrect"</formula>
    </cfRule>
  </conditionalFormatting>
  <conditionalFormatting sqref="C27:E30">
    <cfRule type="expression" dxfId="353" priority="33">
      <formula>$I$18&lt;&gt;"YESYES"</formula>
    </cfRule>
  </conditionalFormatting>
  <conditionalFormatting sqref="C51:E56">
    <cfRule type="expression" dxfId="352" priority="32">
      <formula>OR($D$48="No",ISBLANK($D$48))</formula>
    </cfRule>
  </conditionalFormatting>
  <conditionalFormatting sqref="C73:E77">
    <cfRule type="cellIs" dxfId="351" priority="4" operator="between">
      <formula>-0.000001</formula>
      <formula>0.00001</formula>
    </cfRule>
  </conditionalFormatting>
  <conditionalFormatting sqref="C120:E128">
    <cfRule type="expression" dxfId="350" priority="26">
      <formula>OR($C$119=0,OR($D$117="",$D$117="No"))</formula>
    </cfRule>
  </conditionalFormatting>
  <conditionalFormatting sqref="C130:E133">
    <cfRule type="expression" dxfId="349" priority="27">
      <formula>OR($C$119=0,OR($D$127="",$D$127="No"))</formula>
    </cfRule>
  </conditionalFormatting>
  <conditionalFormatting sqref="D37 D46">
    <cfRule type="expression" dxfId="348" priority="37">
      <formula>ROUND(#REF!,2)&lt;&gt;0</formula>
    </cfRule>
  </conditionalFormatting>
  <conditionalFormatting sqref="D70">
    <cfRule type="expression" dxfId="347" priority="7">
      <formula>$I$76="Not Found"</formula>
    </cfRule>
  </conditionalFormatting>
  <conditionalFormatting sqref="D115">
    <cfRule type="cellIs" dxfId="346" priority="28" operator="notEqual">
      <formula>0</formula>
    </cfRule>
  </conditionalFormatting>
  <conditionalFormatting sqref="D165">
    <cfRule type="containsText" dxfId="345" priority="14" operator="containsText" text="NO">
      <formula>NOT(ISERROR(SEARCH("NO",D165)))</formula>
    </cfRule>
    <cfRule type="containsText" dxfId="344" priority="15" operator="containsText" text="YES">
      <formula>NOT(ISERROR(SEARCH("YES",D165)))</formula>
    </cfRule>
  </conditionalFormatting>
  <conditionalFormatting sqref="D167">
    <cfRule type="containsText" dxfId="343" priority="18" operator="containsText" text="NO">
      <formula>NOT(ISERROR(SEARCH("NO",D167)))</formula>
    </cfRule>
    <cfRule type="containsText" dxfId="342" priority="19" operator="containsText" text="YES">
      <formula>NOT(ISERROR(SEARCH("YES",D167)))</formula>
    </cfRule>
  </conditionalFormatting>
  <conditionalFormatting sqref="D61:E63">
    <cfRule type="expression" dxfId="341" priority="290">
      <formula>NOT($Q$62)</formula>
    </cfRule>
  </conditionalFormatting>
  <conditionalFormatting sqref="D157:E158">
    <cfRule type="cellIs" dxfId="340" priority="8" operator="equal">
      <formula>-16</formula>
    </cfRule>
    <cfRule type="cellIs" dxfId="339" priority="9" operator="equal">
      <formula>16</formula>
    </cfRule>
  </conditionalFormatting>
  <conditionalFormatting sqref="D138:G153 E155">
    <cfRule type="expression" dxfId="338" priority="25">
      <formula>NOT(ISBLANK($C138))</formula>
    </cfRule>
  </conditionalFormatting>
  <conditionalFormatting sqref="D158:G158">
    <cfRule type="cellIs" dxfId="337" priority="10" operator="between">
      <formula>-0.000001</formula>
      <formula>0.000001</formula>
    </cfRule>
    <cfRule type="expression" dxfId="336" priority="21">
      <formula>D158&lt;&gt;0</formula>
    </cfRule>
  </conditionalFormatting>
  <conditionalFormatting sqref="E37 E46">
    <cfRule type="expression" dxfId="335" priority="38">
      <formula>ROUND(#REF!,2)&lt;&gt;0</formula>
    </cfRule>
  </conditionalFormatting>
  <conditionalFormatting sqref="G36:I39">
    <cfRule type="expression" dxfId="334" priority="31">
      <formula>COUNTA($C$38:$C$45)=0</formula>
    </cfRule>
  </conditionalFormatting>
  <conditionalFormatting sqref="G42:I45">
    <cfRule type="expression" dxfId="333" priority="30">
      <formula>COUNTA($D$38:$D$45)=0</formula>
    </cfRule>
  </conditionalFormatting>
  <conditionalFormatting sqref="I137">
    <cfRule type="expression" dxfId="332" priority="22">
      <formula>ROUND($I$138,2)&lt;&gt;0</formula>
    </cfRule>
  </conditionalFormatting>
  <conditionalFormatting sqref="I138">
    <cfRule type="expression" dxfId="331"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topLeftCell="A2" zoomScale="167" zoomScaleNormal="100" workbookViewId="0">
      <selection activeCell="D5" sqref="D5"/>
    </sheetView>
  </sheetViews>
  <sheetFormatPr defaultRowHeight="14.4" outlineLevelCol="1" x14ac:dyDescent="0.3"/>
  <cols>
    <col min="1" max="1" width="19.109375" customWidth="1"/>
    <col min="2" max="2" width="10.44140625" customWidth="1" outlineLevel="1"/>
    <col min="3" max="3" width="22.88671875" customWidth="1" outlineLevel="1"/>
    <col min="4" max="4" width="22.44140625" customWidth="1" outlineLevel="1"/>
    <col min="5" max="5" width="10.44140625" customWidth="1" outlineLevel="1"/>
    <col min="6" max="6" width="9.109375" customWidth="1"/>
    <col min="7" max="7" width="14.109375" customWidth="1"/>
    <col min="8" max="8" width="7" style="192" hidden="1" customWidth="1" outlineLevel="1"/>
    <col min="9" max="9" width="9.109375" hidden="1" customWidth="1" outlineLevel="1"/>
    <col min="10" max="10" width="30" hidden="1" customWidth="1" outlineLevel="1"/>
    <col min="11" max="11" width="25.21875" hidden="1" customWidth="1" outlineLevel="1"/>
    <col min="12" max="13" width="9.109375" hidden="1" customWidth="1" outlineLevel="1"/>
    <col min="14" max="14" width="19.21875" customWidth="1" collapsed="1"/>
    <col min="15" max="15" width="9.44140625" customWidth="1"/>
    <col min="16" max="16" width="36.88671875" hidden="1" customWidth="1" outlineLevel="1"/>
    <col min="17" max="17" width="11" hidden="1" customWidth="1" outlineLevel="1"/>
    <col min="18" max="18" width="11.77734375" style="1" hidden="1" customWidth="1" outlineLevel="1"/>
    <col min="19" max="19" width="10.109375" customWidth="1" collapsed="1"/>
    <col min="20" max="20" width="9" customWidth="1"/>
    <col min="21" max="21" width="9.109375" customWidth="1" outlineLevel="1"/>
    <col min="22" max="22" width="10.77734375" customWidth="1" outlineLevel="1"/>
    <col min="23" max="24" width="19.21875" customWidth="1" outlineLevel="1"/>
    <col min="25" max="25" width="10.77734375" customWidth="1" outlineLevel="1"/>
    <col min="26" max="26" width="9.88671875" customWidth="1" outlineLevel="1"/>
    <col min="27" max="27" width="11.5546875" customWidth="1"/>
    <col min="28" max="28" width="10.88671875" customWidth="1"/>
    <col min="29" max="32" width="8.88671875" hidden="1" customWidth="1" outlineLevel="1"/>
    <col min="33" max="33" width="12.5546875" hidden="1" customWidth="1" outlineLevel="1"/>
    <col min="34" max="34" width="8.88671875" hidden="1" customWidth="1" outlineLevel="1"/>
    <col min="35" max="35" width="9.109375" collapsed="1"/>
  </cols>
  <sheetData>
    <row r="1" spans="2:34" x14ac:dyDescent="0.3">
      <c r="N1" s="192"/>
      <c r="O1" s="192"/>
    </row>
    <row r="2" spans="2:34" x14ac:dyDescent="0.3">
      <c r="B2" s="260"/>
      <c r="C2" s="260"/>
      <c r="D2" s="260"/>
      <c r="E2" s="260"/>
      <c r="F2" s="260"/>
      <c r="N2" s="192"/>
      <c r="O2" s="192"/>
      <c r="W2" s="260"/>
      <c r="X2" s="260"/>
    </row>
    <row r="3" spans="2:34" x14ac:dyDescent="0.3">
      <c r="C3" s="261" t="s">
        <v>385</v>
      </c>
      <c r="D3" s="261"/>
      <c r="I3" s="262">
        <v>1</v>
      </c>
      <c r="J3" s="5" t="s">
        <v>386</v>
      </c>
      <c r="N3" s="192"/>
      <c r="O3" s="192"/>
      <c r="P3" s="35" t="s">
        <v>387</v>
      </c>
      <c r="AG3" s="5"/>
    </row>
    <row r="4" spans="2:34" ht="15" thickBot="1" x14ac:dyDescent="0.35">
      <c r="C4" t="s">
        <v>388</v>
      </c>
      <c r="D4" s="263" t="s">
        <v>69</v>
      </c>
      <c r="I4" s="5" t="s">
        <v>389</v>
      </c>
      <c r="N4" s="192"/>
      <c r="O4" s="192"/>
      <c r="P4" s="39" t="str">
        <f ca="1">IF(ABS(Q132)&lt;0.00001,"Closing Entry Balances","Closing Entry Doesn't Balance")</f>
        <v>Closing Entry Balances</v>
      </c>
      <c r="V4" s="269" t="s">
        <v>390</v>
      </c>
      <c r="W4" s="568" t="str">
        <f>"Cash"</f>
        <v>Cash</v>
      </c>
      <c r="X4" s="568"/>
      <c r="Y4" s="269" t="s">
        <v>390</v>
      </c>
      <c r="AC4" s="590"/>
      <c r="AD4" s="590"/>
      <c r="AE4" s="591"/>
      <c r="AG4" s="5" t="s">
        <v>391</v>
      </c>
    </row>
    <row r="5" spans="2:34" ht="15" thickTop="1" x14ac:dyDescent="0.3">
      <c r="C5" t="s">
        <v>392</v>
      </c>
      <c r="D5" s="263" t="s">
        <v>70</v>
      </c>
      <c r="I5" s="264" t="s">
        <v>369</v>
      </c>
      <c r="J5" s="265" t="s">
        <v>370</v>
      </c>
      <c r="K5" s="265" t="s">
        <v>371</v>
      </c>
      <c r="L5" s="265" t="s">
        <v>372</v>
      </c>
      <c r="M5" s="266" t="s">
        <v>373</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112</v>
      </c>
      <c r="R5" s="40" t="s">
        <v>393</v>
      </c>
      <c r="V5" s="272" t="str">
        <f>BegDate</f>
        <v>3/31/20X4</v>
      </c>
      <c r="W5" s="273">
        <f ca="1">IF(W108="Debit",ABS(X108),0)</f>
        <v>0</v>
      </c>
      <c r="X5" s="274">
        <f ca="1">IF(W108="Credit",ABS(X108),0)</f>
        <v>0</v>
      </c>
      <c r="Y5" s="272" t="str">
        <f>BegDate</f>
        <v>3/31/20X4</v>
      </c>
      <c r="AC5" s="590" t="s">
        <v>394</v>
      </c>
      <c r="AD5" s="590" t="s">
        <v>395</v>
      </c>
      <c r="AE5" s="591" t="s">
        <v>396</v>
      </c>
      <c r="AG5" s="40" t="s">
        <v>48</v>
      </c>
      <c r="AH5" s="40" t="s">
        <v>397</v>
      </c>
    </row>
    <row r="6" spans="2:34" x14ac:dyDescent="0.3">
      <c r="H6" s="286" t="str" cm="1">
        <f t="array" ref="H6">_xlfn.IFS(I6="","",AND(I6&lt;&gt;"",N101),"OK",AND(I6&lt;&gt;"",NOT(N101)),"?")</f>
        <v>OK</v>
      </c>
      <c r="I6" s="96" t="str" cm="1">
        <f t="array" ref="I6:M7">IF(I3&lt;&gt;"",_xlfn._xlws.FILTER(Journal[Accnt Type]:Journal[Cr Amt],Journal[Transaction '#]=$I$3,"No Entry Found"),"")</f>
        <v>Asset</v>
      </c>
      <c r="J6" t="str">
        <v>Cash</v>
      </c>
      <c r="K6">
        <v>0</v>
      </c>
      <c r="L6" s="34">
        <v>100</v>
      </c>
      <c r="M6" s="173">
        <v>0</v>
      </c>
      <c r="N6" s="192"/>
      <c r="O6" s="192"/>
      <c r="Q6" s="34">
        <f>_xlfn.XLOOKUP(P6,P101:P130,Q101:Q130,0)</f>
        <v>0</v>
      </c>
      <c r="R6" s="251" t="str" cm="1">
        <f t="array" ref="R6">IF(P6&lt;&gt;"",_xlfn.XLOOKUP(P6,P101:P130,R101:R130&amp;"s",""),"")</f>
        <v/>
      </c>
      <c r="U6" t="str" cm="1">
        <f t="array" ref="U6:U9">_xlfn._xlws.FILTER(Journal[Cash Flow],Journal[Debit Account]=W4,"")</f>
        <v>Financing</v>
      </c>
      <c r="V6" s="272" cm="1">
        <f t="array" ref="V6:V9">_xlfn._xlws.FILTER(Journal[Transaction '#],Journal[Debit Account]=W4,"")</f>
        <v>1</v>
      </c>
      <c r="W6" s="275" cm="1">
        <f t="array" ref="W6:W9">_xlfn._xlws.FILTER(Journal[Dr Amt],Journal[Debit Account]=W4,0)</f>
        <v>100</v>
      </c>
      <c r="X6" s="34" cm="1">
        <f t="array" ref="X6:X10">_xlfn._xlws.FILTER(Journal[Cr Amt],Journal[Credit Account]=W4,0)</f>
        <v>60</v>
      </c>
      <c r="Y6" s="272" cm="1">
        <f t="array" ref="Y6:Y10">_xlfn._xlws.FILTER(Journal[Transaction '#],Journal[Credit Account]=W4,"")</f>
        <v>2</v>
      </c>
      <c r="Z6" t="str" cm="1">
        <f t="array" ref="Z6:Z10">_xlfn._xlws.FILTER(Journal[Cash Flow],Journal[Credit Account]=W4,"")</f>
        <v>Investing</v>
      </c>
      <c r="AC6" s="1" cm="1">
        <f t="array" ref="AC6:AC7">IFERROR(_xlfn._xlws.FILTER(JournalAnswer[Transaction '#],JournalAnswer[Cash Flow]="Investing"),"")</f>
        <v>2</v>
      </c>
      <c r="AD6" s="1" cm="1">
        <f t="array" ref="AD6:AD7">IFERROR(_xlfn._xlws.FILTER(JournalAnswer[Transaction '#],JournalAnswer[Cash Flow]="Financing"),"")</f>
        <v>1</v>
      </c>
      <c r="AE6" s="1" t="str" cm="1">
        <f t="array" aca="1" ref="AE6" ca="1">IFERROR(_xlfn.UNIQUE(_xlfn._xlws.FILTER(JournalAnswer[Transaction '#],(JournalAnswer[ref1]="OCI")+(JournalAnswer[ref1]="FVMS")+(JournalAnswer[ref1]="DD")+(JournalAnswer[ref1]="SBC")+(JournalAnswer[ref1]="PPEfCS")+(JournalAnswer[ref1]="PPEfTS"))),"")</f>
        <v/>
      </c>
      <c r="AG6" s="1" cm="1">
        <f t="array" aca="1" ref="AG6:AG10" ca="1">_xlfn.VSTACK(_xlfn.ANCHORARRAY(AC6),_xlfn.ANCHORARRAY(AD6),_xlfn.ANCHORARRAY(AE6))</f>
        <v>2</v>
      </c>
      <c r="AH6" s="545" t="b">
        <v>0</v>
      </c>
    </row>
    <row r="7" spans="2:34" ht="14.25" customHeight="1" thickBot="1" x14ac:dyDescent="0.35">
      <c r="B7" s="269" t="s">
        <v>390</v>
      </c>
      <c r="C7" s="270" t="str">
        <f>D5</f>
        <v>Accounts Payable</v>
      </c>
      <c r="D7" s="270"/>
      <c r="E7" s="269" t="s">
        <v>390</v>
      </c>
      <c r="H7" s="286" t="str" cm="1">
        <f t="array" ref="H7">_xlfn.IFS(I7="","",AND(I7&lt;&gt;"",N102),"OK",AND(I7&lt;&gt;"",NOT(N102)),"?")</f>
        <v>OK</v>
      </c>
      <c r="I7" s="96" t="str">
        <v>Equity</v>
      </c>
      <c r="J7">
        <v>0</v>
      </c>
      <c r="K7" t="str">
        <v>Common Stock</v>
      </c>
      <c r="L7" s="34">
        <v>0</v>
      </c>
      <c r="M7" s="268">
        <v>100</v>
      </c>
      <c r="N7" s="192"/>
      <c r="O7" s="192"/>
      <c r="Q7" s="34">
        <f t="shared" ref="Q7:Q50" si="0">_xlfn.XLOOKUP(P7,P102:P131,Q102:Q131,0)</f>
        <v>0</v>
      </c>
      <c r="R7" s="251" t="str" cm="1">
        <f t="array" ref="R7">IF(P7&lt;&gt;"",_xlfn.XLOOKUP(P7,P102:P131,R102:R131&amp;"s",""),"")</f>
        <v/>
      </c>
      <c r="U7" t="str">
        <v>Financing</v>
      </c>
      <c r="V7" s="272">
        <v>6</v>
      </c>
      <c r="W7" s="275">
        <v>20</v>
      </c>
      <c r="X7" s="34">
        <v>4</v>
      </c>
      <c r="Y7" s="272">
        <v>3</v>
      </c>
      <c r="Z7" t="str">
        <v>Operating</v>
      </c>
      <c r="AC7" s="1">
        <v>5</v>
      </c>
      <c r="AD7" s="1">
        <v>6</v>
      </c>
      <c r="AE7" s="1"/>
      <c r="AG7" s="1">
        <f ca="1"/>
        <v>5</v>
      </c>
      <c r="AH7" s="545" t="b">
        <v>0</v>
      </c>
    </row>
    <row r="8" spans="2:34" ht="15" thickTop="1" x14ac:dyDescent="0.3">
      <c r="B8" s="272" t="str">
        <f>BegDate</f>
        <v>3/31/20X4</v>
      </c>
      <c r="C8" s="273">
        <f ca="1">IF(C108="Debit",ABS(D108),0)</f>
        <v>0</v>
      </c>
      <c r="D8" s="274">
        <f ca="1">IF(C108="Credit",ABS(D108),0)</f>
        <v>0</v>
      </c>
      <c r="E8" s="272" t="str">
        <f>BegDate</f>
        <v>3/31/20X4</v>
      </c>
      <c r="H8" s="286" t="str" cm="1">
        <f t="array" ref="H8">_xlfn.IFS(I8="","",AND(I8&lt;&gt;"",N103),"OK",AND(I8&lt;&gt;"",NOT(N103)),"?")</f>
        <v/>
      </c>
      <c r="I8" s="96"/>
      <c r="L8" s="276"/>
      <c r="M8" s="277"/>
      <c r="N8" s="192"/>
      <c r="O8" s="192"/>
      <c r="Q8" s="34">
        <f t="shared" si="0"/>
        <v>0</v>
      </c>
      <c r="R8" s="251" t="str" cm="1">
        <f t="array" ref="R8">IF(P8&lt;&gt;"",_xlfn.XLOOKUP(P8,P103:P132,R103:R132&amp;"s",""),"")</f>
        <v/>
      </c>
      <c r="U8" t="str">
        <v>Operating</v>
      </c>
      <c r="V8" s="272">
        <v>10</v>
      </c>
      <c r="W8" s="275">
        <v>30</v>
      </c>
      <c r="X8" s="34">
        <v>25</v>
      </c>
      <c r="Y8" s="272">
        <v>5</v>
      </c>
      <c r="Z8" t="str">
        <v>Investing</v>
      </c>
      <c r="AC8" s="1"/>
      <c r="AD8" s="1"/>
      <c r="AE8" s="1"/>
      <c r="AG8" s="1">
        <f ca="1"/>
        <v>1</v>
      </c>
      <c r="AH8" s="545" t="b">
        <v>0</v>
      </c>
    </row>
    <row r="9" spans="2:34" x14ac:dyDescent="0.3">
      <c r="B9" s="272" cm="1">
        <f t="array" ref="B9">_xlfn._xlws.FILTER(Journal[Transaction '#],Journal[Debit Account]=D5,"")</f>
        <v>9</v>
      </c>
      <c r="C9" s="275" cm="1">
        <f t="array" ref="C9">_xlfn._xlws.FILTER(Journal[Dr Amt],Journal[Debit Account]=D5,0)</f>
        <v>15</v>
      </c>
      <c r="D9" s="34" cm="1">
        <f t="array" ref="D9">_xlfn._xlws.FILTER(Journal[Cr Amt],Journal[Credit Account]=D5,0)</f>
        <v>30</v>
      </c>
      <c r="E9" s="272" cm="1">
        <f t="array" ref="E9">_xlfn._xlws.FILTER(Journal[Transaction '#],Journal[Credit Account]=D5,"")</f>
        <v>4</v>
      </c>
      <c r="H9" s="286" t="str" cm="1">
        <f t="array" ref="H9">_xlfn.IFS(I9="","",AND(I9&lt;&gt;"",N104),"OK",AND(I9&lt;&gt;"",NOT(N104)),"?")</f>
        <v/>
      </c>
      <c r="I9" s="96"/>
      <c r="L9" s="271"/>
      <c r="M9" s="268"/>
      <c r="N9" s="192"/>
      <c r="O9" s="192"/>
      <c r="Q9" s="34">
        <f t="shared" si="0"/>
        <v>0</v>
      </c>
      <c r="R9" s="251" t="str" cm="1">
        <f t="array" ref="R9">IF(P9&lt;&gt;"",_xlfn.XLOOKUP(P9,P104:P133,R104:R133&amp;"s",""),"")</f>
        <v/>
      </c>
      <c r="U9" t="str">
        <v>Operating</v>
      </c>
      <c r="V9" s="272">
        <v>11</v>
      </c>
      <c r="W9" s="275">
        <v>0.05</v>
      </c>
      <c r="X9" s="34">
        <v>15</v>
      </c>
      <c r="Y9" s="272">
        <v>9</v>
      </c>
      <c r="Z9" t="str">
        <v>Operating</v>
      </c>
      <c r="AC9" s="1"/>
      <c r="AD9" s="1"/>
      <c r="AE9" s="1"/>
      <c r="AG9" s="1">
        <f ca="1"/>
        <v>6</v>
      </c>
      <c r="AH9" s="545" t="b">
        <v>0</v>
      </c>
    </row>
    <row r="10" spans="2:34" x14ac:dyDescent="0.3">
      <c r="B10" s="272"/>
      <c r="C10" s="275"/>
      <c r="D10" s="34"/>
      <c r="E10" s="272"/>
      <c r="H10" s="286" t="str" cm="1">
        <f t="array" ref="H10">_xlfn.IFS(I10="","",AND(I10&lt;&gt;"",N105),"OK",AND(I10&lt;&gt;"",NOT(N105)),"?")</f>
        <v/>
      </c>
      <c r="I10" s="96"/>
      <c r="L10" s="271"/>
      <c r="M10" s="173"/>
      <c r="N10" s="192"/>
      <c r="O10" s="192"/>
      <c r="Q10" s="34">
        <f t="shared" si="0"/>
        <v>0</v>
      </c>
      <c r="R10" s="251" t="str" cm="1">
        <f t="array" ref="R10">IF(P10&lt;&gt;"",_xlfn.XLOOKUP(P10,P105:P134,R105:R134&amp;"s",""),"")</f>
        <v/>
      </c>
      <c r="T10" t="s">
        <v>0</v>
      </c>
      <c r="V10" s="272"/>
      <c r="W10" s="275"/>
      <c r="X10" s="34">
        <v>6</v>
      </c>
      <c r="Y10" s="272">
        <v>12</v>
      </c>
      <c r="Z10" t="str">
        <v>Operating</v>
      </c>
      <c r="AC10" s="1"/>
      <c r="AD10" s="1"/>
      <c r="AE10" s="1"/>
      <c r="AG10" s="1" t="str">
        <f ca="1"/>
        <v/>
      </c>
      <c r="AH10" s="545" t="b">
        <v>0</v>
      </c>
    </row>
    <row r="11" spans="2:34" x14ac:dyDescent="0.3">
      <c r="B11" s="272"/>
      <c r="C11" s="275"/>
      <c r="D11" s="34"/>
      <c r="E11" s="272"/>
      <c r="H11" s="286" t="str" cm="1">
        <f t="array" ref="H1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c r="AH11" s="545" t="b">
        <v>0</v>
      </c>
    </row>
    <row r="12" spans="2:34" x14ac:dyDescent="0.3">
      <c r="B12" s="272"/>
      <c r="C12" s="275"/>
      <c r="D12" s="34"/>
      <c r="E12" s="272"/>
      <c r="H12" s="286" t="str" cm="1">
        <f t="array" ref="H12">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45" t="b">
        <v>0</v>
      </c>
    </row>
    <row r="13" spans="2:34" x14ac:dyDescent="0.3">
      <c r="B13" s="272"/>
      <c r="C13" s="275"/>
      <c r="D13" s="34"/>
      <c r="E13" s="272"/>
      <c r="H13" s="286" t="str" cm="1">
        <f t="array" ref="H13">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45" t="b">
        <v>0</v>
      </c>
    </row>
    <row r="14" spans="2:34" x14ac:dyDescent="0.3">
      <c r="B14" s="272"/>
      <c r="C14" s="275"/>
      <c r="D14" s="34"/>
      <c r="E14" s="272"/>
      <c r="H14" s="286" t="str" cm="1">
        <f t="array" ref="H14">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5" t="b">
        <v>0</v>
      </c>
    </row>
    <row r="15" spans="2:34" x14ac:dyDescent="0.3">
      <c r="B15" s="272"/>
      <c r="C15" s="275"/>
      <c r="D15" s="34"/>
      <c r="E15" s="272"/>
      <c r="H15" s="286" t="str" cm="1">
        <f t="array" ref="H15">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x14ac:dyDescent="0.3">
      <c r="B16" s="272"/>
      <c r="C16" s="275"/>
      <c r="D16" s="34"/>
      <c r="E16" s="272"/>
      <c r="H16" s="286" t="str" cm="1">
        <f t="array" ref="H16">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5" thickBot="1" x14ac:dyDescent="0.35">
      <c r="B17" s="272"/>
      <c r="C17" s="275"/>
      <c r="D17" s="34"/>
      <c r="E17" s="272"/>
      <c r="H17" s="286" t="str" cm="1">
        <f t="array" ref="H17">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5.6" thickTop="1" thickBot="1" x14ac:dyDescent="0.35">
      <c r="B18" s="272"/>
      <c r="C18" s="275"/>
      <c r="D18" s="34"/>
      <c r="E18" s="272"/>
      <c r="H18" s="286" t="str" cm="1">
        <f t="array" ref="H18">_xlfn.IFS(I18="","",AND(I18&lt;&gt;"",N113),"OK",AND(I18&lt;&gt;"",NOT(N113)),"?")</f>
        <v/>
      </c>
      <c r="I18" s="96"/>
      <c r="L18" s="276"/>
      <c r="M18" s="277"/>
      <c r="N18" s="192"/>
      <c r="O18" s="192"/>
      <c r="Q18" s="34">
        <f t="shared" si="0"/>
        <v>0</v>
      </c>
      <c r="R18" s="251" t="str" cm="1">
        <f t="array" ref="R18">IF(P18&lt;&gt;"",_xlfn.XLOOKUP(P18,P113:P142,R113:R142&amp;"s",""),"")</f>
        <v/>
      </c>
      <c r="V18" s="272" t="str">
        <f>EndDate</f>
        <v>12/31/20x4</v>
      </c>
      <c r="W18" s="281">
        <f ca="1">MAX(SUM(W5:W17)-SUM(X5:X17),0)</f>
        <v>40.050000000000011</v>
      </c>
      <c r="X18" s="282">
        <f ca="1">MAX(SUM(X5:X17)-SUM(W5:W17),0)</f>
        <v>0</v>
      </c>
      <c r="Y18" s="272" t="str">
        <f>EndDate</f>
        <v>12/31/20x4</v>
      </c>
      <c r="AC18" s="1"/>
      <c r="AD18" s="1"/>
      <c r="AE18" s="1"/>
      <c r="AG18" s="1"/>
      <c r="AH18" s="545" t="b">
        <v>0</v>
      </c>
    </row>
    <row r="19" spans="2:34" ht="15" thickTop="1" x14ac:dyDescent="0.3">
      <c r="B19" s="272"/>
      <c r="C19" s="275"/>
      <c r="D19" s="34"/>
      <c r="E19" s="272"/>
      <c r="H19" s="286" t="str" cm="1">
        <f t="array" ref="H19">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 thickBot="1" x14ac:dyDescent="0.35">
      <c r="B20" s="278"/>
      <c r="C20" s="279"/>
      <c r="D20" s="280"/>
      <c r="E20" s="278"/>
      <c r="H20" s="286" t="str" cm="1">
        <f t="array" ref="H20">_xlfn.IFS(I20="","",AND(I20&lt;&gt;"",N115),"OK",AND(I20&lt;&gt;"",NOT(N115)),"?")</f>
        <v/>
      </c>
      <c r="I20" s="96"/>
      <c r="L20" s="271"/>
      <c r="M20" s="268"/>
      <c r="N20" s="192"/>
      <c r="O20" s="192"/>
      <c r="Q20" s="34">
        <f t="shared" si="0"/>
        <v>0</v>
      </c>
      <c r="R20" s="251" t="str" cm="1">
        <f t="array" ref="R20">IF(P20&lt;&gt;"",_xlfn.XLOOKUP(P20,P115:P144,R115:R144&amp;"s",""),"")</f>
        <v/>
      </c>
      <c r="V20" s="5" t="s">
        <v>266</v>
      </c>
      <c r="AH20" s="545" t="b">
        <v>0</v>
      </c>
    </row>
    <row r="21" spans="2:34" ht="15.6" thickTop="1" thickBot="1" x14ac:dyDescent="0.35">
      <c r="B21" s="272" t="str">
        <f>EndDate</f>
        <v>12/31/20x4</v>
      </c>
      <c r="C21" s="281">
        <f ca="1">MAX(SUM(C8:C20)-SUM(D8:D20),0)</f>
        <v>0</v>
      </c>
      <c r="D21" s="282">
        <f ca="1">MAX(SUM(D8:D20)-SUM(C8:C20),0)</f>
        <v>15</v>
      </c>
      <c r="E21" s="272" t="str">
        <f>EndDate</f>
        <v>12/31/20x4</v>
      </c>
      <c r="H21" s="286" t="str" cm="1">
        <f t="array" ref="H21">_xlfn.IFS(I21="","",AND(I21&lt;&gt;"",N116),"OK",AND(I21&lt;&gt;"",NOT(N116)),"?")</f>
        <v/>
      </c>
      <c r="I21" s="96"/>
      <c r="L21" s="34"/>
      <c r="M21" s="173"/>
      <c r="N21" s="192"/>
      <c r="O21" s="192"/>
      <c r="Q21" s="34">
        <f t="shared" si="0"/>
        <v>0</v>
      </c>
      <c r="R21" s="251" t="str" cm="1">
        <f t="array" ref="R21">IF(P21&lt;&gt;"",_xlfn.XLOOKUP(P21,P116:P145,R116:R145&amp;"s",""),"")</f>
        <v/>
      </c>
      <c r="V21" s="5" t="s">
        <v>398</v>
      </c>
      <c r="W21" s="567">
        <f>SUMIF(U6:U17,"Operating",W6:W17)-SUMIF(Z6:Z17,"Operating",X6:X17)</f>
        <v>5.0500000000000007</v>
      </c>
      <c r="AH21" s="545" t="b">
        <v>0</v>
      </c>
    </row>
    <row r="22" spans="2:34" ht="15" thickTop="1" x14ac:dyDescent="0.3">
      <c r="H22" s="286" t="str" cm="1">
        <f t="array" ref="H22">_xlfn.IFS(I22="","",AND(I22&lt;&gt;"",N117),"OK",AND(I22&lt;&gt;"",NOT(N117)),"?")</f>
        <v/>
      </c>
      <c r="I22" s="96"/>
      <c r="L22" s="34"/>
      <c r="M22" s="173"/>
      <c r="N22" s="192"/>
      <c r="O22" s="192"/>
      <c r="Q22" s="34">
        <f t="shared" si="0"/>
        <v>0</v>
      </c>
      <c r="R22" s="251" t="str" cm="1">
        <f t="array" ref="R22">IF(P22&lt;&gt;"",_xlfn.XLOOKUP(P22,P117:P146,R117:R146&amp;"s",""),"")</f>
        <v/>
      </c>
      <c r="V22" s="5" t="s">
        <v>394</v>
      </c>
      <c r="W22" s="567">
        <f>SUMIF(U6:U17,"Investing",W6:W17)-SUMIF(Z6:Z17,"Investing",X6:X17)</f>
        <v>-85</v>
      </c>
      <c r="AH22" s="545" t="b">
        <v>0</v>
      </c>
    </row>
    <row r="23" spans="2:34" x14ac:dyDescent="0.3">
      <c r="H23" s="286" t="str" cm="1">
        <f t="array" ref="H23">_xlfn.IFS(I23="","",AND(I23&lt;&gt;"",N118),"OK",AND(I23&lt;&gt;"",NOT(N118)),"?")</f>
        <v/>
      </c>
      <c r="I23" s="96"/>
      <c r="L23" s="34"/>
      <c r="M23" s="173"/>
      <c r="N23" s="192"/>
      <c r="O23" s="192"/>
      <c r="Q23" s="34">
        <f t="shared" si="0"/>
        <v>0</v>
      </c>
      <c r="R23" s="251" t="str" cm="1">
        <f t="array" ref="R23">IF(P23&lt;&gt;"",_xlfn.XLOOKUP(P23,P118:P147,R118:R147&amp;"s",""),"")</f>
        <v/>
      </c>
      <c r="V23" s="5" t="s">
        <v>395</v>
      </c>
      <c r="W23" s="567">
        <f>SUMIF(U6:U17,"Financing",W6:W17)-SUMIF(Z6:Z17,"Financing",X6:X17)</f>
        <v>120</v>
      </c>
      <c r="AH23" s="545" t="b">
        <v>0</v>
      </c>
    </row>
    <row r="24" spans="2:34" x14ac:dyDescent="0.3">
      <c r="C24" s="261" t="s">
        <v>399</v>
      </c>
      <c r="D24" s="261"/>
      <c r="H24" s="286" t="str" cm="1">
        <f t="array" ref="H24">_xlfn.IFS(I24="","",AND(I24&lt;&gt;"",N119),"OK",AND(I24&lt;&gt;"",NOT(N119)),"?")</f>
        <v/>
      </c>
      <c r="I24" s="96"/>
      <c r="L24" s="34"/>
      <c r="M24" s="173"/>
      <c r="N24" s="192"/>
      <c r="O24" s="192"/>
      <c r="Q24" s="34">
        <f t="shared" si="0"/>
        <v>0</v>
      </c>
      <c r="R24" s="251" t="str" cm="1">
        <f t="array" ref="R24">IF(P24&lt;&gt;"",_xlfn.XLOOKUP(P24,P119:P148,R119:R148&amp;"s",""),"")</f>
        <v/>
      </c>
      <c r="AH24" s="545" t="b">
        <v>0</v>
      </c>
    </row>
    <row r="25" spans="2:34" ht="15" thickBot="1" x14ac:dyDescent="0.35">
      <c r="C25" t="s">
        <v>388</v>
      </c>
      <c r="D25" s="263" t="s">
        <v>74</v>
      </c>
      <c r="H25" s="286" t="str" cm="1">
        <f t="array" ref="H25">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x14ac:dyDescent="0.3">
      <c r="C26" t="s">
        <v>392</v>
      </c>
      <c r="D26" s="263" t="s">
        <v>75</v>
      </c>
      <c r="N26" s="192"/>
      <c r="O26" s="192"/>
      <c r="Q26" s="34">
        <f t="shared" si="0"/>
        <v>0</v>
      </c>
      <c r="R26" s="251" t="str" cm="1">
        <f t="array" ref="R26">IF(P26&lt;&gt;"",_xlfn.XLOOKUP(P26,P121:P150,R121:R150&amp;"s",""),"")</f>
        <v/>
      </c>
      <c r="AH26" s="545" t="b">
        <v>0</v>
      </c>
    </row>
    <row r="27" spans="2:34" x14ac:dyDescent="0.3">
      <c r="N27" s="192"/>
      <c r="O27" s="192"/>
      <c r="Q27" s="34">
        <f t="shared" si="0"/>
        <v>0</v>
      </c>
      <c r="R27" s="251" t="str" cm="1">
        <f t="array" ref="R27">IF(P27&lt;&gt;"",_xlfn.XLOOKUP(P27,P122:P151,R122:R151&amp;"s",""),"")</f>
        <v/>
      </c>
      <c r="AH27" s="545" t="b">
        <v>0</v>
      </c>
    </row>
    <row r="28" spans="2:34" ht="15" thickBot="1" x14ac:dyDescent="0.35">
      <c r="B28" s="269" t="s">
        <v>390</v>
      </c>
      <c r="C28" s="270" t="str">
        <f>D26</f>
        <v>Sales</v>
      </c>
      <c r="D28" s="270"/>
      <c r="E28" s="269" t="s">
        <v>390</v>
      </c>
      <c r="N28" s="192"/>
      <c r="O28" s="286"/>
      <c r="Q28" s="34">
        <f t="shared" si="0"/>
        <v>0</v>
      </c>
      <c r="R28" s="251" t="str" cm="1">
        <f t="array" ref="R28">IF(P28&lt;&gt;"",_xlfn.XLOOKUP(P28,P123:P152,R123:R152&amp;"s",""),"")</f>
        <v/>
      </c>
      <c r="AH28" s="545" t="b">
        <v>0</v>
      </c>
    </row>
    <row r="29" spans="2:34" ht="15" thickTop="1" x14ac:dyDescent="0.3">
      <c r="B29" s="272" cm="1">
        <f t="array" ref="B29">_xlfn._xlws.FILTER(Journal[Transaction '#],Journal[Debit Account]=D26,"")</f>
        <v>18</v>
      </c>
      <c r="C29" s="275" cm="1">
        <f t="array" ref="C29">_xlfn._xlws.FILTER(Journal[Dr Amt],Journal[Debit Account]=D26,0)</f>
        <v>40</v>
      </c>
      <c r="D29" s="34" cm="1">
        <f t="array" ref="D29">_xlfn._xlws.FILTER(Journal[Cr Amt],Journal[Credit Account]=D26,0)</f>
        <v>40</v>
      </c>
      <c r="E29" s="272" cm="1">
        <f t="array" ref="E29">_xlfn._xlws.FILTER(Journal[Transaction '#],Journal[Credit Account]=D26,"")</f>
        <v>7</v>
      </c>
      <c r="N29" s="192"/>
      <c r="O29" s="192"/>
      <c r="Q29" s="34">
        <f t="shared" si="0"/>
        <v>0</v>
      </c>
      <c r="R29" s="251" t="str" cm="1">
        <f t="array" ref="R29">IF(P29&lt;&gt;"",_xlfn.XLOOKUP(P29,P124:P153,R124:R153&amp;"s",""),"")</f>
        <v/>
      </c>
      <c r="AH29" s="545" t="b">
        <v>0</v>
      </c>
    </row>
    <row r="30" spans="2:34" x14ac:dyDescent="0.3">
      <c r="B30" s="272"/>
      <c r="C30" s="275"/>
      <c r="D30" s="34"/>
      <c r="E30" s="272"/>
      <c r="N30" s="192"/>
      <c r="O30" s="192"/>
      <c r="Q30" s="34">
        <f t="shared" si="0"/>
        <v>0</v>
      </c>
      <c r="R30" s="251" t="str" cm="1">
        <f t="array" ref="R30">IF(P30&lt;&gt;"",_xlfn.XLOOKUP(P30,P125:P154,R125:R154&amp;"s",""),"")</f>
        <v/>
      </c>
    </row>
    <row r="31" spans="2:34" x14ac:dyDescent="0.3">
      <c r="B31" s="272"/>
      <c r="C31" s="275"/>
      <c r="D31" s="34"/>
      <c r="E31" s="272"/>
      <c r="N31" s="192"/>
      <c r="O31" s="192"/>
      <c r="Q31" s="34">
        <f t="shared" si="0"/>
        <v>0</v>
      </c>
      <c r="R31" s="251" t="str" cm="1">
        <f t="array" ref="R31">IF(P31&lt;&gt;"",_xlfn.XLOOKUP(P31,P126:P155,R126:R155&amp;"s",""),"")</f>
        <v/>
      </c>
    </row>
    <row r="32" spans="2:34" x14ac:dyDescent="0.3">
      <c r="B32" s="272"/>
      <c r="C32" s="275"/>
      <c r="D32" s="34"/>
      <c r="E32" s="272"/>
      <c r="N32" s="192"/>
      <c r="O32" s="192"/>
      <c r="Q32" s="34">
        <f t="shared" si="0"/>
        <v>0</v>
      </c>
      <c r="R32" s="251" t="str" cm="1">
        <f t="array" ref="R32">IF(P32&lt;&gt;"",_xlfn.XLOOKUP(P32,P127:P156,R127:R156&amp;"s",""),"")</f>
        <v/>
      </c>
    </row>
    <row r="33" spans="2:18" x14ac:dyDescent="0.3">
      <c r="B33" s="272"/>
      <c r="C33" s="275"/>
      <c r="D33" s="34"/>
      <c r="E33" s="272"/>
      <c r="N33" s="192"/>
      <c r="O33" s="192"/>
      <c r="Q33" s="34">
        <f t="shared" si="0"/>
        <v>0</v>
      </c>
      <c r="R33" s="251" t="str" cm="1">
        <f t="array" ref="R33">IF(P33&lt;&gt;"",_xlfn.XLOOKUP(P33,P128:P157,R128:R157&amp;"s",""),"")</f>
        <v/>
      </c>
    </row>
    <row r="34" spans="2:18" x14ac:dyDescent="0.3">
      <c r="B34" s="272"/>
      <c r="C34" s="275"/>
      <c r="D34" s="34"/>
      <c r="E34" s="272"/>
      <c r="N34" s="192"/>
      <c r="O34" s="192"/>
      <c r="Q34" s="34">
        <f t="shared" si="0"/>
        <v>0</v>
      </c>
      <c r="R34" s="251" t="str" cm="1">
        <f t="array" ref="R34">IF(P34&lt;&gt;"",_xlfn.XLOOKUP(P34,P129:P158,R129:R158&amp;"s",""),"")</f>
        <v/>
      </c>
    </row>
    <row r="35" spans="2:18" x14ac:dyDescent="0.3">
      <c r="B35" s="272"/>
      <c r="C35" s="275"/>
      <c r="D35" s="34"/>
      <c r="E35" s="272"/>
      <c r="N35" s="192"/>
      <c r="O35" s="192"/>
      <c r="Q35" s="34">
        <f t="shared" si="0"/>
        <v>0</v>
      </c>
      <c r="R35" s="251" t="str" cm="1">
        <f t="array" ref="R35">IF(P35&lt;&gt;"",_xlfn.XLOOKUP(P35,P130:P159,R130:R159&amp;"s",""),"")</f>
        <v/>
      </c>
    </row>
    <row r="36" spans="2:18" x14ac:dyDescent="0.3">
      <c r="B36" s="272"/>
      <c r="C36" s="275"/>
      <c r="D36" s="34"/>
      <c r="E36" s="272"/>
      <c r="N36" s="192"/>
      <c r="O36" s="192"/>
      <c r="Q36" s="34">
        <f t="shared" si="0"/>
        <v>0</v>
      </c>
      <c r="R36" s="251" t="str" cm="1">
        <f t="array" ref="R36">IF(P36&lt;&gt;"",_xlfn.XLOOKUP(P36,P131:P160,R131:R160&amp;"s",""),"")</f>
        <v/>
      </c>
    </row>
    <row r="37" spans="2:18" ht="15" thickBot="1" x14ac:dyDescent="0.35">
      <c r="B37" s="278"/>
      <c r="C37" s="279"/>
      <c r="D37" s="280"/>
      <c r="E37" s="278"/>
      <c r="N37" s="192"/>
      <c r="O37" s="192"/>
      <c r="Q37" s="34">
        <f t="shared" si="0"/>
        <v>0</v>
      </c>
      <c r="R37" s="251" t="str" cm="1">
        <f t="array" ref="R37">IF(P37&lt;&gt;"",_xlfn.XLOOKUP(P37,P132:P161,R132:R161&amp;"s",""),"")</f>
        <v/>
      </c>
    </row>
    <row r="38" spans="2:18" ht="15.6" thickTop="1" thickBot="1" x14ac:dyDescent="0.35">
      <c r="B38" s="272" t="str">
        <f>EndDate</f>
        <v>12/31/20x4</v>
      </c>
      <c r="C38" s="287">
        <f>MAX(SUM(C29:C37)-SUM(D29:D37),0)</f>
        <v>0</v>
      </c>
      <c r="D38" s="288">
        <f>MAX(SUM(D29:D37)-SUM(C29:C37),0)</f>
        <v>0</v>
      </c>
      <c r="E38" s="272" t="str">
        <f>EndDate</f>
        <v>12/31/20x4</v>
      </c>
      <c r="N38" s="192"/>
      <c r="O38" s="192"/>
      <c r="Q38" s="34">
        <f t="shared" si="0"/>
        <v>0</v>
      </c>
      <c r="R38" s="251" t="str" cm="1">
        <f t="array" ref="R38">IF(P38&lt;&gt;"",_xlfn.XLOOKUP(P38,P133:P162,R133:R162&amp;"s",""),"")</f>
        <v/>
      </c>
    </row>
    <row r="39" spans="2:18" ht="15" thickTop="1" x14ac:dyDescent="0.3">
      <c r="C39" s="5" t="str">
        <f>IF(MAX(C38,D38)&gt;0,"Balance must be brought to zero by "&amp;EndDate,"")</f>
        <v/>
      </c>
      <c r="D39" s="5"/>
      <c r="N39" s="192"/>
      <c r="O39" s="192"/>
      <c r="Q39" s="34">
        <f t="shared" si="0"/>
        <v>0</v>
      </c>
      <c r="R39" s="251" t="str" cm="1">
        <f t="array" ref="R39">IF(P39&lt;&gt;"",_xlfn.XLOOKUP(P39,P134:P163,R134:R163&amp;"s",""),"")</f>
        <v/>
      </c>
    </row>
    <row r="40" spans="2:18" x14ac:dyDescent="0.3">
      <c r="N40" s="192"/>
      <c r="O40" s="192"/>
      <c r="Q40" s="34">
        <f t="shared" si="0"/>
        <v>0</v>
      </c>
      <c r="R40" s="251" t="str" cm="1">
        <f t="array" ref="R40">IF(P40&lt;&gt;"",_xlfn.XLOOKUP(P40,P135:P164,R135:R164&amp;"s",""),"")</f>
        <v/>
      </c>
    </row>
    <row r="41" spans="2:18" x14ac:dyDescent="0.3">
      <c r="N41" s="192"/>
      <c r="O41" s="192"/>
      <c r="Q41" s="34">
        <f t="shared" si="0"/>
        <v>0</v>
      </c>
      <c r="R41" s="251" t="str" cm="1">
        <f t="array" ref="R41">IF(P41&lt;&gt;"",_xlfn.XLOOKUP(P41,P136:P165,R136:R165&amp;"s",""),"")</f>
        <v/>
      </c>
    </row>
    <row r="42" spans="2:18" x14ac:dyDescent="0.3">
      <c r="N42" s="192"/>
      <c r="O42" s="192"/>
      <c r="Q42" s="34">
        <f t="shared" si="0"/>
        <v>0</v>
      </c>
      <c r="R42" s="251" t="str" cm="1">
        <f t="array" ref="R42">IF(P42&lt;&gt;"",_xlfn.XLOOKUP(P42,P137:P166,R137:R166&amp;"s",""),"")</f>
        <v/>
      </c>
    </row>
    <row r="43" spans="2:18" x14ac:dyDescent="0.3">
      <c r="N43" s="192"/>
      <c r="O43" s="192"/>
      <c r="Q43" s="34">
        <f t="shared" si="0"/>
        <v>0</v>
      </c>
      <c r="R43" s="251" t="str" cm="1">
        <f t="array" ref="R43">IF(P43&lt;&gt;"",_xlfn.XLOOKUP(P43,P138:P167,R138:R167&amp;"s",""),"")</f>
        <v/>
      </c>
    </row>
    <row r="44" spans="2:18" x14ac:dyDescent="0.3">
      <c r="N44" s="192"/>
      <c r="O44" s="192"/>
      <c r="Q44" s="34">
        <f t="shared" si="0"/>
        <v>0</v>
      </c>
      <c r="R44" s="251" t="str" cm="1">
        <f t="array" ref="R44">IF(P44&lt;&gt;"",_xlfn.XLOOKUP(P44,P139:P168,R139:R168&amp;"s",""),"")</f>
        <v/>
      </c>
    </row>
    <row r="45" spans="2:18" x14ac:dyDescent="0.3">
      <c r="N45" s="192"/>
      <c r="O45" s="192"/>
      <c r="Q45" s="34">
        <f t="shared" si="0"/>
        <v>0</v>
      </c>
      <c r="R45" s="251" t="str" cm="1">
        <f t="array" ref="R45">IF(P45&lt;&gt;"",_xlfn.XLOOKUP(P45,P140:P169,R140:R169&amp;"s",""),"")</f>
        <v/>
      </c>
    </row>
    <row r="46" spans="2:18" x14ac:dyDescent="0.3">
      <c r="N46" s="192"/>
      <c r="O46" s="192"/>
      <c r="Q46" s="34">
        <f t="shared" si="0"/>
        <v>0</v>
      </c>
      <c r="R46" s="251" t="str" cm="1">
        <f t="array" ref="R46">IF(P46&lt;&gt;"",_xlfn.XLOOKUP(P46,P141:P170,R141:R170&amp;"s",""),"")</f>
        <v/>
      </c>
    </row>
    <row r="47" spans="2:18" x14ac:dyDescent="0.3">
      <c r="N47" s="192"/>
      <c r="O47" s="192"/>
      <c r="Q47" s="34">
        <f t="shared" si="0"/>
        <v>0</v>
      </c>
      <c r="R47" s="251" t="str" cm="1">
        <f t="array" ref="R47">IF(P47&lt;&gt;"",_xlfn.XLOOKUP(P47,P142:P171,R142:R171&amp;"s",""),"")</f>
        <v/>
      </c>
    </row>
    <row r="48" spans="2:18" x14ac:dyDescent="0.3">
      <c r="N48" s="192"/>
      <c r="O48" s="192"/>
      <c r="Q48" s="34">
        <f t="shared" si="0"/>
        <v>0</v>
      </c>
      <c r="R48" s="251" t="str" cm="1">
        <f t="array" ref="R48">IF(P48&lt;&gt;"",_xlfn.XLOOKUP(P48,P143:P172,R143:R172&amp;"s",""),"")</f>
        <v/>
      </c>
    </row>
    <row r="49" spans="14:18" x14ac:dyDescent="0.3">
      <c r="N49" s="192"/>
      <c r="O49" s="192"/>
      <c r="Q49" s="34">
        <f t="shared" si="0"/>
        <v>0</v>
      </c>
      <c r="R49" s="251" t="str" cm="1">
        <f t="array" ref="R49">IF(P49&lt;&gt;"",_xlfn.XLOOKUP(P49,P144:P173,R144:R173&amp;"s",""),"")</f>
        <v/>
      </c>
    </row>
    <row r="50" spans="14:18" x14ac:dyDescent="0.3">
      <c r="N50" s="192"/>
      <c r="O50" s="192"/>
      <c r="Q50" s="34">
        <f t="shared" si="0"/>
        <v>0</v>
      </c>
      <c r="R50" s="251" t="str" cm="1">
        <f t="array" ref="R50">IF(P50&lt;&gt;"",_xlfn.XLOOKUP(P50,P145:P174,R145:R174&amp;"s",""),"")</f>
        <v/>
      </c>
    </row>
    <row r="51" spans="14:18" x14ac:dyDescent="0.3">
      <c r="N51" s="192"/>
      <c r="O51" s="192"/>
    </row>
    <row r="52" spans="14:18" x14ac:dyDescent="0.3">
      <c r="N52" s="192"/>
      <c r="O52" s="192"/>
    </row>
    <row r="53" spans="14:18" x14ac:dyDescent="0.3">
      <c r="N53" s="192"/>
      <c r="O53" s="192"/>
    </row>
    <row r="54" spans="14:18" x14ac:dyDescent="0.3">
      <c r="N54" s="192"/>
      <c r="O54" s="192"/>
    </row>
    <row r="55" spans="14:18" x14ac:dyDescent="0.3">
      <c r="N55" s="192"/>
      <c r="O55" s="192"/>
    </row>
    <row r="56" spans="14:18" x14ac:dyDescent="0.3">
      <c r="N56" s="192"/>
      <c r="O56" s="192"/>
    </row>
    <row r="57" spans="14:18" x14ac:dyDescent="0.3">
      <c r="N57" s="192"/>
      <c r="O57" s="192"/>
    </row>
    <row r="58" spans="14:18" x14ac:dyDescent="0.3">
      <c r="N58" s="192"/>
      <c r="O58" s="192"/>
    </row>
    <row r="59" spans="14:18" x14ac:dyDescent="0.3">
      <c r="N59" s="192"/>
      <c r="O59" s="192"/>
    </row>
    <row r="60" spans="14:18" x14ac:dyDescent="0.3">
      <c r="N60" s="192"/>
      <c r="O60" s="192"/>
    </row>
    <row r="61" spans="14:18" x14ac:dyDescent="0.3">
      <c r="N61" s="192"/>
      <c r="O61" s="192"/>
    </row>
    <row r="62" spans="14:18" x14ac:dyDescent="0.3">
      <c r="N62" s="192"/>
      <c r="O62" s="192"/>
    </row>
    <row r="63" spans="14:18" x14ac:dyDescent="0.3">
      <c r="N63" s="192"/>
      <c r="O63" s="192"/>
    </row>
    <row r="64" spans="14:18" x14ac:dyDescent="0.3">
      <c r="N64" s="192"/>
      <c r="O64" s="192"/>
    </row>
    <row r="65" spans="14:15" x14ac:dyDescent="0.3">
      <c r="N65" s="192"/>
      <c r="O65" s="192"/>
    </row>
    <row r="66" spans="14:15" x14ac:dyDescent="0.3">
      <c r="N66" s="192"/>
      <c r="O66" s="192"/>
    </row>
    <row r="67" spans="14:15" x14ac:dyDescent="0.3">
      <c r="N67" s="192"/>
      <c r="O67" s="192"/>
    </row>
    <row r="68" spans="14:15" x14ac:dyDescent="0.3">
      <c r="N68" s="192"/>
      <c r="O68" s="192"/>
    </row>
    <row r="69" spans="14:15" x14ac:dyDescent="0.3">
      <c r="N69" s="192"/>
      <c r="O69" s="192"/>
    </row>
    <row r="70" spans="14:15" x14ac:dyDescent="0.3">
      <c r="N70" s="192"/>
      <c r="O70" s="192"/>
    </row>
    <row r="71" spans="14:15" x14ac:dyDescent="0.3">
      <c r="N71" s="192"/>
      <c r="O71" s="192"/>
    </row>
    <row r="72" spans="14:15" x14ac:dyDescent="0.3">
      <c r="N72" s="192"/>
      <c r="O72" s="192"/>
    </row>
    <row r="73" spans="14:15" x14ac:dyDescent="0.3">
      <c r="N73" s="192"/>
      <c r="O73" s="192"/>
    </row>
    <row r="74" spans="14:15" x14ac:dyDescent="0.3">
      <c r="N74" s="192"/>
      <c r="O74" s="192"/>
    </row>
    <row r="75" spans="14:15" x14ac:dyDescent="0.3">
      <c r="N75" s="192"/>
      <c r="O75" s="192"/>
    </row>
    <row r="76" spans="14:15" x14ac:dyDescent="0.3">
      <c r="N76" s="192"/>
      <c r="O76" s="192"/>
    </row>
    <row r="77" spans="14:15" x14ac:dyDescent="0.3">
      <c r="N77" s="192"/>
      <c r="O77" s="192"/>
    </row>
    <row r="78" spans="14:15" x14ac:dyDescent="0.3">
      <c r="N78" s="192"/>
      <c r="O78" s="192"/>
    </row>
    <row r="79" spans="14:15" x14ac:dyDescent="0.3">
      <c r="N79" s="192"/>
      <c r="O79" s="192"/>
    </row>
    <row r="80" spans="14:15" x14ac:dyDescent="0.3">
      <c r="N80" s="192"/>
      <c r="O80" s="192"/>
    </row>
    <row r="81" spans="14:15" x14ac:dyDescent="0.3">
      <c r="N81" s="192"/>
      <c r="O81" s="192"/>
    </row>
    <row r="82" spans="14:15" x14ac:dyDescent="0.3">
      <c r="N82" s="192"/>
      <c r="O82" s="192"/>
    </row>
    <row r="83" spans="14:15" x14ac:dyDescent="0.3">
      <c r="N83" s="192"/>
      <c r="O83" s="192"/>
    </row>
    <row r="84" spans="14:15" x14ac:dyDescent="0.3">
      <c r="N84" s="192"/>
      <c r="O84" s="192"/>
    </row>
    <row r="85" spans="14:15" x14ac:dyDescent="0.3">
      <c r="N85" s="192"/>
      <c r="O85" s="192"/>
    </row>
    <row r="86" spans="14:15" x14ac:dyDescent="0.3">
      <c r="N86" s="192"/>
      <c r="O86" s="192"/>
    </row>
    <row r="87" spans="14:15" x14ac:dyDescent="0.3">
      <c r="N87" s="192"/>
      <c r="O87" s="192"/>
    </row>
    <row r="88" spans="14:15" x14ac:dyDescent="0.3">
      <c r="N88" s="192"/>
      <c r="O88" s="192"/>
    </row>
    <row r="89" spans="14:15" x14ac:dyDescent="0.3">
      <c r="N89" s="192"/>
      <c r="O89" s="192"/>
    </row>
    <row r="90" spans="14:15" x14ac:dyDescent="0.3">
      <c r="N90" s="192"/>
      <c r="O90" s="192"/>
    </row>
    <row r="91" spans="14:15" x14ac:dyDescent="0.3">
      <c r="N91" s="192"/>
      <c r="O91" s="192"/>
    </row>
    <row r="92" spans="14:15" x14ac:dyDescent="0.3">
      <c r="N92" s="192"/>
      <c r="O92" s="192"/>
    </row>
    <row r="93" spans="14:15" x14ac:dyDescent="0.3">
      <c r="N93" s="192"/>
      <c r="O93" s="192"/>
    </row>
    <row r="94" spans="14:15" x14ac:dyDescent="0.3">
      <c r="N94" s="192"/>
      <c r="O94" s="192"/>
    </row>
    <row r="95" spans="14:15" x14ac:dyDescent="0.3">
      <c r="N95" s="192"/>
      <c r="O95" s="192"/>
    </row>
    <row r="96" spans="14:15" x14ac:dyDescent="0.3">
      <c r="N96" s="192"/>
      <c r="O96" s="192"/>
    </row>
    <row r="97" spans="2:25" x14ac:dyDescent="0.3">
      <c r="N97" s="192"/>
      <c r="O97" s="192"/>
    </row>
    <row r="98" spans="2:25" x14ac:dyDescent="0.3">
      <c r="N98" s="192"/>
      <c r="O98" s="192"/>
    </row>
    <row r="99" spans="2:25" ht="15" thickBot="1" x14ac:dyDescent="0.35"/>
    <row r="100" spans="2:25" x14ac:dyDescent="0.3">
      <c r="C100" t="str" cm="1">
        <f t="array" ref="C100">_xlfn.IFS(D4="Asset","MD_Asset",D4="Liability","MD_Liability",D4="Equity","MD_Equity")</f>
        <v>MD_Liability</v>
      </c>
      <c r="D100" t="str" cm="1">
        <f t="array" ref="D100">_xlfn.IFS(D4="Asset","BegBalanceSheet_Assets",D4="Liability","BegBalanceSheet_Liabilities",D4="Equity","BegBalanceSheet_Equities")</f>
        <v>BegBalanceSheet_Liabilities</v>
      </c>
      <c r="I100" s="264" t="s">
        <v>369</v>
      </c>
      <c r="J100" s="265" t="s">
        <v>370</v>
      </c>
      <c r="K100" s="265" t="s">
        <v>371</v>
      </c>
      <c r="L100" s="265" t="s">
        <v>372</v>
      </c>
      <c r="M100" s="266" t="s">
        <v>373</v>
      </c>
      <c r="P100" s="40" t="s">
        <v>43</v>
      </c>
      <c r="Q100" s="40" t="s">
        <v>400</v>
      </c>
      <c r="W100" t="str">
        <f>"MD_Asset"</f>
        <v>MD_Asset</v>
      </c>
      <c r="X100" t="str">
        <f>"BegBalanceSheet_Assets"</f>
        <v>BegBalanceSheet_Assets</v>
      </c>
    </row>
    <row r="101" spans="2:25" x14ac:dyDescent="0.3">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ref="I101">_xlfn.IFS(OR(I6=0,I6=""),"",OR(I6&lt;&gt;"",I6&gt;0),I6)</f>
        <v>Asset</v>
      </c>
      <c r="J101" t="str" cm="1">
        <f t="array" ref="J101">_xlfn.IFS(OR(J6=0,J6=""),"",OR(J6&lt;&gt;"",J6&gt;0),J6)</f>
        <v>Cash</v>
      </c>
      <c r="K101" t="str" cm="1">
        <f t="array" ref="K101">_xlfn.IFS(OR(K6=0,K6=""),"",OR(K6&lt;&gt;"",K6&gt;0),K6)</f>
        <v/>
      </c>
      <c r="L101" s="34" cm="1">
        <f t="array" ref="L101">_xlfn.IFS(OR(L6=0,L6=""),"",OR(L6&lt;&gt;"",L6&gt;0),L6)</f>
        <v>100</v>
      </c>
      <c r="M101" s="173" t="str" cm="1">
        <f t="array" ref="M101">_xlfn.IFS(OR(M6=0,M6=""),"",OR(M6&lt;&gt;"",M6&gt;0),M6)</f>
        <v/>
      </c>
      <c r="N101" t="b" cm="1">
        <f t="array" ref="N101">_xlfn.IFNA(_xlfn.IFS(O101="----","",O101&lt;&gt;"----",ISNUMBER(MATCH(O101,$O$123:$O$142,0))),"FALSE")</f>
        <v>1</v>
      </c>
      <c r="O101" t="str">
        <f>_xlfn.TEXTJOIN("-",FALSE,I101:M101)</f>
        <v>Asset-Cash--100-</v>
      </c>
      <c r="P101" t="str" cm="1">
        <f t="array" ref="P101">_xlfn._xlws.FILTER(MD_Revenue[Account Name],MD_Revenue[Used]=1,"")</f>
        <v>Sales</v>
      </c>
      <c r="Q101" s="289">
        <f>SUMIF(Journal[Credit Account],P101,Journal[Cr Amt])-SUMIF(Journal[Debit Account],P101,Journal[Dr Amt])</f>
        <v>0</v>
      </c>
      <c r="R101" s="1" t="s">
        <v>401</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x14ac:dyDescent="0.3">
      <c r="C102" t="str">
        <f>"MD_"&amp;D25</f>
        <v>MD_Revenue</v>
      </c>
      <c r="I102" s="96" t="str" cm="1">
        <f t="array" ref="I102">_xlfn.IFS(OR(I7=0,I7=""),"",OR(I7&lt;&gt;"",I7&gt;0),I7)</f>
        <v>Equity</v>
      </c>
      <c r="J102" t="str" cm="1">
        <f t="array" ref="J102">_xlfn.IFS(OR(J7=0,J7=""),"",OR(J7&lt;&gt;"",J7&gt;0),J7)</f>
        <v/>
      </c>
      <c r="K102" t="str" cm="1">
        <f t="array" ref="K102">_xlfn.IFS(OR(K7=0,K7=""),"",OR(K7&lt;&gt;"",K7&gt;0),K7)</f>
        <v>Common Stock</v>
      </c>
      <c r="L102" s="34" t="str" cm="1">
        <f t="array" ref="L102">_xlfn.IFS(OR(L7=0,L7=""),"",OR(L7&lt;&gt;"",L7&gt;0),L7)</f>
        <v/>
      </c>
      <c r="M102" s="268" cm="1">
        <f t="array" ref="M102">_xlfn.IFS(OR(M7=0,M7=""),"",OR(M7&lt;&gt;"",M7&gt;0),M7)</f>
        <v>100</v>
      </c>
      <c r="N102" t="b" cm="1">
        <f t="array" ref="N102">_xlfn.IFNA(_xlfn.IFS(O102="----","",O102&lt;&gt;"----",ISNUMBER(MATCH(O102,$O$123:$O$142,0))),"FALSE")</f>
        <v>1</v>
      </c>
      <c r="O102" t="str">
        <f t="shared" ref="O102:O120" si="1">_xlfn.TEXTJOIN("-",FALSE,I102:M102)</f>
        <v>Equity--Common Stock--100</v>
      </c>
      <c r="Q102" s="289">
        <f>SUMIF(Journal[Credit Account],P102,Journal[Cr Amt])-SUMIF(Journal[Debit Account],P102,Journal[Dr Amt])</f>
        <v>0</v>
      </c>
      <c r="R102" s="1" t="s">
        <v>401</v>
      </c>
      <c r="W102" t="str">
        <f>"MD_"&amp;X25</f>
        <v>MD_</v>
      </c>
    </row>
    <row r="103" spans="2:25" x14ac:dyDescent="0.3">
      <c r="C103" t="str">
        <f>C102&amp;"[Account Name]"</f>
        <v>MD_Revenue[Account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ref="N103">_xlfn.IFNA(_xlfn.IFS(O103="----","",O103&lt;&gt;"----",ISNUMBER(MATCH(O103,$O$123:$O$142,0))),"FALSE")</f>
        <v/>
      </c>
      <c r="O103" t="str">
        <f t="shared" si="1"/>
        <v>----</v>
      </c>
      <c r="Q103" s="289">
        <f>SUMIF(Journal[Credit Account],P103,Journal[Cr Amt])-SUMIF(Journal[Debit Account],P103,Journal[Dr Amt])</f>
        <v>0</v>
      </c>
      <c r="R103" s="1" t="s">
        <v>401</v>
      </c>
      <c r="W103" t="str">
        <f>W102&amp;"[Account Name]"</f>
        <v>MD_[Account Name]</v>
      </c>
    </row>
    <row r="104" spans="2:25" x14ac:dyDescent="0.3">
      <c r="C104" t="str">
        <f>C102&amp;"[Used]"</f>
        <v>MD_Revenue[Used]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ref="N104">_xlfn.IFNA(_xlfn.IFS(O104="----","",O104&lt;&gt;"----",ISNUMBER(MATCH(O104,$O$123:$O$142,0))),"FALSE")</f>
        <v/>
      </c>
      <c r="O104" t="str">
        <f t="shared" si="1"/>
        <v>----</v>
      </c>
      <c r="Q104" s="289">
        <f>SUMIF(Journal[Credit Account],P104,Journal[Cr Amt])-SUMIF(Journal[Debit Account],P104,Journal[Dr Amt])</f>
        <v>0</v>
      </c>
      <c r="R104" s="1" t="s">
        <v>401</v>
      </c>
      <c r="W104" t="str">
        <f>W102&amp;"[Used]"</f>
        <v>MD_[Used]</v>
      </c>
    </row>
    <row r="105" spans="2:25" x14ac:dyDescent="0.3">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ref="N105">_xlfn.IFNA(_xlfn.IFS(O105="----","",O105&lt;&gt;"----",ISNUMBER(MATCH(O105,$O$123:$O$142,0))),"FALSE")</f>
        <v/>
      </c>
      <c r="O105" t="str">
        <f t="shared" si="1"/>
        <v>----</v>
      </c>
    </row>
    <row r="106" spans="2:25" x14ac:dyDescent="0.3">
      <c r="C106" t="str">
        <f>C100&amp;"[Account Name]"</f>
        <v>MD_Liability[Account Name]</v>
      </c>
      <c r="D106" t="str">
        <f>D100&amp;"[Amount]"</f>
        <v>BegBalanceSheet_Liabilities[Amount]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ref="N106">_xlfn.IFNA(_xlfn.IFS(O106="----","",O106&lt;&gt;"----",ISNUMBER(MATCH(O106,$O$123:$O$142,0))),"FALSE")</f>
        <v/>
      </c>
      <c r="O106" t="str">
        <f t="shared" si="1"/>
        <v>----</v>
      </c>
      <c r="P106" s="40" t="s">
        <v>44</v>
      </c>
      <c r="W106" t="str">
        <f>W100&amp;"[Account Name]"</f>
        <v>MD_Asset[Account Name]</v>
      </c>
      <c r="X106" t="str">
        <f>X100&amp;"[Amount]"</f>
        <v>BegBalanceSheet_Assets[Amount]</v>
      </c>
    </row>
    <row r="107" spans="2:25" x14ac:dyDescent="0.3">
      <c r="C107" t="str">
        <f>C100&amp;"[Used]"</f>
        <v>MD_Liability[Used]</v>
      </c>
      <c r="D107" t="str">
        <f>D100&amp;"[IncreasedBy]"</f>
        <v>BegBalanceSheet_Liabilities[IncreasedBy]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ref="N107">_xlfn.IFNA(_xlfn.IFS(O107="----","",O107&lt;&gt;"----",ISNUMBER(MATCH(O107,$O$123:$O$142,0))),"FALSE")</f>
        <v/>
      </c>
      <c r="O107" t="str">
        <f t="shared" si="1"/>
        <v>----</v>
      </c>
      <c r="P107" t="str" cm="1">
        <f t="array" ref="P107:P112">_xlfn._xlws.FILTER(MD_Expense[Account Name],MD_Expense[Used]=1,"")</f>
        <v>Cost of Goods Sold</v>
      </c>
      <c r="Q107" s="289">
        <f>SUMIF(Journal[Debit Account],P107,Journal[Dr Amt])-SUMIF(Journal[Credit Account],P107,Journal[Cr Amt])</f>
        <v>0</v>
      </c>
      <c r="R107" s="1" t="s">
        <v>402</v>
      </c>
      <c r="W107" t="str">
        <f>W100&amp;"[Used]"</f>
        <v>MD_Asset[Used]</v>
      </c>
      <c r="X107" t="str">
        <f>X100&amp;"[IncreasedBy]"</f>
        <v>BegBalanceSheet_Assets[IncreasedBy]</v>
      </c>
    </row>
    <row r="108" spans="2:25" x14ac:dyDescent="0.3">
      <c r="C108" t="str">
        <f ca="1">_xlfn.XLOOKUP($D$5,$C$109:$C$133,$E$109:$E$133)</f>
        <v>Credit</v>
      </c>
      <c r="D108">
        <f ca="1">_xlfn.XLOOKUP($D$5,$C$109:$C$133,$D$109:$D$133)</f>
        <v>0</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ref="N108">_xlfn.IFNA(_xlfn.IFS(O108="----","",O108&lt;&gt;"----",ISNUMBER(MATCH(O108,$O$123:$O$142,0))),"FALSE")</f>
        <v/>
      </c>
      <c r="O108" t="str">
        <f t="shared" si="1"/>
        <v>----</v>
      </c>
      <c r="P108" t="str">
        <v>Interest Expense</v>
      </c>
      <c r="Q108" s="289">
        <f>SUMIF(Journal[Debit Account],P108,Journal[Dr Amt])-SUMIF(Journal[Credit Account],P108,Journal[Cr Amt])</f>
        <v>0</v>
      </c>
      <c r="R108" s="1" t="s">
        <v>402</v>
      </c>
      <c r="W108" t="str">
        <f ca="1">_xlfn.XLOOKUP("Cash",$W$109:$W$133,$Y$109:$Y$133)</f>
        <v>Debit</v>
      </c>
      <c r="X108">
        <f ca="1">_xlfn.XLOOKUP("Cash",$W$109:$W$133,$X$109:$X$133)</f>
        <v>0</v>
      </c>
    </row>
    <row r="109" spans="2:25" x14ac:dyDescent="0.3">
      <c r="B109">
        <f ca="1">COUNTIF(_xlfn.ANCHORARRAY(C109),D5)</f>
        <v>1</v>
      </c>
      <c r="C109" t="str" cm="1">
        <f t="array" aca="1" ref="C109:C112" ca="1">_xlfn._xlws.FILTER(INDIRECT(C106),INDIRECT(C107)=1,"")</f>
        <v>Accounts Payable</v>
      </c>
      <c r="D109" cm="1">
        <f t="array" aca="1" ref="D109:D130" ca="1">INDIRECT(D106)</f>
        <v>0</v>
      </c>
      <c r="E109" t="str" cm="1">
        <f t="array" aca="1" ref="E109:E130" ca="1">INDIRECT(D107)</f>
        <v>Credit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ref="N109">_xlfn.IFNA(_xlfn.IFS(O109="----","",O109&lt;&gt;"----",ISNUMBER(MATCH(O109,$O$123:$O$142,0))),"FALSE")</f>
        <v/>
      </c>
      <c r="O109" t="str">
        <f t="shared" si="1"/>
        <v>----</v>
      </c>
      <c r="P109" t="str">
        <v>Depreciation Expense</v>
      </c>
      <c r="Q109" s="289">
        <f>SUMIF(Journal[Debit Account],P109,Journal[Dr Amt])-SUMIF(Journal[Credit Account],P109,Journal[Cr Amt])</f>
        <v>0</v>
      </c>
      <c r="R109" s="1" t="s">
        <v>402</v>
      </c>
      <c r="V109">
        <f ca="1">COUNTIF(_xlfn.ANCHORARRAY(W109),X5)</f>
        <v>0</v>
      </c>
      <c r="W109" t="str" cm="1">
        <f t="array" aca="1" ref="W109:W115" ca="1">_xlfn._xlws.FILTER(INDIRECT(W106),INDIRECT(W107)=1,"")</f>
        <v>Cash</v>
      </c>
      <c r="X109" cm="1">
        <f t="array" aca="1" ref="X109:X130" ca="1">INDIRECT(X106)</f>
        <v>0</v>
      </c>
      <c r="Y109" t="str" cm="1">
        <f t="array" aca="1" ref="Y109:Y130" ca="1">INDIRECT(X107)</f>
        <v>Debit</v>
      </c>
    </row>
    <row r="110" spans="2:25" x14ac:dyDescent="0.3">
      <c r="C110" t="str">
        <f ca="1"/>
        <v>Interest Payable</v>
      </c>
      <c r="D110">
        <f ca="1"/>
        <v>0</v>
      </c>
      <c r="E110" t="str">
        <f ca="1"/>
        <v>Credit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ref="N110">_xlfn.IFNA(_xlfn.IFS(O110="----","",O110&lt;&gt;"----",ISNUMBER(MATCH(O110,$O$123:$O$142,0))),"FALSE")</f>
        <v/>
      </c>
      <c r="O110" t="str">
        <f t="shared" si="1"/>
        <v>----</v>
      </c>
      <c r="P110" t="str">
        <v>Rent Expense</v>
      </c>
      <c r="Q110" s="289">
        <f>SUMIF(Journal[Debit Account],P110,Journal[Dr Amt])-SUMIF(Journal[Credit Account],P110,Journal[Cr Amt])</f>
        <v>0</v>
      </c>
      <c r="R110" s="1" t="s">
        <v>402</v>
      </c>
      <c r="W110" t="str">
        <f ca="1"/>
        <v>Accounts Receivable</v>
      </c>
      <c r="X110">
        <f ca="1"/>
        <v>0</v>
      </c>
      <c r="Y110" t="str">
        <f ca="1"/>
        <v>Debit</v>
      </c>
    </row>
    <row r="111" spans="2:25" x14ac:dyDescent="0.3">
      <c r="C111" t="str">
        <f ca="1"/>
        <v>Salaries &amp; Wages Payable</v>
      </c>
      <c r="D111">
        <f ca="1"/>
        <v>0</v>
      </c>
      <c r="E111" t="str">
        <f ca="1"/>
        <v>Credit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ref="N111">_xlfn.IFNA(_xlfn.IFS(O111="----","",O111&lt;&gt;"----",ISNUMBER(MATCH(O111,$O$123:$O$142,0))),"FALSE")</f>
        <v/>
      </c>
      <c r="O111" t="str">
        <f t="shared" si="1"/>
        <v>----</v>
      </c>
      <c r="P111" t="str">
        <v>Bad Debts Expense</v>
      </c>
      <c r="Q111" s="289">
        <f>SUMIF(Journal[Debit Account],P111,Journal[Dr Amt])-SUMIF(Journal[Credit Account],P111,Journal[Cr Amt])</f>
        <v>0</v>
      </c>
      <c r="R111" s="1" t="s">
        <v>402</v>
      </c>
      <c r="W111" t="str">
        <f ca="1"/>
        <v>Marketable Securities</v>
      </c>
      <c r="X111">
        <f ca="1"/>
        <v>0</v>
      </c>
      <c r="Y111" t="str">
        <f ca="1"/>
        <v>Debit</v>
      </c>
    </row>
    <row r="112" spans="2:25" x14ac:dyDescent="0.3">
      <c r="C112" t="str">
        <f ca="1"/>
        <v>Bonds Payable</v>
      </c>
      <c r="D112">
        <f ca="1"/>
        <v>0</v>
      </c>
      <c r="E112" t="str">
        <f ca="1"/>
        <v>Credit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ref="N112">_xlfn.IFNA(_xlfn.IFS(O112="----","",O112&lt;&gt;"----",ISNUMBER(MATCH(O112,$O$123:$O$142,0))),"FALSE")</f>
        <v/>
      </c>
      <c r="O112" t="str">
        <f t="shared" si="1"/>
        <v>----</v>
      </c>
      <c r="P112" t="str">
        <v>Salaries &amp; Wages Expense</v>
      </c>
      <c r="Q112" s="289">
        <f>SUMIF(Journal[Debit Account],P112,Journal[Dr Amt])-SUMIF(Journal[Credit Account],P112,Journal[Cr Amt])</f>
        <v>0</v>
      </c>
      <c r="R112" s="1" t="s">
        <v>402</v>
      </c>
      <c r="W112" t="str">
        <f ca="1"/>
        <v>Inventories</v>
      </c>
      <c r="X112">
        <f ca="1"/>
        <v>0</v>
      </c>
      <c r="Y112" t="str">
        <f ca="1"/>
        <v>Debit</v>
      </c>
    </row>
    <row r="113" spans="4:25" x14ac:dyDescent="0.3">
      <c r="D113">
        <f ca="1"/>
        <v>0</v>
      </c>
      <c r="E113" t="str">
        <f ca="1"/>
        <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ref="N113">_xlfn.IFNA(_xlfn.IFS(O113="----","",O113&lt;&gt;"----",ISNUMBER(MATCH(O113,$O$123:$O$142,0))),"FALSE")</f>
        <v/>
      </c>
      <c r="O113" t="str">
        <f t="shared" si="1"/>
        <v>----</v>
      </c>
      <c r="Q113" s="289">
        <f>SUMIF(Journal[Debit Account],P113,Journal[Dr Amt])-SUMIF(Journal[Credit Account],P113,Journal[Cr Amt])</f>
        <v>0</v>
      </c>
      <c r="R113" s="1" t="s">
        <v>402</v>
      </c>
      <c r="W113" t="str">
        <f ca="1"/>
        <v>Prepaid Rent</v>
      </c>
      <c r="X113">
        <f ca="1"/>
        <v>0</v>
      </c>
      <c r="Y113" t="str">
        <f ca="1"/>
        <v>Debit</v>
      </c>
    </row>
    <row r="114" spans="4:25" x14ac:dyDescent="0.3">
      <c r="D114">
        <f ca="1"/>
        <v>0</v>
      </c>
      <c r="E114" t="str">
        <f ca="1"/>
        <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ref="N114">_xlfn.IFNA(_xlfn.IFS(O114="----","",O114&lt;&gt;"----",ISNUMBER(MATCH(O114,$O$123:$O$142,0))),"FALSE")</f>
        <v/>
      </c>
      <c r="O114" t="str">
        <f t="shared" si="1"/>
        <v>----</v>
      </c>
      <c r="Q114" s="289">
        <f>SUMIF(Journal[Debit Account],P114,Journal[Dr Amt])-SUMIF(Journal[Credit Account],P114,Journal[Cr Amt])</f>
        <v>0</v>
      </c>
      <c r="R114" s="1" t="s">
        <v>402</v>
      </c>
      <c r="W114" t="str">
        <f ca="1"/>
        <v>Property, Plant &amp; Equipment</v>
      </c>
      <c r="X114">
        <f ca="1"/>
        <v>0</v>
      </c>
      <c r="Y114" t="str">
        <f ca="1"/>
        <v>Debit</v>
      </c>
    </row>
    <row r="115" spans="4:25" x14ac:dyDescent="0.3">
      <c r="D115">
        <f ca="1"/>
        <v>0</v>
      </c>
      <c r="E115" t="str">
        <f ca="1"/>
        <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ref="N115">_xlfn.IFNA(_xlfn.IFS(O115="----","",O115&lt;&gt;"----",ISNUMBER(MATCH(O115,$O$123:$O$142,0))),"FALSE")</f>
        <v/>
      </c>
      <c r="O115" t="str">
        <f t="shared" si="1"/>
        <v>----</v>
      </c>
      <c r="Q115" s="289">
        <f>SUMIF(Journal[Debit Account],P115,Journal[Dr Amt])-SUMIF(Journal[Credit Account],P115,Journal[Cr Amt])</f>
        <v>0</v>
      </c>
      <c r="R115" s="1" t="s">
        <v>402</v>
      </c>
      <c r="W115" t="str">
        <f ca="1"/>
        <v>Accumulated Depreciation</v>
      </c>
      <c r="X115">
        <f ca="1"/>
        <v>0</v>
      </c>
      <c r="Y115" t="str">
        <f ca="1"/>
        <v>Credit</v>
      </c>
    </row>
    <row r="116" spans="4:25" x14ac:dyDescent="0.3">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ref="N116">_xlfn.IFNA(_xlfn.IFS(O116="----","",O116&lt;&gt;"----",ISNUMBER(MATCH(O116,$O$123:$O$142,0))),"FALSE")</f>
        <v/>
      </c>
      <c r="O116" t="str">
        <f t="shared" si="1"/>
        <v>----</v>
      </c>
      <c r="Q116" s="289">
        <f>SUMIF(Journal[Debit Account],P116,Journal[Dr Amt])-SUMIF(Journal[Credit Account],P116,Journal[Cr Amt])</f>
        <v>0</v>
      </c>
      <c r="R116" s="1" t="s">
        <v>402</v>
      </c>
      <c r="X116">
        <f ca="1"/>
        <v>0</v>
      </c>
      <c r="Y116" t="str">
        <f ca="1"/>
        <v/>
      </c>
    </row>
    <row r="117" spans="4:25" x14ac:dyDescent="0.3">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ref="N117">_xlfn.IFNA(_xlfn.IFS(O117="----","",O117&lt;&gt;"----",ISNUMBER(MATCH(O117,$O$123:$O$142,0))),"FALSE")</f>
        <v/>
      </c>
      <c r="O117" t="str">
        <f t="shared" si="1"/>
        <v>----</v>
      </c>
      <c r="X117">
        <f ca="1"/>
        <v>0</v>
      </c>
      <c r="Y117" t="str">
        <f ca="1"/>
        <v/>
      </c>
    </row>
    <row r="118" spans="4:25" x14ac:dyDescent="0.3">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ref="N118">_xlfn.IFNA(_xlfn.IFS(O118="----","",O118&lt;&gt;"----",ISNUMBER(MATCH(O118,$O$123:$O$142,0))),"FALSE")</f>
        <v/>
      </c>
      <c r="O118" t="str">
        <f t="shared" si="1"/>
        <v>----</v>
      </c>
      <c r="P118" s="40" t="s">
        <v>45</v>
      </c>
      <c r="X118">
        <f ca="1"/>
        <v>0</v>
      </c>
      <c r="Y118" t="str">
        <f ca="1"/>
        <v/>
      </c>
    </row>
    <row r="119" spans="4:25" x14ac:dyDescent="0.3">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ref="N119">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401</v>
      </c>
      <c r="X119">
        <f ca="1"/>
        <v>0</v>
      </c>
      <c r="Y119" t="str">
        <f ca="1"/>
        <v/>
      </c>
    </row>
    <row r="120" spans="4:25" ht="15" thickBot="1" x14ac:dyDescent="0.35">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ref="N120">_xlfn.IFNA(_xlfn.IFS(O120="----","",O120&lt;&gt;"----",ISNUMBER(MATCH(O120,$O$123:$O$142,0))),"FALSE")</f>
        <v/>
      </c>
      <c r="O120" t="str">
        <f t="shared" si="1"/>
        <v>----</v>
      </c>
      <c r="Q120" s="289">
        <f>SUMIF(Journal[Credit Account],P120,Journal[Cr Amt])-SUMIF(Journal[Debit Account],P120,Journal[Dr Amt])</f>
        <v>0</v>
      </c>
      <c r="R120" s="1" t="s">
        <v>401</v>
      </c>
      <c r="X120">
        <f ca="1"/>
        <v>0</v>
      </c>
      <c r="Y120" t="str">
        <f ca="1"/>
        <v/>
      </c>
    </row>
    <row r="121" spans="4:25" ht="15" thickBot="1" x14ac:dyDescent="0.35">
      <c r="D121">
        <f ca="1"/>
        <v>0</v>
      </c>
      <c r="E121" t="str">
        <f ca="1"/>
        <v/>
      </c>
      <c r="Q121" s="289">
        <f>SUMIF(Journal[Credit Account],P121,Journal[Cr Amt])-SUMIF(Journal[Debit Account],P121,Journal[Dr Amt])</f>
        <v>0</v>
      </c>
      <c r="R121" s="1" t="s">
        <v>401</v>
      </c>
      <c r="X121">
        <f ca="1"/>
        <v>0</v>
      </c>
      <c r="Y121" t="str">
        <f ca="1"/>
        <v/>
      </c>
    </row>
    <row r="122" spans="4:25" x14ac:dyDescent="0.3">
      <c r="D122">
        <f ca="1"/>
        <v>0</v>
      </c>
      <c r="E122" t="str">
        <f ca="1"/>
        <v/>
      </c>
      <c r="I122" s="264"/>
      <c r="J122" s="265"/>
      <c r="K122" s="265"/>
      <c r="L122" s="265"/>
      <c r="M122" s="266"/>
      <c r="Q122" s="289">
        <f>SUMIF(Journal[Credit Account],P122,Journal[Cr Amt])-SUMIF(Journal[Debit Account],P122,Journal[Dr Amt])</f>
        <v>0</v>
      </c>
      <c r="R122" s="1" t="s">
        <v>401</v>
      </c>
      <c r="X122">
        <f ca="1"/>
        <v>0</v>
      </c>
      <c r="Y122" t="str">
        <f ca="1"/>
        <v/>
      </c>
    </row>
    <row r="123" spans="4:25" x14ac:dyDescent="0.3">
      <c r="D123">
        <f ca="1"/>
        <v>0</v>
      </c>
      <c r="E123" t="str">
        <f ca="1"/>
        <v/>
      </c>
      <c r="I123" s="96" t="str" cm="1">
        <f t="array" ref="I123:M124">IFERROR(_xlfn._xlws.FILTER(JournalAnswer[Accnt Type]:JournalAnswer[Cr Amt],JournalAnswer[Transaction '#]=I3,"No Entry Found"),"")</f>
        <v>Asset</v>
      </c>
      <c r="J123" t="str">
        <v>Cash</v>
      </c>
      <c r="K123" t="str">
        <v/>
      </c>
      <c r="L123" s="34">
        <v>100</v>
      </c>
      <c r="M123" s="173" t="str">
        <v/>
      </c>
      <c r="O123" t="str">
        <f t="shared" ref="O123:O142" si="2">_xlfn.TEXTJOIN("-",FALSE,I123:M123)</f>
        <v>Asset-Cash--100-</v>
      </c>
      <c r="Q123" s="289">
        <f>SUMIF(Journal[Credit Account],P123,Journal[Cr Amt])-SUMIF(Journal[Debit Account],P123,Journal[Dr Amt])</f>
        <v>0</v>
      </c>
      <c r="R123" s="1" t="s">
        <v>401</v>
      </c>
      <c r="X123">
        <f ca="1"/>
        <v>0</v>
      </c>
      <c r="Y123" t="str">
        <f ca="1"/>
        <v/>
      </c>
    </row>
    <row r="124" spans="4:25" x14ac:dyDescent="0.3">
      <c r="D124">
        <f ca="1"/>
        <v>0</v>
      </c>
      <c r="E124" t="str">
        <f ca="1"/>
        <v/>
      </c>
      <c r="I124" s="96" t="str">
        <v>Equity</v>
      </c>
      <c r="J124" t="str">
        <v/>
      </c>
      <c r="K124" t="str">
        <v>Common Stock</v>
      </c>
      <c r="L124" s="34" t="str">
        <v/>
      </c>
      <c r="M124" s="268">
        <v>100</v>
      </c>
      <c r="O124" t="str">
        <f t="shared" si="2"/>
        <v>Equity--Common Stock--100</v>
      </c>
      <c r="X124">
        <f ca="1"/>
        <v>0</v>
      </c>
      <c r="Y124" t="str">
        <f ca="1"/>
        <v/>
      </c>
    </row>
    <row r="125" spans="4:25" x14ac:dyDescent="0.3">
      <c r="D125">
        <f ca="1"/>
        <v>0</v>
      </c>
      <c r="E125" t="str">
        <f ca="1"/>
        <v/>
      </c>
      <c r="I125" s="96"/>
      <c r="L125" s="276"/>
      <c r="M125" s="277"/>
      <c r="O125" t="str">
        <f t="shared" si="2"/>
        <v>----</v>
      </c>
      <c r="P125" s="40" t="s">
        <v>46</v>
      </c>
      <c r="X125">
        <f ca="1"/>
        <v>0</v>
      </c>
      <c r="Y125" t="str">
        <f ca="1"/>
        <v/>
      </c>
    </row>
    <row r="126" spans="4:25" x14ac:dyDescent="0.3">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402</v>
      </c>
      <c r="X126">
        <f ca="1"/>
        <v>0</v>
      </c>
      <c r="Y126" t="str">
        <f ca="1"/>
        <v/>
      </c>
    </row>
    <row r="127" spans="4:25" x14ac:dyDescent="0.3">
      <c r="D127">
        <f ca="1"/>
        <v>0</v>
      </c>
      <c r="E127" t="str">
        <f ca="1"/>
        <v/>
      </c>
      <c r="I127" s="96"/>
      <c r="L127" s="271"/>
      <c r="M127" s="173"/>
      <c r="O127" t="str">
        <f t="shared" si="2"/>
        <v>----</v>
      </c>
      <c r="Q127" s="289">
        <f>SUMIF(Journal[Debit Account],P127,Journal[Dr Amt])-SUMIF(Journal[Credit Account],P127,Journal[Cr Amt])</f>
        <v>0</v>
      </c>
      <c r="R127" s="1" t="s">
        <v>402</v>
      </c>
      <c r="X127">
        <f ca="1"/>
        <v>0</v>
      </c>
      <c r="Y127" t="str">
        <f ca="1"/>
        <v/>
      </c>
    </row>
    <row r="128" spans="4:25" x14ac:dyDescent="0.3">
      <c r="D128">
        <f ca="1"/>
        <v>0</v>
      </c>
      <c r="E128" t="str">
        <f ca="1"/>
        <v/>
      </c>
      <c r="I128" s="96"/>
      <c r="L128" s="34"/>
      <c r="M128" s="173"/>
      <c r="O128" t="str">
        <f t="shared" si="2"/>
        <v>----</v>
      </c>
      <c r="Q128" s="289">
        <f>SUMIF(Journal[Debit Account],P128,Journal[Dr Amt])-SUMIF(Journal[Credit Account],P128,Journal[Cr Amt])</f>
        <v>0</v>
      </c>
      <c r="R128" s="1" t="s">
        <v>402</v>
      </c>
      <c r="X128">
        <f ca="1"/>
        <v>0</v>
      </c>
      <c r="Y128" t="str">
        <f ca="1"/>
        <v/>
      </c>
    </row>
    <row r="129" spans="2:25" x14ac:dyDescent="0.3">
      <c r="D129">
        <f ca="1"/>
        <v>0</v>
      </c>
      <c r="E129" t="str">
        <f ca="1"/>
        <v/>
      </c>
      <c r="I129" s="96"/>
      <c r="L129" s="271"/>
      <c r="M129" s="268"/>
      <c r="O129" t="str">
        <f t="shared" si="2"/>
        <v>----</v>
      </c>
      <c r="Q129" s="289">
        <f>SUMIF(Journal[Debit Account],P129,Journal[Dr Amt])-SUMIF(Journal[Credit Account],P129,Journal[Cr Amt])</f>
        <v>0</v>
      </c>
      <c r="R129" s="1" t="s">
        <v>402</v>
      </c>
      <c r="X129">
        <f ca="1"/>
        <v>0</v>
      </c>
      <c r="Y129" t="str">
        <f ca="1"/>
        <v/>
      </c>
    </row>
    <row r="130" spans="2:25" x14ac:dyDescent="0.3">
      <c r="D130">
        <f ca="1"/>
        <v>0</v>
      </c>
      <c r="E130" t="str">
        <f ca="1"/>
        <v/>
      </c>
      <c r="I130" s="96"/>
      <c r="L130" s="34"/>
      <c r="M130" s="268"/>
      <c r="O130" t="str">
        <f t="shared" si="2"/>
        <v>----</v>
      </c>
      <c r="Q130" s="289">
        <f>SUMIF(Journal[Debit Account],P130,Journal[Dr Amt])-SUMIF(Journal[Credit Account],P130,Journal[Cr Amt])</f>
        <v>0</v>
      </c>
      <c r="R130" s="1" t="s">
        <v>402</v>
      </c>
      <c r="X130">
        <f ca="1"/>
        <v>0</v>
      </c>
      <c r="Y130" t="str">
        <f ca="1"/>
        <v/>
      </c>
    </row>
    <row r="131" spans="2:25" x14ac:dyDescent="0.3">
      <c r="I131" s="96"/>
      <c r="L131" s="271"/>
      <c r="M131" s="173"/>
      <c r="O131" t="str">
        <f t="shared" si="2"/>
        <v>----</v>
      </c>
    </row>
    <row r="132" spans="2:25" x14ac:dyDescent="0.3">
      <c r="I132" s="96"/>
      <c r="L132" s="271"/>
      <c r="M132" s="268"/>
      <c r="O132" t="str">
        <f t="shared" si="2"/>
        <v>----</v>
      </c>
      <c r="P132" t="s">
        <v>403</v>
      </c>
      <c r="Q132" s="289">
        <f ca="1">SUMIF(Journal[ref1],"CL",Journal[Dr Amt])-SUMIF(Journal[ref1],"CL",Journal[Cr Amt])</f>
        <v>0</v>
      </c>
    </row>
    <row r="133" spans="2:25" x14ac:dyDescent="0.3">
      <c r="I133" s="96"/>
      <c r="L133" s="271"/>
      <c r="M133" s="173"/>
      <c r="O133" t="str">
        <f t="shared" si="2"/>
        <v>----</v>
      </c>
    </row>
    <row r="134" spans="2:25" x14ac:dyDescent="0.3">
      <c r="B134">
        <f ca="1">COUNTIF(_xlfn.ANCHORARRAY(C134),D26)</f>
        <v>1</v>
      </c>
      <c r="C134" t="str" cm="1">
        <f t="array" aca="1" ref="C134" ca="1">_xlfn._xlws.FILTER(INDIRECT(C103),INDIRECT(C104)=1,"")</f>
        <v>Sales</v>
      </c>
      <c r="I134" s="96"/>
      <c r="L134" s="271"/>
      <c r="M134" s="268"/>
      <c r="O134" t="str">
        <f t="shared" si="2"/>
        <v>----</v>
      </c>
    </row>
    <row r="135" spans="2:25" x14ac:dyDescent="0.3">
      <c r="I135" s="96"/>
      <c r="L135" s="276"/>
      <c r="M135" s="277"/>
      <c r="O135" t="str">
        <f t="shared" si="2"/>
        <v>----</v>
      </c>
    </row>
    <row r="136" spans="2:25" x14ac:dyDescent="0.3">
      <c r="I136" s="102"/>
      <c r="J136" s="6"/>
      <c r="K136" s="6"/>
      <c r="L136" s="276"/>
      <c r="M136" s="277"/>
      <c r="O136" t="str">
        <f t="shared" si="2"/>
        <v>----</v>
      </c>
    </row>
    <row r="137" spans="2:25" x14ac:dyDescent="0.3">
      <c r="I137" s="96"/>
      <c r="L137" s="271"/>
      <c r="M137" s="268"/>
      <c r="O137" t="str">
        <f t="shared" si="2"/>
        <v>----</v>
      </c>
    </row>
    <row r="138" spans="2:25" x14ac:dyDescent="0.3">
      <c r="I138" s="96"/>
      <c r="L138" s="34"/>
      <c r="M138" s="173"/>
      <c r="O138" t="str">
        <f t="shared" si="2"/>
        <v>----</v>
      </c>
    </row>
    <row r="139" spans="2:25" x14ac:dyDescent="0.3">
      <c r="I139" s="96"/>
      <c r="L139" s="34"/>
      <c r="M139" s="173"/>
      <c r="O139" t="str">
        <f t="shared" si="2"/>
        <v>----</v>
      </c>
    </row>
    <row r="140" spans="2:25" x14ac:dyDescent="0.3">
      <c r="I140" s="96"/>
      <c r="L140" s="34"/>
      <c r="M140" s="173"/>
      <c r="O140" t="str">
        <f t="shared" si="2"/>
        <v>----</v>
      </c>
    </row>
    <row r="141" spans="2:25" x14ac:dyDescent="0.3">
      <c r="I141" s="96"/>
      <c r="L141" s="34"/>
      <c r="M141" s="173"/>
      <c r="O141" t="str">
        <f t="shared" si="2"/>
        <v>----</v>
      </c>
    </row>
    <row r="142" spans="2:25" ht="15" thickBot="1" x14ac:dyDescent="0.35">
      <c r="I142" s="98"/>
      <c r="J142" s="283"/>
      <c r="K142" s="283"/>
      <c r="L142" s="284"/>
      <c r="M142" s="285"/>
      <c r="O142" t="str">
        <f t="shared" si="2"/>
        <v>----</v>
      </c>
    </row>
  </sheetData>
  <sheetProtection formatColumns="0"/>
  <conditionalFormatting sqref="B8 E8 B21 E21">
    <cfRule type="expression" dxfId="330" priority="25">
      <formula>$B$109=0</formula>
    </cfRule>
  </conditionalFormatting>
  <conditionalFormatting sqref="B8">
    <cfRule type="expression" dxfId="329" priority="30">
      <formula>ROUND($C$8,2)=0</formula>
    </cfRule>
  </conditionalFormatting>
  <conditionalFormatting sqref="B21">
    <cfRule type="expression" dxfId="328" priority="32">
      <formula>ROUND($C$21,2)=0</formula>
    </cfRule>
  </conditionalFormatting>
  <conditionalFormatting sqref="B38">
    <cfRule type="expression" dxfId="327" priority="12">
      <formula>$B$109=0</formula>
    </cfRule>
    <cfRule type="expression" dxfId="326" priority="13">
      <formula>ROUND($D$21,2)=0</formula>
    </cfRule>
  </conditionalFormatting>
  <conditionalFormatting sqref="B9:E20">
    <cfRule type="expression" dxfId="325" priority="27">
      <formula>$B$109=0</formula>
    </cfRule>
  </conditionalFormatting>
  <conditionalFormatting sqref="B28:E37 C38:D38">
    <cfRule type="expression" dxfId="324" priority="24">
      <formula>$B$134=0</formula>
    </cfRule>
  </conditionalFormatting>
  <conditionalFormatting sqref="C7:D7">
    <cfRule type="expression" dxfId="323" priority="33">
      <formula>$B$109=0</formula>
    </cfRule>
  </conditionalFormatting>
  <conditionalFormatting sqref="C8:D8 C21:D21">
    <cfRule type="expression" dxfId="322" priority="28">
      <formula>$B$109=0</formula>
    </cfRule>
  </conditionalFormatting>
  <conditionalFormatting sqref="D5">
    <cfRule type="expression" dxfId="321" priority="34">
      <formula>$B$109=0</formula>
    </cfRule>
  </conditionalFormatting>
  <conditionalFormatting sqref="D26">
    <cfRule type="expression" dxfId="320" priority="23">
      <formula>$B$134=0</formula>
    </cfRule>
  </conditionalFormatting>
  <conditionalFormatting sqref="E8">
    <cfRule type="expression" dxfId="319" priority="29">
      <formula>ROUND($D$8,2)=0</formula>
    </cfRule>
  </conditionalFormatting>
  <conditionalFormatting sqref="E21">
    <cfRule type="expression" dxfId="318" priority="31">
      <formula>ROUND($D$21,2)=0</formula>
    </cfRule>
  </conditionalFormatting>
  <conditionalFormatting sqref="E38">
    <cfRule type="expression" dxfId="317" priority="14">
      <formula>$B$109=0</formula>
    </cfRule>
    <cfRule type="expression" dxfId="316" priority="15">
      <formula>ROUND($D$21,2)=0</formula>
    </cfRule>
  </conditionalFormatting>
  <conditionalFormatting sqref="H6:H25">
    <cfRule type="expression" dxfId="315" priority="16">
      <formula>$H6="?"</formula>
    </cfRule>
    <cfRule type="containsText" dxfId="314" priority="17" operator="containsText" text="OK">
      <formula>NOT(ISERROR(SEARCH("OK",H6)))</formula>
    </cfRule>
  </conditionalFormatting>
  <conditionalFormatting sqref="I6:M25">
    <cfRule type="expression" dxfId="313" priority="38">
      <formula>$I6&lt;&gt;""</formula>
    </cfRule>
  </conditionalFormatting>
  <conditionalFormatting sqref="I6:M26">
    <cfRule type="cellIs" dxfId="312" priority="39" operator="between">
      <formula>-0.000001</formula>
      <formula>0.000001</formula>
    </cfRule>
  </conditionalFormatting>
  <conditionalFormatting sqref="P3">
    <cfRule type="expression" dxfId="311" priority="22">
      <formula>MAX($Q$6:$Q$50)&lt;0.00001</formula>
    </cfRule>
    <cfRule type="expression" dxfId="310" priority="46">
      <formula>ROUND(SUM(#REF!),2)=0</formula>
    </cfRule>
  </conditionalFormatting>
  <conditionalFormatting sqref="P4">
    <cfRule type="containsText" dxfId="309" priority="21" operator="containsText" text="Doesn't">
      <formula>NOT(ISERROR(SEARCH("Doesn't",P4)))</formula>
    </cfRule>
    <cfRule type="notContainsText" dxfId="308" priority="20" operator="notContains" text="Doesn't">
      <formula>ISERROR(SEARCH("Doesn't",P4))</formula>
    </cfRule>
  </conditionalFormatting>
  <conditionalFormatting sqref="P4:P28">
    <cfRule type="endsWith" dxfId="307" priority="37" operator="endsWith" text="S:">
      <formula>RIGHT(P4,LEN("S:"))="S:"</formula>
    </cfRule>
  </conditionalFormatting>
  <conditionalFormatting sqref="Q5:Q50">
    <cfRule type="expression" dxfId="306" priority="35">
      <formula>AND(NOT(ISBLANK($Q5)),ROUND($Q5,2)&lt;&gt;0)</formula>
    </cfRule>
  </conditionalFormatting>
  <conditionalFormatting sqref="R6:R50">
    <cfRule type="expression" dxfId="305" priority="36">
      <formula>AND(NOT(ISBLANK($Q6)),ROUND($Q6,2)&lt;&gt;0)</formula>
    </cfRule>
  </conditionalFormatting>
  <conditionalFormatting sqref="V5 Y5 V18 Y18">
    <cfRule type="expression" dxfId="304" priority="4">
      <formula>$B$109=0</formula>
    </cfRule>
  </conditionalFormatting>
  <conditionalFormatting sqref="V5">
    <cfRule type="expression" dxfId="303" priority="8">
      <formula>ROUND($C$8,2)=0</formula>
    </cfRule>
  </conditionalFormatting>
  <conditionalFormatting sqref="V18">
    <cfRule type="expression" dxfId="302" priority="10">
      <formula>ROUND($C$21,2)=0</formula>
    </cfRule>
  </conditionalFormatting>
  <conditionalFormatting sqref="V6:Y17">
    <cfRule type="expression" dxfId="301" priority="5">
      <formula>$B$109=0</formula>
    </cfRule>
  </conditionalFormatting>
  <conditionalFormatting sqref="W5:X5 W18:X18">
    <cfRule type="expression" dxfId="300" priority="6">
      <formula>$B$109=0</formula>
    </cfRule>
  </conditionalFormatting>
  <conditionalFormatting sqref="Y5">
    <cfRule type="expression" dxfId="299" priority="7">
      <formula>ROUND($D$8,2)=0</formula>
    </cfRule>
  </conditionalFormatting>
  <conditionalFormatting sqref="Y18">
    <cfRule type="expression" dxfId="298" priority="9">
      <formula>ROUND($D$21,2)=0</formula>
    </cfRule>
  </conditionalFormatting>
  <conditionalFormatting sqref="AC6:AE18">
    <cfRule type="notContainsBlanks" dxfId="297" priority="3">
      <formula>LEN(TRIM(AC6))&gt;0</formula>
    </cfRule>
  </conditionalFormatting>
  <conditionalFormatting sqref="AG6:AG29">
    <cfRule type="expression" dxfId="296" priority="2">
      <formula>$AH6</formula>
    </cfRule>
  </conditionalFormatting>
  <conditionalFormatting sqref="AH6:AH29">
    <cfRule type="expression" dxfId="295" priority="1">
      <formula>ISNUMBER($AG6)</formula>
    </cfRule>
  </conditionalFormatting>
  <dataValidations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topLeftCell="B1" zoomScale="134" zoomScaleNormal="85" workbookViewId="0">
      <selection activeCell="C27" sqref="C27"/>
    </sheetView>
  </sheetViews>
  <sheetFormatPr defaultColWidth="8.5546875" defaultRowHeight="14.4" outlineLevelRow="1" outlineLevelCol="1" x14ac:dyDescent="0.3"/>
  <cols>
    <col min="1" max="1" width="3.77734375" style="155" customWidth="1"/>
    <col min="2" max="2" width="24.21875" style="119" bestFit="1" customWidth="1"/>
    <col min="3" max="4" width="10.77734375" style="119" customWidth="1"/>
    <col min="5" max="5" width="4.21875" style="119" customWidth="1"/>
    <col min="6" max="6" width="10.77734375" style="123" customWidth="1" outlineLevel="1"/>
    <col min="7" max="8" width="10.77734375" style="119" customWidth="1" outlineLevel="1"/>
    <col min="9" max="9" width="10.77734375" style="123" customWidth="1" outlineLevel="1"/>
    <col min="10" max="10" width="3.44140625" style="119" customWidth="1"/>
    <col min="11" max="11" width="10.77734375" style="123" customWidth="1"/>
    <col min="12" max="12" width="10.77734375" style="119" customWidth="1"/>
    <col min="13" max="13" width="11.44140625" style="119" customWidth="1"/>
    <col min="14" max="14" width="15.77734375" style="123" customWidth="1"/>
    <col min="15" max="15" width="7.77734375" style="119" customWidth="1"/>
    <col min="16" max="16" width="10.77734375" style="123" hidden="1" customWidth="1"/>
    <col min="17" max="18" width="10.77734375" style="119" hidden="1" customWidth="1"/>
    <col min="19" max="19" width="10.77734375" style="123" hidden="1" customWidth="1"/>
    <col min="20" max="20" width="4.77734375" style="153" hidden="1" customWidth="1"/>
    <col min="21" max="21" width="11.21875" style="119" hidden="1" customWidth="1"/>
    <col min="22" max="22" width="10.5546875" style="119" hidden="1" customWidth="1"/>
    <col min="23" max="26" width="8.5546875" style="335" hidden="1" customWidth="1"/>
    <col min="27" max="28" width="9.109375" style="155" hidden="1" customWidth="1"/>
    <col min="29" max="30" width="9.77734375" style="155" hidden="1" customWidth="1"/>
    <col min="31" max="31" width="8.5546875" style="335" hidden="1" customWidth="1"/>
    <col min="32" max="32" width="24.109375" style="119" hidden="1" customWidth="1"/>
    <col min="33" max="33" width="8.5546875" style="119" hidden="1" customWidth="1"/>
    <col min="34" max="34" width="24" style="119" hidden="1" customWidth="1"/>
    <col min="35" max="35" width="32.44140625" style="119" hidden="1" customWidth="1"/>
    <col min="36" max="36" width="35.88671875" style="119" hidden="1" customWidth="1"/>
    <col min="37" max="37" width="7.44140625" style="119" hidden="1" customWidth="1"/>
    <col min="38" max="38" width="31.88671875" style="119" hidden="1" customWidth="1"/>
    <col min="39" max="39" width="8.5546875" style="119" hidden="1" customWidth="1"/>
    <col min="40" max="40" width="12.109375" style="119" hidden="1" customWidth="1"/>
    <col min="41" max="41" width="12.88671875" style="119" hidden="1" customWidth="1"/>
    <col min="42" max="42" width="26.77734375" style="119" hidden="1" customWidth="1"/>
    <col min="43" max="56" width="8.5546875" style="119" hidden="1" customWidth="1"/>
    <col min="57" max="57" width="11.5546875" style="119" hidden="1" customWidth="1"/>
    <col min="58" max="58" width="10.5546875" style="119" hidden="1" customWidth="1"/>
    <col min="59" max="59" width="8.5546875" style="119" hidden="1" customWidth="1"/>
    <col min="60" max="60" width="10.5546875" style="119" hidden="1" customWidth="1"/>
    <col min="61" max="73" width="8.5546875" style="119" hidden="1" customWidth="1"/>
    <col min="74" max="74" width="11.21875" style="119" hidden="1" customWidth="1"/>
    <col min="75" max="85" width="8.5546875" style="119" hidden="1" customWidth="1"/>
    <col min="86" max="87" width="8.5546875" style="119" customWidth="1"/>
    <col min="88" max="16384" width="8.5546875" style="119"/>
  </cols>
  <sheetData>
    <row r="1" spans="2:90" x14ac:dyDescent="0.3">
      <c r="B1" s="326" t="s">
        <v>404</v>
      </c>
      <c r="N1" s="570" t="s">
        <v>405</v>
      </c>
      <c r="O1" s="570"/>
      <c r="AA1" s="335"/>
      <c r="AB1" s="335"/>
      <c r="AC1" s="335"/>
      <c r="AD1" s="335"/>
      <c r="AF1" s="335"/>
      <c r="AG1" s="335"/>
      <c r="AH1" s="335"/>
      <c r="AI1" s="335"/>
    </row>
    <row r="2" spans="2:90" ht="15" thickBot="1" x14ac:dyDescent="0.35">
      <c r="B2" s="129"/>
      <c r="C2" s="130" t="s">
        <v>406</v>
      </c>
      <c r="D2" s="130"/>
      <c r="E2" s="621"/>
      <c r="J2" s="624"/>
      <c r="K2" s="130" t="s">
        <v>407</v>
      </c>
      <c r="L2" s="130"/>
      <c r="N2" s="120" t="s">
        <v>408</v>
      </c>
      <c r="O2" s="120" t="s">
        <v>409</v>
      </c>
      <c r="W2" s="335" t="s">
        <v>410</v>
      </c>
      <c r="AA2" s="335"/>
      <c r="AB2" s="335"/>
      <c r="AC2" s="335"/>
      <c r="AD2" s="335"/>
      <c r="AE2" s="339"/>
      <c r="AF2" s="335"/>
      <c r="AG2" s="335"/>
      <c r="AH2" s="335"/>
      <c r="AI2" s="335"/>
    </row>
    <row r="3" spans="2:90" ht="15" thickBot="1" x14ac:dyDescent="0.35">
      <c r="B3" s="131"/>
      <c r="C3" s="132" t="s">
        <v>411</v>
      </c>
      <c r="D3" s="132" t="s">
        <v>412</v>
      </c>
      <c r="E3" s="621"/>
      <c r="J3" s="621"/>
      <c r="K3" s="132" t="s">
        <v>411</v>
      </c>
      <c r="L3" s="132" t="s">
        <v>412</v>
      </c>
      <c r="N3" s="123" t="str" cm="1">
        <f t="array" ref="N3:O3">IF(BE118&lt;&gt;"",_xlfn.UNIQUE(_xlfn.VSTACK(BE118:BF118,_xlfn.ANCHORARRAY(BH118),_xlfn.ANCHORARRAY(BL118))),_xlfn.UNIQUE(_xlfn.VSTACK(_xlfn.ANCHORARRAY(BH118),_xlfn.ANCHORARRAY(BL118))))</f>
        <v/>
      </c>
      <c r="O3" s="123" t="str">
        <v/>
      </c>
      <c r="AA3" s="335"/>
      <c r="AB3" s="335"/>
      <c r="AC3" s="335"/>
      <c r="AD3" s="335"/>
      <c r="AF3" s="335"/>
      <c r="AG3" s="335"/>
      <c r="AH3" s="335"/>
      <c r="AI3" s="335"/>
    </row>
    <row r="4" spans="2:90" ht="18" x14ac:dyDescent="0.35">
      <c r="B4" s="348" t="s">
        <v>413</v>
      </c>
      <c r="C4" s="346">
        <f>_xlfn.IFNA(IF(_xlfn.XLOOKUP(B4,BegBalanceSheet_Assets[Account],BegBalanceSheet_Assets[IncreasedBy])="Debit",_xlfn.XLOOKUP(B4,BegBalanceSheet_Assets[Account],BegBalanceSheet_Assets[Amount]),0),0)</f>
        <v>0</v>
      </c>
      <c r="D4" s="333"/>
      <c r="K4" s="347">
        <f>IF(AC4&gt;0,AC4,0)</f>
        <v>40.050000000000011</v>
      </c>
      <c r="L4" s="331">
        <f>IF(AD4&gt;0,AD4,0)</f>
        <v>0</v>
      </c>
      <c r="O4" s="123"/>
      <c r="P4" s="120"/>
      <c r="Q4" s="627"/>
      <c r="R4" s="628"/>
      <c r="S4" s="120"/>
      <c r="AA4" s="335">
        <f>SUMIF(Journal[Debit Account],B4,Journal[Dr Amt])</f>
        <v>150.05000000000001</v>
      </c>
      <c r="AB4" s="344">
        <f>SUMIF(Journal[Credit Account],B4,Journal[Cr Amt])</f>
        <v>110</v>
      </c>
      <c r="AC4" s="339">
        <f>C4-D4+AA4-AB4</f>
        <v>40.050000000000011</v>
      </c>
      <c r="AD4" s="339">
        <f>D4-C4+AB4-AA4</f>
        <v>-40.050000000000011</v>
      </c>
      <c r="AF4" s="335"/>
      <c r="AG4" s="335"/>
      <c r="AH4" s="335"/>
      <c r="AI4" s="335"/>
    </row>
    <row r="5" spans="2:90" ht="15" thickBot="1" x14ac:dyDescent="0.35">
      <c r="F5" s="130" t="s">
        <v>414</v>
      </c>
      <c r="G5" s="130"/>
      <c r="H5" s="130"/>
      <c r="I5" s="130"/>
      <c r="K5" s="627"/>
      <c r="L5" s="628"/>
      <c r="O5" s="123"/>
      <c r="P5" s="120"/>
      <c r="Q5" s="627"/>
      <c r="R5" s="628"/>
      <c r="S5" s="120"/>
      <c r="AA5" s="335"/>
      <c r="AB5" s="344"/>
      <c r="AC5" s="339"/>
      <c r="AD5" s="339"/>
      <c r="AF5" s="335"/>
      <c r="AG5" s="335"/>
      <c r="AH5" s="335"/>
      <c r="AI5" s="335"/>
    </row>
    <row r="6" spans="2:90" ht="15" outlineLevel="1" thickBot="1" x14ac:dyDescent="0.35">
      <c r="F6" s="133" t="s">
        <v>415</v>
      </c>
      <c r="G6" s="132" t="s">
        <v>411</v>
      </c>
      <c r="H6" s="132" t="s">
        <v>412</v>
      </c>
      <c r="I6" s="133" t="s">
        <v>415</v>
      </c>
      <c r="K6" s="627"/>
      <c r="L6" s="628"/>
      <c r="O6" s="123"/>
      <c r="P6" s="120"/>
      <c r="Q6" s="627"/>
      <c r="R6" s="628"/>
      <c r="S6" s="120"/>
      <c r="AA6" s="335"/>
      <c r="AB6" s="344"/>
      <c r="AC6" s="339"/>
      <c r="AD6" s="339"/>
      <c r="AF6" s="335"/>
      <c r="AG6" s="335"/>
      <c r="AH6" s="335"/>
      <c r="AI6" s="335"/>
    </row>
    <row r="7" spans="2:90" outlineLevel="1" x14ac:dyDescent="0.3">
      <c r="F7" s="592"/>
      <c r="G7" s="606"/>
      <c r="H7" s="607">
        <v>60</v>
      </c>
      <c r="I7" s="592">
        <v>2</v>
      </c>
      <c r="K7" s="627"/>
      <c r="L7" s="628"/>
      <c r="O7" s="123"/>
      <c r="P7" s="120"/>
      <c r="Q7" s="627"/>
      <c r="R7" s="628"/>
      <c r="S7" s="120"/>
      <c r="AA7" s="335"/>
      <c r="AB7" s="344"/>
      <c r="AC7" s="339"/>
      <c r="AD7" s="339"/>
      <c r="AF7" s="335"/>
      <c r="AG7" s="335"/>
      <c r="AH7" s="335"/>
      <c r="AI7" s="335"/>
    </row>
    <row r="8" spans="2:90" outlineLevel="1" x14ac:dyDescent="0.3">
      <c r="F8" s="592"/>
      <c r="G8" s="606"/>
      <c r="H8" s="607">
        <v>25</v>
      </c>
      <c r="I8" s="592">
        <v>5</v>
      </c>
      <c r="K8" s="627"/>
      <c r="L8" s="628"/>
      <c r="O8" s="123"/>
      <c r="P8" s="120"/>
      <c r="Q8" s="627"/>
      <c r="R8" s="628"/>
      <c r="S8" s="120"/>
      <c r="AA8" s="335"/>
      <c r="AB8" s="344"/>
      <c r="AC8" s="339"/>
      <c r="AD8" s="339"/>
      <c r="AF8" s="335"/>
      <c r="AG8" s="335"/>
      <c r="AH8" s="335"/>
      <c r="AI8" s="335"/>
    </row>
    <row r="9" spans="2:90" outlineLevel="1" x14ac:dyDescent="0.3">
      <c r="F9" s="592"/>
      <c r="G9" s="606"/>
      <c r="H9" s="607"/>
      <c r="I9" s="592"/>
      <c r="K9" s="622"/>
      <c r="L9" s="623"/>
      <c r="M9" s="623"/>
      <c r="O9" s="123"/>
      <c r="P9" s="120"/>
      <c r="Q9" s="627"/>
      <c r="R9" s="629"/>
      <c r="S9" s="120"/>
      <c r="T9" s="327"/>
      <c r="AA9" s="335" t="s">
        <v>416</v>
      </c>
      <c r="AB9" s="335" t="s">
        <v>417</v>
      </c>
      <c r="AC9" s="335"/>
      <c r="AD9" s="335"/>
      <c r="AF9" s="335"/>
      <c r="AG9" s="335"/>
      <c r="AH9" s="335"/>
      <c r="AI9" s="335"/>
    </row>
    <row r="10" spans="2:90" outlineLevel="1" x14ac:dyDescent="0.3">
      <c r="B10" s="120"/>
      <c r="F10" s="592"/>
      <c r="G10" s="606"/>
      <c r="H10" s="607"/>
      <c r="I10" s="592"/>
      <c r="K10" s="622"/>
      <c r="L10" s="623"/>
      <c r="M10" s="623"/>
      <c r="O10" s="123"/>
      <c r="Q10" s="627"/>
      <c r="R10" s="624"/>
      <c r="AA10" s="335"/>
      <c r="AB10" s="335"/>
      <c r="AC10" s="335"/>
      <c r="AD10" s="335"/>
      <c r="AF10" s="335"/>
      <c r="AG10" s="335"/>
      <c r="AH10" s="335"/>
      <c r="AI10" s="335"/>
    </row>
    <row r="11" spans="2:90" outlineLevel="1" x14ac:dyDescent="0.3">
      <c r="F11" s="592"/>
      <c r="G11" s="606"/>
      <c r="H11" s="607"/>
      <c r="I11" s="592"/>
      <c r="K11" s="622"/>
      <c r="L11" s="623"/>
      <c r="M11" s="623"/>
      <c r="N11" s="622"/>
      <c r="P11" s="622"/>
      <c r="Q11" s="627"/>
      <c r="R11" s="623"/>
      <c r="S11" s="622"/>
      <c r="AA11" s="335"/>
      <c r="AB11" s="335"/>
      <c r="AC11" s="335"/>
      <c r="AD11" s="335"/>
      <c r="AF11" s="335"/>
      <c r="AG11" s="335"/>
      <c r="AH11" s="335"/>
      <c r="AI11" s="335"/>
    </row>
    <row r="12" spans="2:90" outlineLevel="1" x14ac:dyDescent="0.3">
      <c r="F12" s="593" t="s">
        <v>418</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93" t="s">
        <v>418</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x14ac:dyDescent="0.3">
      <c r="F13" s="326" t="s">
        <v>217</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85</v>
      </c>
      <c r="I13" s="326" t="s">
        <v>217</v>
      </c>
      <c r="K13" s="622"/>
      <c r="L13" s="623"/>
      <c r="M13" s="623"/>
      <c r="N13" s="622"/>
      <c r="P13" s="622"/>
      <c r="Q13" s="623"/>
      <c r="R13" s="623"/>
      <c r="S13" s="622"/>
      <c r="AA13" s="335"/>
      <c r="AB13" s="335"/>
      <c r="AC13" s="335"/>
      <c r="AD13" s="335"/>
      <c r="AF13" s="335"/>
      <c r="AG13" s="335"/>
      <c r="AH13" s="335"/>
      <c r="AI13" s="335"/>
    </row>
    <row r="14" spans="2:90" x14ac:dyDescent="0.3">
      <c r="F14" s="119"/>
      <c r="I14" s="119"/>
      <c r="K14" s="622"/>
      <c r="L14" s="623"/>
      <c r="M14" s="623"/>
      <c r="N14" s="622"/>
      <c r="P14" s="622"/>
      <c r="Q14" s="623"/>
      <c r="R14" s="623"/>
      <c r="S14" s="622"/>
      <c r="AA14" s="335"/>
      <c r="AB14" s="335"/>
      <c r="AC14" s="335"/>
      <c r="AD14" s="335"/>
      <c r="AF14" s="335"/>
      <c r="AG14" s="335"/>
      <c r="AH14" s="335"/>
      <c r="AI14" s="335"/>
    </row>
    <row r="15" spans="2:90" ht="15" thickBot="1" x14ac:dyDescent="0.35">
      <c r="F15" s="130" t="s">
        <v>419</v>
      </c>
      <c r="G15" s="130"/>
      <c r="H15" s="130"/>
      <c r="I15" s="130"/>
      <c r="K15" s="622"/>
      <c r="L15" s="623"/>
      <c r="M15" s="623"/>
      <c r="N15" s="622"/>
      <c r="P15" s="630"/>
      <c r="Q15" s="624"/>
      <c r="R15" s="624"/>
      <c r="S15" s="630"/>
      <c r="AA15" s="335"/>
      <c r="AB15" s="335"/>
      <c r="AC15" s="335"/>
      <c r="AD15" s="335"/>
      <c r="AF15" s="335"/>
      <c r="AG15" s="335"/>
      <c r="AH15" s="335"/>
      <c r="AI15" s="335"/>
    </row>
    <row r="16" spans="2:90" ht="15" outlineLevel="1" thickBot="1" x14ac:dyDescent="0.35">
      <c r="B16" s="120"/>
      <c r="C16" s="123"/>
      <c r="F16" s="133" t="s">
        <v>415</v>
      </c>
      <c r="G16" s="132" t="s">
        <v>411</v>
      </c>
      <c r="H16" s="132" t="s">
        <v>412</v>
      </c>
      <c r="I16" s="133" t="s">
        <v>415</v>
      </c>
      <c r="K16" s="622"/>
      <c r="L16" s="623"/>
      <c r="M16" s="623"/>
      <c r="N16" s="622"/>
      <c r="P16" s="622"/>
      <c r="Q16" s="623"/>
      <c r="R16" s="623"/>
      <c r="S16" s="622"/>
      <c r="AA16" s="335"/>
      <c r="AB16" s="335"/>
      <c r="AC16" s="335"/>
      <c r="AD16" s="335"/>
      <c r="AF16" s="335"/>
      <c r="AG16" s="335"/>
      <c r="AH16" s="335"/>
      <c r="AI16" s="335"/>
    </row>
    <row r="17" spans="2:35" outlineLevel="1" x14ac:dyDescent="0.3">
      <c r="B17" s="120"/>
      <c r="C17" s="123"/>
      <c r="F17" s="592">
        <v>1</v>
      </c>
      <c r="G17" s="606">
        <v>100</v>
      </c>
      <c r="H17" s="607"/>
      <c r="I17" s="592"/>
      <c r="K17" s="622"/>
      <c r="L17" s="623"/>
      <c r="M17" s="623"/>
      <c r="N17" s="622"/>
      <c r="P17" s="622"/>
      <c r="Q17" s="623"/>
      <c r="R17" s="623"/>
      <c r="S17" s="622"/>
      <c r="AA17" s="335"/>
      <c r="AB17" s="335"/>
      <c r="AC17" s="335"/>
      <c r="AD17" s="335"/>
      <c r="AF17" s="335"/>
      <c r="AG17" s="335"/>
      <c r="AH17" s="335"/>
      <c r="AI17" s="335"/>
    </row>
    <row r="18" spans="2:35" outlineLevel="1" x14ac:dyDescent="0.3">
      <c r="B18" s="120"/>
      <c r="C18" s="123"/>
      <c r="F18" s="592">
        <v>6</v>
      </c>
      <c r="G18" s="606">
        <v>20</v>
      </c>
      <c r="H18" s="607"/>
      <c r="I18" s="592"/>
      <c r="K18" s="622"/>
      <c r="L18" s="623"/>
      <c r="M18" s="623"/>
      <c r="N18" s="622"/>
      <c r="P18" s="622"/>
      <c r="Q18" s="623"/>
      <c r="R18" s="623"/>
      <c r="S18" s="622"/>
      <c r="AA18" s="335"/>
      <c r="AB18" s="335"/>
      <c r="AC18" s="335"/>
      <c r="AD18" s="335"/>
      <c r="AF18" s="335"/>
      <c r="AG18" s="335"/>
      <c r="AH18" s="335"/>
      <c r="AI18" s="335"/>
    </row>
    <row r="19" spans="2:35" outlineLevel="1" x14ac:dyDescent="0.3">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outlineLevel="1" x14ac:dyDescent="0.3">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outlineLevel="1" x14ac:dyDescent="0.3">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outlineLevel="1" x14ac:dyDescent="0.3">
      <c r="B22" s="120"/>
      <c r="C22" s="123"/>
      <c r="F22" s="593" t="s">
        <v>418</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593" t="s">
        <v>418</v>
      </c>
      <c r="K22" s="622"/>
      <c r="L22" s="623"/>
      <c r="M22" s="623"/>
      <c r="N22" s="622"/>
      <c r="P22" s="622"/>
      <c r="Q22" s="623"/>
      <c r="R22" s="623"/>
      <c r="S22" s="622"/>
      <c r="AA22" s="335"/>
      <c r="AB22" s="335"/>
      <c r="AC22" s="335"/>
      <c r="AD22" s="335"/>
      <c r="AF22" s="335"/>
      <c r="AG22" s="335"/>
      <c r="AH22" s="335"/>
      <c r="AI22" s="335"/>
    </row>
    <row r="23" spans="2:35" x14ac:dyDescent="0.3">
      <c r="B23" s="120"/>
      <c r="C23" s="123"/>
      <c r="F23" s="326" t="s">
        <v>218</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120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218</v>
      </c>
      <c r="K23" s="622"/>
      <c r="L23" s="623"/>
      <c r="M23" s="623"/>
      <c r="N23" s="622"/>
      <c r="P23" s="622"/>
      <c r="Q23" s="623"/>
      <c r="R23" s="623"/>
      <c r="S23" s="622"/>
      <c r="AA23" s="335"/>
      <c r="AB23" s="335"/>
      <c r="AC23" s="335"/>
      <c r="AD23" s="335"/>
      <c r="AF23" s="335"/>
      <c r="AG23" s="335"/>
      <c r="AH23" s="335"/>
      <c r="AI23" s="335"/>
    </row>
    <row r="24" spans="2:35" x14ac:dyDescent="0.3">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 thickBot="1" x14ac:dyDescent="0.35">
      <c r="B25" s="120"/>
      <c r="C25" s="123"/>
      <c r="F25" s="130" t="s">
        <v>167</v>
      </c>
      <c r="G25" s="130"/>
      <c r="H25" s="130"/>
      <c r="I25" s="130"/>
      <c r="K25" s="622"/>
      <c r="L25" s="623"/>
      <c r="M25" s="623"/>
      <c r="N25" s="622"/>
      <c r="P25" s="622"/>
      <c r="Q25" s="623"/>
      <c r="R25" s="623"/>
      <c r="S25" s="622"/>
      <c r="AA25" s="335"/>
      <c r="AB25" s="335"/>
      <c r="AC25" s="335"/>
      <c r="AD25" s="335"/>
      <c r="AF25" s="335"/>
      <c r="AG25" s="335"/>
      <c r="AH25" s="335"/>
      <c r="AI25" s="335"/>
    </row>
    <row r="26" spans="2:35" ht="15" thickBot="1" x14ac:dyDescent="0.35">
      <c r="B26" s="120"/>
      <c r="C26" s="123"/>
      <c r="F26" s="133" t="s">
        <v>331</v>
      </c>
      <c r="G26" s="132" t="s">
        <v>411</v>
      </c>
      <c r="H26" s="132" t="s">
        <v>412</v>
      </c>
      <c r="I26" s="133" t="s">
        <v>331</v>
      </c>
      <c r="K26" s="622"/>
      <c r="L26" s="623"/>
      <c r="M26" s="623"/>
      <c r="N26" s="622"/>
      <c r="P26" s="622"/>
      <c r="Q26" s="623"/>
      <c r="R26" s="623"/>
      <c r="S26" s="622"/>
      <c r="AA26" s="335"/>
      <c r="AB26" s="335"/>
      <c r="AC26" s="335"/>
      <c r="AD26" s="335"/>
      <c r="AF26" s="335"/>
      <c r="AG26" s="335"/>
      <c r="AH26" s="335"/>
      <c r="AI26" s="335"/>
    </row>
    <row r="27" spans="2:35" x14ac:dyDescent="0.3">
      <c r="B27" s="120"/>
      <c r="C27" s="123"/>
      <c r="F27" s="647" t="s">
        <v>279</v>
      </c>
      <c r="G27" s="610"/>
      <c r="H27" s="611">
        <v>4.2</v>
      </c>
      <c r="I27" s="647" t="s">
        <v>420</v>
      </c>
      <c r="K27" s="622"/>
      <c r="L27" s="623"/>
      <c r="M27" s="623"/>
      <c r="N27" s="622"/>
      <c r="P27" s="622"/>
      <c r="Q27" s="623"/>
      <c r="R27" s="623"/>
      <c r="S27" s="622"/>
      <c r="AA27" s="335"/>
      <c r="AB27" s="335"/>
      <c r="AC27" s="335"/>
      <c r="AD27" s="335"/>
    </row>
    <row r="28" spans="2:35" outlineLevel="1" x14ac:dyDescent="0.3">
      <c r="B28" s="120"/>
      <c r="C28" s="123"/>
      <c r="F28" s="594"/>
      <c r="G28" s="152" t="s">
        <v>166</v>
      </c>
      <c r="H28" s="152"/>
      <c r="I28" s="594"/>
      <c r="K28" s="622"/>
      <c r="L28" s="623"/>
      <c r="M28" s="623"/>
      <c r="N28" s="622"/>
      <c r="P28" s="622"/>
      <c r="Q28" s="623"/>
      <c r="R28" s="623"/>
      <c r="S28" s="622"/>
      <c r="AA28" s="335"/>
      <c r="AB28" s="335"/>
      <c r="AC28" s="335"/>
      <c r="AD28" s="335"/>
    </row>
    <row r="29" spans="2:35" outlineLevel="1" x14ac:dyDescent="0.3">
      <c r="B29" s="120"/>
      <c r="C29" s="123"/>
      <c r="F29" s="592" t="s">
        <v>965</v>
      </c>
      <c r="G29" s="606">
        <v>7.5</v>
      </c>
      <c r="H29" s="607"/>
      <c r="I29" s="592"/>
      <c r="K29" s="622"/>
      <c r="L29" s="623"/>
      <c r="M29" s="623"/>
      <c r="N29" s="622"/>
      <c r="P29" s="622"/>
      <c r="Q29" s="623"/>
      <c r="R29" s="623"/>
      <c r="S29" s="622"/>
      <c r="AA29" s="335"/>
      <c r="AB29" s="335"/>
      <c r="AC29" s="335"/>
      <c r="AD29" s="335"/>
    </row>
    <row r="30" spans="2:35" outlineLevel="1" x14ac:dyDescent="0.3">
      <c r="B30" s="120"/>
      <c r="C30" s="123"/>
      <c r="F30" s="592"/>
      <c r="G30" s="606"/>
      <c r="H30" s="607"/>
      <c r="I30" s="592"/>
      <c r="K30" s="622"/>
      <c r="L30" s="623"/>
      <c r="M30" s="623"/>
      <c r="N30" s="622"/>
      <c r="P30" s="622"/>
      <c r="Q30" s="623"/>
      <c r="R30" s="623"/>
      <c r="S30" s="622"/>
      <c r="AA30" s="335"/>
      <c r="AB30" s="335"/>
      <c r="AC30" s="335"/>
      <c r="AD30" s="335"/>
    </row>
    <row r="31" spans="2:35" outlineLevel="1" x14ac:dyDescent="0.3">
      <c r="B31" s="120"/>
      <c r="C31" s="123"/>
      <c r="F31" s="592"/>
      <c r="G31" s="606"/>
      <c r="H31" s="607"/>
      <c r="I31" s="592"/>
      <c r="K31" s="622"/>
      <c r="L31" s="623"/>
      <c r="M31" s="623"/>
      <c r="N31" s="622"/>
      <c r="P31" s="622"/>
      <c r="Q31" s="623"/>
      <c r="R31" s="623"/>
      <c r="S31" s="622"/>
      <c r="AA31" s="335"/>
      <c r="AB31" s="335"/>
      <c r="AC31" s="335"/>
      <c r="AD31" s="335"/>
    </row>
    <row r="32" spans="2:35" outlineLevel="1" x14ac:dyDescent="0.3">
      <c r="B32" s="120"/>
      <c r="C32" s="123"/>
      <c r="F32" s="592"/>
      <c r="G32" s="606"/>
      <c r="H32" s="607"/>
      <c r="I32" s="592"/>
      <c r="K32" s="622"/>
      <c r="L32" s="623"/>
      <c r="M32" s="623"/>
      <c r="N32" s="622"/>
      <c r="P32" s="622"/>
      <c r="Q32" s="623"/>
      <c r="R32" s="623"/>
      <c r="S32" s="622"/>
      <c r="AA32" s="335"/>
      <c r="AB32" s="335"/>
      <c r="AC32" s="335"/>
      <c r="AD32" s="335"/>
    </row>
    <row r="33" spans="2:30" outlineLevel="1" x14ac:dyDescent="0.3">
      <c r="B33" s="120"/>
      <c r="C33" s="123"/>
      <c r="F33" s="613" t="s">
        <v>421</v>
      </c>
      <c r="G33" s="152"/>
      <c r="H33" s="152"/>
      <c r="I33" s="613"/>
      <c r="K33" s="622"/>
      <c r="L33" s="623"/>
      <c r="M33" s="623"/>
      <c r="N33" s="622"/>
      <c r="P33" s="622"/>
      <c r="Q33" s="623"/>
      <c r="R33" s="623"/>
      <c r="S33" s="622"/>
      <c r="AA33" s="335"/>
      <c r="AB33" s="335"/>
      <c r="AC33" s="335"/>
      <c r="AD33" s="335"/>
    </row>
    <row r="34" spans="2:30" outlineLevel="1" x14ac:dyDescent="0.3">
      <c r="B34" s="120"/>
      <c r="C34" s="123"/>
      <c r="F34" s="592" t="s">
        <v>1284</v>
      </c>
      <c r="G34" s="606">
        <v>1.55</v>
      </c>
      <c r="H34" s="607">
        <v>1</v>
      </c>
      <c r="I34" s="592" t="s">
        <v>1283</v>
      </c>
      <c r="K34" s="622"/>
      <c r="L34" s="623"/>
      <c r="M34" s="623"/>
      <c r="N34" s="622"/>
      <c r="P34" s="622"/>
      <c r="Q34" s="623"/>
      <c r="R34" s="623"/>
      <c r="S34" s="622"/>
      <c r="AA34" s="335"/>
      <c r="AB34" s="335"/>
      <c r="AC34" s="335"/>
      <c r="AD34" s="335"/>
    </row>
    <row r="35" spans="2:30" outlineLevel="1" x14ac:dyDescent="0.3">
      <c r="B35" s="120"/>
      <c r="C35" s="123"/>
      <c r="F35" s="592" t="s">
        <v>1285</v>
      </c>
      <c r="G35" s="606">
        <v>1</v>
      </c>
      <c r="H35" s="607">
        <v>9.8000000000000007</v>
      </c>
      <c r="I35" s="592" t="s">
        <v>1286</v>
      </c>
      <c r="K35" s="622"/>
      <c r="L35" s="623"/>
      <c r="M35" s="623"/>
      <c r="N35" s="622"/>
      <c r="P35" s="622"/>
      <c r="Q35" s="623"/>
      <c r="R35" s="623"/>
      <c r="S35" s="622"/>
      <c r="AA35" s="335"/>
      <c r="AB35" s="335"/>
      <c r="AC35" s="335"/>
      <c r="AD35" s="335"/>
    </row>
    <row r="36" spans="2:30" outlineLevel="1" x14ac:dyDescent="0.3">
      <c r="B36" s="120"/>
      <c r="C36" s="123"/>
      <c r="F36" s="592" t="s">
        <v>1288</v>
      </c>
      <c r="G36" s="606">
        <v>15</v>
      </c>
      <c r="H36" s="607">
        <v>5</v>
      </c>
      <c r="I36" s="592" t="s">
        <v>1287</v>
      </c>
      <c r="K36" s="622"/>
      <c r="L36" s="623"/>
      <c r="M36" s="623"/>
      <c r="N36" s="622"/>
      <c r="P36" s="622"/>
      <c r="Q36" s="623"/>
      <c r="R36" s="623"/>
      <c r="S36" s="622"/>
      <c r="AA36" s="335"/>
      <c r="AB36" s="335"/>
      <c r="AC36" s="335"/>
      <c r="AD36" s="335"/>
    </row>
    <row r="37" spans="2:30" outlineLevel="1" x14ac:dyDescent="0.3">
      <c r="B37" s="120"/>
      <c r="C37" s="123"/>
      <c r="F37" s="592"/>
      <c r="G37" s="606"/>
      <c r="H37" s="607"/>
      <c r="I37" s="592"/>
      <c r="K37" s="622"/>
      <c r="L37" s="623"/>
      <c r="M37" s="623"/>
      <c r="N37" s="622"/>
      <c r="P37" s="622"/>
      <c r="Q37" s="623"/>
      <c r="R37" s="623"/>
      <c r="S37" s="622"/>
      <c r="AA37" s="335"/>
      <c r="AB37" s="335"/>
      <c r="AC37" s="335"/>
      <c r="AD37" s="335"/>
    </row>
    <row r="38" spans="2:30" outlineLevel="1" x14ac:dyDescent="0.3">
      <c r="B38" s="120"/>
      <c r="C38" s="123"/>
      <c r="F38" s="592"/>
      <c r="G38" s="606"/>
      <c r="H38" s="607"/>
      <c r="I38" s="592"/>
      <c r="K38" s="622"/>
      <c r="L38" s="623"/>
      <c r="M38" s="623"/>
      <c r="N38" s="622"/>
      <c r="P38" s="622"/>
      <c r="Q38" s="623"/>
      <c r="R38" s="623"/>
      <c r="S38" s="622"/>
      <c r="AA38" s="335"/>
      <c r="AB38" s="335"/>
      <c r="AC38" s="335"/>
      <c r="AD38" s="335"/>
    </row>
    <row r="39" spans="2:30" outlineLevel="1" x14ac:dyDescent="0.3">
      <c r="B39" s="120"/>
      <c r="C39" s="123"/>
      <c r="F39" s="592"/>
      <c r="G39" s="606"/>
      <c r="H39" s="607"/>
      <c r="I39" s="592"/>
      <c r="K39" s="622"/>
      <c r="L39" s="623"/>
      <c r="M39" s="623"/>
      <c r="N39" s="622"/>
      <c r="P39" s="622"/>
      <c r="Q39" s="623"/>
      <c r="R39" s="623"/>
      <c r="S39" s="622"/>
      <c r="AA39" s="335"/>
      <c r="AB39" s="335"/>
      <c r="AC39" s="335"/>
      <c r="AD39" s="335"/>
    </row>
    <row r="40" spans="2:30" outlineLevel="1" x14ac:dyDescent="0.3">
      <c r="B40" s="120"/>
      <c r="C40" s="123"/>
      <c r="F40" s="592"/>
      <c r="G40" s="606"/>
      <c r="H40" s="607"/>
      <c r="I40" s="592"/>
      <c r="K40" s="622"/>
      <c r="L40" s="623"/>
      <c r="M40" s="623"/>
      <c r="N40" s="622"/>
      <c r="P40" s="622"/>
      <c r="Q40" s="623"/>
      <c r="R40" s="623"/>
      <c r="S40" s="622"/>
      <c r="AA40" s="335"/>
      <c r="AB40" s="335"/>
      <c r="AC40" s="335"/>
      <c r="AD40" s="335"/>
    </row>
    <row r="41" spans="2:30" outlineLevel="1" x14ac:dyDescent="0.3">
      <c r="B41" s="120"/>
      <c r="C41" s="123"/>
      <c r="F41" s="592"/>
      <c r="G41" s="606"/>
      <c r="H41" s="607"/>
      <c r="I41" s="592"/>
      <c r="K41" s="622"/>
      <c r="L41" s="623"/>
      <c r="M41" s="623"/>
      <c r="N41" s="622"/>
      <c r="P41" s="622"/>
      <c r="Q41" s="623"/>
      <c r="R41" s="623"/>
      <c r="S41" s="622"/>
      <c r="AA41" s="335"/>
      <c r="AB41" s="335"/>
      <c r="AC41" s="335"/>
      <c r="AD41" s="335"/>
    </row>
    <row r="42" spans="2:30" outlineLevel="1" x14ac:dyDescent="0.3">
      <c r="B42" s="120"/>
      <c r="C42" s="123"/>
      <c r="F42" s="592"/>
      <c r="G42" s="606"/>
      <c r="H42" s="607"/>
      <c r="I42" s="592"/>
      <c r="K42" s="622"/>
      <c r="L42" s="623"/>
      <c r="M42" s="623"/>
      <c r="N42" s="622"/>
      <c r="P42" s="622"/>
      <c r="Q42" s="623"/>
      <c r="R42" s="623"/>
      <c r="S42" s="622"/>
      <c r="AA42" s="335"/>
      <c r="AB42" s="335"/>
      <c r="AC42" s="335"/>
      <c r="AD42" s="335"/>
    </row>
    <row r="43" spans="2:30" outlineLevel="1" x14ac:dyDescent="0.3">
      <c r="B43" s="120"/>
      <c r="C43" s="123"/>
      <c r="F43" s="592"/>
      <c r="G43" s="606"/>
      <c r="H43" s="607"/>
      <c r="I43" s="592"/>
      <c r="K43" s="622"/>
      <c r="L43" s="623"/>
      <c r="M43" s="623"/>
      <c r="N43" s="622"/>
      <c r="P43" s="622"/>
      <c r="Q43" s="623"/>
      <c r="R43" s="623"/>
      <c r="S43" s="622"/>
      <c r="AA43" s="335"/>
      <c r="AB43" s="335"/>
      <c r="AC43" s="335"/>
      <c r="AD43" s="335"/>
    </row>
    <row r="44" spans="2:30" outlineLevel="1" x14ac:dyDescent="0.3">
      <c r="B44" s="120"/>
      <c r="C44" s="123"/>
      <c r="F44" s="592"/>
      <c r="G44" s="606"/>
      <c r="H44" s="607"/>
      <c r="I44" s="592"/>
      <c r="K44" s="622"/>
      <c r="L44" s="623"/>
      <c r="M44" s="623"/>
      <c r="N44" s="622"/>
      <c r="P44" s="622"/>
      <c r="Q44" s="623"/>
      <c r="R44" s="623"/>
      <c r="S44" s="622"/>
      <c r="AA44" s="335"/>
      <c r="AB44" s="335"/>
      <c r="AC44" s="335"/>
      <c r="AD44" s="335"/>
    </row>
    <row r="45" spans="2:30" outlineLevel="1" x14ac:dyDescent="0.3">
      <c r="B45" s="120"/>
      <c r="C45" s="123"/>
      <c r="F45" s="592"/>
      <c r="G45" s="606"/>
      <c r="H45" s="607"/>
      <c r="I45" s="592"/>
      <c r="K45" s="622"/>
      <c r="L45" s="623"/>
      <c r="M45" s="623"/>
      <c r="N45" s="622"/>
      <c r="P45" s="622"/>
      <c r="Q45" s="623"/>
      <c r="R45" s="623"/>
      <c r="S45" s="622"/>
      <c r="AA45" s="335"/>
      <c r="AB45" s="335"/>
      <c r="AC45" s="335"/>
      <c r="AD45" s="335"/>
    </row>
    <row r="46" spans="2:30" outlineLevel="1" x14ac:dyDescent="0.3">
      <c r="B46" s="120"/>
      <c r="C46" s="123"/>
      <c r="F46" s="592"/>
      <c r="G46" s="606"/>
      <c r="H46" s="607"/>
      <c r="I46" s="592"/>
      <c r="K46" s="622"/>
      <c r="L46" s="623"/>
      <c r="M46" s="623"/>
      <c r="N46" s="622"/>
      <c r="P46" s="622"/>
      <c r="Q46" s="623"/>
      <c r="R46" s="623"/>
      <c r="S46" s="622"/>
      <c r="AA46" s="335"/>
      <c r="AB46" s="335"/>
      <c r="AC46" s="335"/>
      <c r="AD46" s="335"/>
    </row>
    <row r="47" spans="2:30" outlineLevel="1" x14ac:dyDescent="0.3">
      <c r="B47" s="120"/>
      <c r="C47" s="123"/>
      <c r="F47" s="592"/>
      <c r="G47" s="606"/>
      <c r="H47" s="607"/>
      <c r="I47" s="592"/>
      <c r="K47" s="622"/>
      <c r="L47" s="623"/>
      <c r="M47" s="623"/>
      <c r="N47" s="622"/>
      <c r="P47" s="622"/>
      <c r="Q47" s="623"/>
      <c r="R47" s="623"/>
      <c r="S47" s="622"/>
      <c r="AA47" s="335"/>
      <c r="AB47" s="335"/>
      <c r="AC47" s="335"/>
      <c r="AD47" s="335"/>
    </row>
    <row r="48" spans="2:30" outlineLevel="1" x14ac:dyDescent="0.3">
      <c r="B48" s="120"/>
      <c r="C48" s="123"/>
      <c r="F48" s="592"/>
      <c r="G48" s="606"/>
      <c r="H48" s="607"/>
      <c r="I48" s="592"/>
      <c r="K48" s="622"/>
      <c r="L48" s="623"/>
      <c r="M48" s="623"/>
      <c r="N48" s="622"/>
      <c r="P48" s="622"/>
      <c r="Q48" s="623"/>
      <c r="R48" s="623"/>
      <c r="S48" s="622"/>
      <c r="AA48" s="335"/>
      <c r="AB48" s="335"/>
      <c r="AC48" s="335"/>
      <c r="AD48" s="335"/>
    </row>
    <row r="49" spans="1:53" outlineLevel="1" x14ac:dyDescent="0.3">
      <c r="B49" s="120"/>
      <c r="F49" s="593" t="s">
        <v>418</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8.8817841970012523E-16</v>
      </c>
      <c r="I49" s="593" t="s">
        <v>418</v>
      </c>
      <c r="K49" s="622"/>
      <c r="L49" s="623"/>
      <c r="M49" s="623"/>
      <c r="N49" s="622"/>
      <c r="P49" s="622"/>
      <c r="Q49" s="623"/>
      <c r="R49" s="623"/>
      <c r="S49" s="622"/>
      <c r="AA49" s="335"/>
      <c r="AB49" s="335"/>
      <c r="AC49" s="335"/>
      <c r="AD49" s="335"/>
    </row>
    <row r="50" spans="1:53" x14ac:dyDescent="0.3">
      <c r="B50" s="120"/>
      <c r="F50" s="326" t="s">
        <v>216</v>
      </c>
      <c r="G50" s="608">
        <v>5.05</v>
      </c>
      <c r="H50" s="609"/>
      <c r="I50" s="326" t="s">
        <v>216</v>
      </c>
      <c r="K50" s="622"/>
      <c r="L50" s="623"/>
      <c r="M50" s="623"/>
      <c r="N50" s="622"/>
      <c r="P50" s="622"/>
      <c r="Q50" s="623"/>
      <c r="R50" s="623"/>
      <c r="S50" s="622"/>
      <c r="U50" s="332"/>
      <c r="AA50" s="335"/>
      <c r="AB50" s="335"/>
      <c r="AC50" s="335"/>
      <c r="AD50" s="335"/>
    </row>
    <row r="51" spans="1:53" x14ac:dyDescent="0.3">
      <c r="C51" s="120"/>
      <c r="D51" s="120"/>
      <c r="E51" s="621"/>
      <c r="F51" s="120"/>
      <c r="G51" s="120"/>
      <c r="H51" s="120"/>
      <c r="I51" s="120"/>
      <c r="J51" s="327"/>
      <c r="K51" s="120"/>
      <c r="L51" s="120"/>
      <c r="O51" s="625"/>
      <c r="P51" s="120"/>
      <c r="Q51" s="120"/>
      <c r="R51" s="120"/>
      <c r="S51" s="120"/>
    </row>
    <row r="52" spans="1:53" x14ac:dyDescent="0.3">
      <c r="B52" s="336" t="s">
        <v>37</v>
      </c>
      <c r="C52" s="337"/>
      <c r="D52" s="337"/>
      <c r="E52" s="337"/>
      <c r="F52" s="338"/>
      <c r="G52" s="631"/>
      <c r="H52" s="631"/>
      <c r="I52" s="338"/>
      <c r="J52" s="337"/>
      <c r="K52" s="337"/>
      <c r="L52" s="337"/>
    </row>
    <row r="53" spans="1:53" x14ac:dyDescent="0.3">
      <c r="A53" s="155">
        <v>1</v>
      </c>
      <c r="B53" s="154" t="str">
        <f t="shared" ref="B53:B84" ca="1" si="0">_xlfn.IFNA(_xlfn.XLOOKUP(A53,$AE$59:$AE$139,$AF$59:$AF$139,""),"")</f>
        <v>Accounts Receivable</v>
      </c>
      <c r="C53" s="138">
        <f ca="1">_xlfn.IFNA(_xlfn.XLOOKUP(B53,$AF$59:$AF$139,$AN$59:$AN$139,0),0)</f>
        <v>0</v>
      </c>
      <c r="D53" s="139">
        <f ca="1">_xlfn.IFNA(_xlfn.XLOOKUP(B53,$AF$59:$AF$139,$AO$59:$AO$139,0),0)</f>
        <v>0</v>
      </c>
      <c r="F53" s="593" t="s">
        <v>418</v>
      </c>
      <c r="G53" s="334">
        <f ca="1">IF((K53-L53)-(C53-D53)-SUM(G54:G56)+SUM(H54:H56)&gt;0,(K53-L53)-(C53-D53)-SUM(G54:G56)+SUM(H54:H56),0)</f>
        <v>0</v>
      </c>
      <c r="H53" s="330">
        <f ca="1">IF((K53-L53)-(C53-D53)-SUM(G54:G56)+SUM(H54:H56)&lt;0,-((K53-L53)-(C53-D53)-SUM(G54:G56)+SUM(H54:H56)),0)</f>
        <v>0</v>
      </c>
      <c r="I53" s="593" t="s">
        <v>418</v>
      </c>
      <c r="J53" s="153"/>
      <c r="K53" s="138">
        <f ca="1">IF(AC59&gt;0,AC59,0)</f>
        <v>9.8000000000000007</v>
      </c>
      <c r="L53" s="139">
        <f ca="1">IF(AD59&gt;0,AD59,0)</f>
        <v>0</v>
      </c>
      <c r="P53" s="123" t="b">
        <f ca="1">NOT(B53="")</f>
        <v>1</v>
      </c>
      <c r="Q53" s="626"/>
      <c r="R53" s="626"/>
    </row>
    <row r="54" spans="1:53" hidden="1" outlineLevel="1" x14ac:dyDescent="0.3">
      <c r="A54" s="155">
        <v>2</v>
      </c>
      <c r="B54" s="137" t="str">
        <f t="shared" ca="1" si="0"/>
        <v/>
      </c>
      <c r="C54" s="138"/>
      <c r="D54" s="139"/>
      <c r="F54" s="592" t="s">
        <v>1286</v>
      </c>
      <c r="G54" s="140">
        <v>9.8000000000000007</v>
      </c>
      <c r="H54" s="141"/>
      <c r="I54" s="592"/>
      <c r="J54" s="153"/>
      <c r="K54" s="142"/>
      <c r="L54" s="137"/>
      <c r="P54" s="123" t="b">
        <f ca="1">NOT(B53="")</f>
        <v>1</v>
      </c>
      <c r="Q54" s="623"/>
      <c r="R54" s="623"/>
      <c r="S54" s="622"/>
    </row>
    <row r="55" spans="1:53" hidden="1" outlineLevel="1" x14ac:dyDescent="0.3">
      <c r="A55" s="155">
        <v>3</v>
      </c>
      <c r="B55" s="137" t="str">
        <f t="shared" ca="1" si="0"/>
        <v/>
      </c>
      <c r="C55" s="138"/>
      <c r="D55" s="139"/>
      <c r="F55" s="592"/>
      <c r="G55" s="140"/>
      <c r="H55" s="141"/>
      <c r="I55" s="592"/>
      <c r="J55" s="153"/>
      <c r="K55" s="142"/>
      <c r="L55" s="137"/>
      <c r="P55" s="123" t="b">
        <f ca="1">NOT(B53="")</f>
        <v>1</v>
      </c>
      <c r="Q55" s="623"/>
      <c r="R55" s="623"/>
      <c r="S55" s="622"/>
      <c r="AE55" s="335">
        <f>COUNTA(AF59:AF131)+27</f>
        <v>41</v>
      </c>
    </row>
    <row r="56" spans="1:53" hidden="1" outlineLevel="1" x14ac:dyDescent="0.3">
      <c r="A56" s="155">
        <v>4</v>
      </c>
      <c r="B56" s="143" t="str">
        <f t="shared" ca="1" si="0"/>
        <v/>
      </c>
      <c r="C56" s="144"/>
      <c r="D56" s="145"/>
      <c r="F56" s="592"/>
      <c r="G56" s="146"/>
      <c r="H56" s="147"/>
      <c r="I56" s="592"/>
      <c r="J56" s="153"/>
      <c r="K56" s="148"/>
      <c r="L56" s="143"/>
      <c r="P56" s="123" t="b">
        <f ca="1">NOT(B53="")</f>
        <v>1</v>
      </c>
      <c r="Q56" s="623"/>
      <c r="R56" s="623"/>
      <c r="S56" s="622"/>
    </row>
    <row r="57" spans="1:53" collapsed="1" x14ac:dyDescent="0.3">
      <c r="A57" s="155">
        <v>5</v>
      </c>
      <c r="B57" s="134" t="str">
        <f t="shared" ca="1" si="0"/>
        <v>Marketable Securities</v>
      </c>
      <c r="C57" s="135">
        <f ca="1">_xlfn.IFNA(_xlfn.XLOOKUP(B57,$AF$59:$AF$139,$AN$59:$AN$139,0),0)</f>
        <v>0</v>
      </c>
      <c r="D57" s="136">
        <f ca="1">_xlfn.IFNA(_xlfn.XLOOKUP(B57,$AF$59:$AF$139,$AO$59:$AO$139,0),"")</f>
        <v>0</v>
      </c>
      <c r="F57" s="593" t="s">
        <v>418</v>
      </c>
      <c r="G57" s="334">
        <f ca="1">IF((K57-L57)-(C57-D57)-SUM(G58:G60)+SUM(H58:H60)&gt;0,(K57-L57)-(C57-D57)-SUM(G58:G60)+SUM(H58:H60),0)</f>
        <v>0</v>
      </c>
      <c r="H57" s="330">
        <f ca="1">IF((K57-L57)-(C57-D57)-SUM(G58:G60)+SUM(H58:H60)&lt;0,-((K57-L57)-(C57-D57)-SUM(G58:G60)+SUM(H58:H60)),0)</f>
        <v>0</v>
      </c>
      <c r="I57" s="593" t="s">
        <v>418</v>
      </c>
      <c r="J57" s="153"/>
      <c r="K57" s="135">
        <f ca="1">IF(AC63&gt;0,AC63,0)</f>
        <v>25</v>
      </c>
      <c r="L57" s="136">
        <f ca="1">IF(AD63&gt;0,AD63,0)</f>
        <v>0</v>
      </c>
      <c r="P57" s="123" t="b">
        <f ca="1">NOT(B57="")</f>
        <v>1</v>
      </c>
      <c r="Q57" s="626"/>
      <c r="R57" s="626"/>
      <c r="AE57" s="335" t="str">
        <f>"AC28:AC"&amp;AE55</f>
        <v>AC28:AC41</v>
      </c>
      <c r="AF57" s="335"/>
    </row>
    <row r="58" spans="1:53" ht="15" hidden="1" outlineLevel="1" thickBot="1" x14ac:dyDescent="0.35">
      <c r="A58" s="155">
        <v>6</v>
      </c>
      <c r="B58" s="137" t="str">
        <f t="shared" ca="1" si="0"/>
        <v/>
      </c>
      <c r="C58" s="138"/>
      <c r="D58" s="139"/>
      <c r="F58" s="592">
        <v>5</v>
      </c>
      <c r="G58" s="140">
        <v>25</v>
      </c>
      <c r="H58" s="141"/>
      <c r="I58" s="592"/>
      <c r="J58" s="153"/>
      <c r="K58" s="142"/>
      <c r="L58" s="137"/>
      <c r="P58" s="123" t="b">
        <f ca="1">NOT(B57="")</f>
        <v>1</v>
      </c>
      <c r="Q58" s="623"/>
      <c r="R58" s="623"/>
      <c r="S58" s="622"/>
      <c r="AE58" s="335">
        <v>0</v>
      </c>
      <c r="AF58" s="119" t="str" cm="1">
        <f t="array" ref="AF58:AF72">_xlfn.VSTACK("Assets",_xlfn._xlws.FILTER(MD_Asset[Account Name],(MD_Asset[Used]=1)*(MD_Asset[Abbr]&lt;&gt;"CSH"),""),"Liabilities",_xlfn._xlws.FILTER(MD_Liability[Account Name],MD_Liability[Used]=1,""),"Equities",_xlfn._xlws.FILTER(MD_Equity[Account Name],MD_Equity[Used]=1))</f>
        <v>Assets</v>
      </c>
      <c r="AK58" s="341"/>
      <c r="AL58" s="341"/>
      <c r="AN58" s="119" t="s">
        <v>422</v>
      </c>
      <c r="AO58" s="119" t="s">
        <v>423</v>
      </c>
      <c r="AQ58" s="119" t="s">
        <v>424</v>
      </c>
      <c r="AT58" s="119" t="s">
        <v>425</v>
      </c>
      <c r="AX58" s="119" t="s">
        <v>426</v>
      </c>
    </row>
    <row r="59" spans="1:53" hidden="1" outlineLevel="1" x14ac:dyDescent="0.3">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40</v>
      </c>
      <c r="AB59" s="344">
        <f ca="1">SUMIF(Journal[Credit Account],B53,Journal[Cr Amt])</f>
        <v>30.2</v>
      </c>
      <c r="AC59" s="339">
        <f ca="1">C53-D53+AA59-AB59</f>
        <v>9.8000000000000007</v>
      </c>
      <c r="AD59" s="339">
        <f ca="1">D53-C53+AB59-AA59</f>
        <v>-9.8000000000000007</v>
      </c>
      <c r="AE59" s="335" cm="1">
        <f t="array" aca="1" ref="AE59:AE72"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0</v>
      </c>
      <c r="AN59" s="342" cm="1">
        <f t="array" aca="1" ref="AN59" ca="1">_xlfn.IFNA(_xlfn.IFS(AND(AG59="Assets",AK59="Debit",AM59&gt;0),AM59,AND(AG59="Equities",AM59&lt;0),-AM59),0)</f>
        <v>0</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x14ac:dyDescent="0.3">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Marketable Securities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0</v>
      </c>
      <c r="AN60" s="119" cm="1">
        <f t="array" aca="1" ref="AN60" ca="1">_xlfn.IFNA(_xlfn.IFS(AND(AG60="Assets",AK60="Debit",AM60&gt;0),AM60,AND(AG60="Equities",AM60&lt;0),-AM60),0)</f>
        <v>0</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MS</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x14ac:dyDescent="0.3">
      <c r="A61" s="155">
        <v>9</v>
      </c>
      <c r="B61" s="134" t="str">
        <f t="shared" ca="1" si="0"/>
        <v>Inventories</v>
      </c>
      <c r="C61" s="135">
        <f ca="1">_xlfn.IFNA(_xlfn.XLOOKUP(B61,$AF$59:$AF$139,$AN$59:$AN$139,0),0)</f>
        <v>0</v>
      </c>
      <c r="D61" s="136">
        <f ca="1">_xlfn.IFNA(_xlfn.XLOOKUP(B61,$AF$59:$AF$139,$AO$59:$AO$139,0),"")</f>
        <v>0</v>
      </c>
      <c r="F61" s="593" t="s">
        <v>418</v>
      </c>
      <c r="G61" s="334">
        <f ca="1">IF((K61-L61)-(C61-D61)-SUM(G62:G64)+SUM(H62:H64)&gt;0,(K61-L61)-(C61-D61)-SUM(G62:G64)+SUM(H62:H64),0)</f>
        <v>0</v>
      </c>
      <c r="H61" s="330">
        <f ca="1">IF((K61-L61)-(C61-D61)-SUM(G62:G64)+SUM(H62:H64)&lt;0,-((K61-L61)-(C61-D61)-SUM(G62:G64)+SUM(H62:H64)),0)</f>
        <v>0</v>
      </c>
      <c r="I61" s="593" t="s">
        <v>418</v>
      </c>
      <c r="J61" s="153"/>
      <c r="K61" s="135">
        <f ca="1">IF(AC67&gt;0,AC67,0)</f>
        <v>5</v>
      </c>
      <c r="L61" s="136">
        <f ca="1">IF(AD67&gt;0,AD67,0)</f>
        <v>0</v>
      </c>
      <c r="P61" s="123" t="b">
        <f ca="1">NOT(B61="")</f>
        <v>1</v>
      </c>
      <c r="Q61" s="626"/>
      <c r="R61" s="626"/>
      <c r="W61" s="340">
        <f ca="1">IF(B53&lt;&gt;"",1,0)</f>
        <v>1</v>
      </c>
      <c r="X61" s="340"/>
      <c r="Y61" s="340"/>
      <c r="Z61" s="340"/>
      <c r="AA61" s="344"/>
      <c r="AB61" s="344"/>
      <c r="AC61" s="339"/>
      <c r="AD61" s="339"/>
      <c r="AE61" s="335">
        <f ca="1"/>
        <v>9</v>
      </c>
      <c r="AF61" s="121" t="str">
        <v>Inventories</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0</v>
      </c>
      <c r="AN61" s="119" cm="1">
        <f t="array" aca="1" ref="AN61" ca="1">_xlfn.IFNA(_xlfn.IFS(AND(AG61="Assets",AK61="Debit",AM61&gt;0),AM61,AND(AG61="Equities",AM61&lt;0),-AM61),0)</f>
        <v>0</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Inv</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x14ac:dyDescent="0.3">
      <c r="A62" s="155">
        <v>10</v>
      </c>
      <c r="B62" s="137" t="str">
        <f t="shared" ca="1" si="0"/>
        <v/>
      </c>
      <c r="C62" s="138"/>
      <c r="D62" s="139"/>
      <c r="F62" s="592" t="s">
        <v>1287</v>
      </c>
      <c r="G62" s="140">
        <v>5</v>
      </c>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Prepaid Rent</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0</v>
      </c>
      <c r="AN62" s="119" cm="1">
        <f t="array" aca="1" ref="AN62" ca="1">_xlfn.IFNA(_xlfn.IFS(AND(AG62="Assets",AK62="Debit",AM62&gt;0),AM62,AND(AG62="Equities",AM62&lt;0),-AM62),0)</f>
        <v>0</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PrePR</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x14ac:dyDescent="0.3">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25</v>
      </c>
      <c r="AB63" s="344">
        <f ca="1">SUMIF(Journal[Credit Account],B57,Journal[Cr Amt])</f>
        <v>0</v>
      </c>
      <c r="AC63" s="339">
        <f ca="1">C57-D57+AA63-AB63</f>
        <v>25</v>
      </c>
      <c r="AD63" s="339">
        <f ca="1">D57-C57+AB63-AA63</f>
        <v>-25</v>
      </c>
      <c r="AE63" s="335">
        <f ca="1"/>
        <v>17</v>
      </c>
      <c r="AF63" s="121" t="str">
        <v>Property, Plant &amp; Equipment</v>
      </c>
      <c r="AG63" s="119" t="str" cm="1">
        <f t="array" ref="AG63">_xlfn.IFNA(_xlfn.IFS(ISNUMBER(MATCH(AF63,MD_Asset[Account Name],0)),"Assets",ISNUMBER(MATCH(AF63,MD_Liability[Account Name],0)),"Liabilities",ISNUMBER(MATCH(AF63,MD_Equity[Account Name],0)),"Equities"),"")</f>
        <v>Assets</v>
      </c>
      <c r="AH63" s="119" t="str">
        <f t="shared" si="1"/>
        <v>BegBalanceSheet_Assets</v>
      </c>
      <c r="AI63" s="119" t="str">
        <f t="shared" si="2"/>
        <v>BegBalanceSheet_Assets[Account]</v>
      </c>
      <c r="AJ63" s="119" t="str">
        <f t="shared" si="3"/>
        <v>BegBalanceSheet_Assets[IncreasedBy]</v>
      </c>
      <c r="AK63" s="119" t="str" cm="1">
        <f t="array" aca="1" ref="AK63" ca="1">IFERROR(_xlfn.XLOOKUP(AF63,INDIRECT(AI63),INDIRECT(AJ63),""),"")</f>
        <v>Debit</v>
      </c>
      <c r="AL63" s="119" t="str">
        <f t="shared" si="4"/>
        <v>BegBalanceSheet_Assets[Amount]</v>
      </c>
      <c r="AM63" s="119" cm="1">
        <f t="array" aca="1" ref="AM63" ca="1">IF(AG63&lt;&gt;"",_xlfn.XLOOKUP(AF63,INDIRECT(AI63),INDIRECT(AL63)),"")</f>
        <v>0</v>
      </c>
      <c r="AN63" s="119" cm="1">
        <f t="array" aca="1" ref="AN63" ca="1">_xlfn.IFNA(_xlfn.IFS(AND(AG63="Assets",AK63="Debit",AM63&gt;0),AM63,AND(AG63="Equities",AM63&lt;0),-AM63),0)</f>
        <v>0</v>
      </c>
      <c r="AO63" s="122" cm="1">
        <f t="array" aca="1" ref="AO63" ca="1">_xlfn.IFNA(_xlfn.IFS(AND(AG63="Assets",AK63="Credit",AM63&lt;0),-AM63,AND(AG63="Equities",AM63&gt;0),AM63,AG63="Liabilities",AM63),0)</f>
        <v>0</v>
      </c>
      <c r="AP63" s="119" t="str">
        <f t="shared" si="5"/>
        <v>BegBalanceSheet_Assets[Abbr]</v>
      </c>
      <c r="AQ63" s="119" t="str" cm="1">
        <f t="array" aca="1" ref="AQ63" ca="1">IF(AP63&lt;&gt;"",_xlfn.XLOOKUP(AF63,INDIRECT(AI63),INDIRECT(AP63),""),"")</f>
        <v>PPE</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x14ac:dyDescent="0.3">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Accumulated Depreciation</v>
      </c>
      <c r="AG64" s="119" t="str" cm="1">
        <f t="array" ref="AG64">_xlfn.IFNA(_xlfn.IFS(ISNUMBER(MATCH(AF64,MD_Asset[Account Name],0)),"Assets",ISNUMBER(MATCH(AF64,MD_Liability[Account Name],0)),"Liabilities",ISNUMBER(MATCH(AF64,MD_Equity[Account Name],0)),"Equities"),"")</f>
        <v>Assets</v>
      </c>
      <c r="AH64" s="119" t="str">
        <f t="shared" si="1"/>
        <v>BegBalanceSheet_Assets</v>
      </c>
      <c r="AI64" s="119" t="str">
        <f t="shared" si="2"/>
        <v>BegBalanceSheet_Assets[Account]</v>
      </c>
      <c r="AJ64" s="119" t="str">
        <f t="shared" si="3"/>
        <v>BegBalanceSheet_Assets[IncreasedBy]</v>
      </c>
      <c r="AK64" s="119" t="str" cm="1">
        <f t="array" aca="1" ref="AK64" ca="1">IFERROR(_xlfn.XLOOKUP(AF64,INDIRECT(AI64),INDIRECT(AJ64),""),"")</f>
        <v>Credit</v>
      </c>
      <c r="AL64" s="119" t="str">
        <f t="shared" si="4"/>
        <v>BegBalanceSheet_Assets[Amount]</v>
      </c>
      <c r="AM64" s="119" cm="1">
        <f t="array" aca="1" ref="AM64" ca="1">IF(AG64&lt;&gt;"",_xlfn.XLOOKUP(AF64,INDIRECT(AI64),INDIRECT(AL64)),"")</f>
        <v>0</v>
      </c>
      <c r="AN64" s="119" cm="1">
        <f t="array" aca="1" ref="AN64" ca="1">_xlfn.IFNA(_xlfn.IFS(AND(AG64="Assets",AK64="Debit",AM64&gt;0),AM64,AND(AG64="Equities",AM64&lt;0),-AM64),0)</f>
        <v>0</v>
      </c>
      <c r="AO64" s="122" cm="1">
        <f t="array" aca="1" ref="AO64" ca="1">_xlfn.IFNA(_xlfn.IFS(AND(AG64="Assets",AK64="Credit",AM64&lt;0),-AM64,AND(AG64="Equities",AM64&gt;0),AM64,AG64="Liabilities",AM64),0)</f>
        <v>0</v>
      </c>
      <c r="AP64" s="119" t="str">
        <f t="shared" si="5"/>
        <v>BegBalanceSheet_Assets[Abbr]</v>
      </c>
      <c r="AQ64" s="119" t="str" cm="1">
        <f t="array" aca="1" ref="AQ64" ca="1">IF(AP64&lt;&gt;"",_xlfn.XLOOKUP(AF64,INDIRECT(AI64),INDIRECT(AP64),""),"")</f>
        <v>AccDepr</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x14ac:dyDescent="0.3">
      <c r="A65" s="155">
        <v>13</v>
      </c>
      <c r="B65" s="134" t="str">
        <f t="shared" ca="1" si="0"/>
        <v>Prepaid Rent</v>
      </c>
      <c r="C65" s="135">
        <f ca="1">_xlfn.IFNA(_xlfn.XLOOKUP(B65,$AF$59:$AF$139,$AN$59:$AN$139,0),0)</f>
        <v>0</v>
      </c>
      <c r="D65" s="136">
        <f ca="1">_xlfn.IFNA(_xlfn.XLOOKUP(B65,$AF$59:$AF$139,$AO$59:$AO$139,0),"")</f>
        <v>0</v>
      </c>
      <c r="F65" s="593" t="s">
        <v>418</v>
      </c>
      <c r="G65" s="334">
        <f ca="1">IF((K65-L65)-(C65-D65)-SUM(G66:G68)+SUM(H66:H68)&gt;0,(K65-L65)-(C65-D65)-SUM(G66:G68)+SUM(H66:H68),0)</f>
        <v>0</v>
      </c>
      <c r="H65" s="330">
        <f ca="1">IF((K65-L65)-(C65-D65)-SUM(G66:G68)+SUM(H66:H68)&lt;0,-((K65-L65)-(C65-D65)-SUM(G66:G68)+SUM(H66:H68)),0)</f>
        <v>0</v>
      </c>
      <c r="I65" s="593" t="s">
        <v>418</v>
      </c>
      <c r="J65" s="153"/>
      <c r="K65" s="135">
        <f ca="1">IF(AC71&gt;0,AC71,0)</f>
        <v>1</v>
      </c>
      <c r="L65" s="136">
        <f ca="1">IF(AD71&gt;0,AD71,0)</f>
        <v>0</v>
      </c>
      <c r="P65" s="123" t="b">
        <f ca="1">NOT(B65="")</f>
        <v>1</v>
      </c>
      <c r="Q65" s="626"/>
      <c r="R65" s="626"/>
      <c r="W65" s="340">
        <f ca="1">IF(B57&lt;&gt;"",1,0)</f>
        <v>1</v>
      </c>
      <c r="X65" s="340"/>
      <c r="Y65" s="340"/>
      <c r="Z65" s="340"/>
      <c r="AA65" s="344"/>
      <c r="AB65" s="344"/>
      <c r="AC65" s="339"/>
      <c r="AD65" s="339"/>
      <c r="AE65" s="335">
        <f ca="1"/>
        <v>25</v>
      </c>
      <c r="AF65" s="121" t="str">
        <v>Liabilities</v>
      </c>
      <c r="AG65" s="119" t="str" cm="1">
        <f t="array" ref="AG65">_xlfn.IFNA(_xlfn.IFS(ISNUMBER(MATCH(AF65,MD_Asset[Account Name],0)),"Assets",ISNUMBER(MATCH(AF65,MD_Liability[Account Name],0)),"Liabilities",ISNUMBER(MATCH(AF65,MD_Equity[Account Name],0)),"Equities"),"")</f>
        <v/>
      </c>
      <c r="AH65" s="119" t="str">
        <f t="shared" si="1"/>
        <v/>
      </c>
      <c r="AI65" s="119" t="str">
        <f t="shared" si="2"/>
        <v/>
      </c>
      <c r="AJ65" s="119" t="str">
        <f t="shared" si="3"/>
        <v/>
      </c>
      <c r="AK65" s="119" t="str" cm="1">
        <f t="array" aca="1" ref="AK65" ca="1">IFERROR(_xlfn.XLOOKUP(AF65,INDIRECT(AI65),INDIRECT(AJ65),""),"")</f>
        <v/>
      </c>
      <c r="AL65" s="119" t="str">
        <f t="shared" si="4"/>
        <v/>
      </c>
      <c r="AM65" s="119" t="str" cm="1">
        <f t="array" aca="1" ref="AM65" ca="1">IF(AG65&lt;&gt;"",_xlfn.XLOOKUP(AF65,INDIRECT(AI65),INDIRECT(AL65)),"")</f>
        <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
      </c>
      <c r="AQ65" s="119" t="str" cm="1">
        <f t="array" aca="1" ref="AQ65" ca="1">IF(AP65&lt;&gt;"",_xlfn.XLOOKUP(AF65,INDIRECT(AI65),INDIRECT(AP65),""),"")</f>
        <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x14ac:dyDescent="0.3">
      <c r="A66" s="155">
        <v>14</v>
      </c>
      <c r="B66" s="137" t="str">
        <f t="shared" ca="1" si="0"/>
        <v/>
      </c>
      <c r="C66" s="138"/>
      <c r="D66" s="139"/>
      <c r="F66" s="592" t="s">
        <v>1283</v>
      </c>
      <c r="G66" s="140">
        <v>1</v>
      </c>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Accounts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0</v>
      </c>
      <c r="AN66" s="119" cm="1">
        <f t="array" aca="1" ref="AN66" ca="1">_xlfn.IFNA(_xlfn.IFS(AND(AG66="Assets",AK66="Debit",AM66&gt;0),AM66,AND(AG66="Equities",AM66&lt;0),-AM66),0)</f>
        <v>0</v>
      </c>
      <c r="AO66" s="122" cm="1">
        <f t="array" aca="1" ref="AO66" ca="1">_xlfn.IFNA(_xlfn.IFS(AND(AG66="Assets",AK66="Credit",AM66&lt;0),-AM66,AND(AG66="Equities",AM66&gt;0),AM66,AG66="Liabilities",AM66),0)</f>
        <v>0</v>
      </c>
      <c r="AP66" s="119" t="str">
        <f t="shared" si="5"/>
        <v>BegBalanceSheet_Liabilities[Abbr]</v>
      </c>
      <c r="AQ66" s="119" t="str" cm="1">
        <f t="array" aca="1" ref="AQ66" ca="1">IF(AP66&lt;&gt;"",_xlfn.XLOOKUP(AF66,INDIRECT(AI66),INDIRECT(AP66),""),"")</f>
        <v>AP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x14ac:dyDescent="0.3">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30</v>
      </c>
      <c r="AB67" s="344">
        <f ca="1">SUMIF(Journal[Credit Account],B61,Journal[Cr Amt])</f>
        <v>25</v>
      </c>
      <c r="AC67" s="339">
        <f ca="1">C61-D61+AA67-AB67</f>
        <v>5</v>
      </c>
      <c r="AD67" s="339">
        <f ca="1">D61-C61+AB67-AA67</f>
        <v>-5</v>
      </c>
      <c r="AE67" s="335">
        <f ca="1"/>
        <v>33</v>
      </c>
      <c r="AF67" s="121" t="str">
        <v>Interest Payable</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0</v>
      </c>
      <c r="AN67" s="119" cm="1">
        <f t="array" aca="1" ref="AN67" ca="1">_xlfn.IFNA(_xlfn.IFS(AND(AG67="Assets",AK67="Debit",AM67&gt;0),AM67,AND(AG67="Equities",AM67&lt;0),-AM67),0)</f>
        <v>0</v>
      </c>
      <c r="AO67" s="122" cm="1">
        <f t="array" aca="1" ref="AO67" ca="1">_xlfn.IFNA(_xlfn.IFS(AND(AG67="Assets",AK67="Credit",AM67&lt;0),-AM67,AND(AG67="Equities",AM67&gt;0),AM67,AG67="Liabilities",AM67),0)</f>
        <v>0</v>
      </c>
      <c r="AP67" s="119" t="str">
        <f t="shared" si="5"/>
        <v>BegBalanceSheet_Liabilities[Abbr]</v>
      </c>
      <c r="AQ67" s="119" t="str" cm="1">
        <f t="array" aca="1" ref="AQ67" ca="1">IF(AP67&lt;&gt;"",_xlfn.XLOOKUP(AF67,INDIRECT(AI67),INDIRECT(AP67),""),"")</f>
        <v>IP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x14ac:dyDescent="0.3">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Salaries &amp; Wages Payable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BegBalanceSheet_Liabilities[Abbr]</v>
      </c>
      <c r="AQ68" s="119" t="str" cm="1">
        <f t="array" aca="1" ref="AQ68" ca="1">IF(AP68&lt;&gt;"",_xlfn.XLOOKUP(AF68,INDIRECT(AI68),INDIRECT(AP68),""),"")</f>
        <v>SWP</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x14ac:dyDescent="0.3">
      <c r="A69" s="155">
        <v>17</v>
      </c>
      <c r="B69" s="134" t="str">
        <f t="shared" ca="1" si="0"/>
        <v>Property, Plant &amp; Equipment</v>
      </c>
      <c r="C69" s="135">
        <f ca="1">_xlfn.IFNA(_xlfn.XLOOKUP(B69,$AF$59:$AF$139,$AN$59:$AN$139,0),0)</f>
        <v>0</v>
      </c>
      <c r="D69" s="136">
        <f ca="1">_xlfn.IFNA(_xlfn.XLOOKUP(B69,$AF$59:$AF$139,$AO$59:$AO$139,0),"")</f>
        <v>0</v>
      </c>
      <c r="F69" s="593" t="s">
        <v>418</v>
      </c>
      <c r="G69" s="334">
        <f ca="1">IF((K69-L69)-(C69-D69)-SUM(G70:G72)+SUM(H70:H72)&gt;0,(K69-L69)-(C69-D69)-SUM(G70:G72)+SUM(H70:H72),0)</f>
        <v>0</v>
      </c>
      <c r="H69" s="330">
        <f ca="1">IF((K69-L69)-(C69-D69)-SUM(G70:G72)+SUM(H70:H72)&lt;0,-((K69-L69)-(C69-D69)-SUM(G70:G72)+SUM(H70:H72)),0)</f>
        <v>0</v>
      </c>
      <c r="I69" s="593" t="s">
        <v>418</v>
      </c>
      <c r="J69" s="153"/>
      <c r="K69" s="135">
        <f ca="1">IF(AC75&gt;0,AC75,0)</f>
        <v>60</v>
      </c>
      <c r="L69" s="136">
        <f ca="1">IF(AD75&gt;0,AD75,0)</f>
        <v>0</v>
      </c>
      <c r="P69" s="123" t="b">
        <f ca="1">NOT(B69="")</f>
        <v>1</v>
      </c>
      <c r="Q69" s="626"/>
      <c r="R69" s="626"/>
      <c r="W69" s="340">
        <f ca="1">IF(B61&lt;&gt;"",1,0)</f>
        <v>1</v>
      </c>
      <c r="X69" s="340"/>
      <c r="Y69" s="340"/>
      <c r="Z69" s="340"/>
      <c r="AA69" s="344"/>
      <c r="AB69" s="344"/>
      <c r="AC69" s="339"/>
      <c r="AD69" s="339"/>
      <c r="AE69" s="335">
        <f ca="1"/>
        <v>41</v>
      </c>
      <c r="AF69" s="121" t="str">
        <v>Bonds Payable</v>
      </c>
      <c r="AG69" s="119" t="str" cm="1">
        <f t="array" ref="AG69">_xlfn.IFNA(_xlfn.IFS(ISNUMBER(MATCH(AF69,MD_Asset[Account Name],0)),"Assets",ISNUMBER(MATCH(AF69,MD_Liability[Account Name],0)),"Liabilities",ISNUMBER(MATCH(AF69,MD_Equity[Account Name],0)),"Equities"),"")</f>
        <v>Liabilities</v>
      </c>
      <c r="AH69" s="119" t="str">
        <f t="shared" si="1"/>
        <v>BegBalanceSheet_Liabilities</v>
      </c>
      <c r="AI69" s="119" t="str">
        <f t="shared" si="2"/>
        <v>BegBalanceSheet_Liabilities[Account]</v>
      </c>
      <c r="AJ69" s="119" t="str">
        <f t="shared" si="3"/>
        <v>BegBalanceSheet_Liabilities[IncreasedBy]</v>
      </c>
      <c r="AK69" s="119" t="str" cm="1">
        <f t="array" aca="1" ref="AK69" ca="1">IFERROR(_xlfn.XLOOKUP(AF69,INDIRECT(AI69),INDIRECT(AJ69),""),"")</f>
        <v>Credit</v>
      </c>
      <c r="AL69" s="119" t="str">
        <f t="shared" si="4"/>
        <v>BegBalanceSheet_Liabilities[Amount]</v>
      </c>
      <c r="AM69" s="119" cm="1">
        <f t="array" aca="1" ref="AM69" ca="1">IF(AG69&lt;&gt;"",_xlfn.XLOOKUP(AF69,INDIRECT(AI69),INDIRECT(AL69)),"")</f>
        <v>0</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BegBalanceSheet_Liabilities[Abbr]</v>
      </c>
      <c r="AQ69" s="119" t="str" cm="1">
        <f t="array" aca="1" ref="AQ69" ca="1">IF(AP69&lt;&gt;"",_xlfn.XLOOKUP(AF69,INDIRECT(AI69),INDIRECT(AP69),""),"")</f>
        <v>BP</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x14ac:dyDescent="0.3">
      <c r="A70" s="155">
        <v>18</v>
      </c>
      <c r="B70" s="137" t="str">
        <f t="shared" ca="1" si="0"/>
        <v/>
      </c>
      <c r="C70" s="138"/>
      <c r="D70" s="139"/>
      <c r="F70" s="592">
        <v>2</v>
      </c>
      <c r="G70" s="140">
        <v>60</v>
      </c>
      <c r="H70" s="141"/>
      <c r="I70" s="592"/>
      <c r="J70" s="153"/>
      <c r="K70" s="142"/>
      <c r="L70" s="137"/>
      <c r="P70" s="123" t="b">
        <f ca="1">NOT(B69="")</f>
        <v>1</v>
      </c>
      <c r="Q70" s="623"/>
      <c r="R70" s="623"/>
      <c r="S70" s="622"/>
      <c r="W70" s="340">
        <f ca="1">IF(B61&lt;&gt;"",1,0)</f>
        <v>1</v>
      </c>
      <c r="X70" s="340"/>
      <c r="Y70" s="340"/>
      <c r="Z70" s="340"/>
      <c r="AA70" s="344"/>
      <c r="AB70" s="344"/>
      <c r="AC70" s="339"/>
      <c r="AD70" s="339"/>
      <c r="AE70" s="335">
        <f ca="1"/>
        <v>45</v>
      </c>
      <c r="AF70" s="121" t="str">
        <v>Equities</v>
      </c>
      <c r="AG70" s="119" t="str" cm="1">
        <f t="array" ref="AG70">_xlfn.IFNA(_xlfn.IFS(ISNUMBER(MATCH(AF70,MD_Asset[Account Name],0)),"Assets",ISNUMBER(MATCH(AF70,MD_Liability[Account Name],0)),"Liabilities",ISNUMBER(MATCH(AF70,MD_Equity[Account Name],0)),"Equities"),"")</f>
        <v/>
      </c>
      <c r="AH70" s="119" t="str">
        <f t="shared" si="1"/>
        <v/>
      </c>
      <c r="AI70" s="119" t="str">
        <f t="shared" si="2"/>
        <v/>
      </c>
      <c r="AJ70" s="119" t="str">
        <f t="shared" si="3"/>
        <v/>
      </c>
      <c r="AK70" s="119" t="str" cm="1">
        <f t="array" aca="1" ref="AK70" ca="1">IFERROR(_xlfn.XLOOKUP(AF70,INDIRECT(AI70),INDIRECT(AJ70),""),"")</f>
        <v/>
      </c>
      <c r="AL70" s="119" t="str">
        <f t="shared" si="4"/>
        <v/>
      </c>
      <c r="AM70" s="119" t="str" cm="1">
        <f t="array" aca="1" ref="AM70" ca="1">IF(AG70&lt;&gt;"",_xlfn.XLOOKUP(AF70,INDIRECT(AI70),INDIRECT(AL70)),"")</f>
        <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
      </c>
      <c r="AQ70" s="119" t="str" cm="1">
        <f t="array" aca="1" ref="AQ70" ca="1">IF(AP70&lt;&gt;"",_xlfn.XLOOKUP(AF70,INDIRECT(AI70),INDIRECT(AP70),""),"")</f>
        <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x14ac:dyDescent="0.3">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4</v>
      </c>
      <c r="AB71" s="344">
        <f ca="1">SUMIF(Journal[Credit Account],B65,Journal[Cr Amt])</f>
        <v>3</v>
      </c>
      <c r="AC71" s="339">
        <f ca="1">C65-D65+AA71-AB71</f>
        <v>1</v>
      </c>
      <c r="AD71" s="339">
        <f ca="1">D65-C65+AB71-AA71</f>
        <v>-1</v>
      </c>
      <c r="AE71" s="335">
        <f ca="1"/>
        <v>49</v>
      </c>
      <c r="AF71" s="121" t="str">
        <v>Common Stock</v>
      </c>
      <c r="AG71" s="119" t="str" cm="1">
        <f t="array" ref="AG71">_xlfn.IFNA(_xlfn.IFS(ISNUMBER(MATCH(AF71,MD_Asset[Account Name],0)),"Assets",ISNUMBER(MATCH(AF71,MD_Liability[Account Name],0)),"Liabilities",ISNUMBER(MATCH(AF71,MD_Equity[Account Name],0)),"Equities"),"")</f>
        <v>Equities</v>
      </c>
      <c r="AH71" s="119" t="str">
        <f t="shared" si="1"/>
        <v>BegBalanceSheet_Equities</v>
      </c>
      <c r="AI71" s="119" t="str">
        <f t="shared" si="2"/>
        <v>BegBalanceSheet_Equities[Account]</v>
      </c>
      <c r="AJ71" s="119" t="str">
        <f t="shared" si="3"/>
        <v>BegBalanceSheet_Equities[IncreasedBy]</v>
      </c>
      <c r="AK71" s="119" t="str" cm="1">
        <f t="array" aca="1" ref="AK71" ca="1">IFERROR(_xlfn.XLOOKUP(AF71,INDIRECT(AI71),INDIRECT(AJ71),""),"")</f>
        <v>Credit</v>
      </c>
      <c r="AL71" s="119" t="str">
        <f t="shared" si="4"/>
        <v>BegBalanceSheet_Equities[Amount]</v>
      </c>
      <c r="AM71" s="119" cm="1">
        <f t="array" aca="1" ref="AM71" ca="1">IF(AG71&lt;&gt;"",_xlfn.XLOOKUP(AF71,INDIRECT(AI71),INDIRECT(AL71)),"")</f>
        <v>0</v>
      </c>
      <c r="AN71" s="119" cm="1">
        <f t="array" aca="1" ref="AN71" ca="1">_xlfn.IFNA(_xlfn.IFS(AND(AG71="Assets",AK71="Debit",AM71&gt;0),AM71,AND(AG71="Equities",AM71&lt;0),-AM71),0)</f>
        <v>0</v>
      </c>
      <c r="AO71" s="122" cm="1">
        <f t="array" aca="1" ref="AO71" ca="1">_xlfn.IFNA(_xlfn.IFS(AND(AG71="Assets",AK71="Credit",AM71&lt;0),-AM71,AND(AG71="Equities",AM71&gt;0),AM71,AG71="Liabilities",AM71),0)</f>
        <v>0</v>
      </c>
      <c r="AP71" s="119" t="str">
        <f t="shared" si="5"/>
        <v>BegBalanceSheet_Equities[Abbr]</v>
      </c>
      <c r="AQ71" s="119" t="str" cm="1">
        <f t="array" aca="1" ref="AQ71" ca="1">IF(AP71&lt;&gt;"",_xlfn.XLOOKUP(AF71,INDIRECT(AI71),INDIRECT(AP71),""),"")</f>
        <v>CS</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427</v>
      </c>
    </row>
    <row r="72" spans="1:85" hidden="1" outlineLevel="1" x14ac:dyDescent="0.3">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E72" s="335">
        <f ca="1"/>
        <v>53</v>
      </c>
      <c r="AF72" s="121" t="str">
        <v>Retained Earnings</v>
      </c>
      <c r="AG72" s="119" t="str" cm="1">
        <f t="array" ref="AG72">_xlfn.IFNA(_xlfn.IFS(ISNUMBER(MATCH(AF72,MD_Asset[Account Name],0)),"Assets",ISNUMBER(MATCH(AF72,MD_Liability[Account Name],0)),"Liabilities",ISNUMBER(MATCH(AF72,MD_Equity[Account Name],0)),"Equities"),"")</f>
        <v>Equities</v>
      </c>
      <c r="AH72" s="119" t="str">
        <f t="shared" si="1"/>
        <v>BegBalanceSheet_Equities</v>
      </c>
      <c r="AI72" s="119" t="str">
        <f t="shared" si="2"/>
        <v>BegBalanceSheet_Equities[Account]</v>
      </c>
      <c r="AJ72" s="119" t="str">
        <f t="shared" si="3"/>
        <v>BegBalanceSheet_Equities[IncreasedBy]</v>
      </c>
      <c r="AK72" s="119" t="str" cm="1">
        <f t="array" aca="1" ref="AK72" ca="1">IFERROR(_xlfn.XLOOKUP(AF72,INDIRECT(AI72),INDIRECT(AJ72),""),"")</f>
        <v>Credit</v>
      </c>
      <c r="AL72" s="119" t="str">
        <f t="shared" si="4"/>
        <v>BegBalanceSheet_Equities[Amount]</v>
      </c>
      <c r="AM72" s="119" cm="1">
        <f t="array" aca="1" ref="AM72" ca="1">IF(AG72&lt;&gt;"",_xlfn.XLOOKUP(AF72,INDIRECT(AI72),INDIRECT(AL72)),"")</f>
        <v>0</v>
      </c>
      <c r="AN72" s="119" cm="1">
        <f t="array" aca="1" ref="AN72" ca="1">_xlfn.IFNA(_xlfn.IFS(AND(AG72="Assets",AK72="Debit",AM72&gt;0),AM72,AND(AG72="Equities",AM72&lt;0),-AM72),0)</f>
        <v>0</v>
      </c>
      <c r="AO72" s="122" cm="1">
        <f t="array" aca="1" ref="AO72" ca="1">_xlfn.IFNA(_xlfn.IFS(AND(AG72="Assets",AK72="Credit",AM72&lt;0),-AM72,AND(AG72="Equities",AM72&gt;0),AM72,AG72="Liabilities",AM72),0)</f>
        <v>0</v>
      </c>
      <c r="AP72" s="119" t="str">
        <f t="shared" si="5"/>
        <v>BegBalanceSheet_Equities[Abbr]</v>
      </c>
      <c r="AQ72" s="119" t="str" cm="1">
        <f t="array" aca="1" ref="AQ72" ca="1">IF(AP72&lt;&gt;"",_xlfn.XLOOKUP(AF72,INDIRECT(AI72),INDIRECT(AP72),""),"")</f>
        <v>RE</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x14ac:dyDescent="0.3">
      <c r="A73" s="155">
        <v>21</v>
      </c>
      <c r="B73" s="134" t="str">
        <f t="shared" ca="1" si="0"/>
        <v>Accumulated Depreciation</v>
      </c>
      <c r="C73" s="135">
        <f ca="1">_xlfn.IFNA(_xlfn.XLOOKUP(B73,$AF$59:$AF$139,$AN$59:$AN$139,0),0)</f>
        <v>0</v>
      </c>
      <c r="D73" s="136">
        <f ca="1">_xlfn.IFNA(_xlfn.XLOOKUP(B73,$AF$59:$AF$139,$AO$59:$AO$139,0),"")</f>
        <v>0</v>
      </c>
      <c r="F73" s="593" t="s">
        <v>418</v>
      </c>
      <c r="G73" s="334">
        <f ca="1">IF((K73-L73)-(C73-D73)-SUM(G74:G76)+SUM(H74:H76)&gt;0,(K73-L73)-(C73-D73)-SUM(G74:G76)+SUM(H74:H76),0)</f>
        <v>0</v>
      </c>
      <c r="H73" s="330">
        <f ca="1">IF((K73-L73)-(C73-D73)-SUM(G74:G76)+SUM(H74:H76)&lt;0,-((K73-L73)-(C73-D73)-SUM(G74:G76)+SUM(H74:H76)),0)</f>
        <v>0</v>
      </c>
      <c r="I73" s="593" t="s">
        <v>418</v>
      </c>
      <c r="J73" s="153"/>
      <c r="K73" s="135">
        <f ca="1">IF(AC79&gt;0,AC79,0)</f>
        <v>0</v>
      </c>
      <c r="L73" s="136">
        <f ca="1">IF(AD79&gt;0,AD79,0)</f>
        <v>7.5</v>
      </c>
      <c r="P73" s="123" t="b">
        <f ca="1">NOT(B73="")</f>
        <v>1</v>
      </c>
      <c r="Q73" s="626"/>
      <c r="R73" s="626"/>
      <c r="W73" s="340">
        <f ca="1">IF(B65&lt;&gt;"",1,0)</f>
        <v>1</v>
      </c>
      <c r="X73" s="340"/>
      <c r="Y73" s="340"/>
      <c r="Z73" s="340"/>
      <c r="AA73" s="344"/>
      <c r="AB73" s="344"/>
      <c r="AC73" s="339"/>
      <c r="AD73" s="339"/>
      <c r="AF73" s="121"/>
      <c r="AG73" s="119" t="str" cm="1">
        <f t="array" ref="AG73">_xlfn.IFNA(_xlfn.IFS(ISNUMBER(MATCH(AF73,MD_Asset[Account Name],0)),"Assets",ISNUMBER(MATCH(AF73,MD_Liability[Account Name],0)),"Liabilities",ISNUMBER(MATCH(AF73,MD_Equity[Account Name],0)),"Equities"),"")</f>
        <v/>
      </c>
      <c r="AH73" s="119" t="str">
        <f t="shared" si="1"/>
        <v/>
      </c>
      <c r="AI73" s="119" t="str">
        <f t="shared" si="2"/>
        <v/>
      </c>
      <c r="AJ73" s="119" t="str">
        <f t="shared" si="3"/>
        <v/>
      </c>
      <c r="AK73" s="119" t="str" cm="1">
        <f t="array" aca="1" ref="AK73" ca="1">IFERROR(_xlfn.XLOOKUP(AF73,INDIRECT(AI73),INDIRECT(AJ73),""),"")</f>
        <v/>
      </c>
      <c r="AL73" s="119" t="str">
        <f t="shared" si="4"/>
        <v/>
      </c>
      <c r="AM73" s="119" t="str" cm="1">
        <f t="array" aca="1" ref="AM73" ca="1">IF(AG73&lt;&gt;"",_xlfn.XLOOKUP(AF73,INDIRECT(AI73),INDIRECT(AL73)),"")</f>
        <v/>
      </c>
      <c r="AN73" s="119" cm="1">
        <f t="array" aca="1" ref="AN73" ca="1">_xlfn.IFNA(_xlfn.IFS(AND(AG73="Assets",AK73="Debit",AM73&gt;0),AM73,AND(AG73="Equities",AM73&lt;0),-AM73),0)</f>
        <v>0</v>
      </c>
      <c r="AO73" s="122" cm="1">
        <f t="array" aca="1" ref="AO73" ca="1">_xlfn.IFNA(_xlfn.IFS(AND(AG73="Assets",AK73="Credit",AM73&lt;0),-AM73,AND(AG73="Equities",AM73&gt;0),AM73,AG73="Liabilities",AM73),0)</f>
        <v>0</v>
      </c>
      <c r="AP73" s="119" t="str">
        <f t="shared" si="5"/>
        <v/>
      </c>
      <c r="AQ73" s="119" t="str" cm="1">
        <f t="array" aca="1" ref="AQ73" ca="1">IF(AP73&lt;&gt;"",_xlfn.XLOOKUP(AF73,INDIRECT(AI73),INDIRECT(AP73),""),"")</f>
        <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428</v>
      </c>
      <c r="BE73" s="570"/>
      <c r="BF73" s="570"/>
      <c r="BG73" s="570"/>
      <c r="BQ73" s="119" t="s">
        <v>429</v>
      </c>
    </row>
    <row r="74" spans="1:85" hidden="1" outlineLevel="1" x14ac:dyDescent="0.3">
      <c r="A74" s="155">
        <v>22</v>
      </c>
      <c r="B74" s="137" t="str">
        <f t="shared" ca="1" si="0"/>
        <v/>
      </c>
      <c r="C74" s="138"/>
      <c r="D74" s="139"/>
      <c r="F74" s="592"/>
      <c r="G74" s="140"/>
      <c r="H74" s="141">
        <v>7.5</v>
      </c>
      <c r="I74" s="592" t="s">
        <v>965</v>
      </c>
      <c r="J74" s="153"/>
      <c r="K74" s="142"/>
      <c r="L74" s="137"/>
      <c r="P74" s="123" t="b">
        <f ca="1">NOT(B73="")</f>
        <v>1</v>
      </c>
      <c r="Q74" s="623"/>
      <c r="R74" s="623"/>
      <c r="S74" s="622"/>
      <c r="W74" s="340">
        <f ca="1">IF(B65&lt;&gt;"",1,0)</f>
        <v>1</v>
      </c>
      <c r="X74" s="340"/>
      <c r="Y74" s="340"/>
      <c r="Z74" s="340"/>
      <c r="AA74" s="344"/>
      <c r="AB74" s="344"/>
      <c r="AC74" s="339"/>
      <c r="AD74" s="339"/>
      <c r="AF74" s="121"/>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416</v>
      </c>
      <c r="BE74" s="570"/>
      <c r="BF74" s="570" t="s">
        <v>417</v>
      </c>
      <c r="BG74" s="570"/>
      <c r="BH74" s="571" t="s">
        <v>430</v>
      </c>
      <c r="BI74" s="572"/>
      <c r="BJ74" s="572"/>
      <c r="BK74" s="573"/>
      <c r="BL74" s="571" t="s">
        <v>431</v>
      </c>
      <c r="BM74" s="572"/>
      <c r="BN74" s="572"/>
      <c r="BO74" s="573"/>
      <c r="BQ74" s="614" t="s">
        <v>416</v>
      </c>
      <c r="BR74" s="615"/>
      <c r="BS74" s="615"/>
      <c r="BT74" s="615"/>
      <c r="BU74" s="615"/>
      <c r="BV74" s="615"/>
      <c r="BW74" s="615"/>
      <c r="BX74" s="616"/>
      <c r="BZ74" s="614" t="s">
        <v>417</v>
      </c>
      <c r="CA74" s="615"/>
      <c r="CB74" s="615"/>
      <c r="CC74" s="615"/>
      <c r="CD74" s="615"/>
      <c r="CE74" s="615"/>
      <c r="CF74" s="615"/>
      <c r="CG74" s="616"/>
    </row>
    <row r="75" spans="1:85" ht="15" hidden="1" outlineLevel="1" thickBot="1" x14ac:dyDescent="0.35">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60</v>
      </c>
      <c r="AB75" s="344">
        <f ca="1">SUMIF(Journal[Credit Account],B69,Journal[Cr Amt])</f>
        <v>0</v>
      </c>
      <c r="AC75" s="339">
        <f ca="1">C69-D69+AA75-AB75</f>
        <v>60</v>
      </c>
      <c r="AD75" s="339">
        <f ca="1">D69-C69+AB75-AA75</f>
        <v>-60</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432</v>
      </c>
      <c r="BE75" s="341" t="s">
        <v>433</v>
      </c>
      <c r="BF75" s="326" t="s">
        <v>433</v>
      </c>
      <c r="BG75" s="341" t="s">
        <v>432</v>
      </c>
      <c r="BH75" s="582" t="s">
        <v>434</v>
      </c>
      <c r="BI75" s="583" t="s">
        <v>435</v>
      </c>
      <c r="BJ75" s="583" t="s">
        <v>432</v>
      </c>
      <c r="BK75" s="584" t="s">
        <v>436</v>
      </c>
      <c r="BL75" s="582" t="s">
        <v>434</v>
      </c>
      <c r="BM75" s="583" t="s">
        <v>435</v>
      </c>
      <c r="BN75" s="583" t="s">
        <v>432</v>
      </c>
      <c r="BO75" s="584" t="s">
        <v>436</v>
      </c>
      <c r="BP75" s="335"/>
      <c r="BQ75" s="617" t="s">
        <v>432</v>
      </c>
      <c r="BR75" s="618" t="s">
        <v>433</v>
      </c>
      <c r="BS75" s="343"/>
      <c r="BT75" s="619" t="s">
        <v>432</v>
      </c>
      <c r="BU75" s="618" t="s">
        <v>433</v>
      </c>
      <c r="BV75" s="343"/>
      <c r="BW75" s="619" t="s">
        <v>432</v>
      </c>
      <c r="BX75" s="620" t="s">
        <v>433</v>
      </c>
      <c r="BZ75" s="617" t="s">
        <v>433</v>
      </c>
      <c r="CA75" s="618" t="s">
        <v>432</v>
      </c>
      <c r="CB75" s="343"/>
      <c r="CC75" s="619" t="s">
        <v>433</v>
      </c>
      <c r="CD75" s="618" t="s">
        <v>432</v>
      </c>
      <c r="CE75" s="343"/>
      <c r="CF75" s="619" t="s">
        <v>433</v>
      </c>
      <c r="CG75" s="620" t="s">
        <v>432</v>
      </c>
    </row>
    <row r="76" spans="1:85" hidden="1" outlineLevel="1" x14ac:dyDescent="0.3">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92">_xlfn.ANCHORARRAY(BQ76)</f>
        <v>Financing Cash Flows</v>
      </c>
      <c r="BE76" s="119">
        <v>0</v>
      </c>
      <c r="BF76" s="119" cm="1">
        <f t="array" ref="BF76:BG89">_xlfn.ANCHORARRAY(BZ76)</f>
        <v>60</v>
      </c>
      <c r="BG76" s="119">
        <v>2</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60</v>
      </c>
      <c r="BM76" s="587">
        <f t="shared" ref="BM76:BM116" si="14">SUMIF($BG$76:$BG$106,BG76,$BF$76:$BF$106)</f>
        <v>60</v>
      </c>
      <c r="BN76" s="587">
        <f>BG76</f>
        <v>2</v>
      </c>
      <c r="BO76" s="588">
        <f>BL76-BM76</f>
        <v>0</v>
      </c>
      <c r="BP76" s="335"/>
      <c r="BQ76" s="569" t="str" cm="1">
        <f t="array" ref="BQ76:BR92">_xlfn._xlws.FILTER(F7:G240,((F7:F240&lt;&gt;"")*(F7:F240&lt;&gt;"CFI")*(F7:F240&lt;&gt;"Unexplained")*(F7:F240&lt;&gt;"ref")*(F7:F240&lt;&gt;"CFF")*(F7:F240&lt;&gt;"CFO")),{"None",""})</f>
        <v>Financing Cash Flows</v>
      </c>
      <c r="BR76" s="119">
        <v>0</v>
      </c>
      <c r="BT76" s="569"/>
      <c r="BW76" s="569"/>
      <c r="BZ76" s="569" cm="1">
        <f t="array" ref="BZ76:CA89">_xlfn._xlws.FILTER(H7:I240,(I7:I240&lt;&gt;"")*(I7:I240&lt;&gt;"CFI")*(I7:I240&lt;&gt;"CFF")*(I7:I240&lt;&gt;"CFO")*(I7:I240&lt;&gt;"Unexplained"),{0,"None"})</f>
        <v>60</v>
      </c>
      <c r="CA76" s="119">
        <v>2</v>
      </c>
      <c r="CC76" s="569"/>
      <c r="CF76" s="569"/>
    </row>
    <row r="77" spans="1:85" collapsed="1" x14ac:dyDescent="0.3">
      <c r="A77" s="155">
        <v>25</v>
      </c>
      <c r="B77" s="134" t="str">
        <f t="shared" ca="1" si="0"/>
        <v>Liabilities</v>
      </c>
      <c r="C77" s="135">
        <f ca="1">_xlfn.IFNA(_xlfn.XLOOKUP(B77,$AF$59:$AF$139,$AN$59:$AN$139,0),0)</f>
        <v>0</v>
      </c>
      <c r="D77" s="136">
        <f ca="1">_xlfn.IFNA(_xlfn.XLOOKUP(B77,$AF$59:$AF$139,$AO$59:$AO$139,0),"")</f>
        <v>0</v>
      </c>
      <c r="F77" s="593" t="s">
        <v>418</v>
      </c>
      <c r="G77" s="334">
        <f ca="1">IF((K77-L77)-(C77-D77)-SUM(G78:G80)+SUM(H78:H80)&gt;0,(K77-L77)-(C77-D77)-SUM(G78:G80)+SUM(H78:H80),0)</f>
        <v>0</v>
      </c>
      <c r="H77" s="330">
        <f ca="1">IF((K77-L77)-(C77-D77)-SUM(G78:G80)+SUM(H78:H80)&lt;0,-((K77-L77)-(C77-D77)-SUM(G78:G80)+SUM(H78:H80)),0)</f>
        <v>0</v>
      </c>
      <c r="I77" s="593" t="s">
        <v>418</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v>1</v>
      </c>
      <c r="BE77" s="335">
        <v>100</v>
      </c>
      <c r="BF77" s="335">
        <v>25</v>
      </c>
      <c r="BG77" s="335">
        <v>5</v>
      </c>
      <c r="BH77" s="574">
        <f t="shared" si="10"/>
        <v>100</v>
      </c>
      <c r="BI77" s="575">
        <f t="shared" si="11"/>
        <v>100</v>
      </c>
      <c r="BJ77" s="575">
        <f t="shared" ref="BJ77:BJ116" si="15">BD77</f>
        <v>1</v>
      </c>
      <c r="BK77" s="576">
        <f t="shared" si="12"/>
        <v>0</v>
      </c>
      <c r="BL77" s="580">
        <f t="shared" si="13"/>
        <v>25</v>
      </c>
      <c r="BM77" s="575">
        <f t="shared" si="14"/>
        <v>25</v>
      </c>
      <c r="BN77" s="575">
        <f t="shared" ref="BN77:BN116" si="16">BG77</f>
        <v>5</v>
      </c>
      <c r="BO77" s="576">
        <f t="shared" ref="BO77:BO116" si="17">BL77-BM77</f>
        <v>0</v>
      </c>
      <c r="BP77" s="335"/>
      <c r="BQ77" s="119">
        <v>1</v>
      </c>
      <c r="BR77" s="119">
        <v>100</v>
      </c>
      <c r="BZ77" s="119">
        <v>25</v>
      </c>
      <c r="CA77" s="119">
        <v>5</v>
      </c>
    </row>
    <row r="78" spans="1:85" hidden="1" outlineLevel="1" x14ac:dyDescent="0.3">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v>6</v>
      </c>
      <c r="BE78" s="335">
        <v>20</v>
      </c>
      <c r="BF78" s="335" t="str">
        <v>cr</v>
      </c>
      <c r="BG78" s="335" t="str">
        <v>Ref</v>
      </c>
      <c r="BH78" s="574">
        <f t="shared" si="10"/>
        <v>20</v>
      </c>
      <c r="BI78" s="575">
        <f t="shared" si="11"/>
        <v>20</v>
      </c>
      <c r="BJ78" s="575">
        <f t="shared" si="15"/>
        <v>6</v>
      </c>
      <c r="BK78" s="576">
        <f t="shared" si="12"/>
        <v>0</v>
      </c>
      <c r="BL78" s="580">
        <f t="shared" si="13"/>
        <v>0</v>
      </c>
      <c r="BM78" s="575">
        <f t="shared" si="14"/>
        <v>0</v>
      </c>
      <c r="BN78" s="575" t="str">
        <f t="shared" si="16"/>
        <v>Ref</v>
      </c>
      <c r="BO78" s="576">
        <f t="shared" si="17"/>
        <v>0</v>
      </c>
      <c r="BP78" s="335"/>
      <c r="BQ78" s="119">
        <v>6</v>
      </c>
      <c r="BR78" s="119">
        <v>20</v>
      </c>
      <c r="BZ78" s="119" t="str">
        <v>cr</v>
      </c>
      <c r="CA78" s="119" t="str">
        <v>Ref</v>
      </c>
    </row>
    <row r="79" spans="1:85" hidden="1" outlineLevel="1" x14ac:dyDescent="0.3">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0</v>
      </c>
      <c r="AB79" s="344">
        <f ca="1">SUMIF(Journal[Credit Account],B73,Journal[Cr Amt])</f>
        <v>7.5</v>
      </c>
      <c r="AC79" s="339">
        <f ca="1">C73-D73+AA79-AB79</f>
        <v>-7.5</v>
      </c>
      <c r="AD79" s="339">
        <f ca="1">D73-C73+AB79-AA79</f>
        <v>7.5</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Reconciliation of NI and CFO</v>
      </c>
      <c r="BE79" s="335">
        <v>0</v>
      </c>
      <c r="BF79" s="335" t="str">
        <v>cr</v>
      </c>
      <c r="BG79" s="335" t="str">
        <v>Explanation</v>
      </c>
      <c r="BH79" s="574">
        <f t="shared" si="10"/>
        <v>0</v>
      </c>
      <c r="BI79" s="575">
        <f t="shared" si="11"/>
        <v>0</v>
      </c>
      <c r="BJ79" s="575" t="str">
        <f t="shared" si="15"/>
        <v>Reconciliation of NI and CFO</v>
      </c>
      <c r="BK79" s="576">
        <f t="shared" si="12"/>
        <v>0</v>
      </c>
      <c r="BL79" s="580">
        <f t="shared" si="13"/>
        <v>0</v>
      </c>
      <c r="BM79" s="575">
        <f t="shared" si="14"/>
        <v>0</v>
      </c>
      <c r="BN79" s="575" t="str">
        <f t="shared" si="16"/>
        <v>Explanation</v>
      </c>
      <c r="BO79" s="576">
        <f t="shared" si="17"/>
        <v>0</v>
      </c>
      <c r="BP79" s="335"/>
      <c r="BQ79" s="119" t="str">
        <v>Reconciliation of NI and CFO</v>
      </c>
      <c r="BR79" s="119">
        <v>0</v>
      </c>
      <c r="BZ79" s="119" t="str">
        <v>cr</v>
      </c>
      <c r="CA79" s="119" t="str">
        <v>Explanation</v>
      </c>
    </row>
    <row r="80" spans="1:85" hidden="1" outlineLevel="1" x14ac:dyDescent="0.3">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Explanation</v>
      </c>
      <c r="BE80" s="335" t="str">
        <v>dr</v>
      </c>
      <c r="BF80" s="335">
        <v>4.2</v>
      </c>
      <c r="BG80" s="335" t="str">
        <v>Net Loss</v>
      </c>
      <c r="BH80" s="574">
        <f t="shared" si="10"/>
        <v>0</v>
      </c>
      <c r="BI80" s="575">
        <f t="shared" si="11"/>
        <v>0</v>
      </c>
      <c r="BJ80" s="575" t="str">
        <f t="shared" si="15"/>
        <v>Explanation</v>
      </c>
      <c r="BK80" s="576">
        <f t="shared" si="12"/>
        <v>0</v>
      </c>
      <c r="BL80" s="580">
        <f t="shared" si="13"/>
        <v>4.2</v>
      </c>
      <c r="BM80" s="575">
        <f t="shared" si="14"/>
        <v>4.2</v>
      </c>
      <c r="BN80" s="575" t="str">
        <f t="shared" si="16"/>
        <v>Net Loss</v>
      </c>
      <c r="BO80" s="576">
        <f t="shared" si="17"/>
        <v>0</v>
      </c>
      <c r="BP80" s="335"/>
      <c r="BQ80" s="119" t="str">
        <v>Explanation</v>
      </c>
      <c r="BR80" s="119" t="str">
        <v>dr</v>
      </c>
      <c r="BZ80" s="119">
        <v>4.2</v>
      </c>
      <c r="CA80" s="119" t="str">
        <v>Net Loss</v>
      </c>
    </row>
    <row r="81" spans="1:79" collapsed="1" x14ac:dyDescent="0.3">
      <c r="A81" s="155">
        <v>29</v>
      </c>
      <c r="B81" s="134" t="str">
        <f t="shared" ca="1" si="0"/>
        <v>Accounts Payable</v>
      </c>
      <c r="C81" s="135">
        <f ca="1">_xlfn.IFNA(_xlfn.XLOOKUP(B81,$AF$59:$AF$139,$AN$59:$AN$139,0),0)</f>
        <v>0</v>
      </c>
      <c r="D81" s="136">
        <f ca="1">_xlfn.IFNA(_xlfn.XLOOKUP(B81,$AF$59:$AF$139,$AO$59:$AO$139,0),"")</f>
        <v>0</v>
      </c>
      <c r="F81" s="593" t="s">
        <v>418</v>
      </c>
      <c r="G81" s="334">
        <f ca="1">IF((K81-L81)-(C81-D81)-SUM(G82:G84)+SUM(H82:H84)&gt;0,(K81-L81)-(C81-D81)-SUM(G82:G84)+SUM(H82:H84),0)</f>
        <v>0</v>
      </c>
      <c r="H81" s="330">
        <f ca="1">IF((K81-L81)-(C81-D81)-SUM(G82:G84)+SUM(H82:H84)&lt;0,-((K81-L81)-(C81-D81)-SUM(G82:G84)+SUM(H82:H84)),0)</f>
        <v>0</v>
      </c>
      <c r="I81" s="593" t="s">
        <v>418</v>
      </c>
      <c r="J81" s="153"/>
      <c r="K81" s="135">
        <f ca="1">IF(AC87&gt;0,AC87,0)</f>
        <v>0</v>
      </c>
      <c r="L81" s="136">
        <f ca="1">IF(AD87&gt;0,AD87,0)</f>
        <v>15</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t="str">
        <v>Net Income</v>
      </c>
      <c r="BE81" s="335">
        <v>0</v>
      </c>
      <c r="BF81" s="335">
        <v>1</v>
      </c>
      <c r="BG81" s="335" t="str">
        <v>ChPPR</v>
      </c>
      <c r="BH81" s="574">
        <f t="shared" si="10"/>
        <v>0</v>
      </c>
      <c r="BI81" s="575">
        <f t="shared" si="11"/>
        <v>0</v>
      </c>
      <c r="BJ81" s="575" t="str">
        <f t="shared" si="15"/>
        <v>Net Income</v>
      </c>
      <c r="BK81" s="576">
        <f t="shared" si="12"/>
        <v>0</v>
      </c>
      <c r="BL81" s="580">
        <f t="shared" si="13"/>
        <v>1</v>
      </c>
      <c r="BM81" s="575">
        <f t="shared" si="14"/>
        <v>1</v>
      </c>
      <c r="BN81" s="575" t="str">
        <f t="shared" si="16"/>
        <v>ChPPR</v>
      </c>
      <c r="BO81" s="576">
        <f t="shared" si="17"/>
        <v>0</v>
      </c>
      <c r="BP81" s="335"/>
      <c r="BQ81" s="119" t="str">
        <v>Net Income</v>
      </c>
      <c r="BR81" s="119">
        <v>0</v>
      </c>
      <c r="BZ81" s="119">
        <v>1</v>
      </c>
      <c r="CA81" s="119" t="str">
        <v>ChPPR</v>
      </c>
    </row>
    <row r="82" spans="1:79" hidden="1" outlineLevel="1" x14ac:dyDescent="0.3">
      <c r="A82" s="155">
        <v>30</v>
      </c>
      <c r="B82" s="137" t="str">
        <f t="shared" ca="1" si="0"/>
        <v/>
      </c>
      <c r="C82" s="138"/>
      <c r="D82" s="139"/>
      <c r="F82" s="592"/>
      <c r="G82" s="140"/>
      <c r="H82" s="141">
        <v>15</v>
      </c>
      <c r="I82" s="592" t="s">
        <v>1288</v>
      </c>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t="str">
        <v>DeprExp</v>
      </c>
      <c r="BE82" s="335">
        <v>7.5</v>
      </c>
      <c r="BF82" s="335">
        <v>9.8000000000000007</v>
      </c>
      <c r="BG82" s="335" t="str">
        <v>ChAR</v>
      </c>
      <c r="BH82" s="574">
        <f t="shared" si="10"/>
        <v>7.5</v>
      </c>
      <c r="BI82" s="575">
        <f t="shared" si="11"/>
        <v>7.5</v>
      </c>
      <c r="BJ82" s="575" t="str">
        <f t="shared" si="15"/>
        <v>DeprExp</v>
      </c>
      <c r="BK82" s="576">
        <f t="shared" si="12"/>
        <v>0</v>
      </c>
      <c r="BL82" s="580">
        <f t="shared" si="13"/>
        <v>9.8000000000000007</v>
      </c>
      <c r="BM82" s="575">
        <f t="shared" si="14"/>
        <v>9.8000000000000007</v>
      </c>
      <c r="BN82" s="575" t="str">
        <f t="shared" si="16"/>
        <v>ChAR</v>
      </c>
      <c r="BO82" s="576">
        <f t="shared" si="17"/>
        <v>0</v>
      </c>
      <c r="BP82" s="335"/>
      <c r="BQ82" s="119" t="str">
        <v>DeprExp</v>
      </c>
      <c r="BR82" s="119">
        <v>7.5</v>
      </c>
      <c r="BZ82" s="119">
        <v>9.8000000000000007</v>
      </c>
      <c r="CA82" s="119" t="str">
        <v>ChAR</v>
      </c>
    </row>
    <row r="83" spans="1:79" hidden="1" outlineLevel="1" x14ac:dyDescent="0.3">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v>
      </c>
      <c r="AB83" s="344">
        <f ca="1">SUMIF(Journal[Credit Account],B77,Journal[Cr Amt])</f>
        <v>0</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t="str">
        <v>Δs BS Accnts due to operations</v>
      </c>
      <c r="BE83" s="335">
        <v>0</v>
      </c>
      <c r="BF83" s="335">
        <v>5</v>
      </c>
      <c r="BG83" s="335" t="str">
        <v>ChInv</v>
      </c>
      <c r="BH83" s="574">
        <f t="shared" si="10"/>
        <v>0</v>
      </c>
      <c r="BI83" s="575">
        <f t="shared" si="11"/>
        <v>0</v>
      </c>
      <c r="BJ83" s="575" t="str">
        <f t="shared" si="15"/>
        <v>Δs BS Accnts due to operations</v>
      </c>
      <c r="BK83" s="576">
        <f t="shared" si="12"/>
        <v>0</v>
      </c>
      <c r="BL83" s="580">
        <f t="shared" si="13"/>
        <v>5</v>
      </c>
      <c r="BM83" s="575">
        <f t="shared" si="14"/>
        <v>5</v>
      </c>
      <c r="BN83" s="575" t="str">
        <f t="shared" si="16"/>
        <v>ChInv</v>
      </c>
      <c r="BO83" s="576">
        <f t="shared" si="17"/>
        <v>0</v>
      </c>
      <c r="BP83" s="335"/>
      <c r="BQ83" s="119" t="str">
        <v>Δs BS Accnts due to operations</v>
      </c>
      <c r="BR83" s="119">
        <v>0</v>
      </c>
      <c r="BZ83" s="119">
        <v>5</v>
      </c>
      <c r="CA83" s="119" t="str">
        <v>ChInv</v>
      </c>
    </row>
    <row r="84" spans="1:79" hidden="1" outlineLevel="1" x14ac:dyDescent="0.3">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t="str">
        <v>ChIntPay</v>
      </c>
      <c r="BE84" s="335">
        <v>1.55</v>
      </c>
      <c r="BF84" s="335">
        <v>7.5</v>
      </c>
      <c r="BG84" s="335" t="str">
        <v>DeprExp</v>
      </c>
      <c r="BH84" s="574">
        <f t="shared" si="10"/>
        <v>1.55</v>
      </c>
      <c r="BI84" s="575">
        <f t="shared" si="11"/>
        <v>1.55</v>
      </c>
      <c r="BJ84" s="575" t="str">
        <f t="shared" si="15"/>
        <v>ChIntPay</v>
      </c>
      <c r="BK84" s="576">
        <f t="shared" si="12"/>
        <v>0</v>
      </c>
      <c r="BL84" s="580">
        <f t="shared" si="13"/>
        <v>7.5</v>
      </c>
      <c r="BM84" s="575">
        <f t="shared" si="14"/>
        <v>7.5</v>
      </c>
      <c r="BN84" s="575" t="str">
        <f t="shared" si="16"/>
        <v>DeprExp</v>
      </c>
      <c r="BO84" s="576">
        <f t="shared" si="17"/>
        <v>0</v>
      </c>
      <c r="BP84" s="335"/>
      <c r="BQ84" s="119" t="str">
        <v>ChIntPay</v>
      </c>
      <c r="BR84" s="119">
        <v>1.55</v>
      </c>
      <c r="BZ84" s="119">
        <v>7.5</v>
      </c>
      <c r="CA84" s="119" t="str">
        <v>DeprExp</v>
      </c>
    </row>
    <row r="85" spans="1:79" collapsed="1" x14ac:dyDescent="0.3">
      <c r="A85" s="155">
        <v>33</v>
      </c>
      <c r="B85" s="134" t="str">
        <f t="shared" ref="B85:B116" ca="1" si="18">_xlfn.IFNA(_xlfn.XLOOKUP(A85,$AE$59:$AE$139,$AF$59:$AF$139,""),"")</f>
        <v>Interest Payable</v>
      </c>
      <c r="C85" s="135">
        <f ca="1">_xlfn.IFNA(_xlfn.XLOOKUP(B85,$AF$59:$AF$139,$AN$59:$AN$139,0),0)</f>
        <v>0</v>
      </c>
      <c r="D85" s="136">
        <f ca="1">_xlfn.IFNA(_xlfn.XLOOKUP(B85,$AF$59:$AF$139,$AO$59:$AO$139,0),"")</f>
        <v>0</v>
      </c>
      <c r="F85" s="593" t="s">
        <v>418</v>
      </c>
      <c r="G85" s="334">
        <f ca="1">IF((K85-L85)-(C85-D85)-SUM(G86:G88)+SUM(H86:H88)&gt;0,(K85-L85)-(C85-D85)-SUM(G86:G88)+SUM(H86:H88),0)</f>
        <v>0</v>
      </c>
      <c r="H85" s="330">
        <f ca="1">IF((K85-L85)-(C85-D85)-SUM(G86:G88)+SUM(H86:H88)&lt;0,-((K85-L85)-(C85-D85)-SUM(G86:G88)+SUM(H86:H88)),0)</f>
        <v>0</v>
      </c>
      <c r="I85" s="593" t="s">
        <v>418</v>
      </c>
      <c r="J85" s="153"/>
      <c r="K85" s="135">
        <f ca="1">IF(AC91&gt;0,AC91,0)</f>
        <v>0</v>
      </c>
      <c r="L85" s="136">
        <f ca="1">IF(AD91&gt;0,AD91,0)</f>
        <v>1.55</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t="str">
        <v>ChSWPay</v>
      </c>
      <c r="BE85" s="335">
        <v>1</v>
      </c>
      <c r="BF85" s="335">
        <v>15</v>
      </c>
      <c r="BG85" s="335" t="str">
        <v>ChAP</v>
      </c>
      <c r="BH85" s="574">
        <f t="shared" si="10"/>
        <v>1</v>
      </c>
      <c r="BI85" s="575">
        <f t="shared" si="11"/>
        <v>1</v>
      </c>
      <c r="BJ85" s="575" t="str">
        <f t="shared" si="15"/>
        <v>ChSWPay</v>
      </c>
      <c r="BK85" s="576">
        <f t="shared" si="12"/>
        <v>0</v>
      </c>
      <c r="BL85" s="580">
        <f t="shared" si="13"/>
        <v>15</v>
      </c>
      <c r="BM85" s="575">
        <f t="shared" si="14"/>
        <v>15</v>
      </c>
      <c r="BN85" s="575" t="str">
        <f t="shared" si="16"/>
        <v>ChAP</v>
      </c>
      <c r="BO85" s="576">
        <f t="shared" si="17"/>
        <v>0</v>
      </c>
      <c r="BP85" s="335"/>
      <c r="BQ85" s="119" t="str">
        <v>ChSWPay</v>
      </c>
      <c r="BR85" s="119">
        <v>1</v>
      </c>
      <c r="BZ85" s="119">
        <v>15</v>
      </c>
      <c r="CA85" s="119" t="str">
        <v>ChAP</v>
      </c>
    </row>
    <row r="86" spans="1:79" hidden="1" outlineLevel="1" x14ac:dyDescent="0.3">
      <c r="A86" s="155">
        <v>34</v>
      </c>
      <c r="B86" s="137" t="str">
        <f t="shared" ca="1" si="18"/>
        <v/>
      </c>
      <c r="C86" s="138"/>
      <c r="D86" s="139"/>
      <c r="F86" s="592"/>
      <c r="G86" s="140"/>
      <c r="H86" s="141">
        <v>1.55</v>
      </c>
      <c r="I86" s="592" t="s">
        <v>1284</v>
      </c>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D86" s="119" t="str">
        <v>ChAP</v>
      </c>
      <c r="BE86" s="119">
        <v>15</v>
      </c>
      <c r="BF86" s="119">
        <v>1.55</v>
      </c>
      <c r="BG86" s="119" t="str">
        <v>ChIntPay</v>
      </c>
      <c r="BH86" s="574">
        <f t="shared" si="10"/>
        <v>15</v>
      </c>
      <c r="BI86" s="575">
        <f t="shared" si="11"/>
        <v>15</v>
      </c>
      <c r="BJ86" s="575" t="str">
        <f t="shared" si="15"/>
        <v>ChAP</v>
      </c>
      <c r="BK86" s="576">
        <f t="shared" si="12"/>
        <v>0</v>
      </c>
      <c r="BL86" s="580">
        <f t="shared" si="13"/>
        <v>1.55</v>
      </c>
      <c r="BM86" s="575">
        <f t="shared" si="14"/>
        <v>1.55</v>
      </c>
      <c r="BN86" s="575" t="str">
        <f t="shared" si="16"/>
        <v>ChIntPay</v>
      </c>
      <c r="BO86" s="576">
        <f t="shared" si="17"/>
        <v>0</v>
      </c>
      <c r="BQ86" s="119" t="str">
        <v>ChAP</v>
      </c>
      <c r="BR86" s="119">
        <v>15</v>
      </c>
      <c r="BZ86" s="119">
        <v>1.55</v>
      </c>
      <c r="CA86" s="119" t="str">
        <v>ChIntPay</v>
      </c>
    </row>
    <row r="87" spans="1:79" hidden="1" outlineLevel="1" x14ac:dyDescent="0.3">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15</v>
      </c>
      <c r="AB87" s="344">
        <f ca="1">SUMIF(Journal[Credit Account],B81,Journal[Cr Amt])</f>
        <v>30</v>
      </c>
      <c r="AC87" s="339">
        <f ca="1">C81-D81+AA87-AB87</f>
        <v>-15</v>
      </c>
      <c r="AD87" s="339">
        <f ca="1">D81-C81+AB87-AA87</f>
        <v>15</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D87" s="119" t="str">
        <v>ChAR</v>
      </c>
      <c r="BE87" s="119">
        <v>9.8000000000000007</v>
      </c>
      <c r="BF87" s="119">
        <v>1</v>
      </c>
      <c r="BG87" s="119" t="str">
        <v>ChSWPay</v>
      </c>
      <c r="BH87" s="574">
        <f t="shared" si="10"/>
        <v>9.8000000000000007</v>
      </c>
      <c r="BI87" s="575">
        <f t="shared" si="11"/>
        <v>9.8000000000000007</v>
      </c>
      <c r="BJ87" s="575" t="str">
        <f t="shared" si="15"/>
        <v>ChAR</v>
      </c>
      <c r="BK87" s="576">
        <f t="shared" si="12"/>
        <v>0</v>
      </c>
      <c r="BL87" s="580">
        <f t="shared" si="13"/>
        <v>1</v>
      </c>
      <c r="BM87" s="575">
        <f t="shared" si="14"/>
        <v>1</v>
      </c>
      <c r="BN87" s="575" t="str">
        <f t="shared" si="16"/>
        <v>ChSWPay</v>
      </c>
      <c r="BO87" s="576">
        <f t="shared" si="17"/>
        <v>0</v>
      </c>
      <c r="BQ87" s="119" t="str">
        <v>ChAR</v>
      </c>
      <c r="BR87" s="119">
        <v>9.8000000000000007</v>
      </c>
      <c r="BZ87" s="119">
        <v>1</v>
      </c>
      <c r="CA87" s="119" t="str">
        <v>ChSWPay</v>
      </c>
    </row>
    <row r="88" spans="1:79" hidden="1" outlineLevel="1" x14ac:dyDescent="0.3">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D88" s="119">
        <v>5</v>
      </c>
      <c r="BE88" s="119">
        <v>25</v>
      </c>
      <c r="BF88" s="119">
        <v>20</v>
      </c>
      <c r="BG88" s="119">
        <v>6</v>
      </c>
      <c r="BH88" s="574">
        <f t="shared" si="10"/>
        <v>25</v>
      </c>
      <c r="BI88" s="575">
        <f t="shared" si="11"/>
        <v>25</v>
      </c>
      <c r="BJ88" s="575">
        <f t="shared" si="15"/>
        <v>5</v>
      </c>
      <c r="BK88" s="576">
        <f t="shared" si="12"/>
        <v>0</v>
      </c>
      <c r="BL88" s="580">
        <f t="shared" si="13"/>
        <v>20</v>
      </c>
      <c r="BM88" s="575">
        <f t="shared" si="14"/>
        <v>20</v>
      </c>
      <c r="BN88" s="575">
        <f t="shared" si="16"/>
        <v>6</v>
      </c>
      <c r="BO88" s="576">
        <f t="shared" si="17"/>
        <v>0</v>
      </c>
      <c r="BQ88" s="119">
        <v>5</v>
      </c>
      <c r="BR88" s="119">
        <v>25</v>
      </c>
      <c r="BZ88" s="119">
        <v>20</v>
      </c>
      <c r="CA88" s="119">
        <v>6</v>
      </c>
    </row>
    <row r="89" spans="1:79" collapsed="1" x14ac:dyDescent="0.3">
      <c r="A89" s="155">
        <v>37</v>
      </c>
      <c r="B89" s="134" t="str">
        <f t="shared" ca="1" si="18"/>
        <v>Salaries &amp; Wages Payable</v>
      </c>
      <c r="C89" s="135">
        <f ca="1">_xlfn.IFNA(_xlfn.XLOOKUP(B89,$AF$59:$AF$139,$AN$59:$AN$139,0),0)</f>
        <v>0</v>
      </c>
      <c r="D89" s="136">
        <f ca="1">_xlfn.IFNA(_xlfn.XLOOKUP(B89,$AF$59:$AF$139,$AO$59:$AO$139,0),"")</f>
        <v>0</v>
      </c>
      <c r="F89" s="593" t="s">
        <v>418</v>
      </c>
      <c r="G89" s="334">
        <f ca="1">IF((K89-L89)-(C89-D89)-SUM(G90:G92)+SUM(H90:H92)&gt;0,(K89-L89)-(C89-D89)-SUM(G90:G92)+SUM(H90:H92),0)</f>
        <v>0</v>
      </c>
      <c r="H89" s="330">
        <f ca="1">IF((K89-L89)-(C89-D89)-SUM(G90:G92)+SUM(H90:H92)&lt;0,-((K89-L89)-(C89-D89)-SUM(G90:G92)+SUM(H90:H92)),0)</f>
        <v>0</v>
      </c>
      <c r="I89" s="593" t="s">
        <v>418</v>
      </c>
      <c r="J89" s="153"/>
      <c r="K89" s="135">
        <f ca="1">IF(AC95&gt;0,AC95,0)</f>
        <v>0</v>
      </c>
      <c r="L89" s="136">
        <f ca="1">IF(AD95&gt;0,AD95,0)</f>
        <v>1</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D89" s="119" t="str">
        <v>ChInv</v>
      </c>
      <c r="BE89" s="119">
        <v>5</v>
      </c>
      <c r="BF89" s="119">
        <v>100</v>
      </c>
      <c r="BG89" s="119">
        <v>1</v>
      </c>
      <c r="BH89" s="574">
        <f t="shared" si="10"/>
        <v>5</v>
      </c>
      <c r="BI89" s="575">
        <f t="shared" si="11"/>
        <v>5</v>
      </c>
      <c r="BJ89" s="575" t="str">
        <f t="shared" si="15"/>
        <v>ChInv</v>
      </c>
      <c r="BK89" s="576">
        <f t="shared" si="12"/>
        <v>0</v>
      </c>
      <c r="BL89" s="580">
        <f t="shared" si="13"/>
        <v>100</v>
      </c>
      <c r="BM89" s="575">
        <f t="shared" si="14"/>
        <v>100</v>
      </c>
      <c r="BN89" s="575">
        <f t="shared" si="16"/>
        <v>1</v>
      </c>
      <c r="BO89" s="576">
        <f t="shared" si="17"/>
        <v>0</v>
      </c>
      <c r="BQ89" s="119" t="str">
        <v>ChInv</v>
      </c>
      <c r="BR89" s="119">
        <v>5</v>
      </c>
      <c r="BZ89" s="119">
        <v>100</v>
      </c>
      <c r="CA89" s="119">
        <v>1</v>
      </c>
    </row>
    <row r="90" spans="1:79" hidden="1" outlineLevel="1" x14ac:dyDescent="0.3">
      <c r="A90" s="155">
        <v>38</v>
      </c>
      <c r="B90" s="137" t="str">
        <f t="shared" ca="1" si="18"/>
        <v/>
      </c>
      <c r="C90" s="138"/>
      <c r="D90" s="139"/>
      <c r="F90" s="592"/>
      <c r="G90" s="140"/>
      <c r="H90" s="141">
        <v>1</v>
      </c>
      <c r="I90" s="592" t="s">
        <v>1285</v>
      </c>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D90" s="119" t="str">
        <v>ChPPR</v>
      </c>
      <c r="BE90" s="119">
        <v>1</v>
      </c>
      <c r="BH90" s="574">
        <f t="shared" si="10"/>
        <v>1</v>
      </c>
      <c r="BI90" s="575">
        <f t="shared" si="11"/>
        <v>1</v>
      </c>
      <c r="BJ90" s="575" t="str">
        <f t="shared" si="15"/>
        <v>ChPPR</v>
      </c>
      <c r="BK90" s="576">
        <f t="shared" si="12"/>
        <v>0</v>
      </c>
      <c r="BL90" s="580">
        <f t="shared" si="13"/>
        <v>0</v>
      </c>
      <c r="BM90" s="575">
        <f t="shared" si="14"/>
        <v>0</v>
      </c>
      <c r="BN90" s="575">
        <f t="shared" si="16"/>
        <v>0</v>
      </c>
      <c r="BO90" s="576">
        <f t="shared" si="17"/>
        <v>0</v>
      </c>
      <c r="BQ90" s="119" t="str">
        <v>ChPPR</v>
      </c>
      <c r="BR90" s="119">
        <v>1</v>
      </c>
    </row>
    <row r="91" spans="1:79" hidden="1" outlineLevel="1" x14ac:dyDescent="0.3">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0</v>
      </c>
      <c r="AB91" s="344">
        <f ca="1">SUMIF(Journal[Credit Account],B85,Journal[Cr Amt])</f>
        <v>1.55</v>
      </c>
      <c r="AC91" s="339">
        <f ca="1">C85-D85+AA91-AB91</f>
        <v>-1.55</v>
      </c>
      <c r="AD91" s="339">
        <f ca="1">D85-C85+AB91-AA91</f>
        <v>1.55</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D91" s="119">
        <v>2</v>
      </c>
      <c r="BE91" s="119">
        <v>60</v>
      </c>
      <c r="BH91" s="574">
        <f t="shared" si="10"/>
        <v>60</v>
      </c>
      <c r="BI91" s="575">
        <f t="shared" si="11"/>
        <v>60</v>
      </c>
      <c r="BJ91" s="575">
        <f t="shared" si="15"/>
        <v>2</v>
      </c>
      <c r="BK91" s="576">
        <f t="shared" si="12"/>
        <v>0</v>
      </c>
      <c r="BL91" s="580">
        <f t="shared" si="13"/>
        <v>0</v>
      </c>
      <c r="BM91" s="575">
        <f t="shared" si="14"/>
        <v>0</v>
      </c>
      <c r="BN91" s="575">
        <f t="shared" si="16"/>
        <v>0</v>
      </c>
      <c r="BO91" s="576">
        <f t="shared" si="17"/>
        <v>0</v>
      </c>
      <c r="BQ91" s="119">
        <v>2</v>
      </c>
      <c r="BR91" s="119">
        <v>60</v>
      </c>
    </row>
    <row r="92" spans="1:79" hidden="1" outlineLevel="1" x14ac:dyDescent="0.3">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D92" s="119" t="str">
        <v>Net Loss</v>
      </c>
      <c r="BE92" s="119">
        <v>4.2</v>
      </c>
      <c r="BH92" s="574">
        <f t="shared" si="10"/>
        <v>4.2</v>
      </c>
      <c r="BI92" s="575">
        <f t="shared" si="11"/>
        <v>4.2</v>
      </c>
      <c r="BJ92" s="575" t="str">
        <f t="shared" si="15"/>
        <v>Net Loss</v>
      </c>
      <c r="BK92" s="576">
        <f t="shared" si="12"/>
        <v>0</v>
      </c>
      <c r="BL92" s="580">
        <f t="shared" si="13"/>
        <v>0</v>
      </c>
      <c r="BM92" s="575">
        <f t="shared" si="14"/>
        <v>0</v>
      </c>
      <c r="BN92" s="575">
        <f t="shared" si="16"/>
        <v>0</v>
      </c>
      <c r="BO92" s="576">
        <f t="shared" si="17"/>
        <v>0</v>
      </c>
      <c r="BQ92" s="119" t="str">
        <v>Net Loss</v>
      </c>
      <c r="BR92" s="119">
        <v>4.2</v>
      </c>
    </row>
    <row r="93" spans="1:79" collapsed="1" x14ac:dyDescent="0.3">
      <c r="A93" s="155">
        <v>41</v>
      </c>
      <c r="B93" s="134" t="str">
        <f t="shared" ca="1" si="18"/>
        <v>Bonds Payable</v>
      </c>
      <c r="C93" s="135">
        <f ca="1">_xlfn.IFNA(_xlfn.XLOOKUP(B93,$AF$59:$AF$139,$AN$59:$AN$139,0),0)</f>
        <v>0</v>
      </c>
      <c r="D93" s="136">
        <f ca="1">_xlfn.IFNA(_xlfn.XLOOKUP(B93,$AF$59:$AF$139,$AO$59:$AO$139,0),"")</f>
        <v>0</v>
      </c>
      <c r="F93" s="593" t="s">
        <v>418</v>
      </c>
      <c r="G93" s="334">
        <f ca="1">IF((K93-L93)-(C93-D93)-SUM(G94:G96)+SUM(H94:H96)&gt;0,(K93-L93)-(C93-D93)-SUM(G94:G96)+SUM(H94:H96),0)</f>
        <v>0</v>
      </c>
      <c r="H93" s="330">
        <f ca="1">IF((K93-L93)-(C93-D93)-SUM(G94:G96)+SUM(H94:H96)&lt;0,-((K93-L93)-(C93-D93)-SUM(G94:G96)+SUM(H94:H96)),0)</f>
        <v>0</v>
      </c>
      <c r="I93" s="593" t="s">
        <v>418</v>
      </c>
      <c r="J93" s="153"/>
      <c r="K93" s="135">
        <f ca="1">IF(AC99&gt;0,AC99,0)</f>
        <v>0</v>
      </c>
      <c r="L93" s="136">
        <f ca="1">IF(AD99&gt;0,AD99,0)</f>
        <v>20</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79" hidden="1" outlineLevel="1" x14ac:dyDescent="0.3">
      <c r="A94" s="155">
        <v>42</v>
      </c>
      <c r="B94" s="137" t="str">
        <f t="shared" ca="1" si="18"/>
        <v/>
      </c>
      <c r="C94" s="138"/>
      <c r="D94" s="139"/>
      <c r="F94" s="592"/>
      <c r="G94" s="140"/>
      <c r="H94" s="141">
        <v>20</v>
      </c>
      <c r="I94" s="592">
        <v>6</v>
      </c>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79" hidden="1" outlineLevel="1" x14ac:dyDescent="0.3">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0</v>
      </c>
      <c r="AB95" s="344">
        <f ca="1">SUMIF(Journal[Credit Account],B89,Journal[Cr Amt])</f>
        <v>1</v>
      </c>
      <c r="AC95" s="339">
        <f ca="1">C89-D89+AA95-AB95</f>
        <v>-1</v>
      </c>
      <c r="AD95" s="339">
        <f ca="1">D89-C89+AB95-AA95</f>
        <v>1</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79" hidden="1" outlineLevel="1" x14ac:dyDescent="0.3">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x14ac:dyDescent="0.3">
      <c r="A97" s="155">
        <v>45</v>
      </c>
      <c r="B97" s="134" t="str">
        <f t="shared" ca="1" si="18"/>
        <v>Equities</v>
      </c>
      <c r="C97" s="135">
        <f ca="1">_xlfn.IFNA(_xlfn.XLOOKUP(B97,$AF$59:$AF$139,$AN$59:$AN$139,0),0)</f>
        <v>0</v>
      </c>
      <c r="D97" s="136">
        <f ca="1">_xlfn.IFNA(_xlfn.XLOOKUP(B97,$AF$59:$AF$139,$AO$59:$AO$139,0),"")</f>
        <v>0</v>
      </c>
      <c r="F97" s="593" t="s">
        <v>418</v>
      </c>
      <c r="G97" s="334">
        <f ca="1">IF((K97-L97)-(C97-D97)-SUM(G98:G100)+SUM(H98:H100)&gt;0,(K97-L97)-(C97-D97)-SUM(G98:G100)+SUM(H98:H100),0)</f>
        <v>0</v>
      </c>
      <c r="H97" s="330">
        <f ca="1">IF((K97-L97)-(C97-D97)-SUM(G98:G100)+SUM(H98:H100)&lt;0,-((K97-L97)-(C97-D97)-SUM(G98:G100)+SUM(H98:H100)),0)</f>
        <v>0</v>
      </c>
      <c r="I97" s="593" t="s">
        <v>418</v>
      </c>
      <c r="J97" s="153"/>
      <c r="K97" s="135">
        <f ca="1">IF(AC103&gt;0,AC103,0)</f>
        <v>0</v>
      </c>
      <c r="L97" s="136">
        <f ca="1">IF(AD103&gt;0,AD103,0)</f>
        <v>0</v>
      </c>
      <c r="N97" s="632"/>
      <c r="P97" s="123" t="b">
        <f ca="1">NOT(B97="")</f>
        <v>1</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x14ac:dyDescent="0.3">
      <c r="A98" s="155">
        <v>46</v>
      </c>
      <c r="B98" s="137" t="str">
        <f t="shared" ca="1" si="18"/>
        <v/>
      </c>
      <c r="C98" s="138"/>
      <c r="D98" s="139"/>
      <c r="F98" s="592"/>
      <c r="G98" s="140"/>
      <c r="H98" s="141"/>
      <c r="I98" s="592"/>
      <c r="J98" s="153"/>
      <c r="K98" s="142"/>
      <c r="L98" s="137"/>
      <c r="P98" s="123" t="b">
        <f ca="1">NOT(B97="")</f>
        <v>1</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x14ac:dyDescent="0.3">
      <c r="A99" s="155">
        <v>47</v>
      </c>
      <c r="B99" s="137" t="str">
        <f t="shared" ca="1" si="18"/>
        <v/>
      </c>
      <c r="C99" s="138"/>
      <c r="D99" s="139"/>
      <c r="F99" s="592"/>
      <c r="G99" s="140"/>
      <c r="H99" s="141"/>
      <c r="I99" s="592"/>
      <c r="J99" s="153"/>
      <c r="K99" s="142"/>
      <c r="L99" s="137"/>
      <c r="P99" s="123" t="b">
        <f ca="1">NOT(B97="")</f>
        <v>1</v>
      </c>
      <c r="Q99" s="623"/>
      <c r="R99" s="623"/>
      <c r="S99" s="622"/>
      <c r="W99" s="340">
        <f ca="1">IF(B93&lt;&gt;"",1,0)</f>
        <v>1</v>
      </c>
      <c r="X99" s="340"/>
      <c r="Y99" s="340"/>
      <c r="Z99" s="340"/>
      <c r="AA99" s="344">
        <f ca="1">SUMIF(Journal[Debit Account],B93,Journal[Dr Amt])</f>
        <v>0</v>
      </c>
      <c r="AB99" s="344">
        <f ca="1">SUMIF(Journal[Credit Account],B93,Journal[Cr Amt])</f>
        <v>20</v>
      </c>
      <c r="AC99" s="339">
        <f ca="1">C93-D93+AA99-AB99</f>
        <v>-20</v>
      </c>
      <c r="AD99" s="339">
        <f ca="1">D93-C93+AB99-AA99</f>
        <v>20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x14ac:dyDescent="0.3">
      <c r="A100" s="155">
        <v>48</v>
      </c>
      <c r="B100" s="143" t="str">
        <f t="shared" ca="1" si="18"/>
        <v/>
      </c>
      <c r="C100" s="144"/>
      <c r="D100" s="145"/>
      <c r="F100" s="592"/>
      <c r="G100" s="146"/>
      <c r="H100" s="147"/>
      <c r="I100" s="592"/>
      <c r="J100" s="153"/>
      <c r="K100" s="148"/>
      <c r="L100" s="143"/>
      <c r="P100" s="123" t="b">
        <f ca="1">NOT(B97="")</f>
        <v>1</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x14ac:dyDescent="0.3">
      <c r="A101" s="155">
        <v>49</v>
      </c>
      <c r="B101" s="134" t="str">
        <f t="shared" ca="1" si="18"/>
        <v>Common Stock</v>
      </c>
      <c r="C101" s="135">
        <f ca="1">_xlfn.IFNA(_xlfn.XLOOKUP(B101,$AF$59:$AF$139,$AN$59:$AN$139,0),0)</f>
        <v>0</v>
      </c>
      <c r="D101" s="136">
        <f ca="1">_xlfn.IFNA(_xlfn.XLOOKUP(B101,$AF$59:$AF$139,$AO$59:$AO$139,0),"")</f>
        <v>0</v>
      </c>
      <c r="F101" s="593" t="s">
        <v>418</v>
      </c>
      <c r="G101" s="334">
        <f ca="1">IF((K101-L101)-(C101-D101)-SUM(G102:G104)+SUM(H102:H104)&gt;0,(K101-L101)-(C101-D101)-SUM(G102:G104)+SUM(H102:H104),0)</f>
        <v>0</v>
      </c>
      <c r="H101" s="330">
        <f ca="1">IF((K101-L101)-(C101-D101)-SUM(G102:G104)+SUM(H102:H104)&lt;0,-((K101-L101)-(C101-D101)-SUM(G102:G104)+SUM(H102:H104)),0)</f>
        <v>0</v>
      </c>
      <c r="I101" s="593" t="s">
        <v>418</v>
      </c>
      <c r="J101" s="153"/>
      <c r="K101" s="135">
        <f ca="1">IF(AC107&gt;0,AC107,0)</f>
        <v>0</v>
      </c>
      <c r="L101" s="136">
        <f ca="1">IF(AD107&gt;0,AD107,0)</f>
        <v>100</v>
      </c>
      <c r="P101" s="123" t="b">
        <f ca="1">NOT(B101="")</f>
        <v>1</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x14ac:dyDescent="0.3">
      <c r="A102" s="155">
        <v>50</v>
      </c>
      <c r="B102" s="137" t="str">
        <f t="shared" ca="1" si="18"/>
        <v/>
      </c>
      <c r="C102" s="138"/>
      <c r="D102" s="139"/>
      <c r="F102" s="592"/>
      <c r="G102" s="140"/>
      <c r="H102" s="141">
        <v>100</v>
      </c>
      <c r="I102" s="592">
        <v>1</v>
      </c>
      <c r="J102" s="153"/>
      <c r="K102" s="142"/>
      <c r="L102" s="137"/>
      <c r="P102" s="123" t="b">
        <f ca="1">NOT(B101="")</f>
        <v>1</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x14ac:dyDescent="0.3">
      <c r="A103" s="155">
        <v>51</v>
      </c>
      <c r="B103" s="137" t="str">
        <f t="shared" ca="1" si="18"/>
        <v/>
      </c>
      <c r="C103" s="138"/>
      <c r="D103" s="139"/>
      <c r="F103" s="592"/>
      <c r="G103" s="140"/>
      <c r="H103" s="141"/>
      <c r="I103" s="592"/>
      <c r="J103" s="153"/>
      <c r="K103" s="142"/>
      <c r="L103" s="137"/>
      <c r="P103" s="123" t="b">
        <f ca="1">NOT(B101="")</f>
        <v>1</v>
      </c>
      <c r="Q103" s="623"/>
      <c r="R103" s="623"/>
      <c r="S103" s="622"/>
      <c r="W103" s="340">
        <f ca="1">IF(B97&lt;&gt;"",1,0)</f>
        <v>1</v>
      </c>
      <c r="X103" s="340"/>
      <c r="Y103" s="340"/>
      <c r="Z103" s="340"/>
      <c r="AA103" s="344">
        <f ca="1">SUMIF(Journal[Debit Account],B97,Journal[Dr Amt])</f>
        <v>0</v>
      </c>
      <c r="AB103" s="344">
        <f ca="1">SUMIF(Journal[Credit Account],B97,Journal[Cr Amt])</f>
        <v>0</v>
      </c>
      <c r="AC103" s="339">
        <f ca="1">C97-D97+AA103-AB103</f>
        <v>0</v>
      </c>
      <c r="AD103" s="339">
        <f ca="1">D97-C97+AB103-AA103</f>
        <v>0</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x14ac:dyDescent="0.3">
      <c r="A104" s="155">
        <v>52</v>
      </c>
      <c r="B104" s="143" t="str">
        <f t="shared" ca="1" si="18"/>
        <v/>
      </c>
      <c r="C104" s="144"/>
      <c r="D104" s="145"/>
      <c r="F104" s="592"/>
      <c r="G104" s="146"/>
      <c r="H104" s="147"/>
      <c r="I104" s="592"/>
      <c r="J104" s="153"/>
      <c r="K104" s="148"/>
      <c r="L104" s="143"/>
      <c r="P104" s="123" t="b">
        <f ca="1">NOT(B101="")</f>
        <v>1</v>
      </c>
      <c r="Q104" s="623"/>
      <c r="R104" s="623"/>
      <c r="S104" s="622"/>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x14ac:dyDescent="0.3">
      <c r="A105" s="155">
        <v>53</v>
      </c>
      <c r="B105" s="134" t="str">
        <f t="shared" ca="1" si="18"/>
        <v>Retained Earnings</v>
      </c>
      <c r="C105" s="135">
        <f ca="1">_xlfn.IFNA(_xlfn.XLOOKUP(B105,$AF$59:$AF$139,$AN$59:$AN$139,0),0)</f>
        <v>0</v>
      </c>
      <c r="D105" s="136">
        <f ca="1">_xlfn.IFNA(_xlfn.XLOOKUP(B105,$AF$59:$AF$139,$AO$59:$AO$139,0),"")</f>
        <v>0</v>
      </c>
      <c r="F105" s="593" t="s">
        <v>418</v>
      </c>
      <c r="G105" s="334">
        <f ca="1">IF((K105-L105)-(C105-D105)-SUM(G106:G108)+SUM(H106:H108)&gt;0,(K105-L105)-(C105-D105)-SUM(G106:G108)+SUM(H106:H108),0)</f>
        <v>0</v>
      </c>
      <c r="H105" s="330">
        <f ca="1">IF((K105-L105)-(C105-D105)-SUM(G106:G108)+SUM(H106:H108)&lt;0,-((K105-L105)-(C105-D105)-SUM(G106:G108)+SUM(H106:H108)),0)</f>
        <v>4.4408920985006262E-15</v>
      </c>
      <c r="I105" s="593" t="s">
        <v>418</v>
      </c>
      <c r="J105" s="153"/>
      <c r="K105" s="135">
        <f ca="1">IF(AC111&gt;0,AC111,0)</f>
        <v>4.1999999999999957</v>
      </c>
      <c r="L105" s="136">
        <f ca="1">IF(AD111&gt;0,AD111,0)</f>
        <v>0</v>
      </c>
      <c r="P105" s="123" t="b">
        <f ca="1">NOT(B105="")</f>
        <v>1</v>
      </c>
      <c r="Q105" s="626"/>
      <c r="R105" s="626"/>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x14ac:dyDescent="0.3">
      <c r="A106" s="155">
        <v>54</v>
      </c>
      <c r="B106" s="137" t="str">
        <f t="shared" ca="1" si="18"/>
        <v/>
      </c>
      <c r="C106" s="138"/>
      <c r="D106" s="139"/>
      <c r="F106" s="592" t="s">
        <v>420</v>
      </c>
      <c r="G106" s="140">
        <v>4.2</v>
      </c>
      <c r="H106" s="141"/>
      <c r="I106" s="592"/>
      <c r="J106" s="153"/>
      <c r="K106" s="142"/>
      <c r="L106" s="137"/>
      <c r="P106" s="123" t="b">
        <f ca="1">NOT(B105="")</f>
        <v>1</v>
      </c>
      <c r="Q106" s="623"/>
      <c r="R106" s="623"/>
      <c r="S106" s="622"/>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x14ac:dyDescent="0.3">
      <c r="A107" s="155">
        <v>55</v>
      </c>
      <c r="B107" s="137" t="str">
        <f t="shared" ca="1" si="18"/>
        <v/>
      </c>
      <c r="C107" s="138"/>
      <c r="D107" s="139"/>
      <c r="F107" s="592"/>
      <c r="G107" s="140"/>
      <c r="H107" s="141"/>
      <c r="I107" s="592"/>
      <c r="J107" s="153"/>
      <c r="K107" s="142"/>
      <c r="L107" s="137"/>
      <c r="P107" s="123" t="b">
        <f ca="1">NOT(B105="")</f>
        <v>1</v>
      </c>
      <c r="Q107" s="623"/>
      <c r="R107" s="623"/>
      <c r="S107" s="622"/>
      <c r="W107" s="340">
        <f ca="1">IF(B101&lt;&gt;"",1,0)</f>
        <v>1</v>
      </c>
      <c r="X107" s="340"/>
      <c r="Y107" s="340"/>
      <c r="Z107" s="340"/>
      <c r="AA107" s="344">
        <f ca="1">SUMIF(Journal[Debit Account],B101,Journal[Dr Amt])</f>
        <v>0</v>
      </c>
      <c r="AB107" s="344">
        <f ca="1">SUMIF(Journal[Credit Account],B101,Journal[Cr Amt])</f>
        <v>100</v>
      </c>
      <c r="AC107" s="339">
        <f ca="1">C101-D101+AA107-AB107</f>
        <v>-100</v>
      </c>
      <c r="AD107" s="339">
        <f ca="1">D101-C101+AB107-AA107</f>
        <v>100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x14ac:dyDescent="0.3">
      <c r="A108" s="155">
        <v>56</v>
      </c>
      <c r="B108" s="143" t="str">
        <f t="shared" ca="1" si="18"/>
        <v/>
      </c>
      <c r="C108" s="144"/>
      <c r="D108" s="145"/>
      <c r="F108" s="592"/>
      <c r="G108" s="146"/>
      <c r="H108" s="147"/>
      <c r="I108" s="592"/>
      <c r="J108" s="153"/>
      <c r="K108" s="148"/>
      <c r="L108" s="143"/>
      <c r="P108" s="123" t="b">
        <f ca="1">NOT(B105="")</f>
        <v>1</v>
      </c>
      <c r="Q108" s="623"/>
      <c r="R108" s="623"/>
      <c r="S108" s="622"/>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x14ac:dyDescent="0.3">
      <c r="A109" s="155">
        <v>57</v>
      </c>
      <c r="B109" s="134" t="str">
        <f t="shared" ca="1" si="18"/>
        <v/>
      </c>
      <c r="C109" s="135">
        <f ca="1">_xlfn.IFNA(_xlfn.XLOOKUP(B109,$AF$59:$AF$139,$AN$59:$AN$139,0),0)</f>
        <v>0</v>
      </c>
      <c r="D109" s="136">
        <f ca="1">_xlfn.IFNA(_xlfn.XLOOKUP(B109,$AF$59:$AF$139,$AO$59:$AO$139,0),"")</f>
        <v>0</v>
      </c>
      <c r="F109" s="593" t="s">
        <v>418</v>
      </c>
      <c r="G109" s="334"/>
      <c r="H109" s="330">
        <f ca="1">IF((K109-L109)-(C109-D109)-SUM(G110:G112)+SUM(H110:H112)&lt;0,-((K109-L109)-(C109-D109)-SUM(G110:G112)+SUM(H110:H112)),0)</f>
        <v>0</v>
      </c>
      <c r="I109" s="593" t="s">
        <v>418</v>
      </c>
      <c r="J109" s="153"/>
      <c r="K109" s="135">
        <f ca="1">IF(AC115&gt;0,AC115,0)</f>
        <v>0</v>
      </c>
      <c r="L109" s="136">
        <f ca="1">IF(AD115&gt;0,AD115,0)</f>
        <v>0</v>
      </c>
      <c r="P109" s="123" t="b">
        <f ca="1">NOT(B109="")</f>
        <v>0</v>
      </c>
      <c r="Q109" s="626"/>
      <c r="R109" s="626"/>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x14ac:dyDescent="0.3">
      <c r="A110" s="155">
        <v>58</v>
      </c>
      <c r="B110" s="137" t="str">
        <f t="shared" ca="1" si="18"/>
        <v/>
      </c>
      <c r="C110" s="138"/>
      <c r="D110" s="139"/>
      <c r="F110" s="592"/>
      <c r="G110" s="140"/>
      <c r="H110" s="141"/>
      <c r="I110" s="592"/>
      <c r="J110" s="153"/>
      <c r="K110" s="142"/>
      <c r="L110" s="137"/>
      <c r="P110" s="123" t="b">
        <f ca="1">NOT(B109="")</f>
        <v>0</v>
      </c>
      <c r="Q110" s="623"/>
      <c r="R110" s="623"/>
      <c r="S110" s="622"/>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x14ac:dyDescent="0.3">
      <c r="A111" s="155">
        <v>59</v>
      </c>
      <c r="B111" s="137" t="str">
        <f t="shared" ca="1" si="18"/>
        <v/>
      </c>
      <c r="C111" s="138"/>
      <c r="D111" s="139"/>
      <c r="F111" s="592"/>
      <c r="G111" s="140"/>
      <c r="H111" s="141"/>
      <c r="I111" s="592"/>
      <c r="J111" s="153"/>
      <c r="K111" s="142"/>
      <c r="L111" s="137"/>
      <c r="P111" s="123" t="b">
        <f ca="1">NOT(B109="")</f>
        <v>0</v>
      </c>
      <c r="Q111" s="623"/>
      <c r="R111" s="623"/>
      <c r="S111" s="622"/>
      <c r="W111" s="340">
        <f ca="1">IF(B105&lt;&gt;"",1,0)</f>
        <v>1</v>
      </c>
      <c r="X111" s="340"/>
      <c r="Y111" s="340"/>
      <c r="Z111" s="340"/>
      <c r="AA111" s="344">
        <f ca="1">SUMIF(Journal[Debit Account],B105,Journal[Dr Amt])</f>
        <v>4.1999999999999957</v>
      </c>
      <c r="AB111" s="344">
        <f ca="1">SUMIF(Journal[Credit Account],B105,Journal[Cr Amt])</f>
        <v>0</v>
      </c>
      <c r="AC111" s="339">
        <f ca="1">C105-D105+AA111-AB111</f>
        <v>4.1999999999999957</v>
      </c>
      <c r="AD111" s="339">
        <f ca="1">D105-C105+AB111-AA111</f>
        <v>-4.1999999999999957</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x14ac:dyDescent="0.3">
      <c r="A112" s="155">
        <v>60</v>
      </c>
      <c r="B112" s="137" t="str">
        <f t="shared" ca="1" si="18"/>
        <v/>
      </c>
      <c r="C112" s="138"/>
      <c r="D112" s="139"/>
      <c r="F112" s="592"/>
      <c r="G112" s="146"/>
      <c r="H112" s="147"/>
      <c r="I112" s="592"/>
      <c r="J112" s="153"/>
      <c r="K112" s="142"/>
      <c r="L112" s="137"/>
      <c r="P112" s="123" t="b">
        <f ca="1">NOT(B109="")</f>
        <v>0</v>
      </c>
      <c r="Q112" s="623"/>
      <c r="R112" s="623"/>
      <c r="S112" s="622"/>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x14ac:dyDescent="0.3">
      <c r="A113" s="155">
        <v>61</v>
      </c>
      <c r="B113" s="134" t="str">
        <f t="shared" ca="1" si="18"/>
        <v/>
      </c>
      <c r="C113" s="135">
        <f ca="1">_xlfn.IFNA(_xlfn.XLOOKUP(B113,$AF$59:$AF$139,$AN$59:$AN$139,0),0)</f>
        <v>0</v>
      </c>
      <c r="D113" s="136">
        <f ca="1">_xlfn.IFNA(_xlfn.XLOOKUP(B113,$AF$59:$AF$139,$AO$59:$AO$139,0),"")</f>
        <v>0</v>
      </c>
      <c r="F113" s="593" t="s">
        <v>418</v>
      </c>
      <c r="G113" s="334">
        <f ca="1">IF((K113-L113)-(C113-D113)-SUM(G114:G116)+SUM(H114:H116)&gt;0,(K113-L113)-(C113-D113)-SUM(G114:G116)+SUM(H114:H116),0)</f>
        <v>0</v>
      </c>
      <c r="H113" s="330">
        <f ca="1">IF((K113-L113)-(C113-D113)-SUM(G114:G116)+SUM(H114:H116)&lt;0,-((K113-L113)-(C113-D113)-SUM(G114:G116)+SUM(H114:H116)),0)</f>
        <v>0</v>
      </c>
      <c r="I113" s="593" t="s">
        <v>418</v>
      </c>
      <c r="J113" s="153"/>
      <c r="K113" s="135">
        <f ca="1">IF(AC119&gt;0,AC119,0)</f>
        <v>0</v>
      </c>
      <c r="L113" s="136">
        <f ca="1">IF(AD119&gt;0,AD119,0)</f>
        <v>0</v>
      </c>
      <c r="P113" s="123" t="b">
        <f ca="1">NOT(B113="")</f>
        <v>0</v>
      </c>
      <c r="Q113" s="626"/>
      <c r="R113" s="626"/>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x14ac:dyDescent="0.3">
      <c r="A114" s="155">
        <v>62</v>
      </c>
      <c r="B114" s="137" t="str">
        <f t="shared" ca="1" si="18"/>
        <v/>
      </c>
      <c r="C114" s="138"/>
      <c r="D114" s="139"/>
      <c r="F114" s="592"/>
      <c r="G114" s="140"/>
      <c r="H114" s="141"/>
      <c r="I114" s="592"/>
      <c r="J114" s="153"/>
      <c r="K114" s="142"/>
      <c r="L114" s="137"/>
      <c r="P114" s="123" t="b">
        <f ca="1">NOT(B113="")</f>
        <v>0</v>
      </c>
      <c r="Q114" s="623"/>
      <c r="R114" s="623"/>
      <c r="S114" s="622"/>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x14ac:dyDescent="0.3">
      <c r="A115" s="155">
        <v>63</v>
      </c>
      <c r="B115" s="137" t="str">
        <f t="shared" ca="1" si="18"/>
        <v/>
      </c>
      <c r="C115" s="138"/>
      <c r="D115" s="139"/>
      <c r="F115" s="592"/>
      <c r="G115" s="140"/>
      <c r="H115" s="141"/>
      <c r="I115" s="592"/>
      <c r="J115" s="153"/>
      <c r="K115" s="142"/>
      <c r="L115" s="137"/>
      <c r="P115" s="123" t="b">
        <f ca="1">NOT(B113="")</f>
        <v>0</v>
      </c>
      <c r="Q115" s="623"/>
      <c r="R115" s="623"/>
      <c r="S115" s="622"/>
      <c r="W115" s="340">
        <f ca="1">IF(B109&lt;&gt;"",1,0)</f>
        <v>0</v>
      </c>
      <c r="X115" s="340"/>
      <c r="Y115" s="340"/>
      <c r="Z115" s="340"/>
      <c r="AA115" s="344">
        <f ca="1">SUMIF(Journal[Debit Account],B109,Journal[Dr Amt])</f>
        <v>0</v>
      </c>
      <c r="AB115" s="344">
        <f ca="1">SUMIF(Journal[Credit Account],B109,Journal[Cr Amt])</f>
        <v>0</v>
      </c>
      <c r="AC115" s="339">
        <f ca="1">C109-D109+AA115-AB115</f>
        <v>0</v>
      </c>
      <c r="AD115" s="339">
        <f ca="1">D109-C109+AB115-AA115</f>
        <v>0</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 hidden="1" outlineLevel="1" collapsed="1" thickBot="1" x14ac:dyDescent="0.35">
      <c r="A116" s="155">
        <v>64</v>
      </c>
      <c r="B116" s="137" t="str">
        <f t="shared" ca="1" si="18"/>
        <v/>
      </c>
      <c r="C116" s="138"/>
      <c r="D116" s="139"/>
      <c r="F116" s="592"/>
      <c r="G116" s="146"/>
      <c r="H116" s="147"/>
      <c r="I116" s="592"/>
      <c r="J116" s="153"/>
      <c r="K116" s="142"/>
      <c r="L116" s="137"/>
      <c r="P116" s="123" t="b">
        <f ca="1">NOT(B113="")</f>
        <v>0</v>
      </c>
      <c r="Q116" s="623"/>
      <c r="R116" s="623"/>
      <c r="S116" s="622"/>
      <c r="W116" s="340">
        <f ca="1">IF(B109&lt;&gt;"",1,0)</f>
        <v>0</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40.049999999999997</v>
      </c>
      <c r="BF116" s="332">
        <f>K4</f>
        <v>40.050000000000011</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x14ac:dyDescent="0.3">
      <c r="A117" s="155">
        <v>65</v>
      </c>
      <c r="B117" s="134" t="str">
        <f t="shared" ref="B117:B148" ca="1" si="19">_xlfn.IFNA(_xlfn.XLOOKUP(A117,$AE$59:$AE$139,$AF$59:$AF$139,""),"")</f>
        <v/>
      </c>
      <c r="C117" s="135">
        <f ca="1">_xlfn.IFNA(_xlfn.XLOOKUP(B117,$AF$59:$AF$139,$AN$59:$AN$139,0),0)</f>
        <v>0</v>
      </c>
      <c r="D117" s="136">
        <f ca="1">_xlfn.IFNA(_xlfn.XLOOKUP(B117,$AF$59:$AF$139,$AO$59:$AO$139,0),"")</f>
        <v>0</v>
      </c>
      <c r="F117" s="593" t="s">
        <v>418</v>
      </c>
      <c r="G117" s="334">
        <f ca="1">IF((K117-L117)-(C117-D117)-SUM(G118:G120)+SUM(H118:H120)&gt;0,(K117-L117)-(C117-D117)-SUM(G118:G120)+SUM(H118:H120),0)</f>
        <v>0</v>
      </c>
      <c r="H117" s="330">
        <f ca="1">IF((K117-L117)-(C117-D117)-SUM(G118:G120)+SUM(H118:H120)&lt;0,-((K117-L117)-(C117-D117)-SUM(G118:G120)+SUM(H118:H120)),0)</f>
        <v>0</v>
      </c>
      <c r="I117" s="593" t="s">
        <v>418</v>
      </c>
      <c r="J117" s="153"/>
      <c r="K117" s="135">
        <f ca="1">IF(AC123&gt;0,AC123,0)</f>
        <v>0</v>
      </c>
      <c r="L117" s="136">
        <f ca="1">IF(AD123&gt;0,AD123,0)</f>
        <v>0</v>
      </c>
      <c r="P117" s="123" t="b">
        <f ca="1">NOT(B117="")</f>
        <v>0</v>
      </c>
      <c r="Q117" s="626"/>
      <c r="R117" s="626"/>
      <c r="W117" s="340">
        <f ca="1">IF(B109&lt;&gt;"",1,0)</f>
        <v>0</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x14ac:dyDescent="0.3">
      <c r="A118" s="155">
        <v>66</v>
      </c>
      <c r="B118" s="137" t="str">
        <f t="shared" ca="1" si="19"/>
        <v/>
      </c>
      <c r="C118" s="138"/>
      <c r="D118" s="139"/>
      <c r="F118" s="592"/>
      <c r="G118" s="140"/>
      <c r="H118" s="141"/>
      <c r="I118" s="592"/>
      <c r="J118" s="153"/>
      <c r="K118" s="142"/>
      <c r="L118" s="137"/>
      <c r="P118" s="123" t="b">
        <f ca="1">NOT(B117="")</f>
        <v>0</v>
      </c>
      <c r="Q118" s="623"/>
      <c r="R118" s="623"/>
      <c r="S118" s="622"/>
      <c r="W118" s="340">
        <f ca="1">IF(B109&lt;&gt;"",1,0)</f>
        <v>0</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
      </c>
      <c r="BF118" s="332">
        <f>ROUND(BF116-BE116,2)</f>
        <v>0</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x14ac:dyDescent="0.3">
      <c r="A119" s="155">
        <v>67</v>
      </c>
      <c r="B119" s="137" t="str">
        <f t="shared" ca="1" si="19"/>
        <v/>
      </c>
      <c r="C119" s="138"/>
      <c r="D119" s="139"/>
      <c r="F119" s="592"/>
      <c r="G119" s="140"/>
      <c r="H119" s="141"/>
      <c r="I119" s="592"/>
      <c r="J119" s="153"/>
      <c r="K119" s="142"/>
      <c r="L119" s="137"/>
      <c r="P119" s="123" t="b">
        <f ca="1">NOT(B117="")</f>
        <v>0</v>
      </c>
      <c r="Q119" s="623"/>
      <c r="R119" s="623"/>
      <c r="S119" s="622"/>
      <c r="W119" s="340">
        <f ca="1">IF(B113&lt;&gt;"",1,0)</f>
        <v>0</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x14ac:dyDescent="0.3">
      <c r="A120" s="155">
        <v>68</v>
      </c>
      <c r="B120" s="143" t="str">
        <f t="shared" ca="1" si="19"/>
        <v/>
      </c>
      <c r="C120" s="144"/>
      <c r="D120" s="145"/>
      <c r="F120" s="592"/>
      <c r="G120" s="146"/>
      <c r="H120" s="147"/>
      <c r="I120" s="592"/>
      <c r="J120" s="153"/>
      <c r="K120" s="142"/>
      <c r="L120" s="137"/>
      <c r="P120" s="123" t="b">
        <f ca="1">NOT(B117="")</f>
        <v>0</v>
      </c>
      <c r="Q120" s="623"/>
      <c r="R120" s="623"/>
      <c r="S120" s="622"/>
      <c r="W120" s="340">
        <f ca="1">IF(B113&lt;&gt;"",1,0)</f>
        <v>0</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x14ac:dyDescent="0.3">
      <c r="A121" s="155">
        <v>69</v>
      </c>
      <c r="B121" s="134" t="str">
        <f t="shared" ca="1" si="19"/>
        <v/>
      </c>
      <c r="C121" s="135">
        <f ca="1">_xlfn.IFNA(_xlfn.XLOOKUP(B121,$AF$59:$AF$139,$AN$59:$AN$139,0),0)</f>
        <v>0</v>
      </c>
      <c r="D121" s="136">
        <f ca="1">_xlfn.IFNA(_xlfn.XLOOKUP(B121,$AF$59:$AF$139,$AO$59:$AO$139,0),"")</f>
        <v>0</v>
      </c>
      <c r="F121" s="593" t="s">
        <v>418</v>
      </c>
      <c r="G121" s="334">
        <f ca="1">IF((K121-L121)-(C121-D121)-SUM(G122:G124)+SUM(H122:H124)&gt;0,(K121-L121)-(C121-D121)-SUM(G122:G124)+SUM(H122:H124),0)</f>
        <v>0</v>
      </c>
      <c r="H121" s="330">
        <f ca="1">IF((K121-L121)-(C121-D121)-SUM(G122:G124)+SUM(H122:H124)&lt;0,-((K121-L121)-(C121-D121)-SUM(G122:G124)+SUM(H122:H124)),0)</f>
        <v>0</v>
      </c>
      <c r="I121" s="593" t="s">
        <v>418</v>
      </c>
      <c r="J121" s="153"/>
      <c r="K121" s="135">
        <f ca="1">IF(AC127&gt;0,AC127,0)</f>
        <v>0</v>
      </c>
      <c r="L121" s="136">
        <f ca="1">IF(AD127&gt;0,AD127,0)</f>
        <v>0</v>
      </c>
      <c r="P121" s="123" t="b">
        <f ca="1">NOT(B121="")</f>
        <v>0</v>
      </c>
      <c r="Q121" s="626"/>
      <c r="R121" s="626"/>
      <c r="W121" s="340">
        <f ca="1">IF(B113&lt;&gt;"",1,0)</f>
        <v>0</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x14ac:dyDescent="0.3">
      <c r="A122" s="155">
        <v>70</v>
      </c>
      <c r="B122" s="137" t="str">
        <f t="shared" ca="1" si="19"/>
        <v/>
      </c>
      <c r="C122" s="138"/>
      <c r="D122" s="139"/>
      <c r="F122" s="592"/>
      <c r="G122" s="140"/>
      <c r="H122" s="141"/>
      <c r="I122" s="592"/>
      <c r="J122" s="153"/>
      <c r="K122" s="142"/>
      <c r="L122" s="137"/>
      <c r="P122" s="123" t="b">
        <f ca="1">NOT(B121="")</f>
        <v>0</v>
      </c>
      <c r="Q122" s="623"/>
      <c r="R122" s="623"/>
      <c r="S122" s="622"/>
      <c r="W122" s="340">
        <f ca="1">IF(B113&lt;&gt;"",1,0)</f>
        <v>0</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x14ac:dyDescent="0.3">
      <c r="A123" s="155">
        <v>71</v>
      </c>
      <c r="B123" s="137" t="str">
        <f t="shared" ca="1" si="19"/>
        <v/>
      </c>
      <c r="C123" s="138"/>
      <c r="D123" s="139"/>
      <c r="F123" s="592"/>
      <c r="G123" s="140"/>
      <c r="H123" s="141"/>
      <c r="I123" s="592"/>
      <c r="J123" s="153"/>
      <c r="K123" s="142"/>
      <c r="L123" s="137"/>
      <c r="P123" s="123" t="b">
        <f ca="1">NOT(B121="")</f>
        <v>0</v>
      </c>
      <c r="Q123" s="623"/>
      <c r="R123" s="623"/>
      <c r="S123" s="622"/>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x14ac:dyDescent="0.3">
      <c r="A124" s="155">
        <v>72</v>
      </c>
      <c r="B124" s="143" t="str">
        <f t="shared" ca="1" si="19"/>
        <v/>
      </c>
      <c r="C124" s="144"/>
      <c r="D124" s="145"/>
      <c r="F124" s="592"/>
      <c r="G124" s="146"/>
      <c r="H124" s="147"/>
      <c r="I124" s="592"/>
      <c r="J124" s="153"/>
      <c r="K124" s="142"/>
      <c r="L124" s="137"/>
      <c r="P124" s="123" t="b">
        <f ca="1">NOT(B121="")</f>
        <v>0</v>
      </c>
      <c r="Q124" s="623"/>
      <c r="R124" s="623"/>
      <c r="S124" s="622"/>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x14ac:dyDescent="0.3">
      <c r="A125" s="155">
        <v>73</v>
      </c>
      <c r="B125" s="134" t="str">
        <f t="shared" ca="1" si="19"/>
        <v/>
      </c>
      <c r="C125" s="135">
        <f ca="1">_xlfn.IFNA(_xlfn.XLOOKUP(B125,$AF$59:$AF$139,$AN$59:$AN$139,0),0)</f>
        <v>0</v>
      </c>
      <c r="D125" s="136">
        <f ca="1">_xlfn.IFNA(_xlfn.XLOOKUP(B125,$AF$59:$AF$139,$AO$59:$AO$139,0),"")</f>
        <v>0</v>
      </c>
      <c r="F125" s="593" t="s">
        <v>418</v>
      </c>
      <c r="G125" s="334">
        <f ca="1">IF((K125-L125)-(C125-D125)-SUM(G126:G128)+SUM(H126:H128)&gt;0,(K125-L125)-(C125-D125)-SUM(G126:G128)+SUM(H126:H128),0)</f>
        <v>0</v>
      </c>
      <c r="H125" s="330">
        <f ca="1">IF((K125-L125)-(C125-D125)-SUM(G126:G128)+SUM(H126:H128)&lt;0,-((K125-L125)-(C125-D125)-SUM(G126:G128)+SUM(H126:H128)),0)</f>
        <v>0</v>
      </c>
      <c r="I125" s="593" t="s">
        <v>418</v>
      </c>
      <c r="J125" s="153"/>
      <c r="K125" s="135">
        <f ca="1">IF(AC131&gt;0,AC131,0)</f>
        <v>0</v>
      </c>
      <c r="L125" s="136">
        <f ca="1">IF(AD131&gt;0,AD131,0)</f>
        <v>0</v>
      </c>
      <c r="P125" s="123" t="b">
        <f ca="1">NOT(B125="")</f>
        <v>0</v>
      </c>
      <c r="Q125" s="626"/>
      <c r="R125" s="626"/>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x14ac:dyDescent="0.3">
      <c r="A126" s="155">
        <v>74</v>
      </c>
      <c r="B126" s="137" t="str">
        <f t="shared" ca="1" si="19"/>
        <v/>
      </c>
      <c r="C126" s="138"/>
      <c r="D126" s="139"/>
      <c r="F126" s="592"/>
      <c r="G126" s="140"/>
      <c r="H126" s="141"/>
      <c r="I126" s="592"/>
      <c r="J126" s="153"/>
      <c r="K126" s="142"/>
      <c r="L126" s="137"/>
      <c r="P126" s="123" t="b">
        <f ca="1">NOT(B125="")</f>
        <v>0</v>
      </c>
      <c r="Q126" s="623"/>
      <c r="R126" s="623"/>
      <c r="S126" s="622"/>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x14ac:dyDescent="0.3">
      <c r="A127" s="155">
        <v>75</v>
      </c>
      <c r="B127" s="137" t="str">
        <f t="shared" ca="1" si="19"/>
        <v/>
      </c>
      <c r="C127" s="138"/>
      <c r="D127" s="139"/>
      <c r="F127" s="592"/>
      <c r="G127" s="140"/>
      <c r="H127" s="141"/>
      <c r="I127" s="592"/>
      <c r="J127" s="153"/>
      <c r="K127" s="142"/>
      <c r="L127" s="137"/>
      <c r="P127" s="123" t="b">
        <f ca="1">NOT(B125="")</f>
        <v>0</v>
      </c>
      <c r="Q127" s="623"/>
      <c r="R127" s="623"/>
      <c r="S127" s="622"/>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x14ac:dyDescent="0.3">
      <c r="A128" s="155">
        <v>76</v>
      </c>
      <c r="B128" s="143" t="str">
        <f t="shared" ca="1" si="19"/>
        <v/>
      </c>
      <c r="C128" s="144"/>
      <c r="D128" s="145"/>
      <c r="F128" s="592"/>
      <c r="G128" s="146"/>
      <c r="H128" s="147"/>
      <c r="I128" s="592"/>
      <c r="J128" s="153"/>
      <c r="K128" s="142"/>
      <c r="L128" s="137"/>
      <c r="P128" s="123" t="b">
        <f ca="1">NOT(B125="")</f>
        <v>0</v>
      </c>
      <c r="Q128" s="623"/>
      <c r="R128" s="623"/>
      <c r="S128" s="622"/>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x14ac:dyDescent="0.3">
      <c r="A129" s="155">
        <v>77</v>
      </c>
      <c r="B129" s="134" t="str">
        <f t="shared" ca="1" si="19"/>
        <v/>
      </c>
      <c r="C129" s="135">
        <f ca="1">_xlfn.IFNA(_xlfn.XLOOKUP(B129,$AF$59:$AF$139,$AN$59:$AN$139,0),0)</f>
        <v>0</v>
      </c>
      <c r="D129" s="136">
        <f ca="1">_xlfn.IFNA(_xlfn.XLOOKUP(B129,$AF$59:$AF$139,$AO$59:$AO$139,0),"")</f>
        <v>0</v>
      </c>
      <c r="F129" s="593" t="s">
        <v>418</v>
      </c>
      <c r="G129" s="334">
        <f ca="1">IF((K129-L129)-(C129-D129)-SUM(G130:G132)+SUM(H130:H132)&gt;0,(K129-L129)-(C129-D129)-SUM(G130:G132)+SUM(H130:H132),0)</f>
        <v>0</v>
      </c>
      <c r="H129" s="330">
        <f ca="1">IF((K129-L129)-(C129-D129)-SUM(G130:G132)+SUM(H130:H132)&lt;0,-((K129-L129)-(C129-D129)-SUM(G130:G132)+SUM(H130:H132)),0)</f>
        <v>0</v>
      </c>
      <c r="I129" s="593" t="s">
        <v>418</v>
      </c>
      <c r="J129" s="153"/>
      <c r="K129" s="135">
        <f ca="1">IF(AC135&gt;0,AC135,0)</f>
        <v>0</v>
      </c>
      <c r="L129" s="136">
        <f ca="1">IF(AD135&gt;0,AD135,0)</f>
        <v>0</v>
      </c>
      <c r="P129" s="123" t="b">
        <f ca="1">NOT(B129="")</f>
        <v>0</v>
      </c>
      <c r="Q129" s="626"/>
      <c r="R129" s="626"/>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x14ac:dyDescent="0.3">
      <c r="A130" s="155">
        <v>78</v>
      </c>
      <c r="B130" s="137" t="str">
        <f t="shared" ca="1" si="19"/>
        <v/>
      </c>
      <c r="C130" s="138"/>
      <c r="D130" s="139"/>
      <c r="F130" s="592"/>
      <c r="G130" s="140"/>
      <c r="H130" s="141"/>
      <c r="I130" s="592"/>
      <c r="J130" s="153"/>
      <c r="K130" s="142"/>
      <c r="L130" s="137"/>
      <c r="P130" s="123" t="b">
        <f ca="1">NOT(B129="")</f>
        <v>0</v>
      </c>
      <c r="Q130" s="623"/>
      <c r="R130" s="623"/>
      <c r="S130" s="622"/>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x14ac:dyDescent="0.3">
      <c r="A131" s="155">
        <v>79</v>
      </c>
      <c r="B131" s="137" t="str">
        <f t="shared" ca="1" si="19"/>
        <v/>
      </c>
      <c r="C131" s="138"/>
      <c r="D131" s="139"/>
      <c r="F131" s="592"/>
      <c r="G131" s="140"/>
      <c r="H131" s="141"/>
      <c r="I131" s="592"/>
      <c r="J131" s="153"/>
      <c r="K131" s="142"/>
      <c r="L131" s="137"/>
      <c r="P131" s="123" t="b">
        <f ca="1">NOT(B129="")</f>
        <v>0</v>
      </c>
      <c r="Q131" s="623"/>
      <c r="R131" s="623"/>
      <c r="S131" s="622"/>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x14ac:dyDescent="0.3">
      <c r="A132" s="155">
        <v>80</v>
      </c>
      <c r="B132" s="143" t="str">
        <f t="shared" ca="1" si="19"/>
        <v/>
      </c>
      <c r="C132" s="144"/>
      <c r="D132" s="145"/>
      <c r="F132" s="592"/>
      <c r="G132" s="146"/>
      <c r="H132" s="147"/>
      <c r="I132" s="592"/>
      <c r="J132" s="153"/>
      <c r="K132" s="142"/>
      <c r="L132" s="137"/>
      <c r="P132" s="123" t="b">
        <f ca="1">NOT(B129="")</f>
        <v>0</v>
      </c>
      <c r="Q132" s="623"/>
      <c r="R132" s="623"/>
      <c r="S132" s="622"/>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x14ac:dyDescent="0.3">
      <c r="A133" s="155">
        <v>81</v>
      </c>
      <c r="B133" s="134" t="str">
        <f t="shared" ca="1" si="19"/>
        <v/>
      </c>
      <c r="C133" s="135">
        <f ca="1">_xlfn.IFNA(_xlfn.XLOOKUP(B133,$AF$59:$AF$139,$AN$59:$AN$139,0),0)</f>
        <v>0</v>
      </c>
      <c r="D133" s="136">
        <f ca="1">_xlfn.IFNA(_xlfn.XLOOKUP(B133,$AF$59:$AF$139,$AO$59:$AO$139,0),"")</f>
        <v>0</v>
      </c>
      <c r="F133" s="593" t="s">
        <v>418</v>
      </c>
      <c r="G133" s="334">
        <f ca="1">IF((K133-L133)-(C133-D133)-SUM(G134:G136)+SUM(H134:H136)&gt;0,(K133-L133)-(C133-D133)-SUM(G134:G136)+SUM(H134:H136),0)</f>
        <v>0</v>
      </c>
      <c r="H133" s="330">
        <f ca="1">IF((K133-L133)-(C133-D133)-SUM(G134:G136)+SUM(H134:H136)&lt;0,-((K133-L133)-(C133-D133)-SUM(G134:G136)+SUM(H134:H136)),0)</f>
        <v>0</v>
      </c>
      <c r="I133" s="593" t="s">
        <v>418</v>
      </c>
      <c r="J133" s="153"/>
      <c r="K133" s="135">
        <f ca="1">IF(AC139&gt;0,AC139,0)</f>
        <v>0</v>
      </c>
      <c r="L133" s="136">
        <f ca="1">IF(AD139&gt;0,AD139,0)</f>
        <v>0</v>
      </c>
      <c r="P133" s="123" t="b">
        <f ca="1">NOT(B133="")</f>
        <v>0</v>
      </c>
      <c r="Q133" s="626"/>
      <c r="R133" s="626"/>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x14ac:dyDescent="0.3">
      <c r="A134" s="155">
        <v>82</v>
      </c>
      <c r="B134" s="137" t="str">
        <f t="shared" ca="1" si="19"/>
        <v/>
      </c>
      <c r="C134" s="138"/>
      <c r="D134" s="139"/>
      <c r="F134" s="592"/>
      <c r="G134" s="140"/>
      <c r="H134" s="141"/>
      <c r="I134" s="592"/>
      <c r="J134" s="153"/>
      <c r="K134" s="142"/>
      <c r="L134" s="137"/>
      <c r="P134" s="123" t="b">
        <f ca="1">NOT(B133="")</f>
        <v>0</v>
      </c>
      <c r="Q134" s="623"/>
      <c r="R134" s="623"/>
      <c r="S134" s="622"/>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x14ac:dyDescent="0.3">
      <c r="A135" s="155">
        <v>83</v>
      </c>
      <c r="B135" s="137" t="str">
        <f t="shared" ca="1" si="19"/>
        <v/>
      </c>
      <c r="C135" s="138"/>
      <c r="D135" s="139"/>
      <c r="F135" s="592"/>
      <c r="G135" s="140"/>
      <c r="H135" s="141"/>
      <c r="I135" s="592"/>
      <c r="J135" s="153"/>
      <c r="K135" s="142"/>
      <c r="L135" s="137"/>
      <c r="P135" s="123" t="b">
        <f ca="1">NOT(B133="")</f>
        <v>0</v>
      </c>
      <c r="Q135" s="623"/>
      <c r="R135" s="623"/>
      <c r="S135" s="622"/>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x14ac:dyDescent="0.3">
      <c r="A136" s="155">
        <v>84</v>
      </c>
      <c r="B136" s="143" t="str">
        <f t="shared" ca="1" si="19"/>
        <v/>
      </c>
      <c r="C136" s="144"/>
      <c r="D136" s="145"/>
      <c r="F136" s="592"/>
      <c r="G136" s="146"/>
      <c r="H136" s="147"/>
      <c r="I136" s="592"/>
      <c r="J136" s="153"/>
      <c r="K136" s="142"/>
      <c r="L136" s="137"/>
      <c r="P136" s="123" t="b">
        <f ca="1">NOT(B133="")</f>
        <v>0</v>
      </c>
      <c r="Q136" s="623"/>
      <c r="R136" s="623"/>
      <c r="S136" s="622"/>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x14ac:dyDescent="0.3">
      <c r="A137" s="155">
        <v>85</v>
      </c>
      <c r="B137" s="134" t="str">
        <f t="shared" ca="1" si="19"/>
        <v/>
      </c>
      <c r="C137" s="135">
        <f ca="1">_xlfn.IFNA(_xlfn.XLOOKUP(B137,$AF$59:$AF$139,$AN$59:$AN$139,0),0)</f>
        <v>0</v>
      </c>
      <c r="D137" s="136">
        <f ca="1">_xlfn.IFNA(_xlfn.XLOOKUP(B137,$AF$59:$AF$139,$AO$59:$AO$139,0),"")</f>
        <v>0</v>
      </c>
      <c r="F137" s="593" t="s">
        <v>418</v>
      </c>
      <c r="G137" s="334">
        <f ca="1">IF((K137-L137)-(C137-D137)-SUM(G138:G140)+SUM(H138:H140)&gt;0,(K137-L137)-(C137-D137)-SUM(G138:G140)+SUM(H138:H140),0)</f>
        <v>0</v>
      </c>
      <c r="H137" s="330">
        <f ca="1">IF((K137-L137)-(C137-D137)-SUM(G138:G140)+SUM(H138:H140)&lt;0,-((K137-L137)-(C137-D137)-SUM(G138:G140)+SUM(H138:H140)),0)</f>
        <v>0</v>
      </c>
      <c r="I137" s="593" t="s">
        <v>418</v>
      </c>
      <c r="J137" s="153"/>
      <c r="K137" s="135">
        <f ca="1">IF(AC143&gt;0,AC143,0)</f>
        <v>0</v>
      </c>
      <c r="L137" s="136">
        <f ca="1">IF(AD143&gt;0,AD143,0)</f>
        <v>0</v>
      </c>
      <c r="P137" s="123" t="b">
        <f ca="1">NOT(B137="")</f>
        <v>0</v>
      </c>
      <c r="Q137" s="626"/>
      <c r="R137" s="626"/>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x14ac:dyDescent="0.3">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 hidden="1" outlineLevel="1" thickBot="1" x14ac:dyDescent="0.35">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x14ac:dyDescent="0.3">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0</v>
      </c>
      <c r="X140" s="340"/>
      <c r="Y140" s="340"/>
      <c r="Z140" s="340"/>
      <c r="AA140" s="335"/>
      <c r="AB140" s="335"/>
      <c r="AC140" s="335"/>
      <c r="AD140" s="335"/>
    </row>
    <row r="141" spans="1:53" collapsed="1" x14ac:dyDescent="0.3">
      <c r="A141" s="155">
        <v>89</v>
      </c>
      <c r="B141" s="134" t="str">
        <f t="shared" ca="1" si="19"/>
        <v/>
      </c>
      <c r="C141" s="135">
        <f ca="1">_xlfn.IFNA(_xlfn.XLOOKUP(B141,$AF$59:$AF$139,$AN$59:$AN$139,0),0)</f>
        <v>0</v>
      </c>
      <c r="D141" s="136">
        <f ca="1">_xlfn.IFNA(_xlfn.XLOOKUP(B141,$AF$59:$AF$139,$AO$59:$AO$139,0),"")</f>
        <v>0</v>
      </c>
      <c r="F141" s="593" t="s">
        <v>418</v>
      </c>
      <c r="G141" s="334">
        <f ca="1">IF((K141-L141)-(C141-D141)-SUM(G142:G144)+SUM(H142:H144)&gt;0,(K141-L141)-(C141-D141)-SUM(G142:G144)+SUM(H142:H144),0)</f>
        <v>0</v>
      </c>
      <c r="H141" s="330">
        <f ca="1">IF((K141-L141)-(C141-D141)-SUM(G142:G144)+SUM(H142:H144)&lt;0,-((K141-L141)-(C141-D141)-SUM(G142:G144)+SUM(H142:H144)),0)</f>
        <v>0</v>
      </c>
      <c r="I141" s="593" t="s">
        <v>418</v>
      </c>
      <c r="J141" s="153"/>
      <c r="K141" s="135">
        <f ca="1">IF(AC147&gt;0,AC147,0)</f>
        <v>0</v>
      </c>
      <c r="L141" s="136">
        <f ca="1">IF(AD147&gt;0,AD147,0)</f>
        <v>0</v>
      </c>
      <c r="P141" s="123" t="b">
        <f ca="1">NOT(B141="")</f>
        <v>0</v>
      </c>
      <c r="Q141" s="626"/>
      <c r="R141" s="626"/>
      <c r="W141" s="340">
        <f ca="1">IF(B133&lt;&gt;"",1,0)</f>
        <v>0</v>
      </c>
      <c r="X141" s="340"/>
      <c r="Y141" s="340"/>
      <c r="Z141" s="340"/>
      <c r="AA141" s="335"/>
      <c r="AB141" s="335"/>
      <c r="AC141" s="335"/>
      <c r="AD141" s="335"/>
    </row>
    <row r="142" spans="1:53" hidden="1" outlineLevel="1" x14ac:dyDescent="0.3">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0</v>
      </c>
      <c r="X142" s="340"/>
      <c r="Y142" s="340"/>
      <c r="Z142" s="340"/>
      <c r="AA142" s="335"/>
      <c r="AB142" s="335"/>
      <c r="AC142" s="335"/>
      <c r="AD142" s="335"/>
    </row>
    <row r="143" spans="1:53" hidden="1" outlineLevel="1" x14ac:dyDescent="0.3">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x14ac:dyDescent="0.3">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x14ac:dyDescent="0.3">
      <c r="A145" s="155">
        <v>93</v>
      </c>
      <c r="B145" s="134" t="str">
        <f t="shared" ca="1" si="19"/>
        <v/>
      </c>
      <c r="C145" s="135">
        <f ca="1">_xlfn.IFNA(_xlfn.XLOOKUP(B145,$AF$59:$AF$139,$AN$59:$AN$139,0),0)</f>
        <v>0</v>
      </c>
      <c r="D145" s="136">
        <f ca="1">_xlfn.IFNA(_xlfn.XLOOKUP(B145,$AF$59:$AF$139,$AO$59:$AO$139,0),"")</f>
        <v>0</v>
      </c>
      <c r="F145" s="593" t="s">
        <v>418</v>
      </c>
      <c r="G145" s="334">
        <f ca="1">IF((K145-L145)-(C145-D145)-SUM(G146:G148)+SUM(H146:H148)&gt;0,(K145-L145)-(C145-D145)-SUM(G146:G148)+SUM(H146:H148),0)</f>
        <v>0</v>
      </c>
      <c r="H145" s="330">
        <f ca="1">IF((K145-L145)-(C145-D145)-SUM(G146:G148)+SUM(H146:H148)&lt;0,-((K145-L145)-(C145-D145)-SUM(G146:G148)+SUM(H146:H148)),0)</f>
        <v>0</v>
      </c>
      <c r="I145" s="593" t="s">
        <v>418</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x14ac:dyDescent="0.3">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x14ac:dyDescent="0.3">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x14ac:dyDescent="0.3">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x14ac:dyDescent="0.3">
      <c r="A149" s="155">
        <v>97</v>
      </c>
      <c r="B149" s="134" t="str">
        <f t="shared" ref="B149:B180" ca="1" si="29">_xlfn.IFNA(_xlfn.XLOOKUP(A149,$AE$59:$AE$139,$AF$59:$AF$139,""),"")</f>
        <v/>
      </c>
      <c r="C149" s="135">
        <f ca="1">_xlfn.IFNA(_xlfn.XLOOKUP(B149,$AF$59:$AF$139,$AN$59:$AN$139,0),0)</f>
        <v>0</v>
      </c>
      <c r="D149" s="136">
        <f ca="1">_xlfn.IFNA(_xlfn.XLOOKUP(B149,$AF$59:$AF$139,$AO$59:$AO$139,0),"")</f>
        <v>0</v>
      </c>
      <c r="F149" s="593" t="s">
        <v>418</v>
      </c>
      <c r="G149" s="334">
        <f ca="1">IF((K149-L149)-(C149-D149)-SUM(G150:G152)+SUM(H150:H152)&gt;0,(K149-L149)-(C149-D149)-SUM(G150:G152)+SUM(H150:H152),0)</f>
        <v>0</v>
      </c>
      <c r="H149" s="330">
        <f ca="1">IF((K149-L149)-(C149-D149)-SUM(G150:G152)+SUM(H150:H152)&lt;0,-((K149-L149)-(C149-D149)-SUM(G150:G152)+SUM(H150:H152)),0)</f>
        <v>0</v>
      </c>
      <c r="I149" s="593" t="s">
        <v>418</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x14ac:dyDescent="0.3">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x14ac:dyDescent="0.3">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x14ac:dyDescent="0.3">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x14ac:dyDescent="0.3">
      <c r="A153" s="155">
        <v>101</v>
      </c>
      <c r="B153" s="134" t="str">
        <f t="shared" ca="1" si="29"/>
        <v/>
      </c>
      <c r="C153" s="135">
        <f ca="1">_xlfn.IFNA(_xlfn.XLOOKUP(B153,$AF$59:$AF$139,$AN$59:$AN$139,0),0)</f>
        <v>0</v>
      </c>
      <c r="D153" s="136">
        <f ca="1">_xlfn.IFNA(_xlfn.XLOOKUP(B153,$AF$59:$AF$139,$AO$59:$AO$139,0),"")</f>
        <v>0</v>
      </c>
      <c r="F153" s="593" t="s">
        <v>418</v>
      </c>
      <c r="G153" s="334">
        <f ca="1">IF((K153-L153)-(C153-D153)-SUM(G154:G156)+SUM(H154:H156)&gt;0,(K153-L153)-(C153-D153)-SUM(G154:G156)+SUM(H154:H156),0)</f>
        <v>0</v>
      </c>
      <c r="H153" s="330">
        <f ca="1">IF((K153-L153)-(C153-D153)-SUM(G154:G156)+SUM(H154:H156)&lt;0,-((K153-L153)-(C153-D153)-SUM(G154:G156)+SUM(H154:H156)),0)</f>
        <v>0</v>
      </c>
      <c r="I153" s="593" t="s">
        <v>418</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x14ac:dyDescent="0.3">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x14ac:dyDescent="0.3">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x14ac:dyDescent="0.3">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x14ac:dyDescent="0.3">
      <c r="A157" s="155">
        <v>105</v>
      </c>
      <c r="B157" s="134" t="str">
        <f t="shared" ca="1" si="29"/>
        <v/>
      </c>
      <c r="C157" s="135">
        <f ca="1">_xlfn.IFNA(_xlfn.XLOOKUP(B157,$AF$59:$AF$139,$AN$59:$AN$139,0),0)</f>
        <v>0</v>
      </c>
      <c r="D157" s="136">
        <f ca="1">_xlfn.IFNA(_xlfn.XLOOKUP(B157,$AF$59:$AF$139,$AO$59:$AO$139,0),"")</f>
        <v>0</v>
      </c>
      <c r="F157" s="593" t="s">
        <v>418</v>
      </c>
      <c r="G157" s="334">
        <f ca="1">IF((K157-L157)-(C157-D157)-SUM(G158:G160)+SUM(H158:H160)&gt;0,(K157-L157)-(C157-D157)-SUM(G158:G160)+SUM(H158:H160),0)</f>
        <v>0</v>
      </c>
      <c r="H157" s="330">
        <f ca="1">IF((K157-L157)-(C157-D157)-SUM(G158:G160)+SUM(H158:H160)&lt;0,-((K157-L157)-(C157-D157)-SUM(G158:G160)+SUM(H158:H160)),0)</f>
        <v>0</v>
      </c>
      <c r="I157" s="593" t="s">
        <v>418</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x14ac:dyDescent="0.3">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x14ac:dyDescent="0.3">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x14ac:dyDescent="0.3">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x14ac:dyDescent="0.3">
      <c r="A161" s="155">
        <v>109</v>
      </c>
      <c r="B161" s="134" t="str">
        <f t="shared" ca="1" si="29"/>
        <v/>
      </c>
      <c r="C161" s="135">
        <f ca="1">_xlfn.IFNA(_xlfn.XLOOKUP(B161,$AF$59:$AF$139,$AN$59:$AN$139,0),0)</f>
        <v>0</v>
      </c>
      <c r="D161" s="136">
        <f ca="1">_xlfn.IFNA(_xlfn.XLOOKUP(B161,$AF$59:$AF$139,$AO$59:$AO$139,0),"")</f>
        <v>0</v>
      </c>
      <c r="F161" s="593" t="s">
        <v>418</v>
      </c>
      <c r="G161" s="334">
        <f ca="1">IF((K161-L161)-(C161-D161)-SUM(G162:G164)+SUM(H162:H164)&gt;0,(K161-L161)-(C161-D161)-SUM(G162:G164)+SUM(H162:H164),0)</f>
        <v>0</v>
      </c>
      <c r="H161" s="330">
        <f ca="1">IF((K161-L161)-(C161-D161)-SUM(G162:G164)+SUM(H162:H164)&lt;0,-((K161-L161)-(C161-D161)-SUM(G162:G164)+SUM(H162:H164)),0)</f>
        <v>0</v>
      </c>
      <c r="I161" s="593" t="s">
        <v>418</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x14ac:dyDescent="0.3">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x14ac:dyDescent="0.3">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x14ac:dyDescent="0.3">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x14ac:dyDescent="0.3">
      <c r="A165" s="155">
        <v>113</v>
      </c>
      <c r="B165" s="134" t="str">
        <f t="shared" ca="1" si="29"/>
        <v/>
      </c>
      <c r="C165" s="135">
        <f ca="1">_xlfn.IFNA(_xlfn.XLOOKUP(B165,$AF$59:$AF$139,$AN$59:$AN$139,0),0)</f>
        <v>0</v>
      </c>
      <c r="D165" s="136">
        <f ca="1">_xlfn.IFNA(_xlfn.XLOOKUP(B165,$AF$59:$AF$139,$AO$59:$AO$139,0),"")</f>
        <v>0</v>
      </c>
      <c r="F165" s="593" t="s">
        <v>418</v>
      </c>
      <c r="G165" s="334">
        <f ca="1">IF((K165-L165)-(C165-D165)-SUM(G166:G168)+SUM(H166:H168)&gt;0,(K165-L165)-(C165-D165)-SUM(G166:G168)+SUM(H166:H168),0)</f>
        <v>0</v>
      </c>
      <c r="H165" s="330">
        <f ca="1">IF((K165-L165)-(C165-D165)-SUM(G166:G168)+SUM(H166:H168)&lt;0,-((K165-L165)-(C165-D165)-SUM(G166:G168)+SUM(H166:H168)),0)</f>
        <v>0</v>
      </c>
      <c r="I165" s="593" t="s">
        <v>418</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x14ac:dyDescent="0.3">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x14ac:dyDescent="0.3">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x14ac:dyDescent="0.3">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x14ac:dyDescent="0.3">
      <c r="A169" s="155">
        <v>117</v>
      </c>
      <c r="B169" s="134" t="str">
        <f t="shared" ca="1" si="29"/>
        <v/>
      </c>
      <c r="C169" s="135">
        <f ca="1">_xlfn.IFNA(_xlfn.XLOOKUP(B169,$AF$59:$AF$139,$AN$59:$AN$139,0),0)</f>
        <v>0</v>
      </c>
      <c r="D169" s="136">
        <f ca="1">_xlfn.IFNA(_xlfn.XLOOKUP(B169,$AF$59:$AF$139,$AO$59:$AO$139,0),"")</f>
        <v>0</v>
      </c>
      <c r="F169" s="593" t="s">
        <v>418</v>
      </c>
      <c r="G169" s="334">
        <f ca="1">IF((K169-L169)-(C169-D169)-SUM(G170:G172)+SUM(H170:H172)&gt;0,(K169-L169)-(C169-D169)-SUM(G170:G172)+SUM(H170:H172),0)</f>
        <v>0</v>
      </c>
      <c r="H169" s="330">
        <f ca="1">IF((K169-L169)-(C169-D169)-SUM(G170:G172)+SUM(H170:H172)&lt;0,-((K169-L169)-(C169-D169)-SUM(G170:G172)+SUM(H170:H172)),0)</f>
        <v>0</v>
      </c>
      <c r="I169" s="593" t="s">
        <v>418</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x14ac:dyDescent="0.3">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x14ac:dyDescent="0.3">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x14ac:dyDescent="0.3">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x14ac:dyDescent="0.3">
      <c r="A173" s="155">
        <v>121</v>
      </c>
      <c r="B173" s="134" t="str">
        <f t="shared" ca="1" si="29"/>
        <v/>
      </c>
      <c r="C173" s="135">
        <f ca="1">_xlfn.IFNA(_xlfn.XLOOKUP(B173,$AF$59:$AF$139,$AN$59:$AN$139,0),0)</f>
        <v>0</v>
      </c>
      <c r="D173" s="136">
        <f ca="1">_xlfn.IFNA(_xlfn.XLOOKUP(B173,$AF$59:$AF$139,$AO$59:$AO$139,0),"")</f>
        <v>0</v>
      </c>
      <c r="F173" s="593" t="s">
        <v>418</v>
      </c>
      <c r="G173" s="334">
        <f ca="1">IF((K173-L173)-(C173-D173)-SUM(G174:G176)+SUM(H174:H176)&gt;0,(K173-L173)-(C173-D173)-SUM(G174:G176)+SUM(H174:H176),0)</f>
        <v>0</v>
      </c>
      <c r="H173" s="330">
        <f ca="1">IF((K173-L173)-(C173-D173)-SUM(G174:G176)+SUM(H174:H176)&lt;0,-((K173-L173)-(C173-D173)-SUM(G174:G176)+SUM(H174:H176)),0)</f>
        <v>0</v>
      </c>
      <c r="I173" s="593" t="s">
        <v>418</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x14ac:dyDescent="0.3">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x14ac:dyDescent="0.3">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x14ac:dyDescent="0.3">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x14ac:dyDescent="0.3">
      <c r="A177" s="155">
        <v>125</v>
      </c>
      <c r="B177" s="134" t="str">
        <f t="shared" ca="1" si="29"/>
        <v/>
      </c>
      <c r="C177" s="135">
        <f ca="1">_xlfn.IFNA(_xlfn.XLOOKUP(B177,$AF$59:$AF$139,$AN$59:$AN$139,0),0)</f>
        <v>0</v>
      </c>
      <c r="D177" s="136">
        <f ca="1">_xlfn.IFNA(_xlfn.XLOOKUP(B177,$AF$59:$AF$139,$AO$59:$AO$139,0),"")</f>
        <v>0</v>
      </c>
      <c r="F177" s="593" t="s">
        <v>418</v>
      </c>
      <c r="G177" s="334">
        <f ca="1">IF((K177-L177)-(C177-D177)-SUM(G178:G180)+SUM(H178:H180)&gt;0,(K177-L177)-(C177-D177)-SUM(G178:G180)+SUM(H178:H180),0)</f>
        <v>0</v>
      </c>
      <c r="H177" s="330">
        <f ca="1">IF((K177-L177)-(C177-D177)-SUM(G178:G180)+SUM(H178:H180)&lt;0,-((K177-L177)-(C177-D177)-SUM(G178:G180)+SUM(H178:H180)),0)</f>
        <v>0</v>
      </c>
      <c r="I177" s="593" t="s">
        <v>418</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x14ac:dyDescent="0.3">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x14ac:dyDescent="0.3">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x14ac:dyDescent="0.3">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x14ac:dyDescent="0.3">
      <c r="A181" s="155">
        <v>129</v>
      </c>
      <c r="B181" s="134" t="str">
        <f t="shared" ref="B181:B212" ca="1" si="30">_xlfn.IFNA(_xlfn.XLOOKUP(A181,$AE$59:$AE$139,$AF$59:$AF$139,""),"")</f>
        <v/>
      </c>
      <c r="C181" s="135">
        <f ca="1">_xlfn.IFNA(_xlfn.XLOOKUP(B181,$AF$59:$AF$139,$AN$59:$AN$139,0),0)</f>
        <v>0</v>
      </c>
      <c r="D181" s="136">
        <f ca="1">_xlfn.IFNA(_xlfn.XLOOKUP(B181,$AF$59:$AF$139,$AO$59:$AO$139,0),"")</f>
        <v>0</v>
      </c>
      <c r="F181" s="593" t="s">
        <v>418</v>
      </c>
      <c r="G181" s="334">
        <f ca="1">IF((K181-L181)-(C181-D181)-SUM(G182:G184)+SUM(H182:H184)&gt;0,(K181-L181)-(C181-D181)-SUM(G182:G184)+SUM(H182:H184),0)</f>
        <v>0</v>
      </c>
      <c r="H181" s="330">
        <f ca="1">IF((K181-L181)-(C181-D181)-SUM(G182:G184)+SUM(H182:H184)&lt;0,-((K181-L181)-(C181-D181)-SUM(G182:G184)+SUM(H182:H184)),0)</f>
        <v>0</v>
      </c>
      <c r="I181" s="593" t="s">
        <v>418</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x14ac:dyDescent="0.3">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x14ac:dyDescent="0.3">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x14ac:dyDescent="0.3">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x14ac:dyDescent="0.3">
      <c r="A185" s="155">
        <v>133</v>
      </c>
      <c r="B185" s="134" t="str">
        <f t="shared" ca="1" si="30"/>
        <v/>
      </c>
      <c r="C185" s="135">
        <f ca="1">_xlfn.IFNA(_xlfn.XLOOKUP(B185,$AF$59:$AF$139,$AN$59:$AN$139,0),0)</f>
        <v>0</v>
      </c>
      <c r="D185" s="136">
        <f ca="1">_xlfn.IFNA(_xlfn.XLOOKUP(B185,$AF$59:$AF$139,$AO$59:$AO$139,0),"")</f>
        <v>0</v>
      </c>
      <c r="F185" s="593" t="s">
        <v>418</v>
      </c>
      <c r="G185" s="334">
        <f ca="1">IF((K185-L185)-(C185-D185)-SUM(G186:G188)+SUM(H186:H188)&gt;0,(K185-L185)-(C185-D185)-SUM(G186:G188)+SUM(H186:H188),0)</f>
        <v>0</v>
      </c>
      <c r="H185" s="330">
        <f ca="1">IF((K185-L185)-(C185-D185)-SUM(G186:G188)+SUM(H186:H188)&lt;0,-((K185-L185)-(C185-D185)-SUM(G186:G188)+SUM(H186:H188)),0)</f>
        <v>0</v>
      </c>
      <c r="I185" s="593" t="s">
        <v>418</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x14ac:dyDescent="0.3">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x14ac:dyDescent="0.3">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x14ac:dyDescent="0.3">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x14ac:dyDescent="0.3">
      <c r="A189" s="155">
        <v>137</v>
      </c>
      <c r="B189" s="134" t="str">
        <f t="shared" ca="1" si="30"/>
        <v/>
      </c>
      <c r="C189" s="135">
        <f ca="1">_xlfn.IFNA(_xlfn.XLOOKUP(B189,$AF$59:$AF$139,$AN$59:$AN$139,0),0)</f>
        <v>0</v>
      </c>
      <c r="D189" s="136">
        <f ca="1">_xlfn.IFNA(_xlfn.XLOOKUP(B189,$AF$59:$AF$139,$AO$59:$AO$139,0),"")</f>
        <v>0</v>
      </c>
      <c r="F189" s="593" t="s">
        <v>418</v>
      </c>
      <c r="G189" s="334">
        <f ca="1">IF((K189-L189)-(C189-D189)-SUM(G190:G192)+SUM(H190:H192)&gt;0,(K189-L189)-(C189-D189)-SUM(G190:G192)+SUM(H190:H192),0)</f>
        <v>0</v>
      </c>
      <c r="H189" s="330">
        <f ca="1">IF((K189-L189)-(C189-D189)-SUM(G190:G192)+SUM(H190:H192)&lt;0,-((K189-L189)-(C189-D189)-SUM(G190:G192)+SUM(H190:H192)),0)</f>
        <v>0</v>
      </c>
      <c r="I189" s="593" t="s">
        <v>418</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x14ac:dyDescent="0.3">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x14ac:dyDescent="0.3">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x14ac:dyDescent="0.3">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x14ac:dyDescent="0.3">
      <c r="A193" s="155">
        <v>141</v>
      </c>
      <c r="B193" s="134" t="str">
        <f t="shared" ca="1" si="30"/>
        <v/>
      </c>
      <c r="C193" s="135">
        <f ca="1">_xlfn.IFNA(_xlfn.XLOOKUP(B193,$AF$59:$AF$139,$AN$59:$AN$139,0),0)</f>
        <v>0</v>
      </c>
      <c r="D193" s="136">
        <f ca="1">_xlfn.IFNA(_xlfn.XLOOKUP(B193,$AF$59:$AF$139,$AO$59:$AO$139,0),"")</f>
        <v>0</v>
      </c>
      <c r="F193" s="593" t="s">
        <v>418</v>
      </c>
      <c r="G193" s="334">
        <f ca="1">IF((K193-L193)-(C193-D193)-SUM(G194:G196)+SUM(H194:H196)&gt;0,(K193-L193)-(C193-D193)-SUM(G194:G196)+SUM(H194:H196),0)</f>
        <v>0</v>
      </c>
      <c r="H193" s="330">
        <f ca="1">IF((K193-L193)-(C193-D193)-SUM(G194:G196)+SUM(H194:H196)&lt;0,-((K193-L193)-(C193-D193)-SUM(G194:G196)+SUM(H194:H196)),0)</f>
        <v>0</v>
      </c>
      <c r="I193" s="593" t="s">
        <v>418</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x14ac:dyDescent="0.3">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x14ac:dyDescent="0.3">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x14ac:dyDescent="0.3">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x14ac:dyDescent="0.3">
      <c r="A197" s="155">
        <v>145</v>
      </c>
      <c r="B197" s="134" t="str">
        <f t="shared" ca="1" si="30"/>
        <v/>
      </c>
      <c r="C197" s="135">
        <f ca="1">_xlfn.IFNA(_xlfn.XLOOKUP(B197,$AF$59:$AF$139,$AN$59:$AN$139,0),0)</f>
        <v>0</v>
      </c>
      <c r="D197" s="136">
        <f ca="1">_xlfn.IFNA(_xlfn.XLOOKUP(B197,$AF$59:$AF$139,$AO$59:$AO$139,0),"")</f>
        <v>0</v>
      </c>
      <c r="F197" s="593" t="s">
        <v>418</v>
      </c>
      <c r="G197" s="334">
        <f ca="1">IF((K197-L197)-(C197-D197)-SUM(G198:G200)+SUM(H198:H200)&gt;0,(K197-L197)-(C197-D197)-SUM(G198:G200)+SUM(H198:H200),0)</f>
        <v>0</v>
      </c>
      <c r="H197" s="330">
        <f ca="1">IF((K197-L197)-(C197-D197)-SUM(G198:G200)+SUM(H198:H200)&lt;0,-((K197-L197)-(C197-D197)-SUM(G198:G200)+SUM(H198:H200)),0)</f>
        <v>0</v>
      </c>
      <c r="I197" s="593" t="s">
        <v>418</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x14ac:dyDescent="0.3">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x14ac:dyDescent="0.3">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x14ac:dyDescent="0.3">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x14ac:dyDescent="0.3">
      <c r="A201" s="155">
        <v>149</v>
      </c>
      <c r="B201" s="134" t="str">
        <f t="shared" ca="1" si="30"/>
        <v/>
      </c>
      <c r="C201" s="135">
        <f ca="1">_xlfn.IFNA(_xlfn.XLOOKUP(B201,$AF$59:$AF$139,$AN$59:$AN$139,0),0)</f>
        <v>0</v>
      </c>
      <c r="D201" s="136">
        <f ca="1">_xlfn.IFNA(_xlfn.XLOOKUP(B201,$AF$59:$AF$139,$AO$59:$AO$139,0),"")</f>
        <v>0</v>
      </c>
      <c r="F201" s="593" t="s">
        <v>418</v>
      </c>
      <c r="G201" s="334">
        <f ca="1">IF((K201-L201)-(C201-D201)-SUM(G202:G204)+SUM(H202:H204)&gt;0,(K201-L201)-(C201-D201)-SUM(G202:G204)+SUM(H202:H204),0)</f>
        <v>0</v>
      </c>
      <c r="H201" s="330">
        <f ca="1">IF((K201-L201)-(C201-D201)-SUM(G202:G204)+SUM(H202:H204)&lt;0,-((K201-L201)-(C201-D201)-SUM(G202:G204)+SUM(H202:H204)),0)</f>
        <v>0</v>
      </c>
      <c r="I201" s="593" t="s">
        <v>418</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x14ac:dyDescent="0.3">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x14ac:dyDescent="0.3">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x14ac:dyDescent="0.3">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x14ac:dyDescent="0.3">
      <c r="A205" s="155">
        <v>153</v>
      </c>
      <c r="B205" s="134" t="str">
        <f t="shared" ca="1" si="30"/>
        <v/>
      </c>
      <c r="C205" s="135">
        <f ca="1">_xlfn.IFNA(_xlfn.XLOOKUP(B205,$AF$59:$AF$139,$AN$59:$AN$139,0),0)</f>
        <v>0</v>
      </c>
      <c r="D205" s="136">
        <f ca="1">_xlfn.IFNA(_xlfn.XLOOKUP(B205,$AF$59:$AF$139,$AO$59:$AO$139,0),"")</f>
        <v>0</v>
      </c>
      <c r="F205" s="593" t="s">
        <v>418</v>
      </c>
      <c r="G205" s="334">
        <f ca="1">IF((K205-L205)-(C205-D205)-SUM(G206:G208)+SUM(H206:H208)&gt;0,(K205-L205)-(C205-D205)-SUM(G206:G208)+SUM(H206:H208),0)</f>
        <v>0</v>
      </c>
      <c r="H205" s="330">
        <f ca="1">IF((K205-L205)-(C205-D205)-SUM(G206:G208)+SUM(H206:H208)&lt;0,-((K205-L205)-(C205-D205)-SUM(G206:G208)+SUM(H206:H208)),0)</f>
        <v>0</v>
      </c>
      <c r="I205" s="593" t="s">
        <v>418</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x14ac:dyDescent="0.3">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x14ac:dyDescent="0.3">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x14ac:dyDescent="0.3">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x14ac:dyDescent="0.3">
      <c r="A209" s="155">
        <v>157</v>
      </c>
      <c r="B209" s="134" t="str">
        <f t="shared" ca="1" si="30"/>
        <v/>
      </c>
      <c r="C209" s="135">
        <f ca="1">_xlfn.IFNA(_xlfn.XLOOKUP(B209,$AF$59:$AF$139,$AN$59:$AN$139,0),0)</f>
        <v>0</v>
      </c>
      <c r="D209" s="136">
        <f ca="1">_xlfn.IFNA(_xlfn.XLOOKUP(B209,$AF$59:$AF$139,$AO$59:$AO$139,0),"")</f>
        <v>0</v>
      </c>
      <c r="F209" s="593" t="s">
        <v>418</v>
      </c>
      <c r="G209" s="334">
        <f ca="1">IF((K209-L209)-(C209-D209)-SUM(G210:G212)+SUM(H210:H212)&gt;0,(K209-L209)-(C209-D209)-SUM(G210:G212)+SUM(H210:H212),0)</f>
        <v>0</v>
      </c>
      <c r="H209" s="330">
        <f ca="1">IF((K209-L209)-(C209-D209)-SUM(G210:G212)+SUM(H210:H212)&lt;0,-((K209-L209)-(C209-D209)-SUM(G210:G212)+SUM(H210:H212)),0)</f>
        <v>0</v>
      </c>
      <c r="I209" s="593" t="s">
        <v>418</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x14ac:dyDescent="0.3">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x14ac:dyDescent="0.3">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x14ac:dyDescent="0.3">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x14ac:dyDescent="0.3">
      <c r="A213" s="155">
        <v>161</v>
      </c>
      <c r="B213" s="134" t="str">
        <f t="shared" ref="B213:B240" ca="1" si="31">_xlfn.IFNA(_xlfn.XLOOKUP(A213,$AE$59:$AE$139,$AF$59:$AF$139,""),"")</f>
        <v/>
      </c>
      <c r="C213" s="138">
        <f ca="1">_xlfn.IFNA(_xlfn.XLOOKUP(B213,$AF$59:$AF$139,$AN$59:$AN$139,0),0)</f>
        <v>0</v>
      </c>
      <c r="D213" s="139">
        <f ca="1">_xlfn.IFNA(_xlfn.XLOOKUP(B213,$AF$59:$AF$139,$AO$59:$AO$139,0),"")</f>
        <v>0</v>
      </c>
      <c r="F213" s="593" t="s">
        <v>418</v>
      </c>
      <c r="G213" s="334">
        <f ca="1">IF((K213-L213)-(C213-D213)-SUM(G214:G216)+SUM(H214:H216)&gt;0,(K213-L213)-(C213-D213)-SUM(G214:G216)+SUM(H214:H216),0)</f>
        <v>0</v>
      </c>
      <c r="H213" s="330">
        <f ca="1">IF((K213-L213)-(C213-D213)-SUM(G214:G216)+SUM(H214:H216)&lt;0,-((K213-L213)-(C213-D213)-SUM(G214:G216)+SUM(H214:H216)),0)</f>
        <v>0</v>
      </c>
      <c r="I213" s="593" t="s">
        <v>418</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x14ac:dyDescent="0.3">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x14ac:dyDescent="0.3">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x14ac:dyDescent="0.3">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x14ac:dyDescent="0.3">
      <c r="A217" s="155">
        <v>165</v>
      </c>
      <c r="B217" s="134" t="str">
        <f t="shared" ca="1" si="31"/>
        <v/>
      </c>
      <c r="C217" s="135">
        <f ca="1">_xlfn.IFNA(_xlfn.XLOOKUP(B217,$AF$59:$AF$139,$AN$59:$AN$139,0),0)</f>
        <v>0</v>
      </c>
      <c r="D217" s="136">
        <f ca="1">_xlfn.IFNA(_xlfn.XLOOKUP(B217,$AF$59:$AF$139,$AO$59:$AO$139,0),"")</f>
        <v>0</v>
      </c>
      <c r="F217" s="593" t="s">
        <v>418</v>
      </c>
      <c r="G217" s="334">
        <f ca="1">IF((K217-L217)-(C217-D217)-SUM(G218:G220)+SUM(H218:H220)&gt;0,(K217-L217)-(C217-D217)-SUM(G218:G220)+SUM(H218:H220),0)</f>
        <v>0</v>
      </c>
      <c r="H217" s="330">
        <f ca="1">IF((K217-L217)-(C217-D217)-SUM(G218:G220)+SUM(H218:H220)&lt;0,-((K217-L217)-(C217-D217)-SUM(G218:G220)+SUM(H218:H220)),0)</f>
        <v>0</v>
      </c>
      <c r="I217" s="593" t="s">
        <v>418</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x14ac:dyDescent="0.3">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x14ac:dyDescent="0.3">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x14ac:dyDescent="0.3">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x14ac:dyDescent="0.3">
      <c r="A221" s="155">
        <v>169</v>
      </c>
      <c r="B221" s="134" t="str">
        <f t="shared" ca="1" si="31"/>
        <v/>
      </c>
      <c r="C221" s="135">
        <f ca="1">_xlfn.IFNA(_xlfn.XLOOKUP(B221,$AF$59:$AF$139,$AN$59:$AN$139,0),0)</f>
        <v>0</v>
      </c>
      <c r="D221" s="136">
        <f ca="1">_xlfn.IFNA(_xlfn.XLOOKUP(B221,$AF$59:$AF$139,$AO$59:$AO$139,0),"")</f>
        <v>0</v>
      </c>
      <c r="F221" s="593" t="s">
        <v>418</v>
      </c>
      <c r="G221" s="334">
        <f ca="1">IF((K221-L221)-(C221-D221)-SUM(G222:G224)+SUM(H222:H224)&gt;0,(K221-L221)-(C221-D221)-SUM(G222:G224)+SUM(H222:H224),0)</f>
        <v>0</v>
      </c>
      <c r="H221" s="330">
        <f ca="1">IF((K221-L221)-(C221-D221)-SUM(G222:G224)+SUM(H222:H224)&lt;0,-((K221-L221)-(C221-D221)-SUM(G222:G224)+SUM(H222:H224)),0)</f>
        <v>0</v>
      </c>
      <c r="I221" s="593" t="s">
        <v>418</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x14ac:dyDescent="0.3">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x14ac:dyDescent="0.3">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x14ac:dyDescent="0.3">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x14ac:dyDescent="0.3">
      <c r="A225" s="155">
        <v>173</v>
      </c>
      <c r="B225" s="134" t="str">
        <f t="shared" ca="1" si="31"/>
        <v/>
      </c>
      <c r="C225" s="135">
        <f ca="1">_xlfn.IFNA(_xlfn.XLOOKUP(B225,$AF$59:$AF$139,$AN$59:$AN$139,0),0)</f>
        <v>0</v>
      </c>
      <c r="D225" s="136">
        <f ca="1">_xlfn.IFNA(_xlfn.XLOOKUP(B225,$AF$59:$AF$139,$AO$59:$AO$139,0),"")</f>
        <v>0</v>
      </c>
      <c r="F225" s="593" t="s">
        <v>418</v>
      </c>
      <c r="G225" s="334">
        <f ca="1">IF((K225-L225)-(C225-D225)-SUM(G226:G228)+SUM(H226:H228)&gt;0,(K225-L225)-(C225-D225)-SUM(G226:G228)+SUM(H226:H228),0)</f>
        <v>0</v>
      </c>
      <c r="H225" s="330">
        <f ca="1">IF((K225-L225)-(C225-D225)-SUM(G226:G228)+SUM(H226:H228)&lt;0,-((K225-L225)-(C225-D225)-SUM(G226:G228)+SUM(H226:H228)),0)</f>
        <v>0</v>
      </c>
      <c r="I225" s="593" t="s">
        <v>418</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x14ac:dyDescent="0.3">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x14ac:dyDescent="0.3">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x14ac:dyDescent="0.3">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x14ac:dyDescent="0.3">
      <c r="A229" s="155">
        <v>177</v>
      </c>
      <c r="B229" s="134" t="str">
        <f t="shared" ca="1" si="31"/>
        <v/>
      </c>
      <c r="C229" s="135">
        <f ca="1">_xlfn.IFNA(_xlfn.XLOOKUP(B229,$AF$59:$AF$139,$AN$59:$AN$139,0),0)</f>
        <v>0</v>
      </c>
      <c r="D229" s="136">
        <f ca="1">_xlfn.IFNA(_xlfn.XLOOKUP(B229,$AF$59:$AF$139,$AO$59:$AO$139,0),"")</f>
        <v>0</v>
      </c>
      <c r="F229" s="593" t="s">
        <v>418</v>
      </c>
      <c r="G229" s="334">
        <f ca="1">IF((K229-L229)-(C229-D229)-SUM(G230:G232)+SUM(H230:H232)&gt;0,(K229-L229)-(C229-D229)-SUM(G230:G232)+SUM(H230:H232),0)</f>
        <v>0</v>
      </c>
      <c r="H229" s="330">
        <f ca="1">IF((K229-L229)-(C229-D229)-SUM(G230:G232)+SUM(H230:H232)&lt;0,-((K229-L229)-(C229-D229)-SUM(G230:G232)+SUM(H230:H232)),0)</f>
        <v>0</v>
      </c>
      <c r="I229" s="593" t="s">
        <v>418</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x14ac:dyDescent="0.3">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x14ac:dyDescent="0.3">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x14ac:dyDescent="0.3">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x14ac:dyDescent="0.3">
      <c r="A233" s="155">
        <v>181</v>
      </c>
      <c r="B233" s="134" t="str">
        <f t="shared" ca="1" si="31"/>
        <v/>
      </c>
      <c r="C233" s="135">
        <f ca="1">_xlfn.IFNA(_xlfn.XLOOKUP(B233,$AF$59:$AF$139,$AN$59:$AN$139,0),0)</f>
        <v>0</v>
      </c>
      <c r="D233" s="136">
        <f ca="1">_xlfn.IFNA(_xlfn.XLOOKUP(B233,$AF$59:$AF$139,$AO$59:$AO$139,0),"")</f>
        <v>0</v>
      </c>
      <c r="F233" s="593" t="s">
        <v>418</v>
      </c>
      <c r="G233" s="334">
        <f ca="1">IF((K233-L233)-(C233-D233)-SUM(G234:G236)+SUM(H234:H236)&gt;0,(K233-L233)-(C233-D233)-SUM(G234:G236)+SUM(H234:H236),0)</f>
        <v>0</v>
      </c>
      <c r="H233" s="330">
        <f ca="1">IF((K233-L233)-(C233-D233)-SUM(G234:G236)+SUM(H234:H236)&lt;0,-((K233-L233)-(C233-D233)-SUM(G234:G236)+SUM(H234:H236)),0)</f>
        <v>0</v>
      </c>
      <c r="I233" s="593" t="s">
        <v>418</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x14ac:dyDescent="0.3">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x14ac:dyDescent="0.3">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x14ac:dyDescent="0.3">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x14ac:dyDescent="0.3">
      <c r="A237" s="155">
        <v>185</v>
      </c>
      <c r="B237" s="134" t="str">
        <f t="shared" ca="1" si="31"/>
        <v/>
      </c>
      <c r="C237" s="135">
        <f ca="1">_xlfn.IFNA(_xlfn.XLOOKUP(B237,$AF$59:$AF$139,$AN$59:$AN$139,0),0)</f>
        <v>0</v>
      </c>
      <c r="D237" s="136">
        <f ca="1">_xlfn.IFNA(_xlfn.XLOOKUP(B237,$AF$59:$AF$139,$AO$59:$AO$139,0),"")</f>
        <v>0</v>
      </c>
      <c r="F237" s="593" t="s">
        <v>418</v>
      </c>
      <c r="G237" s="334">
        <f ca="1">IF((K237-L237)-(C237-D237)-SUM(G238:G240)+SUM(H238:H240)&gt;0,(K237-L237)-(C237-D237)-SUM(G238:G240)+SUM(H238:H240),0)</f>
        <v>0</v>
      </c>
      <c r="H237" s="330">
        <f ca="1">IF((K237-L237)-(C237-D237)-SUM(G238:G240)+SUM(H238:H240)&lt;0,-((K237-L237)-(C237-D237)-SUM(G238:G240)+SUM(H238:H240)),0)</f>
        <v>0</v>
      </c>
      <c r="I237" s="593" t="s">
        <v>418</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x14ac:dyDescent="0.3">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x14ac:dyDescent="0.3">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x14ac:dyDescent="0.3">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x14ac:dyDescent="0.3">
      <c r="B241" s="150"/>
      <c r="C241" s="151"/>
      <c r="D241" s="151"/>
      <c r="F241" s="595"/>
      <c r="U241" s="150"/>
      <c r="V241" s="150"/>
      <c r="W241" s="340">
        <f ca="1">IF(B233&lt;&gt;"",1,0)</f>
        <v>0</v>
      </c>
      <c r="X241" s="340"/>
      <c r="Y241" s="340"/>
      <c r="Z241" s="340"/>
      <c r="AA241" s="335"/>
      <c r="AB241" s="335"/>
      <c r="AC241" s="335"/>
      <c r="AD241" s="335"/>
      <c r="AF241" s="149"/>
      <c r="AG241" s="149"/>
    </row>
    <row r="242" spans="2:33" x14ac:dyDescent="0.3">
      <c r="W242" s="340">
        <f ca="1">IF(B233&lt;&gt;"",1,0)</f>
        <v>0</v>
      </c>
      <c r="X242" s="340"/>
      <c r="Y242" s="340"/>
      <c r="Z242" s="340"/>
      <c r="AA242" s="335"/>
      <c r="AB242" s="335"/>
      <c r="AC242" s="335"/>
      <c r="AD242" s="335"/>
      <c r="AF242" s="149"/>
      <c r="AG242" s="149"/>
    </row>
    <row r="243" spans="2:33" x14ac:dyDescent="0.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x14ac:dyDescent="0.3">
      <c r="W244" s="340">
        <f ca="1">IF(B237&lt;&gt;"",1,0)</f>
        <v>0</v>
      </c>
      <c r="X244" s="340"/>
      <c r="Y244" s="340"/>
      <c r="Z244" s="340"/>
      <c r="AA244" s="335"/>
      <c r="AB244" s="335"/>
      <c r="AC244" s="335"/>
      <c r="AD244" s="335"/>
      <c r="AF244" s="149"/>
      <c r="AG244" s="149"/>
    </row>
    <row r="245" spans="2:33" x14ac:dyDescent="0.3">
      <c r="W245" s="340">
        <f ca="1">IF(B237&lt;&gt;"",1,0)</f>
        <v>0</v>
      </c>
      <c r="X245" s="340"/>
      <c r="Y245" s="340"/>
      <c r="Z245" s="340"/>
      <c r="AA245" s="335"/>
      <c r="AB245" s="335"/>
      <c r="AC245" s="335"/>
      <c r="AD245" s="335"/>
      <c r="AF245" s="149"/>
      <c r="AG245" s="149"/>
    </row>
    <row r="246" spans="2:33" x14ac:dyDescent="0.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294" priority="4">
      <formula>OR($B53="Liabilities",$B53="Equities")</formula>
    </cfRule>
  </conditionalFormatting>
  <conditionalFormatting sqref="B16:C17">
    <cfRule type="expression" dxfId="293" priority="565">
      <formula>$B16&lt;&gt;""</formula>
    </cfRule>
  </conditionalFormatting>
  <conditionalFormatting sqref="B53:L237">
    <cfRule type="expression" dxfId="292" priority="711">
      <formula>NOT($P53)</formula>
    </cfRule>
  </conditionalFormatting>
  <conditionalFormatting sqref="B238:L240">
    <cfRule type="expression" dxfId="291" priority="3">
      <formula>NOT($N238)</formula>
    </cfRule>
  </conditionalFormatting>
  <conditionalFormatting sqref="C53:L240">
    <cfRule type="expression" dxfId="290" priority="5">
      <formula>OR($B53="Liabilities",$B53="Equities")</formula>
    </cfRule>
  </conditionalFormatting>
  <conditionalFormatting sqref="F7:F8 I7:I8">
    <cfRule type="expression" dxfId="289" priority="690">
      <formula>OR($B9="Equities",$B9="Liabilities")</formula>
    </cfRule>
    <cfRule type="expression" dxfId="288" priority="689">
      <formula>OR($B9="Equities",$B9="Liabilities")</formula>
    </cfRule>
  </conditionalFormatting>
  <conditionalFormatting sqref="F9:F11 I9:I11">
    <cfRule type="expression" dxfId="287" priority="708">
      <formula>OR($N1="Equities",$N1="Liabilities")</formula>
    </cfRule>
    <cfRule type="expression" dxfId="286" priority="707">
      <formula>OR($N1="Equities",$N1="Liabilities")</formula>
    </cfRule>
  </conditionalFormatting>
  <conditionalFormatting sqref="F12">
    <cfRule type="expression" dxfId="285" priority="105">
      <formula>AND(F12="Unexplained",G12=0)</formula>
    </cfRule>
  </conditionalFormatting>
  <conditionalFormatting sqref="F22">
    <cfRule type="expression" dxfId="284" priority="104">
      <formula>AND(F22="Unexplained",G22=0)</formula>
    </cfRule>
  </conditionalFormatting>
  <conditionalFormatting sqref="F29:F32">
    <cfRule type="expression" dxfId="283" priority="174">
      <formula>OR($B29="Equities",$B29="Liabilities")</formula>
    </cfRule>
    <cfRule type="expression" dxfId="282" priority="174">
      <formula>OR($B29="Equities",$B29="Liabilities")</formula>
    </cfRule>
  </conditionalFormatting>
  <conditionalFormatting sqref="F34:F48">
    <cfRule type="expression" dxfId="281" priority="165">
      <formula>OR($B34="Equities",$B34="Liabilities")</formula>
    </cfRule>
    <cfRule type="expression" dxfId="280" priority="164">
      <formula>OR($B34="Equities",$B34="Liabilities")</formula>
    </cfRule>
  </conditionalFormatting>
  <conditionalFormatting sqref="F49">
    <cfRule type="expression" dxfId="279" priority="103">
      <formula>AND(F49="Unexplained",G49=0)</formula>
    </cfRule>
  </conditionalFormatting>
  <conditionalFormatting sqref="F53">
    <cfRule type="expression" dxfId="278" priority="102">
      <formula>AND(F53="Unexplained",G53=0)</formula>
    </cfRule>
  </conditionalFormatting>
  <conditionalFormatting sqref="F57">
    <cfRule type="expression" dxfId="277" priority="101">
      <formula>AND(F57="Unexplained",G57=0)</formula>
    </cfRule>
  </conditionalFormatting>
  <conditionalFormatting sqref="F61">
    <cfRule type="expression" dxfId="276" priority="100">
      <formula>AND(F61="Unexplained",G61=0)</formula>
    </cfRule>
  </conditionalFormatting>
  <conditionalFormatting sqref="F65">
    <cfRule type="expression" dxfId="275" priority="99">
      <formula>AND(F65="Unexplained",G65=0)</formula>
    </cfRule>
  </conditionalFormatting>
  <conditionalFormatting sqref="F69">
    <cfRule type="expression" dxfId="274" priority="98">
      <formula>AND(F69="Unexplained",G69=0)</formula>
    </cfRule>
  </conditionalFormatting>
  <conditionalFormatting sqref="F73">
    <cfRule type="expression" dxfId="273" priority="97">
      <formula>AND(F73="Unexplained",G73=0)</formula>
    </cfRule>
  </conditionalFormatting>
  <conditionalFormatting sqref="F77">
    <cfRule type="expression" dxfId="272" priority="6">
      <formula>AND(F77="Unexplained",G77=0)</formula>
    </cfRule>
  </conditionalFormatting>
  <conditionalFormatting sqref="F81">
    <cfRule type="expression" dxfId="271" priority="96">
      <formula>AND(F81="Unexplained",G81=0)</formula>
    </cfRule>
  </conditionalFormatting>
  <conditionalFormatting sqref="F85">
    <cfRule type="expression" dxfId="270" priority="95">
      <formula>AND(F85="Unexplained",G85=0)</formula>
    </cfRule>
  </conditionalFormatting>
  <conditionalFormatting sqref="F89">
    <cfRule type="expression" dxfId="269" priority="94">
      <formula>AND(F89="Unexplained",G89=0)</formula>
    </cfRule>
  </conditionalFormatting>
  <conditionalFormatting sqref="F93">
    <cfRule type="expression" dxfId="268" priority="93">
      <formula>AND(F93="Unexplained",G93=0)</formula>
    </cfRule>
  </conditionalFormatting>
  <conditionalFormatting sqref="F97">
    <cfRule type="expression" dxfId="267" priority="92">
      <formula>AND(F97="Unexplained",G97=0)</formula>
    </cfRule>
  </conditionalFormatting>
  <conditionalFormatting sqref="F101">
    <cfRule type="expression" dxfId="266" priority="91">
      <formula>AND(F101="Unexplained",G101=0)</formula>
    </cfRule>
  </conditionalFormatting>
  <conditionalFormatting sqref="F105">
    <cfRule type="expression" dxfId="265" priority="90">
      <formula>AND(F105="Unexplained",G105=0)</formula>
    </cfRule>
  </conditionalFormatting>
  <conditionalFormatting sqref="F109">
    <cfRule type="expression" dxfId="264" priority="89">
      <formula>AND(F109="Unexplained",G109=0)</formula>
    </cfRule>
  </conditionalFormatting>
  <conditionalFormatting sqref="F113">
    <cfRule type="expression" dxfId="263" priority="88">
      <formula>AND(F113="Unexplained",G113=0)</formula>
    </cfRule>
  </conditionalFormatting>
  <conditionalFormatting sqref="F117">
    <cfRule type="expression" dxfId="262" priority="87">
      <formula>AND(F117="Unexplained",G117=0)</formula>
    </cfRule>
  </conditionalFormatting>
  <conditionalFormatting sqref="F121">
    <cfRule type="expression" dxfId="261" priority="86">
      <formula>AND(F121="Unexplained",G121=0)</formula>
    </cfRule>
  </conditionalFormatting>
  <conditionalFormatting sqref="F125">
    <cfRule type="expression" dxfId="260" priority="85">
      <formula>AND(F125="Unexplained",G125=0)</formula>
    </cfRule>
  </conditionalFormatting>
  <conditionalFormatting sqref="F129">
    <cfRule type="expression" dxfId="259" priority="84">
      <formula>AND(F129="Unexplained",G129=0)</formula>
    </cfRule>
  </conditionalFormatting>
  <conditionalFormatting sqref="F133">
    <cfRule type="expression" dxfId="258" priority="83">
      <formula>AND(F133="Unexplained",G133=0)</formula>
    </cfRule>
  </conditionalFormatting>
  <conditionalFormatting sqref="F137">
    <cfRule type="expression" dxfId="257" priority="82">
      <formula>AND(F137="Unexplained",G137=0)</formula>
    </cfRule>
  </conditionalFormatting>
  <conditionalFormatting sqref="F141">
    <cfRule type="expression" dxfId="256" priority="81">
      <formula>AND(F141="Unexplained",G141=0)</formula>
    </cfRule>
  </conditionalFormatting>
  <conditionalFormatting sqref="F145">
    <cfRule type="expression" dxfId="255" priority="80">
      <formula>AND(F145="Unexplained",G145=0)</formula>
    </cfRule>
  </conditionalFormatting>
  <conditionalFormatting sqref="F149">
    <cfRule type="expression" dxfId="254" priority="79">
      <formula>AND(F149="Unexplained",G149=0)</formula>
    </cfRule>
  </conditionalFormatting>
  <conditionalFormatting sqref="F153">
    <cfRule type="expression" dxfId="253" priority="78">
      <formula>AND(F153="Unexplained",G153=0)</formula>
    </cfRule>
  </conditionalFormatting>
  <conditionalFormatting sqref="F157">
    <cfRule type="expression" dxfId="252" priority="77">
      <formula>AND(F157="Unexplained",G157=0)</formula>
    </cfRule>
  </conditionalFormatting>
  <conditionalFormatting sqref="F161">
    <cfRule type="expression" dxfId="251" priority="76">
      <formula>AND(F161="Unexplained",G161=0)</formula>
    </cfRule>
  </conditionalFormatting>
  <conditionalFormatting sqref="F165">
    <cfRule type="expression" dxfId="250" priority="75">
      <formula>AND(F165="Unexplained",G165=0)</formula>
    </cfRule>
  </conditionalFormatting>
  <conditionalFormatting sqref="F169">
    <cfRule type="expression" dxfId="249" priority="74">
      <formula>AND(F169="Unexplained",G169=0)</formula>
    </cfRule>
  </conditionalFormatting>
  <conditionalFormatting sqref="F173">
    <cfRule type="expression" dxfId="248" priority="73">
      <formula>AND(F173="Unexplained",G173=0)</formula>
    </cfRule>
  </conditionalFormatting>
  <conditionalFormatting sqref="F177">
    <cfRule type="expression" dxfId="247" priority="72">
      <formula>AND(F177="Unexplained",G177=0)</formula>
    </cfRule>
  </conditionalFormatting>
  <conditionalFormatting sqref="F181">
    <cfRule type="expression" dxfId="246" priority="71">
      <formula>AND(F181="Unexplained",G181=0)</formula>
    </cfRule>
  </conditionalFormatting>
  <conditionalFormatting sqref="F185">
    <cfRule type="expression" dxfId="245" priority="70">
      <formula>AND(F185="Unexplained",G185=0)</formula>
    </cfRule>
  </conditionalFormatting>
  <conditionalFormatting sqref="F189">
    <cfRule type="expression" dxfId="244" priority="69">
      <formula>AND(F189="Unexplained",G189=0)</formula>
    </cfRule>
  </conditionalFormatting>
  <conditionalFormatting sqref="F193">
    <cfRule type="expression" dxfId="243" priority="68">
      <formula>AND(F193="Unexplained",G193=0)</formula>
    </cfRule>
  </conditionalFormatting>
  <conditionalFormatting sqref="F197">
    <cfRule type="expression" dxfId="242" priority="67">
      <formula>AND(F197="Unexplained",G197=0)</formula>
    </cfRule>
  </conditionalFormatting>
  <conditionalFormatting sqref="F201">
    <cfRule type="expression" dxfId="241" priority="66">
      <formula>AND(F201="Unexplained",G201=0)</formula>
    </cfRule>
  </conditionalFormatting>
  <conditionalFormatting sqref="F205">
    <cfRule type="expression" dxfId="240" priority="65">
      <formula>AND(F205="Unexplained",G205=0)</formula>
    </cfRule>
  </conditionalFormatting>
  <conditionalFormatting sqref="F209">
    <cfRule type="expression" dxfId="239" priority="64">
      <formula>AND(F209="Unexplained",G209=0)</formula>
    </cfRule>
  </conditionalFormatting>
  <conditionalFormatting sqref="F213">
    <cfRule type="expression" dxfId="238" priority="63">
      <formula>AND(F213="Unexplained",G213=0)</formula>
    </cfRule>
  </conditionalFormatting>
  <conditionalFormatting sqref="F217">
    <cfRule type="expression" dxfId="237" priority="62">
      <formula>AND(F217="Unexplained",G217=0)</formula>
    </cfRule>
  </conditionalFormatting>
  <conditionalFormatting sqref="F221">
    <cfRule type="expression" dxfId="236" priority="61">
      <formula>AND(F221="Unexplained",G221=0)</formula>
    </cfRule>
  </conditionalFormatting>
  <conditionalFormatting sqref="F225">
    <cfRule type="expression" dxfId="235" priority="60">
      <formula>AND(F225="Unexplained",G225=0)</formula>
    </cfRule>
  </conditionalFormatting>
  <conditionalFormatting sqref="F229">
    <cfRule type="expression" dxfId="234" priority="59">
      <formula>AND(F229="Unexplained",G229=0)</formula>
    </cfRule>
  </conditionalFormatting>
  <conditionalFormatting sqref="F233">
    <cfRule type="expression" dxfId="233" priority="58">
      <formula>AND(F233="Unexplained",G233=0)</formula>
    </cfRule>
  </conditionalFormatting>
  <conditionalFormatting sqref="F237">
    <cfRule type="expression" dxfId="232" priority="57">
      <formula>AND(F237="Unexplained",G237=0)</formula>
    </cfRule>
  </conditionalFormatting>
  <conditionalFormatting sqref="F5:I6 F15:I16">
    <cfRule type="expression" dxfId="231" priority="687">
      <formula>ROUND($AE$2,2)&lt;&gt;0</formula>
    </cfRule>
  </conditionalFormatting>
  <conditionalFormatting sqref="F28:I28">
    <cfRule type="expression" dxfId="230" priority="175">
      <formula>ROUND($AE$2,2)&lt;&gt;0</formula>
    </cfRule>
  </conditionalFormatting>
  <conditionalFormatting sqref="G12:H12 G22:H22">
    <cfRule type="cellIs" dxfId="229" priority="1" operator="notEqual">
      <formula>0</formula>
    </cfRule>
  </conditionalFormatting>
  <conditionalFormatting sqref="G49:H49">
    <cfRule type="cellIs" dxfId="228" priority="166" operator="notBetween">
      <formula>-0.0001</formula>
      <formula>0.0001</formula>
    </cfRule>
  </conditionalFormatting>
  <conditionalFormatting sqref="G53:H53">
    <cfRule type="cellIs" dxfId="227" priority="222" operator="notBetween">
      <formula>-0.0000001</formula>
      <formula>0.0000001</formula>
    </cfRule>
  </conditionalFormatting>
  <conditionalFormatting sqref="G57:H57">
    <cfRule type="cellIs" dxfId="226" priority="161" operator="notBetween">
      <formula>-0.0000001</formula>
      <formula>0.0000001</formula>
    </cfRule>
  </conditionalFormatting>
  <conditionalFormatting sqref="G61:H61">
    <cfRule type="cellIs" dxfId="225" priority="160" operator="notBetween">
      <formula>-0.0000001</formula>
      <formula>0.0000001</formula>
    </cfRule>
  </conditionalFormatting>
  <conditionalFormatting sqref="G65:H65">
    <cfRule type="cellIs" dxfId="224" priority="159" operator="notBetween">
      <formula>-0.0000001</formula>
      <formula>0.0000001</formula>
    </cfRule>
  </conditionalFormatting>
  <conditionalFormatting sqref="G69:H69">
    <cfRule type="cellIs" dxfId="223" priority="158" operator="notBetween">
      <formula>-0.0000001</formula>
      <formula>0.0000001</formula>
    </cfRule>
  </conditionalFormatting>
  <conditionalFormatting sqref="G73:H73">
    <cfRule type="cellIs" dxfId="222" priority="157" operator="notBetween">
      <formula>-0.0000001</formula>
      <formula>0.0000001</formula>
    </cfRule>
  </conditionalFormatting>
  <conditionalFormatting sqref="G77:H77">
    <cfRule type="cellIs" dxfId="221" priority="156" operator="notBetween">
      <formula>-0.0000001</formula>
      <formula>0.0000001</formula>
    </cfRule>
  </conditionalFormatting>
  <conditionalFormatting sqref="G81:H81">
    <cfRule type="cellIs" dxfId="220" priority="155" operator="notBetween">
      <formula>-0.0000001</formula>
      <formula>0.0000001</formula>
    </cfRule>
  </conditionalFormatting>
  <conditionalFormatting sqref="G85:H85">
    <cfRule type="cellIs" dxfId="219" priority="154" operator="notBetween">
      <formula>-0.0000001</formula>
      <formula>0.0000001</formula>
    </cfRule>
  </conditionalFormatting>
  <conditionalFormatting sqref="G89:H89">
    <cfRule type="cellIs" dxfId="218" priority="153" operator="notBetween">
      <formula>-0.0000001</formula>
      <formula>0.0000001</formula>
    </cfRule>
  </conditionalFormatting>
  <conditionalFormatting sqref="G93:H93">
    <cfRule type="cellIs" dxfId="217" priority="152" operator="notBetween">
      <formula>-0.0000001</formula>
      <formula>0.0000001</formula>
    </cfRule>
  </conditionalFormatting>
  <conditionalFormatting sqref="G97:H97">
    <cfRule type="cellIs" dxfId="216" priority="151" operator="notBetween">
      <formula>-0.0000001</formula>
      <formula>0.0000001</formula>
    </cfRule>
  </conditionalFormatting>
  <conditionalFormatting sqref="G101:H101">
    <cfRule type="cellIs" dxfId="215" priority="150" operator="notBetween">
      <formula>-0.0000001</formula>
      <formula>0.0000001</formula>
    </cfRule>
  </conditionalFormatting>
  <conditionalFormatting sqref="G105:H105">
    <cfRule type="cellIs" dxfId="214" priority="149" operator="notBetween">
      <formula>-0.0000001</formula>
      <formula>0.0000001</formula>
    </cfRule>
  </conditionalFormatting>
  <conditionalFormatting sqref="G109:H109">
    <cfRule type="cellIs" dxfId="213" priority="148" operator="notBetween">
      <formula>-0.0000001</formula>
      <formula>0.0000001</formula>
    </cfRule>
  </conditionalFormatting>
  <conditionalFormatting sqref="G113:H113">
    <cfRule type="cellIs" dxfId="212" priority="147" operator="notBetween">
      <formula>-0.0000001</formula>
      <formula>0.0000001</formula>
    </cfRule>
  </conditionalFormatting>
  <conditionalFormatting sqref="G117:H117">
    <cfRule type="cellIs" dxfId="211" priority="146" operator="notBetween">
      <formula>-0.0000001</formula>
      <formula>0.0000001</formula>
    </cfRule>
  </conditionalFormatting>
  <conditionalFormatting sqref="G121:H121">
    <cfRule type="cellIs" dxfId="210" priority="145" operator="notBetween">
      <formula>-0.0000001</formula>
      <formula>0.0000001</formula>
    </cfRule>
  </conditionalFormatting>
  <conditionalFormatting sqref="G125:H125">
    <cfRule type="cellIs" dxfId="209" priority="144" operator="notBetween">
      <formula>-0.0000001</formula>
      <formula>0.0000001</formula>
    </cfRule>
  </conditionalFormatting>
  <conditionalFormatting sqref="G129:H129">
    <cfRule type="cellIs" dxfId="208" priority="143" operator="notBetween">
      <formula>-0.0000001</formula>
      <formula>0.0000001</formula>
    </cfRule>
  </conditionalFormatting>
  <conditionalFormatting sqref="G133:H133">
    <cfRule type="cellIs" dxfId="207" priority="142" operator="notBetween">
      <formula>-0.0000001</formula>
      <formula>0.0000001</formula>
    </cfRule>
  </conditionalFormatting>
  <conditionalFormatting sqref="G137:H137">
    <cfRule type="cellIs" dxfId="206" priority="141" operator="notBetween">
      <formula>-0.0000001</formula>
      <formula>0.0000001</formula>
    </cfRule>
  </conditionalFormatting>
  <conditionalFormatting sqref="G141:H141">
    <cfRule type="cellIs" dxfId="205" priority="140" operator="notBetween">
      <formula>-0.0000001</formula>
      <formula>0.0000001</formula>
    </cfRule>
  </conditionalFormatting>
  <conditionalFormatting sqref="G145:H145">
    <cfRule type="cellIs" dxfId="204" priority="139" operator="notBetween">
      <formula>-0.0000001</formula>
      <formula>0.0000001</formula>
    </cfRule>
  </conditionalFormatting>
  <conditionalFormatting sqref="G149:H149">
    <cfRule type="cellIs" dxfId="203" priority="138" operator="notBetween">
      <formula>-0.0000001</formula>
      <formula>0.0000001</formula>
    </cfRule>
  </conditionalFormatting>
  <conditionalFormatting sqref="G153:H153">
    <cfRule type="cellIs" dxfId="202" priority="137" operator="notBetween">
      <formula>-0.0000001</formula>
      <formula>0.0000001</formula>
    </cfRule>
  </conditionalFormatting>
  <conditionalFormatting sqref="G157:H157">
    <cfRule type="cellIs" dxfId="201" priority="136" operator="notBetween">
      <formula>-0.0000001</formula>
      <formula>0.0000001</formula>
    </cfRule>
  </conditionalFormatting>
  <conditionalFormatting sqref="G161:H161">
    <cfRule type="cellIs" dxfId="200" priority="135" operator="notBetween">
      <formula>-0.0000001</formula>
      <formula>0.0000001</formula>
    </cfRule>
  </conditionalFormatting>
  <conditionalFormatting sqref="G165:H165">
    <cfRule type="cellIs" dxfId="199" priority="134" operator="notBetween">
      <formula>-0.0000001</formula>
      <formula>0.0000001</formula>
    </cfRule>
  </conditionalFormatting>
  <conditionalFormatting sqref="G169:H169">
    <cfRule type="cellIs" dxfId="198" priority="133" operator="notBetween">
      <formula>-0.0000001</formula>
      <formula>0.0000001</formula>
    </cfRule>
  </conditionalFormatting>
  <conditionalFormatting sqref="G173:H173">
    <cfRule type="cellIs" dxfId="197" priority="132" operator="notBetween">
      <formula>-0.0000001</formula>
      <formula>0.0000001</formula>
    </cfRule>
  </conditionalFormatting>
  <conditionalFormatting sqref="G177:H177">
    <cfRule type="cellIs" dxfId="196" priority="131" operator="notBetween">
      <formula>-0.0000001</formula>
      <formula>0.0000001</formula>
    </cfRule>
  </conditionalFormatting>
  <conditionalFormatting sqref="G181:H181">
    <cfRule type="cellIs" dxfId="195" priority="130" operator="notBetween">
      <formula>-0.0000001</formula>
      <formula>0.0000001</formula>
    </cfRule>
  </conditionalFormatting>
  <conditionalFormatting sqref="G185:H185">
    <cfRule type="cellIs" dxfId="194" priority="129" operator="notBetween">
      <formula>-0.0000001</formula>
      <formula>0.0000001</formula>
    </cfRule>
  </conditionalFormatting>
  <conditionalFormatting sqref="G189:H189">
    <cfRule type="cellIs" dxfId="193" priority="128" operator="notBetween">
      <formula>-0.0000001</formula>
      <formula>0.0000001</formula>
    </cfRule>
  </conditionalFormatting>
  <conditionalFormatting sqref="G193:H193">
    <cfRule type="cellIs" dxfId="192" priority="127" operator="notBetween">
      <formula>-0.0000001</formula>
      <formula>0.0000001</formula>
    </cfRule>
  </conditionalFormatting>
  <conditionalFormatting sqref="G197:H197">
    <cfRule type="cellIs" dxfId="191" priority="126" operator="notBetween">
      <formula>-0.0000001</formula>
      <formula>0.0000001</formula>
    </cfRule>
  </conditionalFormatting>
  <conditionalFormatting sqref="G201:H201">
    <cfRule type="cellIs" dxfId="190" priority="125" operator="notBetween">
      <formula>-0.0000001</formula>
      <formula>0.0000001</formula>
    </cfRule>
  </conditionalFormatting>
  <conditionalFormatting sqref="G205:H205">
    <cfRule type="cellIs" dxfId="189" priority="124" operator="notBetween">
      <formula>-0.0000001</formula>
      <formula>0.0000001</formula>
    </cfRule>
  </conditionalFormatting>
  <conditionalFormatting sqref="G209:H209">
    <cfRule type="cellIs" dxfId="188" priority="123" operator="notBetween">
      <formula>-0.0000001</formula>
      <formula>0.0000001</formula>
    </cfRule>
  </conditionalFormatting>
  <conditionalFormatting sqref="G213:H213">
    <cfRule type="cellIs" dxfId="187" priority="122" operator="notBetween">
      <formula>-0.0000001</formula>
      <formula>0.0000001</formula>
    </cfRule>
  </conditionalFormatting>
  <conditionalFormatting sqref="G217:H217">
    <cfRule type="cellIs" dxfId="186" priority="121" operator="notBetween">
      <formula>-0.0000001</formula>
      <formula>0.0000001</formula>
    </cfRule>
  </conditionalFormatting>
  <conditionalFormatting sqref="G221:H221">
    <cfRule type="cellIs" dxfId="185" priority="120" operator="notBetween">
      <formula>-0.0000001</formula>
      <formula>0.0000001</formula>
    </cfRule>
  </conditionalFormatting>
  <conditionalFormatting sqref="G225:H225">
    <cfRule type="cellIs" dxfId="184" priority="119" operator="notBetween">
      <formula>-0.0000001</formula>
      <formula>0.0000001</formula>
    </cfRule>
  </conditionalFormatting>
  <conditionalFormatting sqref="G229:H229">
    <cfRule type="cellIs" dxfId="183" priority="118" operator="notBetween">
      <formula>-0.0000001</formula>
      <formula>0.0000001</formula>
    </cfRule>
  </conditionalFormatting>
  <conditionalFormatting sqref="G233:H233">
    <cfRule type="cellIs" dxfId="182" priority="117" operator="notBetween">
      <formula>-0.0000001</formula>
      <formula>0.0000001</formula>
    </cfRule>
  </conditionalFormatting>
  <conditionalFormatting sqref="G237:H237">
    <cfRule type="cellIs" dxfId="181" priority="116" operator="notBetween">
      <formula>-0.0000001</formula>
      <formula>0.0000001</formula>
    </cfRule>
  </conditionalFormatting>
  <conditionalFormatting sqref="I12">
    <cfRule type="expression" dxfId="180" priority="56">
      <formula>AND(I12="Unexplained",H12=0)</formula>
    </cfRule>
  </conditionalFormatting>
  <conditionalFormatting sqref="I17:I21 I24:I26">
    <cfRule type="expression" dxfId="179" priority="562">
      <formula>OR($B17="Equities",$B17="Liabilities")</formula>
    </cfRule>
    <cfRule type="expression" dxfId="178" priority="561">
      <formula>OR($B17="Equities",$B17="Liabilities")</formula>
    </cfRule>
  </conditionalFormatting>
  <conditionalFormatting sqref="I22">
    <cfRule type="expression" dxfId="177" priority="55">
      <formula>AND(I22="Unexplained",H22=0)</formula>
    </cfRule>
  </conditionalFormatting>
  <conditionalFormatting sqref="I29:I32">
    <cfRule type="expression" dxfId="176" priority="169">
      <formula>OR($B29="Equities",$B29="Liabilities")</formula>
    </cfRule>
    <cfRule type="expression" dxfId="175" priority="169">
      <formula>OR($B29="Equities",$B29="Liabilities")</formula>
    </cfRule>
  </conditionalFormatting>
  <conditionalFormatting sqref="I34:I48">
    <cfRule type="expression" dxfId="174" priority="163">
      <formula>OR($B34="Equities",$B34="Liabilities")</formula>
    </cfRule>
    <cfRule type="expression" dxfId="173" priority="162">
      <formula>OR($B34="Equities",$B34="Liabilities")</formula>
    </cfRule>
  </conditionalFormatting>
  <conditionalFormatting sqref="I49">
    <cfRule type="expression" dxfId="172" priority="54">
      <formula>AND(I49="Unexplained",H49=0)</formula>
    </cfRule>
  </conditionalFormatting>
  <conditionalFormatting sqref="I53">
    <cfRule type="expression" dxfId="171" priority="53">
      <formula>AND(I53="Unexplained",H53=0)</formula>
    </cfRule>
  </conditionalFormatting>
  <conditionalFormatting sqref="I57">
    <cfRule type="expression" dxfId="170" priority="52">
      <formula>AND(I57="Unexplained",H57=0)</formula>
    </cfRule>
  </conditionalFormatting>
  <conditionalFormatting sqref="I61">
    <cfRule type="expression" dxfId="169" priority="51">
      <formula>AND(I61="Unexplained",H61=0)</formula>
    </cfRule>
  </conditionalFormatting>
  <conditionalFormatting sqref="I65">
    <cfRule type="expression" dxfId="168" priority="50">
      <formula>AND(I65="Unexplained",H65=0)</formula>
    </cfRule>
  </conditionalFormatting>
  <conditionalFormatting sqref="I69">
    <cfRule type="expression" dxfId="167" priority="49">
      <formula>AND(I69="Unexplained",H69=0)</formula>
    </cfRule>
  </conditionalFormatting>
  <conditionalFormatting sqref="I73">
    <cfRule type="expression" dxfId="166" priority="48">
      <formula>AND(I73="Unexplained",H73=0)</formula>
    </cfRule>
  </conditionalFormatting>
  <conditionalFormatting sqref="I77">
    <cfRule type="expression" dxfId="165" priority="47">
      <formula>AND(I77="Unexplained",H77=0)</formula>
    </cfRule>
  </conditionalFormatting>
  <conditionalFormatting sqref="I81">
    <cfRule type="expression" dxfId="164" priority="46">
      <formula>AND(I81="Unexplained",H81=0)</formula>
    </cfRule>
  </conditionalFormatting>
  <conditionalFormatting sqref="I85">
    <cfRule type="expression" dxfId="163" priority="45">
      <formula>AND(I85="Unexplained",H85=0)</formula>
    </cfRule>
  </conditionalFormatting>
  <conditionalFormatting sqref="I89">
    <cfRule type="expression" dxfId="162" priority="44">
      <formula>AND(I89="Unexplained",H89=0)</formula>
    </cfRule>
  </conditionalFormatting>
  <conditionalFormatting sqref="I93">
    <cfRule type="expression" dxfId="161" priority="43">
      <formula>AND(I93="Unexplained",H93=0)</formula>
    </cfRule>
  </conditionalFormatting>
  <conditionalFormatting sqref="I97">
    <cfRule type="expression" dxfId="160" priority="42">
      <formula>AND(I97="Unexplained",H97=0)</formula>
    </cfRule>
  </conditionalFormatting>
  <conditionalFormatting sqref="I101">
    <cfRule type="expression" dxfId="159" priority="41">
      <formula>AND(I101="Unexplained",H101=0)</formula>
    </cfRule>
  </conditionalFormatting>
  <conditionalFormatting sqref="I105">
    <cfRule type="expression" dxfId="158" priority="40">
      <formula>AND(I105="Unexplained",H105=0)</formula>
    </cfRule>
  </conditionalFormatting>
  <conditionalFormatting sqref="I109">
    <cfRule type="expression" dxfId="157" priority="39">
      <formula>AND(I109="Unexplained",H109=0)</formula>
    </cfRule>
  </conditionalFormatting>
  <conditionalFormatting sqref="I113">
    <cfRule type="expression" dxfId="156" priority="38">
      <formula>AND(I113="Unexplained",H113=0)</formula>
    </cfRule>
  </conditionalFormatting>
  <conditionalFormatting sqref="I117">
    <cfRule type="expression" dxfId="155" priority="37">
      <formula>AND(I117="Unexplained",H117=0)</formula>
    </cfRule>
  </conditionalFormatting>
  <conditionalFormatting sqref="I121">
    <cfRule type="expression" dxfId="154" priority="36">
      <formula>AND(I121="Unexplained",H121=0)</formula>
    </cfRule>
  </conditionalFormatting>
  <conditionalFormatting sqref="I125">
    <cfRule type="expression" dxfId="153" priority="35">
      <formula>AND(I125="Unexplained",H125=0)</formula>
    </cfRule>
  </conditionalFormatting>
  <conditionalFormatting sqref="I129">
    <cfRule type="expression" dxfId="152" priority="34">
      <formula>AND(I129="Unexplained",H129=0)</formula>
    </cfRule>
  </conditionalFormatting>
  <conditionalFormatting sqref="I133">
    <cfRule type="expression" dxfId="151" priority="33">
      <formula>AND(I133="Unexplained",H133=0)</formula>
    </cfRule>
  </conditionalFormatting>
  <conditionalFormatting sqref="I137">
    <cfRule type="expression" dxfId="150" priority="32">
      <formula>AND(I137="Unexplained",H137=0)</formula>
    </cfRule>
  </conditionalFormatting>
  <conditionalFormatting sqref="I141">
    <cfRule type="expression" dxfId="149" priority="31">
      <formula>AND(I141="Unexplained",H141=0)</formula>
    </cfRule>
  </conditionalFormatting>
  <conditionalFormatting sqref="I145">
    <cfRule type="expression" dxfId="148" priority="30">
      <formula>AND(I145="Unexplained",H145=0)</formula>
    </cfRule>
  </conditionalFormatting>
  <conditionalFormatting sqref="I149">
    <cfRule type="expression" dxfId="147" priority="29">
      <formula>AND(I149="Unexplained",H149=0)</formula>
    </cfRule>
  </conditionalFormatting>
  <conditionalFormatting sqref="I153">
    <cfRule type="expression" dxfId="146" priority="28">
      <formula>AND(I153="Unexplained",H153=0)</formula>
    </cfRule>
  </conditionalFormatting>
  <conditionalFormatting sqref="I157">
    <cfRule type="expression" dxfId="145" priority="27">
      <formula>AND(I157="Unexplained",H157=0)</formula>
    </cfRule>
  </conditionalFormatting>
  <conditionalFormatting sqref="I161">
    <cfRule type="expression" dxfId="144" priority="26">
      <formula>AND(I161="Unexplained",H161=0)</formula>
    </cfRule>
  </conditionalFormatting>
  <conditionalFormatting sqref="I165">
    <cfRule type="expression" dxfId="143" priority="25">
      <formula>AND(I165="Unexplained",H165=0)</formula>
    </cfRule>
  </conditionalFormatting>
  <conditionalFormatting sqref="I169">
    <cfRule type="expression" dxfId="142" priority="24">
      <formula>AND(I169="Unexplained",H169=0)</formula>
    </cfRule>
  </conditionalFormatting>
  <conditionalFormatting sqref="I173">
    <cfRule type="expression" dxfId="141" priority="23">
      <formula>AND(I173="Unexplained",H173=0)</formula>
    </cfRule>
  </conditionalFormatting>
  <conditionalFormatting sqref="I177">
    <cfRule type="expression" dxfId="140" priority="22">
      <formula>AND(I177="Unexplained",H177=0)</formula>
    </cfRule>
  </conditionalFormatting>
  <conditionalFormatting sqref="I181">
    <cfRule type="expression" dxfId="139" priority="21">
      <formula>AND(I181="Unexplained",H181=0)</formula>
    </cfRule>
  </conditionalFormatting>
  <conditionalFormatting sqref="I185">
    <cfRule type="expression" dxfId="138" priority="20">
      <formula>AND(I185="Unexplained",H185=0)</formula>
    </cfRule>
  </conditionalFormatting>
  <conditionalFormatting sqref="I189">
    <cfRule type="expression" dxfId="137" priority="19">
      <formula>AND(I189="Unexplained",H189=0)</formula>
    </cfRule>
  </conditionalFormatting>
  <conditionalFormatting sqref="I193">
    <cfRule type="expression" dxfId="136" priority="18">
      <formula>AND(I193="Unexplained",H193=0)</formula>
    </cfRule>
  </conditionalFormatting>
  <conditionalFormatting sqref="I197">
    <cfRule type="expression" dxfId="135" priority="17">
      <formula>AND(I197="Unexplained",H197=0)</formula>
    </cfRule>
  </conditionalFormatting>
  <conditionalFormatting sqref="I201">
    <cfRule type="expression" dxfId="134" priority="16">
      <formula>AND(I201="Unexplained",H201=0)</formula>
    </cfRule>
  </conditionalFormatting>
  <conditionalFormatting sqref="I205">
    <cfRule type="expression" dxfId="133" priority="15">
      <formula>AND(I205="Unexplained",H205=0)</formula>
    </cfRule>
  </conditionalFormatting>
  <conditionalFormatting sqref="I209">
    <cfRule type="expression" dxfId="132" priority="14">
      <formula>AND(I209="Unexplained",H209=0)</formula>
    </cfRule>
  </conditionalFormatting>
  <conditionalFormatting sqref="I213">
    <cfRule type="expression" dxfId="131" priority="13">
      <formula>AND(I213="Unexplained",H213=0)</formula>
    </cfRule>
  </conditionalFormatting>
  <conditionalFormatting sqref="I217">
    <cfRule type="expression" dxfId="130" priority="12">
      <formula>AND(I217="Unexplained",H217=0)</formula>
    </cfRule>
  </conditionalFormatting>
  <conditionalFormatting sqref="I221">
    <cfRule type="expression" dxfId="129" priority="11">
      <formula>AND(I221="Unexplained",H221=0)</formula>
    </cfRule>
  </conditionalFormatting>
  <conditionalFormatting sqref="I225">
    <cfRule type="expression" dxfId="128" priority="10">
      <formula>AND(I225="Unexplained",H225=0)</formula>
    </cfRule>
  </conditionalFormatting>
  <conditionalFormatting sqref="I229">
    <cfRule type="expression" dxfId="127" priority="9">
      <formula>AND(I229="Unexplained",H229=0)</formula>
    </cfRule>
  </conditionalFormatting>
  <conditionalFormatting sqref="I233">
    <cfRule type="expression" dxfId="126" priority="8">
      <formula>AND(I233="Unexplained",H233=0)</formula>
    </cfRule>
  </conditionalFormatting>
  <conditionalFormatting sqref="I237">
    <cfRule type="expression" dxfId="125" priority="7">
      <formula>AND(I237="Unexplained",H237=0)</formula>
    </cfRule>
  </conditionalFormatting>
  <conditionalFormatting sqref="N4:N50 K9:K10 K16:K50 F17:F21 F24:F26">
    <cfRule type="expression" dxfId="124" priority="564">
      <formula>OR($B4="Equities",$B4="Liabilities")</formula>
    </cfRule>
    <cfRule type="expression" dxfId="123" priority="563">
      <formula>OR($B4="Equities",$B4="Liabilities")</formula>
    </cfRule>
  </conditionalFormatting>
  <conditionalFormatting sqref="N1:O10">
    <cfRule type="expression" dxfId="122" priority="567">
      <formula>AND(OR($N$3&lt;&gt;"",$N$4&lt;&gt;""),$O$3&lt;&gt;0)</formula>
    </cfRule>
    <cfRule type="expression" dxfId="121" priority="2">
      <formula>$N$3=""</formula>
    </cfRule>
  </conditionalFormatting>
  <conditionalFormatting sqref="P10 R10:S10">
    <cfRule type="expression" dxfId="120" priority="591">
      <formula>ROUND($AE$2,2)&lt;&gt;0</formula>
    </cfRule>
  </conditionalFormatting>
  <conditionalFormatting sqref="P11:P14 S11:S14 K11:K15">
    <cfRule type="expression" dxfId="119" priority="695">
      <formula>OR($N1="Equities",$N1="Liabilities")</formula>
    </cfRule>
    <cfRule type="expression" dxfId="118" priority="696">
      <formula>OR($N1="Equities",$N1="Liabilities")</formula>
    </cfRule>
  </conditionalFormatting>
  <conditionalFormatting sqref="P16:P50">
    <cfRule type="expression" dxfId="117" priority="555">
      <formula>OR($B16="Equities",$B16="Liabilities")</formula>
    </cfRule>
    <cfRule type="expression" dxfId="116" priority="554">
      <formula>OR($B16="Equities",$B16="Liabilities")</formula>
    </cfRule>
  </conditionalFormatting>
  <conditionalFormatting sqref="Q53:R53">
    <cfRule type="cellIs" dxfId="115" priority="455" operator="notBetween">
      <formula>-0.0000001</formula>
      <formula>0.0000001</formula>
    </cfRule>
  </conditionalFormatting>
  <conditionalFormatting sqref="Q57:R57">
    <cfRule type="cellIs" dxfId="114" priority="454" operator="notBetween">
      <formula>-0.0000001</formula>
      <formula>0.0000001</formula>
    </cfRule>
  </conditionalFormatting>
  <conditionalFormatting sqref="Q61:R61">
    <cfRule type="cellIs" dxfId="113" priority="453" operator="notBetween">
      <formula>-0.0000001</formula>
      <formula>0.0000001</formula>
    </cfRule>
  </conditionalFormatting>
  <conditionalFormatting sqref="Q65:R65">
    <cfRule type="cellIs" dxfId="112" priority="452" operator="notBetween">
      <formula>-0.0000001</formula>
      <formula>0.0000001</formula>
    </cfRule>
  </conditionalFormatting>
  <conditionalFormatting sqref="Q69:R69">
    <cfRule type="cellIs" dxfId="111" priority="451" operator="notBetween">
      <formula>-0.0000001</formula>
      <formula>0.0000001</formula>
    </cfRule>
  </conditionalFormatting>
  <conditionalFormatting sqref="Q73:R73">
    <cfRule type="cellIs" dxfId="110" priority="450" operator="notBetween">
      <formula>-0.0000001</formula>
      <formula>0.0000001</formula>
    </cfRule>
  </conditionalFormatting>
  <conditionalFormatting sqref="Q77:R77">
    <cfRule type="cellIs" dxfId="109" priority="449" operator="notBetween">
      <formula>-0.0000001</formula>
      <formula>0.0000001</formula>
    </cfRule>
  </conditionalFormatting>
  <conditionalFormatting sqref="Q81:R81">
    <cfRule type="cellIs" dxfId="108" priority="448" operator="notBetween">
      <formula>-0.0000001</formula>
      <formula>0.0000001</formula>
    </cfRule>
  </conditionalFormatting>
  <conditionalFormatting sqref="Q85:R85">
    <cfRule type="cellIs" dxfId="107" priority="447" operator="notBetween">
      <formula>-0.0000001</formula>
      <formula>0.0000001</formula>
    </cfRule>
  </conditionalFormatting>
  <conditionalFormatting sqref="Q89:R89">
    <cfRule type="cellIs" dxfId="106" priority="446" operator="notBetween">
      <formula>-0.0000001</formula>
      <formula>0.0000001</formula>
    </cfRule>
  </conditionalFormatting>
  <conditionalFormatting sqref="Q93:R93">
    <cfRule type="cellIs" dxfId="105" priority="445" operator="notBetween">
      <formula>-0.0000001</formula>
      <formula>0.0000001</formula>
    </cfRule>
  </conditionalFormatting>
  <conditionalFormatting sqref="Q97:R97">
    <cfRule type="cellIs" dxfId="104" priority="444" operator="notBetween">
      <formula>-0.0000001</formula>
      <formula>0.0000001</formula>
    </cfRule>
  </conditionalFormatting>
  <conditionalFormatting sqref="Q101:R101">
    <cfRule type="cellIs" dxfId="103" priority="443" operator="notBetween">
      <formula>-0.0000001</formula>
      <formula>0.0000001</formula>
    </cfRule>
  </conditionalFormatting>
  <conditionalFormatting sqref="Q105:R105">
    <cfRule type="cellIs" dxfId="102" priority="442" operator="notBetween">
      <formula>-0.0000001</formula>
      <formula>0.0000001</formula>
    </cfRule>
  </conditionalFormatting>
  <conditionalFormatting sqref="Q109:R109">
    <cfRule type="cellIs" dxfId="101" priority="441" operator="notBetween">
      <formula>-0.0000001</formula>
      <formula>0.0000001</formula>
    </cfRule>
  </conditionalFormatting>
  <conditionalFormatting sqref="Q113:R113">
    <cfRule type="cellIs" dxfId="100" priority="440" operator="notBetween">
      <formula>-0.0000001</formula>
      <formula>0.0000001</formula>
    </cfRule>
  </conditionalFormatting>
  <conditionalFormatting sqref="Q117:R117">
    <cfRule type="cellIs" dxfId="99" priority="439" operator="notBetween">
      <formula>-0.0000001</formula>
      <formula>0.0000001</formula>
    </cfRule>
  </conditionalFormatting>
  <conditionalFormatting sqref="Q121:R121">
    <cfRule type="cellIs" dxfId="98" priority="438" operator="notBetween">
      <formula>-0.0000001</formula>
      <formula>0.0000001</formula>
    </cfRule>
  </conditionalFormatting>
  <conditionalFormatting sqref="Q125:R125">
    <cfRule type="cellIs" dxfId="97" priority="437" operator="notBetween">
      <formula>-0.0000001</formula>
      <formula>0.0000001</formula>
    </cfRule>
  </conditionalFormatting>
  <conditionalFormatting sqref="Q129:R129">
    <cfRule type="cellIs" dxfId="96" priority="436" operator="notBetween">
      <formula>-0.0000001</formula>
      <formula>0.0000001</formula>
    </cfRule>
  </conditionalFormatting>
  <conditionalFormatting sqref="Q133:R133">
    <cfRule type="cellIs" dxfId="95" priority="435" operator="notBetween">
      <formula>-0.0000001</formula>
      <formula>0.0000001</formula>
    </cfRule>
  </conditionalFormatting>
  <conditionalFormatting sqref="Q137:R137">
    <cfRule type="cellIs" dxfId="94" priority="434" operator="notBetween">
      <formula>-0.0000001</formula>
      <formula>0.0000001</formula>
    </cfRule>
  </conditionalFormatting>
  <conditionalFormatting sqref="Q141:R141">
    <cfRule type="cellIs" dxfId="93" priority="433" operator="notBetween">
      <formula>-0.0000001</formula>
      <formula>0.0000001</formula>
    </cfRule>
  </conditionalFormatting>
  <conditionalFormatting sqref="Q145:R145">
    <cfRule type="cellIs" dxfId="92" priority="432" operator="notBetween">
      <formula>-0.0000001</formula>
      <formula>0.0000001</formula>
    </cfRule>
  </conditionalFormatting>
  <conditionalFormatting sqref="Q149:R149">
    <cfRule type="cellIs" dxfId="91" priority="431" operator="notBetween">
      <formula>-0.0000001</formula>
      <formula>0.0000001</formula>
    </cfRule>
  </conditionalFormatting>
  <conditionalFormatting sqref="Q153:R153">
    <cfRule type="cellIs" dxfId="90" priority="430" operator="notBetween">
      <formula>-0.0000001</formula>
      <formula>0.0000001</formula>
    </cfRule>
  </conditionalFormatting>
  <conditionalFormatting sqref="Q157:R157">
    <cfRule type="cellIs" dxfId="89" priority="429" operator="notBetween">
      <formula>-0.0000001</formula>
      <formula>0.0000001</formula>
    </cfRule>
  </conditionalFormatting>
  <conditionalFormatting sqref="Q161:R161">
    <cfRule type="cellIs" dxfId="88" priority="428" operator="notBetween">
      <formula>-0.0000001</formula>
      <formula>0.0000001</formula>
    </cfRule>
  </conditionalFormatting>
  <conditionalFormatting sqref="Q165:R165">
    <cfRule type="cellIs" dxfId="87" priority="427" operator="notBetween">
      <formula>-0.0000001</formula>
      <formula>0.0000001</formula>
    </cfRule>
  </conditionalFormatting>
  <conditionalFormatting sqref="Q169:R169">
    <cfRule type="cellIs" dxfId="86" priority="426" operator="notBetween">
      <formula>-0.0000001</formula>
      <formula>0.0000001</formula>
    </cfRule>
  </conditionalFormatting>
  <conditionalFormatting sqref="Q173:R173">
    <cfRule type="cellIs" dxfId="85" priority="425" operator="notBetween">
      <formula>-0.0000001</formula>
      <formula>0.0000001</formula>
    </cfRule>
  </conditionalFormatting>
  <conditionalFormatting sqref="Q177:R177">
    <cfRule type="cellIs" dxfId="84" priority="424" operator="notBetween">
      <formula>-0.0000001</formula>
      <formula>0.0000001</formula>
    </cfRule>
  </conditionalFormatting>
  <conditionalFormatting sqref="Q181:R181">
    <cfRule type="cellIs" dxfId="83" priority="423" operator="notBetween">
      <formula>-0.0000001</formula>
      <formula>0.0000001</formula>
    </cfRule>
  </conditionalFormatting>
  <conditionalFormatting sqref="Q185:R185">
    <cfRule type="cellIs" dxfId="82" priority="422" operator="notBetween">
      <formula>-0.0000001</formula>
      <formula>0.0000001</formula>
    </cfRule>
  </conditionalFormatting>
  <conditionalFormatting sqref="Q189:R189">
    <cfRule type="cellIs" dxfId="81" priority="421" operator="notBetween">
      <formula>-0.0000001</formula>
      <formula>0.0000001</formula>
    </cfRule>
  </conditionalFormatting>
  <conditionalFormatting sqref="Q193:R193">
    <cfRule type="cellIs" dxfId="80" priority="420" operator="notBetween">
      <formula>-0.0000001</formula>
      <formula>0.0000001</formula>
    </cfRule>
  </conditionalFormatting>
  <conditionalFormatting sqref="Q197:R197">
    <cfRule type="cellIs" dxfId="79" priority="419" operator="notBetween">
      <formula>-0.0000001</formula>
      <formula>0.0000001</formula>
    </cfRule>
  </conditionalFormatting>
  <conditionalFormatting sqref="Q201:R201">
    <cfRule type="cellIs" dxfId="78" priority="418" operator="notBetween">
      <formula>-0.0000001</formula>
      <formula>0.0000001</formula>
    </cfRule>
  </conditionalFormatting>
  <conditionalFormatting sqref="Q205:R205">
    <cfRule type="cellIs" dxfId="77" priority="417" operator="notBetween">
      <formula>-0.0000001</formula>
      <formula>0.0000001</formula>
    </cfRule>
  </conditionalFormatting>
  <conditionalFormatting sqref="Q209:R209">
    <cfRule type="cellIs" dxfId="76" priority="416" operator="notBetween">
      <formula>-0.0000001</formula>
      <formula>0.0000001</formula>
    </cfRule>
  </conditionalFormatting>
  <conditionalFormatting sqref="Q213:R213">
    <cfRule type="cellIs" dxfId="75" priority="415" operator="notBetween">
      <formula>-0.0000001</formula>
      <formula>0.0000001</formula>
    </cfRule>
  </conditionalFormatting>
  <conditionalFormatting sqref="Q217:R217">
    <cfRule type="cellIs" dxfId="74" priority="414" operator="notBetween">
      <formula>-0.0000001</formula>
      <formula>0.0000001</formula>
    </cfRule>
  </conditionalFormatting>
  <conditionalFormatting sqref="Q221:R221">
    <cfRule type="cellIs" dxfId="73" priority="413" operator="notBetween">
      <formula>-0.0000001</formula>
      <formula>0.0000001</formula>
    </cfRule>
  </conditionalFormatting>
  <conditionalFormatting sqref="Q225:R225">
    <cfRule type="cellIs" dxfId="72" priority="412" operator="notBetween">
      <formula>-0.0000001</formula>
      <formula>0.0000001</formula>
    </cfRule>
  </conditionalFormatting>
  <conditionalFormatting sqref="Q229:R229">
    <cfRule type="cellIs" dxfId="71" priority="411" operator="notBetween">
      <formula>-0.0000001</formula>
      <formula>0.0000001</formula>
    </cfRule>
  </conditionalFormatting>
  <conditionalFormatting sqref="Q233:R233">
    <cfRule type="cellIs" dxfId="70" priority="410" operator="notBetween">
      <formula>-0.0000001</formula>
      <formula>0.0000001</formula>
    </cfRule>
  </conditionalFormatting>
  <conditionalFormatting sqref="Q237:R237">
    <cfRule type="cellIs" dxfId="69" priority="409" operator="notBetween">
      <formula>-0.0000001</formula>
      <formula>0.0000001</formula>
    </cfRule>
  </conditionalFormatting>
  <conditionalFormatting sqref="S16:S50">
    <cfRule type="expression" dxfId="68" priority="552">
      <formula>OR($B16="Equities",$B16="Liabilities")</formula>
    </cfRule>
    <cfRule type="expression" dxfId="67" priority="553">
      <formula>OR($B16="Equities",$B16="Liabilities")</formula>
    </cfRule>
  </conditionalFormatting>
  <conditionalFormatting sqref="S53">
    <cfRule type="expression" dxfId="66" priority="456">
      <formula>R53=0</formula>
    </cfRule>
  </conditionalFormatting>
  <conditionalFormatting sqref="S57">
    <cfRule type="expression" dxfId="65" priority="458">
      <formula>R57=0</formula>
    </cfRule>
  </conditionalFormatting>
  <conditionalFormatting sqref="S61">
    <cfRule type="expression" dxfId="64" priority="460">
      <formula>R61=0</formula>
    </cfRule>
  </conditionalFormatting>
  <conditionalFormatting sqref="S65">
    <cfRule type="expression" dxfId="63" priority="462">
      <formula>R65=0</formula>
    </cfRule>
  </conditionalFormatting>
  <conditionalFormatting sqref="S69">
    <cfRule type="expression" dxfId="62" priority="464">
      <formula>R69=0</formula>
    </cfRule>
  </conditionalFormatting>
  <conditionalFormatting sqref="S73">
    <cfRule type="expression" dxfId="61" priority="466">
      <formula>R73=0</formula>
    </cfRule>
  </conditionalFormatting>
  <conditionalFormatting sqref="S77">
    <cfRule type="expression" dxfId="60" priority="468">
      <formula>R77=0</formula>
    </cfRule>
  </conditionalFormatting>
  <conditionalFormatting sqref="S81">
    <cfRule type="expression" dxfId="59" priority="470">
      <formula>R81=0</formula>
    </cfRule>
  </conditionalFormatting>
  <conditionalFormatting sqref="S85">
    <cfRule type="expression" dxfId="58" priority="472">
      <formula>R85=0</formula>
    </cfRule>
  </conditionalFormatting>
  <conditionalFormatting sqref="S89">
    <cfRule type="expression" dxfId="57" priority="474">
      <formula>R89=0</formula>
    </cfRule>
  </conditionalFormatting>
  <conditionalFormatting sqref="S93">
    <cfRule type="expression" dxfId="56" priority="476">
      <formula>R93=0</formula>
    </cfRule>
  </conditionalFormatting>
  <conditionalFormatting sqref="S97">
    <cfRule type="expression" dxfId="55" priority="480">
      <formula>R97=0</formula>
    </cfRule>
  </conditionalFormatting>
  <conditionalFormatting sqref="S101">
    <cfRule type="expression" dxfId="54" priority="478">
      <formula>R101=0</formula>
    </cfRule>
  </conditionalFormatting>
  <conditionalFormatting sqref="S105">
    <cfRule type="expression" dxfId="53" priority="482">
      <formula>R105=0</formula>
    </cfRule>
  </conditionalFormatting>
  <conditionalFormatting sqref="S109">
    <cfRule type="expression" dxfId="52" priority="484">
      <formula>R109=0</formula>
    </cfRule>
  </conditionalFormatting>
  <conditionalFormatting sqref="S113">
    <cfRule type="expression" dxfId="51" priority="486">
      <formula>R113=0</formula>
    </cfRule>
  </conditionalFormatting>
  <conditionalFormatting sqref="S117">
    <cfRule type="expression" dxfId="50" priority="488">
      <formula>R117=0</formula>
    </cfRule>
  </conditionalFormatting>
  <conditionalFormatting sqref="S121">
    <cfRule type="expression" dxfId="49" priority="490">
      <formula>R121=0</formula>
    </cfRule>
  </conditionalFormatting>
  <conditionalFormatting sqref="S125">
    <cfRule type="expression" dxfId="48" priority="492">
      <formula>R125=0</formula>
    </cfRule>
  </conditionalFormatting>
  <conditionalFormatting sqref="S129">
    <cfRule type="expression" dxfId="47" priority="494">
      <formula>R129=0</formula>
    </cfRule>
  </conditionalFormatting>
  <conditionalFormatting sqref="S133">
    <cfRule type="expression" dxfId="46" priority="496">
      <formula>R133=0</formula>
    </cfRule>
  </conditionalFormatting>
  <conditionalFormatting sqref="S137">
    <cfRule type="expression" dxfId="45" priority="498">
      <formula>R137=0</formula>
    </cfRule>
  </conditionalFormatting>
  <conditionalFormatting sqref="S141">
    <cfRule type="expression" dxfId="44" priority="500">
      <formula>R141=0</formula>
    </cfRule>
  </conditionalFormatting>
  <conditionalFormatting sqref="S145">
    <cfRule type="expression" dxfId="43" priority="502">
      <formula>R145=0</formula>
    </cfRule>
  </conditionalFormatting>
  <conditionalFormatting sqref="S149">
    <cfRule type="expression" dxfId="42" priority="504">
      <formula>R149=0</formula>
    </cfRule>
  </conditionalFormatting>
  <conditionalFormatting sqref="S153">
    <cfRule type="expression" dxfId="41" priority="506">
      <formula>R153=0</formula>
    </cfRule>
  </conditionalFormatting>
  <conditionalFormatting sqref="S157">
    <cfRule type="expression" dxfId="40" priority="508">
      <formula>R157=0</formula>
    </cfRule>
  </conditionalFormatting>
  <conditionalFormatting sqref="S161">
    <cfRule type="expression" dxfId="39" priority="510">
      <formula>R161=0</formula>
    </cfRule>
  </conditionalFormatting>
  <conditionalFormatting sqref="S165">
    <cfRule type="expression" dxfId="38" priority="512">
      <formula>R165=0</formula>
    </cfRule>
  </conditionalFormatting>
  <conditionalFormatting sqref="S169">
    <cfRule type="expression" dxfId="37" priority="514">
      <formula>R169=0</formula>
    </cfRule>
  </conditionalFormatting>
  <conditionalFormatting sqref="S173">
    <cfRule type="expression" dxfId="36" priority="516">
      <formula>R173=0</formula>
    </cfRule>
  </conditionalFormatting>
  <conditionalFormatting sqref="S177">
    <cfRule type="expression" dxfId="35" priority="518">
      <formula>R177=0</formula>
    </cfRule>
  </conditionalFormatting>
  <conditionalFormatting sqref="S181">
    <cfRule type="expression" dxfId="34" priority="520">
      <formula>R181=0</formula>
    </cfRule>
  </conditionalFormatting>
  <conditionalFormatting sqref="S185">
    <cfRule type="expression" dxfId="33" priority="522">
      <formula>R185=0</formula>
    </cfRule>
  </conditionalFormatting>
  <conditionalFormatting sqref="S189">
    <cfRule type="expression" dxfId="32" priority="524">
      <formula>R189=0</formula>
    </cfRule>
  </conditionalFormatting>
  <conditionalFormatting sqref="S193">
    <cfRule type="expression" dxfId="31" priority="526">
      <formula>R193=0</formula>
    </cfRule>
  </conditionalFormatting>
  <conditionalFormatting sqref="S197">
    <cfRule type="expression" dxfId="30" priority="528">
      <formula>R197=0</formula>
    </cfRule>
  </conditionalFormatting>
  <conditionalFormatting sqref="S201">
    <cfRule type="expression" dxfId="29" priority="530">
      <formula>R201=0</formula>
    </cfRule>
  </conditionalFormatting>
  <conditionalFormatting sqref="S205">
    <cfRule type="expression" dxfId="28" priority="532">
      <formula>R205=0</formula>
    </cfRule>
  </conditionalFormatting>
  <conditionalFormatting sqref="S209">
    <cfRule type="expression" dxfId="27" priority="534">
      <formula>R209=0</formula>
    </cfRule>
  </conditionalFormatting>
  <conditionalFormatting sqref="S213">
    <cfRule type="expression" dxfId="26" priority="536">
      <formula>R213=0</formula>
    </cfRule>
  </conditionalFormatting>
  <conditionalFormatting sqref="S217">
    <cfRule type="expression" dxfId="25" priority="538">
      <formula>R217=0</formula>
    </cfRule>
  </conditionalFormatting>
  <conditionalFormatting sqref="S221">
    <cfRule type="expression" dxfId="24" priority="540">
      <formula>R221=0</formula>
    </cfRule>
  </conditionalFormatting>
  <conditionalFormatting sqref="S225">
    <cfRule type="expression" dxfId="23" priority="542">
      <formula>R225=0</formula>
    </cfRule>
  </conditionalFormatting>
  <conditionalFormatting sqref="S229">
    <cfRule type="expression" dxfId="22" priority="544">
      <formula>R229=0</formula>
    </cfRule>
  </conditionalFormatting>
  <conditionalFormatting sqref="S233">
    <cfRule type="expression" dxfId="21" priority="546">
      <formula>R233=0</formula>
    </cfRule>
  </conditionalFormatting>
  <conditionalFormatting sqref="S237">
    <cfRule type="expression" dxfId="20"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J46" sqref="J46"/>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topLeftCell="A21" zoomScale="82" workbookViewId="0">
      <selection activeCell="F47" sqref="F47"/>
    </sheetView>
  </sheetViews>
  <sheetFormatPr defaultRowHeight="14.4" outlineLevelRow="1" x14ac:dyDescent="0.3"/>
  <cols>
    <col min="1" max="1" width="5.109375" customWidth="1"/>
    <col min="2" max="2" width="6" customWidth="1"/>
    <col min="3" max="3" width="12.88671875" bestFit="1" customWidth="1"/>
    <col min="4" max="4" width="42.109375" customWidth="1"/>
    <col min="5" max="11" width="29.21875" customWidth="1"/>
    <col min="12" max="12" width="35.77734375" bestFit="1" customWidth="1"/>
    <col min="13" max="14" width="29.21875" customWidth="1"/>
    <col min="15" max="30" width="25.21875" customWidth="1"/>
    <col min="31" max="31" width="28.21875" customWidth="1"/>
    <col min="32" max="39" width="25.21875" customWidth="1"/>
    <col min="40" max="41" width="18.21875" customWidth="1"/>
  </cols>
  <sheetData>
    <row r="1" spans="2:14" ht="17.399999999999999" x14ac:dyDescent="0.3">
      <c r="B1" s="17" t="s">
        <v>437</v>
      </c>
      <c r="C1" s="18"/>
      <c r="D1" s="18"/>
      <c r="E1" s="18"/>
      <c r="F1" s="18"/>
      <c r="G1" s="18"/>
      <c r="H1" s="18"/>
      <c r="I1" s="18"/>
      <c r="J1" s="18"/>
      <c r="K1" s="18"/>
      <c r="L1" s="18"/>
      <c r="M1" s="18"/>
      <c r="N1" s="18"/>
    </row>
    <row r="2" spans="2:14" ht="15" outlineLevel="1" thickBot="1" x14ac:dyDescent="0.35"/>
    <row r="3" spans="2:14" ht="15" outlineLevel="1" thickBot="1" x14ac:dyDescent="0.35">
      <c r="D3" s="264" t="s">
        <v>88</v>
      </c>
      <c r="E3" s="507" t="s">
        <v>438</v>
      </c>
    </row>
    <row r="4" spans="2:14" ht="15" outlineLevel="1" thickBot="1" x14ac:dyDescent="0.35">
      <c r="D4" s="508" t="s">
        <v>439</v>
      </c>
      <c r="E4" s="648" t="b">
        <v>1</v>
      </c>
    </row>
    <row r="5" spans="2:14" outlineLevel="1" x14ac:dyDescent="0.3">
      <c r="D5" s="508" t="s">
        <v>440</v>
      </c>
      <c r="E5" s="648" t="b">
        <v>0</v>
      </c>
    </row>
    <row r="6" spans="2:14" outlineLevel="1" x14ac:dyDescent="0.3">
      <c r="D6" s="500" t="s">
        <v>91</v>
      </c>
      <c r="E6" s="649" t="b">
        <v>0</v>
      </c>
    </row>
    <row r="7" spans="2:14" outlineLevel="1" x14ac:dyDescent="0.3">
      <c r="D7" s="500" t="s">
        <v>92</v>
      </c>
      <c r="E7" s="649" t="b">
        <v>0</v>
      </c>
    </row>
    <row r="8" spans="2:14" outlineLevel="1" x14ac:dyDescent="0.3">
      <c r="D8" s="500" t="s">
        <v>93</v>
      </c>
      <c r="E8" s="649" t="b">
        <v>0</v>
      </c>
    </row>
    <row r="9" spans="2:14" ht="15" outlineLevel="1" thickBot="1" x14ac:dyDescent="0.35">
      <c r="D9" s="509" t="s">
        <v>98</v>
      </c>
      <c r="E9" s="650" t="b">
        <v>0</v>
      </c>
    </row>
    <row r="10" spans="2:14" outlineLevel="1" x14ac:dyDescent="0.3">
      <c r="D10" s="500" t="s">
        <v>153</v>
      </c>
      <c r="E10" s="649" t="b">
        <v>1</v>
      </c>
    </row>
    <row r="11" spans="2:14" outlineLevel="1" x14ac:dyDescent="0.3">
      <c r="D11" s="501" t="s">
        <v>94</v>
      </c>
      <c r="E11" s="649" t="b">
        <v>1</v>
      </c>
    </row>
    <row r="12" spans="2:14" outlineLevel="1" x14ac:dyDescent="0.3">
      <c r="D12" s="500" t="s">
        <v>175</v>
      </c>
      <c r="E12" s="649" t="b">
        <v>0</v>
      </c>
    </row>
    <row r="13" spans="2:14" outlineLevel="1" x14ac:dyDescent="0.3">
      <c r="D13" s="501" t="s">
        <v>95</v>
      </c>
      <c r="E13" s="649" t="b">
        <v>1</v>
      </c>
    </row>
    <row r="14" spans="2:14" outlineLevel="1" x14ac:dyDescent="0.3">
      <c r="D14" s="501" t="s">
        <v>96</v>
      </c>
      <c r="E14" s="649" t="b">
        <v>1</v>
      </c>
    </row>
    <row r="15" spans="2:14" outlineLevel="1" x14ac:dyDescent="0.3">
      <c r="D15" s="501" t="s">
        <v>167</v>
      </c>
      <c r="E15" s="649" t="b">
        <v>1</v>
      </c>
    </row>
    <row r="16" spans="2:14" outlineLevel="1" x14ac:dyDescent="0.3">
      <c r="D16" s="501" t="s">
        <v>138</v>
      </c>
      <c r="E16" s="649" t="b">
        <v>0</v>
      </c>
    </row>
    <row r="17" spans="4:8" ht="15" outlineLevel="1" thickBot="1" x14ac:dyDescent="0.35">
      <c r="D17" s="502" t="s">
        <v>97</v>
      </c>
      <c r="E17" s="650" t="b">
        <v>1</v>
      </c>
      <c r="F17" s="267"/>
      <c r="G17" s="309"/>
    </row>
    <row r="18" spans="4:8" outlineLevel="1" x14ac:dyDescent="0.3">
      <c r="D18" s="267"/>
      <c r="E18" s="267"/>
      <c r="F18" s="267"/>
      <c r="G18" s="309"/>
    </row>
    <row r="19" spans="4:8" outlineLevel="1" x14ac:dyDescent="0.3">
      <c r="D19" s="499" t="s">
        <v>441</v>
      </c>
      <c r="E19" s="499" t="s">
        <v>442</v>
      </c>
      <c r="F19" s="267"/>
      <c r="G19" s="309"/>
    </row>
    <row r="20" spans="4:8" outlineLevel="1" x14ac:dyDescent="0.3">
      <c r="D20" s="267"/>
      <c r="E20" s="267"/>
      <c r="F20" s="267"/>
      <c r="G20" s="309"/>
    </row>
    <row r="21" spans="4:8" outlineLevel="1" x14ac:dyDescent="0.3">
      <c r="D21" s="267"/>
      <c r="E21" s="267"/>
      <c r="F21" s="267"/>
      <c r="G21" s="309"/>
    </row>
    <row r="22" spans="4:8" outlineLevel="1" x14ac:dyDescent="0.3">
      <c r="D22" s="309"/>
      <c r="E22" s="309"/>
      <c r="F22" s="309"/>
      <c r="G22" s="309"/>
    </row>
    <row r="23" spans="4:8" outlineLevel="1" x14ac:dyDescent="0.3">
      <c r="D23" s="309"/>
      <c r="E23" s="309"/>
      <c r="F23" s="309"/>
      <c r="G23" s="309"/>
    </row>
    <row r="24" spans="4:8" outlineLevel="1" x14ac:dyDescent="0.3">
      <c r="D24" s="309"/>
      <c r="E24" s="309"/>
      <c r="F24" s="309"/>
      <c r="G24" s="309"/>
    </row>
    <row r="25" spans="4:8" outlineLevel="1" x14ac:dyDescent="0.3">
      <c r="D25" s="309"/>
    </row>
    <row r="26" spans="4:8" outlineLevel="1" x14ac:dyDescent="0.3">
      <c r="D26" s="672" t="s">
        <v>443</v>
      </c>
      <c r="E26" s="672"/>
      <c r="F26" s="672"/>
      <c r="G26" s="672"/>
    </row>
    <row r="27" spans="4:8" outlineLevel="1" x14ac:dyDescent="0.3">
      <c r="D27" s="311">
        <v>1</v>
      </c>
      <c r="E27" s="787" t="s">
        <v>444</v>
      </c>
      <c r="F27" s="788"/>
      <c r="G27" s="789"/>
      <c r="H27" s="538">
        <v>1</v>
      </c>
    </row>
    <row r="28" spans="4:8" outlineLevel="1" x14ac:dyDescent="0.3">
      <c r="D28" s="312">
        <v>2</v>
      </c>
      <c r="E28" s="787" t="s">
        <v>445</v>
      </c>
      <c r="F28" s="788"/>
      <c r="G28" s="789"/>
      <c r="H28" s="538">
        <v>1</v>
      </c>
    </row>
    <row r="29" spans="4:8" outlineLevel="1" x14ac:dyDescent="0.3">
      <c r="D29" s="311">
        <v>3</v>
      </c>
      <c r="E29" s="787" t="s">
        <v>446</v>
      </c>
      <c r="F29" s="788"/>
      <c r="G29" s="789"/>
      <c r="H29" s="538">
        <v>1</v>
      </c>
    </row>
    <row r="30" spans="4:8" outlineLevel="1" x14ac:dyDescent="0.3">
      <c r="D30" s="312">
        <v>4</v>
      </c>
      <c r="E30" s="787" t="s">
        <v>447</v>
      </c>
      <c r="F30" s="788"/>
      <c r="G30" s="789"/>
      <c r="H30" s="538">
        <v>1</v>
      </c>
    </row>
    <row r="31" spans="4:8" outlineLevel="1" x14ac:dyDescent="0.3">
      <c r="D31" s="311">
        <v>5</v>
      </c>
      <c r="E31" s="787" t="s">
        <v>448</v>
      </c>
      <c r="F31" s="788"/>
      <c r="G31" s="789"/>
      <c r="H31" s="538">
        <v>1</v>
      </c>
    </row>
    <row r="32" spans="4:8" outlineLevel="1" x14ac:dyDescent="0.3">
      <c r="D32" s="40"/>
      <c r="E32" s="314"/>
      <c r="F32" s="314"/>
    </row>
    <row r="33" spans="4:6" outlineLevel="1" x14ac:dyDescent="0.3">
      <c r="D33" s="672" t="s">
        <v>449</v>
      </c>
      <c r="E33" s="672"/>
      <c r="F33" s="672"/>
    </row>
    <row r="34" spans="4:6" outlineLevel="1" x14ac:dyDescent="0.3">
      <c r="D34" s="399" t="s">
        <v>88</v>
      </c>
      <c r="E34" s="399" t="s">
        <v>450</v>
      </c>
      <c r="F34" s="399" t="s">
        <v>451</v>
      </c>
    </row>
    <row r="35" spans="4:6" outlineLevel="1" x14ac:dyDescent="0.3">
      <c r="D35" s="315" t="s">
        <v>35</v>
      </c>
      <c r="E35" s="651" t="s">
        <v>452</v>
      </c>
      <c r="F35" s="652" t="s">
        <v>453</v>
      </c>
    </row>
    <row r="36" spans="4:6" outlineLevel="1" x14ac:dyDescent="0.3">
      <c r="D36" s="315" t="s">
        <v>325</v>
      </c>
      <c r="E36" s="651" t="s">
        <v>454</v>
      </c>
      <c r="F36" s="652" t="s">
        <v>453</v>
      </c>
    </row>
    <row r="37" spans="4:6" outlineLevel="1" x14ac:dyDescent="0.3">
      <c r="D37" s="315" t="s">
        <v>153</v>
      </c>
      <c r="E37" s="651" t="s">
        <v>455</v>
      </c>
      <c r="F37" s="652" t="s">
        <v>456</v>
      </c>
    </row>
    <row r="38" spans="4:6" outlineLevel="1" x14ac:dyDescent="0.3">
      <c r="D38" s="315" t="s">
        <v>457</v>
      </c>
      <c r="E38" s="651" t="s">
        <v>458</v>
      </c>
      <c r="F38" s="652" t="s">
        <v>456</v>
      </c>
    </row>
    <row r="39" spans="4:6" outlineLevel="1" x14ac:dyDescent="0.3">
      <c r="D39" s="315" t="s">
        <v>459</v>
      </c>
      <c r="E39" s="651" t="s">
        <v>458</v>
      </c>
      <c r="F39" s="652" t="s">
        <v>456</v>
      </c>
    </row>
    <row r="40" spans="4:6" outlineLevel="1" x14ac:dyDescent="0.3">
      <c r="D40" s="315" t="s">
        <v>97</v>
      </c>
      <c r="E40" s="651" t="s">
        <v>455</v>
      </c>
      <c r="F40" s="652" t="s">
        <v>456</v>
      </c>
    </row>
    <row r="41" spans="4:6" outlineLevel="1" x14ac:dyDescent="0.3">
      <c r="D41" s="315" t="s">
        <v>94</v>
      </c>
      <c r="E41" s="651" t="s">
        <v>455</v>
      </c>
      <c r="F41" s="652" t="s">
        <v>456</v>
      </c>
    </row>
    <row r="42" spans="4:6" outlineLevel="1" x14ac:dyDescent="0.3">
      <c r="D42" s="315" t="s">
        <v>175</v>
      </c>
      <c r="E42" s="651" t="s">
        <v>455</v>
      </c>
      <c r="F42" s="652" t="s">
        <v>460</v>
      </c>
    </row>
    <row r="43" spans="4:6" outlineLevel="1" x14ac:dyDescent="0.3">
      <c r="D43" s="315" t="s">
        <v>192</v>
      </c>
      <c r="E43" s="651" t="s">
        <v>455</v>
      </c>
      <c r="F43" s="652" t="s">
        <v>456</v>
      </c>
    </row>
    <row r="44" spans="4:6" outlineLevel="1" x14ac:dyDescent="0.3">
      <c r="D44" s="315" t="s">
        <v>461</v>
      </c>
      <c r="E44" s="651" t="s">
        <v>458</v>
      </c>
      <c r="F44" s="652" t="s">
        <v>456</v>
      </c>
    </row>
    <row r="45" spans="4:6" outlineLevel="1" x14ac:dyDescent="0.3">
      <c r="D45" s="315" t="s">
        <v>462</v>
      </c>
      <c r="E45" s="651" t="s">
        <v>455</v>
      </c>
      <c r="F45" s="652" t="s">
        <v>456</v>
      </c>
    </row>
    <row r="46" spans="4:6" outlineLevel="1" x14ac:dyDescent="0.3">
      <c r="D46" s="315" t="s">
        <v>463</v>
      </c>
      <c r="E46" s="651" t="s">
        <v>464</v>
      </c>
      <c r="F46" s="652" t="s">
        <v>453</v>
      </c>
    </row>
    <row r="47" spans="4:6" outlineLevel="1" x14ac:dyDescent="0.3">
      <c r="D47" s="315" t="s">
        <v>465</v>
      </c>
      <c r="E47" s="651" t="s">
        <v>455</v>
      </c>
      <c r="F47" s="652" t="s">
        <v>453</v>
      </c>
    </row>
    <row r="48" spans="4:6" outlineLevel="1" x14ac:dyDescent="0.3">
      <c r="D48" s="315" t="s">
        <v>466</v>
      </c>
      <c r="E48" s="651" t="s">
        <v>455</v>
      </c>
      <c r="F48" s="652" t="s">
        <v>460</v>
      </c>
    </row>
    <row r="49" spans="2:14" outlineLevel="1" x14ac:dyDescent="0.3">
      <c r="D49" s="315" t="s">
        <v>467</v>
      </c>
      <c r="E49" s="651" t="s">
        <v>455</v>
      </c>
      <c r="F49" s="652" t="s">
        <v>460</v>
      </c>
    </row>
    <row r="50" spans="2:14" outlineLevel="1" x14ac:dyDescent="0.3">
      <c r="D50" s="5"/>
      <c r="E50" s="5"/>
    </row>
    <row r="51" spans="2:14" outlineLevel="1" x14ac:dyDescent="0.3">
      <c r="D51" s="5"/>
      <c r="E51" s="5"/>
    </row>
    <row r="52" spans="2:14" outlineLevel="1" x14ac:dyDescent="0.3">
      <c r="D52" s="5"/>
      <c r="E52" s="5"/>
    </row>
    <row r="53" spans="2:14" outlineLevel="1" x14ac:dyDescent="0.3">
      <c r="D53" s="5"/>
      <c r="E53" s="5"/>
    </row>
    <row r="54" spans="2:14" outlineLevel="1" x14ac:dyDescent="0.3">
      <c r="D54" s="5"/>
      <c r="E54" s="5"/>
    </row>
    <row r="55" spans="2:14" outlineLevel="1" x14ac:dyDescent="0.3">
      <c r="D55" s="5"/>
      <c r="E55" s="5"/>
    </row>
    <row r="56" spans="2:14" outlineLevel="1" x14ac:dyDescent="0.3">
      <c r="D56" s="5"/>
      <c r="E56" s="5"/>
    </row>
    <row r="58" spans="2:14" ht="17.399999999999999" x14ac:dyDescent="0.3">
      <c r="B58" s="17" t="s">
        <v>468</v>
      </c>
      <c r="C58" s="18"/>
      <c r="D58" s="18"/>
      <c r="E58" s="18"/>
      <c r="F58" s="18"/>
      <c r="G58" s="18"/>
      <c r="H58" s="18"/>
      <c r="I58" s="18"/>
      <c r="J58" s="18"/>
      <c r="K58" s="18"/>
      <c r="L58" s="18"/>
      <c r="M58" s="18"/>
      <c r="N58" s="18"/>
    </row>
    <row r="59" spans="2:14" hidden="1" outlineLevel="1" x14ac:dyDescent="0.3"/>
    <row r="60" spans="2:14" hidden="1" outlineLevel="1" x14ac:dyDescent="0.3">
      <c r="D60" s="463" t="s">
        <v>468</v>
      </c>
      <c r="E60" s="463"/>
    </row>
    <row r="61" spans="2:14" hidden="1" outlineLevel="1" x14ac:dyDescent="0.3">
      <c r="D61" s="406" t="s">
        <v>2</v>
      </c>
      <c r="E61" s="653" t="s">
        <v>469</v>
      </c>
    </row>
    <row r="62" spans="2:14" hidden="1" outlineLevel="1" x14ac:dyDescent="0.3">
      <c r="D62" s="315" t="s">
        <v>470</v>
      </c>
      <c r="E62" s="653" t="str">
        <f>_xlfn.IFNA(_xlfn.XLOOKUP(Entity,Entities[Name],Entities[Type]),"")</f>
        <v>For-profit corporation</v>
      </c>
    </row>
    <row r="63" spans="2:14" hidden="1" outlineLevel="1" x14ac:dyDescent="0.3">
      <c r="D63" s="406" t="s">
        <v>471</v>
      </c>
      <c r="E63" s="653" t="str">
        <f>_xlfn.IFNA(_xlfn.XLOOKUP(Entity,Entities[Name],Entities[Activity]),"")</f>
        <v>Retail</v>
      </c>
    </row>
    <row r="64" spans="2:14" hidden="1" outlineLevel="1" x14ac:dyDescent="0.3">
      <c r="D64" s="315" t="s">
        <v>472</v>
      </c>
      <c r="E64" s="653" t="str">
        <f>_xlfn.IFNA(_xlfn.XLOOKUP(Entity,Entities[Name],Entities[Begin Date]),"")</f>
        <v>3/31/20X4</v>
      </c>
    </row>
    <row r="65" spans="2:41" hidden="1" outlineLevel="1" x14ac:dyDescent="0.3">
      <c r="D65" s="406" t="s">
        <v>473</v>
      </c>
      <c r="E65" s="653" t="str">
        <f>_xlfn.IFNA(_xlfn.XLOOKUP(Entity,Entities[Name],Entities[End Date]),"")</f>
        <v>12/31/20x4</v>
      </c>
    </row>
    <row r="66" spans="2:41" hidden="1" outlineLevel="1" x14ac:dyDescent="0.3">
      <c r="D66" s="406" t="s">
        <v>474</v>
      </c>
      <c r="E66" s="653" t="str">
        <f>_xlfn.IFNA(_xlfn.XLOOKUP(Entity,Entities[Name],Entities[IssueDate]),"")</f>
        <v>3/31/20x5</v>
      </c>
    </row>
    <row r="67" spans="2:41" hidden="1" outlineLevel="1" x14ac:dyDescent="0.3">
      <c r="D67" s="315" t="s">
        <v>98</v>
      </c>
      <c r="E67" s="653" t="str">
        <f>_xlfn.IFNA(_xlfn.XLOOKUP(Entity,Entities[Name],Entities[Period]),"")</f>
        <v>Three Quarters</v>
      </c>
    </row>
    <row r="68" spans="2:41" hidden="1" outlineLevel="1" x14ac:dyDescent="0.3">
      <c r="D68" s="406" t="s">
        <v>91</v>
      </c>
      <c r="E68" s="653" t="str">
        <f>_xlfn.IFNA(_xlfn.XLOOKUP(Entity,Entities[Name],Entities[Units]),"")</f>
        <v>Dollars in Thousands</v>
      </c>
    </row>
    <row r="69" spans="2:41" hidden="1" outlineLevel="1" x14ac:dyDescent="0.3">
      <c r="D69" s="315" t="s">
        <v>475</v>
      </c>
      <c r="E69" s="654">
        <f>_xlfn.IFNA(_xlfn.XLOOKUP(Entity,Entities[Name],Entities[OutstandingCommon]),"")</f>
        <v>0</v>
      </c>
    </row>
    <row r="70" spans="2:41" hidden="1" outlineLevel="1" x14ac:dyDescent="0.3">
      <c r="D70" s="406" t="s">
        <v>476</v>
      </c>
      <c r="E70" s="655">
        <f>_xlfn.IFNA(_xlfn.XLOOKUP(Entity,Entities[Name],Entities[Par]),"")</f>
        <v>5</v>
      </c>
    </row>
    <row r="71" spans="2:41" hidden="1" outlineLevel="1" x14ac:dyDescent="0.3">
      <c r="D71" s="315" t="s">
        <v>477</v>
      </c>
      <c r="E71" s="654">
        <f>_xlfn.IFNA(_xlfn.XLOOKUP(Entity,Entities[Name],Entities[Treasury Stock]),"")</f>
        <v>0</v>
      </c>
    </row>
    <row r="72" spans="2:41" hidden="1" outlineLevel="1" x14ac:dyDescent="0.3">
      <c r="D72" s="315" t="s">
        <v>478</v>
      </c>
      <c r="E72" s="653" t="str">
        <f>_xlfn.IFNA(_xlfn.XLOOKUP(Entity,Entities[Name],Entities[DeprMethod]),"")</f>
        <v>Straight-line</v>
      </c>
    </row>
    <row r="73" spans="2:41" hidden="1" outlineLevel="1" x14ac:dyDescent="0.3">
      <c r="D73" s="315" t="s">
        <v>479</v>
      </c>
      <c r="E73" s="653" t="str">
        <f>_xlfn.IFNA(_xlfn.XLOOKUP(Entity,Entities[Name],Entities[InventoryMethod]),"")</f>
        <v>First-in, first-out (FIFO)</v>
      </c>
    </row>
    <row r="74" spans="2:41" hidden="1" outlineLevel="1" x14ac:dyDescent="0.3">
      <c r="D74" s="406" t="s">
        <v>480</v>
      </c>
      <c r="E74" s="653" t="str">
        <f>_xlfn.IFNA(_xlfn.XLOOKUP(Entity,Entities[Name],Entities[RevRec]),"")</f>
        <v>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75" spans="2:41" collapsed="1" x14ac:dyDescent="0.3"/>
    <row r="76" spans="2:41" ht="17.399999999999999" x14ac:dyDescent="0.3">
      <c r="B76" s="17" t="s">
        <v>481</v>
      </c>
      <c r="C76" s="18"/>
      <c r="D76" s="18"/>
      <c r="E76" s="18"/>
      <c r="F76" s="18"/>
      <c r="G76" s="18"/>
      <c r="H76" s="18"/>
      <c r="I76" s="18"/>
      <c r="J76" s="18"/>
      <c r="K76" s="18"/>
      <c r="L76" s="18"/>
      <c r="M76" s="18"/>
      <c r="N76" s="18"/>
    </row>
    <row r="77" spans="2:41" ht="15" hidden="1" outlineLevel="1" thickBot="1" x14ac:dyDescent="0.35">
      <c r="D77" s="5"/>
    </row>
    <row r="78" spans="2:41" s="6" customFormat="1" hidden="1" outlineLevel="1" x14ac:dyDescent="0.3">
      <c r="C78" s="12"/>
      <c r="D78" s="112" t="s">
        <v>482</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483</v>
      </c>
      <c r="AO78"/>
    </row>
    <row r="79" spans="2:41" s="13" customFormat="1" ht="163.35" hidden="1" customHeight="1" outlineLevel="1" x14ac:dyDescent="0.3">
      <c r="C79" s="28"/>
      <c r="D79" s="31" t="s">
        <v>484</v>
      </c>
      <c r="E79" s="634" t="s">
        <v>485</v>
      </c>
      <c r="F79" s="634" t="s">
        <v>486</v>
      </c>
      <c r="G79" s="634" t="s">
        <v>487</v>
      </c>
      <c r="H79" s="634" t="s">
        <v>488</v>
      </c>
      <c r="I79" s="634" t="s">
        <v>489</v>
      </c>
      <c r="J79" s="634" t="s">
        <v>490</v>
      </c>
      <c r="K79" s="634" t="s">
        <v>491</v>
      </c>
      <c r="L79" s="634" t="s">
        <v>492</v>
      </c>
      <c r="M79" s="634" t="s">
        <v>493</v>
      </c>
      <c r="N79" s="634" t="s">
        <v>494</v>
      </c>
      <c r="O79" s="634" t="s">
        <v>495</v>
      </c>
      <c r="P79" s="634" t="s">
        <v>496</v>
      </c>
      <c r="Q79" s="634" t="s">
        <v>497</v>
      </c>
      <c r="R79" s="634" t="s">
        <v>498</v>
      </c>
      <c r="S79" s="634" t="s">
        <v>499</v>
      </c>
      <c r="T79" s="634" t="s">
        <v>500</v>
      </c>
      <c r="U79" s="634" t="s">
        <v>501</v>
      </c>
      <c r="V79" s="634" t="s">
        <v>502</v>
      </c>
      <c r="W79" s="634"/>
      <c r="X79" s="634"/>
      <c r="Y79" s="634"/>
      <c r="Z79" s="634"/>
      <c r="AA79" s="634"/>
      <c r="AB79" s="634"/>
      <c r="AC79" s="634"/>
      <c r="AD79" s="634"/>
      <c r="AE79" s="634"/>
      <c r="AF79" s="634"/>
      <c r="AG79" s="634"/>
      <c r="AH79" s="634"/>
      <c r="AI79" s="634"/>
      <c r="AJ79" s="634"/>
      <c r="AK79" s="634"/>
      <c r="AL79" s="634"/>
      <c r="AM79" s="634"/>
      <c r="AN79" s="29"/>
      <c r="AO79"/>
    </row>
    <row r="80" spans="2:41" hidden="1" outlineLevel="1" x14ac:dyDescent="0.3">
      <c r="C80" s="28"/>
      <c r="D80" s="32" t="s">
        <v>503</v>
      </c>
      <c r="E80" s="635" t="s">
        <v>504</v>
      </c>
      <c r="F80" s="635" t="s">
        <v>504</v>
      </c>
      <c r="G80" s="635" t="s">
        <v>504</v>
      </c>
      <c r="H80" s="635" t="s">
        <v>504</v>
      </c>
      <c r="I80" s="635" t="s">
        <v>504</v>
      </c>
      <c r="J80" s="635" t="s">
        <v>504</v>
      </c>
      <c r="K80" s="635" t="s">
        <v>504</v>
      </c>
      <c r="L80" s="635" t="s">
        <v>504</v>
      </c>
      <c r="M80" s="635" t="s">
        <v>504</v>
      </c>
      <c r="N80" s="635" t="s">
        <v>504</v>
      </c>
      <c r="O80" s="635" t="s">
        <v>504</v>
      </c>
      <c r="P80" s="635" t="s">
        <v>504</v>
      </c>
      <c r="Q80" s="635" t="s">
        <v>504</v>
      </c>
      <c r="R80" s="635" t="s">
        <v>505</v>
      </c>
      <c r="S80" s="635" t="s">
        <v>504</v>
      </c>
      <c r="T80" s="635" t="s">
        <v>504</v>
      </c>
      <c r="U80" s="635" t="s">
        <v>504</v>
      </c>
      <c r="V80" s="635" t="s">
        <v>504</v>
      </c>
      <c r="W80" s="635"/>
      <c r="X80" s="635"/>
      <c r="Y80" s="635"/>
      <c r="Z80" s="635"/>
      <c r="AA80" s="635"/>
      <c r="AB80" s="635"/>
      <c r="AC80" s="635"/>
      <c r="AD80" s="635"/>
      <c r="AE80" s="635"/>
      <c r="AF80" s="635"/>
      <c r="AG80" s="635"/>
      <c r="AH80" s="635"/>
      <c r="AI80" s="635"/>
      <c r="AJ80" s="635"/>
      <c r="AK80" s="635"/>
      <c r="AL80" s="635"/>
      <c r="AM80" s="635"/>
      <c r="AN80" s="30"/>
    </row>
    <row r="81" spans="1:40" hidden="1" outlineLevel="1" x14ac:dyDescent="0.3">
      <c r="C81" s="28"/>
      <c r="D81" s="32" t="s">
        <v>506</v>
      </c>
      <c r="E81" s="635" t="s">
        <v>507</v>
      </c>
      <c r="F81" s="635" t="s">
        <v>508</v>
      </c>
      <c r="G81" s="635" t="s">
        <v>509</v>
      </c>
      <c r="H81" s="635" t="s">
        <v>510</v>
      </c>
      <c r="I81" s="635" t="s">
        <v>508</v>
      </c>
      <c r="J81" s="635" t="s">
        <v>511</v>
      </c>
      <c r="K81" s="635" t="s">
        <v>512</v>
      </c>
      <c r="L81" s="635" t="s">
        <v>513</v>
      </c>
      <c r="M81" s="635" t="s">
        <v>514</v>
      </c>
      <c r="N81" s="635" t="s">
        <v>515</v>
      </c>
      <c r="O81" s="635" t="s">
        <v>515</v>
      </c>
      <c r="P81" s="635" t="s">
        <v>514</v>
      </c>
      <c r="Q81" s="635"/>
      <c r="R81" s="635"/>
      <c r="S81" s="635"/>
      <c r="T81" s="635"/>
      <c r="U81" s="635"/>
      <c r="V81" s="635"/>
      <c r="W81" s="635"/>
      <c r="X81" s="635"/>
      <c r="Y81" s="635"/>
      <c r="Z81" s="635"/>
      <c r="AA81" s="635"/>
      <c r="AB81" s="635"/>
      <c r="AC81" s="635"/>
      <c r="AD81" s="635"/>
      <c r="AE81" s="635"/>
      <c r="AF81" s="635"/>
      <c r="AG81" s="635"/>
      <c r="AH81" s="635"/>
      <c r="AI81" s="635"/>
      <c r="AJ81" s="635"/>
      <c r="AK81" s="635"/>
      <c r="AL81" s="635"/>
      <c r="AM81" s="635"/>
      <c r="AN81" s="30"/>
    </row>
    <row r="82" spans="1:40" hidden="1" outlineLevel="1" x14ac:dyDescent="0.3">
      <c r="C82" s="28"/>
      <c r="D82" s="71" t="s">
        <v>516</v>
      </c>
      <c r="E82" s="636" t="s">
        <v>395</v>
      </c>
      <c r="F82" s="636" t="s">
        <v>394</v>
      </c>
      <c r="G82" s="636" t="s">
        <v>398</v>
      </c>
      <c r="H82" s="636"/>
      <c r="I82" s="636" t="s">
        <v>394</v>
      </c>
      <c r="J82" s="636" t="s">
        <v>395</v>
      </c>
      <c r="K82" s="636"/>
      <c r="L82" s="636"/>
      <c r="M82" s="636" t="s">
        <v>398</v>
      </c>
      <c r="N82" s="636" t="s">
        <v>398</v>
      </c>
      <c r="O82" s="636" t="s">
        <v>398</v>
      </c>
      <c r="P82" s="636" t="s">
        <v>398</v>
      </c>
      <c r="Q82" s="636"/>
      <c r="R82" s="636"/>
      <c r="S82" s="636" t="s">
        <v>396</v>
      </c>
      <c r="T82" s="636"/>
      <c r="U82" s="636"/>
      <c r="V82" s="636" t="s">
        <v>517</v>
      </c>
      <c r="W82" s="636"/>
      <c r="X82" s="636"/>
      <c r="Y82" s="636"/>
      <c r="Z82" s="636"/>
      <c r="AA82" s="636"/>
      <c r="AB82" s="636"/>
      <c r="AC82" s="636"/>
      <c r="AD82" s="636"/>
      <c r="AE82" s="636"/>
      <c r="AF82" s="636"/>
      <c r="AG82" s="636"/>
      <c r="AH82" s="636"/>
      <c r="AI82" s="636"/>
      <c r="AJ82" s="636"/>
      <c r="AK82" s="636"/>
      <c r="AL82" s="636"/>
      <c r="AM82" s="636"/>
      <c r="AN82" s="30"/>
    </row>
    <row r="83" spans="1:40" s="70" customFormat="1" ht="29.85" hidden="1" customHeight="1" outlineLevel="1" x14ac:dyDescent="0.3">
      <c r="A83"/>
      <c r="D83" s="109" t="s">
        <v>518</v>
      </c>
      <c r="E83" s="637" t="s">
        <v>126</v>
      </c>
      <c r="F83" s="637" t="s">
        <v>121</v>
      </c>
      <c r="G83" s="637" t="s">
        <v>519</v>
      </c>
      <c r="H83" s="637"/>
      <c r="I83" s="637" t="s">
        <v>115</v>
      </c>
      <c r="J83" s="637" t="s">
        <v>128</v>
      </c>
      <c r="K83" s="637"/>
      <c r="L83" s="637"/>
      <c r="M83" s="637" t="s">
        <v>520</v>
      </c>
      <c r="N83" s="637" t="s">
        <v>521</v>
      </c>
      <c r="O83" s="637" t="s">
        <v>521</v>
      </c>
      <c r="P83" s="637" t="s">
        <v>522</v>
      </c>
      <c r="Q83" s="637"/>
      <c r="R83" s="637"/>
      <c r="S83" s="637" t="s">
        <v>523</v>
      </c>
      <c r="T83" s="637"/>
      <c r="U83" s="637"/>
      <c r="V83" s="637" t="s">
        <v>524</v>
      </c>
      <c r="W83" s="637"/>
      <c r="X83" s="637"/>
      <c r="Y83" s="637"/>
      <c r="Z83" s="637"/>
      <c r="AA83" s="637"/>
      <c r="AB83" s="637"/>
      <c r="AC83" s="637"/>
      <c r="AD83" s="637"/>
      <c r="AE83" s="637"/>
      <c r="AF83" s="637"/>
      <c r="AG83" s="637"/>
      <c r="AH83" s="637"/>
      <c r="AI83" s="637"/>
      <c r="AJ83" s="637"/>
      <c r="AK83" s="637"/>
      <c r="AL83" s="637"/>
      <c r="AM83" s="637"/>
      <c r="AN83" s="108"/>
    </row>
    <row r="84" spans="1:40" s="70" customFormat="1" ht="29.85" hidden="1" customHeight="1" outlineLevel="1" x14ac:dyDescent="0.3">
      <c r="A84"/>
      <c r="D84" s="565" t="s">
        <v>525</v>
      </c>
      <c r="E84" s="638" t="s">
        <v>526</v>
      </c>
      <c r="F84" s="638" t="s">
        <v>527</v>
      </c>
      <c r="G84" s="638" t="s">
        <v>528</v>
      </c>
      <c r="H84" s="638" t="s">
        <v>345</v>
      </c>
      <c r="I84" s="638" t="s">
        <v>529</v>
      </c>
      <c r="J84" s="638" t="s">
        <v>530</v>
      </c>
      <c r="K84" s="638" t="s">
        <v>345</v>
      </c>
      <c r="L84" s="638" t="s">
        <v>345</v>
      </c>
      <c r="M84" s="638" t="s">
        <v>531</v>
      </c>
      <c r="N84" s="638" t="s">
        <v>532</v>
      </c>
      <c r="O84" s="638" t="s">
        <v>532</v>
      </c>
      <c r="P84" s="638" t="s">
        <v>533</v>
      </c>
      <c r="Q84" s="638" t="s">
        <v>345</v>
      </c>
      <c r="R84" s="638" t="s">
        <v>345</v>
      </c>
      <c r="S84" s="638" t="s">
        <v>534</v>
      </c>
      <c r="T84" s="638" t="s">
        <v>345</v>
      </c>
      <c r="U84" s="638" t="s">
        <v>345</v>
      </c>
      <c r="V84" s="638" t="s">
        <v>535</v>
      </c>
      <c r="W84" s="638"/>
      <c r="X84" s="638"/>
      <c r="Y84" s="638"/>
      <c r="Z84" s="638"/>
      <c r="AA84" s="638"/>
      <c r="AB84" s="638"/>
      <c r="AC84" s="638"/>
      <c r="AD84" s="638"/>
      <c r="AE84" s="638"/>
      <c r="AF84" s="638"/>
      <c r="AG84" s="638"/>
      <c r="AH84" s="638"/>
      <c r="AI84" s="638"/>
      <c r="AJ84" s="638"/>
      <c r="AK84" s="638"/>
      <c r="AL84" s="638"/>
      <c r="AM84" s="638"/>
      <c r="AN84" s="566"/>
    </row>
    <row r="85" spans="1:40" s="70" customFormat="1" ht="28.5" hidden="1" customHeight="1" outlineLevel="1" x14ac:dyDescent="0.3">
      <c r="A85"/>
      <c r="B85" s="111" t="s">
        <v>58</v>
      </c>
      <c r="C85" s="111" t="s">
        <v>483</v>
      </c>
      <c r="D85" s="110" t="s">
        <v>536</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Make Sure each movement has the 4 fields filled out</v>
      </c>
      <c r="S85" s="304" t="str">
        <f t="shared" si="0"/>
        <v>All 4 Fields Nonempty</v>
      </c>
      <c r="T85" s="304" t="str">
        <f t="shared" si="0"/>
        <v>All 4 Fields Nonempty</v>
      </c>
      <c r="U85" s="304" t="str">
        <f t="shared" si="0"/>
        <v>All 4 Fields Nonempty</v>
      </c>
      <c r="V85" s="304" t="str">
        <f t="shared" si="0"/>
        <v>All 4 Fields Nonempty</v>
      </c>
      <c r="W85" s="304" t="str">
        <f t="shared" si="0"/>
        <v/>
      </c>
      <c r="X85" s="304" t="str">
        <f t="shared" si="0"/>
        <v/>
      </c>
      <c r="Y85" s="304" t="str">
        <f t="shared" si="0"/>
        <v/>
      </c>
      <c r="Z85" s="304" t="str">
        <f t="shared" si="0"/>
        <v/>
      </c>
      <c r="AA85" s="304" t="str">
        <f t="shared" si="0"/>
        <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hidden="1" customHeight="1" outlineLevel="1" x14ac:dyDescent="0.3">
      <c r="A86"/>
      <c r="B86" s="302"/>
      <c r="C86" s="302"/>
      <c r="D86" s="110" t="s">
        <v>537</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hidden="1" customHeight="1" outlineLevel="1" x14ac:dyDescent="0.3">
      <c r="B87" s="639">
        <v>1</v>
      </c>
      <c r="C87" s="639">
        <v>1.1000000000000001</v>
      </c>
      <c r="D87" s="645" t="s">
        <v>351</v>
      </c>
      <c r="E87" s="72" t="s">
        <v>63</v>
      </c>
      <c r="F87" s="72" t="s">
        <v>63</v>
      </c>
      <c r="G87" s="72" t="s">
        <v>63</v>
      </c>
      <c r="H87" s="72" t="s">
        <v>63</v>
      </c>
      <c r="I87" s="72" t="s">
        <v>63</v>
      </c>
      <c r="J87" s="72" t="s">
        <v>63</v>
      </c>
      <c r="K87" s="72" t="s">
        <v>63</v>
      </c>
      <c r="L87" s="72" t="s">
        <v>76</v>
      </c>
      <c r="M87" s="72" t="s">
        <v>69</v>
      </c>
      <c r="N87" s="72" t="s">
        <v>63</v>
      </c>
      <c r="O87" s="72" t="s">
        <v>63</v>
      </c>
      <c r="P87" s="72" t="s">
        <v>69</v>
      </c>
      <c r="Q87" s="72" t="s">
        <v>76</v>
      </c>
      <c r="R87" s="72" t="s">
        <v>345</v>
      </c>
      <c r="S87" s="72" t="s">
        <v>76</v>
      </c>
      <c r="T87" s="72" t="s">
        <v>76</v>
      </c>
      <c r="U87" s="72" t="s">
        <v>76</v>
      </c>
      <c r="V87" s="72" t="s">
        <v>74</v>
      </c>
      <c r="W87" s="72"/>
      <c r="X87" s="72"/>
      <c r="Y87" s="72"/>
      <c r="Z87" s="72"/>
      <c r="AA87" s="72"/>
      <c r="AB87" s="72"/>
      <c r="AC87" s="72"/>
      <c r="AD87" s="72"/>
      <c r="AE87" s="72"/>
      <c r="AF87" s="72"/>
      <c r="AG87" s="72"/>
      <c r="AH87" s="72"/>
      <c r="AI87" s="158"/>
      <c r="AJ87" s="158"/>
      <c r="AK87" s="158"/>
      <c r="AL87" s="158"/>
      <c r="AM87" s="158"/>
      <c r="AN87" s="442">
        <f>C87</f>
        <v>1.1000000000000001</v>
      </c>
    </row>
    <row r="88" spans="1:40" hidden="1" outlineLevel="1" x14ac:dyDescent="0.3">
      <c r="B88" s="640">
        <v>1</v>
      </c>
      <c r="C88" s="640">
        <v>1.2</v>
      </c>
      <c r="D88" s="646" t="s">
        <v>352</v>
      </c>
      <c r="E88" s="33" t="s">
        <v>59</v>
      </c>
      <c r="F88" s="33" t="s">
        <v>66</v>
      </c>
      <c r="G88" s="33" t="s">
        <v>67</v>
      </c>
      <c r="H88" s="33" t="s">
        <v>68</v>
      </c>
      <c r="I88" s="33" t="s">
        <v>71</v>
      </c>
      <c r="J88" s="33" t="s">
        <v>59</v>
      </c>
      <c r="K88" s="33" t="s">
        <v>73</v>
      </c>
      <c r="L88" s="33" t="s">
        <v>77</v>
      </c>
      <c r="M88" s="33" t="s">
        <v>70</v>
      </c>
      <c r="N88" s="33" t="s">
        <v>59</v>
      </c>
      <c r="O88" s="33" t="s">
        <v>59</v>
      </c>
      <c r="P88" s="33" t="s">
        <v>80</v>
      </c>
      <c r="Q88" s="33" t="s">
        <v>79</v>
      </c>
      <c r="R88" s="33" t="s">
        <v>345</v>
      </c>
      <c r="S88" s="33" t="s">
        <v>81</v>
      </c>
      <c r="T88" s="33" t="s">
        <v>83</v>
      </c>
      <c r="U88" s="33" t="s">
        <v>84</v>
      </c>
      <c r="V88" s="33" t="s">
        <v>75</v>
      </c>
      <c r="W88" s="33"/>
      <c r="X88" s="33"/>
      <c r="Y88" s="33"/>
      <c r="Z88" s="33"/>
      <c r="AA88" s="33"/>
      <c r="AB88" s="33"/>
      <c r="AC88" s="33"/>
      <c r="AD88" s="33"/>
      <c r="AE88" s="33"/>
      <c r="AF88" s="33"/>
      <c r="AG88" s="33"/>
      <c r="AH88" s="33"/>
      <c r="AI88" s="159"/>
      <c r="AJ88" s="159"/>
      <c r="AK88" s="159"/>
      <c r="AL88" s="159"/>
      <c r="AM88" s="159"/>
      <c r="AN88" s="443">
        <f t="shared" ref="AN88:AN146" si="2">C88</f>
        <v>1.2</v>
      </c>
    </row>
    <row r="89" spans="1:40" hidden="1" outlineLevel="1" x14ac:dyDescent="0.3">
      <c r="B89" s="640">
        <v>1</v>
      </c>
      <c r="C89" s="640">
        <v>1.3</v>
      </c>
      <c r="D89" s="646" t="s">
        <v>538</v>
      </c>
      <c r="E89" s="33" t="s">
        <v>402</v>
      </c>
      <c r="F89" s="33" t="s">
        <v>402</v>
      </c>
      <c r="G89" s="33" t="s">
        <v>402</v>
      </c>
      <c r="H89" s="33" t="s">
        <v>402</v>
      </c>
      <c r="I89" s="33" t="s">
        <v>402</v>
      </c>
      <c r="J89" s="33" t="s">
        <v>402</v>
      </c>
      <c r="K89" s="33" t="s">
        <v>402</v>
      </c>
      <c r="L89" s="33" t="s">
        <v>402</v>
      </c>
      <c r="M89" s="33" t="s">
        <v>402</v>
      </c>
      <c r="N89" s="33" t="s">
        <v>402</v>
      </c>
      <c r="O89" s="33" t="s">
        <v>402</v>
      </c>
      <c r="P89" s="33" t="s">
        <v>402</v>
      </c>
      <c r="Q89" s="33" t="s">
        <v>402</v>
      </c>
      <c r="R89" s="33"/>
      <c r="S89" s="33" t="s">
        <v>402</v>
      </c>
      <c r="T89" s="33" t="s">
        <v>402</v>
      </c>
      <c r="U89" s="33" t="s">
        <v>402</v>
      </c>
      <c r="V89" s="33" t="s">
        <v>402</v>
      </c>
      <c r="W89" s="33"/>
      <c r="X89" s="33"/>
      <c r="Y89" s="33"/>
      <c r="Z89" s="33"/>
      <c r="AA89" s="33"/>
      <c r="AB89" s="33"/>
      <c r="AC89" s="33"/>
      <c r="AD89" s="33"/>
      <c r="AE89" s="33"/>
      <c r="AF89" s="33"/>
      <c r="AG89" s="33"/>
      <c r="AH89" s="33"/>
      <c r="AI89" s="159"/>
      <c r="AJ89" s="159"/>
      <c r="AK89" s="159"/>
      <c r="AL89" s="159"/>
      <c r="AM89" s="159"/>
      <c r="AN89" s="443">
        <f t="shared" si="2"/>
        <v>1.3</v>
      </c>
    </row>
    <row r="90" spans="1:40" hidden="1" outlineLevel="1" x14ac:dyDescent="0.3">
      <c r="B90" s="640">
        <v>1</v>
      </c>
      <c r="C90" s="640">
        <v>1.4</v>
      </c>
      <c r="D90" s="646" t="s">
        <v>112</v>
      </c>
      <c r="E90" s="33">
        <v>100</v>
      </c>
      <c r="F90" s="33">
        <v>60</v>
      </c>
      <c r="G90" s="33">
        <v>4</v>
      </c>
      <c r="H90" s="33">
        <v>30</v>
      </c>
      <c r="I90" s="33">
        <v>25</v>
      </c>
      <c r="J90" s="33">
        <v>20</v>
      </c>
      <c r="K90" s="33">
        <v>40</v>
      </c>
      <c r="L90" s="33">
        <v>25</v>
      </c>
      <c r="M90" s="33">
        <v>15</v>
      </c>
      <c r="N90" s="33">
        <v>30</v>
      </c>
      <c r="O90" s="33">
        <v>0.05</v>
      </c>
      <c r="P90" s="33">
        <v>6</v>
      </c>
      <c r="Q90" s="33">
        <v>7</v>
      </c>
      <c r="R90" s="33"/>
      <c r="S90" s="33">
        <v>7.5</v>
      </c>
      <c r="T90" s="33">
        <v>3</v>
      </c>
      <c r="U90" s="33">
        <v>1.55</v>
      </c>
      <c r="V90" s="33">
        <v>40</v>
      </c>
      <c r="W90" s="33"/>
      <c r="X90" s="33"/>
      <c r="Y90" s="33"/>
      <c r="Z90" s="33"/>
      <c r="AA90" s="33"/>
      <c r="AB90" s="33"/>
      <c r="AC90" s="33"/>
      <c r="AD90" s="33"/>
      <c r="AE90" s="33"/>
      <c r="AF90" s="33"/>
      <c r="AG90" s="33"/>
      <c r="AH90" s="33"/>
      <c r="AI90" s="159"/>
      <c r="AJ90" s="159"/>
      <c r="AK90" s="159"/>
      <c r="AL90" s="159"/>
      <c r="AM90" s="159"/>
      <c r="AN90" s="443">
        <f t="shared" si="2"/>
        <v>1.4</v>
      </c>
    </row>
    <row r="91" spans="1:40" hidden="1" outlineLevel="1" x14ac:dyDescent="0.3">
      <c r="B91" s="640">
        <v>2</v>
      </c>
      <c r="C91" s="640">
        <v>2.1</v>
      </c>
      <c r="D91" s="644" t="s">
        <v>351</v>
      </c>
      <c r="E91" s="642" t="s">
        <v>64</v>
      </c>
      <c r="F91" s="642" t="s">
        <v>63</v>
      </c>
      <c r="G91" s="642" t="s">
        <v>63</v>
      </c>
      <c r="H91" s="642" t="s">
        <v>69</v>
      </c>
      <c r="I91" s="642" t="s">
        <v>63</v>
      </c>
      <c r="J91" s="642" t="s">
        <v>69</v>
      </c>
      <c r="K91" s="642" t="s">
        <v>74</v>
      </c>
      <c r="L91" s="642" t="s">
        <v>63</v>
      </c>
      <c r="M91" s="642" t="s">
        <v>63</v>
      </c>
      <c r="N91" s="642" t="s">
        <v>63</v>
      </c>
      <c r="O91" s="642" t="s">
        <v>76</v>
      </c>
      <c r="P91" s="642" t="s">
        <v>63</v>
      </c>
      <c r="Q91" s="642" t="s">
        <v>69</v>
      </c>
      <c r="R91" s="642"/>
      <c r="S91" s="642" t="s">
        <v>63</v>
      </c>
      <c r="T91" s="642" t="s">
        <v>63</v>
      </c>
      <c r="U91" s="642" t="s">
        <v>69</v>
      </c>
      <c r="V91" s="642" t="s">
        <v>64</v>
      </c>
      <c r="W91" s="642"/>
      <c r="X91" s="642"/>
      <c r="Y91" s="642"/>
      <c r="Z91" s="642"/>
      <c r="AA91" s="642"/>
      <c r="AB91" s="642"/>
      <c r="AC91" s="642"/>
      <c r="AD91" s="642"/>
      <c r="AE91" s="642"/>
      <c r="AF91" s="642"/>
      <c r="AG91" s="642"/>
      <c r="AH91" s="642"/>
      <c r="AI91" s="643"/>
      <c r="AJ91" s="643"/>
      <c r="AK91" s="643"/>
      <c r="AL91" s="643"/>
      <c r="AM91" s="643"/>
      <c r="AN91" s="443">
        <f t="shared" si="2"/>
        <v>2.1</v>
      </c>
    </row>
    <row r="92" spans="1:40" hidden="1" outlineLevel="1" x14ac:dyDescent="0.3">
      <c r="B92" s="640">
        <v>2</v>
      </c>
      <c r="C92" s="640">
        <v>2.2000000000000002</v>
      </c>
      <c r="D92" s="644" t="s">
        <v>352</v>
      </c>
      <c r="E92" s="642" t="s">
        <v>65</v>
      </c>
      <c r="F92" s="642" t="s">
        <v>59</v>
      </c>
      <c r="G92" s="642" t="s">
        <v>59</v>
      </c>
      <c r="H92" s="642" t="s">
        <v>70</v>
      </c>
      <c r="I92" s="642" t="s">
        <v>59</v>
      </c>
      <c r="J92" s="642" t="s">
        <v>72</v>
      </c>
      <c r="K92" s="642" t="s">
        <v>75</v>
      </c>
      <c r="L92" s="642" t="s">
        <v>68</v>
      </c>
      <c r="M92" s="642" t="s">
        <v>59</v>
      </c>
      <c r="N92" s="642" t="s">
        <v>73</v>
      </c>
      <c r="O92" s="642" t="s">
        <v>78</v>
      </c>
      <c r="P92" s="642" t="s">
        <v>59</v>
      </c>
      <c r="Q92" s="642" t="s">
        <v>80</v>
      </c>
      <c r="R92" s="642"/>
      <c r="S92" s="642" t="s">
        <v>82</v>
      </c>
      <c r="T92" s="642" t="s">
        <v>67</v>
      </c>
      <c r="U92" s="642" t="s">
        <v>85</v>
      </c>
      <c r="V92" s="642" t="s">
        <v>86</v>
      </c>
      <c r="W92" s="642"/>
      <c r="X92" s="642"/>
      <c r="Y92" s="642"/>
      <c r="Z92" s="642"/>
      <c r="AA92" s="642"/>
      <c r="AB92" s="642"/>
      <c r="AC92" s="642"/>
      <c r="AD92" s="642"/>
      <c r="AE92" s="642"/>
      <c r="AF92" s="642"/>
      <c r="AG92" s="642"/>
      <c r="AH92" s="642"/>
      <c r="AI92" s="643"/>
      <c r="AJ92" s="643"/>
      <c r="AK92" s="643"/>
      <c r="AL92" s="643"/>
      <c r="AM92" s="643"/>
      <c r="AN92" s="443">
        <f t="shared" si="2"/>
        <v>2.2000000000000002</v>
      </c>
    </row>
    <row r="93" spans="1:40" hidden="1" outlineLevel="1" x14ac:dyDescent="0.3">
      <c r="B93" s="640">
        <v>2</v>
      </c>
      <c r="C93" s="640">
        <v>2.2999999999999998</v>
      </c>
      <c r="D93" s="644" t="s">
        <v>538</v>
      </c>
      <c r="E93" s="642" t="s">
        <v>401</v>
      </c>
      <c r="F93" s="642" t="s">
        <v>401</v>
      </c>
      <c r="G93" s="642" t="s">
        <v>401</v>
      </c>
      <c r="H93" s="642" t="s">
        <v>401</v>
      </c>
      <c r="I93" s="642" t="s">
        <v>401</v>
      </c>
      <c r="J93" s="642" t="s">
        <v>401</v>
      </c>
      <c r="K93" s="642" t="s">
        <v>401</v>
      </c>
      <c r="L93" s="642" t="s">
        <v>401</v>
      </c>
      <c r="M93" s="642" t="s">
        <v>401</v>
      </c>
      <c r="N93" s="642" t="s">
        <v>401</v>
      </c>
      <c r="O93" s="642" t="s">
        <v>402</v>
      </c>
      <c r="P93" s="642" t="s">
        <v>401</v>
      </c>
      <c r="Q93" s="642" t="s">
        <v>401</v>
      </c>
      <c r="R93" s="642"/>
      <c r="S93" s="642" t="s">
        <v>401</v>
      </c>
      <c r="T93" s="642" t="s">
        <v>401</v>
      </c>
      <c r="U93" s="642" t="s">
        <v>401</v>
      </c>
      <c r="V93" s="642" t="s">
        <v>402</v>
      </c>
      <c r="W93" s="642"/>
      <c r="X93" s="642"/>
      <c r="Y93" s="642"/>
      <c r="Z93" s="642"/>
      <c r="AA93" s="642"/>
      <c r="AB93" s="642"/>
      <c r="AC93" s="642"/>
      <c r="AD93" s="642"/>
      <c r="AE93" s="642"/>
      <c r="AF93" s="642"/>
      <c r="AG93" s="642"/>
      <c r="AH93" s="642"/>
      <c r="AI93" s="643"/>
      <c r="AJ93" s="643"/>
      <c r="AK93" s="643"/>
      <c r="AL93" s="643"/>
      <c r="AM93" s="643"/>
      <c r="AN93" s="443">
        <f t="shared" si="2"/>
        <v>2.2999999999999998</v>
      </c>
    </row>
    <row r="94" spans="1:40" hidden="1" outlineLevel="1" x14ac:dyDescent="0.3">
      <c r="B94" s="640">
        <v>2</v>
      </c>
      <c r="C94" s="640">
        <v>2.4</v>
      </c>
      <c r="D94" s="644" t="s">
        <v>112</v>
      </c>
      <c r="E94" s="642">
        <v>100</v>
      </c>
      <c r="F94" s="642">
        <v>60</v>
      </c>
      <c r="G94" s="642">
        <v>4</v>
      </c>
      <c r="H94" s="642">
        <v>30</v>
      </c>
      <c r="I94" s="642">
        <v>25</v>
      </c>
      <c r="J94" s="642">
        <v>20</v>
      </c>
      <c r="K94" s="642">
        <v>40</v>
      </c>
      <c r="L94" s="642">
        <v>25</v>
      </c>
      <c r="M94" s="642">
        <v>15</v>
      </c>
      <c r="N94" s="642">
        <v>30</v>
      </c>
      <c r="O94" s="642">
        <v>0.15</v>
      </c>
      <c r="P94" s="642">
        <v>6</v>
      </c>
      <c r="Q94" s="642">
        <v>7</v>
      </c>
      <c r="R94" s="642"/>
      <c r="S94" s="642">
        <v>7.5</v>
      </c>
      <c r="T94" s="642">
        <v>3</v>
      </c>
      <c r="U94" s="642">
        <v>1.55</v>
      </c>
      <c r="V94" s="642">
        <v>4.2</v>
      </c>
      <c r="W94" s="642"/>
      <c r="X94" s="642"/>
      <c r="Y94" s="642"/>
      <c r="Z94" s="642"/>
      <c r="AA94" s="642"/>
      <c r="AB94" s="642"/>
      <c r="AC94" s="642"/>
      <c r="AD94" s="642"/>
      <c r="AE94" s="642"/>
      <c r="AF94" s="642"/>
      <c r="AG94" s="642"/>
      <c r="AH94" s="642"/>
      <c r="AI94" s="643"/>
      <c r="AJ94" s="643"/>
      <c r="AK94" s="643"/>
      <c r="AL94" s="643"/>
      <c r="AM94" s="643"/>
      <c r="AN94" s="443">
        <f t="shared" si="2"/>
        <v>2.4</v>
      </c>
    </row>
    <row r="95" spans="1:40" hidden="1" outlineLevel="1" x14ac:dyDescent="0.3">
      <c r="B95" s="640">
        <v>3</v>
      </c>
      <c r="C95" s="640">
        <v>3.1</v>
      </c>
      <c r="D95" s="645" t="s">
        <v>351</v>
      </c>
      <c r="E95" s="33"/>
      <c r="F95" s="33"/>
      <c r="G95" s="33"/>
      <c r="H95" s="33"/>
      <c r="I95" s="33"/>
      <c r="J95" s="33"/>
      <c r="K95" s="33"/>
      <c r="L95" s="33"/>
      <c r="M95" s="33"/>
      <c r="N95" s="33"/>
      <c r="O95" s="33" t="s">
        <v>63</v>
      </c>
      <c r="P95" s="33"/>
      <c r="Q95" s="33"/>
      <c r="R95" s="33"/>
      <c r="S95" s="33"/>
      <c r="T95" s="33"/>
      <c r="U95" s="33"/>
      <c r="V95" s="33" t="s">
        <v>76</v>
      </c>
      <c r="W95" s="33"/>
      <c r="X95" s="33"/>
      <c r="Y95" s="33"/>
      <c r="Z95" s="33"/>
      <c r="AA95" s="33"/>
      <c r="AB95" s="33"/>
      <c r="AC95" s="33"/>
      <c r="AD95" s="33"/>
      <c r="AE95" s="33"/>
      <c r="AF95" s="33"/>
      <c r="AG95" s="33"/>
      <c r="AH95" s="33"/>
      <c r="AI95" s="159"/>
      <c r="AJ95" s="159"/>
      <c r="AK95" s="159"/>
      <c r="AL95" s="159"/>
      <c r="AM95" s="159"/>
      <c r="AN95" s="443">
        <f t="shared" si="2"/>
        <v>3.1</v>
      </c>
    </row>
    <row r="96" spans="1:40" hidden="1" outlineLevel="1" x14ac:dyDescent="0.3">
      <c r="B96" s="640">
        <v>3</v>
      </c>
      <c r="C96" s="640">
        <v>3.2</v>
      </c>
      <c r="D96" s="646" t="s">
        <v>352</v>
      </c>
      <c r="E96" s="33"/>
      <c r="F96" s="33"/>
      <c r="G96" s="33"/>
      <c r="H96" s="33"/>
      <c r="I96" s="33"/>
      <c r="J96" s="33"/>
      <c r="K96" s="33"/>
      <c r="L96" s="33"/>
      <c r="M96" s="33"/>
      <c r="N96" s="33"/>
      <c r="O96" s="33" t="s">
        <v>73</v>
      </c>
      <c r="P96" s="33"/>
      <c r="Q96" s="33"/>
      <c r="R96" s="33"/>
      <c r="S96" s="33"/>
      <c r="T96" s="33"/>
      <c r="U96" s="33"/>
      <c r="V96" s="33" t="s">
        <v>77</v>
      </c>
      <c r="W96" s="33"/>
      <c r="X96" s="33"/>
      <c r="Y96" s="33"/>
      <c r="Z96" s="33"/>
      <c r="AA96" s="33"/>
      <c r="AB96" s="33"/>
      <c r="AC96" s="33"/>
      <c r="AD96" s="33"/>
      <c r="AE96" s="33"/>
      <c r="AF96" s="33"/>
      <c r="AG96" s="33"/>
      <c r="AH96" s="33"/>
      <c r="AI96" s="159"/>
      <c r="AJ96" s="159"/>
      <c r="AK96" s="159"/>
      <c r="AL96" s="159"/>
      <c r="AM96" s="159"/>
      <c r="AN96" s="443">
        <f t="shared" si="2"/>
        <v>3.2</v>
      </c>
    </row>
    <row r="97" spans="2:40" hidden="1" outlineLevel="1" x14ac:dyDescent="0.3">
      <c r="B97" s="640">
        <v>3</v>
      </c>
      <c r="C97" s="640">
        <v>3.3</v>
      </c>
      <c r="D97" s="646" t="s">
        <v>538</v>
      </c>
      <c r="E97" s="33"/>
      <c r="F97" s="33"/>
      <c r="G97" s="33"/>
      <c r="H97" s="33"/>
      <c r="I97" s="33"/>
      <c r="J97" s="33"/>
      <c r="K97" s="33"/>
      <c r="L97" s="33"/>
      <c r="M97" s="33"/>
      <c r="N97" s="33"/>
      <c r="O97" s="33" t="s">
        <v>401</v>
      </c>
      <c r="P97" s="33"/>
      <c r="Q97" s="33"/>
      <c r="R97" s="33"/>
      <c r="S97" s="33"/>
      <c r="T97" s="33"/>
      <c r="U97" s="33"/>
      <c r="V97" s="33" t="s">
        <v>401</v>
      </c>
      <c r="W97" s="33"/>
      <c r="X97" s="33"/>
      <c r="Y97" s="33"/>
      <c r="Z97" s="33"/>
      <c r="AA97" s="33"/>
      <c r="AB97" s="33"/>
      <c r="AC97" s="33"/>
      <c r="AD97" s="33"/>
      <c r="AE97" s="33"/>
      <c r="AF97" s="33"/>
      <c r="AG97" s="33"/>
      <c r="AH97" s="33"/>
      <c r="AI97" s="159"/>
      <c r="AJ97" s="159"/>
      <c r="AK97" s="159"/>
      <c r="AL97" s="159"/>
      <c r="AM97" s="159"/>
      <c r="AN97" s="443">
        <f t="shared" si="2"/>
        <v>3.3</v>
      </c>
    </row>
    <row r="98" spans="2:40" hidden="1" outlineLevel="1" x14ac:dyDescent="0.3">
      <c r="B98" s="640">
        <v>3</v>
      </c>
      <c r="C98" s="640">
        <v>3.4</v>
      </c>
      <c r="D98" s="646" t="s">
        <v>112</v>
      </c>
      <c r="E98" s="33"/>
      <c r="F98" s="33"/>
      <c r="G98" s="33"/>
      <c r="H98" s="33"/>
      <c r="I98" s="33"/>
      <c r="J98" s="33"/>
      <c r="K98" s="33"/>
      <c r="L98" s="33"/>
      <c r="M98" s="33"/>
      <c r="N98" s="33"/>
      <c r="O98" s="33">
        <v>0.2</v>
      </c>
      <c r="P98" s="33"/>
      <c r="Q98" s="33"/>
      <c r="R98" s="33"/>
      <c r="S98" s="33"/>
      <c r="T98" s="33"/>
      <c r="U98" s="33"/>
      <c r="V98" s="33">
        <v>25</v>
      </c>
      <c r="W98" s="33"/>
      <c r="X98" s="33"/>
      <c r="Y98" s="33"/>
      <c r="Z98" s="33"/>
      <c r="AA98" s="33"/>
      <c r="AB98" s="33"/>
      <c r="AC98" s="33"/>
      <c r="AD98" s="33"/>
      <c r="AE98" s="33"/>
      <c r="AF98" s="33"/>
      <c r="AG98" s="33"/>
      <c r="AH98" s="33"/>
      <c r="AI98" s="159"/>
      <c r="AJ98" s="159"/>
      <c r="AK98" s="159"/>
      <c r="AL98" s="159"/>
      <c r="AM98" s="159"/>
      <c r="AN98" s="443">
        <f t="shared" si="2"/>
        <v>3.4</v>
      </c>
    </row>
    <row r="99" spans="2:40" hidden="1" outlineLevel="1" x14ac:dyDescent="0.3">
      <c r="B99" s="640">
        <v>4</v>
      </c>
      <c r="C99" s="640">
        <v>4.0999999999999996</v>
      </c>
      <c r="D99" s="644" t="s">
        <v>351</v>
      </c>
      <c r="E99" s="642"/>
      <c r="F99" s="642"/>
      <c r="G99" s="642"/>
      <c r="H99" s="642"/>
      <c r="I99" s="642"/>
      <c r="J99" s="642"/>
      <c r="K99" s="642"/>
      <c r="L99" s="642"/>
      <c r="M99" s="642"/>
      <c r="N99" s="642"/>
      <c r="O99" s="642"/>
      <c r="P99" s="642"/>
      <c r="Q99" s="642"/>
      <c r="R99" s="642"/>
      <c r="S99" s="642"/>
      <c r="T99" s="642"/>
      <c r="U99" s="642"/>
      <c r="V99" s="642" t="s">
        <v>76</v>
      </c>
      <c r="W99" s="642"/>
      <c r="X99" s="642"/>
      <c r="Y99" s="642"/>
      <c r="Z99" s="642"/>
      <c r="AA99" s="642"/>
      <c r="AB99" s="642"/>
      <c r="AC99" s="642"/>
      <c r="AD99" s="642"/>
      <c r="AE99" s="642"/>
      <c r="AF99" s="642"/>
      <c r="AG99" s="642"/>
      <c r="AH99" s="642"/>
      <c r="AI99" s="643"/>
      <c r="AJ99" s="643"/>
      <c r="AK99" s="643"/>
      <c r="AL99" s="643"/>
      <c r="AM99" s="643"/>
      <c r="AN99" s="443">
        <f t="shared" si="2"/>
        <v>4.0999999999999996</v>
      </c>
    </row>
    <row r="100" spans="2:40" hidden="1" outlineLevel="1" x14ac:dyDescent="0.3">
      <c r="B100" s="640">
        <v>4</v>
      </c>
      <c r="C100" s="640">
        <v>4.2</v>
      </c>
      <c r="D100" s="644" t="s">
        <v>352</v>
      </c>
      <c r="E100" s="642"/>
      <c r="F100" s="642"/>
      <c r="G100" s="642"/>
      <c r="H100" s="642"/>
      <c r="I100" s="642"/>
      <c r="J100" s="642"/>
      <c r="K100" s="642"/>
      <c r="L100" s="642"/>
      <c r="M100" s="642"/>
      <c r="N100" s="642"/>
      <c r="O100" s="642"/>
      <c r="P100" s="642"/>
      <c r="Q100" s="642"/>
      <c r="R100" s="642"/>
      <c r="S100" s="642"/>
      <c r="T100" s="642"/>
      <c r="U100" s="642"/>
      <c r="V100" s="642" t="s">
        <v>79</v>
      </c>
      <c r="W100" s="642"/>
      <c r="X100" s="642"/>
      <c r="Y100" s="642"/>
      <c r="Z100" s="642"/>
      <c r="AA100" s="642"/>
      <c r="AB100" s="642"/>
      <c r="AC100" s="642"/>
      <c r="AD100" s="642"/>
      <c r="AE100" s="642"/>
      <c r="AF100" s="642"/>
      <c r="AG100" s="642"/>
      <c r="AH100" s="642"/>
      <c r="AI100" s="643"/>
      <c r="AJ100" s="643"/>
      <c r="AK100" s="643"/>
      <c r="AL100" s="643"/>
      <c r="AM100" s="643"/>
      <c r="AN100" s="443">
        <f t="shared" si="2"/>
        <v>4.2</v>
      </c>
    </row>
    <row r="101" spans="2:40" hidden="1" outlineLevel="1" x14ac:dyDescent="0.3">
      <c r="B101" s="640">
        <v>4</v>
      </c>
      <c r="C101" s="640">
        <v>4.3</v>
      </c>
      <c r="D101" s="644" t="s">
        <v>538</v>
      </c>
      <c r="E101" s="642"/>
      <c r="F101" s="642"/>
      <c r="G101" s="642"/>
      <c r="H101" s="642"/>
      <c r="I101" s="642"/>
      <c r="J101" s="642"/>
      <c r="K101" s="642"/>
      <c r="L101" s="642"/>
      <c r="M101" s="642"/>
      <c r="N101" s="642"/>
      <c r="O101" s="642"/>
      <c r="P101" s="642"/>
      <c r="Q101" s="642"/>
      <c r="R101" s="642"/>
      <c r="S101" s="642"/>
      <c r="T101" s="642"/>
      <c r="U101" s="642"/>
      <c r="V101" s="642" t="s">
        <v>401</v>
      </c>
      <c r="W101" s="642"/>
      <c r="X101" s="642"/>
      <c r="Y101" s="642"/>
      <c r="Z101" s="642"/>
      <c r="AA101" s="642"/>
      <c r="AB101" s="642"/>
      <c r="AC101" s="642"/>
      <c r="AD101" s="642"/>
      <c r="AE101" s="642"/>
      <c r="AF101" s="642"/>
      <c r="AG101" s="642"/>
      <c r="AH101" s="642"/>
      <c r="AI101" s="643"/>
      <c r="AJ101" s="643"/>
      <c r="AK101" s="643"/>
      <c r="AL101" s="643"/>
      <c r="AM101" s="643"/>
      <c r="AN101" s="443">
        <f t="shared" si="2"/>
        <v>4.3</v>
      </c>
    </row>
    <row r="102" spans="2:40" hidden="1" outlineLevel="1" x14ac:dyDescent="0.3">
      <c r="B102" s="640">
        <v>4</v>
      </c>
      <c r="C102" s="640">
        <v>4.4000000000000004</v>
      </c>
      <c r="D102" s="644" t="s">
        <v>112</v>
      </c>
      <c r="E102" s="642"/>
      <c r="F102" s="642"/>
      <c r="G102" s="642"/>
      <c r="H102" s="642"/>
      <c r="I102" s="642"/>
      <c r="J102" s="642"/>
      <c r="K102" s="642"/>
      <c r="L102" s="642"/>
      <c r="M102" s="642"/>
      <c r="N102" s="642"/>
      <c r="O102" s="642"/>
      <c r="P102" s="642"/>
      <c r="Q102" s="642"/>
      <c r="R102" s="642"/>
      <c r="S102" s="642"/>
      <c r="T102" s="642"/>
      <c r="U102" s="642"/>
      <c r="V102" s="642">
        <v>7</v>
      </c>
      <c r="W102" s="642"/>
      <c r="X102" s="642"/>
      <c r="Y102" s="642"/>
      <c r="Z102" s="642"/>
      <c r="AA102" s="642"/>
      <c r="AB102" s="642"/>
      <c r="AC102" s="642"/>
      <c r="AD102" s="642"/>
      <c r="AE102" s="642"/>
      <c r="AF102" s="642"/>
      <c r="AG102" s="642"/>
      <c r="AH102" s="642"/>
      <c r="AI102" s="643"/>
      <c r="AJ102" s="643"/>
      <c r="AK102" s="643"/>
      <c r="AL102" s="643"/>
      <c r="AM102" s="643"/>
      <c r="AN102" s="443">
        <f t="shared" si="2"/>
        <v>4.4000000000000004</v>
      </c>
    </row>
    <row r="103" spans="2:40" hidden="1" outlineLevel="1" x14ac:dyDescent="0.3">
      <c r="B103" s="640">
        <v>5</v>
      </c>
      <c r="C103" s="640">
        <v>5.0999999999999996</v>
      </c>
      <c r="D103" s="645" t="s">
        <v>351</v>
      </c>
      <c r="E103" s="33"/>
      <c r="F103" s="33"/>
      <c r="G103" s="33"/>
      <c r="H103" s="33"/>
      <c r="I103" s="33"/>
      <c r="J103" s="33"/>
      <c r="K103" s="33"/>
      <c r="L103" s="33"/>
      <c r="M103" s="33"/>
      <c r="N103" s="33"/>
      <c r="O103" s="33"/>
      <c r="P103" s="33"/>
      <c r="Q103" s="33"/>
      <c r="R103" s="33"/>
      <c r="S103" s="33"/>
      <c r="T103" s="33"/>
      <c r="U103" s="33"/>
      <c r="V103" s="33" t="s">
        <v>76</v>
      </c>
      <c r="W103" s="33"/>
      <c r="X103" s="33"/>
      <c r="Y103" s="33"/>
      <c r="Z103" s="33"/>
      <c r="AA103" s="33"/>
      <c r="AB103" s="33"/>
      <c r="AC103" s="33"/>
      <c r="AD103" s="33"/>
      <c r="AE103" s="33"/>
      <c r="AF103" s="33"/>
      <c r="AG103" s="33"/>
      <c r="AH103" s="33"/>
      <c r="AI103" s="159"/>
      <c r="AJ103" s="159"/>
      <c r="AK103" s="159"/>
      <c r="AL103" s="159"/>
      <c r="AM103" s="159"/>
      <c r="AN103" s="443">
        <f t="shared" si="2"/>
        <v>5.0999999999999996</v>
      </c>
    </row>
    <row r="104" spans="2:40" hidden="1" outlineLevel="1" x14ac:dyDescent="0.3">
      <c r="B104" s="640">
        <v>5</v>
      </c>
      <c r="C104" s="640">
        <v>5.2</v>
      </c>
      <c r="D104" s="646" t="s">
        <v>352</v>
      </c>
      <c r="E104" s="33"/>
      <c r="F104" s="33"/>
      <c r="G104" s="33"/>
      <c r="H104" s="33"/>
      <c r="I104" s="33"/>
      <c r="J104" s="33"/>
      <c r="K104" s="33"/>
      <c r="L104" s="33"/>
      <c r="M104" s="33"/>
      <c r="N104" s="33"/>
      <c r="O104" s="33"/>
      <c r="P104" s="33"/>
      <c r="Q104" s="33"/>
      <c r="R104" s="33"/>
      <c r="S104" s="33"/>
      <c r="T104" s="33"/>
      <c r="U104" s="33"/>
      <c r="V104" s="33" t="s">
        <v>83</v>
      </c>
      <c r="W104" s="33"/>
      <c r="X104" s="33"/>
      <c r="Y104" s="33"/>
      <c r="Z104" s="33"/>
      <c r="AA104" s="33"/>
      <c r="AB104" s="33"/>
      <c r="AC104" s="33"/>
      <c r="AD104" s="33"/>
      <c r="AE104" s="33"/>
      <c r="AF104" s="33"/>
      <c r="AG104" s="33"/>
      <c r="AH104" s="33"/>
      <c r="AI104" s="159"/>
      <c r="AJ104" s="159"/>
      <c r="AK104" s="159"/>
      <c r="AL104" s="159"/>
      <c r="AM104" s="159"/>
      <c r="AN104" s="443">
        <f t="shared" si="2"/>
        <v>5.2</v>
      </c>
    </row>
    <row r="105" spans="2:40" hidden="1" outlineLevel="1" x14ac:dyDescent="0.3">
      <c r="B105" s="640">
        <v>5</v>
      </c>
      <c r="C105" s="640">
        <v>5.3</v>
      </c>
      <c r="D105" s="646" t="s">
        <v>538</v>
      </c>
      <c r="E105" s="33"/>
      <c r="F105" s="33"/>
      <c r="G105" s="33"/>
      <c r="H105" s="33"/>
      <c r="I105" s="33"/>
      <c r="J105" s="33"/>
      <c r="K105" s="33"/>
      <c r="L105" s="33"/>
      <c r="M105" s="33"/>
      <c r="N105" s="33"/>
      <c r="O105" s="33"/>
      <c r="P105" s="33"/>
      <c r="Q105" s="33"/>
      <c r="R105" s="33"/>
      <c r="S105" s="33"/>
      <c r="T105" s="33"/>
      <c r="U105" s="33"/>
      <c r="V105" s="33" t="s">
        <v>401</v>
      </c>
      <c r="W105" s="33"/>
      <c r="X105" s="33"/>
      <c r="Y105" s="33"/>
      <c r="Z105" s="33"/>
      <c r="AA105" s="33"/>
      <c r="AB105" s="33"/>
      <c r="AC105" s="33"/>
      <c r="AD105" s="33"/>
      <c r="AE105" s="33"/>
      <c r="AF105" s="33"/>
      <c r="AG105" s="33"/>
      <c r="AH105" s="33"/>
      <c r="AI105" s="159"/>
      <c r="AJ105" s="159"/>
      <c r="AK105" s="159"/>
      <c r="AL105" s="159"/>
      <c r="AM105" s="159"/>
      <c r="AN105" s="443">
        <f t="shared" si="2"/>
        <v>5.3</v>
      </c>
    </row>
    <row r="106" spans="2:40" hidden="1" outlineLevel="1" x14ac:dyDescent="0.3">
      <c r="B106" s="640">
        <v>5</v>
      </c>
      <c r="C106" s="640">
        <v>5.4</v>
      </c>
      <c r="D106" s="646" t="s">
        <v>112</v>
      </c>
      <c r="E106" s="33"/>
      <c r="F106" s="33"/>
      <c r="G106" s="33"/>
      <c r="H106" s="33"/>
      <c r="I106" s="33"/>
      <c r="J106" s="33"/>
      <c r="K106" s="33"/>
      <c r="L106" s="33"/>
      <c r="M106" s="33"/>
      <c r="N106" s="33"/>
      <c r="O106" s="33"/>
      <c r="P106" s="33"/>
      <c r="Q106" s="33"/>
      <c r="R106" s="33"/>
      <c r="S106" s="33"/>
      <c r="T106" s="33"/>
      <c r="U106" s="33"/>
      <c r="V106" s="33">
        <v>3</v>
      </c>
      <c r="W106" s="33"/>
      <c r="X106" s="33"/>
      <c r="Y106" s="33"/>
      <c r="Z106" s="33"/>
      <c r="AA106" s="33"/>
      <c r="AB106" s="33"/>
      <c r="AC106" s="33"/>
      <c r="AD106" s="33"/>
      <c r="AE106" s="33"/>
      <c r="AF106" s="33"/>
      <c r="AG106" s="33"/>
      <c r="AH106" s="33"/>
      <c r="AI106" s="159"/>
      <c r="AJ106" s="159"/>
      <c r="AK106" s="159"/>
      <c r="AL106" s="159"/>
      <c r="AM106" s="159"/>
      <c r="AN106" s="443">
        <f t="shared" si="2"/>
        <v>5.4</v>
      </c>
    </row>
    <row r="107" spans="2:40" hidden="1" outlineLevel="1" x14ac:dyDescent="0.3">
      <c r="B107" s="640">
        <v>6</v>
      </c>
      <c r="C107" s="640">
        <v>6.1</v>
      </c>
      <c r="D107" s="644" t="s">
        <v>351</v>
      </c>
      <c r="E107" s="642"/>
      <c r="F107" s="642"/>
      <c r="G107" s="642"/>
      <c r="H107" s="642"/>
      <c r="I107" s="642"/>
      <c r="J107" s="642"/>
      <c r="K107" s="642"/>
      <c r="L107" s="642"/>
      <c r="M107" s="642"/>
      <c r="N107" s="642"/>
      <c r="O107" s="642"/>
      <c r="P107" s="642"/>
      <c r="Q107" s="642"/>
      <c r="R107" s="642"/>
      <c r="S107" s="642"/>
      <c r="T107" s="642"/>
      <c r="U107" s="642"/>
      <c r="V107" s="642" t="s">
        <v>76</v>
      </c>
      <c r="W107" s="642"/>
      <c r="X107" s="642"/>
      <c r="Y107" s="642"/>
      <c r="Z107" s="642"/>
      <c r="AA107" s="642"/>
      <c r="AB107" s="642"/>
      <c r="AC107" s="642"/>
      <c r="AD107" s="642"/>
      <c r="AE107" s="642"/>
      <c r="AF107" s="642"/>
      <c r="AG107" s="642"/>
      <c r="AH107" s="642"/>
      <c r="AI107" s="643"/>
      <c r="AJ107" s="643"/>
      <c r="AK107" s="643"/>
      <c r="AL107" s="643"/>
      <c r="AM107" s="643"/>
      <c r="AN107" s="443">
        <f t="shared" si="2"/>
        <v>6.1</v>
      </c>
    </row>
    <row r="108" spans="2:40" hidden="1" outlineLevel="1" x14ac:dyDescent="0.3">
      <c r="B108" s="640">
        <v>6</v>
      </c>
      <c r="C108" s="640">
        <v>6.2</v>
      </c>
      <c r="D108" s="644" t="s">
        <v>352</v>
      </c>
      <c r="E108" s="642"/>
      <c r="F108" s="642"/>
      <c r="G108" s="642"/>
      <c r="H108" s="642"/>
      <c r="I108" s="642"/>
      <c r="J108" s="642"/>
      <c r="K108" s="642"/>
      <c r="L108" s="642"/>
      <c r="M108" s="642"/>
      <c r="N108" s="642"/>
      <c r="O108" s="642"/>
      <c r="P108" s="642"/>
      <c r="Q108" s="642"/>
      <c r="R108" s="642"/>
      <c r="S108" s="642"/>
      <c r="T108" s="642"/>
      <c r="U108" s="642"/>
      <c r="V108" s="642" t="s">
        <v>84</v>
      </c>
      <c r="W108" s="642"/>
      <c r="X108" s="642"/>
      <c r="Y108" s="642"/>
      <c r="Z108" s="642"/>
      <c r="AA108" s="642"/>
      <c r="AB108" s="642"/>
      <c r="AC108" s="642"/>
      <c r="AD108" s="642"/>
      <c r="AE108" s="642"/>
      <c r="AF108" s="642"/>
      <c r="AG108" s="642"/>
      <c r="AH108" s="642"/>
      <c r="AI108" s="643"/>
      <c r="AJ108" s="643"/>
      <c r="AK108" s="643"/>
      <c r="AL108" s="643"/>
      <c r="AM108" s="643"/>
      <c r="AN108" s="443">
        <f t="shared" si="2"/>
        <v>6.2</v>
      </c>
    </row>
    <row r="109" spans="2:40" hidden="1" outlineLevel="1" x14ac:dyDescent="0.3">
      <c r="B109" s="640">
        <v>6</v>
      </c>
      <c r="C109" s="640">
        <v>6.3</v>
      </c>
      <c r="D109" s="644" t="s">
        <v>538</v>
      </c>
      <c r="E109" s="642"/>
      <c r="F109" s="642"/>
      <c r="G109" s="642"/>
      <c r="H109" s="642"/>
      <c r="I109" s="642"/>
      <c r="J109" s="642"/>
      <c r="K109" s="642"/>
      <c r="L109" s="642"/>
      <c r="M109" s="642"/>
      <c r="N109" s="642"/>
      <c r="O109" s="642"/>
      <c r="P109" s="642"/>
      <c r="Q109" s="642"/>
      <c r="R109" s="642"/>
      <c r="S109" s="642"/>
      <c r="T109" s="642"/>
      <c r="U109" s="642"/>
      <c r="V109" s="642" t="s">
        <v>401</v>
      </c>
      <c r="W109" s="642"/>
      <c r="X109" s="642"/>
      <c r="Y109" s="642"/>
      <c r="Z109" s="642"/>
      <c r="AA109" s="642"/>
      <c r="AB109" s="642"/>
      <c r="AC109" s="642"/>
      <c r="AD109" s="642"/>
      <c r="AE109" s="642"/>
      <c r="AF109" s="642"/>
      <c r="AG109" s="642"/>
      <c r="AH109" s="642"/>
      <c r="AI109" s="643"/>
      <c r="AJ109" s="643"/>
      <c r="AK109" s="643"/>
      <c r="AL109" s="643"/>
      <c r="AM109" s="643"/>
      <c r="AN109" s="443">
        <f t="shared" si="2"/>
        <v>6.3</v>
      </c>
    </row>
    <row r="110" spans="2:40" hidden="1" outlineLevel="1" x14ac:dyDescent="0.3">
      <c r="B110" s="640">
        <v>6</v>
      </c>
      <c r="C110" s="640">
        <v>6.4</v>
      </c>
      <c r="D110" s="644" t="s">
        <v>112</v>
      </c>
      <c r="E110" s="642"/>
      <c r="F110" s="642"/>
      <c r="G110" s="642"/>
      <c r="H110" s="642"/>
      <c r="I110" s="642"/>
      <c r="J110" s="642"/>
      <c r="K110" s="642"/>
      <c r="L110" s="642"/>
      <c r="M110" s="642"/>
      <c r="N110" s="642"/>
      <c r="O110" s="642"/>
      <c r="P110" s="642"/>
      <c r="Q110" s="642"/>
      <c r="R110" s="642"/>
      <c r="S110" s="642"/>
      <c r="T110" s="642"/>
      <c r="U110" s="642"/>
      <c r="V110" s="642">
        <v>1.55</v>
      </c>
      <c r="W110" s="642"/>
      <c r="X110" s="642"/>
      <c r="Y110" s="642"/>
      <c r="Z110" s="642"/>
      <c r="AA110" s="642"/>
      <c r="AB110" s="642"/>
      <c r="AC110" s="642"/>
      <c r="AD110" s="642"/>
      <c r="AE110" s="642"/>
      <c r="AF110" s="642"/>
      <c r="AG110" s="642"/>
      <c r="AH110" s="642"/>
      <c r="AI110" s="643"/>
      <c r="AJ110" s="643"/>
      <c r="AK110" s="643"/>
      <c r="AL110" s="643"/>
      <c r="AM110" s="643"/>
      <c r="AN110" s="443">
        <f t="shared" si="2"/>
        <v>6.4</v>
      </c>
    </row>
    <row r="111" spans="2:40" hidden="1" outlineLevel="1" x14ac:dyDescent="0.3">
      <c r="B111" s="640">
        <v>7</v>
      </c>
      <c r="C111" s="640">
        <v>7.1</v>
      </c>
      <c r="D111" s="645" t="s">
        <v>351</v>
      </c>
      <c r="E111" s="33"/>
      <c r="F111" s="33"/>
      <c r="G111" s="33"/>
      <c r="H111" s="33"/>
      <c r="I111" s="33"/>
      <c r="J111" s="33"/>
      <c r="K111" s="33"/>
      <c r="L111" s="33"/>
      <c r="M111" s="33"/>
      <c r="N111" s="33"/>
      <c r="O111" s="33"/>
      <c r="P111" s="33"/>
      <c r="Q111" s="33"/>
      <c r="R111" s="33"/>
      <c r="S111" s="33"/>
      <c r="T111" s="33"/>
      <c r="U111" s="33"/>
      <c r="V111" s="33" t="s">
        <v>76</v>
      </c>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hidden="1" outlineLevel="1" x14ac:dyDescent="0.3">
      <c r="B112" s="640">
        <v>7</v>
      </c>
      <c r="C112" s="640">
        <v>7.2</v>
      </c>
      <c r="D112" s="646" t="s">
        <v>352</v>
      </c>
      <c r="E112" s="33"/>
      <c r="F112" s="33"/>
      <c r="G112" s="33"/>
      <c r="H112" s="33"/>
      <c r="I112" s="33"/>
      <c r="J112" s="33"/>
      <c r="K112" s="33"/>
      <c r="L112" s="33"/>
      <c r="M112" s="33"/>
      <c r="N112" s="33"/>
      <c r="O112" s="33"/>
      <c r="P112" s="33"/>
      <c r="Q112" s="33"/>
      <c r="R112" s="33"/>
      <c r="S112" s="33"/>
      <c r="T112" s="33"/>
      <c r="U112" s="33"/>
      <c r="V112" s="33" t="s">
        <v>81</v>
      </c>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hidden="1" outlineLevel="1" x14ac:dyDescent="0.3">
      <c r="B113" s="640">
        <v>7</v>
      </c>
      <c r="C113" s="640">
        <v>7.3</v>
      </c>
      <c r="D113" s="646" t="s">
        <v>538</v>
      </c>
      <c r="E113" s="33"/>
      <c r="F113" s="33"/>
      <c r="G113" s="33"/>
      <c r="H113" s="33"/>
      <c r="I113" s="33"/>
      <c r="J113" s="33"/>
      <c r="K113" s="33"/>
      <c r="L113" s="33"/>
      <c r="M113" s="33"/>
      <c r="N113" s="33"/>
      <c r="O113" s="33"/>
      <c r="P113" s="33"/>
      <c r="Q113" s="33"/>
      <c r="R113" s="33"/>
      <c r="S113" s="33"/>
      <c r="T113" s="33"/>
      <c r="U113" s="33"/>
      <c r="V113" s="33" t="s">
        <v>401</v>
      </c>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hidden="1" outlineLevel="1" x14ac:dyDescent="0.3">
      <c r="B114" s="640">
        <v>7</v>
      </c>
      <c r="C114" s="640">
        <v>7.4</v>
      </c>
      <c r="D114" s="646" t="s">
        <v>112</v>
      </c>
      <c r="E114" s="33"/>
      <c r="F114" s="33"/>
      <c r="G114" s="33"/>
      <c r="H114" s="33"/>
      <c r="I114" s="33"/>
      <c r="J114" s="33"/>
      <c r="K114" s="33"/>
      <c r="L114" s="33"/>
      <c r="M114" s="33"/>
      <c r="N114" s="33"/>
      <c r="O114" s="33"/>
      <c r="P114" s="33"/>
      <c r="Q114" s="33"/>
      <c r="R114" s="33"/>
      <c r="S114" s="33"/>
      <c r="T114" s="33"/>
      <c r="U114" s="33"/>
      <c r="V114" s="33">
        <v>7.5</v>
      </c>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hidden="1" outlineLevel="1" x14ac:dyDescent="0.3">
      <c r="B115" s="640">
        <v>8</v>
      </c>
      <c r="C115" s="640">
        <v>8.1</v>
      </c>
      <c r="D115" s="644" t="s">
        <v>351</v>
      </c>
      <c r="E115" s="642"/>
      <c r="F115" s="642"/>
      <c r="G115" s="642"/>
      <c r="H115" s="642"/>
      <c r="I115" s="642"/>
      <c r="J115" s="642"/>
      <c r="K115" s="642"/>
      <c r="L115" s="642"/>
      <c r="M115" s="642"/>
      <c r="N115" s="642"/>
      <c r="O115" s="642"/>
      <c r="P115" s="642"/>
      <c r="Q115" s="642"/>
      <c r="R115" s="642"/>
      <c r="S115" s="642"/>
      <c r="T115" s="642"/>
      <c r="U115" s="642"/>
      <c r="V115" s="642" t="s">
        <v>76</v>
      </c>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hidden="1" outlineLevel="1" x14ac:dyDescent="0.3">
      <c r="B116" s="640">
        <v>8</v>
      </c>
      <c r="C116" s="640">
        <v>8.1999999999999993</v>
      </c>
      <c r="D116" s="644" t="s">
        <v>352</v>
      </c>
      <c r="E116" s="642"/>
      <c r="F116" s="642"/>
      <c r="G116" s="642"/>
      <c r="H116" s="642"/>
      <c r="I116" s="642"/>
      <c r="J116" s="642"/>
      <c r="K116" s="642"/>
      <c r="L116" s="642"/>
      <c r="M116" s="642"/>
      <c r="N116" s="642"/>
      <c r="O116" s="642"/>
      <c r="P116" s="642"/>
      <c r="Q116" s="642"/>
      <c r="R116" s="642"/>
      <c r="S116" s="642"/>
      <c r="T116" s="642"/>
      <c r="U116" s="642"/>
      <c r="V116" s="642" t="s">
        <v>78</v>
      </c>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hidden="1" outlineLevel="1" x14ac:dyDescent="0.3">
      <c r="B117" s="640">
        <v>8</v>
      </c>
      <c r="C117" s="640">
        <v>8.3000000000000007</v>
      </c>
      <c r="D117" s="644" t="s">
        <v>538</v>
      </c>
      <c r="E117" s="642"/>
      <c r="F117" s="642"/>
      <c r="G117" s="642"/>
      <c r="H117" s="642"/>
      <c r="I117" s="642"/>
      <c r="J117" s="642"/>
      <c r="K117" s="642"/>
      <c r="L117" s="642"/>
      <c r="M117" s="642"/>
      <c r="N117" s="642"/>
      <c r="O117" s="642"/>
      <c r="P117" s="642"/>
      <c r="Q117" s="642"/>
      <c r="R117" s="642"/>
      <c r="S117" s="642"/>
      <c r="T117" s="642"/>
      <c r="U117" s="642"/>
      <c r="V117" s="642" t="s">
        <v>401</v>
      </c>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hidden="1" outlineLevel="1" x14ac:dyDescent="0.3">
      <c r="B118" s="640">
        <v>8</v>
      </c>
      <c r="C118" s="640">
        <v>8.4</v>
      </c>
      <c r="D118" s="644" t="s">
        <v>112</v>
      </c>
      <c r="E118" s="642"/>
      <c r="F118" s="642"/>
      <c r="G118" s="642"/>
      <c r="H118" s="642"/>
      <c r="I118" s="642"/>
      <c r="J118" s="642"/>
      <c r="K118" s="642"/>
      <c r="L118" s="642"/>
      <c r="M118" s="642"/>
      <c r="N118" s="642"/>
      <c r="O118" s="642"/>
      <c r="P118" s="642"/>
      <c r="Q118" s="642"/>
      <c r="R118" s="642"/>
      <c r="S118" s="642"/>
      <c r="T118" s="642"/>
      <c r="U118" s="642"/>
      <c r="V118" s="642">
        <v>0.15</v>
      </c>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hidden="1" outlineLevel="1" x14ac:dyDescent="0.3">
      <c r="B119" s="640">
        <v>9</v>
      </c>
      <c r="C119" s="640">
        <v>9.1</v>
      </c>
      <c r="D119" s="645" t="s">
        <v>351</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hidden="1" outlineLevel="1" x14ac:dyDescent="0.3">
      <c r="B120" s="640">
        <v>9</v>
      </c>
      <c r="C120" s="640">
        <v>9.1999999999999993</v>
      </c>
      <c r="D120" s="646" t="s">
        <v>352</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hidden="1" outlineLevel="1" x14ac:dyDescent="0.3">
      <c r="B121" s="640">
        <v>9</v>
      </c>
      <c r="C121" s="640">
        <v>9.3000000000000007</v>
      </c>
      <c r="D121" s="646" t="s">
        <v>538</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hidden="1" outlineLevel="1" x14ac:dyDescent="0.3">
      <c r="B122" s="640">
        <v>9</v>
      </c>
      <c r="C122" s="640">
        <v>9.4</v>
      </c>
      <c r="D122" s="646" t="s">
        <v>112</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hidden="1" outlineLevel="1" x14ac:dyDescent="0.3">
      <c r="B123" s="640">
        <v>10</v>
      </c>
      <c r="C123" s="640">
        <v>10.1</v>
      </c>
      <c r="D123" s="644" t="s">
        <v>351</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hidden="1" outlineLevel="1" x14ac:dyDescent="0.3">
      <c r="B124" s="640">
        <v>10</v>
      </c>
      <c r="C124" s="640">
        <v>10.199999999999999</v>
      </c>
      <c r="D124" s="644" t="s">
        <v>352</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hidden="1" outlineLevel="1" x14ac:dyDescent="0.3">
      <c r="B125" s="640">
        <v>10</v>
      </c>
      <c r="C125" s="640">
        <v>10.3</v>
      </c>
      <c r="D125" s="644" t="s">
        <v>538</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hidden="1" outlineLevel="1" x14ac:dyDescent="0.3">
      <c r="B126" s="640">
        <v>10</v>
      </c>
      <c r="C126" s="640">
        <v>10.4</v>
      </c>
      <c r="D126" s="644" t="s">
        <v>112</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hidden="1" outlineLevel="1" x14ac:dyDescent="0.3">
      <c r="B127" s="640">
        <v>11</v>
      </c>
      <c r="C127" s="640">
        <v>11.1</v>
      </c>
      <c r="D127" s="645" t="s">
        <v>351</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hidden="1" outlineLevel="1" x14ac:dyDescent="0.3">
      <c r="B128" s="640">
        <v>11</v>
      </c>
      <c r="C128" s="640">
        <v>11.2</v>
      </c>
      <c r="D128" s="646" t="s">
        <v>352</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hidden="1" outlineLevel="1" x14ac:dyDescent="0.3">
      <c r="B129" s="640">
        <v>11</v>
      </c>
      <c r="C129" s="640">
        <v>11.3</v>
      </c>
      <c r="D129" s="646" t="s">
        <v>538</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hidden="1" outlineLevel="1" x14ac:dyDescent="0.3">
      <c r="B130" s="640">
        <v>11</v>
      </c>
      <c r="C130" s="640">
        <v>11.4</v>
      </c>
      <c r="D130" s="646" t="s">
        <v>112</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hidden="1" outlineLevel="1" x14ac:dyDescent="0.3">
      <c r="B131" s="640">
        <v>12</v>
      </c>
      <c r="C131" s="640">
        <v>12.1</v>
      </c>
      <c r="D131" s="644" t="s">
        <v>351</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hidden="1" outlineLevel="1" x14ac:dyDescent="0.3">
      <c r="B132" s="640">
        <v>12</v>
      </c>
      <c r="C132" s="640">
        <v>12.2</v>
      </c>
      <c r="D132" s="644" t="s">
        <v>352</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hidden="1" outlineLevel="1" x14ac:dyDescent="0.3">
      <c r="B133" s="640">
        <v>12</v>
      </c>
      <c r="C133" s="640">
        <v>12.3</v>
      </c>
      <c r="D133" s="644" t="s">
        <v>538</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hidden="1" outlineLevel="1" x14ac:dyDescent="0.3">
      <c r="B134" s="640">
        <v>12</v>
      </c>
      <c r="C134" s="640">
        <v>12.4</v>
      </c>
      <c r="D134" s="644" t="s">
        <v>112</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hidden="1" outlineLevel="1" x14ac:dyDescent="0.3">
      <c r="B135" s="640">
        <v>13</v>
      </c>
      <c r="C135" s="640">
        <v>13.1</v>
      </c>
      <c r="D135" s="645" t="s">
        <v>351</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hidden="1" outlineLevel="1" x14ac:dyDescent="0.3">
      <c r="B136" s="640">
        <v>13</v>
      </c>
      <c r="C136" s="640">
        <v>13.2</v>
      </c>
      <c r="D136" s="646" t="s">
        <v>352</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hidden="1" outlineLevel="1" x14ac:dyDescent="0.3">
      <c r="B137" s="640">
        <v>13</v>
      </c>
      <c r="C137" s="640">
        <v>13.3</v>
      </c>
      <c r="D137" s="646" t="s">
        <v>538</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hidden="1" outlineLevel="1" x14ac:dyDescent="0.3">
      <c r="B138" s="640">
        <v>13</v>
      </c>
      <c r="C138" s="640">
        <v>13.4</v>
      </c>
      <c r="D138" s="646" t="s">
        <v>112</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hidden="1" outlineLevel="1" x14ac:dyDescent="0.3">
      <c r="B139" s="640">
        <v>14</v>
      </c>
      <c r="C139" s="640">
        <v>14.1</v>
      </c>
      <c r="D139" s="644" t="s">
        <v>351</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hidden="1" outlineLevel="1" x14ac:dyDescent="0.3">
      <c r="B140" s="640">
        <v>14</v>
      </c>
      <c r="C140" s="640">
        <v>14.2</v>
      </c>
      <c r="D140" s="644" t="s">
        <v>352</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hidden="1" outlineLevel="1" x14ac:dyDescent="0.3">
      <c r="B141" s="640">
        <v>14</v>
      </c>
      <c r="C141" s="640">
        <v>14.3</v>
      </c>
      <c r="D141" s="644" t="s">
        <v>538</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hidden="1" outlineLevel="1" x14ac:dyDescent="0.3">
      <c r="B142" s="640">
        <v>14</v>
      </c>
      <c r="C142" s="640">
        <v>14.4</v>
      </c>
      <c r="D142" s="644" t="s">
        <v>112</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hidden="1" outlineLevel="1" x14ac:dyDescent="0.3">
      <c r="B143" s="640">
        <v>15</v>
      </c>
      <c r="C143" s="640">
        <v>15.1</v>
      </c>
      <c r="D143" s="645" t="s">
        <v>351</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hidden="1" outlineLevel="1" x14ac:dyDescent="0.3">
      <c r="B144" s="640">
        <v>15</v>
      </c>
      <c r="C144" s="640">
        <v>15.2</v>
      </c>
      <c r="D144" s="646" t="s">
        <v>352</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hidden="1" outlineLevel="1" x14ac:dyDescent="0.3">
      <c r="B145" s="640">
        <v>15</v>
      </c>
      <c r="C145" s="640">
        <v>15.3</v>
      </c>
      <c r="D145" s="646" t="s">
        <v>538</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hidden="1" outlineLevel="1" x14ac:dyDescent="0.3">
      <c r="B146" s="641">
        <v>15</v>
      </c>
      <c r="C146" s="641">
        <v>15.4</v>
      </c>
      <c r="D146" s="646" t="s">
        <v>112</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hidden="1" outlineLevel="1" x14ac:dyDescent="0.3"/>
    <row r="148" spans="2:41" hidden="1" outlineLevel="1" x14ac:dyDescent="0.3"/>
    <row r="149" spans="2:41" hidden="1" outlineLevel="1" x14ac:dyDescent="0.3">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ollapsed="1" x14ac:dyDescent="0.3">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 x14ac:dyDescent="0.35">
      <c r="B151" s="409" t="s">
        <v>539</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x14ac:dyDescent="0.3">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x14ac:dyDescent="0.3">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 hidden="1" outlineLevel="1" thickBot="1" x14ac:dyDescent="0.35">
      <c r="C154" s="28"/>
      <c r="D154" s="462"/>
      <c r="E154" s="463" t="s">
        <v>37</v>
      </c>
      <c r="F154" s="463"/>
      <c r="G154" s="463"/>
      <c r="H154" s="463"/>
      <c r="I154" s="463"/>
      <c r="J154" s="464"/>
      <c r="K154" s="28" t="s">
        <v>540</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 hidden="1" outlineLevel="1" thickBot="1" x14ac:dyDescent="0.35">
      <c r="C155" s="28"/>
      <c r="D155" s="412" t="s">
        <v>541</v>
      </c>
      <c r="E155" s="118" t="s">
        <v>542</v>
      </c>
      <c r="F155" s="117" t="s">
        <v>112</v>
      </c>
      <c r="G155" s="117" t="s">
        <v>543</v>
      </c>
      <c r="H155" s="117" t="s">
        <v>544</v>
      </c>
      <c r="I155" s="117" t="s">
        <v>545</v>
      </c>
      <c r="J155" s="117" t="s">
        <v>424</v>
      </c>
      <c r="K155" s="28" t="str" cm="1">
        <f t="array" ref="K155:K161">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x14ac:dyDescent="0.3">
      <c r="C156" s="28" t="str" cm="1">
        <f t="array" ref="C156:C162">AssetUsed</f>
        <v>Cash</v>
      </c>
      <c r="D156" s="400"/>
      <c r="E156" t="str">
        <f t="shared" ref="E156:E177" si="3">IF(C156&lt;&gt;"",C156,"")</f>
        <v>Cash</v>
      </c>
      <c r="F156" s="165"/>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x14ac:dyDescent="0.3">
      <c r="C157" s="28" t="str">
        <v>Accounts Receivable</v>
      </c>
      <c r="D157" s="411"/>
      <c r="E157" t="str">
        <f t="shared" si="3"/>
        <v>Accounts Receivable</v>
      </c>
      <c r="F157" s="165"/>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Marketable Securities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x14ac:dyDescent="0.3">
      <c r="C158" s="28" t="str">
        <v>Marketable Securities</v>
      </c>
      <c r="D158" s="411"/>
      <c r="E158" t="str">
        <f t="shared" si="3"/>
        <v>Marketable Securities</v>
      </c>
      <c r="F158" s="165"/>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MS</v>
      </c>
      <c r="K158" s="28" t="str">
        <v>Inventories</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x14ac:dyDescent="0.3">
      <c r="C159" s="28" t="str">
        <v>Inventories</v>
      </c>
      <c r="D159" s="411"/>
      <c r="E159" t="str">
        <f t="shared" si="3"/>
        <v>Inventories</v>
      </c>
      <c r="F159" s="165"/>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Inv</v>
      </c>
      <c r="K159" s="28" t="str">
        <v>Prepaid Rent</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x14ac:dyDescent="0.3">
      <c r="C160" s="28" t="str">
        <v>Prepaid Rent</v>
      </c>
      <c r="D160" s="411"/>
      <c r="E160" t="str">
        <f t="shared" si="3"/>
        <v>Prepaid Rent</v>
      </c>
      <c r="F160" s="165"/>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C</v>
      </c>
      <c r="J160" s="28" t="str">
        <f>IF(BegBalanceSheet_Assets[[#This Row],[Account]]="","",_xlfn.XLOOKUP(BegBalanceSheet_Assets[[#This Row],[Account]],MD_Asset[Account Name],MD_Asset[Abbr]))</f>
        <v>PrePR</v>
      </c>
      <c r="K160" s="28" t="str">
        <v>Property, Plant &amp; Equipment</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x14ac:dyDescent="0.3">
      <c r="C161" s="28" t="str">
        <v>Property, Plant &amp; Equipment</v>
      </c>
      <c r="D161" s="411"/>
      <c r="E161" t="str">
        <f t="shared" si="3"/>
        <v>Property, Plant &amp; Equipment</v>
      </c>
      <c r="F161" s="165"/>
      <c r="G161" s="28" t="str">
        <f>IF(BegBalanceSheet_Assets[[#This Row],[Account]]="","",_xlfn.XLOOKUP(BegBalanceSheet_Assets[[#This Row],[Account]],MD_Asset[Account Name],MD_Asset[IncreasedBy]))</f>
        <v>Debit</v>
      </c>
      <c r="H161" s="28">
        <v>6</v>
      </c>
      <c r="I161" s="28" t="str">
        <f>IF(BegBalanceSheet_Assets[[#This Row],[Account]]="","",_xlfn.XLOOKUP(BegBalanceSheet_Assets[[#This Row],[Account]],MD_Asset[Account Name],MD_Asset[C/NC]))</f>
        <v>NC</v>
      </c>
      <c r="J161" s="28" t="str">
        <f>IF(BegBalanceSheet_Assets[[#This Row],[Account]]="","",_xlfn.XLOOKUP(BegBalanceSheet_Assets[[#This Row],[Account]],MD_Asset[Account Name],MD_Asset[Abbr]))</f>
        <v>PPE</v>
      </c>
      <c r="K161" s="28" t="str">
        <v>Accumulated Depreciation</v>
      </c>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x14ac:dyDescent="0.3">
      <c r="C162" s="28" t="str">
        <v>Accumulated Depreciation</v>
      </c>
      <c r="D162" s="411"/>
      <c r="E162" t="str">
        <f t="shared" si="3"/>
        <v>Accumulated Depreciation</v>
      </c>
      <c r="F162" s="165"/>
      <c r="G162" s="28" t="str">
        <f>IF(BegBalanceSheet_Assets[[#This Row],[Account]]="","",_xlfn.XLOOKUP(BegBalanceSheet_Assets[[#This Row],[Account]],MD_Asset[Account Name],MD_Asset[IncreasedBy]))</f>
        <v>Credit</v>
      </c>
      <c r="H162" s="28">
        <v>7</v>
      </c>
      <c r="I162" s="28" t="str">
        <f>IF(BegBalanceSheet_Assets[[#This Row],[Account]]="","",_xlfn.XLOOKUP(BegBalanceSheet_Assets[[#This Row],[Account]],MD_Asset[Account Name],MD_Asset[C/NC]))</f>
        <v>NC</v>
      </c>
      <c r="J162" s="28" t="str">
        <f>IF(BegBalanceSheet_Assets[[#This Row],[Account]]="","",_xlfn.XLOOKUP(BegBalanceSheet_Assets[[#This Row],[Account]],MD_Asset[Account Name],MD_Asset[Abbr]))</f>
        <v>AccDepr</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x14ac:dyDescent="0.3">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x14ac:dyDescent="0.3">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x14ac:dyDescent="0.3">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x14ac:dyDescent="0.3">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x14ac:dyDescent="0.3">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x14ac:dyDescent="0.3">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x14ac:dyDescent="0.3">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x14ac:dyDescent="0.3">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x14ac:dyDescent="0.3">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x14ac:dyDescent="0.3">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x14ac:dyDescent="0.3">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x14ac:dyDescent="0.3">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x14ac:dyDescent="0.3">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x14ac:dyDescent="0.3">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 hidden="1" outlineLevel="1" thickBot="1" x14ac:dyDescent="0.35">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x14ac:dyDescent="0.3">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x14ac:dyDescent="0.3">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x14ac:dyDescent="0.3">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 hidden="1" outlineLevel="1" thickBot="1" x14ac:dyDescent="0.35">
      <c r="C181" s="28"/>
      <c r="E181" s="463" t="s">
        <v>38</v>
      </c>
      <c r="F181" s="463"/>
      <c r="G181" s="463"/>
      <c r="H181" s="463"/>
      <c r="I181" s="463"/>
      <c r="J181" s="464"/>
      <c r="K181" s="28" t="s">
        <v>546</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 hidden="1" outlineLevel="1" thickBot="1" x14ac:dyDescent="0.35">
      <c r="C182" s="28"/>
      <c r="D182" s="412" t="s">
        <v>547</v>
      </c>
      <c r="E182" s="118" t="s">
        <v>542</v>
      </c>
      <c r="F182" s="117" t="s">
        <v>112</v>
      </c>
      <c r="G182" s="117" t="s">
        <v>543</v>
      </c>
      <c r="H182" s="117" t="s">
        <v>544</v>
      </c>
      <c r="I182" s="117" t="s">
        <v>545</v>
      </c>
      <c r="J182" s="117" t="s">
        <v>424</v>
      </c>
      <c r="K182" s="28" t="str" cm="1">
        <f t="array" ref="K182:K185">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x14ac:dyDescent="0.3">
      <c r="C183" s="28" t="str" cm="1">
        <f t="array" ref="C183:C186">LiabilityUsed</f>
        <v>Accounts Payable</v>
      </c>
      <c r="D183" s="400"/>
      <c r="E183" t="str">
        <f t="shared" ref="E183:E204" si="4">IF(C183&lt;&gt;"",C183,"")</f>
        <v>Accounts Payable</v>
      </c>
      <c r="F183" s="165"/>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Interest Payable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x14ac:dyDescent="0.3">
      <c r="C184" s="28" t="str">
        <v>Interest Payable</v>
      </c>
      <c r="D184" s="411"/>
      <c r="E184" t="str">
        <f t="shared" si="4"/>
        <v>Interest Payable</v>
      </c>
      <c r="F184" s="165"/>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IP</v>
      </c>
      <c r="K184" s="28" t="str">
        <v>Salaries &amp; Wages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x14ac:dyDescent="0.3">
      <c r="C185" s="28" t="str">
        <v>Salaries &amp; Wages Payable</v>
      </c>
      <c r="D185" s="411"/>
      <c r="E185" t="str">
        <f t="shared" si="4"/>
        <v>Salaries &amp; Wages Payable</v>
      </c>
      <c r="F185" s="165"/>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SWP</v>
      </c>
      <c r="K185" s="28" t="str">
        <v>Bonds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x14ac:dyDescent="0.3">
      <c r="C186" s="28" t="str">
        <v>Bonds Payable</v>
      </c>
      <c r="D186" s="411"/>
      <c r="E186" t="str">
        <f t="shared" si="4"/>
        <v>Bonds Payable</v>
      </c>
      <c r="F186" s="165"/>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NC</v>
      </c>
      <c r="J186" s="28" t="str">
        <f>IF(BegBalanceSheet_Liabilities[[#This Row],[Account]]="","",_xlfn.XLOOKUP(BegBalanceSheet_Liabilities[[#This Row],[Account]],MD_Liability[Account Name],MD_Liability[Abbr]))</f>
        <v>BP</v>
      </c>
      <c r="K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x14ac:dyDescent="0.3">
      <c r="C187" s="28"/>
      <c r="D187" s="411"/>
      <c r="E187" t="str">
        <f t="shared" si="4"/>
        <v/>
      </c>
      <c r="F187" s="165"/>
      <c r="G187" s="28" t="str">
        <f>IF(BegBalanceSheet_Liabilities[[#This Row],[Account]]="","",_xlfn.XLOOKUP(BegBalanceSheet_Liabilities[[#This Row],[Account]],MD_Liability[Account Name],MD_Liability[IncreasedBy]))</f>
        <v/>
      </c>
      <c r="H187" s="28">
        <v>5</v>
      </c>
      <c r="I187" s="28" t="str">
        <f>IF(BegBalanceSheet_Liabilities[[#This Row],[Account]]="","",_xlfn.XLOOKUP(BegBalanceSheet_Liabilities[[#This Row],[Account]],MD_Liability[Account Name],MD_Liability[C/NC]))</f>
        <v/>
      </c>
      <c r="J187" s="28" t="str">
        <f>IF(BegBalanceSheet_Liabilities[[#This Row],[Account]]="","",_xlfn.XLOOKUP(BegBalanceSheet_Liabilities[[#This Row],[Account]],MD_Liability[Account Name],MD_Liability[Abbr]))</f>
        <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x14ac:dyDescent="0.3">
      <c r="C188" s="28"/>
      <c r="D188" s="411"/>
      <c r="E188" t="str">
        <f t="shared" si="4"/>
        <v/>
      </c>
      <c r="F188" s="165"/>
      <c r="G188" s="28" t="str">
        <f>IF(BegBalanceSheet_Liabilities[[#This Row],[Account]]="","",_xlfn.XLOOKUP(BegBalanceSheet_Liabilities[[#This Row],[Account]],MD_Liability[Account Name],MD_Liability[IncreasedBy]))</f>
        <v/>
      </c>
      <c r="H188" s="28">
        <v>6</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x14ac:dyDescent="0.3">
      <c r="C189" s="28"/>
      <c r="D189" s="411"/>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x14ac:dyDescent="0.3">
      <c r="C190" s="28"/>
      <c r="D190" s="411"/>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x14ac:dyDescent="0.3">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x14ac:dyDescent="0.3">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x14ac:dyDescent="0.3">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x14ac:dyDescent="0.3">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x14ac:dyDescent="0.3">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x14ac:dyDescent="0.3">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x14ac:dyDescent="0.3">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x14ac:dyDescent="0.3">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x14ac:dyDescent="0.3">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x14ac:dyDescent="0.3">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x14ac:dyDescent="0.3">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x14ac:dyDescent="0.3">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x14ac:dyDescent="0.3">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 hidden="1" outlineLevel="1" thickBot="1" x14ac:dyDescent="0.35">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x14ac:dyDescent="0.3">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x14ac:dyDescent="0.3">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x14ac:dyDescent="0.3">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 hidden="1" outlineLevel="1" thickBot="1" x14ac:dyDescent="0.35">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 hidden="1" outlineLevel="1" thickBot="1" x14ac:dyDescent="0.35">
      <c r="C209" s="28"/>
      <c r="D209" s="412" t="s">
        <v>548</v>
      </c>
      <c r="E209" s="118" t="s">
        <v>542</v>
      </c>
      <c r="F209" s="117" t="s">
        <v>112</v>
      </c>
      <c r="G209" s="117" t="s">
        <v>543</v>
      </c>
      <c r="H209" s="117" t="s">
        <v>544</v>
      </c>
      <c r="I209" s="117" t="s">
        <v>424</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x14ac:dyDescent="0.3">
      <c r="C210" s="28" t="str" cm="1">
        <f t="array" ref="C210:C211">EquityUsed</f>
        <v>Common Stock</v>
      </c>
      <c r="D210" s="400"/>
      <c r="E210" t="str">
        <f t="shared" ref="E210:E220" si="5">IF(C210&lt;&gt;"",C210,"")</f>
        <v>Common Stock</v>
      </c>
      <c r="F210" s="165"/>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x14ac:dyDescent="0.3">
      <c r="C211" s="28" t="str">
        <v>Retained Earnings</v>
      </c>
      <c r="D211" s="411"/>
      <c r="E211" t="str">
        <f t="shared" si="5"/>
        <v>Retained Earnings</v>
      </c>
      <c r="F211" s="165"/>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RE</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x14ac:dyDescent="0.3">
      <c r="C212" s="28"/>
      <c r="D212" s="411"/>
      <c r="E212" t="str">
        <f t="shared" si="5"/>
        <v/>
      </c>
      <c r="F212" s="165"/>
      <c r="G212" s="28" t="str">
        <f>IF(BegBalanceSheet_Equities[[#This Row],[Account]]="","",_xlfn.XLOOKUP(BegBalanceSheet_Equities[[#This Row],[Account]],MD_Equity[Account Name],MD_Equity[IncreasedBy]))</f>
        <v/>
      </c>
      <c r="H212" s="28">
        <v>3</v>
      </c>
      <c r="I212" s="28" t="str">
        <f>IF(BegBalanceSheet_Equities[[#This Row],[Account]]="","",_xlfn.XLOOKUP(BegBalanceSheet_Equities[[#This Row],[Account]],MD_Equity[Account Name],MD_Equity[Abbr]))</f>
        <v/>
      </c>
      <c r="J212" s="28"/>
      <c r="K212" s="28" t="s">
        <v>549</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x14ac:dyDescent="0.3">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4">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x14ac:dyDescent="0.3">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Retained Earnings</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x14ac:dyDescent="0.3">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x14ac:dyDescent="0.3">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x14ac:dyDescent="0.3">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x14ac:dyDescent="0.3">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x14ac:dyDescent="0.3">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x14ac:dyDescent="0.3">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x14ac:dyDescent="0.3">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x14ac:dyDescent="0.3">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x14ac:dyDescent="0.3">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x14ac:dyDescent="0.3">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x14ac:dyDescent="0.3">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x14ac:dyDescent="0.3">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x14ac:dyDescent="0.3">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x14ac:dyDescent="0.3">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x14ac:dyDescent="0.3">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x14ac:dyDescent="0.3">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 hidden="1" outlineLevel="1" thickBot="1" x14ac:dyDescent="0.35">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x14ac:dyDescent="0.3">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x14ac:dyDescent="0.3">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x14ac:dyDescent="0.3">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x14ac:dyDescent="0.3">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x14ac:dyDescent="0.3">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x14ac:dyDescent="0.3">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x14ac:dyDescent="0.3">
      <c r="C238" s="63"/>
      <c r="D238" s="88" t="s">
        <v>550</v>
      </c>
      <c r="E238" s="80">
        <f t="shared" ref="E238:AH238" si="6">COUNTA(E87:E146)/4</f>
        <v>2</v>
      </c>
      <c r="F238" s="89">
        <f t="shared" si="6"/>
        <v>2</v>
      </c>
      <c r="G238" s="80">
        <f t="shared" si="6"/>
        <v>2</v>
      </c>
      <c r="H238" s="80">
        <f t="shared" si="6"/>
        <v>2</v>
      </c>
      <c r="I238" s="80">
        <f t="shared" si="6"/>
        <v>2</v>
      </c>
      <c r="J238" s="80">
        <f t="shared" si="6"/>
        <v>2</v>
      </c>
      <c r="K238" s="80">
        <f t="shared" si="6"/>
        <v>2</v>
      </c>
      <c r="L238" s="80">
        <f t="shared" si="6"/>
        <v>2</v>
      </c>
      <c r="M238" s="80">
        <f t="shared" si="6"/>
        <v>2</v>
      </c>
      <c r="N238" s="80">
        <f t="shared" si="6"/>
        <v>2</v>
      </c>
      <c r="O238" s="80">
        <f t="shared" si="6"/>
        <v>3</v>
      </c>
      <c r="P238" s="80">
        <f t="shared" si="6"/>
        <v>2</v>
      </c>
      <c r="Q238" s="80">
        <f t="shared" si="6"/>
        <v>2</v>
      </c>
      <c r="R238" s="80">
        <f t="shared" si="6"/>
        <v>0.5</v>
      </c>
      <c r="S238" s="80">
        <f t="shared" si="6"/>
        <v>2</v>
      </c>
      <c r="T238" s="80">
        <f t="shared" si="6"/>
        <v>2</v>
      </c>
      <c r="U238" s="80">
        <f t="shared" si="6"/>
        <v>2</v>
      </c>
      <c r="V238" s="80">
        <f t="shared" si="6"/>
        <v>8</v>
      </c>
      <c r="W238" s="80">
        <f t="shared" si="6"/>
        <v>0</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x14ac:dyDescent="0.3">
      <c r="C239" s="63"/>
      <c r="D239" s="88" t="s">
        <v>551</v>
      </c>
      <c r="E239" s="80" t="str">
        <f>IF(E82="","",IF(E82=MasterData!$C$200,"",E82))</f>
        <v>Financing</v>
      </c>
      <c r="F239" s="80" t="str">
        <f>IF(F82="","",IF(F82=MasterData!$C$200,"",F82))</f>
        <v>Investing</v>
      </c>
      <c r="G239" s="80" t="str">
        <f>IF(G82="","",IF(G82=MasterData!$C$200,"",G82))</f>
        <v>Operating</v>
      </c>
      <c r="H239" s="80" t="str">
        <f>IF(H82="","",IF(H82=MasterData!$C$200,"",H82))</f>
        <v/>
      </c>
      <c r="I239" s="80" t="str">
        <f>IF(I82="","",IF(I82=MasterData!$C$200,"",I82))</f>
        <v>Investing</v>
      </c>
      <c r="J239" s="80" t="str">
        <f>IF(J82="","",IF(J82=MasterData!$C$200,"",J82))</f>
        <v>Financing</v>
      </c>
      <c r="K239" s="80" t="str">
        <f>IF(K82="","",IF(K82=MasterData!$C$200,"",K82))</f>
        <v/>
      </c>
      <c r="L239" s="80" t="str">
        <f>IF(L82="","",IF(L82=MasterData!$C$200,"",L82))</f>
        <v/>
      </c>
      <c r="M239" s="80" t="str">
        <f>IF(M82="","",IF(M82=MasterData!$C$200,"",M82))</f>
        <v>Operating</v>
      </c>
      <c r="N239" s="80" t="str">
        <f>IF(N82="","",IF(N82=MasterData!$C$200,"",N82))</f>
        <v>Operating</v>
      </c>
      <c r="O239" s="80" t="str">
        <f>IF(O82="","",IF(O82=MasterData!$C$200,"",O82))</f>
        <v>Operating</v>
      </c>
      <c r="P239" s="80" t="str">
        <f>IF(P82="","",IF(P82=MasterData!$C$200,"",P82))</f>
        <v>Operating</v>
      </c>
      <c r="Q239" s="80" t="str">
        <f>IF(Q82="","",IF(Q82=MasterData!$C$200,"",Q82))</f>
        <v/>
      </c>
      <c r="R239" s="80" t="str">
        <f>IF(R82="","",IF(R82=MasterData!$C$200,"",R82))</f>
        <v/>
      </c>
      <c r="S239" s="80" t="str">
        <f>IF(S82="","",IF(S82=MasterData!$C$200,"",S82))</f>
        <v>Other</v>
      </c>
      <c r="T239" s="80" t="str">
        <f>IF(T82="","",IF(T82=MasterData!$C$200,"",T82))</f>
        <v/>
      </c>
      <c r="U239" s="80" t="str">
        <f>IF(U82="","",IF(U82=MasterData!$C$200,"",U82))</f>
        <v/>
      </c>
      <c r="V239" s="80" t="str">
        <f>IF(V82="","",IF(V82=MasterData!$C$200,"",V82))</f>
        <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x14ac:dyDescent="0.3">
      <c r="C240" s="63"/>
      <c r="D240" s="88" t="s">
        <v>552</v>
      </c>
      <c r="E240" s="80" t="str">
        <f t="shared" ref="E240:AM240" ca="1" si="8">IF(IFERROR(VLOOKUP(E83,INDIRECT(E82&amp;"[#All]"),3,FALSE),"")=0,"",IFERROR(VLOOKUP(E83,INDIRECT(E82&amp;"[#All]"),3,FALSE),""))</f>
        <v>ICS</v>
      </c>
      <c r="F240" s="80" t="str">
        <f t="shared" ca="1" si="8"/>
        <v>PPPE</v>
      </c>
      <c r="G240" s="80" t="str">
        <f t="shared" ca="1" si="8"/>
        <v>PdPPd</v>
      </c>
      <c r="H240" s="80" t="str">
        <f t="shared" ca="1" si="8"/>
        <v/>
      </c>
      <c r="I240" s="80" t="str">
        <f t="shared" ca="1" si="8"/>
        <v>PMS</v>
      </c>
      <c r="J240" s="80" t="str">
        <f t="shared" ca="1" si="8"/>
        <v>IB</v>
      </c>
      <c r="K240" s="80" t="str">
        <f t="shared" ca="1" si="8"/>
        <v/>
      </c>
      <c r="L240" s="80" t="str">
        <f t="shared" ca="1" si="8"/>
        <v/>
      </c>
      <c r="M240" s="80" t="str">
        <f t="shared" ca="1" si="8"/>
        <v>PdS</v>
      </c>
      <c r="N240" s="80" t="str">
        <f t="shared" ca="1" si="8"/>
        <v>ColC</v>
      </c>
      <c r="O240" s="80" t="str">
        <f t="shared" ca="1" si="8"/>
        <v>ColC</v>
      </c>
      <c r="P240" s="80" t="str">
        <f t="shared" ca="1" si="8"/>
        <v>PdSW</v>
      </c>
      <c r="Q240" s="80" t="str">
        <f t="shared" ca="1" si="8"/>
        <v/>
      </c>
      <c r="R240" s="80" t="str">
        <f t="shared" ca="1" si="8"/>
        <v/>
      </c>
      <c r="S240" s="80" t="str">
        <f t="shared" ca="1" si="8"/>
        <v>RecDeprExp</v>
      </c>
      <c r="T240" s="80" t="str">
        <f t="shared" ca="1" si="8"/>
        <v/>
      </c>
      <c r="U240" s="80" t="str">
        <f t="shared" ca="1" si="8"/>
        <v/>
      </c>
      <c r="V240" s="80" t="str">
        <f t="shared" ca="1" si="8"/>
        <v>CL</v>
      </c>
      <c r="W240" s="80" t="str">
        <f t="shared" ca="1" si="8"/>
        <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x14ac:dyDescent="0.3">
      <c r="C241" s="63"/>
      <c r="D241" s="87" t="s">
        <v>553</v>
      </c>
      <c r="E241" s="79">
        <f>COUNTA(E79:AH79)</f>
        <v>18</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x14ac:dyDescent="0.3">
      <c r="C242" s="28"/>
      <c r="D242" s="87" t="s">
        <v>554</v>
      </c>
      <c r="E242" s="79" t="str">
        <f>_xlfn.CONCAT(E87:AM146)&amp;_xlfn.CONCAT(D156:D177)&amp;_xlfn.CONCAT(D183:D204)&amp;_xlfn.CONCAT(D210:D231)</f>
        <v>AssetAssetAssetAssetAssetAssetAssetExpenseLiabilityAssetAssetLiabilityExpenseExpenseExpenseExpenseRevenueCashProperty, Plant &amp; EquipmentPrepaid RentInventoriesMarketable SecuritiesCashAccounts ReceivableCost of Goods SoldAccounts PayableCashCashSalaries &amp; Wages PayableSalaries &amp; Wages ExpenseDepreciation ExpenseRent ExpenseInterest ExpenseSalesDebitDebitDebitDebitDebitDebitDebitDebitDebitDebitDebitDebitDebitDebitDebitDebitDebit100604302520402515300.05677.531.5540EquityAssetAssetLiabilityAssetLiabilityRevenueAssetAssetAssetExpenseAssetLiabilityAssetAssetLiabilityEquityCommon StockCashCashAccounts PayableCashBonds PayableSalesInventoriesCashAccounts ReceivableBad Debts ExpenseCashSalaries &amp; Wages PayableAccumulated DepreciationPrepaid RentInterest PayableRetained EarningsCreditCreditCreditCreditCreditCreditCreditCreditCreditCreditDebitCreditCreditCreditCreditCreditDebit100604302520402515300.15677.531.554.2AssetExpenseAccounts ReceivableCost of Goods SoldCreditCredit0.225ExpenseSalaries &amp; Wages ExpenseCredit7ExpenseRent ExpenseCredit3ExpenseInterest ExpenseCredit1.55ExpenseDepreciation ExpenseCredit7.5ExpenseBad Debts ExpenseCredit0.15</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x14ac:dyDescent="0.3">
      <c r="D243" s="161" t="s">
        <v>555</v>
      </c>
      <c r="E243" t="str">
        <f>_xlfn.CONCAT(E239:AM239)</f>
        <v>FinancingInvestingOperatingInvestingFinancingOperatingOperatingOperatingOperatingOther</v>
      </c>
    </row>
    <row r="244" spans="3:40" ht="15" hidden="1" outlineLevel="1" thickBot="1" x14ac:dyDescent="0.35"/>
    <row r="245" spans="3:40" ht="15" hidden="1" outlineLevel="1" thickBot="1" x14ac:dyDescent="0.35">
      <c r="D245" s="81" t="s">
        <v>48</v>
      </c>
      <c r="E245" s="82" t="s">
        <v>556</v>
      </c>
      <c r="F245" s="82" t="s">
        <v>557</v>
      </c>
      <c r="G245" s="82" t="s">
        <v>558</v>
      </c>
      <c r="H245" s="82" t="s">
        <v>559</v>
      </c>
      <c r="I245" s="82" t="s">
        <v>560</v>
      </c>
      <c r="J245" s="82" t="s">
        <v>561</v>
      </c>
      <c r="K245" s="82" t="s">
        <v>562</v>
      </c>
      <c r="L245" s="82" t="s">
        <v>563</v>
      </c>
      <c r="M245" s="82" t="s">
        <v>564</v>
      </c>
      <c r="N245" s="82" t="s">
        <v>565</v>
      </c>
      <c r="O245" s="82" t="s">
        <v>566</v>
      </c>
      <c r="P245" s="82" t="s">
        <v>567</v>
      </c>
      <c r="Q245" s="82" t="s">
        <v>568</v>
      </c>
      <c r="R245" s="82" t="s">
        <v>569</v>
      </c>
      <c r="S245" s="82" t="s">
        <v>570</v>
      </c>
      <c r="T245" s="83" t="s">
        <v>571</v>
      </c>
    </row>
    <row r="246" spans="3:40" hidden="1" outlineLevel="1" x14ac:dyDescent="0.3">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x14ac:dyDescent="0.3">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x14ac:dyDescent="0.3">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x14ac:dyDescent="0.3">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x14ac:dyDescent="0.3">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x14ac:dyDescent="0.3">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x14ac:dyDescent="0.3">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x14ac:dyDescent="0.3">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x14ac:dyDescent="0.3">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x14ac:dyDescent="0.3">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x14ac:dyDescent="0.3">
      <c r="D256" s="79">
        <v>11</v>
      </c>
      <c r="E256" s="79">
        <v>3</v>
      </c>
      <c r="F256" s="79">
        <f t="shared" si="9"/>
        <v>1</v>
      </c>
      <c r="G256" s="79">
        <f>IF(SUM($F256:F256)=$E256,0,1)</f>
        <v>1</v>
      </c>
      <c r="H256" s="79">
        <f>IF(SUM($F256:G256)=$E256,0,1)</f>
        <v>1</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x14ac:dyDescent="0.3">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x14ac:dyDescent="0.3">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x14ac:dyDescent="0.3">
      <c r="D259" s="79">
        <v>14</v>
      </c>
      <c r="E259" s="79">
        <v>0.5</v>
      </c>
      <c r="F259" s="79">
        <f t="shared" si="9"/>
        <v>1</v>
      </c>
      <c r="G259" s="79">
        <f>IF(SUM($F259:F259)=$E259,0,1)</f>
        <v>1</v>
      </c>
      <c r="H259" s="79">
        <f>IF(SUM($F259:G259)=$E259,0,1)</f>
        <v>1</v>
      </c>
      <c r="I259" s="79">
        <f>IF(SUM($F259:H259)=$E259,0,1)</f>
        <v>1</v>
      </c>
      <c r="J259" s="79">
        <f>IF(SUM($F259:I259)=$E259,0,1)</f>
        <v>1</v>
      </c>
      <c r="K259" s="79">
        <f>IF(SUM($F259:J259)=$E259,0,1)</f>
        <v>1</v>
      </c>
      <c r="L259" s="79">
        <f>IF(SUM($F259:K259)=$E259,0,1)</f>
        <v>1</v>
      </c>
      <c r="M259" s="79">
        <f>IF(SUM($F259:L259)=$E259,0,1)</f>
        <v>1</v>
      </c>
      <c r="N259" s="79">
        <f>IF(SUM($F259:M259)=$E259,0,1)</f>
        <v>1</v>
      </c>
      <c r="O259" s="79">
        <f>IF(SUM($F259:N259)=$E259,0,1)</f>
        <v>1</v>
      </c>
      <c r="P259" s="79">
        <f>IF(SUM($F259:O259)=$E259,0,1)</f>
        <v>1</v>
      </c>
      <c r="Q259" s="79">
        <f>IF(SUM($F259:P259)=$E259,0,1)</f>
        <v>1</v>
      </c>
      <c r="R259" s="79">
        <f>IF(SUM($F259:Q259)=$E259,0,1)</f>
        <v>1</v>
      </c>
      <c r="S259" s="79">
        <f>IF(SUM($F259:R259)=$E259,0,1)</f>
        <v>1</v>
      </c>
      <c r="T259" s="79">
        <f>IF(SUM($F259:S259)=$E259,0,1)</f>
        <v>1</v>
      </c>
    </row>
    <row r="260" spans="4:20" hidden="1" outlineLevel="1" x14ac:dyDescent="0.3">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x14ac:dyDescent="0.3">
      <c r="D261" s="79">
        <v>16</v>
      </c>
      <c r="E261" s="79">
        <v>2</v>
      </c>
      <c r="F261" s="79">
        <f t="shared" si="9"/>
        <v>1</v>
      </c>
      <c r="G261" s="79">
        <f>IF(SUM($F261:F261)=$E261,0,1)</f>
        <v>1</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x14ac:dyDescent="0.3">
      <c r="D262" s="79">
        <v>17</v>
      </c>
      <c r="E262" s="79">
        <v>2</v>
      </c>
      <c r="F262" s="79">
        <f t="shared" si="9"/>
        <v>1</v>
      </c>
      <c r="G262" s="79">
        <f>IF(SUM($F262:F262)=$E262,0,1)</f>
        <v>1</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x14ac:dyDescent="0.3">
      <c r="D263" s="79">
        <v>18</v>
      </c>
      <c r="E263" s="79">
        <v>8</v>
      </c>
      <c r="F263" s="79">
        <f t="shared" si="9"/>
        <v>1</v>
      </c>
      <c r="G263" s="79">
        <f>IF(SUM($F263:F263)=$E263,0,1)</f>
        <v>1</v>
      </c>
      <c r="H263" s="79">
        <f>IF(SUM($F263:G263)=$E263,0,1)</f>
        <v>1</v>
      </c>
      <c r="I263" s="79">
        <f>IF(SUM($F263:H263)=$E263,0,1)</f>
        <v>1</v>
      </c>
      <c r="J263" s="79">
        <f>IF(SUM($F263:I263)=$E263,0,1)</f>
        <v>1</v>
      </c>
      <c r="K263" s="79">
        <f>IF(SUM($F263:J263)=$E263,0,1)</f>
        <v>1</v>
      </c>
      <c r="L263" s="79">
        <f>IF(SUM($F263:K263)=$E263,0,1)</f>
        <v>1</v>
      </c>
      <c r="M263" s="79">
        <f>IF(SUM($F263:L263)=$E263,0,1)</f>
        <v>1</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x14ac:dyDescent="0.3">
      <c r="D264" s="79">
        <v>19</v>
      </c>
      <c r="E264" s="79">
        <v>0</v>
      </c>
      <c r="F264" s="79">
        <f t="shared" si="9"/>
        <v>0</v>
      </c>
      <c r="G264" s="79">
        <f>IF(SUM($F264:F264)=$E264,0,1)</f>
        <v>0</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x14ac:dyDescent="0.3">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x14ac:dyDescent="0.3">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x14ac:dyDescent="0.3">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x14ac:dyDescent="0.3">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x14ac:dyDescent="0.3">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x14ac:dyDescent="0.3">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x14ac:dyDescent="0.3">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x14ac:dyDescent="0.3">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x14ac:dyDescent="0.3">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x14ac:dyDescent="0.3">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x14ac:dyDescent="0.3">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x14ac:dyDescent="0.3">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x14ac:dyDescent="0.3">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x14ac:dyDescent="0.3">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x14ac:dyDescent="0.3">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x14ac:dyDescent="0.3">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x14ac:dyDescent="0.3">
      <c r="D281" s="28"/>
      <c r="E281" s="28"/>
      <c r="F281" s="28"/>
      <c r="G281" s="28"/>
      <c r="H281" s="28"/>
      <c r="I281" s="28"/>
      <c r="J281" s="28"/>
      <c r="K281" s="28"/>
      <c r="L281" s="28"/>
      <c r="M281" s="28"/>
      <c r="N281" s="28"/>
      <c r="O281" s="28"/>
      <c r="P281" s="28"/>
      <c r="Q281" s="28"/>
      <c r="R281" s="28"/>
      <c r="S281" s="28"/>
      <c r="T281" s="28"/>
    </row>
    <row r="282" spans="4:20" hidden="1" outlineLevel="1" x14ac:dyDescent="0.3"/>
    <row r="283" spans="4:20" ht="15" hidden="1" outlineLevel="1" thickBot="1" x14ac:dyDescent="0.35"/>
    <row r="284" spans="4:20" ht="15" hidden="1" outlineLevel="1" thickBot="1" x14ac:dyDescent="0.35">
      <c r="D284" s="84" t="s">
        <v>48</v>
      </c>
      <c r="E284" s="85" t="s">
        <v>58</v>
      </c>
      <c r="F284" s="85" t="s">
        <v>572</v>
      </c>
      <c r="G284" s="86" t="s">
        <v>573</v>
      </c>
    </row>
    <row r="285" spans="4:20" hidden="1" outlineLevel="1" x14ac:dyDescent="0.3">
      <c r="D285" s="78">
        <v>1</v>
      </c>
      <c r="E285" s="78">
        <v>1</v>
      </c>
      <c r="F285" s="78" cm="1">
        <f t="array" ref="F285">INDEX($D$245:$T$280,MATCH(D285,$D$245:$D$280,0),E285+2)</f>
        <v>1</v>
      </c>
      <c r="G285" s="78">
        <f t="shared" ref="G285:G348" si="11">IF(F285&gt;0,D285,0)</f>
        <v>1</v>
      </c>
    </row>
    <row r="286" spans="4:20" hidden="1" outlineLevel="1" x14ac:dyDescent="0.3">
      <c r="D286" s="77">
        <v>1</v>
      </c>
      <c r="E286" s="77">
        <v>2</v>
      </c>
      <c r="F286" s="78" cm="1">
        <f t="array" ref="F286">INDEX($D$245:$T$280,MATCH(D286,$D$245:$D$280,0),E286+2)</f>
        <v>1</v>
      </c>
      <c r="G286" s="77">
        <f t="shared" si="11"/>
        <v>1</v>
      </c>
    </row>
    <row r="287" spans="4:20" hidden="1" outlineLevel="1" x14ac:dyDescent="0.3">
      <c r="D287" s="77">
        <v>1</v>
      </c>
      <c r="E287" s="77">
        <v>3</v>
      </c>
      <c r="F287" s="78" cm="1">
        <f t="array" ref="F287">INDEX($D$245:$T$280,MATCH(D287,$D$245:$D$280,0),E287+2)</f>
        <v>0</v>
      </c>
      <c r="G287" s="77">
        <f t="shared" si="11"/>
        <v>0</v>
      </c>
    </row>
    <row r="288" spans="4:20" hidden="1" outlineLevel="1" x14ac:dyDescent="0.3">
      <c r="D288" s="77">
        <v>1</v>
      </c>
      <c r="E288" s="77">
        <v>4</v>
      </c>
      <c r="F288" s="78" cm="1">
        <f t="array" ref="F288">INDEX($D$245:$T$280,MATCH(D288,$D$245:$D$280,0),E288+2)</f>
        <v>0</v>
      </c>
      <c r="G288" s="77">
        <f t="shared" si="11"/>
        <v>0</v>
      </c>
    </row>
    <row r="289" spans="4:7" hidden="1" outlineLevel="1" x14ac:dyDescent="0.3">
      <c r="D289" s="77">
        <v>1</v>
      </c>
      <c r="E289" s="77">
        <v>5</v>
      </c>
      <c r="F289" s="78" cm="1">
        <f t="array" ref="F289">INDEX($D$245:$T$280,MATCH(D289,$D$245:$D$280,0),E289+2)</f>
        <v>0</v>
      </c>
      <c r="G289" s="77">
        <f t="shared" si="11"/>
        <v>0</v>
      </c>
    </row>
    <row r="290" spans="4:7" hidden="1" outlineLevel="1" x14ac:dyDescent="0.3">
      <c r="D290" s="77">
        <v>1</v>
      </c>
      <c r="E290" s="77">
        <v>6</v>
      </c>
      <c r="F290" s="78" cm="1">
        <f t="array" ref="F290">INDEX($D$245:$T$280,MATCH(D290,$D$245:$D$280,0),E290+2)</f>
        <v>0</v>
      </c>
      <c r="G290" s="77">
        <f t="shared" si="11"/>
        <v>0</v>
      </c>
    </row>
    <row r="291" spans="4:7" hidden="1" outlineLevel="1" x14ac:dyDescent="0.3">
      <c r="D291" s="77">
        <v>1</v>
      </c>
      <c r="E291" s="77">
        <v>7</v>
      </c>
      <c r="F291" s="78" cm="1">
        <f t="array" ref="F291">INDEX($D$245:$T$280,MATCH(D291,$D$245:$D$280,0),E291+2)</f>
        <v>0</v>
      </c>
      <c r="G291" s="77">
        <f t="shared" si="11"/>
        <v>0</v>
      </c>
    </row>
    <row r="292" spans="4:7" hidden="1" outlineLevel="1" x14ac:dyDescent="0.3">
      <c r="D292" s="77">
        <v>1</v>
      </c>
      <c r="E292" s="77">
        <v>8</v>
      </c>
      <c r="F292" s="78" cm="1">
        <f t="array" ref="F292">INDEX($D$245:$T$280,MATCH(D292,$D$245:$D$280,0),E292+2)</f>
        <v>0</v>
      </c>
      <c r="G292" s="77">
        <f t="shared" si="11"/>
        <v>0</v>
      </c>
    </row>
    <row r="293" spans="4:7" hidden="1" outlineLevel="1" x14ac:dyDescent="0.3">
      <c r="D293" s="77">
        <v>1</v>
      </c>
      <c r="E293" s="77">
        <v>9</v>
      </c>
      <c r="F293" s="78" cm="1">
        <f t="array" ref="F293">INDEX($D$245:$T$280,MATCH(D293,$D$245:$D$280,0),E293+2)</f>
        <v>0</v>
      </c>
      <c r="G293" s="77">
        <f t="shared" si="11"/>
        <v>0</v>
      </c>
    </row>
    <row r="294" spans="4:7" hidden="1" outlineLevel="1" x14ac:dyDescent="0.3">
      <c r="D294" s="77">
        <v>1</v>
      </c>
      <c r="E294" s="77">
        <v>10</v>
      </c>
      <c r="F294" s="78" cm="1">
        <f t="array" ref="F294">INDEX($D$245:$T$280,MATCH(D294,$D$245:$D$280,0),E294+2)</f>
        <v>0</v>
      </c>
      <c r="G294" s="77">
        <f t="shared" si="11"/>
        <v>0</v>
      </c>
    </row>
    <row r="295" spans="4:7" hidden="1" outlineLevel="1" x14ac:dyDescent="0.3">
      <c r="D295" s="77">
        <v>1</v>
      </c>
      <c r="E295" s="77">
        <v>11</v>
      </c>
      <c r="F295" s="78" cm="1">
        <f t="array" ref="F295">INDEX($D$245:$T$280,MATCH(D295,$D$245:$D$280,0),E295+2)</f>
        <v>0</v>
      </c>
      <c r="G295" s="77">
        <f t="shared" si="11"/>
        <v>0</v>
      </c>
    </row>
    <row r="296" spans="4:7" hidden="1" outlineLevel="1" x14ac:dyDescent="0.3">
      <c r="D296" s="77">
        <v>1</v>
      </c>
      <c r="E296" s="77">
        <v>12</v>
      </c>
      <c r="F296" s="78" cm="1">
        <f t="array" ref="F296">INDEX($D$245:$T$280,MATCH(D296,$D$245:$D$280,0),E296+2)</f>
        <v>0</v>
      </c>
      <c r="G296" s="77">
        <f t="shared" si="11"/>
        <v>0</v>
      </c>
    </row>
    <row r="297" spans="4:7" hidden="1" outlineLevel="1" x14ac:dyDescent="0.3">
      <c r="D297" s="77">
        <v>1</v>
      </c>
      <c r="E297" s="77">
        <v>13</v>
      </c>
      <c r="F297" s="78" cm="1">
        <f t="array" ref="F297">INDEX($D$245:$T$280,MATCH(D297,$D$245:$D$280,0),E297+2)</f>
        <v>0</v>
      </c>
      <c r="G297" s="77">
        <f t="shared" si="11"/>
        <v>0</v>
      </c>
    </row>
    <row r="298" spans="4:7" hidden="1" outlineLevel="1" x14ac:dyDescent="0.3">
      <c r="D298" s="77">
        <v>1</v>
      </c>
      <c r="E298" s="77">
        <v>14</v>
      </c>
      <c r="F298" s="78" cm="1">
        <f t="array" ref="F298">INDEX($D$245:$T$280,MATCH(D298,$D$245:$D$280,0),E298+2)</f>
        <v>0</v>
      </c>
      <c r="G298" s="77">
        <f t="shared" si="11"/>
        <v>0</v>
      </c>
    </row>
    <row r="299" spans="4:7" hidden="1" outlineLevel="1" x14ac:dyDescent="0.3">
      <c r="D299" s="77">
        <v>1</v>
      </c>
      <c r="E299" s="77">
        <v>15</v>
      </c>
      <c r="F299" s="78" cm="1">
        <f t="array" ref="F299">INDEX($D$245:$T$280,MATCH(D299,$D$245:$D$280,0),E299+2)</f>
        <v>0</v>
      </c>
      <c r="G299" s="77">
        <f t="shared" si="11"/>
        <v>0</v>
      </c>
    </row>
    <row r="300" spans="4:7" hidden="1" outlineLevel="1" x14ac:dyDescent="0.3">
      <c r="D300" s="77">
        <f>D285+1</f>
        <v>2</v>
      </c>
      <c r="E300" s="77">
        <v>1</v>
      </c>
      <c r="F300" s="78" cm="1">
        <f t="array" ref="F300">INDEX($D$245:$T$280,MATCH(D300,$D$245:$D$280,0),E300+2)</f>
        <v>1</v>
      </c>
      <c r="G300" s="77">
        <f t="shared" si="11"/>
        <v>2</v>
      </c>
    </row>
    <row r="301" spans="4:7" hidden="1" outlineLevel="1" x14ac:dyDescent="0.3">
      <c r="D301" s="77">
        <f t="shared" ref="D301:D344" si="12">D286+1</f>
        <v>2</v>
      </c>
      <c r="E301" s="77">
        <v>2</v>
      </c>
      <c r="F301" s="78" cm="1">
        <f t="array" ref="F301">INDEX($D$245:$T$280,MATCH(D301,$D$245:$D$280,0),E301+2)</f>
        <v>1</v>
      </c>
      <c r="G301" s="77">
        <f t="shared" si="11"/>
        <v>2</v>
      </c>
    </row>
    <row r="302" spans="4:7" hidden="1" outlineLevel="1" x14ac:dyDescent="0.3">
      <c r="D302" s="77">
        <f t="shared" si="12"/>
        <v>2</v>
      </c>
      <c r="E302" s="77">
        <v>3</v>
      </c>
      <c r="F302" s="78" cm="1">
        <f t="array" ref="F302">INDEX($D$245:$T$280,MATCH(D302,$D$245:$D$280,0),E302+2)</f>
        <v>0</v>
      </c>
      <c r="G302" s="77">
        <f t="shared" si="11"/>
        <v>0</v>
      </c>
    </row>
    <row r="303" spans="4:7" hidden="1" outlineLevel="1" x14ac:dyDescent="0.3">
      <c r="D303" s="77">
        <f t="shared" si="12"/>
        <v>2</v>
      </c>
      <c r="E303" s="77">
        <v>4</v>
      </c>
      <c r="F303" s="78" cm="1">
        <f t="array" ref="F303">INDEX($D$245:$T$280,MATCH(D303,$D$245:$D$280,0),E303+2)</f>
        <v>0</v>
      </c>
      <c r="G303" s="77">
        <f t="shared" si="11"/>
        <v>0</v>
      </c>
    </row>
    <row r="304" spans="4:7" hidden="1" outlineLevel="1" x14ac:dyDescent="0.3">
      <c r="D304" s="77">
        <f t="shared" si="12"/>
        <v>2</v>
      </c>
      <c r="E304" s="77">
        <v>5</v>
      </c>
      <c r="F304" s="78" cm="1">
        <f t="array" ref="F304">INDEX($D$245:$T$280,MATCH(D304,$D$245:$D$280,0),E304+2)</f>
        <v>0</v>
      </c>
      <c r="G304" s="77">
        <f t="shared" si="11"/>
        <v>0</v>
      </c>
    </row>
    <row r="305" spans="4:7" hidden="1" outlineLevel="1" x14ac:dyDescent="0.3">
      <c r="D305" s="77">
        <f t="shared" si="12"/>
        <v>2</v>
      </c>
      <c r="E305" s="77">
        <v>6</v>
      </c>
      <c r="F305" s="78" cm="1">
        <f t="array" ref="F305">INDEX($D$245:$T$280,MATCH(D305,$D$245:$D$280,0),E305+2)</f>
        <v>0</v>
      </c>
      <c r="G305" s="77">
        <f t="shared" si="11"/>
        <v>0</v>
      </c>
    </row>
    <row r="306" spans="4:7" hidden="1" outlineLevel="1" x14ac:dyDescent="0.3">
      <c r="D306" s="77">
        <f t="shared" si="12"/>
        <v>2</v>
      </c>
      <c r="E306" s="77">
        <v>7</v>
      </c>
      <c r="F306" s="78" cm="1">
        <f t="array" ref="F306">INDEX($D$245:$T$280,MATCH(D306,$D$245:$D$280,0),E306+2)</f>
        <v>0</v>
      </c>
      <c r="G306" s="77">
        <f t="shared" si="11"/>
        <v>0</v>
      </c>
    </row>
    <row r="307" spans="4:7" hidden="1" outlineLevel="1" x14ac:dyDescent="0.3">
      <c r="D307" s="77">
        <f t="shared" si="12"/>
        <v>2</v>
      </c>
      <c r="E307" s="77">
        <v>8</v>
      </c>
      <c r="F307" s="78" cm="1">
        <f t="array" ref="F307">INDEX($D$245:$T$280,MATCH(D307,$D$245:$D$280,0),E307+2)</f>
        <v>0</v>
      </c>
      <c r="G307" s="77">
        <f t="shared" si="11"/>
        <v>0</v>
      </c>
    </row>
    <row r="308" spans="4:7" hidden="1" outlineLevel="1" x14ac:dyDescent="0.3">
      <c r="D308" s="77">
        <f t="shared" si="12"/>
        <v>2</v>
      </c>
      <c r="E308" s="77">
        <v>9</v>
      </c>
      <c r="F308" s="78" cm="1">
        <f t="array" ref="F308">INDEX($D$245:$T$280,MATCH(D308,$D$245:$D$280,0),E308+2)</f>
        <v>0</v>
      </c>
      <c r="G308" s="77">
        <f t="shared" si="11"/>
        <v>0</v>
      </c>
    </row>
    <row r="309" spans="4:7" hidden="1" outlineLevel="1" x14ac:dyDescent="0.3">
      <c r="D309" s="77">
        <f t="shared" si="12"/>
        <v>2</v>
      </c>
      <c r="E309" s="77">
        <v>10</v>
      </c>
      <c r="F309" s="78" cm="1">
        <f t="array" ref="F309">INDEX($D$245:$T$280,MATCH(D309,$D$245:$D$280,0),E309+2)</f>
        <v>0</v>
      </c>
      <c r="G309" s="77">
        <f t="shared" si="11"/>
        <v>0</v>
      </c>
    </row>
    <row r="310" spans="4:7" hidden="1" outlineLevel="1" x14ac:dyDescent="0.3">
      <c r="D310" s="77">
        <f t="shared" si="12"/>
        <v>2</v>
      </c>
      <c r="E310" s="77">
        <v>11</v>
      </c>
      <c r="F310" s="78" cm="1">
        <f t="array" ref="F310">INDEX($D$245:$T$280,MATCH(D310,$D$245:$D$280,0),E310+2)</f>
        <v>0</v>
      </c>
      <c r="G310" s="77">
        <f t="shared" si="11"/>
        <v>0</v>
      </c>
    </row>
    <row r="311" spans="4:7" hidden="1" outlineLevel="1" x14ac:dyDescent="0.3">
      <c r="D311" s="77">
        <f t="shared" si="12"/>
        <v>2</v>
      </c>
      <c r="E311" s="77">
        <v>12</v>
      </c>
      <c r="F311" s="78" cm="1">
        <f t="array" ref="F311">INDEX($D$245:$T$280,MATCH(D311,$D$245:$D$280,0),E311+2)</f>
        <v>0</v>
      </c>
      <c r="G311" s="77">
        <f t="shared" si="11"/>
        <v>0</v>
      </c>
    </row>
    <row r="312" spans="4:7" hidden="1" outlineLevel="1" x14ac:dyDescent="0.3">
      <c r="D312" s="77">
        <f t="shared" si="12"/>
        <v>2</v>
      </c>
      <c r="E312" s="77">
        <v>13</v>
      </c>
      <c r="F312" s="78" cm="1">
        <f t="array" ref="F312">INDEX($D$245:$T$280,MATCH(D312,$D$245:$D$280,0),E312+2)</f>
        <v>0</v>
      </c>
      <c r="G312" s="77">
        <f t="shared" si="11"/>
        <v>0</v>
      </c>
    </row>
    <row r="313" spans="4:7" hidden="1" outlineLevel="1" x14ac:dyDescent="0.3">
      <c r="D313" s="77">
        <f t="shared" si="12"/>
        <v>2</v>
      </c>
      <c r="E313" s="77">
        <v>14</v>
      </c>
      <c r="F313" s="78" cm="1">
        <f t="array" ref="F313">INDEX($D$245:$T$280,MATCH(D313,$D$245:$D$280,0),E313+2)</f>
        <v>0</v>
      </c>
      <c r="G313" s="77">
        <f t="shared" si="11"/>
        <v>0</v>
      </c>
    </row>
    <row r="314" spans="4:7" hidden="1" outlineLevel="1" x14ac:dyDescent="0.3">
      <c r="D314" s="77">
        <f t="shared" si="12"/>
        <v>2</v>
      </c>
      <c r="E314" s="77">
        <v>15</v>
      </c>
      <c r="F314" s="78" cm="1">
        <f t="array" ref="F314">INDEX($D$245:$T$280,MATCH(D314,$D$245:$D$280,0),E314+2)</f>
        <v>0</v>
      </c>
      <c r="G314" s="77">
        <f t="shared" si="11"/>
        <v>0</v>
      </c>
    </row>
    <row r="315" spans="4:7" hidden="1" outlineLevel="1" x14ac:dyDescent="0.3">
      <c r="D315" s="77">
        <f t="shared" si="12"/>
        <v>3</v>
      </c>
      <c r="E315" s="77">
        <v>1</v>
      </c>
      <c r="F315" s="78" cm="1">
        <f t="array" ref="F315">INDEX($D$245:$T$280,MATCH(D315,$D$245:$D$280,0),E315+2)</f>
        <v>1</v>
      </c>
      <c r="G315" s="77">
        <f t="shared" si="11"/>
        <v>3</v>
      </c>
    </row>
    <row r="316" spans="4:7" hidden="1" outlineLevel="1" x14ac:dyDescent="0.3">
      <c r="D316" s="77">
        <f t="shared" si="12"/>
        <v>3</v>
      </c>
      <c r="E316" s="77">
        <v>2</v>
      </c>
      <c r="F316" s="78" cm="1">
        <f t="array" ref="F316">INDEX($D$245:$T$280,MATCH(D316,$D$245:$D$280,0),E316+2)</f>
        <v>1</v>
      </c>
      <c r="G316" s="77">
        <f t="shared" si="11"/>
        <v>3</v>
      </c>
    </row>
    <row r="317" spans="4:7" hidden="1" outlineLevel="1" x14ac:dyDescent="0.3">
      <c r="D317" s="77">
        <f t="shared" si="12"/>
        <v>3</v>
      </c>
      <c r="E317" s="77">
        <v>3</v>
      </c>
      <c r="F317" s="78" cm="1">
        <f t="array" ref="F317">INDEX($D$245:$T$280,MATCH(D317,$D$245:$D$280,0),E317+2)</f>
        <v>0</v>
      </c>
      <c r="G317" s="77">
        <f t="shared" si="11"/>
        <v>0</v>
      </c>
    </row>
    <row r="318" spans="4:7" hidden="1" outlineLevel="1" x14ac:dyDescent="0.3">
      <c r="D318" s="77">
        <f t="shared" si="12"/>
        <v>3</v>
      </c>
      <c r="E318" s="77">
        <v>4</v>
      </c>
      <c r="F318" s="78" cm="1">
        <f t="array" ref="F318">INDEX($D$245:$T$280,MATCH(D318,$D$245:$D$280,0),E318+2)</f>
        <v>0</v>
      </c>
      <c r="G318" s="77">
        <f t="shared" si="11"/>
        <v>0</v>
      </c>
    </row>
    <row r="319" spans="4:7" hidden="1" outlineLevel="1" x14ac:dyDescent="0.3">
      <c r="D319" s="77">
        <f t="shared" si="12"/>
        <v>3</v>
      </c>
      <c r="E319" s="77">
        <v>5</v>
      </c>
      <c r="F319" s="78" cm="1">
        <f t="array" ref="F319">INDEX($D$245:$T$280,MATCH(D319,$D$245:$D$280,0),E319+2)</f>
        <v>0</v>
      </c>
      <c r="G319" s="77">
        <f t="shared" si="11"/>
        <v>0</v>
      </c>
    </row>
    <row r="320" spans="4:7" hidden="1" outlineLevel="1" x14ac:dyDescent="0.3">
      <c r="D320" s="77">
        <f t="shared" si="12"/>
        <v>3</v>
      </c>
      <c r="E320" s="77">
        <v>6</v>
      </c>
      <c r="F320" s="78" cm="1">
        <f t="array" ref="F320">INDEX($D$245:$T$280,MATCH(D320,$D$245:$D$280,0),E320+2)</f>
        <v>0</v>
      </c>
      <c r="G320" s="77">
        <f t="shared" si="11"/>
        <v>0</v>
      </c>
    </row>
    <row r="321" spans="4:7" hidden="1" outlineLevel="1" x14ac:dyDescent="0.3">
      <c r="D321" s="77">
        <f t="shared" si="12"/>
        <v>3</v>
      </c>
      <c r="E321" s="77">
        <v>7</v>
      </c>
      <c r="F321" s="78" cm="1">
        <f t="array" ref="F321">INDEX($D$245:$T$280,MATCH(D321,$D$245:$D$280,0),E321+2)</f>
        <v>0</v>
      </c>
      <c r="G321" s="77">
        <f t="shared" si="11"/>
        <v>0</v>
      </c>
    </row>
    <row r="322" spans="4:7" hidden="1" outlineLevel="1" x14ac:dyDescent="0.3">
      <c r="D322" s="77">
        <f t="shared" si="12"/>
        <v>3</v>
      </c>
      <c r="E322" s="77">
        <v>8</v>
      </c>
      <c r="F322" s="78" cm="1">
        <f t="array" ref="F322">INDEX($D$245:$T$280,MATCH(D322,$D$245:$D$280,0),E322+2)</f>
        <v>0</v>
      </c>
      <c r="G322" s="77">
        <f t="shared" si="11"/>
        <v>0</v>
      </c>
    </row>
    <row r="323" spans="4:7" hidden="1" outlineLevel="1" x14ac:dyDescent="0.3">
      <c r="D323" s="77">
        <f t="shared" si="12"/>
        <v>3</v>
      </c>
      <c r="E323" s="77">
        <v>9</v>
      </c>
      <c r="F323" s="78" cm="1">
        <f t="array" ref="F323">INDEX($D$245:$T$280,MATCH(D323,$D$245:$D$280,0),E323+2)</f>
        <v>0</v>
      </c>
      <c r="G323" s="77">
        <f t="shared" si="11"/>
        <v>0</v>
      </c>
    </row>
    <row r="324" spans="4:7" hidden="1" outlineLevel="1" x14ac:dyDescent="0.3">
      <c r="D324" s="77">
        <f t="shared" si="12"/>
        <v>3</v>
      </c>
      <c r="E324" s="77">
        <v>10</v>
      </c>
      <c r="F324" s="78" cm="1">
        <f t="array" ref="F324">INDEX($D$245:$T$280,MATCH(D324,$D$245:$D$280,0),E324+2)</f>
        <v>0</v>
      </c>
      <c r="G324" s="77">
        <f t="shared" si="11"/>
        <v>0</v>
      </c>
    </row>
    <row r="325" spans="4:7" hidden="1" outlineLevel="1" x14ac:dyDescent="0.3">
      <c r="D325" s="77">
        <f t="shared" si="12"/>
        <v>3</v>
      </c>
      <c r="E325" s="77">
        <v>11</v>
      </c>
      <c r="F325" s="78" cm="1">
        <f t="array" ref="F325">INDEX($D$245:$T$280,MATCH(D325,$D$245:$D$280,0),E325+2)</f>
        <v>0</v>
      </c>
      <c r="G325" s="77">
        <f t="shared" si="11"/>
        <v>0</v>
      </c>
    </row>
    <row r="326" spans="4:7" hidden="1" outlineLevel="1" x14ac:dyDescent="0.3">
      <c r="D326" s="77">
        <f t="shared" si="12"/>
        <v>3</v>
      </c>
      <c r="E326" s="77">
        <v>12</v>
      </c>
      <c r="F326" s="78" cm="1">
        <f t="array" ref="F326">INDEX($D$245:$T$280,MATCH(D326,$D$245:$D$280,0),E326+2)</f>
        <v>0</v>
      </c>
      <c r="G326" s="77">
        <f t="shared" si="11"/>
        <v>0</v>
      </c>
    </row>
    <row r="327" spans="4:7" hidden="1" outlineLevel="1" x14ac:dyDescent="0.3">
      <c r="D327" s="77">
        <f t="shared" si="12"/>
        <v>3</v>
      </c>
      <c r="E327" s="77">
        <v>13</v>
      </c>
      <c r="F327" s="78" cm="1">
        <f t="array" ref="F327">INDEX($D$245:$T$280,MATCH(D327,$D$245:$D$280,0),E327+2)</f>
        <v>0</v>
      </c>
      <c r="G327" s="77">
        <f t="shared" si="11"/>
        <v>0</v>
      </c>
    </row>
    <row r="328" spans="4:7" hidden="1" outlineLevel="1" x14ac:dyDescent="0.3">
      <c r="D328" s="77">
        <f t="shared" si="12"/>
        <v>3</v>
      </c>
      <c r="E328" s="77">
        <v>14</v>
      </c>
      <c r="F328" s="78" cm="1">
        <f t="array" ref="F328">INDEX($D$245:$T$280,MATCH(D328,$D$245:$D$280,0),E328+2)</f>
        <v>0</v>
      </c>
      <c r="G328" s="77">
        <f t="shared" si="11"/>
        <v>0</v>
      </c>
    </row>
    <row r="329" spans="4:7" hidden="1" outlineLevel="1" x14ac:dyDescent="0.3">
      <c r="D329" s="77">
        <f t="shared" si="12"/>
        <v>3</v>
      </c>
      <c r="E329" s="77">
        <v>15</v>
      </c>
      <c r="F329" s="78" cm="1">
        <f t="array" ref="F329">INDEX($D$245:$T$280,MATCH(D329,$D$245:$D$280,0),E329+2)</f>
        <v>0</v>
      </c>
      <c r="G329" s="77">
        <f t="shared" si="11"/>
        <v>0</v>
      </c>
    </row>
    <row r="330" spans="4:7" hidden="1" outlineLevel="1" x14ac:dyDescent="0.3">
      <c r="D330" s="77">
        <f>D315+1</f>
        <v>4</v>
      </c>
      <c r="E330" s="77">
        <v>1</v>
      </c>
      <c r="F330" s="78" cm="1">
        <f t="array" ref="F330">INDEX($D$245:$T$280,MATCH(D330,$D$245:$D$280,0),E330+2)</f>
        <v>1</v>
      </c>
      <c r="G330" s="77">
        <f t="shared" si="11"/>
        <v>4</v>
      </c>
    </row>
    <row r="331" spans="4:7" hidden="1" outlineLevel="1" x14ac:dyDescent="0.3">
      <c r="D331" s="77">
        <f t="shared" si="12"/>
        <v>4</v>
      </c>
      <c r="E331" s="77">
        <v>2</v>
      </c>
      <c r="F331" s="78" cm="1">
        <f t="array" ref="F331">INDEX($D$245:$T$280,MATCH(D331,$D$245:$D$280,0),E331+2)</f>
        <v>1</v>
      </c>
      <c r="G331" s="77">
        <f t="shared" si="11"/>
        <v>4</v>
      </c>
    </row>
    <row r="332" spans="4:7" hidden="1" outlineLevel="1" x14ac:dyDescent="0.3">
      <c r="D332" s="77">
        <f t="shared" si="12"/>
        <v>4</v>
      </c>
      <c r="E332" s="77">
        <v>3</v>
      </c>
      <c r="F332" s="78" cm="1">
        <f t="array" ref="F332">INDEX($D$245:$T$280,MATCH(D332,$D$245:$D$280,0),E332+2)</f>
        <v>0</v>
      </c>
      <c r="G332" s="77">
        <f t="shared" si="11"/>
        <v>0</v>
      </c>
    </row>
    <row r="333" spans="4:7" hidden="1" outlineLevel="1" x14ac:dyDescent="0.3">
      <c r="D333" s="77">
        <f t="shared" si="12"/>
        <v>4</v>
      </c>
      <c r="E333" s="77">
        <v>4</v>
      </c>
      <c r="F333" s="78" cm="1">
        <f t="array" ref="F333">INDEX($D$245:$T$280,MATCH(D333,$D$245:$D$280,0),E333+2)</f>
        <v>0</v>
      </c>
      <c r="G333" s="77">
        <f t="shared" si="11"/>
        <v>0</v>
      </c>
    </row>
    <row r="334" spans="4:7" hidden="1" outlineLevel="1" x14ac:dyDescent="0.3">
      <c r="D334" s="77">
        <f t="shared" si="12"/>
        <v>4</v>
      </c>
      <c r="E334" s="77">
        <v>5</v>
      </c>
      <c r="F334" s="78" cm="1">
        <f t="array" ref="F334">INDEX($D$245:$T$280,MATCH(D334,$D$245:$D$280,0),E334+2)</f>
        <v>0</v>
      </c>
      <c r="G334" s="77">
        <f t="shared" si="11"/>
        <v>0</v>
      </c>
    </row>
    <row r="335" spans="4:7" hidden="1" outlineLevel="1" x14ac:dyDescent="0.3">
      <c r="D335" s="77">
        <f t="shared" si="12"/>
        <v>4</v>
      </c>
      <c r="E335" s="77">
        <v>6</v>
      </c>
      <c r="F335" s="78" cm="1">
        <f t="array" ref="F335">INDEX($D$245:$T$280,MATCH(D335,$D$245:$D$280,0),E335+2)</f>
        <v>0</v>
      </c>
      <c r="G335" s="77">
        <f t="shared" si="11"/>
        <v>0</v>
      </c>
    </row>
    <row r="336" spans="4:7" hidden="1" outlineLevel="1" x14ac:dyDescent="0.3">
      <c r="D336" s="77">
        <f t="shared" si="12"/>
        <v>4</v>
      </c>
      <c r="E336" s="77">
        <v>7</v>
      </c>
      <c r="F336" s="78" cm="1">
        <f t="array" ref="F336">INDEX($D$245:$T$280,MATCH(D336,$D$245:$D$280,0),E336+2)</f>
        <v>0</v>
      </c>
      <c r="G336" s="77">
        <f t="shared" si="11"/>
        <v>0</v>
      </c>
    </row>
    <row r="337" spans="4:7" hidden="1" outlineLevel="1" x14ac:dyDescent="0.3">
      <c r="D337" s="77">
        <f t="shared" si="12"/>
        <v>4</v>
      </c>
      <c r="E337" s="77">
        <v>8</v>
      </c>
      <c r="F337" s="78" cm="1">
        <f t="array" ref="F337">INDEX($D$245:$T$280,MATCH(D337,$D$245:$D$280,0),E337+2)</f>
        <v>0</v>
      </c>
      <c r="G337" s="77">
        <f t="shared" si="11"/>
        <v>0</v>
      </c>
    </row>
    <row r="338" spans="4:7" hidden="1" outlineLevel="1" x14ac:dyDescent="0.3">
      <c r="D338" s="77">
        <f t="shared" si="12"/>
        <v>4</v>
      </c>
      <c r="E338" s="77">
        <v>9</v>
      </c>
      <c r="F338" s="78" cm="1">
        <f t="array" ref="F338">INDEX($D$245:$T$280,MATCH(D338,$D$245:$D$280,0),E338+2)</f>
        <v>0</v>
      </c>
      <c r="G338" s="77">
        <f t="shared" si="11"/>
        <v>0</v>
      </c>
    </row>
    <row r="339" spans="4:7" hidden="1" outlineLevel="1" x14ac:dyDescent="0.3">
      <c r="D339" s="77">
        <f t="shared" si="12"/>
        <v>4</v>
      </c>
      <c r="E339" s="77">
        <v>10</v>
      </c>
      <c r="F339" s="78" cm="1">
        <f t="array" ref="F339">INDEX($D$245:$T$280,MATCH(D339,$D$245:$D$280,0),E339+2)</f>
        <v>0</v>
      </c>
      <c r="G339" s="77">
        <f t="shared" si="11"/>
        <v>0</v>
      </c>
    </row>
    <row r="340" spans="4:7" hidden="1" outlineLevel="1" x14ac:dyDescent="0.3">
      <c r="D340" s="77">
        <f t="shared" si="12"/>
        <v>4</v>
      </c>
      <c r="E340" s="77">
        <v>11</v>
      </c>
      <c r="F340" s="78" cm="1">
        <f t="array" ref="F340">INDEX($D$245:$T$280,MATCH(D340,$D$245:$D$280,0),E340+2)</f>
        <v>0</v>
      </c>
      <c r="G340" s="77">
        <f t="shared" si="11"/>
        <v>0</v>
      </c>
    </row>
    <row r="341" spans="4:7" hidden="1" outlineLevel="1" x14ac:dyDescent="0.3">
      <c r="D341" s="77">
        <f t="shared" si="12"/>
        <v>4</v>
      </c>
      <c r="E341" s="77">
        <v>12</v>
      </c>
      <c r="F341" s="78" cm="1">
        <f t="array" ref="F341">INDEX($D$245:$T$280,MATCH(D341,$D$245:$D$280,0),E341+2)</f>
        <v>0</v>
      </c>
      <c r="G341" s="77">
        <f t="shared" si="11"/>
        <v>0</v>
      </c>
    </row>
    <row r="342" spans="4:7" hidden="1" outlineLevel="1" x14ac:dyDescent="0.3">
      <c r="D342" s="77">
        <f t="shared" si="12"/>
        <v>4</v>
      </c>
      <c r="E342" s="77">
        <v>13</v>
      </c>
      <c r="F342" s="78" cm="1">
        <f t="array" ref="F342">INDEX($D$245:$T$280,MATCH(D342,$D$245:$D$280,0),E342+2)</f>
        <v>0</v>
      </c>
      <c r="G342" s="77">
        <f t="shared" si="11"/>
        <v>0</v>
      </c>
    </row>
    <row r="343" spans="4:7" hidden="1" outlineLevel="1" x14ac:dyDescent="0.3">
      <c r="D343" s="77">
        <f t="shared" si="12"/>
        <v>4</v>
      </c>
      <c r="E343" s="77">
        <v>14</v>
      </c>
      <c r="F343" s="78" cm="1">
        <f t="array" ref="F343">INDEX($D$245:$T$280,MATCH(D343,$D$245:$D$280,0),E343+2)</f>
        <v>0</v>
      </c>
      <c r="G343" s="77">
        <f t="shared" si="11"/>
        <v>0</v>
      </c>
    </row>
    <row r="344" spans="4:7" hidden="1" outlineLevel="1" x14ac:dyDescent="0.3">
      <c r="D344" s="77">
        <f t="shared" si="12"/>
        <v>4</v>
      </c>
      <c r="E344" s="77">
        <v>15</v>
      </c>
      <c r="F344" s="78" cm="1">
        <f t="array" ref="F344">INDEX($D$245:$T$280,MATCH(D344,$D$245:$D$280,0),E344+2)</f>
        <v>0</v>
      </c>
      <c r="G344" s="77">
        <f t="shared" si="11"/>
        <v>0</v>
      </c>
    </row>
    <row r="345" spans="4:7" hidden="1" outlineLevel="1" x14ac:dyDescent="0.3">
      <c r="D345" s="77">
        <f>D330+1</f>
        <v>5</v>
      </c>
      <c r="E345" s="77">
        <v>1</v>
      </c>
      <c r="F345" s="78" cm="1">
        <f t="array" ref="F345">INDEX($D$245:$T$280,MATCH(D345,$D$245:$D$280,0),E345+2)</f>
        <v>1</v>
      </c>
      <c r="G345" s="77">
        <f t="shared" si="11"/>
        <v>5</v>
      </c>
    </row>
    <row r="346" spans="4:7" hidden="1" outlineLevel="1" x14ac:dyDescent="0.3">
      <c r="D346" s="77">
        <f t="shared" ref="D346:D409" si="13">D331+1</f>
        <v>5</v>
      </c>
      <c r="E346" s="77">
        <v>2</v>
      </c>
      <c r="F346" s="78" cm="1">
        <f t="array" ref="F346">INDEX($D$245:$T$280,MATCH(D346,$D$245:$D$280,0),E346+2)</f>
        <v>1</v>
      </c>
      <c r="G346" s="77">
        <f t="shared" si="11"/>
        <v>5</v>
      </c>
    </row>
    <row r="347" spans="4:7" hidden="1" outlineLevel="1" x14ac:dyDescent="0.3">
      <c r="D347" s="77">
        <f t="shared" si="13"/>
        <v>5</v>
      </c>
      <c r="E347" s="77">
        <v>3</v>
      </c>
      <c r="F347" s="78" cm="1">
        <f t="array" ref="F347">INDEX($D$245:$T$280,MATCH(D347,$D$245:$D$280,0),E347+2)</f>
        <v>0</v>
      </c>
      <c r="G347" s="77">
        <f t="shared" si="11"/>
        <v>0</v>
      </c>
    </row>
    <row r="348" spans="4:7" hidden="1" outlineLevel="1" x14ac:dyDescent="0.3">
      <c r="D348" s="77">
        <f t="shared" si="13"/>
        <v>5</v>
      </c>
      <c r="E348" s="77">
        <v>4</v>
      </c>
      <c r="F348" s="78" cm="1">
        <f t="array" ref="F348">INDEX($D$245:$T$280,MATCH(D348,$D$245:$D$280,0),E348+2)</f>
        <v>0</v>
      </c>
      <c r="G348" s="77">
        <f t="shared" si="11"/>
        <v>0</v>
      </c>
    </row>
    <row r="349" spans="4:7" hidden="1" outlineLevel="1" x14ac:dyDescent="0.3">
      <c r="D349" s="77">
        <f t="shared" si="13"/>
        <v>5</v>
      </c>
      <c r="E349" s="77">
        <v>5</v>
      </c>
      <c r="F349" s="78" cm="1">
        <f t="array" ref="F349">INDEX($D$245:$T$280,MATCH(D349,$D$245:$D$280,0),E349+2)</f>
        <v>0</v>
      </c>
      <c r="G349" s="77">
        <f t="shared" ref="G349:G412" si="14">IF(F349&gt;0,D349,0)</f>
        <v>0</v>
      </c>
    </row>
    <row r="350" spans="4:7" hidden="1" outlineLevel="1" x14ac:dyDescent="0.3">
      <c r="D350" s="77">
        <f t="shared" si="13"/>
        <v>5</v>
      </c>
      <c r="E350" s="77">
        <v>6</v>
      </c>
      <c r="F350" s="78" cm="1">
        <f t="array" ref="F350">INDEX($D$245:$T$280,MATCH(D350,$D$245:$D$280,0),E350+2)</f>
        <v>0</v>
      </c>
      <c r="G350" s="77">
        <f t="shared" si="14"/>
        <v>0</v>
      </c>
    </row>
    <row r="351" spans="4:7" hidden="1" outlineLevel="1" x14ac:dyDescent="0.3">
      <c r="D351" s="77">
        <f t="shared" si="13"/>
        <v>5</v>
      </c>
      <c r="E351" s="77">
        <v>7</v>
      </c>
      <c r="F351" s="78" cm="1">
        <f t="array" ref="F351">INDEX($D$245:$T$280,MATCH(D351,$D$245:$D$280,0),E351+2)</f>
        <v>0</v>
      </c>
      <c r="G351" s="77">
        <f t="shared" si="14"/>
        <v>0</v>
      </c>
    </row>
    <row r="352" spans="4:7" hidden="1" outlineLevel="1" x14ac:dyDescent="0.3">
      <c r="D352" s="77">
        <f t="shared" si="13"/>
        <v>5</v>
      </c>
      <c r="E352" s="77">
        <v>8</v>
      </c>
      <c r="F352" s="78" cm="1">
        <f t="array" ref="F352">INDEX($D$245:$T$280,MATCH(D352,$D$245:$D$280,0),E352+2)</f>
        <v>0</v>
      </c>
      <c r="G352" s="77">
        <f t="shared" si="14"/>
        <v>0</v>
      </c>
    </row>
    <row r="353" spans="4:7" hidden="1" outlineLevel="1" x14ac:dyDescent="0.3">
      <c r="D353" s="77">
        <f t="shared" si="13"/>
        <v>5</v>
      </c>
      <c r="E353" s="77">
        <v>9</v>
      </c>
      <c r="F353" s="78" cm="1">
        <f t="array" ref="F353">INDEX($D$245:$T$280,MATCH(D353,$D$245:$D$280,0),E353+2)</f>
        <v>0</v>
      </c>
      <c r="G353" s="77">
        <f t="shared" si="14"/>
        <v>0</v>
      </c>
    </row>
    <row r="354" spans="4:7" hidden="1" outlineLevel="1" x14ac:dyDescent="0.3">
      <c r="D354" s="77">
        <f t="shared" si="13"/>
        <v>5</v>
      </c>
      <c r="E354" s="77">
        <v>10</v>
      </c>
      <c r="F354" s="78" cm="1">
        <f t="array" ref="F354">INDEX($D$245:$T$280,MATCH(D354,$D$245:$D$280,0),E354+2)</f>
        <v>0</v>
      </c>
      <c r="G354" s="77">
        <f t="shared" si="14"/>
        <v>0</v>
      </c>
    </row>
    <row r="355" spans="4:7" hidden="1" outlineLevel="1" x14ac:dyDescent="0.3">
      <c r="D355" s="77">
        <f t="shared" si="13"/>
        <v>5</v>
      </c>
      <c r="E355" s="77">
        <v>11</v>
      </c>
      <c r="F355" s="78" cm="1">
        <f t="array" ref="F355">INDEX($D$245:$T$280,MATCH(D355,$D$245:$D$280,0),E355+2)</f>
        <v>0</v>
      </c>
      <c r="G355" s="77">
        <f t="shared" si="14"/>
        <v>0</v>
      </c>
    </row>
    <row r="356" spans="4:7" hidden="1" outlineLevel="1" x14ac:dyDescent="0.3">
      <c r="D356" s="77">
        <f t="shared" si="13"/>
        <v>5</v>
      </c>
      <c r="E356" s="77">
        <v>12</v>
      </c>
      <c r="F356" s="78" cm="1">
        <f t="array" ref="F356">INDEX($D$245:$T$280,MATCH(D356,$D$245:$D$280,0),E356+2)</f>
        <v>0</v>
      </c>
      <c r="G356" s="77">
        <f t="shared" si="14"/>
        <v>0</v>
      </c>
    </row>
    <row r="357" spans="4:7" hidden="1" outlineLevel="1" x14ac:dyDescent="0.3">
      <c r="D357" s="77">
        <f t="shared" si="13"/>
        <v>5</v>
      </c>
      <c r="E357" s="77">
        <v>13</v>
      </c>
      <c r="F357" s="78" cm="1">
        <f t="array" ref="F357">INDEX($D$245:$T$280,MATCH(D357,$D$245:$D$280,0),E357+2)</f>
        <v>0</v>
      </c>
      <c r="G357" s="77">
        <f t="shared" si="14"/>
        <v>0</v>
      </c>
    </row>
    <row r="358" spans="4:7" hidden="1" outlineLevel="1" x14ac:dyDescent="0.3">
      <c r="D358" s="77">
        <f t="shared" si="13"/>
        <v>5</v>
      </c>
      <c r="E358" s="77">
        <v>14</v>
      </c>
      <c r="F358" s="78" cm="1">
        <f t="array" ref="F358">INDEX($D$245:$T$280,MATCH(D358,$D$245:$D$280,0),E358+2)</f>
        <v>0</v>
      </c>
      <c r="G358" s="77">
        <f t="shared" si="14"/>
        <v>0</v>
      </c>
    </row>
    <row r="359" spans="4:7" hidden="1" outlineLevel="1" x14ac:dyDescent="0.3">
      <c r="D359" s="77">
        <f t="shared" si="13"/>
        <v>5</v>
      </c>
      <c r="E359" s="77">
        <v>15</v>
      </c>
      <c r="F359" s="78" cm="1">
        <f t="array" ref="F359">INDEX($D$245:$T$280,MATCH(D359,$D$245:$D$280,0),E359+2)</f>
        <v>0</v>
      </c>
      <c r="G359" s="77">
        <f t="shared" si="14"/>
        <v>0</v>
      </c>
    </row>
    <row r="360" spans="4:7" hidden="1" outlineLevel="1" x14ac:dyDescent="0.3">
      <c r="D360" s="77">
        <f t="shared" si="13"/>
        <v>6</v>
      </c>
      <c r="E360" s="77">
        <v>1</v>
      </c>
      <c r="F360" s="78" cm="1">
        <f t="array" ref="F360">INDEX($D$245:$T$280,MATCH(D360,$D$245:$D$280,0),E360+2)</f>
        <v>1</v>
      </c>
      <c r="G360" s="77">
        <f t="shared" si="14"/>
        <v>6</v>
      </c>
    </row>
    <row r="361" spans="4:7" hidden="1" outlineLevel="1" x14ac:dyDescent="0.3">
      <c r="D361" s="77">
        <f t="shared" si="13"/>
        <v>6</v>
      </c>
      <c r="E361" s="77">
        <v>2</v>
      </c>
      <c r="F361" s="78" cm="1">
        <f t="array" ref="F361">INDEX($D$245:$T$280,MATCH(D361,$D$245:$D$280,0),E361+2)</f>
        <v>1</v>
      </c>
      <c r="G361" s="77">
        <f t="shared" si="14"/>
        <v>6</v>
      </c>
    </row>
    <row r="362" spans="4:7" hidden="1" outlineLevel="1" x14ac:dyDescent="0.3">
      <c r="D362" s="77">
        <f t="shared" si="13"/>
        <v>6</v>
      </c>
      <c r="E362" s="77">
        <v>3</v>
      </c>
      <c r="F362" s="78" cm="1">
        <f t="array" ref="F362">INDEX($D$245:$T$280,MATCH(D362,$D$245:$D$280,0),E362+2)</f>
        <v>0</v>
      </c>
      <c r="G362" s="77">
        <f t="shared" si="14"/>
        <v>0</v>
      </c>
    </row>
    <row r="363" spans="4:7" hidden="1" outlineLevel="1" x14ac:dyDescent="0.3">
      <c r="D363" s="77">
        <f t="shared" si="13"/>
        <v>6</v>
      </c>
      <c r="E363" s="77">
        <v>4</v>
      </c>
      <c r="F363" s="78" cm="1">
        <f t="array" ref="F363">INDEX($D$245:$T$280,MATCH(D363,$D$245:$D$280,0),E363+2)</f>
        <v>0</v>
      </c>
      <c r="G363" s="77">
        <f t="shared" si="14"/>
        <v>0</v>
      </c>
    </row>
    <row r="364" spans="4:7" hidden="1" outlineLevel="1" x14ac:dyDescent="0.3">
      <c r="D364" s="77">
        <f t="shared" si="13"/>
        <v>6</v>
      </c>
      <c r="E364" s="77">
        <v>5</v>
      </c>
      <c r="F364" s="78" cm="1">
        <f t="array" ref="F364">INDEX($D$245:$T$280,MATCH(D364,$D$245:$D$280,0),E364+2)</f>
        <v>0</v>
      </c>
      <c r="G364" s="77">
        <f t="shared" si="14"/>
        <v>0</v>
      </c>
    </row>
    <row r="365" spans="4:7" hidden="1" outlineLevel="1" x14ac:dyDescent="0.3">
      <c r="D365" s="77">
        <f t="shared" si="13"/>
        <v>6</v>
      </c>
      <c r="E365" s="77">
        <v>6</v>
      </c>
      <c r="F365" s="78" cm="1">
        <f t="array" ref="F365">INDEX($D$245:$T$280,MATCH(D365,$D$245:$D$280,0),E365+2)</f>
        <v>0</v>
      </c>
      <c r="G365" s="77">
        <f t="shared" si="14"/>
        <v>0</v>
      </c>
    </row>
    <row r="366" spans="4:7" hidden="1" outlineLevel="1" x14ac:dyDescent="0.3">
      <c r="D366" s="77">
        <f t="shared" si="13"/>
        <v>6</v>
      </c>
      <c r="E366" s="77">
        <v>7</v>
      </c>
      <c r="F366" s="78" cm="1">
        <f t="array" ref="F366">INDEX($D$245:$T$280,MATCH(D366,$D$245:$D$280,0),E366+2)</f>
        <v>0</v>
      </c>
      <c r="G366" s="77">
        <f t="shared" si="14"/>
        <v>0</v>
      </c>
    </row>
    <row r="367" spans="4:7" hidden="1" outlineLevel="1" x14ac:dyDescent="0.3">
      <c r="D367" s="77">
        <f t="shared" si="13"/>
        <v>6</v>
      </c>
      <c r="E367" s="77">
        <v>8</v>
      </c>
      <c r="F367" s="78" cm="1">
        <f t="array" ref="F367">INDEX($D$245:$T$280,MATCH(D367,$D$245:$D$280,0),E367+2)</f>
        <v>0</v>
      </c>
      <c r="G367" s="77">
        <f t="shared" si="14"/>
        <v>0</v>
      </c>
    </row>
    <row r="368" spans="4:7" hidden="1" outlineLevel="1" x14ac:dyDescent="0.3">
      <c r="D368" s="77">
        <f t="shared" si="13"/>
        <v>6</v>
      </c>
      <c r="E368" s="77">
        <v>9</v>
      </c>
      <c r="F368" s="78" cm="1">
        <f t="array" ref="F368">INDEX($D$245:$T$280,MATCH(D368,$D$245:$D$280,0),E368+2)</f>
        <v>0</v>
      </c>
      <c r="G368" s="77">
        <f t="shared" si="14"/>
        <v>0</v>
      </c>
    </row>
    <row r="369" spans="4:7" hidden="1" outlineLevel="1" x14ac:dyDescent="0.3">
      <c r="D369" s="77">
        <f t="shared" si="13"/>
        <v>6</v>
      </c>
      <c r="E369" s="77">
        <v>10</v>
      </c>
      <c r="F369" s="78" cm="1">
        <f t="array" ref="F369">INDEX($D$245:$T$280,MATCH(D369,$D$245:$D$280,0),E369+2)</f>
        <v>0</v>
      </c>
      <c r="G369" s="77">
        <f t="shared" si="14"/>
        <v>0</v>
      </c>
    </row>
    <row r="370" spans="4:7" hidden="1" outlineLevel="1" x14ac:dyDescent="0.3">
      <c r="D370" s="77">
        <f t="shared" si="13"/>
        <v>6</v>
      </c>
      <c r="E370" s="77">
        <v>11</v>
      </c>
      <c r="F370" s="78" cm="1">
        <f t="array" ref="F370">INDEX($D$245:$T$280,MATCH(D370,$D$245:$D$280,0),E370+2)</f>
        <v>0</v>
      </c>
      <c r="G370" s="77">
        <f t="shared" si="14"/>
        <v>0</v>
      </c>
    </row>
    <row r="371" spans="4:7" hidden="1" outlineLevel="1" x14ac:dyDescent="0.3">
      <c r="D371" s="77">
        <f t="shared" si="13"/>
        <v>6</v>
      </c>
      <c r="E371" s="77">
        <v>12</v>
      </c>
      <c r="F371" s="78" cm="1">
        <f t="array" ref="F371">INDEX($D$245:$T$280,MATCH(D371,$D$245:$D$280,0),E371+2)</f>
        <v>0</v>
      </c>
      <c r="G371" s="77">
        <f t="shared" si="14"/>
        <v>0</v>
      </c>
    </row>
    <row r="372" spans="4:7" hidden="1" outlineLevel="1" x14ac:dyDescent="0.3">
      <c r="D372" s="77">
        <f t="shared" si="13"/>
        <v>6</v>
      </c>
      <c r="E372" s="77">
        <v>13</v>
      </c>
      <c r="F372" s="78" cm="1">
        <f t="array" ref="F372">INDEX($D$245:$T$280,MATCH(D372,$D$245:$D$280,0),E372+2)</f>
        <v>0</v>
      </c>
      <c r="G372" s="77">
        <f t="shared" si="14"/>
        <v>0</v>
      </c>
    </row>
    <row r="373" spans="4:7" hidden="1" outlineLevel="1" x14ac:dyDescent="0.3">
      <c r="D373" s="77">
        <f t="shared" si="13"/>
        <v>6</v>
      </c>
      <c r="E373" s="77">
        <v>14</v>
      </c>
      <c r="F373" s="78" cm="1">
        <f t="array" ref="F373">INDEX($D$245:$T$280,MATCH(D373,$D$245:$D$280,0),E373+2)</f>
        <v>0</v>
      </c>
      <c r="G373" s="77">
        <f t="shared" si="14"/>
        <v>0</v>
      </c>
    </row>
    <row r="374" spans="4:7" hidden="1" outlineLevel="1" x14ac:dyDescent="0.3">
      <c r="D374" s="77">
        <f t="shared" si="13"/>
        <v>6</v>
      </c>
      <c r="E374" s="77">
        <v>15</v>
      </c>
      <c r="F374" s="78" cm="1">
        <f t="array" ref="F374">INDEX($D$245:$T$280,MATCH(D374,$D$245:$D$280,0),E374+2)</f>
        <v>0</v>
      </c>
      <c r="G374" s="77">
        <f t="shared" si="14"/>
        <v>0</v>
      </c>
    </row>
    <row r="375" spans="4:7" hidden="1" outlineLevel="1" x14ac:dyDescent="0.3">
      <c r="D375" s="77">
        <f t="shared" si="13"/>
        <v>7</v>
      </c>
      <c r="E375" s="77">
        <v>1</v>
      </c>
      <c r="F375" s="78" cm="1">
        <f t="array" ref="F375">INDEX($D$245:$T$280,MATCH(D375,$D$245:$D$280,0),E375+2)</f>
        <v>1</v>
      </c>
      <c r="G375" s="77">
        <f t="shared" si="14"/>
        <v>7</v>
      </c>
    </row>
    <row r="376" spans="4:7" hidden="1" outlineLevel="1" x14ac:dyDescent="0.3">
      <c r="D376" s="77">
        <f t="shared" si="13"/>
        <v>7</v>
      </c>
      <c r="E376" s="77">
        <v>2</v>
      </c>
      <c r="F376" s="78" cm="1">
        <f t="array" ref="F376">INDEX($D$245:$T$280,MATCH(D376,$D$245:$D$280,0),E376+2)</f>
        <v>1</v>
      </c>
      <c r="G376" s="77">
        <f t="shared" si="14"/>
        <v>7</v>
      </c>
    </row>
    <row r="377" spans="4:7" hidden="1" outlineLevel="1" x14ac:dyDescent="0.3">
      <c r="D377" s="77">
        <f t="shared" si="13"/>
        <v>7</v>
      </c>
      <c r="E377" s="77">
        <v>3</v>
      </c>
      <c r="F377" s="78" cm="1">
        <f t="array" ref="F377">INDEX($D$245:$T$280,MATCH(D377,$D$245:$D$280,0),E377+2)</f>
        <v>0</v>
      </c>
      <c r="G377" s="77">
        <f t="shared" si="14"/>
        <v>0</v>
      </c>
    </row>
    <row r="378" spans="4:7" hidden="1" outlineLevel="1" x14ac:dyDescent="0.3">
      <c r="D378" s="77">
        <f t="shared" si="13"/>
        <v>7</v>
      </c>
      <c r="E378" s="77">
        <v>4</v>
      </c>
      <c r="F378" s="78" cm="1">
        <f t="array" ref="F378">INDEX($D$245:$T$280,MATCH(D378,$D$245:$D$280,0),E378+2)</f>
        <v>0</v>
      </c>
      <c r="G378" s="77">
        <f t="shared" si="14"/>
        <v>0</v>
      </c>
    </row>
    <row r="379" spans="4:7" hidden="1" outlineLevel="1" x14ac:dyDescent="0.3">
      <c r="D379" s="77">
        <f t="shared" si="13"/>
        <v>7</v>
      </c>
      <c r="E379" s="77">
        <v>5</v>
      </c>
      <c r="F379" s="78" cm="1">
        <f t="array" ref="F379">INDEX($D$245:$T$280,MATCH(D379,$D$245:$D$280,0),E379+2)</f>
        <v>0</v>
      </c>
      <c r="G379" s="77">
        <f t="shared" si="14"/>
        <v>0</v>
      </c>
    </row>
    <row r="380" spans="4:7" hidden="1" outlineLevel="1" x14ac:dyDescent="0.3">
      <c r="D380" s="77">
        <f t="shared" si="13"/>
        <v>7</v>
      </c>
      <c r="E380" s="77">
        <v>6</v>
      </c>
      <c r="F380" s="78" cm="1">
        <f t="array" ref="F380">INDEX($D$245:$T$280,MATCH(D380,$D$245:$D$280,0),E380+2)</f>
        <v>0</v>
      </c>
      <c r="G380" s="77">
        <f t="shared" si="14"/>
        <v>0</v>
      </c>
    </row>
    <row r="381" spans="4:7" hidden="1" outlineLevel="1" x14ac:dyDescent="0.3">
      <c r="D381" s="77">
        <f t="shared" si="13"/>
        <v>7</v>
      </c>
      <c r="E381" s="77">
        <v>7</v>
      </c>
      <c r="F381" s="78" cm="1">
        <f t="array" ref="F381">INDEX($D$245:$T$280,MATCH(D381,$D$245:$D$280,0),E381+2)</f>
        <v>0</v>
      </c>
      <c r="G381" s="77">
        <f t="shared" si="14"/>
        <v>0</v>
      </c>
    </row>
    <row r="382" spans="4:7" hidden="1" outlineLevel="1" x14ac:dyDescent="0.3">
      <c r="D382" s="77">
        <f t="shared" si="13"/>
        <v>7</v>
      </c>
      <c r="E382" s="77">
        <v>8</v>
      </c>
      <c r="F382" s="78" cm="1">
        <f t="array" ref="F382">INDEX($D$245:$T$280,MATCH(D382,$D$245:$D$280,0),E382+2)</f>
        <v>0</v>
      </c>
      <c r="G382" s="77">
        <f t="shared" si="14"/>
        <v>0</v>
      </c>
    </row>
    <row r="383" spans="4:7" hidden="1" outlineLevel="1" x14ac:dyDescent="0.3">
      <c r="D383" s="77">
        <f t="shared" si="13"/>
        <v>7</v>
      </c>
      <c r="E383" s="77">
        <v>9</v>
      </c>
      <c r="F383" s="78" cm="1">
        <f t="array" ref="F383">INDEX($D$245:$T$280,MATCH(D383,$D$245:$D$280,0),E383+2)</f>
        <v>0</v>
      </c>
      <c r="G383" s="77">
        <f t="shared" si="14"/>
        <v>0</v>
      </c>
    </row>
    <row r="384" spans="4:7" hidden="1" outlineLevel="1" x14ac:dyDescent="0.3">
      <c r="D384" s="77">
        <f t="shared" si="13"/>
        <v>7</v>
      </c>
      <c r="E384" s="77">
        <v>10</v>
      </c>
      <c r="F384" s="78" cm="1">
        <f t="array" ref="F384">INDEX($D$245:$T$280,MATCH(D384,$D$245:$D$280,0),E384+2)</f>
        <v>0</v>
      </c>
      <c r="G384" s="77">
        <f t="shared" si="14"/>
        <v>0</v>
      </c>
    </row>
    <row r="385" spans="4:7" hidden="1" outlineLevel="1" x14ac:dyDescent="0.3">
      <c r="D385" s="77">
        <f t="shared" si="13"/>
        <v>7</v>
      </c>
      <c r="E385" s="77">
        <v>11</v>
      </c>
      <c r="F385" s="78" cm="1">
        <f t="array" ref="F385">INDEX($D$245:$T$280,MATCH(D385,$D$245:$D$280,0),E385+2)</f>
        <v>0</v>
      </c>
      <c r="G385" s="77">
        <f t="shared" si="14"/>
        <v>0</v>
      </c>
    </row>
    <row r="386" spans="4:7" hidden="1" outlineLevel="1" x14ac:dyDescent="0.3">
      <c r="D386" s="77">
        <f t="shared" si="13"/>
        <v>7</v>
      </c>
      <c r="E386" s="77">
        <v>12</v>
      </c>
      <c r="F386" s="78" cm="1">
        <f t="array" ref="F386">INDEX($D$245:$T$280,MATCH(D386,$D$245:$D$280,0),E386+2)</f>
        <v>0</v>
      </c>
      <c r="G386" s="77">
        <f t="shared" si="14"/>
        <v>0</v>
      </c>
    </row>
    <row r="387" spans="4:7" hidden="1" outlineLevel="1" x14ac:dyDescent="0.3">
      <c r="D387" s="77">
        <f t="shared" si="13"/>
        <v>7</v>
      </c>
      <c r="E387" s="77">
        <v>13</v>
      </c>
      <c r="F387" s="78" cm="1">
        <f t="array" ref="F387">INDEX($D$245:$T$280,MATCH(D387,$D$245:$D$280,0),E387+2)</f>
        <v>0</v>
      </c>
      <c r="G387" s="77">
        <f t="shared" si="14"/>
        <v>0</v>
      </c>
    </row>
    <row r="388" spans="4:7" hidden="1" outlineLevel="1" x14ac:dyDescent="0.3">
      <c r="D388" s="77">
        <f t="shared" si="13"/>
        <v>7</v>
      </c>
      <c r="E388" s="77">
        <v>14</v>
      </c>
      <c r="F388" s="78" cm="1">
        <f t="array" ref="F388">INDEX($D$245:$T$280,MATCH(D388,$D$245:$D$280,0),E388+2)</f>
        <v>0</v>
      </c>
      <c r="G388" s="77">
        <f t="shared" si="14"/>
        <v>0</v>
      </c>
    </row>
    <row r="389" spans="4:7" hidden="1" outlineLevel="1" x14ac:dyDescent="0.3">
      <c r="D389" s="77">
        <f t="shared" si="13"/>
        <v>7</v>
      </c>
      <c r="E389" s="77">
        <v>15</v>
      </c>
      <c r="F389" s="78" cm="1">
        <f t="array" ref="F389">INDEX($D$245:$T$280,MATCH(D389,$D$245:$D$280,0),E389+2)</f>
        <v>0</v>
      </c>
      <c r="G389" s="77">
        <f t="shared" si="14"/>
        <v>0</v>
      </c>
    </row>
    <row r="390" spans="4:7" hidden="1" outlineLevel="1" x14ac:dyDescent="0.3">
      <c r="D390" s="77">
        <f t="shared" si="13"/>
        <v>8</v>
      </c>
      <c r="E390" s="77">
        <v>1</v>
      </c>
      <c r="F390" s="78" cm="1">
        <f t="array" ref="F390">INDEX($D$245:$T$280,MATCH(D390,$D$245:$D$280,0),E390+2)</f>
        <v>1</v>
      </c>
      <c r="G390" s="77">
        <f t="shared" si="14"/>
        <v>8</v>
      </c>
    </row>
    <row r="391" spans="4:7" hidden="1" outlineLevel="1" x14ac:dyDescent="0.3">
      <c r="D391" s="77">
        <f t="shared" si="13"/>
        <v>8</v>
      </c>
      <c r="E391" s="77">
        <v>2</v>
      </c>
      <c r="F391" s="78" cm="1">
        <f t="array" ref="F391">INDEX($D$245:$T$280,MATCH(D391,$D$245:$D$280,0),E391+2)</f>
        <v>1</v>
      </c>
      <c r="G391" s="77">
        <f t="shared" si="14"/>
        <v>8</v>
      </c>
    </row>
    <row r="392" spans="4:7" hidden="1" outlineLevel="1" x14ac:dyDescent="0.3">
      <c r="D392" s="77">
        <f t="shared" si="13"/>
        <v>8</v>
      </c>
      <c r="E392" s="77">
        <v>3</v>
      </c>
      <c r="F392" s="78" cm="1">
        <f t="array" ref="F392">INDEX($D$245:$T$280,MATCH(D392,$D$245:$D$280,0),E392+2)</f>
        <v>0</v>
      </c>
      <c r="G392" s="77">
        <f t="shared" si="14"/>
        <v>0</v>
      </c>
    </row>
    <row r="393" spans="4:7" hidden="1" outlineLevel="1" x14ac:dyDescent="0.3">
      <c r="D393" s="77">
        <f t="shared" si="13"/>
        <v>8</v>
      </c>
      <c r="E393" s="77">
        <v>4</v>
      </c>
      <c r="F393" s="78" cm="1">
        <f t="array" ref="F393">INDEX($D$245:$T$280,MATCH(D393,$D$245:$D$280,0),E393+2)</f>
        <v>0</v>
      </c>
      <c r="G393" s="77">
        <f t="shared" si="14"/>
        <v>0</v>
      </c>
    </row>
    <row r="394" spans="4:7" hidden="1" outlineLevel="1" x14ac:dyDescent="0.3">
      <c r="D394" s="77">
        <f t="shared" si="13"/>
        <v>8</v>
      </c>
      <c r="E394" s="77">
        <v>5</v>
      </c>
      <c r="F394" s="78" cm="1">
        <f t="array" ref="F394">INDEX($D$245:$T$280,MATCH(D394,$D$245:$D$280,0),E394+2)</f>
        <v>0</v>
      </c>
      <c r="G394" s="77">
        <f t="shared" si="14"/>
        <v>0</v>
      </c>
    </row>
    <row r="395" spans="4:7" hidden="1" outlineLevel="1" x14ac:dyDescent="0.3">
      <c r="D395" s="77">
        <f t="shared" si="13"/>
        <v>8</v>
      </c>
      <c r="E395" s="77">
        <v>6</v>
      </c>
      <c r="F395" s="78" cm="1">
        <f t="array" ref="F395">INDEX($D$245:$T$280,MATCH(D395,$D$245:$D$280,0),E395+2)</f>
        <v>0</v>
      </c>
      <c r="G395" s="77">
        <f t="shared" si="14"/>
        <v>0</v>
      </c>
    </row>
    <row r="396" spans="4:7" hidden="1" outlineLevel="1" x14ac:dyDescent="0.3">
      <c r="D396" s="77">
        <f t="shared" si="13"/>
        <v>8</v>
      </c>
      <c r="E396" s="77">
        <v>7</v>
      </c>
      <c r="F396" s="78" cm="1">
        <f t="array" ref="F396">INDEX($D$245:$T$280,MATCH(D396,$D$245:$D$280,0),E396+2)</f>
        <v>0</v>
      </c>
      <c r="G396" s="77">
        <f t="shared" si="14"/>
        <v>0</v>
      </c>
    </row>
    <row r="397" spans="4:7" hidden="1" outlineLevel="1" x14ac:dyDescent="0.3">
      <c r="D397" s="77">
        <f t="shared" si="13"/>
        <v>8</v>
      </c>
      <c r="E397" s="77">
        <v>8</v>
      </c>
      <c r="F397" s="78" cm="1">
        <f t="array" ref="F397">INDEX($D$245:$T$280,MATCH(D397,$D$245:$D$280,0),E397+2)</f>
        <v>0</v>
      </c>
      <c r="G397" s="77">
        <f t="shared" si="14"/>
        <v>0</v>
      </c>
    </row>
    <row r="398" spans="4:7" hidden="1" outlineLevel="1" x14ac:dyDescent="0.3">
      <c r="D398" s="77">
        <f t="shared" si="13"/>
        <v>8</v>
      </c>
      <c r="E398" s="77">
        <v>9</v>
      </c>
      <c r="F398" s="78" cm="1">
        <f t="array" ref="F398">INDEX($D$245:$T$280,MATCH(D398,$D$245:$D$280,0),E398+2)</f>
        <v>0</v>
      </c>
      <c r="G398" s="77">
        <f t="shared" si="14"/>
        <v>0</v>
      </c>
    </row>
    <row r="399" spans="4:7" hidden="1" outlineLevel="1" x14ac:dyDescent="0.3">
      <c r="D399" s="77">
        <f t="shared" si="13"/>
        <v>8</v>
      </c>
      <c r="E399" s="77">
        <v>10</v>
      </c>
      <c r="F399" s="78" cm="1">
        <f t="array" ref="F399">INDEX($D$245:$T$280,MATCH(D399,$D$245:$D$280,0),E399+2)</f>
        <v>0</v>
      </c>
      <c r="G399" s="77">
        <f t="shared" si="14"/>
        <v>0</v>
      </c>
    </row>
    <row r="400" spans="4:7" hidden="1" outlineLevel="1" x14ac:dyDescent="0.3">
      <c r="D400" s="77">
        <f t="shared" si="13"/>
        <v>8</v>
      </c>
      <c r="E400" s="77">
        <v>11</v>
      </c>
      <c r="F400" s="78" cm="1">
        <f t="array" ref="F400">INDEX($D$245:$T$280,MATCH(D400,$D$245:$D$280,0),E400+2)</f>
        <v>0</v>
      </c>
      <c r="G400" s="77">
        <f t="shared" si="14"/>
        <v>0</v>
      </c>
    </row>
    <row r="401" spans="4:7" hidden="1" outlineLevel="1" x14ac:dyDescent="0.3">
      <c r="D401" s="77">
        <f t="shared" si="13"/>
        <v>8</v>
      </c>
      <c r="E401" s="77">
        <v>12</v>
      </c>
      <c r="F401" s="78" cm="1">
        <f t="array" ref="F401">INDEX($D$245:$T$280,MATCH(D401,$D$245:$D$280,0),E401+2)</f>
        <v>0</v>
      </c>
      <c r="G401" s="77">
        <f t="shared" si="14"/>
        <v>0</v>
      </c>
    </row>
    <row r="402" spans="4:7" hidden="1" outlineLevel="1" x14ac:dyDescent="0.3">
      <c r="D402" s="77">
        <f t="shared" si="13"/>
        <v>8</v>
      </c>
      <c r="E402" s="77">
        <v>13</v>
      </c>
      <c r="F402" s="78" cm="1">
        <f t="array" ref="F402">INDEX($D$245:$T$280,MATCH(D402,$D$245:$D$280,0),E402+2)</f>
        <v>0</v>
      </c>
      <c r="G402" s="77">
        <f t="shared" si="14"/>
        <v>0</v>
      </c>
    </row>
    <row r="403" spans="4:7" hidden="1" outlineLevel="1" x14ac:dyDescent="0.3">
      <c r="D403" s="77">
        <f t="shared" si="13"/>
        <v>8</v>
      </c>
      <c r="E403" s="77">
        <v>14</v>
      </c>
      <c r="F403" s="78" cm="1">
        <f t="array" ref="F403">INDEX($D$245:$T$280,MATCH(D403,$D$245:$D$280,0),E403+2)</f>
        <v>0</v>
      </c>
      <c r="G403" s="77">
        <f t="shared" si="14"/>
        <v>0</v>
      </c>
    </row>
    <row r="404" spans="4:7" hidden="1" outlineLevel="1" x14ac:dyDescent="0.3">
      <c r="D404" s="77">
        <f t="shared" si="13"/>
        <v>8</v>
      </c>
      <c r="E404" s="77">
        <v>15</v>
      </c>
      <c r="F404" s="78" cm="1">
        <f t="array" ref="F404">INDEX($D$245:$T$280,MATCH(D404,$D$245:$D$280,0),E404+2)</f>
        <v>0</v>
      </c>
      <c r="G404" s="77">
        <f t="shared" si="14"/>
        <v>0</v>
      </c>
    </row>
    <row r="405" spans="4:7" hidden="1" outlineLevel="1" x14ac:dyDescent="0.3">
      <c r="D405" s="77">
        <f t="shared" si="13"/>
        <v>9</v>
      </c>
      <c r="E405" s="77">
        <v>1</v>
      </c>
      <c r="F405" s="78" cm="1">
        <f t="array" ref="F405">INDEX($D$245:$T$280,MATCH(D405,$D$245:$D$280,0),E405+2)</f>
        <v>1</v>
      </c>
      <c r="G405" s="77">
        <f t="shared" si="14"/>
        <v>9</v>
      </c>
    </row>
    <row r="406" spans="4:7" hidden="1" outlineLevel="1" x14ac:dyDescent="0.3">
      <c r="D406" s="77">
        <f t="shared" si="13"/>
        <v>9</v>
      </c>
      <c r="E406" s="77">
        <v>2</v>
      </c>
      <c r="F406" s="78" cm="1">
        <f t="array" ref="F406">INDEX($D$245:$T$280,MATCH(D406,$D$245:$D$280,0),E406+2)</f>
        <v>1</v>
      </c>
      <c r="G406" s="77">
        <f t="shared" si="14"/>
        <v>9</v>
      </c>
    </row>
    <row r="407" spans="4:7" hidden="1" outlineLevel="1" x14ac:dyDescent="0.3">
      <c r="D407" s="77">
        <f t="shared" si="13"/>
        <v>9</v>
      </c>
      <c r="E407" s="77">
        <v>3</v>
      </c>
      <c r="F407" s="78" cm="1">
        <f t="array" ref="F407">INDEX($D$245:$T$280,MATCH(D407,$D$245:$D$280,0),E407+2)</f>
        <v>0</v>
      </c>
      <c r="G407" s="77">
        <f t="shared" si="14"/>
        <v>0</v>
      </c>
    </row>
    <row r="408" spans="4:7" hidden="1" outlineLevel="1" x14ac:dyDescent="0.3">
      <c r="D408" s="77">
        <f t="shared" si="13"/>
        <v>9</v>
      </c>
      <c r="E408" s="77">
        <v>4</v>
      </c>
      <c r="F408" s="78" cm="1">
        <f t="array" ref="F408">INDEX($D$245:$T$280,MATCH(D408,$D$245:$D$280,0),E408+2)</f>
        <v>0</v>
      </c>
      <c r="G408" s="77">
        <f t="shared" si="14"/>
        <v>0</v>
      </c>
    </row>
    <row r="409" spans="4:7" hidden="1" outlineLevel="1" x14ac:dyDescent="0.3">
      <c r="D409" s="77">
        <f t="shared" si="13"/>
        <v>9</v>
      </c>
      <c r="E409" s="77">
        <v>5</v>
      </c>
      <c r="F409" s="78" cm="1">
        <f t="array" ref="F409">INDEX($D$245:$T$280,MATCH(D409,$D$245:$D$280,0),E409+2)</f>
        <v>0</v>
      </c>
      <c r="G409" s="77">
        <f t="shared" si="14"/>
        <v>0</v>
      </c>
    </row>
    <row r="410" spans="4:7" hidden="1" outlineLevel="1" x14ac:dyDescent="0.3">
      <c r="D410" s="77">
        <f t="shared" ref="D410:D473" si="15">D395+1</f>
        <v>9</v>
      </c>
      <c r="E410" s="77">
        <v>6</v>
      </c>
      <c r="F410" s="78" cm="1">
        <f t="array" ref="F410">INDEX($D$245:$T$280,MATCH(D410,$D$245:$D$280,0),E410+2)</f>
        <v>0</v>
      </c>
      <c r="G410" s="77">
        <f t="shared" si="14"/>
        <v>0</v>
      </c>
    </row>
    <row r="411" spans="4:7" hidden="1" outlineLevel="1" x14ac:dyDescent="0.3">
      <c r="D411" s="77">
        <f t="shared" si="15"/>
        <v>9</v>
      </c>
      <c r="E411" s="77">
        <v>7</v>
      </c>
      <c r="F411" s="78" cm="1">
        <f t="array" ref="F411">INDEX($D$245:$T$280,MATCH(D411,$D$245:$D$280,0),E411+2)</f>
        <v>0</v>
      </c>
      <c r="G411" s="77">
        <f t="shared" si="14"/>
        <v>0</v>
      </c>
    </row>
    <row r="412" spans="4:7" hidden="1" outlineLevel="1" x14ac:dyDescent="0.3">
      <c r="D412" s="77">
        <f t="shared" si="15"/>
        <v>9</v>
      </c>
      <c r="E412" s="77">
        <v>8</v>
      </c>
      <c r="F412" s="78" cm="1">
        <f t="array" ref="F412">INDEX($D$245:$T$280,MATCH(D412,$D$245:$D$280,0),E412+2)</f>
        <v>0</v>
      </c>
      <c r="G412" s="77">
        <f t="shared" si="14"/>
        <v>0</v>
      </c>
    </row>
    <row r="413" spans="4:7" hidden="1" outlineLevel="1" x14ac:dyDescent="0.3">
      <c r="D413" s="77">
        <f t="shared" si="15"/>
        <v>9</v>
      </c>
      <c r="E413" s="77">
        <v>9</v>
      </c>
      <c r="F413" s="78" cm="1">
        <f t="array" ref="F413">INDEX($D$245:$T$280,MATCH(D413,$D$245:$D$280,0),E413+2)</f>
        <v>0</v>
      </c>
      <c r="G413" s="77">
        <f t="shared" ref="G413:G476" si="16">IF(F413&gt;0,D413,0)</f>
        <v>0</v>
      </c>
    </row>
    <row r="414" spans="4:7" hidden="1" outlineLevel="1" x14ac:dyDescent="0.3">
      <c r="D414" s="77">
        <f t="shared" si="15"/>
        <v>9</v>
      </c>
      <c r="E414" s="77">
        <v>10</v>
      </c>
      <c r="F414" s="78" cm="1">
        <f t="array" ref="F414">INDEX($D$245:$T$280,MATCH(D414,$D$245:$D$280,0),E414+2)</f>
        <v>0</v>
      </c>
      <c r="G414" s="77">
        <f t="shared" si="16"/>
        <v>0</v>
      </c>
    </row>
    <row r="415" spans="4:7" hidden="1" outlineLevel="1" x14ac:dyDescent="0.3">
      <c r="D415" s="77">
        <f t="shared" si="15"/>
        <v>9</v>
      </c>
      <c r="E415" s="77">
        <v>11</v>
      </c>
      <c r="F415" s="78" cm="1">
        <f t="array" ref="F415">INDEX($D$245:$T$280,MATCH(D415,$D$245:$D$280,0),E415+2)</f>
        <v>0</v>
      </c>
      <c r="G415" s="77">
        <f t="shared" si="16"/>
        <v>0</v>
      </c>
    </row>
    <row r="416" spans="4:7" hidden="1" outlineLevel="1" x14ac:dyDescent="0.3">
      <c r="D416" s="77">
        <f t="shared" si="15"/>
        <v>9</v>
      </c>
      <c r="E416" s="77">
        <v>12</v>
      </c>
      <c r="F416" s="78" cm="1">
        <f t="array" ref="F416">INDEX($D$245:$T$280,MATCH(D416,$D$245:$D$280,0),E416+2)</f>
        <v>0</v>
      </c>
      <c r="G416" s="77">
        <f t="shared" si="16"/>
        <v>0</v>
      </c>
    </row>
    <row r="417" spans="4:7" hidden="1" outlineLevel="1" x14ac:dyDescent="0.3">
      <c r="D417" s="77">
        <f t="shared" si="15"/>
        <v>9</v>
      </c>
      <c r="E417" s="77">
        <v>13</v>
      </c>
      <c r="F417" s="78" cm="1">
        <f t="array" ref="F417">INDEX($D$245:$T$280,MATCH(D417,$D$245:$D$280,0),E417+2)</f>
        <v>0</v>
      </c>
      <c r="G417" s="77">
        <f t="shared" si="16"/>
        <v>0</v>
      </c>
    </row>
    <row r="418" spans="4:7" hidden="1" outlineLevel="1" x14ac:dyDescent="0.3">
      <c r="D418" s="77">
        <f t="shared" si="15"/>
        <v>9</v>
      </c>
      <c r="E418" s="77">
        <v>14</v>
      </c>
      <c r="F418" s="78" cm="1">
        <f t="array" ref="F418">INDEX($D$245:$T$280,MATCH(D418,$D$245:$D$280,0),E418+2)</f>
        <v>0</v>
      </c>
      <c r="G418" s="77">
        <f t="shared" si="16"/>
        <v>0</v>
      </c>
    </row>
    <row r="419" spans="4:7" hidden="1" outlineLevel="1" x14ac:dyDescent="0.3">
      <c r="D419" s="77">
        <f t="shared" si="15"/>
        <v>9</v>
      </c>
      <c r="E419" s="77">
        <v>15</v>
      </c>
      <c r="F419" s="78" cm="1">
        <f t="array" ref="F419">INDEX($D$245:$T$280,MATCH(D419,$D$245:$D$280,0),E419+2)</f>
        <v>0</v>
      </c>
      <c r="G419" s="77">
        <f t="shared" si="16"/>
        <v>0</v>
      </c>
    </row>
    <row r="420" spans="4:7" hidden="1" outlineLevel="1" x14ac:dyDescent="0.3">
      <c r="D420" s="77">
        <f t="shared" si="15"/>
        <v>10</v>
      </c>
      <c r="E420" s="77">
        <v>1</v>
      </c>
      <c r="F420" s="78" cm="1">
        <f t="array" ref="F420">INDEX($D$245:$T$280,MATCH(D420,$D$245:$D$280,0),E420+2)</f>
        <v>1</v>
      </c>
      <c r="G420" s="77">
        <f t="shared" si="16"/>
        <v>10</v>
      </c>
    </row>
    <row r="421" spans="4:7" hidden="1" outlineLevel="1" x14ac:dyDescent="0.3">
      <c r="D421" s="77">
        <f t="shared" si="15"/>
        <v>10</v>
      </c>
      <c r="E421" s="77">
        <v>2</v>
      </c>
      <c r="F421" s="78" cm="1">
        <f t="array" ref="F421">INDEX($D$245:$T$280,MATCH(D421,$D$245:$D$280,0),E421+2)</f>
        <v>1</v>
      </c>
      <c r="G421" s="77">
        <f t="shared" si="16"/>
        <v>10</v>
      </c>
    </row>
    <row r="422" spans="4:7" hidden="1" outlineLevel="1" x14ac:dyDescent="0.3">
      <c r="D422" s="77">
        <f t="shared" si="15"/>
        <v>10</v>
      </c>
      <c r="E422" s="77">
        <v>3</v>
      </c>
      <c r="F422" s="78" cm="1">
        <f t="array" ref="F422">INDEX($D$245:$T$280,MATCH(D422,$D$245:$D$280,0),E422+2)</f>
        <v>0</v>
      </c>
      <c r="G422" s="77">
        <f t="shared" si="16"/>
        <v>0</v>
      </c>
    </row>
    <row r="423" spans="4:7" hidden="1" outlineLevel="1" x14ac:dyDescent="0.3">
      <c r="D423" s="77">
        <f t="shared" si="15"/>
        <v>10</v>
      </c>
      <c r="E423" s="77">
        <v>4</v>
      </c>
      <c r="F423" s="78" cm="1">
        <f t="array" ref="F423">INDEX($D$245:$T$280,MATCH(D423,$D$245:$D$280,0),E423+2)</f>
        <v>0</v>
      </c>
      <c r="G423" s="77">
        <f t="shared" si="16"/>
        <v>0</v>
      </c>
    </row>
    <row r="424" spans="4:7" hidden="1" outlineLevel="1" x14ac:dyDescent="0.3">
      <c r="D424" s="77">
        <f t="shared" si="15"/>
        <v>10</v>
      </c>
      <c r="E424" s="77">
        <v>5</v>
      </c>
      <c r="F424" s="78" cm="1">
        <f t="array" ref="F424">INDEX($D$245:$T$280,MATCH(D424,$D$245:$D$280,0),E424+2)</f>
        <v>0</v>
      </c>
      <c r="G424" s="77">
        <f t="shared" si="16"/>
        <v>0</v>
      </c>
    </row>
    <row r="425" spans="4:7" hidden="1" outlineLevel="1" x14ac:dyDescent="0.3">
      <c r="D425" s="77">
        <f t="shared" si="15"/>
        <v>10</v>
      </c>
      <c r="E425" s="77">
        <v>6</v>
      </c>
      <c r="F425" s="78" cm="1">
        <f t="array" ref="F425">INDEX($D$245:$T$280,MATCH(D425,$D$245:$D$280,0),E425+2)</f>
        <v>0</v>
      </c>
      <c r="G425" s="77">
        <f t="shared" si="16"/>
        <v>0</v>
      </c>
    </row>
    <row r="426" spans="4:7" hidden="1" outlineLevel="1" x14ac:dyDescent="0.3">
      <c r="D426" s="77">
        <f t="shared" si="15"/>
        <v>10</v>
      </c>
      <c r="E426" s="77">
        <v>7</v>
      </c>
      <c r="F426" s="78" cm="1">
        <f t="array" ref="F426">INDEX($D$245:$T$280,MATCH(D426,$D$245:$D$280,0),E426+2)</f>
        <v>0</v>
      </c>
      <c r="G426" s="77">
        <f t="shared" si="16"/>
        <v>0</v>
      </c>
    </row>
    <row r="427" spans="4:7" hidden="1" outlineLevel="1" x14ac:dyDescent="0.3">
      <c r="D427" s="77">
        <f t="shared" si="15"/>
        <v>10</v>
      </c>
      <c r="E427" s="77">
        <v>8</v>
      </c>
      <c r="F427" s="78" cm="1">
        <f t="array" ref="F427">INDEX($D$245:$T$280,MATCH(D427,$D$245:$D$280,0),E427+2)</f>
        <v>0</v>
      </c>
      <c r="G427" s="77">
        <f t="shared" si="16"/>
        <v>0</v>
      </c>
    </row>
    <row r="428" spans="4:7" hidden="1" outlineLevel="1" x14ac:dyDescent="0.3">
      <c r="D428" s="77">
        <f t="shared" si="15"/>
        <v>10</v>
      </c>
      <c r="E428" s="77">
        <v>9</v>
      </c>
      <c r="F428" s="78" cm="1">
        <f t="array" ref="F428">INDEX($D$245:$T$280,MATCH(D428,$D$245:$D$280,0),E428+2)</f>
        <v>0</v>
      </c>
      <c r="G428" s="77">
        <f t="shared" si="16"/>
        <v>0</v>
      </c>
    </row>
    <row r="429" spans="4:7" hidden="1" outlineLevel="1" x14ac:dyDescent="0.3">
      <c r="D429" s="77">
        <f t="shared" si="15"/>
        <v>10</v>
      </c>
      <c r="E429" s="77">
        <v>10</v>
      </c>
      <c r="F429" s="78" cm="1">
        <f t="array" ref="F429">INDEX($D$245:$T$280,MATCH(D429,$D$245:$D$280,0),E429+2)</f>
        <v>0</v>
      </c>
      <c r="G429" s="77">
        <f t="shared" si="16"/>
        <v>0</v>
      </c>
    </row>
    <row r="430" spans="4:7" hidden="1" outlineLevel="1" x14ac:dyDescent="0.3">
      <c r="D430" s="77">
        <f t="shared" si="15"/>
        <v>10</v>
      </c>
      <c r="E430" s="77">
        <v>11</v>
      </c>
      <c r="F430" s="78" cm="1">
        <f t="array" ref="F430">INDEX($D$245:$T$280,MATCH(D430,$D$245:$D$280,0),E430+2)</f>
        <v>0</v>
      </c>
      <c r="G430" s="77">
        <f t="shared" si="16"/>
        <v>0</v>
      </c>
    </row>
    <row r="431" spans="4:7" hidden="1" outlineLevel="1" x14ac:dyDescent="0.3">
      <c r="D431" s="77">
        <f t="shared" si="15"/>
        <v>10</v>
      </c>
      <c r="E431" s="77">
        <v>12</v>
      </c>
      <c r="F431" s="78" cm="1">
        <f t="array" ref="F431">INDEX($D$245:$T$280,MATCH(D431,$D$245:$D$280,0),E431+2)</f>
        <v>0</v>
      </c>
      <c r="G431" s="77">
        <f t="shared" si="16"/>
        <v>0</v>
      </c>
    </row>
    <row r="432" spans="4:7" hidden="1" outlineLevel="1" x14ac:dyDescent="0.3">
      <c r="D432" s="77">
        <f t="shared" si="15"/>
        <v>10</v>
      </c>
      <c r="E432" s="77">
        <v>13</v>
      </c>
      <c r="F432" s="78" cm="1">
        <f t="array" ref="F432">INDEX($D$245:$T$280,MATCH(D432,$D$245:$D$280,0),E432+2)</f>
        <v>0</v>
      </c>
      <c r="G432" s="77">
        <f t="shared" si="16"/>
        <v>0</v>
      </c>
    </row>
    <row r="433" spans="4:7" hidden="1" outlineLevel="1" x14ac:dyDescent="0.3">
      <c r="D433" s="77">
        <f t="shared" si="15"/>
        <v>10</v>
      </c>
      <c r="E433" s="77">
        <v>14</v>
      </c>
      <c r="F433" s="78" cm="1">
        <f t="array" ref="F433">INDEX($D$245:$T$280,MATCH(D433,$D$245:$D$280,0),E433+2)</f>
        <v>0</v>
      </c>
      <c r="G433" s="77">
        <f t="shared" si="16"/>
        <v>0</v>
      </c>
    </row>
    <row r="434" spans="4:7" hidden="1" outlineLevel="1" x14ac:dyDescent="0.3">
      <c r="D434" s="77">
        <f t="shared" si="15"/>
        <v>10</v>
      </c>
      <c r="E434" s="77">
        <v>15</v>
      </c>
      <c r="F434" s="78" cm="1">
        <f t="array" ref="F434">INDEX($D$245:$T$280,MATCH(D434,$D$245:$D$280,0),E434+2)</f>
        <v>0</v>
      </c>
      <c r="G434" s="77">
        <f t="shared" si="16"/>
        <v>0</v>
      </c>
    </row>
    <row r="435" spans="4:7" hidden="1" outlineLevel="1" x14ac:dyDescent="0.3">
      <c r="D435" s="77">
        <f t="shared" si="15"/>
        <v>11</v>
      </c>
      <c r="E435" s="77">
        <v>1</v>
      </c>
      <c r="F435" s="78" cm="1">
        <f t="array" ref="F435">INDEX($D$245:$T$280,MATCH(D435,$D$245:$D$280,0),E435+2)</f>
        <v>1</v>
      </c>
      <c r="G435" s="77">
        <f t="shared" si="16"/>
        <v>11</v>
      </c>
    </row>
    <row r="436" spans="4:7" hidden="1" outlineLevel="1" x14ac:dyDescent="0.3">
      <c r="D436" s="77">
        <f t="shared" si="15"/>
        <v>11</v>
      </c>
      <c r="E436" s="77">
        <v>2</v>
      </c>
      <c r="F436" s="78" cm="1">
        <f t="array" ref="F436">INDEX($D$245:$T$280,MATCH(D436,$D$245:$D$280,0),E436+2)</f>
        <v>1</v>
      </c>
      <c r="G436" s="77">
        <f t="shared" si="16"/>
        <v>11</v>
      </c>
    </row>
    <row r="437" spans="4:7" hidden="1" outlineLevel="1" x14ac:dyDescent="0.3">
      <c r="D437" s="77">
        <f t="shared" si="15"/>
        <v>11</v>
      </c>
      <c r="E437" s="77">
        <v>3</v>
      </c>
      <c r="F437" s="78" cm="1">
        <f t="array" ref="F437">INDEX($D$245:$T$280,MATCH(D437,$D$245:$D$280,0),E437+2)</f>
        <v>1</v>
      </c>
      <c r="G437" s="77">
        <f t="shared" si="16"/>
        <v>11</v>
      </c>
    </row>
    <row r="438" spans="4:7" hidden="1" outlineLevel="1" x14ac:dyDescent="0.3">
      <c r="D438" s="77">
        <f t="shared" si="15"/>
        <v>11</v>
      </c>
      <c r="E438" s="77">
        <v>4</v>
      </c>
      <c r="F438" s="78" cm="1">
        <f t="array" ref="F438">INDEX($D$245:$T$280,MATCH(D438,$D$245:$D$280,0),E438+2)</f>
        <v>0</v>
      </c>
      <c r="G438" s="77">
        <f t="shared" si="16"/>
        <v>0</v>
      </c>
    </row>
    <row r="439" spans="4:7" hidden="1" outlineLevel="1" x14ac:dyDescent="0.3">
      <c r="D439" s="77">
        <f t="shared" si="15"/>
        <v>11</v>
      </c>
      <c r="E439" s="77">
        <v>5</v>
      </c>
      <c r="F439" s="78" cm="1">
        <f t="array" ref="F439">INDEX($D$245:$T$280,MATCH(D439,$D$245:$D$280,0),E439+2)</f>
        <v>0</v>
      </c>
      <c r="G439" s="77">
        <f t="shared" si="16"/>
        <v>0</v>
      </c>
    </row>
    <row r="440" spans="4:7" hidden="1" outlineLevel="1" x14ac:dyDescent="0.3">
      <c r="D440" s="77">
        <f t="shared" si="15"/>
        <v>11</v>
      </c>
      <c r="E440" s="77">
        <v>6</v>
      </c>
      <c r="F440" s="78" cm="1">
        <f t="array" ref="F440">INDEX($D$245:$T$280,MATCH(D440,$D$245:$D$280,0),E440+2)</f>
        <v>0</v>
      </c>
      <c r="G440" s="77">
        <f t="shared" si="16"/>
        <v>0</v>
      </c>
    </row>
    <row r="441" spans="4:7" hidden="1" outlineLevel="1" x14ac:dyDescent="0.3">
      <c r="D441" s="77">
        <f t="shared" si="15"/>
        <v>11</v>
      </c>
      <c r="E441" s="77">
        <v>7</v>
      </c>
      <c r="F441" s="78" cm="1">
        <f t="array" ref="F441">INDEX($D$245:$T$280,MATCH(D441,$D$245:$D$280,0),E441+2)</f>
        <v>0</v>
      </c>
      <c r="G441" s="77">
        <f t="shared" si="16"/>
        <v>0</v>
      </c>
    </row>
    <row r="442" spans="4:7" hidden="1" outlineLevel="1" x14ac:dyDescent="0.3">
      <c r="D442" s="77">
        <f t="shared" si="15"/>
        <v>11</v>
      </c>
      <c r="E442" s="77">
        <v>8</v>
      </c>
      <c r="F442" s="78" cm="1">
        <f t="array" ref="F442">INDEX($D$245:$T$280,MATCH(D442,$D$245:$D$280,0),E442+2)</f>
        <v>0</v>
      </c>
      <c r="G442" s="77">
        <f t="shared" si="16"/>
        <v>0</v>
      </c>
    </row>
    <row r="443" spans="4:7" hidden="1" outlineLevel="1" x14ac:dyDescent="0.3">
      <c r="D443" s="77">
        <f t="shared" si="15"/>
        <v>11</v>
      </c>
      <c r="E443" s="77">
        <v>9</v>
      </c>
      <c r="F443" s="78" cm="1">
        <f t="array" ref="F443">INDEX($D$245:$T$280,MATCH(D443,$D$245:$D$280,0),E443+2)</f>
        <v>0</v>
      </c>
      <c r="G443" s="77">
        <f t="shared" si="16"/>
        <v>0</v>
      </c>
    </row>
    <row r="444" spans="4:7" hidden="1" outlineLevel="1" x14ac:dyDescent="0.3">
      <c r="D444" s="77">
        <f t="shared" si="15"/>
        <v>11</v>
      </c>
      <c r="E444" s="77">
        <v>10</v>
      </c>
      <c r="F444" s="78" cm="1">
        <f t="array" ref="F444">INDEX($D$245:$T$280,MATCH(D444,$D$245:$D$280,0),E444+2)</f>
        <v>0</v>
      </c>
      <c r="G444" s="77">
        <f t="shared" si="16"/>
        <v>0</v>
      </c>
    </row>
    <row r="445" spans="4:7" hidden="1" outlineLevel="1" x14ac:dyDescent="0.3">
      <c r="D445" s="77">
        <f t="shared" si="15"/>
        <v>11</v>
      </c>
      <c r="E445" s="77">
        <v>11</v>
      </c>
      <c r="F445" s="78" cm="1">
        <f t="array" ref="F445">INDEX($D$245:$T$280,MATCH(D445,$D$245:$D$280,0),E445+2)</f>
        <v>0</v>
      </c>
      <c r="G445" s="77">
        <f t="shared" si="16"/>
        <v>0</v>
      </c>
    </row>
    <row r="446" spans="4:7" hidden="1" outlineLevel="1" x14ac:dyDescent="0.3">
      <c r="D446" s="77">
        <f t="shared" si="15"/>
        <v>11</v>
      </c>
      <c r="E446" s="77">
        <v>12</v>
      </c>
      <c r="F446" s="78" cm="1">
        <f t="array" ref="F446">INDEX($D$245:$T$280,MATCH(D446,$D$245:$D$280,0),E446+2)</f>
        <v>0</v>
      </c>
      <c r="G446" s="77">
        <f t="shared" si="16"/>
        <v>0</v>
      </c>
    </row>
    <row r="447" spans="4:7" hidden="1" outlineLevel="1" x14ac:dyDescent="0.3">
      <c r="D447" s="77">
        <f t="shared" si="15"/>
        <v>11</v>
      </c>
      <c r="E447" s="77">
        <v>13</v>
      </c>
      <c r="F447" s="78" cm="1">
        <f t="array" ref="F447">INDEX($D$245:$T$280,MATCH(D447,$D$245:$D$280,0),E447+2)</f>
        <v>0</v>
      </c>
      <c r="G447" s="77">
        <f t="shared" si="16"/>
        <v>0</v>
      </c>
    </row>
    <row r="448" spans="4:7" hidden="1" outlineLevel="1" x14ac:dyDescent="0.3">
      <c r="D448" s="77">
        <f t="shared" si="15"/>
        <v>11</v>
      </c>
      <c r="E448" s="77">
        <v>14</v>
      </c>
      <c r="F448" s="78" cm="1">
        <f t="array" ref="F448">INDEX($D$245:$T$280,MATCH(D448,$D$245:$D$280,0),E448+2)</f>
        <v>0</v>
      </c>
      <c r="G448" s="77">
        <f t="shared" si="16"/>
        <v>0</v>
      </c>
    </row>
    <row r="449" spans="4:7" hidden="1" outlineLevel="1" x14ac:dyDescent="0.3">
      <c r="D449" s="77">
        <f t="shared" si="15"/>
        <v>11</v>
      </c>
      <c r="E449" s="77">
        <v>15</v>
      </c>
      <c r="F449" s="78" cm="1">
        <f t="array" ref="F449">INDEX($D$245:$T$280,MATCH(D449,$D$245:$D$280,0),E449+2)</f>
        <v>0</v>
      </c>
      <c r="G449" s="77">
        <f t="shared" si="16"/>
        <v>0</v>
      </c>
    </row>
    <row r="450" spans="4:7" hidden="1" outlineLevel="1" x14ac:dyDescent="0.3">
      <c r="D450" s="77">
        <f t="shared" si="15"/>
        <v>12</v>
      </c>
      <c r="E450" s="77">
        <v>1</v>
      </c>
      <c r="F450" s="78" cm="1">
        <f t="array" ref="F450">INDEX($D$245:$T$280,MATCH(D450,$D$245:$D$280,0),E450+2)</f>
        <v>1</v>
      </c>
      <c r="G450" s="77">
        <f t="shared" si="16"/>
        <v>12</v>
      </c>
    </row>
    <row r="451" spans="4:7" hidden="1" outlineLevel="1" x14ac:dyDescent="0.3">
      <c r="D451" s="77">
        <f t="shared" si="15"/>
        <v>12</v>
      </c>
      <c r="E451" s="77">
        <v>2</v>
      </c>
      <c r="F451" s="78" cm="1">
        <f t="array" ref="F451">INDEX($D$245:$T$280,MATCH(D451,$D$245:$D$280,0),E451+2)</f>
        <v>1</v>
      </c>
      <c r="G451" s="77">
        <f t="shared" si="16"/>
        <v>12</v>
      </c>
    </row>
    <row r="452" spans="4:7" hidden="1" outlineLevel="1" x14ac:dyDescent="0.3">
      <c r="D452" s="77">
        <f t="shared" si="15"/>
        <v>12</v>
      </c>
      <c r="E452" s="77">
        <v>3</v>
      </c>
      <c r="F452" s="78" cm="1">
        <f t="array" ref="F452">INDEX($D$245:$T$280,MATCH(D452,$D$245:$D$280,0),E452+2)</f>
        <v>0</v>
      </c>
      <c r="G452" s="77">
        <f t="shared" si="16"/>
        <v>0</v>
      </c>
    </row>
    <row r="453" spans="4:7" hidden="1" outlineLevel="1" x14ac:dyDescent="0.3">
      <c r="D453" s="77">
        <f t="shared" si="15"/>
        <v>12</v>
      </c>
      <c r="E453" s="77">
        <v>4</v>
      </c>
      <c r="F453" s="78" cm="1">
        <f t="array" ref="F453">INDEX($D$245:$T$280,MATCH(D453,$D$245:$D$280,0),E453+2)</f>
        <v>0</v>
      </c>
      <c r="G453" s="77">
        <f t="shared" si="16"/>
        <v>0</v>
      </c>
    </row>
    <row r="454" spans="4:7" hidden="1" outlineLevel="1" x14ac:dyDescent="0.3">
      <c r="D454" s="77">
        <f t="shared" si="15"/>
        <v>12</v>
      </c>
      <c r="E454" s="77">
        <v>5</v>
      </c>
      <c r="F454" s="78" cm="1">
        <f t="array" ref="F454">INDEX($D$245:$T$280,MATCH(D454,$D$245:$D$280,0),E454+2)</f>
        <v>0</v>
      </c>
      <c r="G454" s="77">
        <f t="shared" si="16"/>
        <v>0</v>
      </c>
    </row>
    <row r="455" spans="4:7" hidden="1" outlineLevel="1" x14ac:dyDescent="0.3">
      <c r="D455" s="77">
        <f t="shared" si="15"/>
        <v>12</v>
      </c>
      <c r="E455" s="77">
        <v>6</v>
      </c>
      <c r="F455" s="78" cm="1">
        <f t="array" ref="F455">INDEX($D$245:$T$280,MATCH(D455,$D$245:$D$280,0),E455+2)</f>
        <v>0</v>
      </c>
      <c r="G455" s="77">
        <f t="shared" si="16"/>
        <v>0</v>
      </c>
    </row>
    <row r="456" spans="4:7" hidden="1" outlineLevel="1" x14ac:dyDescent="0.3">
      <c r="D456" s="77">
        <f t="shared" si="15"/>
        <v>12</v>
      </c>
      <c r="E456" s="77">
        <v>7</v>
      </c>
      <c r="F456" s="78" cm="1">
        <f t="array" ref="F456">INDEX($D$245:$T$280,MATCH(D456,$D$245:$D$280,0),E456+2)</f>
        <v>0</v>
      </c>
      <c r="G456" s="77">
        <f t="shared" si="16"/>
        <v>0</v>
      </c>
    </row>
    <row r="457" spans="4:7" hidden="1" outlineLevel="1" x14ac:dyDescent="0.3">
      <c r="D457" s="77">
        <f t="shared" si="15"/>
        <v>12</v>
      </c>
      <c r="E457" s="77">
        <v>8</v>
      </c>
      <c r="F457" s="78" cm="1">
        <f t="array" ref="F457">INDEX($D$245:$T$280,MATCH(D457,$D$245:$D$280,0),E457+2)</f>
        <v>0</v>
      </c>
      <c r="G457" s="77">
        <f t="shared" si="16"/>
        <v>0</v>
      </c>
    </row>
    <row r="458" spans="4:7" hidden="1" outlineLevel="1" x14ac:dyDescent="0.3">
      <c r="D458" s="77">
        <f t="shared" si="15"/>
        <v>12</v>
      </c>
      <c r="E458" s="77">
        <v>9</v>
      </c>
      <c r="F458" s="78" cm="1">
        <f t="array" ref="F458">INDEX($D$245:$T$280,MATCH(D458,$D$245:$D$280,0),E458+2)</f>
        <v>0</v>
      </c>
      <c r="G458" s="77">
        <f t="shared" si="16"/>
        <v>0</v>
      </c>
    </row>
    <row r="459" spans="4:7" hidden="1" outlineLevel="1" x14ac:dyDescent="0.3">
      <c r="D459" s="77">
        <f t="shared" si="15"/>
        <v>12</v>
      </c>
      <c r="E459" s="77">
        <v>10</v>
      </c>
      <c r="F459" s="78" cm="1">
        <f t="array" ref="F459">INDEX($D$245:$T$280,MATCH(D459,$D$245:$D$280,0),E459+2)</f>
        <v>0</v>
      </c>
      <c r="G459" s="77">
        <f t="shared" si="16"/>
        <v>0</v>
      </c>
    </row>
    <row r="460" spans="4:7" hidden="1" outlineLevel="1" x14ac:dyDescent="0.3">
      <c r="D460" s="77">
        <f t="shared" si="15"/>
        <v>12</v>
      </c>
      <c r="E460" s="77">
        <v>11</v>
      </c>
      <c r="F460" s="78" cm="1">
        <f t="array" ref="F460">INDEX($D$245:$T$280,MATCH(D460,$D$245:$D$280,0),E460+2)</f>
        <v>0</v>
      </c>
      <c r="G460" s="77">
        <f t="shared" si="16"/>
        <v>0</v>
      </c>
    </row>
    <row r="461" spans="4:7" hidden="1" outlineLevel="1" x14ac:dyDescent="0.3">
      <c r="D461" s="77">
        <f t="shared" si="15"/>
        <v>12</v>
      </c>
      <c r="E461" s="77">
        <v>12</v>
      </c>
      <c r="F461" s="78" cm="1">
        <f t="array" ref="F461">INDEX($D$245:$T$280,MATCH(D461,$D$245:$D$280,0),E461+2)</f>
        <v>0</v>
      </c>
      <c r="G461" s="77">
        <f t="shared" si="16"/>
        <v>0</v>
      </c>
    </row>
    <row r="462" spans="4:7" hidden="1" outlineLevel="1" x14ac:dyDescent="0.3">
      <c r="D462" s="77">
        <f t="shared" si="15"/>
        <v>12</v>
      </c>
      <c r="E462" s="77">
        <v>13</v>
      </c>
      <c r="F462" s="78" cm="1">
        <f t="array" ref="F462">INDEX($D$245:$T$280,MATCH(D462,$D$245:$D$280,0),E462+2)</f>
        <v>0</v>
      </c>
      <c r="G462" s="77">
        <f t="shared" si="16"/>
        <v>0</v>
      </c>
    </row>
    <row r="463" spans="4:7" hidden="1" outlineLevel="1" x14ac:dyDescent="0.3">
      <c r="D463" s="77">
        <f t="shared" si="15"/>
        <v>12</v>
      </c>
      <c r="E463" s="77">
        <v>14</v>
      </c>
      <c r="F463" s="78" cm="1">
        <f t="array" ref="F463">INDEX($D$245:$T$280,MATCH(D463,$D$245:$D$280,0),E463+2)</f>
        <v>0</v>
      </c>
      <c r="G463" s="77">
        <f t="shared" si="16"/>
        <v>0</v>
      </c>
    </row>
    <row r="464" spans="4:7" hidden="1" outlineLevel="1" x14ac:dyDescent="0.3">
      <c r="D464" s="77">
        <f t="shared" si="15"/>
        <v>12</v>
      </c>
      <c r="E464" s="77">
        <v>15</v>
      </c>
      <c r="F464" s="78" cm="1">
        <f t="array" ref="F464">INDEX($D$245:$T$280,MATCH(D464,$D$245:$D$280,0),E464+2)</f>
        <v>0</v>
      </c>
      <c r="G464" s="77">
        <f t="shared" si="16"/>
        <v>0</v>
      </c>
    </row>
    <row r="465" spans="4:7" hidden="1" outlineLevel="1" x14ac:dyDescent="0.3">
      <c r="D465" s="77">
        <f t="shared" si="15"/>
        <v>13</v>
      </c>
      <c r="E465" s="77">
        <v>1</v>
      </c>
      <c r="F465" s="78" cm="1">
        <f t="array" ref="F465">INDEX($D$245:$T$280,MATCH(D465,$D$245:$D$280,0),E465+2)</f>
        <v>1</v>
      </c>
      <c r="G465" s="77">
        <f t="shared" si="16"/>
        <v>13</v>
      </c>
    </row>
    <row r="466" spans="4:7" hidden="1" outlineLevel="1" x14ac:dyDescent="0.3">
      <c r="D466" s="77">
        <f t="shared" si="15"/>
        <v>13</v>
      </c>
      <c r="E466" s="77">
        <v>2</v>
      </c>
      <c r="F466" s="78" cm="1">
        <f t="array" ref="F466">INDEX($D$245:$T$280,MATCH(D466,$D$245:$D$280,0),E466+2)</f>
        <v>1</v>
      </c>
      <c r="G466" s="77">
        <f t="shared" si="16"/>
        <v>13</v>
      </c>
    </row>
    <row r="467" spans="4:7" hidden="1" outlineLevel="1" x14ac:dyDescent="0.3">
      <c r="D467" s="77">
        <f t="shared" si="15"/>
        <v>13</v>
      </c>
      <c r="E467" s="77">
        <v>3</v>
      </c>
      <c r="F467" s="78" cm="1">
        <f t="array" ref="F467">INDEX($D$245:$T$280,MATCH(D467,$D$245:$D$280,0),E467+2)</f>
        <v>0</v>
      </c>
      <c r="G467" s="77">
        <f t="shared" si="16"/>
        <v>0</v>
      </c>
    </row>
    <row r="468" spans="4:7" hidden="1" outlineLevel="1" x14ac:dyDescent="0.3">
      <c r="D468" s="77">
        <f t="shared" si="15"/>
        <v>13</v>
      </c>
      <c r="E468" s="77">
        <v>4</v>
      </c>
      <c r="F468" s="78" cm="1">
        <f t="array" ref="F468">INDEX($D$245:$T$280,MATCH(D468,$D$245:$D$280,0),E468+2)</f>
        <v>0</v>
      </c>
      <c r="G468" s="77">
        <f t="shared" si="16"/>
        <v>0</v>
      </c>
    </row>
    <row r="469" spans="4:7" hidden="1" outlineLevel="1" x14ac:dyDescent="0.3">
      <c r="D469" s="77">
        <f t="shared" si="15"/>
        <v>13</v>
      </c>
      <c r="E469" s="77">
        <v>5</v>
      </c>
      <c r="F469" s="78" cm="1">
        <f t="array" ref="F469">INDEX($D$245:$T$280,MATCH(D469,$D$245:$D$280,0),E469+2)</f>
        <v>0</v>
      </c>
      <c r="G469" s="77">
        <f t="shared" si="16"/>
        <v>0</v>
      </c>
    </row>
    <row r="470" spans="4:7" hidden="1" outlineLevel="1" x14ac:dyDescent="0.3">
      <c r="D470" s="77">
        <f t="shared" si="15"/>
        <v>13</v>
      </c>
      <c r="E470" s="77">
        <v>6</v>
      </c>
      <c r="F470" s="78" cm="1">
        <f t="array" ref="F470">INDEX($D$245:$T$280,MATCH(D470,$D$245:$D$280,0),E470+2)</f>
        <v>0</v>
      </c>
      <c r="G470" s="77">
        <f t="shared" si="16"/>
        <v>0</v>
      </c>
    </row>
    <row r="471" spans="4:7" hidden="1" outlineLevel="1" x14ac:dyDescent="0.3">
      <c r="D471" s="77">
        <f t="shared" si="15"/>
        <v>13</v>
      </c>
      <c r="E471" s="77">
        <v>7</v>
      </c>
      <c r="F471" s="78" cm="1">
        <f t="array" ref="F471">INDEX($D$245:$T$280,MATCH(D471,$D$245:$D$280,0),E471+2)</f>
        <v>0</v>
      </c>
      <c r="G471" s="77">
        <f t="shared" si="16"/>
        <v>0</v>
      </c>
    </row>
    <row r="472" spans="4:7" hidden="1" outlineLevel="1" x14ac:dyDescent="0.3">
      <c r="D472" s="77">
        <f t="shared" si="15"/>
        <v>13</v>
      </c>
      <c r="E472" s="77">
        <v>8</v>
      </c>
      <c r="F472" s="78" cm="1">
        <f t="array" ref="F472">INDEX($D$245:$T$280,MATCH(D472,$D$245:$D$280,0),E472+2)</f>
        <v>0</v>
      </c>
      <c r="G472" s="77">
        <f t="shared" si="16"/>
        <v>0</v>
      </c>
    </row>
    <row r="473" spans="4:7" hidden="1" outlineLevel="1" x14ac:dyDescent="0.3">
      <c r="D473" s="77">
        <f t="shared" si="15"/>
        <v>13</v>
      </c>
      <c r="E473" s="77">
        <v>9</v>
      </c>
      <c r="F473" s="78" cm="1">
        <f t="array" ref="F473">INDEX($D$245:$T$280,MATCH(D473,$D$245:$D$280,0),E473+2)</f>
        <v>0</v>
      </c>
      <c r="G473" s="77">
        <f t="shared" si="16"/>
        <v>0</v>
      </c>
    </row>
    <row r="474" spans="4:7" hidden="1" outlineLevel="1" x14ac:dyDescent="0.3">
      <c r="D474" s="77">
        <f t="shared" ref="D474:D509" si="17">D459+1</f>
        <v>13</v>
      </c>
      <c r="E474" s="77">
        <v>10</v>
      </c>
      <c r="F474" s="78" cm="1">
        <f t="array" ref="F474">INDEX($D$245:$T$280,MATCH(D474,$D$245:$D$280,0),E474+2)</f>
        <v>0</v>
      </c>
      <c r="G474" s="77">
        <f t="shared" si="16"/>
        <v>0</v>
      </c>
    </row>
    <row r="475" spans="4:7" hidden="1" outlineLevel="1" x14ac:dyDescent="0.3">
      <c r="D475" s="77">
        <f t="shared" si="17"/>
        <v>13</v>
      </c>
      <c r="E475" s="77">
        <v>11</v>
      </c>
      <c r="F475" s="78" cm="1">
        <f t="array" ref="F475">INDEX($D$245:$T$280,MATCH(D475,$D$245:$D$280,0),E475+2)</f>
        <v>0</v>
      </c>
      <c r="G475" s="77">
        <f t="shared" si="16"/>
        <v>0</v>
      </c>
    </row>
    <row r="476" spans="4:7" hidden="1" outlineLevel="1" x14ac:dyDescent="0.3">
      <c r="D476" s="77">
        <f t="shared" si="17"/>
        <v>13</v>
      </c>
      <c r="E476" s="77">
        <v>12</v>
      </c>
      <c r="F476" s="78" cm="1">
        <f t="array" ref="F476">INDEX($D$245:$T$280,MATCH(D476,$D$245:$D$280,0),E476+2)</f>
        <v>0</v>
      </c>
      <c r="G476" s="77">
        <f t="shared" si="16"/>
        <v>0</v>
      </c>
    </row>
    <row r="477" spans="4:7" hidden="1" outlineLevel="1" x14ac:dyDescent="0.3">
      <c r="D477" s="77">
        <f t="shared" si="17"/>
        <v>13</v>
      </c>
      <c r="E477" s="77">
        <v>13</v>
      </c>
      <c r="F477" s="78" cm="1">
        <f t="array" ref="F477">INDEX($D$245:$T$280,MATCH(D477,$D$245:$D$280,0),E477+2)</f>
        <v>0</v>
      </c>
      <c r="G477" s="77">
        <f t="shared" ref="G477:G540" si="18">IF(F477&gt;0,D477,0)</f>
        <v>0</v>
      </c>
    </row>
    <row r="478" spans="4:7" hidden="1" outlineLevel="1" x14ac:dyDescent="0.3">
      <c r="D478" s="77">
        <f t="shared" si="17"/>
        <v>13</v>
      </c>
      <c r="E478" s="77">
        <v>14</v>
      </c>
      <c r="F478" s="78" cm="1">
        <f t="array" ref="F478">INDEX($D$245:$T$280,MATCH(D478,$D$245:$D$280,0),E478+2)</f>
        <v>0</v>
      </c>
      <c r="G478" s="77">
        <f t="shared" si="18"/>
        <v>0</v>
      </c>
    </row>
    <row r="479" spans="4:7" hidden="1" outlineLevel="1" x14ac:dyDescent="0.3">
      <c r="D479" s="77">
        <f t="shared" si="17"/>
        <v>13</v>
      </c>
      <c r="E479" s="77">
        <v>15</v>
      </c>
      <c r="F479" s="78" cm="1">
        <f t="array" ref="F479">INDEX($D$245:$T$280,MATCH(D479,$D$245:$D$280,0),E479+2)</f>
        <v>0</v>
      </c>
      <c r="G479" s="77">
        <f t="shared" si="18"/>
        <v>0</v>
      </c>
    </row>
    <row r="480" spans="4:7" hidden="1" outlineLevel="1" x14ac:dyDescent="0.3">
      <c r="D480" s="77">
        <f t="shared" si="17"/>
        <v>14</v>
      </c>
      <c r="E480" s="77">
        <v>1</v>
      </c>
      <c r="F480" s="78" cm="1">
        <f t="array" ref="F480">INDEX($D$245:$T$280,MATCH(D480,$D$245:$D$280,0),E480+2)</f>
        <v>1</v>
      </c>
      <c r="G480" s="77">
        <f t="shared" si="18"/>
        <v>14</v>
      </c>
    </row>
    <row r="481" spans="4:7" hidden="1" outlineLevel="1" x14ac:dyDescent="0.3">
      <c r="D481" s="77">
        <f t="shared" si="17"/>
        <v>14</v>
      </c>
      <c r="E481" s="77">
        <v>2</v>
      </c>
      <c r="F481" s="78" cm="1">
        <f t="array" ref="F481">INDEX($D$245:$T$280,MATCH(D481,$D$245:$D$280,0),E481+2)</f>
        <v>1</v>
      </c>
      <c r="G481" s="77">
        <f t="shared" si="18"/>
        <v>14</v>
      </c>
    </row>
    <row r="482" spans="4:7" hidden="1" outlineLevel="1" x14ac:dyDescent="0.3">
      <c r="D482" s="77">
        <f t="shared" si="17"/>
        <v>14</v>
      </c>
      <c r="E482" s="77">
        <v>3</v>
      </c>
      <c r="F482" s="78" cm="1">
        <f t="array" ref="F482">INDEX($D$245:$T$280,MATCH(D482,$D$245:$D$280,0),E482+2)</f>
        <v>1</v>
      </c>
      <c r="G482" s="77">
        <f t="shared" si="18"/>
        <v>14</v>
      </c>
    </row>
    <row r="483" spans="4:7" hidden="1" outlineLevel="1" x14ac:dyDescent="0.3">
      <c r="D483" s="77">
        <f t="shared" si="17"/>
        <v>14</v>
      </c>
      <c r="E483" s="77">
        <v>4</v>
      </c>
      <c r="F483" s="78" cm="1">
        <f t="array" ref="F483">INDEX($D$245:$T$280,MATCH(D483,$D$245:$D$280,0),E483+2)</f>
        <v>1</v>
      </c>
      <c r="G483" s="77">
        <f t="shared" si="18"/>
        <v>14</v>
      </c>
    </row>
    <row r="484" spans="4:7" hidden="1" outlineLevel="1" x14ac:dyDescent="0.3">
      <c r="D484" s="77">
        <f t="shared" si="17"/>
        <v>14</v>
      </c>
      <c r="E484" s="77">
        <v>5</v>
      </c>
      <c r="F484" s="78" cm="1">
        <f t="array" ref="F484">INDEX($D$245:$T$280,MATCH(D484,$D$245:$D$280,0),E484+2)</f>
        <v>1</v>
      </c>
      <c r="G484" s="77">
        <f t="shared" si="18"/>
        <v>14</v>
      </c>
    </row>
    <row r="485" spans="4:7" hidden="1" outlineLevel="1" x14ac:dyDescent="0.3">
      <c r="D485" s="77">
        <f t="shared" si="17"/>
        <v>14</v>
      </c>
      <c r="E485" s="77">
        <v>6</v>
      </c>
      <c r="F485" s="78" cm="1">
        <f t="array" ref="F485">INDEX($D$245:$T$280,MATCH(D485,$D$245:$D$280,0),E485+2)</f>
        <v>1</v>
      </c>
      <c r="G485" s="77">
        <f t="shared" si="18"/>
        <v>14</v>
      </c>
    </row>
    <row r="486" spans="4:7" hidden="1" outlineLevel="1" x14ac:dyDescent="0.3">
      <c r="D486" s="77">
        <f t="shared" si="17"/>
        <v>14</v>
      </c>
      <c r="E486" s="77">
        <v>7</v>
      </c>
      <c r="F486" s="78" cm="1">
        <f t="array" ref="F486">INDEX($D$245:$T$280,MATCH(D486,$D$245:$D$280,0),E486+2)</f>
        <v>1</v>
      </c>
      <c r="G486" s="77">
        <f t="shared" si="18"/>
        <v>14</v>
      </c>
    </row>
    <row r="487" spans="4:7" hidden="1" outlineLevel="1" x14ac:dyDescent="0.3">
      <c r="D487" s="77">
        <f t="shared" si="17"/>
        <v>14</v>
      </c>
      <c r="E487" s="77">
        <v>8</v>
      </c>
      <c r="F487" s="78" cm="1">
        <f t="array" ref="F487">INDEX($D$245:$T$280,MATCH(D487,$D$245:$D$280,0),E487+2)</f>
        <v>1</v>
      </c>
      <c r="G487" s="77">
        <f t="shared" si="18"/>
        <v>14</v>
      </c>
    </row>
    <row r="488" spans="4:7" hidden="1" outlineLevel="1" x14ac:dyDescent="0.3">
      <c r="D488" s="77">
        <f t="shared" si="17"/>
        <v>14</v>
      </c>
      <c r="E488" s="77">
        <v>9</v>
      </c>
      <c r="F488" s="78" cm="1">
        <f t="array" ref="F488">INDEX($D$245:$T$280,MATCH(D488,$D$245:$D$280,0),E488+2)</f>
        <v>1</v>
      </c>
      <c r="G488" s="77">
        <f t="shared" si="18"/>
        <v>14</v>
      </c>
    </row>
    <row r="489" spans="4:7" hidden="1" outlineLevel="1" x14ac:dyDescent="0.3">
      <c r="D489" s="77">
        <f t="shared" si="17"/>
        <v>14</v>
      </c>
      <c r="E489" s="77">
        <v>10</v>
      </c>
      <c r="F489" s="78" cm="1">
        <f t="array" ref="F489">INDEX($D$245:$T$280,MATCH(D489,$D$245:$D$280,0),E489+2)</f>
        <v>1</v>
      </c>
      <c r="G489" s="77">
        <f t="shared" si="18"/>
        <v>14</v>
      </c>
    </row>
    <row r="490" spans="4:7" hidden="1" outlineLevel="1" x14ac:dyDescent="0.3">
      <c r="D490" s="77">
        <f t="shared" si="17"/>
        <v>14</v>
      </c>
      <c r="E490" s="77">
        <v>11</v>
      </c>
      <c r="F490" s="78" cm="1">
        <f t="array" ref="F490">INDEX($D$245:$T$280,MATCH(D490,$D$245:$D$280,0),E490+2)</f>
        <v>1</v>
      </c>
      <c r="G490" s="77">
        <f t="shared" si="18"/>
        <v>14</v>
      </c>
    </row>
    <row r="491" spans="4:7" hidden="1" outlineLevel="1" x14ac:dyDescent="0.3">
      <c r="D491" s="77">
        <f t="shared" si="17"/>
        <v>14</v>
      </c>
      <c r="E491" s="77">
        <v>12</v>
      </c>
      <c r="F491" s="78" cm="1">
        <f t="array" ref="F491">INDEX($D$245:$T$280,MATCH(D491,$D$245:$D$280,0),E491+2)</f>
        <v>1</v>
      </c>
      <c r="G491" s="77">
        <f t="shared" si="18"/>
        <v>14</v>
      </c>
    </row>
    <row r="492" spans="4:7" hidden="1" outlineLevel="1" x14ac:dyDescent="0.3">
      <c r="D492" s="77">
        <f t="shared" si="17"/>
        <v>14</v>
      </c>
      <c r="E492" s="77">
        <v>13</v>
      </c>
      <c r="F492" s="78" cm="1">
        <f t="array" ref="F492">INDEX($D$245:$T$280,MATCH(D492,$D$245:$D$280,0),E492+2)</f>
        <v>1</v>
      </c>
      <c r="G492" s="77">
        <f t="shared" si="18"/>
        <v>14</v>
      </c>
    </row>
    <row r="493" spans="4:7" hidden="1" outlineLevel="1" x14ac:dyDescent="0.3">
      <c r="D493" s="77">
        <f t="shared" si="17"/>
        <v>14</v>
      </c>
      <c r="E493" s="77">
        <v>14</v>
      </c>
      <c r="F493" s="78" cm="1">
        <f t="array" ref="F493">INDEX($D$245:$T$280,MATCH(D493,$D$245:$D$280,0),E493+2)</f>
        <v>1</v>
      </c>
      <c r="G493" s="77">
        <f t="shared" si="18"/>
        <v>14</v>
      </c>
    </row>
    <row r="494" spans="4:7" hidden="1" outlineLevel="1" x14ac:dyDescent="0.3">
      <c r="D494" s="77">
        <f t="shared" si="17"/>
        <v>14</v>
      </c>
      <c r="E494" s="77">
        <v>15</v>
      </c>
      <c r="F494" s="78" cm="1">
        <f t="array" ref="F494">INDEX($D$245:$T$280,MATCH(D494,$D$245:$D$280,0),E494+2)</f>
        <v>1</v>
      </c>
      <c r="G494" s="77">
        <f t="shared" si="18"/>
        <v>14</v>
      </c>
    </row>
    <row r="495" spans="4:7" hidden="1" outlineLevel="1" x14ac:dyDescent="0.3">
      <c r="D495" s="77">
        <f t="shared" si="17"/>
        <v>15</v>
      </c>
      <c r="E495" s="77">
        <v>1</v>
      </c>
      <c r="F495" s="78" cm="1">
        <f t="array" ref="F495">INDEX($D$245:$T$280,MATCH(D495,$D$245:$D$280,0),E495+2)</f>
        <v>1</v>
      </c>
      <c r="G495" s="77">
        <f t="shared" si="18"/>
        <v>15</v>
      </c>
    </row>
    <row r="496" spans="4:7" hidden="1" outlineLevel="1" x14ac:dyDescent="0.3">
      <c r="D496" s="77">
        <f t="shared" si="17"/>
        <v>15</v>
      </c>
      <c r="E496" s="77">
        <v>2</v>
      </c>
      <c r="F496" s="78" cm="1">
        <f t="array" ref="F496">INDEX($D$245:$T$280,MATCH(D496,$D$245:$D$280,0),E496+2)</f>
        <v>1</v>
      </c>
      <c r="G496" s="77">
        <f t="shared" si="18"/>
        <v>15</v>
      </c>
    </row>
    <row r="497" spans="4:7" hidden="1" outlineLevel="1" x14ac:dyDescent="0.3">
      <c r="D497" s="77">
        <f t="shared" si="17"/>
        <v>15</v>
      </c>
      <c r="E497" s="77">
        <v>3</v>
      </c>
      <c r="F497" s="78" cm="1">
        <f t="array" ref="F497">INDEX($D$245:$T$280,MATCH(D497,$D$245:$D$280,0),E497+2)</f>
        <v>0</v>
      </c>
      <c r="G497" s="77">
        <f t="shared" si="18"/>
        <v>0</v>
      </c>
    </row>
    <row r="498" spans="4:7" hidden="1" outlineLevel="1" x14ac:dyDescent="0.3">
      <c r="D498" s="77">
        <f t="shared" si="17"/>
        <v>15</v>
      </c>
      <c r="E498" s="77">
        <v>4</v>
      </c>
      <c r="F498" s="78" cm="1">
        <f t="array" ref="F498">INDEX($D$245:$T$280,MATCH(D498,$D$245:$D$280,0),E498+2)</f>
        <v>0</v>
      </c>
      <c r="G498" s="77">
        <f t="shared" si="18"/>
        <v>0</v>
      </c>
    </row>
    <row r="499" spans="4:7" hidden="1" outlineLevel="1" x14ac:dyDescent="0.3">
      <c r="D499" s="77">
        <f t="shared" si="17"/>
        <v>15</v>
      </c>
      <c r="E499" s="77">
        <v>5</v>
      </c>
      <c r="F499" s="78" cm="1">
        <f t="array" ref="F499">INDEX($D$245:$T$280,MATCH(D499,$D$245:$D$280,0),E499+2)</f>
        <v>0</v>
      </c>
      <c r="G499" s="77">
        <f t="shared" si="18"/>
        <v>0</v>
      </c>
    </row>
    <row r="500" spans="4:7" hidden="1" outlineLevel="1" x14ac:dyDescent="0.3">
      <c r="D500" s="77">
        <f t="shared" si="17"/>
        <v>15</v>
      </c>
      <c r="E500" s="77">
        <v>6</v>
      </c>
      <c r="F500" s="78" cm="1">
        <f t="array" ref="F500">INDEX($D$245:$T$280,MATCH(D500,$D$245:$D$280,0),E500+2)</f>
        <v>0</v>
      </c>
      <c r="G500" s="77">
        <f t="shared" si="18"/>
        <v>0</v>
      </c>
    </row>
    <row r="501" spans="4:7" hidden="1" outlineLevel="1" x14ac:dyDescent="0.3">
      <c r="D501" s="77">
        <f t="shared" si="17"/>
        <v>15</v>
      </c>
      <c r="E501" s="77">
        <v>7</v>
      </c>
      <c r="F501" s="78" cm="1">
        <f t="array" ref="F501">INDEX($D$245:$T$280,MATCH(D501,$D$245:$D$280,0),E501+2)</f>
        <v>0</v>
      </c>
      <c r="G501" s="77">
        <f t="shared" si="18"/>
        <v>0</v>
      </c>
    </row>
    <row r="502" spans="4:7" hidden="1" outlineLevel="1" x14ac:dyDescent="0.3">
      <c r="D502" s="77">
        <f t="shared" si="17"/>
        <v>15</v>
      </c>
      <c r="E502" s="77">
        <v>8</v>
      </c>
      <c r="F502" s="78" cm="1">
        <f t="array" ref="F502">INDEX($D$245:$T$280,MATCH(D502,$D$245:$D$280,0),E502+2)</f>
        <v>0</v>
      </c>
      <c r="G502" s="77">
        <f t="shared" si="18"/>
        <v>0</v>
      </c>
    </row>
    <row r="503" spans="4:7" hidden="1" outlineLevel="1" x14ac:dyDescent="0.3">
      <c r="D503" s="77">
        <f t="shared" si="17"/>
        <v>15</v>
      </c>
      <c r="E503" s="77">
        <v>9</v>
      </c>
      <c r="F503" s="78" cm="1">
        <f t="array" ref="F503">INDEX($D$245:$T$280,MATCH(D503,$D$245:$D$280,0),E503+2)</f>
        <v>0</v>
      </c>
      <c r="G503" s="77">
        <f t="shared" si="18"/>
        <v>0</v>
      </c>
    </row>
    <row r="504" spans="4:7" hidden="1" outlineLevel="1" x14ac:dyDescent="0.3">
      <c r="D504" s="77">
        <f t="shared" si="17"/>
        <v>15</v>
      </c>
      <c r="E504" s="77">
        <v>10</v>
      </c>
      <c r="F504" s="78" cm="1">
        <f t="array" ref="F504">INDEX($D$245:$T$280,MATCH(D504,$D$245:$D$280,0),E504+2)</f>
        <v>0</v>
      </c>
      <c r="G504" s="77">
        <f t="shared" si="18"/>
        <v>0</v>
      </c>
    </row>
    <row r="505" spans="4:7" hidden="1" outlineLevel="1" x14ac:dyDescent="0.3">
      <c r="D505" s="77">
        <f t="shared" si="17"/>
        <v>15</v>
      </c>
      <c r="E505" s="77">
        <v>11</v>
      </c>
      <c r="F505" s="78" cm="1">
        <f t="array" ref="F505">INDEX($D$245:$T$280,MATCH(D505,$D$245:$D$280,0),E505+2)</f>
        <v>0</v>
      </c>
      <c r="G505" s="77">
        <f t="shared" si="18"/>
        <v>0</v>
      </c>
    </row>
    <row r="506" spans="4:7" hidden="1" outlineLevel="1" x14ac:dyDescent="0.3">
      <c r="D506" s="77">
        <f t="shared" si="17"/>
        <v>15</v>
      </c>
      <c r="E506" s="77">
        <v>12</v>
      </c>
      <c r="F506" s="78" cm="1">
        <f t="array" ref="F506">INDEX($D$245:$T$280,MATCH(D506,$D$245:$D$280,0),E506+2)</f>
        <v>0</v>
      </c>
      <c r="G506" s="77">
        <f t="shared" si="18"/>
        <v>0</v>
      </c>
    </row>
    <row r="507" spans="4:7" hidden="1" outlineLevel="1" x14ac:dyDescent="0.3">
      <c r="D507" s="77">
        <f t="shared" si="17"/>
        <v>15</v>
      </c>
      <c r="E507" s="77">
        <v>13</v>
      </c>
      <c r="F507" s="78" cm="1">
        <f t="array" ref="F507">INDEX($D$245:$T$280,MATCH(D507,$D$245:$D$280,0),E507+2)</f>
        <v>0</v>
      </c>
      <c r="G507" s="77">
        <f t="shared" si="18"/>
        <v>0</v>
      </c>
    </row>
    <row r="508" spans="4:7" hidden="1" outlineLevel="1" x14ac:dyDescent="0.3">
      <c r="D508" s="77">
        <f t="shared" si="17"/>
        <v>15</v>
      </c>
      <c r="E508" s="77">
        <v>14</v>
      </c>
      <c r="F508" s="78" cm="1">
        <f t="array" ref="F508">INDEX($D$245:$T$280,MATCH(D508,$D$245:$D$280,0),E508+2)</f>
        <v>0</v>
      </c>
      <c r="G508" s="77">
        <f t="shared" si="18"/>
        <v>0</v>
      </c>
    </row>
    <row r="509" spans="4:7" hidden="1" outlineLevel="1" x14ac:dyDescent="0.3">
      <c r="D509" s="77">
        <f t="shared" si="17"/>
        <v>15</v>
      </c>
      <c r="E509" s="77">
        <v>15</v>
      </c>
      <c r="F509" s="78" cm="1">
        <f t="array" ref="F509">INDEX($D$245:$T$280,MATCH(D509,$D$245:$D$280,0),E509+2)</f>
        <v>0</v>
      </c>
      <c r="G509" s="77">
        <f t="shared" si="18"/>
        <v>0</v>
      </c>
    </row>
    <row r="510" spans="4:7" hidden="1" outlineLevel="1" x14ac:dyDescent="0.3">
      <c r="D510" s="77">
        <f>D495+1</f>
        <v>16</v>
      </c>
      <c r="E510" s="77">
        <v>1</v>
      </c>
      <c r="F510" s="78" cm="1">
        <f t="array" ref="F510">INDEX($D$245:$T$280,MATCH(D510,$D$245:$D$280,0),E510+2)</f>
        <v>1</v>
      </c>
      <c r="G510" s="77">
        <f t="shared" si="18"/>
        <v>16</v>
      </c>
    </row>
    <row r="511" spans="4:7" hidden="1" outlineLevel="1" x14ac:dyDescent="0.3">
      <c r="D511" s="77">
        <f t="shared" ref="D511:D574" si="19">D496+1</f>
        <v>16</v>
      </c>
      <c r="E511" s="77">
        <v>2</v>
      </c>
      <c r="F511" s="78" cm="1">
        <f t="array" ref="F511">INDEX($D$245:$T$280,MATCH(D511,$D$245:$D$280,0),E511+2)</f>
        <v>1</v>
      </c>
      <c r="G511" s="77">
        <f t="shared" si="18"/>
        <v>16</v>
      </c>
    </row>
    <row r="512" spans="4:7" hidden="1" outlineLevel="1" x14ac:dyDescent="0.3">
      <c r="D512" s="77">
        <f t="shared" si="19"/>
        <v>16</v>
      </c>
      <c r="E512" s="77">
        <v>3</v>
      </c>
      <c r="F512" s="78" cm="1">
        <f t="array" ref="F512">INDEX($D$245:$T$280,MATCH(D512,$D$245:$D$280,0),E512+2)</f>
        <v>0</v>
      </c>
      <c r="G512" s="77">
        <f t="shared" si="18"/>
        <v>0</v>
      </c>
    </row>
    <row r="513" spans="4:7" hidden="1" outlineLevel="1" x14ac:dyDescent="0.3">
      <c r="D513" s="77">
        <f t="shared" si="19"/>
        <v>16</v>
      </c>
      <c r="E513" s="77">
        <v>4</v>
      </c>
      <c r="F513" s="78" cm="1">
        <f t="array" ref="F513">INDEX($D$245:$T$280,MATCH(D513,$D$245:$D$280,0),E513+2)</f>
        <v>0</v>
      </c>
      <c r="G513" s="77">
        <f t="shared" si="18"/>
        <v>0</v>
      </c>
    </row>
    <row r="514" spans="4:7" hidden="1" outlineLevel="1" x14ac:dyDescent="0.3">
      <c r="D514" s="77">
        <f t="shared" si="19"/>
        <v>16</v>
      </c>
      <c r="E514" s="77">
        <v>5</v>
      </c>
      <c r="F514" s="78" cm="1">
        <f t="array" ref="F514">INDEX($D$245:$T$280,MATCH(D514,$D$245:$D$280,0),E514+2)</f>
        <v>0</v>
      </c>
      <c r="G514" s="77">
        <f t="shared" si="18"/>
        <v>0</v>
      </c>
    </row>
    <row r="515" spans="4:7" hidden="1" outlineLevel="1" x14ac:dyDescent="0.3">
      <c r="D515" s="77">
        <f t="shared" si="19"/>
        <v>16</v>
      </c>
      <c r="E515" s="77">
        <v>6</v>
      </c>
      <c r="F515" s="78" cm="1">
        <f t="array" ref="F515">INDEX($D$245:$T$280,MATCH(D515,$D$245:$D$280,0),E515+2)</f>
        <v>0</v>
      </c>
      <c r="G515" s="77">
        <f t="shared" si="18"/>
        <v>0</v>
      </c>
    </row>
    <row r="516" spans="4:7" hidden="1" outlineLevel="1" x14ac:dyDescent="0.3">
      <c r="D516" s="77">
        <f t="shared" si="19"/>
        <v>16</v>
      </c>
      <c r="E516" s="77">
        <v>7</v>
      </c>
      <c r="F516" s="78" cm="1">
        <f t="array" ref="F516">INDEX($D$245:$T$280,MATCH(D516,$D$245:$D$280,0),E516+2)</f>
        <v>0</v>
      </c>
      <c r="G516" s="77">
        <f t="shared" si="18"/>
        <v>0</v>
      </c>
    </row>
    <row r="517" spans="4:7" hidden="1" outlineLevel="1" x14ac:dyDescent="0.3">
      <c r="D517" s="77">
        <f t="shared" si="19"/>
        <v>16</v>
      </c>
      <c r="E517" s="77">
        <v>8</v>
      </c>
      <c r="F517" s="78" cm="1">
        <f t="array" ref="F517">INDEX($D$245:$T$280,MATCH(D517,$D$245:$D$280,0),E517+2)</f>
        <v>0</v>
      </c>
      <c r="G517" s="77">
        <f t="shared" si="18"/>
        <v>0</v>
      </c>
    </row>
    <row r="518" spans="4:7" hidden="1" outlineLevel="1" x14ac:dyDescent="0.3">
      <c r="D518" s="77">
        <f t="shared" si="19"/>
        <v>16</v>
      </c>
      <c r="E518" s="77">
        <v>9</v>
      </c>
      <c r="F518" s="78" cm="1">
        <f t="array" ref="F518">INDEX($D$245:$T$280,MATCH(D518,$D$245:$D$280,0),E518+2)</f>
        <v>0</v>
      </c>
      <c r="G518" s="77">
        <f t="shared" si="18"/>
        <v>0</v>
      </c>
    </row>
    <row r="519" spans="4:7" hidden="1" outlineLevel="1" x14ac:dyDescent="0.3">
      <c r="D519" s="77">
        <f t="shared" si="19"/>
        <v>16</v>
      </c>
      <c r="E519" s="77">
        <v>10</v>
      </c>
      <c r="F519" s="78" cm="1">
        <f t="array" ref="F519">INDEX($D$245:$T$280,MATCH(D519,$D$245:$D$280,0),E519+2)</f>
        <v>0</v>
      </c>
      <c r="G519" s="77">
        <f t="shared" si="18"/>
        <v>0</v>
      </c>
    </row>
    <row r="520" spans="4:7" hidden="1" outlineLevel="1" x14ac:dyDescent="0.3">
      <c r="D520" s="77">
        <f t="shared" si="19"/>
        <v>16</v>
      </c>
      <c r="E520" s="77">
        <v>11</v>
      </c>
      <c r="F520" s="78" cm="1">
        <f t="array" ref="F520">INDEX($D$245:$T$280,MATCH(D520,$D$245:$D$280,0),E520+2)</f>
        <v>0</v>
      </c>
      <c r="G520" s="77">
        <f t="shared" si="18"/>
        <v>0</v>
      </c>
    </row>
    <row r="521" spans="4:7" hidden="1" outlineLevel="1" x14ac:dyDescent="0.3">
      <c r="D521" s="77">
        <f t="shared" si="19"/>
        <v>16</v>
      </c>
      <c r="E521" s="77">
        <v>12</v>
      </c>
      <c r="F521" s="78" cm="1">
        <f t="array" ref="F521">INDEX($D$245:$T$280,MATCH(D521,$D$245:$D$280,0),E521+2)</f>
        <v>0</v>
      </c>
      <c r="G521" s="77">
        <f t="shared" si="18"/>
        <v>0</v>
      </c>
    </row>
    <row r="522" spans="4:7" hidden="1" outlineLevel="1" x14ac:dyDescent="0.3">
      <c r="D522" s="77">
        <f t="shared" si="19"/>
        <v>16</v>
      </c>
      <c r="E522" s="77">
        <v>13</v>
      </c>
      <c r="F522" s="78" cm="1">
        <f t="array" ref="F522">INDEX($D$245:$T$280,MATCH(D522,$D$245:$D$280,0),E522+2)</f>
        <v>0</v>
      </c>
      <c r="G522" s="77">
        <f t="shared" si="18"/>
        <v>0</v>
      </c>
    </row>
    <row r="523" spans="4:7" hidden="1" outlineLevel="1" x14ac:dyDescent="0.3">
      <c r="D523" s="77">
        <f t="shared" si="19"/>
        <v>16</v>
      </c>
      <c r="E523" s="77">
        <v>14</v>
      </c>
      <c r="F523" s="78" cm="1">
        <f t="array" ref="F523">INDEX($D$245:$T$280,MATCH(D523,$D$245:$D$280,0),E523+2)</f>
        <v>0</v>
      </c>
      <c r="G523" s="77">
        <f t="shared" si="18"/>
        <v>0</v>
      </c>
    </row>
    <row r="524" spans="4:7" hidden="1" outlineLevel="1" x14ac:dyDescent="0.3">
      <c r="D524" s="77">
        <f t="shared" si="19"/>
        <v>16</v>
      </c>
      <c r="E524" s="77">
        <v>15</v>
      </c>
      <c r="F524" s="78" cm="1">
        <f t="array" ref="F524">INDEX($D$245:$T$280,MATCH(D524,$D$245:$D$280,0),E524+2)</f>
        <v>0</v>
      </c>
      <c r="G524" s="77">
        <f t="shared" si="18"/>
        <v>0</v>
      </c>
    </row>
    <row r="525" spans="4:7" hidden="1" outlineLevel="1" x14ac:dyDescent="0.3">
      <c r="D525" s="77">
        <f t="shared" si="19"/>
        <v>17</v>
      </c>
      <c r="E525" s="77">
        <v>1</v>
      </c>
      <c r="F525" s="78" cm="1">
        <f t="array" ref="F525">INDEX($D$245:$T$280,MATCH(D525,$D$245:$D$280,0),E525+2)</f>
        <v>1</v>
      </c>
      <c r="G525" s="77">
        <f t="shared" si="18"/>
        <v>17</v>
      </c>
    </row>
    <row r="526" spans="4:7" hidden="1" outlineLevel="1" x14ac:dyDescent="0.3">
      <c r="D526" s="77">
        <f t="shared" si="19"/>
        <v>17</v>
      </c>
      <c r="E526" s="77">
        <v>2</v>
      </c>
      <c r="F526" s="78" cm="1">
        <f t="array" ref="F526">INDEX($D$245:$T$280,MATCH(D526,$D$245:$D$280,0),E526+2)</f>
        <v>1</v>
      </c>
      <c r="G526" s="77">
        <f t="shared" si="18"/>
        <v>17</v>
      </c>
    </row>
    <row r="527" spans="4:7" hidden="1" outlineLevel="1" x14ac:dyDescent="0.3">
      <c r="D527" s="77">
        <f t="shared" si="19"/>
        <v>17</v>
      </c>
      <c r="E527" s="77">
        <v>3</v>
      </c>
      <c r="F527" s="78" cm="1">
        <f t="array" ref="F527">INDEX($D$245:$T$280,MATCH(D527,$D$245:$D$280,0),E527+2)</f>
        <v>0</v>
      </c>
      <c r="G527" s="77">
        <f t="shared" si="18"/>
        <v>0</v>
      </c>
    </row>
    <row r="528" spans="4:7" hidden="1" outlineLevel="1" x14ac:dyDescent="0.3">
      <c r="D528" s="77">
        <f t="shared" si="19"/>
        <v>17</v>
      </c>
      <c r="E528" s="77">
        <v>4</v>
      </c>
      <c r="F528" s="78" cm="1">
        <f t="array" ref="F528">INDEX($D$245:$T$280,MATCH(D528,$D$245:$D$280,0),E528+2)</f>
        <v>0</v>
      </c>
      <c r="G528" s="77">
        <f t="shared" si="18"/>
        <v>0</v>
      </c>
    </row>
    <row r="529" spans="4:7" hidden="1" outlineLevel="1" x14ac:dyDescent="0.3">
      <c r="D529" s="77">
        <f t="shared" si="19"/>
        <v>17</v>
      </c>
      <c r="E529" s="77">
        <v>5</v>
      </c>
      <c r="F529" s="78" cm="1">
        <f t="array" ref="F529">INDEX($D$245:$T$280,MATCH(D529,$D$245:$D$280,0),E529+2)</f>
        <v>0</v>
      </c>
      <c r="G529" s="77">
        <f t="shared" si="18"/>
        <v>0</v>
      </c>
    </row>
    <row r="530" spans="4:7" hidden="1" outlineLevel="1" x14ac:dyDescent="0.3">
      <c r="D530" s="77">
        <f t="shared" si="19"/>
        <v>17</v>
      </c>
      <c r="E530" s="77">
        <v>6</v>
      </c>
      <c r="F530" s="78" cm="1">
        <f t="array" ref="F530">INDEX($D$245:$T$280,MATCH(D530,$D$245:$D$280,0),E530+2)</f>
        <v>0</v>
      </c>
      <c r="G530" s="77">
        <f t="shared" si="18"/>
        <v>0</v>
      </c>
    </row>
    <row r="531" spans="4:7" hidden="1" outlineLevel="1" x14ac:dyDescent="0.3">
      <c r="D531" s="77">
        <f t="shared" si="19"/>
        <v>17</v>
      </c>
      <c r="E531" s="77">
        <v>7</v>
      </c>
      <c r="F531" s="78" cm="1">
        <f t="array" ref="F531">INDEX($D$245:$T$280,MATCH(D531,$D$245:$D$280,0),E531+2)</f>
        <v>0</v>
      </c>
      <c r="G531" s="77">
        <f t="shared" si="18"/>
        <v>0</v>
      </c>
    </row>
    <row r="532" spans="4:7" hidden="1" outlineLevel="1" x14ac:dyDescent="0.3">
      <c r="D532" s="77">
        <f t="shared" si="19"/>
        <v>17</v>
      </c>
      <c r="E532" s="77">
        <v>8</v>
      </c>
      <c r="F532" s="78" cm="1">
        <f t="array" ref="F532">INDEX($D$245:$T$280,MATCH(D532,$D$245:$D$280,0),E532+2)</f>
        <v>0</v>
      </c>
      <c r="G532" s="77">
        <f t="shared" si="18"/>
        <v>0</v>
      </c>
    </row>
    <row r="533" spans="4:7" hidden="1" outlineLevel="1" x14ac:dyDescent="0.3">
      <c r="D533" s="77">
        <f t="shared" si="19"/>
        <v>17</v>
      </c>
      <c r="E533" s="77">
        <v>9</v>
      </c>
      <c r="F533" s="78" cm="1">
        <f t="array" ref="F533">INDEX($D$245:$T$280,MATCH(D533,$D$245:$D$280,0),E533+2)</f>
        <v>0</v>
      </c>
      <c r="G533" s="77">
        <f t="shared" si="18"/>
        <v>0</v>
      </c>
    </row>
    <row r="534" spans="4:7" hidden="1" outlineLevel="1" x14ac:dyDescent="0.3">
      <c r="D534" s="77">
        <f t="shared" si="19"/>
        <v>17</v>
      </c>
      <c r="E534" s="77">
        <v>10</v>
      </c>
      <c r="F534" s="78" cm="1">
        <f t="array" ref="F534">INDEX($D$245:$T$280,MATCH(D534,$D$245:$D$280,0),E534+2)</f>
        <v>0</v>
      </c>
      <c r="G534" s="77">
        <f t="shared" si="18"/>
        <v>0</v>
      </c>
    </row>
    <row r="535" spans="4:7" hidden="1" outlineLevel="1" x14ac:dyDescent="0.3">
      <c r="D535" s="77">
        <f t="shared" si="19"/>
        <v>17</v>
      </c>
      <c r="E535" s="77">
        <v>11</v>
      </c>
      <c r="F535" s="78" cm="1">
        <f t="array" ref="F535">INDEX($D$245:$T$280,MATCH(D535,$D$245:$D$280,0),E535+2)</f>
        <v>0</v>
      </c>
      <c r="G535" s="77">
        <f t="shared" si="18"/>
        <v>0</v>
      </c>
    </row>
    <row r="536" spans="4:7" hidden="1" outlineLevel="1" x14ac:dyDescent="0.3">
      <c r="D536" s="77">
        <f t="shared" si="19"/>
        <v>17</v>
      </c>
      <c r="E536" s="77">
        <v>12</v>
      </c>
      <c r="F536" s="78" cm="1">
        <f t="array" ref="F536">INDEX($D$245:$T$280,MATCH(D536,$D$245:$D$280,0),E536+2)</f>
        <v>0</v>
      </c>
      <c r="G536" s="77">
        <f t="shared" si="18"/>
        <v>0</v>
      </c>
    </row>
    <row r="537" spans="4:7" hidden="1" outlineLevel="1" x14ac:dyDescent="0.3">
      <c r="D537" s="77">
        <f t="shared" si="19"/>
        <v>17</v>
      </c>
      <c r="E537" s="77">
        <v>13</v>
      </c>
      <c r="F537" s="78" cm="1">
        <f t="array" ref="F537">INDEX($D$245:$T$280,MATCH(D537,$D$245:$D$280,0),E537+2)</f>
        <v>0</v>
      </c>
      <c r="G537" s="77">
        <f t="shared" si="18"/>
        <v>0</v>
      </c>
    </row>
    <row r="538" spans="4:7" hidden="1" outlineLevel="1" x14ac:dyDescent="0.3">
      <c r="D538" s="77">
        <f t="shared" si="19"/>
        <v>17</v>
      </c>
      <c r="E538" s="77">
        <v>14</v>
      </c>
      <c r="F538" s="78" cm="1">
        <f t="array" ref="F538">INDEX($D$245:$T$280,MATCH(D538,$D$245:$D$280,0),E538+2)</f>
        <v>0</v>
      </c>
      <c r="G538" s="77">
        <f t="shared" si="18"/>
        <v>0</v>
      </c>
    </row>
    <row r="539" spans="4:7" hidden="1" outlineLevel="1" x14ac:dyDescent="0.3">
      <c r="D539" s="77">
        <f t="shared" si="19"/>
        <v>17</v>
      </c>
      <c r="E539" s="77">
        <v>15</v>
      </c>
      <c r="F539" s="78" cm="1">
        <f t="array" ref="F539">INDEX($D$245:$T$280,MATCH(D539,$D$245:$D$280,0),E539+2)</f>
        <v>0</v>
      </c>
      <c r="G539" s="77">
        <f t="shared" si="18"/>
        <v>0</v>
      </c>
    </row>
    <row r="540" spans="4:7" hidden="1" outlineLevel="1" x14ac:dyDescent="0.3">
      <c r="D540" s="77">
        <f t="shared" si="19"/>
        <v>18</v>
      </c>
      <c r="E540" s="77">
        <v>1</v>
      </c>
      <c r="F540" s="78" cm="1">
        <f t="array" ref="F540">INDEX($D$245:$T$280,MATCH(D540,$D$245:$D$280,0),E540+2)</f>
        <v>1</v>
      </c>
      <c r="G540" s="77">
        <f t="shared" si="18"/>
        <v>18</v>
      </c>
    </row>
    <row r="541" spans="4:7" hidden="1" outlineLevel="1" x14ac:dyDescent="0.3">
      <c r="D541" s="77">
        <f t="shared" si="19"/>
        <v>18</v>
      </c>
      <c r="E541" s="77">
        <v>2</v>
      </c>
      <c r="F541" s="78" cm="1">
        <f t="array" ref="F541">INDEX($D$245:$T$280,MATCH(D541,$D$245:$D$280,0),E541+2)</f>
        <v>1</v>
      </c>
      <c r="G541" s="77">
        <f t="shared" ref="G541:G604" si="20">IF(F541&gt;0,D541,0)</f>
        <v>18</v>
      </c>
    </row>
    <row r="542" spans="4:7" hidden="1" outlineLevel="1" x14ac:dyDescent="0.3">
      <c r="D542" s="77">
        <f t="shared" si="19"/>
        <v>18</v>
      </c>
      <c r="E542" s="77">
        <v>3</v>
      </c>
      <c r="F542" s="78" cm="1">
        <f t="array" ref="F542">INDEX($D$245:$T$280,MATCH(D542,$D$245:$D$280,0),E542+2)</f>
        <v>1</v>
      </c>
      <c r="G542" s="77">
        <f t="shared" si="20"/>
        <v>18</v>
      </c>
    </row>
    <row r="543" spans="4:7" hidden="1" outlineLevel="1" x14ac:dyDescent="0.3">
      <c r="D543" s="77">
        <f t="shared" si="19"/>
        <v>18</v>
      </c>
      <c r="E543" s="77">
        <v>4</v>
      </c>
      <c r="F543" s="78" cm="1">
        <f t="array" ref="F543">INDEX($D$245:$T$280,MATCH(D543,$D$245:$D$280,0),E543+2)</f>
        <v>1</v>
      </c>
      <c r="G543" s="77">
        <f t="shared" si="20"/>
        <v>18</v>
      </c>
    </row>
    <row r="544" spans="4:7" hidden="1" outlineLevel="1" x14ac:dyDescent="0.3">
      <c r="D544" s="77">
        <f t="shared" si="19"/>
        <v>18</v>
      </c>
      <c r="E544" s="77">
        <v>5</v>
      </c>
      <c r="F544" s="78" cm="1">
        <f t="array" ref="F544">INDEX($D$245:$T$280,MATCH(D544,$D$245:$D$280,0),E544+2)</f>
        <v>1</v>
      </c>
      <c r="G544" s="77">
        <f t="shared" si="20"/>
        <v>18</v>
      </c>
    </row>
    <row r="545" spans="4:7" hidden="1" outlineLevel="1" x14ac:dyDescent="0.3">
      <c r="D545" s="77">
        <f t="shared" si="19"/>
        <v>18</v>
      </c>
      <c r="E545" s="77">
        <v>6</v>
      </c>
      <c r="F545" s="78" cm="1">
        <f t="array" ref="F545">INDEX($D$245:$T$280,MATCH(D545,$D$245:$D$280,0),E545+2)</f>
        <v>1</v>
      </c>
      <c r="G545" s="77">
        <f t="shared" si="20"/>
        <v>18</v>
      </c>
    </row>
    <row r="546" spans="4:7" hidden="1" outlineLevel="1" x14ac:dyDescent="0.3">
      <c r="D546" s="77">
        <f t="shared" si="19"/>
        <v>18</v>
      </c>
      <c r="E546" s="77">
        <v>7</v>
      </c>
      <c r="F546" s="78" cm="1">
        <f t="array" ref="F546">INDEX($D$245:$T$280,MATCH(D546,$D$245:$D$280,0),E546+2)</f>
        <v>1</v>
      </c>
      <c r="G546" s="77">
        <f t="shared" si="20"/>
        <v>18</v>
      </c>
    </row>
    <row r="547" spans="4:7" hidden="1" outlineLevel="1" x14ac:dyDescent="0.3">
      <c r="D547" s="77">
        <f t="shared" si="19"/>
        <v>18</v>
      </c>
      <c r="E547" s="77">
        <v>8</v>
      </c>
      <c r="F547" s="78" cm="1">
        <f t="array" ref="F547">INDEX($D$245:$T$280,MATCH(D547,$D$245:$D$280,0),E547+2)</f>
        <v>1</v>
      </c>
      <c r="G547" s="77">
        <f t="shared" si="20"/>
        <v>18</v>
      </c>
    </row>
    <row r="548" spans="4:7" hidden="1" outlineLevel="1" x14ac:dyDescent="0.3">
      <c r="D548" s="77">
        <f t="shared" si="19"/>
        <v>18</v>
      </c>
      <c r="E548" s="77">
        <v>9</v>
      </c>
      <c r="F548" s="78" cm="1">
        <f t="array" ref="F548">INDEX($D$245:$T$280,MATCH(D548,$D$245:$D$280,0),E548+2)</f>
        <v>0</v>
      </c>
      <c r="G548" s="77">
        <f t="shared" si="20"/>
        <v>0</v>
      </c>
    </row>
    <row r="549" spans="4:7" hidden="1" outlineLevel="1" x14ac:dyDescent="0.3">
      <c r="D549" s="77">
        <f t="shared" si="19"/>
        <v>18</v>
      </c>
      <c r="E549" s="77">
        <v>10</v>
      </c>
      <c r="F549" s="78" cm="1">
        <f t="array" ref="F549">INDEX($D$245:$T$280,MATCH(D549,$D$245:$D$280,0),E549+2)</f>
        <v>0</v>
      </c>
      <c r="G549" s="77">
        <f t="shared" si="20"/>
        <v>0</v>
      </c>
    </row>
    <row r="550" spans="4:7" hidden="1" outlineLevel="1" x14ac:dyDescent="0.3">
      <c r="D550" s="77">
        <f t="shared" si="19"/>
        <v>18</v>
      </c>
      <c r="E550" s="77">
        <v>11</v>
      </c>
      <c r="F550" s="78" cm="1">
        <f t="array" ref="F550">INDEX($D$245:$T$280,MATCH(D550,$D$245:$D$280,0),E550+2)</f>
        <v>0</v>
      </c>
      <c r="G550" s="77">
        <f t="shared" si="20"/>
        <v>0</v>
      </c>
    </row>
    <row r="551" spans="4:7" hidden="1" outlineLevel="1" x14ac:dyDescent="0.3">
      <c r="D551" s="77">
        <f t="shared" si="19"/>
        <v>18</v>
      </c>
      <c r="E551" s="77">
        <v>12</v>
      </c>
      <c r="F551" s="78" cm="1">
        <f t="array" ref="F551">INDEX($D$245:$T$280,MATCH(D551,$D$245:$D$280,0),E551+2)</f>
        <v>0</v>
      </c>
      <c r="G551" s="77">
        <f t="shared" si="20"/>
        <v>0</v>
      </c>
    </row>
    <row r="552" spans="4:7" hidden="1" outlineLevel="1" x14ac:dyDescent="0.3">
      <c r="D552" s="77">
        <f t="shared" si="19"/>
        <v>18</v>
      </c>
      <c r="E552" s="77">
        <v>13</v>
      </c>
      <c r="F552" s="78" cm="1">
        <f t="array" ref="F552">INDEX($D$245:$T$280,MATCH(D552,$D$245:$D$280,0),E552+2)</f>
        <v>0</v>
      </c>
      <c r="G552" s="77">
        <f t="shared" si="20"/>
        <v>0</v>
      </c>
    </row>
    <row r="553" spans="4:7" hidden="1" outlineLevel="1" x14ac:dyDescent="0.3">
      <c r="D553" s="77">
        <f t="shared" si="19"/>
        <v>18</v>
      </c>
      <c r="E553" s="77">
        <v>14</v>
      </c>
      <c r="F553" s="78" cm="1">
        <f t="array" ref="F553">INDEX($D$245:$T$280,MATCH(D553,$D$245:$D$280,0),E553+2)</f>
        <v>0</v>
      </c>
      <c r="G553" s="77">
        <f t="shared" si="20"/>
        <v>0</v>
      </c>
    </row>
    <row r="554" spans="4:7" hidden="1" outlineLevel="1" x14ac:dyDescent="0.3">
      <c r="D554" s="77">
        <f t="shared" si="19"/>
        <v>18</v>
      </c>
      <c r="E554" s="77">
        <v>15</v>
      </c>
      <c r="F554" s="78" cm="1">
        <f t="array" ref="F554">INDEX($D$245:$T$280,MATCH(D554,$D$245:$D$280,0),E554+2)</f>
        <v>0</v>
      </c>
      <c r="G554" s="77">
        <f t="shared" si="20"/>
        <v>0</v>
      </c>
    </row>
    <row r="555" spans="4:7" hidden="1" outlineLevel="1" x14ac:dyDescent="0.3">
      <c r="D555" s="77">
        <f t="shared" si="19"/>
        <v>19</v>
      </c>
      <c r="E555" s="77">
        <v>1</v>
      </c>
      <c r="F555" s="78" cm="1">
        <f t="array" ref="F555">INDEX($D$245:$T$280,MATCH(D555,$D$245:$D$280,0),E555+2)</f>
        <v>0</v>
      </c>
      <c r="G555" s="77">
        <f t="shared" si="20"/>
        <v>0</v>
      </c>
    </row>
    <row r="556" spans="4:7" hidden="1" outlineLevel="1" x14ac:dyDescent="0.3">
      <c r="D556" s="77">
        <f t="shared" si="19"/>
        <v>19</v>
      </c>
      <c r="E556" s="77">
        <v>2</v>
      </c>
      <c r="F556" s="78" cm="1">
        <f t="array" ref="F556">INDEX($D$245:$T$280,MATCH(D556,$D$245:$D$280,0),E556+2)</f>
        <v>0</v>
      </c>
      <c r="G556" s="77">
        <f t="shared" si="20"/>
        <v>0</v>
      </c>
    </row>
    <row r="557" spans="4:7" hidden="1" outlineLevel="1" x14ac:dyDescent="0.3">
      <c r="D557" s="77">
        <f t="shared" si="19"/>
        <v>19</v>
      </c>
      <c r="E557" s="77">
        <v>3</v>
      </c>
      <c r="F557" s="78" cm="1">
        <f t="array" ref="F557">INDEX($D$245:$T$280,MATCH(D557,$D$245:$D$280,0),E557+2)</f>
        <v>0</v>
      </c>
      <c r="G557" s="77">
        <f t="shared" si="20"/>
        <v>0</v>
      </c>
    </row>
    <row r="558" spans="4:7" hidden="1" outlineLevel="1" x14ac:dyDescent="0.3">
      <c r="D558" s="77">
        <f t="shared" si="19"/>
        <v>19</v>
      </c>
      <c r="E558" s="77">
        <v>4</v>
      </c>
      <c r="F558" s="78" cm="1">
        <f t="array" ref="F558">INDEX($D$245:$T$280,MATCH(D558,$D$245:$D$280,0),E558+2)</f>
        <v>0</v>
      </c>
      <c r="G558" s="77">
        <f t="shared" si="20"/>
        <v>0</v>
      </c>
    </row>
    <row r="559" spans="4:7" hidden="1" outlineLevel="1" x14ac:dyDescent="0.3">
      <c r="D559" s="77">
        <f t="shared" si="19"/>
        <v>19</v>
      </c>
      <c r="E559" s="77">
        <v>5</v>
      </c>
      <c r="F559" s="78" cm="1">
        <f t="array" ref="F559">INDEX($D$245:$T$280,MATCH(D559,$D$245:$D$280,0),E559+2)</f>
        <v>0</v>
      </c>
      <c r="G559" s="77">
        <f t="shared" si="20"/>
        <v>0</v>
      </c>
    </row>
    <row r="560" spans="4:7" hidden="1" outlineLevel="1" x14ac:dyDescent="0.3">
      <c r="D560" s="77">
        <f t="shared" si="19"/>
        <v>19</v>
      </c>
      <c r="E560" s="77">
        <v>6</v>
      </c>
      <c r="F560" s="78" cm="1">
        <f t="array" ref="F560">INDEX($D$245:$T$280,MATCH(D560,$D$245:$D$280,0),E560+2)</f>
        <v>0</v>
      </c>
      <c r="G560" s="77">
        <f t="shared" si="20"/>
        <v>0</v>
      </c>
    </row>
    <row r="561" spans="4:7" hidden="1" outlineLevel="1" x14ac:dyDescent="0.3">
      <c r="D561" s="77">
        <f t="shared" si="19"/>
        <v>19</v>
      </c>
      <c r="E561" s="77">
        <v>7</v>
      </c>
      <c r="F561" s="78" cm="1">
        <f t="array" ref="F561">INDEX($D$245:$T$280,MATCH(D561,$D$245:$D$280,0),E561+2)</f>
        <v>0</v>
      </c>
      <c r="G561" s="77">
        <f t="shared" si="20"/>
        <v>0</v>
      </c>
    </row>
    <row r="562" spans="4:7" hidden="1" outlineLevel="1" x14ac:dyDescent="0.3">
      <c r="D562" s="77">
        <f t="shared" si="19"/>
        <v>19</v>
      </c>
      <c r="E562" s="77">
        <v>8</v>
      </c>
      <c r="F562" s="78" cm="1">
        <f t="array" ref="F562">INDEX($D$245:$T$280,MATCH(D562,$D$245:$D$280,0),E562+2)</f>
        <v>0</v>
      </c>
      <c r="G562" s="77">
        <f t="shared" si="20"/>
        <v>0</v>
      </c>
    </row>
    <row r="563" spans="4:7" hidden="1" outlineLevel="1" x14ac:dyDescent="0.3">
      <c r="D563" s="77">
        <f t="shared" si="19"/>
        <v>19</v>
      </c>
      <c r="E563" s="77">
        <v>9</v>
      </c>
      <c r="F563" s="78" cm="1">
        <f t="array" ref="F563">INDEX($D$245:$T$280,MATCH(D563,$D$245:$D$280,0),E563+2)</f>
        <v>0</v>
      </c>
      <c r="G563" s="77">
        <f t="shared" si="20"/>
        <v>0</v>
      </c>
    </row>
    <row r="564" spans="4:7" hidden="1" outlineLevel="1" x14ac:dyDescent="0.3">
      <c r="D564" s="77">
        <f t="shared" si="19"/>
        <v>19</v>
      </c>
      <c r="E564" s="77">
        <v>10</v>
      </c>
      <c r="F564" s="78" cm="1">
        <f t="array" ref="F564">INDEX($D$245:$T$280,MATCH(D564,$D$245:$D$280,0),E564+2)</f>
        <v>0</v>
      </c>
      <c r="G564" s="77">
        <f t="shared" si="20"/>
        <v>0</v>
      </c>
    </row>
    <row r="565" spans="4:7" hidden="1" outlineLevel="1" x14ac:dyDescent="0.3">
      <c r="D565" s="77">
        <f t="shared" si="19"/>
        <v>19</v>
      </c>
      <c r="E565" s="77">
        <v>11</v>
      </c>
      <c r="F565" s="78" cm="1">
        <f t="array" ref="F565">INDEX($D$245:$T$280,MATCH(D565,$D$245:$D$280,0),E565+2)</f>
        <v>0</v>
      </c>
      <c r="G565" s="77">
        <f t="shared" si="20"/>
        <v>0</v>
      </c>
    </row>
    <row r="566" spans="4:7" hidden="1" outlineLevel="1" x14ac:dyDescent="0.3">
      <c r="D566" s="77">
        <f t="shared" si="19"/>
        <v>19</v>
      </c>
      <c r="E566" s="77">
        <v>12</v>
      </c>
      <c r="F566" s="78" cm="1">
        <f t="array" ref="F566">INDEX($D$245:$T$280,MATCH(D566,$D$245:$D$280,0),E566+2)</f>
        <v>0</v>
      </c>
      <c r="G566" s="77">
        <f t="shared" si="20"/>
        <v>0</v>
      </c>
    </row>
    <row r="567" spans="4:7" hidden="1" outlineLevel="1" x14ac:dyDescent="0.3">
      <c r="D567" s="77">
        <f t="shared" si="19"/>
        <v>19</v>
      </c>
      <c r="E567" s="77">
        <v>13</v>
      </c>
      <c r="F567" s="78" cm="1">
        <f t="array" ref="F567">INDEX($D$245:$T$280,MATCH(D567,$D$245:$D$280,0),E567+2)</f>
        <v>0</v>
      </c>
      <c r="G567" s="77">
        <f t="shared" si="20"/>
        <v>0</v>
      </c>
    </row>
    <row r="568" spans="4:7" hidden="1" outlineLevel="1" x14ac:dyDescent="0.3">
      <c r="D568" s="77">
        <f t="shared" si="19"/>
        <v>19</v>
      </c>
      <c r="E568" s="77">
        <v>14</v>
      </c>
      <c r="F568" s="78" cm="1">
        <f t="array" ref="F568">INDEX($D$245:$T$280,MATCH(D568,$D$245:$D$280,0),E568+2)</f>
        <v>0</v>
      </c>
      <c r="G568" s="77">
        <f t="shared" si="20"/>
        <v>0</v>
      </c>
    </row>
    <row r="569" spans="4:7" hidden="1" outlineLevel="1" x14ac:dyDescent="0.3">
      <c r="D569" s="77">
        <f t="shared" si="19"/>
        <v>19</v>
      </c>
      <c r="E569" s="77">
        <v>15</v>
      </c>
      <c r="F569" s="78" cm="1">
        <f t="array" ref="F569">INDEX($D$245:$T$280,MATCH(D569,$D$245:$D$280,0),E569+2)</f>
        <v>0</v>
      </c>
      <c r="G569" s="77">
        <f t="shared" si="20"/>
        <v>0</v>
      </c>
    </row>
    <row r="570" spans="4:7" hidden="1" outlineLevel="1" x14ac:dyDescent="0.3">
      <c r="D570" s="77">
        <f t="shared" si="19"/>
        <v>20</v>
      </c>
      <c r="E570" s="77">
        <v>1</v>
      </c>
      <c r="F570" s="78" cm="1">
        <f t="array" ref="F570">INDEX($D$245:$T$280,MATCH(D570,$D$245:$D$280,0),E570+2)</f>
        <v>0</v>
      </c>
      <c r="G570" s="77">
        <f t="shared" si="20"/>
        <v>0</v>
      </c>
    </row>
    <row r="571" spans="4:7" hidden="1" outlineLevel="1" x14ac:dyDescent="0.3">
      <c r="D571" s="77">
        <f t="shared" si="19"/>
        <v>20</v>
      </c>
      <c r="E571" s="77">
        <v>2</v>
      </c>
      <c r="F571" s="78" cm="1">
        <f t="array" ref="F571">INDEX($D$245:$T$280,MATCH(D571,$D$245:$D$280,0),E571+2)</f>
        <v>0</v>
      </c>
      <c r="G571" s="77">
        <f t="shared" si="20"/>
        <v>0</v>
      </c>
    </row>
    <row r="572" spans="4:7" hidden="1" outlineLevel="1" x14ac:dyDescent="0.3">
      <c r="D572" s="77">
        <f t="shared" si="19"/>
        <v>20</v>
      </c>
      <c r="E572" s="77">
        <v>3</v>
      </c>
      <c r="F572" s="78" cm="1">
        <f t="array" ref="F572">INDEX($D$245:$T$280,MATCH(D572,$D$245:$D$280,0),E572+2)</f>
        <v>0</v>
      </c>
      <c r="G572" s="77">
        <f t="shared" si="20"/>
        <v>0</v>
      </c>
    </row>
    <row r="573" spans="4:7" hidden="1" outlineLevel="1" x14ac:dyDescent="0.3">
      <c r="D573" s="77">
        <f t="shared" si="19"/>
        <v>20</v>
      </c>
      <c r="E573" s="77">
        <v>4</v>
      </c>
      <c r="F573" s="78" cm="1">
        <f t="array" ref="F573">INDEX($D$245:$T$280,MATCH(D573,$D$245:$D$280,0),E573+2)</f>
        <v>0</v>
      </c>
      <c r="G573" s="77">
        <f t="shared" si="20"/>
        <v>0</v>
      </c>
    </row>
    <row r="574" spans="4:7" hidden="1" outlineLevel="1" x14ac:dyDescent="0.3">
      <c r="D574" s="77">
        <f t="shared" si="19"/>
        <v>20</v>
      </c>
      <c r="E574" s="77">
        <v>5</v>
      </c>
      <c r="F574" s="78" cm="1">
        <f t="array" ref="F574">INDEX($D$245:$T$280,MATCH(D574,$D$245:$D$280,0),E574+2)</f>
        <v>0</v>
      </c>
      <c r="G574" s="77">
        <f t="shared" si="20"/>
        <v>0</v>
      </c>
    </row>
    <row r="575" spans="4:7" hidden="1" outlineLevel="1" x14ac:dyDescent="0.3">
      <c r="D575" s="77">
        <f t="shared" ref="D575:D638" si="21">D560+1</f>
        <v>20</v>
      </c>
      <c r="E575" s="77">
        <v>6</v>
      </c>
      <c r="F575" s="78" cm="1">
        <f t="array" ref="F575">INDEX($D$245:$T$280,MATCH(D575,$D$245:$D$280,0),E575+2)</f>
        <v>0</v>
      </c>
      <c r="G575" s="77">
        <f t="shared" si="20"/>
        <v>0</v>
      </c>
    </row>
    <row r="576" spans="4:7" hidden="1" outlineLevel="1" x14ac:dyDescent="0.3">
      <c r="D576" s="77">
        <f t="shared" si="21"/>
        <v>20</v>
      </c>
      <c r="E576" s="77">
        <v>7</v>
      </c>
      <c r="F576" s="78" cm="1">
        <f t="array" ref="F576">INDEX($D$245:$T$280,MATCH(D576,$D$245:$D$280,0),E576+2)</f>
        <v>0</v>
      </c>
      <c r="G576" s="77">
        <f t="shared" si="20"/>
        <v>0</v>
      </c>
    </row>
    <row r="577" spans="4:7" hidden="1" outlineLevel="1" x14ac:dyDescent="0.3">
      <c r="D577" s="77">
        <f t="shared" si="21"/>
        <v>20</v>
      </c>
      <c r="E577" s="77">
        <v>8</v>
      </c>
      <c r="F577" s="78" cm="1">
        <f t="array" ref="F577">INDEX($D$245:$T$280,MATCH(D577,$D$245:$D$280,0),E577+2)</f>
        <v>0</v>
      </c>
      <c r="G577" s="77">
        <f t="shared" si="20"/>
        <v>0</v>
      </c>
    </row>
    <row r="578" spans="4:7" hidden="1" outlineLevel="1" x14ac:dyDescent="0.3">
      <c r="D578" s="77">
        <f t="shared" si="21"/>
        <v>20</v>
      </c>
      <c r="E578" s="77">
        <v>9</v>
      </c>
      <c r="F578" s="78" cm="1">
        <f t="array" ref="F578">INDEX($D$245:$T$280,MATCH(D578,$D$245:$D$280,0),E578+2)</f>
        <v>0</v>
      </c>
      <c r="G578" s="77">
        <f t="shared" si="20"/>
        <v>0</v>
      </c>
    </row>
    <row r="579" spans="4:7" hidden="1" outlineLevel="1" x14ac:dyDescent="0.3">
      <c r="D579" s="77">
        <f t="shared" si="21"/>
        <v>20</v>
      </c>
      <c r="E579" s="77">
        <v>10</v>
      </c>
      <c r="F579" s="78" cm="1">
        <f t="array" ref="F579">INDEX($D$245:$T$280,MATCH(D579,$D$245:$D$280,0),E579+2)</f>
        <v>0</v>
      </c>
      <c r="G579" s="77">
        <f t="shared" si="20"/>
        <v>0</v>
      </c>
    </row>
    <row r="580" spans="4:7" hidden="1" outlineLevel="1" x14ac:dyDescent="0.3">
      <c r="D580" s="77">
        <f t="shared" si="21"/>
        <v>20</v>
      </c>
      <c r="E580" s="77">
        <v>11</v>
      </c>
      <c r="F580" s="78" cm="1">
        <f t="array" ref="F580">INDEX($D$245:$T$280,MATCH(D580,$D$245:$D$280,0),E580+2)</f>
        <v>0</v>
      </c>
      <c r="G580" s="77">
        <f t="shared" si="20"/>
        <v>0</v>
      </c>
    </row>
    <row r="581" spans="4:7" hidden="1" outlineLevel="1" x14ac:dyDescent="0.3">
      <c r="D581" s="77">
        <f t="shared" si="21"/>
        <v>20</v>
      </c>
      <c r="E581" s="77">
        <v>12</v>
      </c>
      <c r="F581" s="78" cm="1">
        <f t="array" ref="F581">INDEX($D$245:$T$280,MATCH(D581,$D$245:$D$280,0),E581+2)</f>
        <v>0</v>
      </c>
      <c r="G581" s="77">
        <f t="shared" si="20"/>
        <v>0</v>
      </c>
    </row>
    <row r="582" spans="4:7" hidden="1" outlineLevel="1" x14ac:dyDescent="0.3">
      <c r="D582" s="77">
        <f t="shared" si="21"/>
        <v>20</v>
      </c>
      <c r="E582" s="77">
        <v>13</v>
      </c>
      <c r="F582" s="78" cm="1">
        <f t="array" ref="F582">INDEX($D$245:$T$280,MATCH(D582,$D$245:$D$280,0),E582+2)</f>
        <v>0</v>
      </c>
      <c r="G582" s="77">
        <f t="shared" si="20"/>
        <v>0</v>
      </c>
    </row>
    <row r="583" spans="4:7" hidden="1" outlineLevel="1" x14ac:dyDescent="0.3">
      <c r="D583" s="77">
        <f t="shared" si="21"/>
        <v>20</v>
      </c>
      <c r="E583" s="77">
        <v>14</v>
      </c>
      <c r="F583" s="78" cm="1">
        <f t="array" ref="F583">INDEX($D$245:$T$280,MATCH(D583,$D$245:$D$280,0),E583+2)</f>
        <v>0</v>
      </c>
      <c r="G583" s="77">
        <f t="shared" si="20"/>
        <v>0</v>
      </c>
    </row>
    <row r="584" spans="4:7" hidden="1" outlineLevel="1" x14ac:dyDescent="0.3">
      <c r="D584" s="77">
        <f t="shared" si="21"/>
        <v>20</v>
      </c>
      <c r="E584" s="77">
        <v>15</v>
      </c>
      <c r="F584" s="78" cm="1">
        <f t="array" ref="F584">INDEX($D$245:$T$280,MATCH(D584,$D$245:$D$280,0),E584+2)</f>
        <v>0</v>
      </c>
      <c r="G584" s="77">
        <f t="shared" si="20"/>
        <v>0</v>
      </c>
    </row>
    <row r="585" spans="4:7" hidden="1" outlineLevel="1" x14ac:dyDescent="0.3">
      <c r="D585" s="77">
        <f t="shared" si="21"/>
        <v>21</v>
      </c>
      <c r="E585" s="77">
        <v>1</v>
      </c>
      <c r="F585" s="78" cm="1">
        <f t="array" ref="F585">INDEX($D$245:$T$280,MATCH(D585,$D$245:$D$280,0),E585+2)</f>
        <v>0</v>
      </c>
      <c r="G585" s="77">
        <f t="shared" si="20"/>
        <v>0</v>
      </c>
    </row>
    <row r="586" spans="4:7" hidden="1" outlineLevel="1" x14ac:dyDescent="0.3">
      <c r="D586" s="77">
        <f t="shared" si="21"/>
        <v>21</v>
      </c>
      <c r="E586" s="77">
        <v>2</v>
      </c>
      <c r="F586" s="78" cm="1">
        <f t="array" ref="F586">INDEX($D$245:$T$280,MATCH(D586,$D$245:$D$280,0),E586+2)</f>
        <v>0</v>
      </c>
      <c r="G586" s="77">
        <f t="shared" si="20"/>
        <v>0</v>
      </c>
    </row>
    <row r="587" spans="4:7" hidden="1" outlineLevel="1" x14ac:dyDescent="0.3">
      <c r="D587" s="77">
        <f t="shared" si="21"/>
        <v>21</v>
      </c>
      <c r="E587" s="77">
        <v>3</v>
      </c>
      <c r="F587" s="78" cm="1">
        <f t="array" ref="F587">INDEX($D$245:$T$280,MATCH(D587,$D$245:$D$280,0),E587+2)</f>
        <v>0</v>
      </c>
      <c r="G587" s="77">
        <f t="shared" si="20"/>
        <v>0</v>
      </c>
    </row>
    <row r="588" spans="4:7" hidden="1" outlineLevel="1" x14ac:dyDescent="0.3">
      <c r="D588" s="77">
        <f t="shared" si="21"/>
        <v>21</v>
      </c>
      <c r="E588" s="77">
        <v>4</v>
      </c>
      <c r="F588" s="78" cm="1">
        <f t="array" ref="F588">INDEX($D$245:$T$280,MATCH(D588,$D$245:$D$280,0),E588+2)</f>
        <v>0</v>
      </c>
      <c r="G588" s="77">
        <f t="shared" si="20"/>
        <v>0</v>
      </c>
    </row>
    <row r="589" spans="4:7" hidden="1" outlineLevel="1" x14ac:dyDescent="0.3">
      <c r="D589" s="77">
        <f t="shared" si="21"/>
        <v>21</v>
      </c>
      <c r="E589" s="77">
        <v>5</v>
      </c>
      <c r="F589" s="78" cm="1">
        <f t="array" ref="F589">INDEX($D$245:$T$280,MATCH(D589,$D$245:$D$280,0),E589+2)</f>
        <v>0</v>
      </c>
      <c r="G589" s="77">
        <f t="shared" si="20"/>
        <v>0</v>
      </c>
    </row>
    <row r="590" spans="4:7" hidden="1" outlineLevel="1" x14ac:dyDescent="0.3">
      <c r="D590" s="77">
        <f t="shared" si="21"/>
        <v>21</v>
      </c>
      <c r="E590" s="77">
        <v>6</v>
      </c>
      <c r="F590" s="78" cm="1">
        <f t="array" ref="F590">INDEX($D$245:$T$280,MATCH(D590,$D$245:$D$280,0),E590+2)</f>
        <v>0</v>
      </c>
      <c r="G590" s="77">
        <f t="shared" si="20"/>
        <v>0</v>
      </c>
    </row>
    <row r="591" spans="4:7" hidden="1" outlineLevel="1" x14ac:dyDescent="0.3">
      <c r="D591" s="77">
        <f t="shared" si="21"/>
        <v>21</v>
      </c>
      <c r="E591" s="77">
        <v>7</v>
      </c>
      <c r="F591" s="78" cm="1">
        <f t="array" ref="F591">INDEX($D$245:$T$280,MATCH(D591,$D$245:$D$280,0),E591+2)</f>
        <v>0</v>
      </c>
      <c r="G591" s="77">
        <f t="shared" si="20"/>
        <v>0</v>
      </c>
    </row>
    <row r="592" spans="4:7" hidden="1" outlineLevel="1" x14ac:dyDescent="0.3">
      <c r="D592" s="77">
        <f t="shared" si="21"/>
        <v>21</v>
      </c>
      <c r="E592" s="77">
        <v>8</v>
      </c>
      <c r="F592" s="78" cm="1">
        <f t="array" ref="F592">INDEX($D$245:$T$280,MATCH(D592,$D$245:$D$280,0),E592+2)</f>
        <v>0</v>
      </c>
      <c r="G592" s="77">
        <f t="shared" si="20"/>
        <v>0</v>
      </c>
    </row>
    <row r="593" spans="4:7" hidden="1" outlineLevel="1" x14ac:dyDescent="0.3">
      <c r="D593" s="77">
        <f t="shared" si="21"/>
        <v>21</v>
      </c>
      <c r="E593" s="77">
        <v>9</v>
      </c>
      <c r="F593" s="78" cm="1">
        <f t="array" ref="F593">INDEX($D$245:$T$280,MATCH(D593,$D$245:$D$280,0),E593+2)</f>
        <v>0</v>
      </c>
      <c r="G593" s="77">
        <f t="shared" si="20"/>
        <v>0</v>
      </c>
    </row>
    <row r="594" spans="4:7" hidden="1" outlineLevel="1" x14ac:dyDescent="0.3">
      <c r="D594" s="77">
        <f t="shared" si="21"/>
        <v>21</v>
      </c>
      <c r="E594" s="77">
        <v>10</v>
      </c>
      <c r="F594" s="78" cm="1">
        <f t="array" ref="F594">INDEX($D$245:$T$280,MATCH(D594,$D$245:$D$280,0),E594+2)</f>
        <v>0</v>
      </c>
      <c r="G594" s="77">
        <f t="shared" si="20"/>
        <v>0</v>
      </c>
    </row>
    <row r="595" spans="4:7" hidden="1" outlineLevel="1" x14ac:dyDescent="0.3">
      <c r="D595" s="77">
        <f t="shared" si="21"/>
        <v>21</v>
      </c>
      <c r="E595" s="77">
        <v>11</v>
      </c>
      <c r="F595" s="78" cm="1">
        <f t="array" ref="F595">INDEX($D$245:$T$280,MATCH(D595,$D$245:$D$280,0),E595+2)</f>
        <v>0</v>
      </c>
      <c r="G595" s="77">
        <f t="shared" si="20"/>
        <v>0</v>
      </c>
    </row>
    <row r="596" spans="4:7" hidden="1" outlineLevel="1" x14ac:dyDescent="0.3">
      <c r="D596" s="77">
        <f t="shared" si="21"/>
        <v>21</v>
      </c>
      <c r="E596" s="77">
        <v>12</v>
      </c>
      <c r="F596" s="78" cm="1">
        <f t="array" ref="F596">INDEX($D$245:$T$280,MATCH(D596,$D$245:$D$280,0),E596+2)</f>
        <v>0</v>
      </c>
      <c r="G596" s="77">
        <f t="shared" si="20"/>
        <v>0</v>
      </c>
    </row>
    <row r="597" spans="4:7" hidden="1" outlineLevel="1" x14ac:dyDescent="0.3">
      <c r="D597" s="77">
        <f t="shared" si="21"/>
        <v>21</v>
      </c>
      <c r="E597" s="77">
        <v>13</v>
      </c>
      <c r="F597" s="78" cm="1">
        <f t="array" ref="F597">INDEX($D$245:$T$280,MATCH(D597,$D$245:$D$280,0),E597+2)</f>
        <v>0</v>
      </c>
      <c r="G597" s="77">
        <f t="shared" si="20"/>
        <v>0</v>
      </c>
    </row>
    <row r="598" spans="4:7" hidden="1" outlineLevel="1" x14ac:dyDescent="0.3">
      <c r="D598" s="77">
        <f t="shared" si="21"/>
        <v>21</v>
      </c>
      <c r="E598" s="77">
        <v>14</v>
      </c>
      <c r="F598" s="78" cm="1">
        <f t="array" ref="F598">INDEX($D$245:$T$280,MATCH(D598,$D$245:$D$280,0),E598+2)</f>
        <v>0</v>
      </c>
      <c r="G598" s="77">
        <f t="shared" si="20"/>
        <v>0</v>
      </c>
    </row>
    <row r="599" spans="4:7" hidden="1" outlineLevel="1" x14ac:dyDescent="0.3">
      <c r="D599" s="77">
        <f t="shared" si="21"/>
        <v>21</v>
      </c>
      <c r="E599" s="77">
        <v>15</v>
      </c>
      <c r="F599" s="78" cm="1">
        <f t="array" ref="F599">INDEX($D$245:$T$280,MATCH(D599,$D$245:$D$280,0),E599+2)</f>
        <v>0</v>
      </c>
      <c r="G599" s="77">
        <f t="shared" si="20"/>
        <v>0</v>
      </c>
    </row>
    <row r="600" spans="4:7" hidden="1" outlineLevel="1" x14ac:dyDescent="0.3">
      <c r="D600" s="77">
        <f t="shared" si="21"/>
        <v>22</v>
      </c>
      <c r="E600" s="77">
        <v>1</v>
      </c>
      <c r="F600" s="78" cm="1">
        <f t="array" ref="F600">INDEX($D$245:$T$280,MATCH(D600,$D$245:$D$280,0),E600+2)</f>
        <v>0</v>
      </c>
      <c r="G600" s="77">
        <f t="shared" si="20"/>
        <v>0</v>
      </c>
    </row>
    <row r="601" spans="4:7" hidden="1" outlineLevel="1" x14ac:dyDescent="0.3">
      <c r="D601" s="77">
        <f t="shared" si="21"/>
        <v>22</v>
      </c>
      <c r="E601" s="77">
        <v>2</v>
      </c>
      <c r="F601" s="78" cm="1">
        <f t="array" ref="F601">INDEX($D$245:$T$280,MATCH(D601,$D$245:$D$280,0),E601+2)</f>
        <v>0</v>
      </c>
      <c r="G601" s="77">
        <f t="shared" si="20"/>
        <v>0</v>
      </c>
    </row>
    <row r="602" spans="4:7" hidden="1" outlineLevel="1" x14ac:dyDescent="0.3">
      <c r="D602" s="77">
        <f t="shared" si="21"/>
        <v>22</v>
      </c>
      <c r="E602" s="77">
        <v>3</v>
      </c>
      <c r="F602" s="78" cm="1">
        <f t="array" ref="F602">INDEX($D$245:$T$280,MATCH(D602,$D$245:$D$280,0),E602+2)</f>
        <v>0</v>
      </c>
      <c r="G602" s="77">
        <f t="shared" si="20"/>
        <v>0</v>
      </c>
    </row>
    <row r="603" spans="4:7" hidden="1" outlineLevel="1" x14ac:dyDescent="0.3">
      <c r="D603" s="77">
        <f t="shared" si="21"/>
        <v>22</v>
      </c>
      <c r="E603" s="77">
        <v>4</v>
      </c>
      <c r="F603" s="78" cm="1">
        <f t="array" ref="F603">INDEX($D$245:$T$280,MATCH(D603,$D$245:$D$280,0),E603+2)</f>
        <v>0</v>
      </c>
      <c r="G603" s="77">
        <f t="shared" si="20"/>
        <v>0</v>
      </c>
    </row>
    <row r="604" spans="4:7" hidden="1" outlineLevel="1" x14ac:dyDescent="0.3">
      <c r="D604" s="77">
        <f t="shared" si="21"/>
        <v>22</v>
      </c>
      <c r="E604" s="77">
        <v>5</v>
      </c>
      <c r="F604" s="78" cm="1">
        <f t="array" ref="F604">INDEX($D$245:$T$280,MATCH(D604,$D$245:$D$280,0),E604+2)</f>
        <v>0</v>
      </c>
      <c r="G604" s="77">
        <f t="shared" si="20"/>
        <v>0</v>
      </c>
    </row>
    <row r="605" spans="4:7" hidden="1" outlineLevel="1" x14ac:dyDescent="0.3">
      <c r="D605" s="77">
        <f t="shared" si="21"/>
        <v>22</v>
      </c>
      <c r="E605" s="77">
        <v>6</v>
      </c>
      <c r="F605" s="78" cm="1">
        <f t="array" ref="F605">INDEX($D$245:$T$280,MATCH(D605,$D$245:$D$280,0),E605+2)</f>
        <v>0</v>
      </c>
      <c r="G605" s="77">
        <f t="shared" ref="G605:G668" si="22">IF(F605&gt;0,D605,0)</f>
        <v>0</v>
      </c>
    </row>
    <row r="606" spans="4:7" hidden="1" outlineLevel="1" x14ac:dyDescent="0.3">
      <c r="D606" s="77">
        <f t="shared" si="21"/>
        <v>22</v>
      </c>
      <c r="E606" s="77">
        <v>7</v>
      </c>
      <c r="F606" s="78" cm="1">
        <f t="array" ref="F606">INDEX($D$245:$T$280,MATCH(D606,$D$245:$D$280,0),E606+2)</f>
        <v>0</v>
      </c>
      <c r="G606" s="77">
        <f t="shared" si="22"/>
        <v>0</v>
      </c>
    </row>
    <row r="607" spans="4:7" hidden="1" outlineLevel="1" x14ac:dyDescent="0.3">
      <c r="D607" s="77">
        <f t="shared" si="21"/>
        <v>22</v>
      </c>
      <c r="E607" s="77">
        <v>8</v>
      </c>
      <c r="F607" s="78" cm="1">
        <f t="array" ref="F607">INDEX($D$245:$T$280,MATCH(D607,$D$245:$D$280,0),E607+2)</f>
        <v>0</v>
      </c>
      <c r="G607" s="77">
        <f t="shared" si="22"/>
        <v>0</v>
      </c>
    </row>
    <row r="608" spans="4:7" hidden="1" outlineLevel="1" x14ac:dyDescent="0.3">
      <c r="D608" s="77">
        <f t="shared" si="21"/>
        <v>22</v>
      </c>
      <c r="E608" s="77">
        <v>9</v>
      </c>
      <c r="F608" s="78" cm="1">
        <f t="array" ref="F608">INDEX($D$245:$T$280,MATCH(D608,$D$245:$D$280,0),E608+2)</f>
        <v>0</v>
      </c>
      <c r="G608" s="77">
        <f t="shared" si="22"/>
        <v>0</v>
      </c>
    </row>
    <row r="609" spans="4:7" hidden="1" outlineLevel="1" x14ac:dyDescent="0.3">
      <c r="D609" s="77">
        <f t="shared" si="21"/>
        <v>22</v>
      </c>
      <c r="E609" s="77">
        <v>10</v>
      </c>
      <c r="F609" s="78" cm="1">
        <f t="array" ref="F609">INDEX($D$245:$T$280,MATCH(D609,$D$245:$D$280,0),E609+2)</f>
        <v>0</v>
      </c>
      <c r="G609" s="77">
        <f t="shared" si="22"/>
        <v>0</v>
      </c>
    </row>
    <row r="610" spans="4:7" hidden="1" outlineLevel="1" x14ac:dyDescent="0.3">
      <c r="D610" s="77">
        <f t="shared" si="21"/>
        <v>22</v>
      </c>
      <c r="E610" s="77">
        <v>11</v>
      </c>
      <c r="F610" s="78" cm="1">
        <f t="array" ref="F610">INDEX($D$245:$T$280,MATCH(D610,$D$245:$D$280,0),E610+2)</f>
        <v>0</v>
      </c>
      <c r="G610" s="77">
        <f t="shared" si="22"/>
        <v>0</v>
      </c>
    </row>
    <row r="611" spans="4:7" hidden="1" outlineLevel="1" x14ac:dyDescent="0.3">
      <c r="D611" s="77">
        <f t="shared" si="21"/>
        <v>22</v>
      </c>
      <c r="E611" s="77">
        <v>12</v>
      </c>
      <c r="F611" s="78" cm="1">
        <f t="array" ref="F611">INDEX($D$245:$T$280,MATCH(D611,$D$245:$D$280,0),E611+2)</f>
        <v>0</v>
      </c>
      <c r="G611" s="77">
        <f t="shared" si="22"/>
        <v>0</v>
      </c>
    </row>
    <row r="612" spans="4:7" hidden="1" outlineLevel="1" x14ac:dyDescent="0.3">
      <c r="D612" s="77">
        <f t="shared" si="21"/>
        <v>22</v>
      </c>
      <c r="E612" s="77">
        <v>13</v>
      </c>
      <c r="F612" s="78" cm="1">
        <f t="array" ref="F612">INDEX($D$245:$T$280,MATCH(D612,$D$245:$D$280,0),E612+2)</f>
        <v>0</v>
      </c>
      <c r="G612" s="77">
        <f t="shared" si="22"/>
        <v>0</v>
      </c>
    </row>
    <row r="613" spans="4:7" hidden="1" outlineLevel="1" x14ac:dyDescent="0.3">
      <c r="D613" s="77">
        <f t="shared" si="21"/>
        <v>22</v>
      </c>
      <c r="E613" s="77">
        <v>14</v>
      </c>
      <c r="F613" s="78" cm="1">
        <f t="array" ref="F613">INDEX($D$245:$T$280,MATCH(D613,$D$245:$D$280,0),E613+2)</f>
        <v>0</v>
      </c>
      <c r="G613" s="77">
        <f t="shared" si="22"/>
        <v>0</v>
      </c>
    </row>
    <row r="614" spans="4:7" hidden="1" outlineLevel="1" x14ac:dyDescent="0.3">
      <c r="D614" s="77">
        <f t="shared" si="21"/>
        <v>22</v>
      </c>
      <c r="E614" s="77">
        <v>15</v>
      </c>
      <c r="F614" s="78" cm="1">
        <f t="array" ref="F614">INDEX($D$245:$T$280,MATCH(D614,$D$245:$D$280,0),E614+2)</f>
        <v>0</v>
      </c>
      <c r="G614" s="77">
        <f t="shared" si="22"/>
        <v>0</v>
      </c>
    </row>
    <row r="615" spans="4:7" hidden="1" outlineLevel="1" x14ac:dyDescent="0.3">
      <c r="D615" s="77">
        <f t="shared" si="21"/>
        <v>23</v>
      </c>
      <c r="E615" s="77">
        <v>1</v>
      </c>
      <c r="F615" s="78" cm="1">
        <f t="array" ref="F615">INDEX($D$245:$T$280,MATCH(D615,$D$245:$D$280,0),E615+2)</f>
        <v>0</v>
      </c>
      <c r="G615" s="77">
        <f t="shared" si="22"/>
        <v>0</v>
      </c>
    </row>
    <row r="616" spans="4:7" hidden="1" outlineLevel="1" x14ac:dyDescent="0.3">
      <c r="D616" s="77">
        <f t="shared" si="21"/>
        <v>23</v>
      </c>
      <c r="E616" s="77">
        <v>2</v>
      </c>
      <c r="F616" s="78" cm="1">
        <f t="array" ref="F616">INDEX($D$245:$T$280,MATCH(D616,$D$245:$D$280,0),E616+2)</f>
        <v>0</v>
      </c>
      <c r="G616" s="77">
        <f t="shared" si="22"/>
        <v>0</v>
      </c>
    </row>
    <row r="617" spans="4:7" hidden="1" outlineLevel="1" x14ac:dyDescent="0.3">
      <c r="D617" s="77">
        <f t="shared" si="21"/>
        <v>23</v>
      </c>
      <c r="E617" s="77">
        <v>3</v>
      </c>
      <c r="F617" s="78" cm="1">
        <f t="array" ref="F617">INDEX($D$245:$T$280,MATCH(D617,$D$245:$D$280,0),E617+2)</f>
        <v>0</v>
      </c>
      <c r="G617" s="77">
        <f t="shared" si="22"/>
        <v>0</v>
      </c>
    </row>
    <row r="618" spans="4:7" hidden="1" outlineLevel="1" x14ac:dyDescent="0.3">
      <c r="D618" s="77">
        <f t="shared" si="21"/>
        <v>23</v>
      </c>
      <c r="E618" s="77">
        <v>4</v>
      </c>
      <c r="F618" s="78" cm="1">
        <f t="array" ref="F618">INDEX($D$245:$T$280,MATCH(D618,$D$245:$D$280,0),E618+2)</f>
        <v>0</v>
      </c>
      <c r="G618" s="77">
        <f t="shared" si="22"/>
        <v>0</v>
      </c>
    </row>
    <row r="619" spans="4:7" hidden="1" outlineLevel="1" x14ac:dyDescent="0.3">
      <c r="D619" s="77">
        <f t="shared" si="21"/>
        <v>23</v>
      </c>
      <c r="E619" s="77">
        <v>5</v>
      </c>
      <c r="F619" s="78" cm="1">
        <f t="array" ref="F619">INDEX($D$245:$T$280,MATCH(D619,$D$245:$D$280,0),E619+2)</f>
        <v>0</v>
      </c>
      <c r="G619" s="77">
        <f t="shared" si="22"/>
        <v>0</v>
      </c>
    </row>
    <row r="620" spans="4:7" hidden="1" outlineLevel="1" x14ac:dyDescent="0.3">
      <c r="D620" s="77">
        <f t="shared" si="21"/>
        <v>23</v>
      </c>
      <c r="E620" s="77">
        <v>6</v>
      </c>
      <c r="F620" s="78" cm="1">
        <f t="array" ref="F620">INDEX($D$245:$T$280,MATCH(D620,$D$245:$D$280,0),E620+2)</f>
        <v>0</v>
      </c>
      <c r="G620" s="77">
        <f t="shared" si="22"/>
        <v>0</v>
      </c>
    </row>
    <row r="621" spans="4:7" hidden="1" outlineLevel="1" x14ac:dyDescent="0.3">
      <c r="D621" s="77">
        <f t="shared" si="21"/>
        <v>23</v>
      </c>
      <c r="E621" s="77">
        <v>7</v>
      </c>
      <c r="F621" s="78" cm="1">
        <f t="array" ref="F621">INDEX($D$245:$T$280,MATCH(D621,$D$245:$D$280,0),E621+2)</f>
        <v>0</v>
      </c>
      <c r="G621" s="77">
        <f t="shared" si="22"/>
        <v>0</v>
      </c>
    </row>
    <row r="622" spans="4:7" hidden="1" outlineLevel="1" x14ac:dyDescent="0.3">
      <c r="D622" s="77">
        <f t="shared" si="21"/>
        <v>23</v>
      </c>
      <c r="E622" s="77">
        <v>8</v>
      </c>
      <c r="F622" s="78" cm="1">
        <f t="array" ref="F622">INDEX($D$245:$T$280,MATCH(D622,$D$245:$D$280,0),E622+2)</f>
        <v>0</v>
      </c>
      <c r="G622" s="77">
        <f t="shared" si="22"/>
        <v>0</v>
      </c>
    </row>
    <row r="623" spans="4:7" hidden="1" outlineLevel="1" x14ac:dyDescent="0.3">
      <c r="D623" s="77">
        <f t="shared" si="21"/>
        <v>23</v>
      </c>
      <c r="E623" s="77">
        <v>9</v>
      </c>
      <c r="F623" s="78" cm="1">
        <f t="array" ref="F623">INDEX($D$245:$T$280,MATCH(D623,$D$245:$D$280,0),E623+2)</f>
        <v>0</v>
      </c>
      <c r="G623" s="77">
        <f t="shared" si="22"/>
        <v>0</v>
      </c>
    </row>
    <row r="624" spans="4:7" hidden="1" outlineLevel="1" x14ac:dyDescent="0.3">
      <c r="D624" s="77">
        <f t="shared" si="21"/>
        <v>23</v>
      </c>
      <c r="E624" s="77">
        <v>10</v>
      </c>
      <c r="F624" s="78" cm="1">
        <f t="array" ref="F624">INDEX($D$245:$T$280,MATCH(D624,$D$245:$D$280,0),E624+2)</f>
        <v>0</v>
      </c>
      <c r="G624" s="77">
        <f t="shared" si="22"/>
        <v>0</v>
      </c>
    </row>
    <row r="625" spans="4:7" hidden="1" outlineLevel="1" x14ac:dyDescent="0.3">
      <c r="D625" s="77">
        <f t="shared" si="21"/>
        <v>23</v>
      </c>
      <c r="E625" s="77">
        <v>11</v>
      </c>
      <c r="F625" s="78" cm="1">
        <f t="array" ref="F625">INDEX($D$245:$T$280,MATCH(D625,$D$245:$D$280,0),E625+2)</f>
        <v>0</v>
      </c>
      <c r="G625" s="77">
        <f t="shared" si="22"/>
        <v>0</v>
      </c>
    </row>
    <row r="626" spans="4:7" hidden="1" outlineLevel="1" x14ac:dyDescent="0.3">
      <c r="D626" s="77">
        <f t="shared" si="21"/>
        <v>23</v>
      </c>
      <c r="E626" s="77">
        <v>12</v>
      </c>
      <c r="F626" s="78" cm="1">
        <f t="array" ref="F626">INDEX($D$245:$T$280,MATCH(D626,$D$245:$D$280,0),E626+2)</f>
        <v>0</v>
      </c>
      <c r="G626" s="77">
        <f t="shared" si="22"/>
        <v>0</v>
      </c>
    </row>
    <row r="627" spans="4:7" hidden="1" outlineLevel="1" x14ac:dyDescent="0.3">
      <c r="D627" s="77">
        <f t="shared" si="21"/>
        <v>23</v>
      </c>
      <c r="E627" s="77">
        <v>13</v>
      </c>
      <c r="F627" s="78" cm="1">
        <f t="array" ref="F627">INDEX($D$245:$T$280,MATCH(D627,$D$245:$D$280,0),E627+2)</f>
        <v>0</v>
      </c>
      <c r="G627" s="77">
        <f t="shared" si="22"/>
        <v>0</v>
      </c>
    </row>
    <row r="628" spans="4:7" hidden="1" outlineLevel="1" x14ac:dyDescent="0.3">
      <c r="D628" s="77">
        <f t="shared" si="21"/>
        <v>23</v>
      </c>
      <c r="E628" s="77">
        <v>14</v>
      </c>
      <c r="F628" s="78" cm="1">
        <f t="array" ref="F628">INDEX($D$245:$T$280,MATCH(D628,$D$245:$D$280,0),E628+2)</f>
        <v>0</v>
      </c>
      <c r="G628" s="77">
        <f t="shared" si="22"/>
        <v>0</v>
      </c>
    </row>
    <row r="629" spans="4:7" hidden="1" outlineLevel="1" x14ac:dyDescent="0.3">
      <c r="D629" s="77">
        <f t="shared" si="21"/>
        <v>23</v>
      </c>
      <c r="E629" s="77">
        <v>15</v>
      </c>
      <c r="F629" s="78" cm="1">
        <f t="array" ref="F629">INDEX($D$245:$T$280,MATCH(D629,$D$245:$D$280,0),E629+2)</f>
        <v>0</v>
      </c>
      <c r="G629" s="77">
        <f t="shared" si="22"/>
        <v>0</v>
      </c>
    </row>
    <row r="630" spans="4:7" hidden="1" outlineLevel="1" x14ac:dyDescent="0.3">
      <c r="D630" s="77">
        <f t="shared" si="21"/>
        <v>24</v>
      </c>
      <c r="E630" s="77">
        <v>1</v>
      </c>
      <c r="F630" s="78" cm="1">
        <f t="array" ref="F630">INDEX($D$245:$T$280,MATCH(D630,$D$245:$D$280,0),E630+2)</f>
        <v>0</v>
      </c>
      <c r="G630" s="77">
        <f t="shared" si="22"/>
        <v>0</v>
      </c>
    </row>
    <row r="631" spans="4:7" hidden="1" outlineLevel="1" x14ac:dyDescent="0.3">
      <c r="D631" s="77">
        <f t="shared" si="21"/>
        <v>24</v>
      </c>
      <c r="E631" s="77">
        <v>2</v>
      </c>
      <c r="F631" s="78" cm="1">
        <f t="array" ref="F631">INDEX($D$245:$T$280,MATCH(D631,$D$245:$D$280,0),E631+2)</f>
        <v>0</v>
      </c>
      <c r="G631" s="77">
        <f t="shared" si="22"/>
        <v>0</v>
      </c>
    </row>
    <row r="632" spans="4:7" hidden="1" outlineLevel="1" x14ac:dyDescent="0.3">
      <c r="D632" s="77">
        <f t="shared" si="21"/>
        <v>24</v>
      </c>
      <c r="E632" s="77">
        <v>3</v>
      </c>
      <c r="F632" s="78" cm="1">
        <f t="array" ref="F632">INDEX($D$245:$T$280,MATCH(D632,$D$245:$D$280,0),E632+2)</f>
        <v>0</v>
      </c>
      <c r="G632" s="77">
        <f t="shared" si="22"/>
        <v>0</v>
      </c>
    </row>
    <row r="633" spans="4:7" hidden="1" outlineLevel="1" x14ac:dyDescent="0.3">
      <c r="D633" s="77">
        <f t="shared" si="21"/>
        <v>24</v>
      </c>
      <c r="E633" s="77">
        <v>4</v>
      </c>
      <c r="F633" s="78" cm="1">
        <f t="array" ref="F633">INDEX($D$245:$T$280,MATCH(D633,$D$245:$D$280,0),E633+2)</f>
        <v>0</v>
      </c>
      <c r="G633" s="77">
        <f t="shared" si="22"/>
        <v>0</v>
      </c>
    </row>
    <row r="634" spans="4:7" hidden="1" outlineLevel="1" x14ac:dyDescent="0.3">
      <c r="D634" s="77">
        <f t="shared" si="21"/>
        <v>24</v>
      </c>
      <c r="E634" s="77">
        <v>5</v>
      </c>
      <c r="F634" s="78" cm="1">
        <f t="array" ref="F634">INDEX($D$245:$T$280,MATCH(D634,$D$245:$D$280,0),E634+2)</f>
        <v>0</v>
      </c>
      <c r="G634" s="77">
        <f t="shared" si="22"/>
        <v>0</v>
      </c>
    </row>
    <row r="635" spans="4:7" hidden="1" outlineLevel="1" x14ac:dyDescent="0.3">
      <c r="D635" s="77">
        <f t="shared" si="21"/>
        <v>24</v>
      </c>
      <c r="E635" s="77">
        <v>6</v>
      </c>
      <c r="F635" s="78" cm="1">
        <f t="array" ref="F635">INDEX($D$245:$T$280,MATCH(D635,$D$245:$D$280,0),E635+2)</f>
        <v>0</v>
      </c>
      <c r="G635" s="77">
        <f t="shared" si="22"/>
        <v>0</v>
      </c>
    </row>
    <row r="636" spans="4:7" hidden="1" outlineLevel="1" x14ac:dyDescent="0.3">
      <c r="D636" s="77">
        <f t="shared" si="21"/>
        <v>24</v>
      </c>
      <c r="E636" s="77">
        <v>7</v>
      </c>
      <c r="F636" s="78" cm="1">
        <f t="array" ref="F636">INDEX($D$245:$T$280,MATCH(D636,$D$245:$D$280,0),E636+2)</f>
        <v>0</v>
      </c>
      <c r="G636" s="77">
        <f t="shared" si="22"/>
        <v>0</v>
      </c>
    </row>
    <row r="637" spans="4:7" hidden="1" outlineLevel="1" x14ac:dyDescent="0.3">
      <c r="D637" s="77">
        <f t="shared" si="21"/>
        <v>24</v>
      </c>
      <c r="E637" s="77">
        <v>8</v>
      </c>
      <c r="F637" s="78" cm="1">
        <f t="array" ref="F637">INDEX($D$245:$T$280,MATCH(D637,$D$245:$D$280,0),E637+2)</f>
        <v>0</v>
      </c>
      <c r="G637" s="77">
        <f t="shared" si="22"/>
        <v>0</v>
      </c>
    </row>
    <row r="638" spans="4:7" hidden="1" outlineLevel="1" x14ac:dyDescent="0.3">
      <c r="D638" s="77">
        <f t="shared" si="21"/>
        <v>24</v>
      </c>
      <c r="E638" s="77">
        <v>9</v>
      </c>
      <c r="F638" s="78" cm="1">
        <f t="array" ref="F638">INDEX($D$245:$T$280,MATCH(D638,$D$245:$D$280,0),E638+2)</f>
        <v>0</v>
      </c>
      <c r="G638" s="77">
        <f t="shared" si="22"/>
        <v>0</v>
      </c>
    </row>
    <row r="639" spans="4:7" hidden="1" outlineLevel="1" x14ac:dyDescent="0.3">
      <c r="D639" s="77">
        <f t="shared" ref="D639:D702" si="23">D624+1</f>
        <v>24</v>
      </c>
      <c r="E639" s="77">
        <v>10</v>
      </c>
      <c r="F639" s="78" cm="1">
        <f t="array" ref="F639">INDEX($D$245:$T$280,MATCH(D639,$D$245:$D$280,0),E639+2)</f>
        <v>0</v>
      </c>
      <c r="G639" s="77">
        <f t="shared" si="22"/>
        <v>0</v>
      </c>
    </row>
    <row r="640" spans="4:7" hidden="1" outlineLevel="1" x14ac:dyDescent="0.3">
      <c r="D640" s="77">
        <f t="shared" si="23"/>
        <v>24</v>
      </c>
      <c r="E640" s="77">
        <v>11</v>
      </c>
      <c r="F640" s="78" cm="1">
        <f t="array" ref="F640">INDEX($D$245:$T$280,MATCH(D640,$D$245:$D$280,0),E640+2)</f>
        <v>0</v>
      </c>
      <c r="G640" s="77">
        <f t="shared" si="22"/>
        <v>0</v>
      </c>
    </row>
    <row r="641" spans="4:7" hidden="1" outlineLevel="1" x14ac:dyDescent="0.3">
      <c r="D641" s="77">
        <f t="shared" si="23"/>
        <v>24</v>
      </c>
      <c r="E641" s="77">
        <v>12</v>
      </c>
      <c r="F641" s="78" cm="1">
        <f t="array" ref="F641">INDEX($D$245:$T$280,MATCH(D641,$D$245:$D$280,0),E641+2)</f>
        <v>0</v>
      </c>
      <c r="G641" s="77">
        <f t="shared" si="22"/>
        <v>0</v>
      </c>
    </row>
    <row r="642" spans="4:7" hidden="1" outlineLevel="1" x14ac:dyDescent="0.3">
      <c r="D642" s="77">
        <f t="shared" si="23"/>
        <v>24</v>
      </c>
      <c r="E642" s="77">
        <v>13</v>
      </c>
      <c r="F642" s="78" cm="1">
        <f t="array" ref="F642">INDEX($D$245:$T$280,MATCH(D642,$D$245:$D$280,0),E642+2)</f>
        <v>0</v>
      </c>
      <c r="G642" s="77">
        <f t="shared" si="22"/>
        <v>0</v>
      </c>
    </row>
    <row r="643" spans="4:7" hidden="1" outlineLevel="1" x14ac:dyDescent="0.3">
      <c r="D643" s="77">
        <f t="shared" si="23"/>
        <v>24</v>
      </c>
      <c r="E643" s="77">
        <v>14</v>
      </c>
      <c r="F643" s="78" cm="1">
        <f t="array" ref="F643">INDEX($D$245:$T$280,MATCH(D643,$D$245:$D$280,0),E643+2)</f>
        <v>0</v>
      </c>
      <c r="G643" s="77">
        <f t="shared" si="22"/>
        <v>0</v>
      </c>
    </row>
    <row r="644" spans="4:7" hidden="1" outlineLevel="1" x14ac:dyDescent="0.3">
      <c r="D644" s="77">
        <f t="shared" si="23"/>
        <v>24</v>
      </c>
      <c r="E644" s="77">
        <v>15</v>
      </c>
      <c r="F644" s="78" cm="1">
        <f t="array" ref="F644">INDEX($D$245:$T$280,MATCH(D644,$D$245:$D$280,0),E644+2)</f>
        <v>0</v>
      </c>
      <c r="G644" s="77">
        <f t="shared" si="22"/>
        <v>0</v>
      </c>
    </row>
    <row r="645" spans="4:7" hidden="1" outlineLevel="1" x14ac:dyDescent="0.3">
      <c r="D645" s="77">
        <f t="shared" si="23"/>
        <v>25</v>
      </c>
      <c r="E645" s="77">
        <v>1</v>
      </c>
      <c r="F645" s="78" cm="1">
        <f t="array" ref="F645">INDEX($D$245:$T$280,MATCH(D645,$D$245:$D$280,0),E645+2)</f>
        <v>0</v>
      </c>
      <c r="G645" s="77">
        <f t="shared" si="22"/>
        <v>0</v>
      </c>
    </row>
    <row r="646" spans="4:7" hidden="1" outlineLevel="1" x14ac:dyDescent="0.3">
      <c r="D646" s="77">
        <f t="shared" si="23"/>
        <v>25</v>
      </c>
      <c r="E646" s="77">
        <v>2</v>
      </c>
      <c r="F646" s="78" cm="1">
        <f t="array" ref="F646">INDEX($D$245:$T$280,MATCH(D646,$D$245:$D$280,0),E646+2)</f>
        <v>0</v>
      </c>
      <c r="G646" s="77">
        <f t="shared" si="22"/>
        <v>0</v>
      </c>
    </row>
    <row r="647" spans="4:7" hidden="1" outlineLevel="1" x14ac:dyDescent="0.3">
      <c r="D647" s="77">
        <f t="shared" si="23"/>
        <v>25</v>
      </c>
      <c r="E647" s="77">
        <v>3</v>
      </c>
      <c r="F647" s="78" cm="1">
        <f t="array" ref="F647">INDEX($D$245:$T$280,MATCH(D647,$D$245:$D$280,0),E647+2)</f>
        <v>0</v>
      </c>
      <c r="G647" s="77">
        <f t="shared" si="22"/>
        <v>0</v>
      </c>
    </row>
    <row r="648" spans="4:7" hidden="1" outlineLevel="1" x14ac:dyDescent="0.3">
      <c r="D648" s="77">
        <f t="shared" si="23"/>
        <v>25</v>
      </c>
      <c r="E648" s="77">
        <v>4</v>
      </c>
      <c r="F648" s="78" cm="1">
        <f t="array" ref="F648">INDEX($D$245:$T$280,MATCH(D648,$D$245:$D$280,0),E648+2)</f>
        <v>0</v>
      </c>
      <c r="G648" s="77">
        <f t="shared" si="22"/>
        <v>0</v>
      </c>
    </row>
    <row r="649" spans="4:7" hidden="1" outlineLevel="1" x14ac:dyDescent="0.3">
      <c r="D649" s="77">
        <f t="shared" si="23"/>
        <v>25</v>
      </c>
      <c r="E649" s="77">
        <v>5</v>
      </c>
      <c r="F649" s="78" cm="1">
        <f t="array" ref="F649">INDEX($D$245:$T$280,MATCH(D649,$D$245:$D$280,0),E649+2)</f>
        <v>0</v>
      </c>
      <c r="G649" s="77">
        <f t="shared" si="22"/>
        <v>0</v>
      </c>
    </row>
    <row r="650" spans="4:7" hidden="1" outlineLevel="1" x14ac:dyDescent="0.3">
      <c r="D650" s="77">
        <f t="shared" si="23"/>
        <v>25</v>
      </c>
      <c r="E650" s="77">
        <v>6</v>
      </c>
      <c r="F650" s="78" cm="1">
        <f t="array" ref="F650">INDEX($D$245:$T$280,MATCH(D650,$D$245:$D$280,0),E650+2)</f>
        <v>0</v>
      </c>
      <c r="G650" s="77">
        <f t="shared" si="22"/>
        <v>0</v>
      </c>
    </row>
    <row r="651" spans="4:7" hidden="1" outlineLevel="1" x14ac:dyDescent="0.3">
      <c r="D651" s="77">
        <f t="shared" si="23"/>
        <v>25</v>
      </c>
      <c r="E651" s="77">
        <v>7</v>
      </c>
      <c r="F651" s="78" cm="1">
        <f t="array" ref="F651">INDEX($D$245:$T$280,MATCH(D651,$D$245:$D$280,0),E651+2)</f>
        <v>0</v>
      </c>
      <c r="G651" s="77">
        <f t="shared" si="22"/>
        <v>0</v>
      </c>
    </row>
    <row r="652" spans="4:7" hidden="1" outlineLevel="1" x14ac:dyDescent="0.3">
      <c r="D652" s="77">
        <f t="shared" si="23"/>
        <v>25</v>
      </c>
      <c r="E652" s="77">
        <v>8</v>
      </c>
      <c r="F652" s="78" cm="1">
        <f t="array" ref="F652">INDEX($D$245:$T$280,MATCH(D652,$D$245:$D$280,0),E652+2)</f>
        <v>0</v>
      </c>
      <c r="G652" s="77">
        <f t="shared" si="22"/>
        <v>0</v>
      </c>
    </row>
    <row r="653" spans="4:7" hidden="1" outlineLevel="1" x14ac:dyDescent="0.3">
      <c r="D653" s="77">
        <f t="shared" si="23"/>
        <v>25</v>
      </c>
      <c r="E653" s="77">
        <v>9</v>
      </c>
      <c r="F653" s="78" cm="1">
        <f t="array" ref="F653">INDEX($D$245:$T$280,MATCH(D653,$D$245:$D$280,0),E653+2)</f>
        <v>0</v>
      </c>
      <c r="G653" s="77">
        <f t="shared" si="22"/>
        <v>0</v>
      </c>
    </row>
    <row r="654" spans="4:7" hidden="1" outlineLevel="1" x14ac:dyDescent="0.3">
      <c r="D654" s="77">
        <f t="shared" si="23"/>
        <v>25</v>
      </c>
      <c r="E654" s="77">
        <v>10</v>
      </c>
      <c r="F654" s="78" cm="1">
        <f t="array" ref="F654">INDEX($D$245:$T$280,MATCH(D654,$D$245:$D$280,0),E654+2)</f>
        <v>0</v>
      </c>
      <c r="G654" s="77">
        <f t="shared" si="22"/>
        <v>0</v>
      </c>
    </row>
    <row r="655" spans="4:7" hidden="1" outlineLevel="1" x14ac:dyDescent="0.3">
      <c r="D655" s="77">
        <f t="shared" si="23"/>
        <v>25</v>
      </c>
      <c r="E655" s="77">
        <v>11</v>
      </c>
      <c r="F655" s="78" cm="1">
        <f t="array" ref="F655">INDEX($D$245:$T$280,MATCH(D655,$D$245:$D$280,0),E655+2)</f>
        <v>0</v>
      </c>
      <c r="G655" s="77">
        <f t="shared" si="22"/>
        <v>0</v>
      </c>
    </row>
    <row r="656" spans="4:7" hidden="1" outlineLevel="1" x14ac:dyDescent="0.3">
      <c r="D656" s="77">
        <f t="shared" si="23"/>
        <v>25</v>
      </c>
      <c r="E656" s="77">
        <v>12</v>
      </c>
      <c r="F656" s="78" cm="1">
        <f t="array" ref="F656">INDEX($D$245:$T$280,MATCH(D656,$D$245:$D$280,0),E656+2)</f>
        <v>0</v>
      </c>
      <c r="G656" s="77">
        <f t="shared" si="22"/>
        <v>0</v>
      </c>
    </row>
    <row r="657" spans="4:7" hidden="1" outlineLevel="1" x14ac:dyDescent="0.3">
      <c r="D657" s="77">
        <f t="shared" si="23"/>
        <v>25</v>
      </c>
      <c r="E657" s="77">
        <v>13</v>
      </c>
      <c r="F657" s="78" cm="1">
        <f t="array" ref="F657">INDEX($D$245:$T$280,MATCH(D657,$D$245:$D$280,0),E657+2)</f>
        <v>0</v>
      </c>
      <c r="G657" s="77">
        <f t="shared" si="22"/>
        <v>0</v>
      </c>
    </row>
    <row r="658" spans="4:7" hidden="1" outlineLevel="1" x14ac:dyDescent="0.3">
      <c r="D658" s="77">
        <f t="shared" si="23"/>
        <v>25</v>
      </c>
      <c r="E658" s="77">
        <v>14</v>
      </c>
      <c r="F658" s="78" cm="1">
        <f t="array" ref="F658">INDEX($D$245:$T$280,MATCH(D658,$D$245:$D$280,0),E658+2)</f>
        <v>0</v>
      </c>
      <c r="G658" s="77">
        <f t="shared" si="22"/>
        <v>0</v>
      </c>
    </row>
    <row r="659" spans="4:7" hidden="1" outlineLevel="1" x14ac:dyDescent="0.3">
      <c r="D659" s="77">
        <f t="shared" si="23"/>
        <v>25</v>
      </c>
      <c r="E659" s="77">
        <v>15</v>
      </c>
      <c r="F659" s="78" cm="1">
        <f t="array" ref="F659">INDEX($D$245:$T$280,MATCH(D659,$D$245:$D$280,0),E659+2)</f>
        <v>0</v>
      </c>
      <c r="G659" s="77">
        <f t="shared" si="22"/>
        <v>0</v>
      </c>
    </row>
    <row r="660" spans="4:7" hidden="1" outlineLevel="1" x14ac:dyDescent="0.3">
      <c r="D660" s="77">
        <f t="shared" si="23"/>
        <v>26</v>
      </c>
      <c r="E660" s="77">
        <v>1</v>
      </c>
      <c r="F660" s="78" cm="1">
        <f t="array" ref="F660">INDEX($D$245:$T$280,MATCH(D660,$D$245:$D$280,0),E660+2)</f>
        <v>0</v>
      </c>
      <c r="G660" s="77">
        <f t="shared" si="22"/>
        <v>0</v>
      </c>
    </row>
    <row r="661" spans="4:7" hidden="1" outlineLevel="1" x14ac:dyDescent="0.3">
      <c r="D661" s="77">
        <f t="shared" si="23"/>
        <v>26</v>
      </c>
      <c r="E661" s="77">
        <v>2</v>
      </c>
      <c r="F661" s="78" cm="1">
        <f t="array" ref="F661">INDEX($D$245:$T$280,MATCH(D661,$D$245:$D$280,0),E661+2)</f>
        <v>0</v>
      </c>
      <c r="G661" s="77">
        <f t="shared" si="22"/>
        <v>0</v>
      </c>
    </row>
    <row r="662" spans="4:7" hidden="1" outlineLevel="1" x14ac:dyDescent="0.3">
      <c r="D662" s="77">
        <f t="shared" si="23"/>
        <v>26</v>
      </c>
      <c r="E662" s="77">
        <v>3</v>
      </c>
      <c r="F662" s="78" cm="1">
        <f t="array" ref="F662">INDEX($D$245:$T$280,MATCH(D662,$D$245:$D$280,0),E662+2)</f>
        <v>0</v>
      </c>
      <c r="G662" s="77">
        <f t="shared" si="22"/>
        <v>0</v>
      </c>
    </row>
    <row r="663" spans="4:7" hidden="1" outlineLevel="1" x14ac:dyDescent="0.3">
      <c r="D663" s="77">
        <f t="shared" si="23"/>
        <v>26</v>
      </c>
      <c r="E663" s="77">
        <v>4</v>
      </c>
      <c r="F663" s="78" cm="1">
        <f t="array" ref="F663">INDEX($D$245:$T$280,MATCH(D663,$D$245:$D$280,0),E663+2)</f>
        <v>0</v>
      </c>
      <c r="G663" s="77">
        <f t="shared" si="22"/>
        <v>0</v>
      </c>
    </row>
    <row r="664" spans="4:7" hidden="1" outlineLevel="1" x14ac:dyDescent="0.3">
      <c r="D664" s="77">
        <f t="shared" si="23"/>
        <v>26</v>
      </c>
      <c r="E664" s="77">
        <v>5</v>
      </c>
      <c r="F664" s="78" cm="1">
        <f t="array" ref="F664">INDEX($D$245:$T$280,MATCH(D664,$D$245:$D$280,0),E664+2)</f>
        <v>0</v>
      </c>
      <c r="G664" s="77">
        <f t="shared" si="22"/>
        <v>0</v>
      </c>
    </row>
    <row r="665" spans="4:7" hidden="1" outlineLevel="1" x14ac:dyDescent="0.3">
      <c r="D665" s="77">
        <f t="shared" si="23"/>
        <v>26</v>
      </c>
      <c r="E665" s="77">
        <v>6</v>
      </c>
      <c r="F665" s="78" cm="1">
        <f t="array" ref="F665">INDEX($D$245:$T$280,MATCH(D665,$D$245:$D$280,0),E665+2)</f>
        <v>0</v>
      </c>
      <c r="G665" s="77">
        <f t="shared" si="22"/>
        <v>0</v>
      </c>
    </row>
    <row r="666" spans="4:7" hidden="1" outlineLevel="1" x14ac:dyDescent="0.3">
      <c r="D666" s="77">
        <f t="shared" si="23"/>
        <v>26</v>
      </c>
      <c r="E666" s="77">
        <v>7</v>
      </c>
      <c r="F666" s="78" cm="1">
        <f t="array" ref="F666">INDEX($D$245:$T$280,MATCH(D666,$D$245:$D$280,0),E666+2)</f>
        <v>0</v>
      </c>
      <c r="G666" s="77">
        <f t="shared" si="22"/>
        <v>0</v>
      </c>
    </row>
    <row r="667" spans="4:7" hidden="1" outlineLevel="1" x14ac:dyDescent="0.3">
      <c r="D667" s="77">
        <f t="shared" si="23"/>
        <v>26</v>
      </c>
      <c r="E667" s="77">
        <v>8</v>
      </c>
      <c r="F667" s="78" cm="1">
        <f t="array" ref="F667">INDEX($D$245:$T$280,MATCH(D667,$D$245:$D$280,0),E667+2)</f>
        <v>0</v>
      </c>
      <c r="G667" s="77">
        <f t="shared" si="22"/>
        <v>0</v>
      </c>
    </row>
    <row r="668" spans="4:7" hidden="1" outlineLevel="1" x14ac:dyDescent="0.3">
      <c r="D668" s="77">
        <f t="shared" si="23"/>
        <v>26</v>
      </c>
      <c r="E668" s="77">
        <v>9</v>
      </c>
      <c r="F668" s="78" cm="1">
        <f t="array" ref="F668">INDEX($D$245:$T$280,MATCH(D668,$D$245:$D$280,0),E668+2)</f>
        <v>0</v>
      </c>
      <c r="G668" s="77">
        <f t="shared" si="22"/>
        <v>0</v>
      </c>
    </row>
    <row r="669" spans="4:7" hidden="1" outlineLevel="1" x14ac:dyDescent="0.3">
      <c r="D669" s="77">
        <f t="shared" si="23"/>
        <v>26</v>
      </c>
      <c r="E669" s="77">
        <v>10</v>
      </c>
      <c r="F669" s="78" cm="1">
        <f t="array" ref="F669">INDEX($D$245:$T$280,MATCH(D669,$D$245:$D$280,0),E669+2)</f>
        <v>0</v>
      </c>
      <c r="G669" s="77">
        <f t="shared" ref="G669:G732" si="24">IF(F669&gt;0,D669,0)</f>
        <v>0</v>
      </c>
    </row>
    <row r="670" spans="4:7" hidden="1" outlineLevel="1" x14ac:dyDescent="0.3">
      <c r="D670" s="77">
        <f t="shared" si="23"/>
        <v>26</v>
      </c>
      <c r="E670" s="77">
        <v>11</v>
      </c>
      <c r="F670" s="78" cm="1">
        <f t="array" ref="F670">INDEX($D$245:$T$280,MATCH(D670,$D$245:$D$280,0),E670+2)</f>
        <v>0</v>
      </c>
      <c r="G670" s="77">
        <f t="shared" si="24"/>
        <v>0</v>
      </c>
    </row>
    <row r="671" spans="4:7" hidden="1" outlineLevel="1" x14ac:dyDescent="0.3">
      <c r="D671" s="77">
        <f t="shared" si="23"/>
        <v>26</v>
      </c>
      <c r="E671" s="77">
        <v>12</v>
      </c>
      <c r="F671" s="78" cm="1">
        <f t="array" ref="F671">INDEX($D$245:$T$280,MATCH(D671,$D$245:$D$280,0),E671+2)</f>
        <v>0</v>
      </c>
      <c r="G671" s="77">
        <f t="shared" si="24"/>
        <v>0</v>
      </c>
    </row>
    <row r="672" spans="4:7" hidden="1" outlineLevel="1" x14ac:dyDescent="0.3">
      <c r="D672" s="77">
        <f t="shared" si="23"/>
        <v>26</v>
      </c>
      <c r="E672" s="77">
        <v>13</v>
      </c>
      <c r="F672" s="78" cm="1">
        <f t="array" ref="F672">INDEX($D$245:$T$280,MATCH(D672,$D$245:$D$280,0),E672+2)</f>
        <v>0</v>
      </c>
      <c r="G672" s="77">
        <f t="shared" si="24"/>
        <v>0</v>
      </c>
    </row>
    <row r="673" spans="4:7" hidden="1" outlineLevel="1" x14ac:dyDescent="0.3">
      <c r="D673" s="77">
        <f t="shared" si="23"/>
        <v>26</v>
      </c>
      <c r="E673" s="77">
        <v>14</v>
      </c>
      <c r="F673" s="78" cm="1">
        <f t="array" ref="F673">INDEX($D$245:$T$280,MATCH(D673,$D$245:$D$280,0),E673+2)</f>
        <v>0</v>
      </c>
      <c r="G673" s="77">
        <f t="shared" si="24"/>
        <v>0</v>
      </c>
    </row>
    <row r="674" spans="4:7" hidden="1" outlineLevel="1" x14ac:dyDescent="0.3">
      <c r="D674" s="77">
        <f t="shared" si="23"/>
        <v>26</v>
      </c>
      <c r="E674" s="77">
        <v>15</v>
      </c>
      <c r="F674" s="78" cm="1">
        <f t="array" ref="F674">INDEX($D$245:$T$280,MATCH(D674,$D$245:$D$280,0),E674+2)</f>
        <v>0</v>
      </c>
      <c r="G674" s="77">
        <f t="shared" si="24"/>
        <v>0</v>
      </c>
    </row>
    <row r="675" spans="4:7" hidden="1" outlineLevel="1" x14ac:dyDescent="0.3">
      <c r="D675" s="77">
        <f t="shared" si="23"/>
        <v>27</v>
      </c>
      <c r="E675" s="77">
        <v>1</v>
      </c>
      <c r="F675" s="78" cm="1">
        <f t="array" ref="F675">INDEX($D$245:$T$280,MATCH(D675,$D$245:$D$280,0),E675+2)</f>
        <v>0</v>
      </c>
      <c r="G675" s="77">
        <f t="shared" si="24"/>
        <v>0</v>
      </c>
    </row>
    <row r="676" spans="4:7" hidden="1" outlineLevel="1" x14ac:dyDescent="0.3">
      <c r="D676" s="77">
        <f t="shared" si="23"/>
        <v>27</v>
      </c>
      <c r="E676" s="77">
        <v>2</v>
      </c>
      <c r="F676" s="78" cm="1">
        <f t="array" ref="F676">INDEX($D$245:$T$280,MATCH(D676,$D$245:$D$280,0),E676+2)</f>
        <v>0</v>
      </c>
      <c r="G676" s="77">
        <f t="shared" si="24"/>
        <v>0</v>
      </c>
    </row>
    <row r="677" spans="4:7" hidden="1" outlineLevel="1" x14ac:dyDescent="0.3">
      <c r="D677" s="77">
        <f t="shared" si="23"/>
        <v>27</v>
      </c>
      <c r="E677" s="77">
        <v>3</v>
      </c>
      <c r="F677" s="78" cm="1">
        <f t="array" ref="F677">INDEX($D$245:$T$280,MATCH(D677,$D$245:$D$280,0),E677+2)</f>
        <v>0</v>
      </c>
      <c r="G677" s="77">
        <f t="shared" si="24"/>
        <v>0</v>
      </c>
    </row>
    <row r="678" spans="4:7" hidden="1" outlineLevel="1" x14ac:dyDescent="0.3">
      <c r="D678" s="77">
        <f t="shared" si="23"/>
        <v>27</v>
      </c>
      <c r="E678" s="77">
        <v>4</v>
      </c>
      <c r="F678" s="78" cm="1">
        <f t="array" ref="F678">INDEX($D$245:$T$280,MATCH(D678,$D$245:$D$280,0),E678+2)</f>
        <v>0</v>
      </c>
      <c r="G678" s="77">
        <f t="shared" si="24"/>
        <v>0</v>
      </c>
    </row>
    <row r="679" spans="4:7" hidden="1" outlineLevel="1" x14ac:dyDescent="0.3">
      <c r="D679" s="77">
        <f t="shared" si="23"/>
        <v>27</v>
      </c>
      <c r="E679" s="77">
        <v>5</v>
      </c>
      <c r="F679" s="78" cm="1">
        <f t="array" ref="F679">INDEX($D$245:$T$280,MATCH(D679,$D$245:$D$280,0),E679+2)</f>
        <v>0</v>
      </c>
      <c r="G679" s="77">
        <f t="shared" si="24"/>
        <v>0</v>
      </c>
    </row>
    <row r="680" spans="4:7" hidden="1" outlineLevel="1" x14ac:dyDescent="0.3">
      <c r="D680" s="77">
        <f t="shared" si="23"/>
        <v>27</v>
      </c>
      <c r="E680" s="77">
        <v>6</v>
      </c>
      <c r="F680" s="78" cm="1">
        <f t="array" ref="F680">INDEX($D$245:$T$280,MATCH(D680,$D$245:$D$280,0),E680+2)</f>
        <v>0</v>
      </c>
      <c r="G680" s="77">
        <f t="shared" si="24"/>
        <v>0</v>
      </c>
    </row>
    <row r="681" spans="4:7" hidden="1" outlineLevel="1" x14ac:dyDescent="0.3">
      <c r="D681" s="77">
        <f t="shared" si="23"/>
        <v>27</v>
      </c>
      <c r="E681" s="77">
        <v>7</v>
      </c>
      <c r="F681" s="78" cm="1">
        <f t="array" ref="F681">INDEX($D$245:$T$280,MATCH(D681,$D$245:$D$280,0),E681+2)</f>
        <v>0</v>
      </c>
      <c r="G681" s="77">
        <f t="shared" si="24"/>
        <v>0</v>
      </c>
    </row>
    <row r="682" spans="4:7" hidden="1" outlineLevel="1" x14ac:dyDescent="0.3">
      <c r="D682" s="77">
        <f t="shared" si="23"/>
        <v>27</v>
      </c>
      <c r="E682" s="77">
        <v>8</v>
      </c>
      <c r="F682" s="78" cm="1">
        <f t="array" ref="F682">INDEX($D$245:$T$280,MATCH(D682,$D$245:$D$280,0),E682+2)</f>
        <v>0</v>
      </c>
      <c r="G682" s="77">
        <f t="shared" si="24"/>
        <v>0</v>
      </c>
    </row>
    <row r="683" spans="4:7" hidden="1" outlineLevel="1" x14ac:dyDescent="0.3">
      <c r="D683" s="77">
        <f t="shared" si="23"/>
        <v>27</v>
      </c>
      <c r="E683" s="77">
        <v>9</v>
      </c>
      <c r="F683" s="78" cm="1">
        <f t="array" ref="F683">INDEX($D$245:$T$280,MATCH(D683,$D$245:$D$280,0),E683+2)</f>
        <v>0</v>
      </c>
      <c r="G683" s="77">
        <f t="shared" si="24"/>
        <v>0</v>
      </c>
    </row>
    <row r="684" spans="4:7" hidden="1" outlineLevel="1" x14ac:dyDescent="0.3">
      <c r="D684" s="77">
        <f t="shared" si="23"/>
        <v>27</v>
      </c>
      <c r="E684" s="77">
        <v>10</v>
      </c>
      <c r="F684" s="78" cm="1">
        <f t="array" ref="F684">INDEX($D$245:$T$280,MATCH(D684,$D$245:$D$280,0),E684+2)</f>
        <v>0</v>
      </c>
      <c r="G684" s="77">
        <f t="shared" si="24"/>
        <v>0</v>
      </c>
    </row>
    <row r="685" spans="4:7" hidden="1" outlineLevel="1" x14ac:dyDescent="0.3">
      <c r="D685" s="77">
        <f t="shared" si="23"/>
        <v>27</v>
      </c>
      <c r="E685" s="77">
        <v>11</v>
      </c>
      <c r="F685" s="78" cm="1">
        <f t="array" ref="F685">INDEX($D$245:$T$280,MATCH(D685,$D$245:$D$280,0),E685+2)</f>
        <v>0</v>
      </c>
      <c r="G685" s="77">
        <f t="shared" si="24"/>
        <v>0</v>
      </c>
    </row>
    <row r="686" spans="4:7" hidden="1" outlineLevel="1" x14ac:dyDescent="0.3">
      <c r="D686" s="77">
        <f t="shared" si="23"/>
        <v>27</v>
      </c>
      <c r="E686" s="77">
        <v>12</v>
      </c>
      <c r="F686" s="78" cm="1">
        <f t="array" ref="F686">INDEX($D$245:$T$280,MATCH(D686,$D$245:$D$280,0),E686+2)</f>
        <v>0</v>
      </c>
      <c r="G686" s="77">
        <f t="shared" si="24"/>
        <v>0</v>
      </c>
    </row>
    <row r="687" spans="4:7" hidden="1" outlineLevel="1" x14ac:dyDescent="0.3">
      <c r="D687" s="77">
        <f t="shared" si="23"/>
        <v>27</v>
      </c>
      <c r="E687" s="77">
        <v>13</v>
      </c>
      <c r="F687" s="78" cm="1">
        <f t="array" ref="F687">INDEX($D$245:$T$280,MATCH(D687,$D$245:$D$280,0),E687+2)</f>
        <v>0</v>
      </c>
      <c r="G687" s="77">
        <f t="shared" si="24"/>
        <v>0</v>
      </c>
    </row>
    <row r="688" spans="4:7" hidden="1" outlineLevel="1" x14ac:dyDescent="0.3">
      <c r="D688" s="77">
        <f t="shared" si="23"/>
        <v>27</v>
      </c>
      <c r="E688" s="77">
        <v>14</v>
      </c>
      <c r="F688" s="78" cm="1">
        <f t="array" ref="F688">INDEX($D$245:$T$280,MATCH(D688,$D$245:$D$280,0),E688+2)</f>
        <v>0</v>
      </c>
      <c r="G688" s="77">
        <f t="shared" si="24"/>
        <v>0</v>
      </c>
    </row>
    <row r="689" spans="4:7" hidden="1" outlineLevel="1" x14ac:dyDescent="0.3">
      <c r="D689" s="77">
        <f t="shared" si="23"/>
        <v>27</v>
      </c>
      <c r="E689" s="77">
        <v>15</v>
      </c>
      <c r="F689" s="78" cm="1">
        <f t="array" ref="F689">INDEX($D$245:$T$280,MATCH(D689,$D$245:$D$280,0),E689+2)</f>
        <v>0</v>
      </c>
      <c r="G689" s="77">
        <f t="shared" si="24"/>
        <v>0</v>
      </c>
    </row>
    <row r="690" spans="4:7" hidden="1" outlineLevel="1" x14ac:dyDescent="0.3">
      <c r="D690" s="77">
        <f t="shared" si="23"/>
        <v>28</v>
      </c>
      <c r="E690" s="77">
        <v>1</v>
      </c>
      <c r="F690" s="78" cm="1">
        <f t="array" ref="F690">INDEX($D$245:$T$280,MATCH(D690,$D$245:$D$280,0),E690+2)</f>
        <v>0</v>
      </c>
      <c r="G690" s="77">
        <f t="shared" si="24"/>
        <v>0</v>
      </c>
    </row>
    <row r="691" spans="4:7" hidden="1" outlineLevel="1" x14ac:dyDescent="0.3">
      <c r="D691" s="77">
        <f t="shared" si="23"/>
        <v>28</v>
      </c>
      <c r="E691" s="77">
        <v>2</v>
      </c>
      <c r="F691" s="78" cm="1">
        <f t="array" ref="F691">INDEX($D$245:$T$280,MATCH(D691,$D$245:$D$280,0),E691+2)</f>
        <v>0</v>
      </c>
      <c r="G691" s="77">
        <f t="shared" si="24"/>
        <v>0</v>
      </c>
    </row>
    <row r="692" spans="4:7" hidden="1" outlineLevel="1" x14ac:dyDescent="0.3">
      <c r="D692" s="77">
        <f t="shared" si="23"/>
        <v>28</v>
      </c>
      <c r="E692" s="77">
        <v>3</v>
      </c>
      <c r="F692" s="78" cm="1">
        <f t="array" ref="F692">INDEX($D$245:$T$280,MATCH(D692,$D$245:$D$280,0),E692+2)</f>
        <v>0</v>
      </c>
      <c r="G692" s="77">
        <f t="shared" si="24"/>
        <v>0</v>
      </c>
    </row>
    <row r="693" spans="4:7" hidden="1" outlineLevel="1" x14ac:dyDescent="0.3">
      <c r="D693" s="77">
        <f t="shared" si="23"/>
        <v>28</v>
      </c>
      <c r="E693" s="77">
        <v>4</v>
      </c>
      <c r="F693" s="78" cm="1">
        <f t="array" ref="F693">INDEX($D$245:$T$280,MATCH(D693,$D$245:$D$280,0),E693+2)</f>
        <v>0</v>
      </c>
      <c r="G693" s="77">
        <f t="shared" si="24"/>
        <v>0</v>
      </c>
    </row>
    <row r="694" spans="4:7" hidden="1" outlineLevel="1" x14ac:dyDescent="0.3">
      <c r="D694" s="77">
        <f t="shared" si="23"/>
        <v>28</v>
      </c>
      <c r="E694" s="77">
        <v>5</v>
      </c>
      <c r="F694" s="78" cm="1">
        <f t="array" ref="F694">INDEX($D$245:$T$280,MATCH(D694,$D$245:$D$280,0),E694+2)</f>
        <v>0</v>
      </c>
      <c r="G694" s="77">
        <f t="shared" si="24"/>
        <v>0</v>
      </c>
    </row>
    <row r="695" spans="4:7" hidden="1" outlineLevel="1" x14ac:dyDescent="0.3">
      <c r="D695" s="77">
        <f t="shared" si="23"/>
        <v>28</v>
      </c>
      <c r="E695" s="77">
        <v>6</v>
      </c>
      <c r="F695" s="78" cm="1">
        <f t="array" ref="F695">INDEX($D$245:$T$280,MATCH(D695,$D$245:$D$280,0),E695+2)</f>
        <v>0</v>
      </c>
      <c r="G695" s="77">
        <f t="shared" si="24"/>
        <v>0</v>
      </c>
    </row>
    <row r="696" spans="4:7" hidden="1" outlineLevel="1" x14ac:dyDescent="0.3">
      <c r="D696" s="77">
        <f t="shared" si="23"/>
        <v>28</v>
      </c>
      <c r="E696" s="77">
        <v>7</v>
      </c>
      <c r="F696" s="78" cm="1">
        <f t="array" ref="F696">INDEX($D$245:$T$280,MATCH(D696,$D$245:$D$280,0),E696+2)</f>
        <v>0</v>
      </c>
      <c r="G696" s="77">
        <f t="shared" si="24"/>
        <v>0</v>
      </c>
    </row>
    <row r="697" spans="4:7" hidden="1" outlineLevel="1" x14ac:dyDescent="0.3">
      <c r="D697" s="77">
        <f t="shared" si="23"/>
        <v>28</v>
      </c>
      <c r="E697" s="77">
        <v>8</v>
      </c>
      <c r="F697" s="78" cm="1">
        <f t="array" ref="F697">INDEX($D$245:$T$280,MATCH(D697,$D$245:$D$280,0),E697+2)</f>
        <v>0</v>
      </c>
      <c r="G697" s="77">
        <f t="shared" si="24"/>
        <v>0</v>
      </c>
    </row>
    <row r="698" spans="4:7" hidden="1" outlineLevel="1" x14ac:dyDescent="0.3">
      <c r="D698" s="77">
        <f t="shared" si="23"/>
        <v>28</v>
      </c>
      <c r="E698" s="77">
        <v>9</v>
      </c>
      <c r="F698" s="78" cm="1">
        <f t="array" ref="F698">INDEX($D$245:$T$280,MATCH(D698,$D$245:$D$280,0),E698+2)</f>
        <v>0</v>
      </c>
      <c r="G698" s="77">
        <f t="shared" si="24"/>
        <v>0</v>
      </c>
    </row>
    <row r="699" spans="4:7" hidden="1" outlineLevel="1" x14ac:dyDescent="0.3">
      <c r="D699" s="77">
        <f t="shared" si="23"/>
        <v>28</v>
      </c>
      <c r="E699" s="77">
        <v>10</v>
      </c>
      <c r="F699" s="78" cm="1">
        <f t="array" ref="F699">INDEX($D$245:$T$280,MATCH(D699,$D$245:$D$280,0),E699+2)</f>
        <v>0</v>
      </c>
      <c r="G699" s="77">
        <f t="shared" si="24"/>
        <v>0</v>
      </c>
    </row>
    <row r="700" spans="4:7" hidden="1" outlineLevel="1" x14ac:dyDescent="0.3">
      <c r="D700" s="77">
        <f t="shared" si="23"/>
        <v>28</v>
      </c>
      <c r="E700" s="77">
        <v>11</v>
      </c>
      <c r="F700" s="78" cm="1">
        <f t="array" ref="F700">INDEX($D$245:$T$280,MATCH(D700,$D$245:$D$280,0),E700+2)</f>
        <v>0</v>
      </c>
      <c r="G700" s="77">
        <f t="shared" si="24"/>
        <v>0</v>
      </c>
    </row>
    <row r="701" spans="4:7" hidden="1" outlineLevel="1" x14ac:dyDescent="0.3">
      <c r="D701" s="77">
        <f t="shared" si="23"/>
        <v>28</v>
      </c>
      <c r="E701" s="77">
        <v>12</v>
      </c>
      <c r="F701" s="78" cm="1">
        <f t="array" ref="F701">INDEX($D$245:$T$280,MATCH(D701,$D$245:$D$280,0),E701+2)</f>
        <v>0</v>
      </c>
      <c r="G701" s="77">
        <f t="shared" si="24"/>
        <v>0</v>
      </c>
    </row>
    <row r="702" spans="4:7" hidden="1" outlineLevel="1" x14ac:dyDescent="0.3">
      <c r="D702" s="77">
        <f t="shared" si="23"/>
        <v>28</v>
      </c>
      <c r="E702" s="77">
        <v>13</v>
      </c>
      <c r="F702" s="78" cm="1">
        <f t="array" ref="F702">INDEX($D$245:$T$280,MATCH(D702,$D$245:$D$280,0),E702+2)</f>
        <v>0</v>
      </c>
      <c r="G702" s="77">
        <f t="shared" si="24"/>
        <v>0</v>
      </c>
    </row>
    <row r="703" spans="4:7" hidden="1" outlineLevel="1" x14ac:dyDescent="0.3">
      <c r="D703" s="77">
        <f t="shared" ref="D703:D766" si="25">D688+1</f>
        <v>28</v>
      </c>
      <c r="E703" s="77">
        <v>14</v>
      </c>
      <c r="F703" s="78" cm="1">
        <f t="array" ref="F703">INDEX($D$245:$T$280,MATCH(D703,$D$245:$D$280,0),E703+2)</f>
        <v>0</v>
      </c>
      <c r="G703" s="77">
        <f t="shared" si="24"/>
        <v>0</v>
      </c>
    </row>
    <row r="704" spans="4:7" hidden="1" outlineLevel="1" x14ac:dyDescent="0.3">
      <c r="D704" s="77">
        <f t="shared" si="25"/>
        <v>28</v>
      </c>
      <c r="E704" s="77">
        <v>15</v>
      </c>
      <c r="F704" s="78" cm="1">
        <f t="array" ref="F704">INDEX($D$245:$T$280,MATCH(D704,$D$245:$D$280,0),E704+2)</f>
        <v>0</v>
      </c>
      <c r="G704" s="77">
        <f t="shared" si="24"/>
        <v>0</v>
      </c>
    </row>
    <row r="705" spans="4:7" hidden="1" outlineLevel="1" x14ac:dyDescent="0.3">
      <c r="D705" s="77">
        <f t="shared" si="25"/>
        <v>29</v>
      </c>
      <c r="E705" s="77">
        <v>1</v>
      </c>
      <c r="F705" s="78" cm="1">
        <f t="array" ref="F705">INDEX($D$245:$T$280,MATCH(D705,$D$245:$D$280,0),E705+2)</f>
        <v>0</v>
      </c>
      <c r="G705" s="77">
        <f t="shared" si="24"/>
        <v>0</v>
      </c>
    </row>
    <row r="706" spans="4:7" hidden="1" outlineLevel="1" x14ac:dyDescent="0.3">
      <c r="D706" s="77">
        <f t="shared" si="25"/>
        <v>29</v>
      </c>
      <c r="E706" s="77">
        <v>2</v>
      </c>
      <c r="F706" s="78" cm="1">
        <f t="array" ref="F706">INDEX($D$245:$T$280,MATCH(D706,$D$245:$D$280,0),E706+2)</f>
        <v>0</v>
      </c>
      <c r="G706" s="77">
        <f t="shared" si="24"/>
        <v>0</v>
      </c>
    </row>
    <row r="707" spans="4:7" hidden="1" outlineLevel="1" x14ac:dyDescent="0.3">
      <c r="D707" s="77">
        <f t="shared" si="25"/>
        <v>29</v>
      </c>
      <c r="E707" s="77">
        <v>3</v>
      </c>
      <c r="F707" s="78" cm="1">
        <f t="array" ref="F707">INDEX($D$245:$T$280,MATCH(D707,$D$245:$D$280,0),E707+2)</f>
        <v>0</v>
      </c>
      <c r="G707" s="77">
        <f t="shared" si="24"/>
        <v>0</v>
      </c>
    </row>
    <row r="708" spans="4:7" hidden="1" outlineLevel="1" x14ac:dyDescent="0.3">
      <c r="D708" s="77">
        <f t="shared" si="25"/>
        <v>29</v>
      </c>
      <c r="E708" s="77">
        <v>4</v>
      </c>
      <c r="F708" s="78" cm="1">
        <f t="array" ref="F708">INDEX($D$245:$T$280,MATCH(D708,$D$245:$D$280,0),E708+2)</f>
        <v>0</v>
      </c>
      <c r="G708" s="77">
        <f t="shared" si="24"/>
        <v>0</v>
      </c>
    </row>
    <row r="709" spans="4:7" hidden="1" outlineLevel="1" x14ac:dyDescent="0.3">
      <c r="D709" s="77">
        <f t="shared" si="25"/>
        <v>29</v>
      </c>
      <c r="E709" s="77">
        <v>5</v>
      </c>
      <c r="F709" s="78" cm="1">
        <f t="array" ref="F709">INDEX($D$245:$T$280,MATCH(D709,$D$245:$D$280,0),E709+2)</f>
        <v>0</v>
      </c>
      <c r="G709" s="77">
        <f t="shared" si="24"/>
        <v>0</v>
      </c>
    </row>
    <row r="710" spans="4:7" hidden="1" outlineLevel="1" x14ac:dyDescent="0.3">
      <c r="D710" s="77">
        <f t="shared" si="25"/>
        <v>29</v>
      </c>
      <c r="E710" s="77">
        <v>6</v>
      </c>
      <c r="F710" s="78" cm="1">
        <f t="array" ref="F710">INDEX($D$245:$T$280,MATCH(D710,$D$245:$D$280,0),E710+2)</f>
        <v>0</v>
      </c>
      <c r="G710" s="77">
        <f t="shared" si="24"/>
        <v>0</v>
      </c>
    </row>
    <row r="711" spans="4:7" hidden="1" outlineLevel="1" x14ac:dyDescent="0.3">
      <c r="D711" s="77">
        <f t="shared" si="25"/>
        <v>29</v>
      </c>
      <c r="E711" s="77">
        <v>7</v>
      </c>
      <c r="F711" s="78" cm="1">
        <f t="array" ref="F711">INDEX($D$245:$T$280,MATCH(D711,$D$245:$D$280,0),E711+2)</f>
        <v>0</v>
      </c>
      <c r="G711" s="77">
        <f t="shared" si="24"/>
        <v>0</v>
      </c>
    </row>
    <row r="712" spans="4:7" hidden="1" outlineLevel="1" x14ac:dyDescent="0.3">
      <c r="D712" s="77">
        <f t="shared" si="25"/>
        <v>29</v>
      </c>
      <c r="E712" s="77">
        <v>8</v>
      </c>
      <c r="F712" s="78" cm="1">
        <f t="array" ref="F712">INDEX($D$245:$T$280,MATCH(D712,$D$245:$D$280,0),E712+2)</f>
        <v>0</v>
      </c>
      <c r="G712" s="77">
        <f t="shared" si="24"/>
        <v>0</v>
      </c>
    </row>
    <row r="713" spans="4:7" hidden="1" outlineLevel="1" x14ac:dyDescent="0.3">
      <c r="D713" s="77">
        <f t="shared" si="25"/>
        <v>29</v>
      </c>
      <c r="E713" s="77">
        <v>9</v>
      </c>
      <c r="F713" s="78" cm="1">
        <f t="array" ref="F713">INDEX($D$245:$T$280,MATCH(D713,$D$245:$D$280,0),E713+2)</f>
        <v>0</v>
      </c>
      <c r="G713" s="77">
        <f t="shared" si="24"/>
        <v>0</v>
      </c>
    </row>
    <row r="714" spans="4:7" hidden="1" outlineLevel="1" x14ac:dyDescent="0.3">
      <c r="D714" s="77">
        <f t="shared" si="25"/>
        <v>29</v>
      </c>
      <c r="E714" s="77">
        <v>10</v>
      </c>
      <c r="F714" s="78" cm="1">
        <f t="array" ref="F714">INDEX($D$245:$T$280,MATCH(D714,$D$245:$D$280,0),E714+2)</f>
        <v>0</v>
      </c>
      <c r="G714" s="77">
        <f t="shared" si="24"/>
        <v>0</v>
      </c>
    </row>
    <row r="715" spans="4:7" hidden="1" outlineLevel="1" x14ac:dyDescent="0.3">
      <c r="D715" s="77">
        <f t="shared" si="25"/>
        <v>29</v>
      </c>
      <c r="E715" s="77">
        <v>11</v>
      </c>
      <c r="F715" s="78" cm="1">
        <f t="array" ref="F715">INDEX($D$245:$T$280,MATCH(D715,$D$245:$D$280,0),E715+2)</f>
        <v>0</v>
      </c>
      <c r="G715" s="77">
        <f t="shared" si="24"/>
        <v>0</v>
      </c>
    </row>
    <row r="716" spans="4:7" hidden="1" outlineLevel="1" x14ac:dyDescent="0.3">
      <c r="D716" s="77">
        <f t="shared" si="25"/>
        <v>29</v>
      </c>
      <c r="E716" s="77">
        <v>12</v>
      </c>
      <c r="F716" s="78" cm="1">
        <f t="array" ref="F716">INDEX($D$245:$T$280,MATCH(D716,$D$245:$D$280,0),E716+2)</f>
        <v>0</v>
      </c>
      <c r="G716" s="77">
        <f t="shared" si="24"/>
        <v>0</v>
      </c>
    </row>
    <row r="717" spans="4:7" hidden="1" outlineLevel="1" x14ac:dyDescent="0.3">
      <c r="D717" s="77">
        <f t="shared" si="25"/>
        <v>29</v>
      </c>
      <c r="E717" s="77">
        <v>13</v>
      </c>
      <c r="F717" s="78" cm="1">
        <f t="array" ref="F717">INDEX($D$245:$T$280,MATCH(D717,$D$245:$D$280,0),E717+2)</f>
        <v>0</v>
      </c>
      <c r="G717" s="77">
        <f t="shared" si="24"/>
        <v>0</v>
      </c>
    </row>
    <row r="718" spans="4:7" hidden="1" outlineLevel="1" x14ac:dyDescent="0.3">
      <c r="D718" s="77">
        <f t="shared" si="25"/>
        <v>29</v>
      </c>
      <c r="E718" s="77">
        <v>14</v>
      </c>
      <c r="F718" s="78" cm="1">
        <f t="array" ref="F718">INDEX($D$245:$T$280,MATCH(D718,$D$245:$D$280,0),E718+2)</f>
        <v>0</v>
      </c>
      <c r="G718" s="77">
        <f t="shared" si="24"/>
        <v>0</v>
      </c>
    </row>
    <row r="719" spans="4:7" hidden="1" outlineLevel="1" x14ac:dyDescent="0.3">
      <c r="D719" s="77">
        <f t="shared" si="25"/>
        <v>29</v>
      </c>
      <c r="E719" s="77">
        <v>15</v>
      </c>
      <c r="F719" s="78" cm="1">
        <f t="array" ref="F719">INDEX($D$245:$T$280,MATCH(D719,$D$245:$D$280,0),E719+2)</f>
        <v>0</v>
      </c>
      <c r="G719" s="77">
        <f t="shared" si="24"/>
        <v>0</v>
      </c>
    </row>
    <row r="720" spans="4:7" hidden="1" outlineLevel="1" x14ac:dyDescent="0.3">
      <c r="D720" s="77">
        <f t="shared" si="25"/>
        <v>30</v>
      </c>
      <c r="E720" s="77">
        <v>1</v>
      </c>
      <c r="F720" s="78" cm="1">
        <f t="array" ref="F720">INDEX($D$245:$T$280,MATCH(D720,$D$245:$D$280,0),E720+2)</f>
        <v>0</v>
      </c>
      <c r="G720" s="77">
        <f t="shared" si="24"/>
        <v>0</v>
      </c>
    </row>
    <row r="721" spans="4:7" hidden="1" outlineLevel="1" x14ac:dyDescent="0.3">
      <c r="D721" s="77">
        <f t="shared" si="25"/>
        <v>30</v>
      </c>
      <c r="E721" s="77">
        <v>2</v>
      </c>
      <c r="F721" s="78" cm="1">
        <f t="array" ref="F721">INDEX($D$245:$T$280,MATCH(D721,$D$245:$D$280,0),E721+2)</f>
        <v>0</v>
      </c>
      <c r="G721" s="77">
        <f t="shared" si="24"/>
        <v>0</v>
      </c>
    </row>
    <row r="722" spans="4:7" hidden="1" outlineLevel="1" x14ac:dyDescent="0.3">
      <c r="D722" s="77">
        <f t="shared" si="25"/>
        <v>30</v>
      </c>
      <c r="E722" s="77">
        <v>3</v>
      </c>
      <c r="F722" s="78" cm="1">
        <f t="array" ref="F722">INDEX($D$245:$T$280,MATCH(D722,$D$245:$D$280,0),E722+2)</f>
        <v>0</v>
      </c>
      <c r="G722" s="77">
        <f t="shared" si="24"/>
        <v>0</v>
      </c>
    </row>
    <row r="723" spans="4:7" hidden="1" outlineLevel="1" x14ac:dyDescent="0.3">
      <c r="D723" s="77">
        <f t="shared" si="25"/>
        <v>30</v>
      </c>
      <c r="E723" s="77">
        <v>4</v>
      </c>
      <c r="F723" s="78" cm="1">
        <f t="array" ref="F723">INDEX($D$245:$T$280,MATCH(D723,$D$245:$D$280,0),E723+2)</f>
        <v>0</v>
      </c>
      <c r="G723" s="77">
        <f t="shared" si="24"/>
        <v>0</v>
      </c>
    </row>
    <row r="724" spans="4:7" hidden="1" outlineLevel="1" x14ac:dyDescent="0.3">
      <c r="D724" s="77">
        <f t="shared" si="25"/>
        <v>30</v>
      </c>
      <c r="E724" s="77">
        <v>5</v>
      </c>
      <c r="F724" s="78" cm="1">
        <f t="array" ref="F724">INDEX($D$245:$T$280,MATCH(D724,$D$245:$D$280,0),E724+2)</f>
        <v>0</v>
      </c>
      <c r="G724" s="77">
        <f t="shared" si="24"/>
        <v>0</v>
      </c>
    </row>
    <row r="725" spans="4:7" hidden="1" outlineLevel="1" x14ac:dyDescent="0.3">
      <c r="D725" s="77">
        <f t="shared" si="25"/>
        <v>30</v>
      </c>
      <c r="E725" s="77">
        <v>6</v>
      </c>
      <c r="F725" s="78" cm="1">
        <f t="array" ref="F725">INDEX($D$245:$T$280,MATCH(D725,$D$245:$D$280,0),E725+2)</f>
        <v>0</v>
      </c>
      <c r="G725" s="77">
        <f t="shared" si="24"/>
        <v>0</v>
      </c>
    </row>
    <row r="726" spans="4:7" hidden="1" outlineLevel="1" x14ac:dyDescent="0.3">
      <c r="D726" s="77">
        <f t="shared" si="25"/>
        <v>30</v>
      </c>
      <c r="E726" s="77">
        <v>7</v>
      </c>
      <c r="F726" s="78" cm="1">
        <f t="array" ref="F726">INDEX($D$245:$T$280,MATCH(D726,$D$245:$D$280,0),E726+2)</f>
        <v>0</v>
      </c>
      <c r="G726" s="77">
        <f t="shared" si="24"/>
        <v>0</v>
      </c>
    </row>
    <row r="727" spans="4:7" hidden="1" outlineLevel="1" x14ac:dyDescent="0.3">
      <c r="D727" s="77">
        <f t="shared" si="25"/>
        <v>30</v>
      </c>
      <c r="E727" s="77">
        <v>8</v>
      </c>
      <c r="F727" s="78" cm="1">
        <f t="array" ref="F727">INDEX($D$245:$T$280,MATCH(D727,$D$245:$D$280,0),E727+2)</f>
        <v>0</v>
      </c>
      <c r="G727" s="77">
        <f t="shared" si="24"/>
        <v>0</v>
      </c>
    </row>
    <row r="728" spans="4:7" hidden="1" outlineLevel="1" x14ac:dyDescent="0.3">
      <c r="D728" s="77">
        <f t="shared" si="25"/>
        <v>30</v>
      </c>
      <c r="E728" s="77">
        <v>9</v>
      </c>
      <c r="F728" s="78" cm="1">
        <f t="array" ref="F728">INDEX($D$245:$T$280,MATCH(D728,$D$245:$D$280,0),E728+2)</f>
        <v>0</v>
      </c>
      <c r="G728" s="77">
        <f t="shared" si="24"/>
        <v>0</v>
      </c>
    </row>
    <row r="729" spans="4:7" hidden="1" outlineLevel="1" x14ac:dyDescent="0.3">
      <c r="D729" s="77">
        <f t="shared" si="25"/>
        <v>30</v>
      </c>
      <c r="E729" s="77">
        <v>10</v>
      </c>
      <c r="F729" s="78" cm="1">
        <f t="array" ref="F729">INDEX($D$245:$T$280,MATCH(D729,$D$245:$D$280,0),E729+2)</f>
        <v>0</v>
      </c>
      <c r="G729" s="77">
        <f t="shared" si="24"/>
        <v>0</v>
      </c>
    </row>
    <row r="730" spans="4:7" hidden="1" outlineLevel="1" x14ac:dyDescent="0.3">
      <c r="D730" s="77">
        <f t="shared" si="25"/>
        <v>30</v>
      </c>
      <c r="E730" s="77">
        <v>11</v>
      </c>
      <c r="F730" s="78" cm="1">
        <f t="array" ref="F730">INDEX($D$245:$T$280,MATCH(D730,$D$245:$D$280,0),E730+2)</f>
        <v>0</v>
      </c>
      <c r="G730" s="77">
        <f t="shared" si="24"/>
        <v>0</v>
      </c>
    </row>
    <row r="731" spans="4:7" hidden="1" outlineLevel="1" x14ac:dyDescent="0.3">
      <c r="D731" s="77">
        <f t="shared" si="25"/>
        <v>30</v>
      </c>
      <c r="E731" s="77">
        <v>12</v>
      </c>
      <c r="F731" s="78" cm="1">
        <f t="array" ref="F731">INDEX($D$245:$T$280,MATCH(D731,$D$245:$D$280,0),E731+2)</f>
        <v>0</v>
      </c>
      <c r="G731" s="77">
        <f t="shared" si="24"/>
        <v>0</v>
      </c>
    </row>
    <row r="732" spans="4:7" hidden="1" outlineLevel="1" x14ac:dyDescent="0.3">
      <c r="D732" s="77">
        <f t="shared" si="25"/>
        <v>30</v>
      </c>
      <c r="E732" s="77">
        <v>13</v>
      </c>
      <c r="F732" s="78" cm="1">
        <f t="array" ref="F732">INDEX($D$245:$T$280,MATCH(D732,$D$245:$D$280,0),E732+2)</f>
        <v>0</v>
      </c>
      <c r="G732" s="77">
        <f t="shared" si="24"/>
        <v>0</v>
      </c>
    </row>
    <row r="733" spans="4:7" hidden="1" outlineLevel="1" x14ac:dyDescent="0.3">
      <c r="D733" s="77">
        <f t="shared" si="25"/>
        <v>30</v>
      </c>
      <c r="E733" s="77">
        <v>14</v>
      </c>
      <c r="F733" s="78" cm="1">
        <f t="array" ref="F733">INDEX($D$245:$T$280,MATCH(D733,$D$245:$D$280,0),E733+2)</f>
        <v>0</v>
      </c>
      <c r="G733" s="77">
        <f t="shared" ref="G733:G796" si="26">IF(F733&gt;0,D733,0)</f>
        <v>0</v>
      </c>
    </row>
    <row r="734" spans="4:7" hidden="1" outlineLevel="1" x14ac:dyDescent="0.3">
      <c r="D734" s="77">
        <f t="shared" si="25"/>
        <v>30</v>
      </c>
      <c r="E734" s="77">
        <v>15</v>
      </c>
      <c r="F734" s="78" cm="1">
        <f t="array" ref="F734">INDEX($D$245:$T$280,MATCH(D734,$D$245:$D$280,0),E734+2)</f>
        <v>0</v>
      </c>
      <c r="G734" s="77">
        <f t="shared" si="26"/>
        <v>0</v>
      </c>
    </row>
    <row r="735" spans="4:7" hidden="1" outlineLevel="1" x14ac:dyDescent="0.3">
      <c r="D735" s="77">
        <f t="shared" si="25"/>
        <v>31</v>
      </c>
      <c r="E735" s="77">
        <v>1</v>
      </c>
      <c r="F735" s="78" cm="1">
        <f t="array" ref="F735">INDEX($D$245:$T$280,MATCH(D735,$D$245:$D$280,0),E735+2)</f>
        <v>0</v>
      </c>
      <c r="G735" s="77">
        <f t="shared" si="26"/>
        <v>0</v>
      </c>
    </row>
    <row r="736" spans="4:7" hidden="1" outlineLevel="1" x14ac:dyDescent="0.3">
      <c r="D736" s="77">
        <f t="shared" si="25"/>
        <v>31</v>
      </c>
      <c r="E736" s="77">
        <v>2</v>
      </c>
      <c r="F736" s="78" cm="1">
        <f t="array" ref="F736">INDEX($D$245:$T$280,MATCH(D736,$D$245:$D$280,0),E736+2)</f>
        <v>0</v>
      </c>
      <c r="G736" s="77">
        <f t="shared" si="26"/>
        <v>0</v>
      </c>
    </row>
    <row r="737" spans="4:7" hidden="1" outlineLevel="1" x14ac:dyDescent="0.3">
      <c r="D737" s="77">
        <f t="shared" si="25"/>
        <v>31</v>
      </c>
      <c r="E737" s="77">
        <v>3</v>
      </c>
      <c r="F737" s="78" cm="1">
        <f t="array" ref="F737">INDEX($D$245:$T$280,MATCH(D737,$D$245:$D$280,0),E737+2)</f>
        <v>0</v>
      </c>
      <c r="G737" s="77">
        <f t="shared" si="26"/>
        <v>0</v>
      </c>
    </row>
    <row r="738" spans="4:7" hidden="1" outlineLevel="1" x14ac:dyDescent="0.3">
      <c r="D738" s="77">
        <f t="shared" si="25"/>
        <v>31</v>
      </c>
      <c r="E738" s="77">
        <v>4</v>
      </c>
      <c r="F738" s="78" cm="1">
        <f t="array" ref="F738">INDEX($D$245:$T$280,MATCH(D738,$D$245:$D$280,0),E738+2)</f>
        <v>0</v>
      </c>
      <c r="G738" s="77">
        <f t="shared" si="26"/>
        <v>0</v>
      </c>
    </row>
    <row r="739" spans="4:7" hidden="1" outlineLevel="1" x14ac:dyDescent="0.3">
      <c r="D739" s="77">
        <f t="shared" si="25"/>
        <v>31</v>
      </c>
      <c r="E739" s="77">
        <v>5</v>
      </c>
      <c r="F739" s="78" cm="1">
        <f t="array" ref="F739">INDEX($D$245:$T$280,MATCH(D739,$D$245:$D$280,0),E739+2)</f>
        <v>0</v>
      </c>
      <c r="G739" s="77">
        <f t="shared" si="26"/>
        <v>0</v>
      </c>
    </row>
    <row r="740" spans="4:7" hidden="1" outlineLevel="1" x14ac:dyDescent="0.3">
      <c r="D740" s="77">
        <f t="shared" si="25"/>
        <v>31</v>
      </c>
      <c r="E740" s="77">
        <v>6</v>
      </c>
      <c r="F740" s="78" cm="1">
        <f t="array" ref="F740">INDEX($D$245:$T$280,MATCH(D740,$D$245:$D$280,0),E740+2)</f>
        <v>0</v>
      </c>
      <c r="G740" s="77">
        <f t="shared" si="26"/>
        <v>0</v>
      </c>
    </row>
    <row r="741" spans="4:7" hidden="1" outlineLevel="1" x14ac:dyDescent="0.3">
      <c r="D741" s="77">
        <f t="shared" si="25"/>
        <v>31</v>
      </c>
      <c r="E741" s="77">
        <v>7</v>
      </c>
      <c r="F741" s="78" cm="1">
        <f t="array" ref="F741">INDEX($D$245:$T$280,MATCH(D741,$D$245:$D$280,0),E741+2)</f>
        <v>0</v>
      </c>
      <c r="G741" s="77">
        <f t="shared" si="26"/>
        <v>0</v>
      </c>
    </row>
    <row r="742" spans="4:7" hidden="1" outlineLevel="1" x14ac:dyDescent="0.3">
      <c r="D742" s="77">
        <f t="shared" si="25"/>
        <v>31</v>
      </c>
      <c r="E742" s="77">
        <v>8</v>
      </c>
      <c r="F742" s="78" cm="1">
        <f t="array" ref="F742">INDEX($D$245:$T$280,MATCH(D742,$D$245:$D$280,0),E742+2)</f>
        <v>0</v>
      </c>
      <c r="G742" s="77">
        <f t="shared" si="26"/>
        <v>0</v>
      </c>
    </row>
    <row r="743" spans="4:7" hidden="1" outlineLevel="1" x14ac:dyDescent="0.3">
      <c r="D743" s="77">
        <f t="shared" si="25"/>
        <v>31</v>
      </c>
      <c r="E743" s="77">
        <v>9</v>
      </c>
      <c r="F743" s="78" cm="1">
        <f t="array" ref="F743">INDEX($D$245:$T$280,MATCH(D743,$D$245:$D$280,0),E743+2)</f>
        <v>0</v>
      </c>
      <c r="G743" s="77">
        <f t="shared" si="26"/>
        <v>0</v>
      </c>
    </row>
    <row r="744" spans="4:7" hidden="1" outlineLevel="1" x14ac:dyDescent="0.3">
      <c r="D744" s="77">
        <f t="shared" si="25"/>
        <v>31</v>
      </c>
      <c r="E744" s="77">
        <v>10</v>
      </c>
      <c r="F744" s="78" cm="1">
        <f t="array" ref="F744">INDEX($D$245:$T$280,MATCH(D744,$D$245:$D$280,0),E744+2)</f>
        <v>0</v>
      </c>
      <c r="G744" s="77">
        <f t="shared" si="26"/>
        <v>0</v>
      </c>
    </row>
    <row r="745" spans="4:7" hidden="1" outlineLevel="1" x14ac:dyDescent="0.3">
      <c r="D745" s="77">
        <f t="shared" si="25"/>
        <v>31</v>
      </c>
      <c r="E745" s="77">
        <v>11</v>
      </c>
      <c r="F745" s="78" cm="1">
        <f t="array" ref="F745">INDEX($D$245:$T$280,MATCH(D745,$D$245:$D$280,0),E745+2)</f>
        <v>0</v>
      </c>
      <c r="G745" s="77">
        <f t="shared" si="26"/>
        <v>0</v>
      </c>
    </row>
    <row r="746" spans="4:7" hidden="1" outlineLevel="1" x14ac:dyDescent="0.3">
      <c r="D746" s="77">
        <f t="shared" si="25"/>
        <v>31</v>
      </c>
      <c r="E746" s="77">
        <v>12</v>
      </c>
      <c r="F746" s="78" cm="1">
        <f t="array" ref="F746">INDEX($D$245:$T$280,MATCH(D746,$D$245:$D$280,0),E746+2)</f>
        <v>0</v>
      </c>
      <c r="G746" s="77">
        <f t="shared" si="26"/>
        <v>0</v>
      </c>
    </row>
    <row r="747" spans="4:7" hidden="1" outlineLevel="1" x14ac:dyDescent="0.3">
      <c r="D747" s="77">
        <f t="shared" si="25"/>
        <v>31</v>
      </c>
      <c r="E747" s="77">
        <v>13</v>
      </c>
      <c r="F747" s="78" cm="1">
        <f t="array" ref="F747">INDEX($D$245:$T$280,MATCH(D747,$D$245:$D$280,0),E747+2)</f>
        <v>0</v>
      </c>
      <c r="G747" s="77">
        <f t="shared" si="26"/>
        <v>0</v>
      </c>
    </row>
    <row r="748" spans="4:7" hidden="1" outlineLevel="1" x14ac:dyDescent="0.3">
      <c r="D748" s="77">
        <f t="shared" si="25"/>
        <v>31</v>
      </c>
      <c r="E748" s="77">
        <v>14</v>
      </c>
      <c r="F748" s="78" cm="1">
        <f t="array" ref="F748">INDEX($D$245:$T$280,MATCH(D748,$D$245:$D$280,0),E748+2)</f>
        <v>0</v>
      </c>
      <c r="G748" s="77">
        <f t="shared" si="26"/>
        <v>0</v>
      </c>
    </row>
    <row r="749" spans="4:7" hidden="1" outlineLevel="1" x14ac:dyDescent="0.3">
      <c r="D749" s="77">
        <f t="shared" si="25"/>
        <v>31</v>
      </c>
      <c r="E749" s="77">
        <v>15</v>
      </c>
      <c r="F749" s="78" cm="1">
        <f t="array" ref="F749">INDEX($D$245:$T$280,MATCH(D749,$D$245:$D$280,0),E749+2)</f>
        <v>0</v>
      </c>
      <c r="G749" s="77">
        <f t="shared" si="26"/>
        <v>0</v>
      </c>
    </row>
    <row r="750" spans="4:7" hidden="1" outlineLevel="1" x14ac:dyDescent="0.3">
      <c r="D750" s="77">
        <f t="shared" si="25"/>
        <v>32</v>
      </c>
      <c r="E750" s="77">
        <v>1</v>
      </c>
      <c r="F750" s="78" cm="1">
        <f t="array" ref="F750">INDEX($D$245:$T$280,MATCH(D750,$D$245:$D$280,0),E750+2)</f>
        <v>0</v>
      </c>
      <c r="G750" s="77">
        <f t="shared" si="26"/>
        <v>0</v>
      </c>
    </row>
    <row r="751" spans="4:7" hidden="1" outlineLevel="1" x14ac:dyDescent="0.3">
      <c r="D751" s="77">
        <f t="shared" si="25"/>
        <v>32</v>
      </c>
      <c r="E751" s="77">
        <v>2</v>
      </c>
      <c r="F751" s="78" cm="1">
        <f t="array" ref="F751">INDEX($D$245:$T$280,MATCH(D751,$D$245:$D$280,0),E751+2)</f>
        <v>0</v>
      </c>
      <c r="G751" s="77">
        <f t="shared" si="26"/>
        <v>0</v>
      </c>
    </row>
    <row r="752" spans="4:7" hidden="1" outlineLevel="1" x14ac:dyDescent="0.3">
      <c r="D752" s="77">
        <f t="shared" si="25"/>
        <v>32</v>
      </c>
      <c r="E752" s="77">
        <v>3</v>
      </c>
      <c r="F752" s="78" cm="1">
        <f t="array" ref="F752">INDEX($D$245:$T$280,MATCH(D752,$D$245:$D$280,0),E752+2)</f>
        <v>0</v>
      </c>
      <c r="G752" s="77">
        <f t="shared" si="26"/>
        <v>0</v>
      </c>
    </row>
    <row r="753" spans="4:7" hidden="1" outlineLevel="1" x14ac:dyDescent="0.3">
      <c r="D753" s="77">
        <f t="shared" si="25"/>
        <v>32</v>
      </c>
      <c r="E753" s="77">
        <v>4</v>
      </c>
      <c r="F753" s="78" cm="1">
        <f t="array" ref="F753">INDEX($D$245:$T$280,MATCH(D753,$D$245:$D$280,0),E753+2)</f>
        <v>0</v>
      </c>
      <c r="G753" s="77">
        <f t="shared" si="26"/>
        <v>0</v>
      </c>
    </row>
    <row r="754" spans="4:7" hidden="1" outlineLevel="1" x14ac:dyDescent="0.3">
      <c r="D754" s="77">
        <f t="shared" si="25"/>
        <v>32</v>
      </c>
      <c r="E754" s="77">
        <v>5</v>
      </c>
      <c r="F754" s="78" cm="1">
        <f t="array" ref="F754">INDEX($D$245:$T$280,MATCH(D754,$D$245:$D$280,0),E754+2)</f>
        <v>0</v>
      </c>
      <c r="G754" s="77">
        <f t="shared" si="26"/>
        <v>0</v>
      </c>
    </row>
    <row r="755" spans="4:7" hidden="1" outlineLevel="1" x14ac:dyDescent="0.3">
      <c r="D755" s="77">
        <f t="shared" si="25"/>
        <v>32</v>
      </c>
      <c r="E755" s="77">
        <v>6</v>
      </c>
      <c r="F755" s="78" cm="1">
        <f t="array" ref="F755">INDEX($D$245:$T$280,MATCH(D755,$D$245:$D$280,0),E755+2)</f>
        <v>0</v>
      </c>
      <c r="G755" s="77">
        <f t="shared" si="26"/>
        <v>0</v>
      </c>
    </row>
    <row r="756" spans="4:7" hidden="1" outlineLevel="1" x14ac:dyDescent="0.3">
      <c r="D756" s="77">
        <f t="shared" si="25"/>
        <v>32</v>
      </c>
      <c r="E756" s="77">
        <v>7</v>
      </c>
      <c r="F756" s="78" cm="1">
        <f t="array" ref="F756">INDEX($D$245:$T$280,MATCH(D756,$D$245:$D$280,0),E756+2)</f>
        <v>0</v>
      </c>
      <c r="G756" s="77">
        <f t="shared" si="26"/>
        <v>0</v>
      </c>
    </row>
    <row r="757" spans="4:7" hidden="1" outlineLevel="1" x14ac:dyDescent="0.3">
      <c r="D757" s="77">
        <f t="shared" si="25"/>
        <v>32</v>
      </c>
      <c r="E757" s="77">
        <v>8</v>
      </c>
      <c r="F757" s="78" cm="1">
        <f t="array" ref="F757">INDEX($D$245:$T$280,MATCH(D757,$D$245:$D$280,0),E757+2)</f>
        <v>0</v>
      </c>
      <c r="G757" s="77">
        <f t="shared" si="26"/>
        <v>0</v>
      </c>
    </row>
    <row r="758" spans="4:7" hidden="1" outlineLevel="1" x14ac:dyDescent="0.3">
      <c r="D758" s="77">
        <f t="shared" si="25"/>
        <v>32</v>
      </c>
      <c r="E758" s="77">
        <v>9</v>
      </c>
      <c r="F758" s="78" cm="1">
        <f t="array" ref="F758">INDEX($D$245:$T$280,MATCH(D758,$D$245:$D$280,0),E758+2)</f>
        <v>0</v>
      </c>
      <c r="G758" s="77">
        <f t="shared" si="26"/>
        <v>0</v>
      </c>
    </row>
    <row r="759" spans="4:7" hidden="1" outlineLevel="1" x14ac:dyDescent="0.3">
      <c r="D759" s="77">
        <f t="shared" si="25"/>
        <v>32</v>
      </c>
      <c r="E759" s="77">
        <v>10</v>
      </c>
      <c r="F759" s="78" cm="1">
        <f t="array" ref="F759">INDEX($D$245:$T$280,MATCH(D759,$D$245:$D$280,0),E759+2)</f>
        <v>0</v>
      </c>
      <c r="G759" s="77">
        <f t="shared" si="26"/>
        <v>0</v>
      </c>
    </row>
    <row r="760" spans="4:7" hidden="1" outlineLevel="1" x14ac:dyDescent="0.3">
      <c r="D760" s="77">
        <f t="shared" si="25"/>
        <v>32</v>
      </c>
      <c r="E760" s="77">
        <v>11</v>
      </c>
      <c r="F760" s="78" cm="1">
        <f t="array" ref="F760">INDEX($D$245:$T$280,MATCH(D760,$D$245:$D$280,0),E760+2)</f>
        <v>0</v>
      </c>
      <c r="G760" s="77">
        <f t="shared" si="26"/>
        <v>0</v>
      </c>
    </row>
    <row r="761" spans="4:7" hidden="1" outlineLevel="1" x14ac:dyDescent="0.3">
      <c r="D761" s="77">
        <f t="shared" si="25"/>
        <v>32</v>
      </c>
      <c r="E761" s="77">
        <v>12</v>
      </c>
      <c r="F761" s="78" cm="1">
        <f t="array" ref="F761">INDEX($D$245:$T$280,MATCH(D761,$D$245:$D$280,0),E761+2)</f>
        <v>0</v>
      </c>
      <c r="G761" s="77">
        <f t="shared" si="26"/>
        <v>0</v>
      </c>
    </row>
    <row r="762" spans="4:7" hidden="1" outlineLevel="1" x14ac:dyDescent="0.3">
      <c r="D762" s="77">
        <f t="shared" si="25"/>
        <v>32</v>
      </c>
      <c r="E762" s="77">
        <v>13</v>
      </c>
      <c r="F762" s="78" cm="1">
        <f t="array" ref="F762">INDEX($D$245:$T$280,MATCH(D762,$D$245:$D$280,0),E762+2)</f>
        <v>0</v>
      </c>
      <c r="G762" s="77">
        <f t="shared" si="26"/>
        <v>0</v>
      </c>
    </row>
    <row r="763" spans="4:7" hidden="1" outlineLevel="1" x14ac:dyDescent="0.3">
      <c r="D763" s="77">
        <f t="shared" si="25"/>
        <v>32</v>
      </c>
      <c r="E763" s="77">
        <v>14</v>
      </c>
      <c r="F763" s="78" cm="1">
        <f t="array" ref="F763">INDEX($D$245:$T$280,MATCH(D763,$D$245:$D$280,0),E763+2)</f>
        <v>0</v>
      </c>
      <c r="G763" s="77">
        <f t="shared" si="26"/>
        <v>0</v>
      </c>
    </row>
    <row r="764" spans="4:7" hidden="1" outlineLevel="1" x14ac:dyDescent="0.3">
      <c r="D764" s="77">
        <f t="shared" si="25"/>
        <v>32</v>
      </c>
      <c r="E764" s="77">
        <v>15</v>
      </c>
      <c r="F764" s="78" cm="1">
        <f t="array" ref="F764">INDEX($D$245:$T$280,MATCH(D764,$D$245:$D$280,0),E764+2)</f>
        <v>0</v>
      </c>
      <c r="G764" s="77">
        <f t="shared" si="26"/>
        <v>0</v>
      </c>
    </row>
    <row r="765" spans="4:7" hidden="1" outlineLevel="1" x14ac:dyDescent="0.3">
      <c r="D765" s="77">
        <f t="shared" si="25"/>
        <v>33</v>
      </c>
      <c r="E765" s="77">
        <v>1</v>
      </c>
      <c r="F765" s="78" cm="1">
        <f t="array" ref="F765">INDEX($D$245:$T$280,MATCH(D765,$D$245:$D$280,0),E765+2)</f>
        <v>0</v>
      </c>
      <c r="G765" s="77">
        <f t="shared" si="26"/>
        <v>0</v>
      </c>
    </row>
    <row r="766" spans="4:7" hidden="1" outlineLevel="1" x14ac:dyDescent="0.3">
      <c r="D766" s="77">
        <f t="shared" si="25"/>
        <v>33</v>
      </c>
      <c r="E766" s="77">
        <v>2</v>
      </c>
      <c r="F766" s="78" cm="1">
        <f t="array" ref="F766">INDEX($D$245:$T$280,MATCH(D766,$D$245:$D$280,0),E766+2)</f>
        <v>0</v>
      </c>
      <c r="G766" s="77">
        <f t="shared" si="26"/>
        <v>0</v>
      </c>
    </row>
    <row r="767" spans="4:7" hidden="1" outlineLevel="1" x14ac:dyDescent="0.3">
      <c r="D767" s="77">
        <f t="shared" ref="D767:D809" si="27">D752+1</f>
        <v>33</v>
      </c>
      <c r="E767" s="77">
        <v>3</v>
      </c>
      <c r="F767" s="78" cm="1">
        <f t="array" ref="F767">INDEX($D$245:$T$280,MATCH(D767,$D$245:$D$280,0),E767+2)</f>
        <v>0</v>
      </c>
      <c r="G767" s="77">
        <f t="shared" si="26"/>
        <v>0</v>
      </c>
    </row>
    <row r="768" spans="4:7" hidden="1" outlineLevel="1" x14ac:dyDescent="0.3">
      <c r="D768" s="77">
        <f t="shared" si="27"/>
        <v>33</v>
      </c>
      <c r="E768" s="77">
        <v>4</v>
      </c>
      <c r="F768" s="78" cm="1">
        <f t="array" ref="F768">INDEX($D$245:$T$280,MATCH(D768,$D$245:$D$280,0),E768+2)</f>
        <v>0</v>
      </c>
      <c r="G768" s="77">
        <f t="shared" si="26"/>
        <v>0</v>
      </c>
    </row>
    <row r="769" spans="4:7" hidden="1" outlineLevel="1" x14ac:dyDescent="0.3">
      <c r="D769" s="77">
        <f t="shared" si="27"/>
        <v>33</v>
      </c>
      <c r="E769" s="77">
        <v>5</v>
      </c>
      <c r="F769" s="78" cm="1">
        <f t="array" ref="F769">INDEX($D$245:$T$280,MATCH(D769,$D$245:$D$280,0),E769+2)</f>
        <v>0</v>
      </c>
      <c r="G769" s="77">
        <f t="shared" si="26"/>
        <v>0</v>
      </c>
    </row>
    <row r="770" spans="4:7" hidden="1" outlineLevel="1" x14ac:dyDescent="0.3">
      <c r="D770" s="77">
        <f t="shared" si="27"/>
        <v>33</v>
      </c>
      <c r="E770" s="77">
        <v>6</v>
      </c>
      <c r="F770" s="78" cm="1">
        <f t="array" ref="F770">INDEX($D$245:$T$280,MATCH(D770,$D$245:$D$280,0),E770+2)</f>
        <v>0</v>
      </c>
      <c r="G770" s="77">
        <f t="shared" si="26"/>
        <v>0</v>
      </c>
    </row>
    <row r="771" spans="4:7" hidden="1" outlineLevel="1" x14ac:dyDescent="0.3">
      <c r="D771" s="77">
        <f t="shared" si="27"/>
        <v>33</v>
      </c>
      <c r="E771" s="77">
        <v>7</v>
      </c>
      <c r="F771" s="78" cm="1">
        <f t="array" ref="F771">INDEX($D$245:$T$280,MATCH(D771,$D$245:$D$280,0),E771+2)</f>
        <v>0</v>
      </c>
      <c r="G771" s="77">
        <f t="shared" si="26"/>
        <v>0</v>
      </c>
    </row>
    <row r="772" spans="4:7" hidden="1" outlineLevel="1" x14ac:dyDescent="0.3">
      <c r="D772" s="77">
        <f t="shared" si="27"/>
        <v>33</v>
      </c>
      <c r="E772" s="77">
        <v>8</v>
      </c>
      <c r="F772" s="78" cm="1">
        <f t="array" ref="F772">INDEX($D$245:$T$280,MATCH(D772,$D$245:$D$280,0),E772+2)</f>
        <v>0</v>
      </c>
      <c r="G772" s="77">
        <f t="shared" si="26"/>
        <v>0</v>
      </c>
    </row>
    <row r="773" spans="4:7" hidden="1" outlineLevel="1" x14ac:dyDescent="0.3">
      <c r="D773" s="77">
        <f t="shared" si="27"/>
        <v>33</v>
      </c>
      <c r="E773" s="77">
        <v>9</v>
      </c>
      <c r="F773" s="78" cm="1">
        <f t="array" ref="F773">INDEX($D$245:$T$280,MATCH(D773,$D$245:$D$280,0),E773+2)</f>
        <v>0</v>
      </c>
      <c r="G773" s="77">
        <f t="shared" si="26"/>
        <v>0</v>
      </c>
    </row>
    <row r="774" spans="4:7" hidden="1" outlineLevel="1" x14ac:dyDescent="0.3">
      <c r="D774" s="77">
        <f t="shared" si="27"/>
        <v>33</v>
      </c>
      <c r="E774" s="77">
        <v>10</v>
      </c>
      <c r="F774" s="78" cm="1">
        <f t="array" ref="F774">INDEX($D$245:$T$280,MATCH(D774,$D$245:$D$280,0),E774+2)</f>
        <v>0</v>
      </c>
      <c r="G774" s="77">
        <f t="shared" si="26"/>
        <v>0</v>
      </c>
    </row>
    <row r="775" spans="4:7" hidden="1" outlineLevel="1" x14ac:dyDescent="0.3">
      <c r="D775" s="77">
        <f t="shared" si="27"/>
        <v>33</v>
      </c>
      <c r="E775" s="77">
        <v>11</v>
      </c>
      <c r="F775" s="78" cm="1">
        <f t="array" ref="F775">INDEX($D$245:$T$280,MATCH(D775,$D$245:$D$280,0),E775+2)</f>
        <v>0</v>
      </c>
      <c r="G775" s="77">
        <f t="shared" si="26"/>
        <v>0</v>
      </c>
    </row>
    <row r="776" spans="4:7" hidden="1" outlineLevel="1" x14ac:dyDescent="0.3">
      <c r="D776" s="77">
        <f t="shared" si="27"/>
        <v>33</v>
      </c>
      <c r="E776" s="77">
        <v>12</v>
      </c>
      <c r="F776" s="78" cm="1">
        <f t="array" ref="F776">INDEX($D$245:$T$280,MATCH(D776,$D$245:$D$280,0),E776+2)</f>
        <v>0</v>
      </c>
      <c r="G776" s="77">
        <f t="shared" si="26"/>
        <v>0</v>
      </c>
    </row>
    <row r="777" spans="4:7" hidden="1" outlineLevel="1" x14ac:dyDescent="0.3">
      <c r="D777" s="77">
        <f t="shared" si="27"/>
        <v>33</v>
      </c>
      <c r="E777" s="77">
        <v>13</v>
      </c>
      <c r="F777" s="78" cm="1">
        <f t="array" ref="F777">INDEX($D$245:$T$280,MATCH(D777,$D$245:$D$280,0),E777+2)</f>
        <v>0</v>
      </c>
      <c r="G777" s="77">
        <f t="shared" si="26"/>
        <v>0</v>
      </c>
    </row>
    <row r="778" spans="4:7" hidden="1" outlineLevel="1" x14ac:dyDescent="0.3">
      <c r="D778" s="77">
        <f t="shared" si="27"/>
        <v>33</v>
      </c>
      <c r="E778" s="77">
        <v>14</v>
      </c>
      <c r="F778" s="78" cm="1">
        <f t="array" ref="F778">INDEX($D$245:$T$280,MATCH(D778,$D$245:$D$280,0),E778+2)</f>
        <v>0</v>
      </c>
      <c r="G778" s="77">
        <f t="shared" si="26"/>
        <v>0</v>
      </c>
    </row>
    <row r="779" spans="4:7" hidden="1" outlineLevel="1" x14ac:dyDescent="0.3">
      <c r="D779" s="77">
        <f t="shared" si="27"/>
        <v>33</v>
      </c>
      <c r="E779" s="77">
        <v>15</v>
      </c>
      <c r="F779" s="78" cm="1">
        <f t="array" ref="F779">INDEX($D$245:$T$280,MATCH(D779,$D$245:$D$280,0),E779+2)</f>
        <v>0</v>
      </c>
      <c r="G779" s="77">
        <f t="shared" si="26"/>
        <v>0</v>
      </c>
    </row>
    <row r="780" spans="4:7" hidden="1" outlineLevel="1" x14ac:dyDescent="0.3">
      <c r="D780" s="77">
        <f t="shared" si="27"/>
        <v>34</v>
      </c>
      <c r="E780" s="77">
        <v>1</v>
      </c>
      <c r="F780" s="78" cm="1">
        <f t="array" ref="F780">INDEX($D$245:$T$280,MATCH(D780,$D$245:$D$280,0),E780+2)</f>
        <v>0</v>
      </c>
      <c r="G780" s="77">
        <f t="shared" si="26"/>
        <v>0</v>
      </c>
    </row>
    <row r="781" spans="4:7" hidden="1" outlineLevel="1" x14ac:dyDescent="0.3">
      <c r="D781" s="77">
        <f t="shared" si="27"/>
        <v>34</v>
      </c>
      <c r="E781" s="77">
        <v>2</v>
      </c>
      <c r="F781" s="78" cm="1">
        <f t="array" ref="F781">INDEX($D$245:$T$280,MATCH(D781,$D$245:$D$280,0),E781+2)</f>
        <v>0</v>
      </c>
      <c r="G781" s="77">
        <f t="shared" si="26"/>
        <v>0</v>
      </c>
    </row>
    <row r="782" spans="4:7" hidden="1" outlineLevel="1" x14ac:dyDescent="0.3">
      <c r="D782" s="77">
        <f t="shared" si="27"/>
        <v>34</v>
      </c>
      <c r="E782" s="77">
        <v>3</v>
      </c>
      <c r="F782" s="78" cm="1">
        <f t="array" ref="F782">INDEX($D$245:$T$280,MATCH(D782,$D$245:$D$280,0),E782+2)</f>
        <v>0</v>
      </c>
      <c r="G782" s="77">
        <f t="shared" si="26"/>
        <v>0</v>
      </c>
    </row>
    <row r="783" spans="4:7" hidden="1" outlineLevel="1" x14ac:dyDescent="0.3">
      <c r="D783" s="77">
        <f t="shared" si="27"/>
        <v>34</v>
      </c>
      <c r="E783" s="77">
        <v>4</v>
      </c>
      <c r="F783" s="78" cm="1">
        <f t="array" ref="F783">INDEX($D$245:$T$280,MATCH(D783,$D$245:$D$280,0),E783+2)</f>
        <v>0</v>
      </c>
      <c r="G783" s="77">
        <f t="shared" si="26"/>
        <v>0</v>
      </c>
    </row>
    <row r="784" spans="4:7" hidden="1" outlineLevel="1" x14ac:dyDescent="0.3">
      <c r="D784" s="77">
        <f t="shared" si="27"/>
        <v>34</v>
      </c>
      <c r="E784" s="77">
        <v>5</v>
      </c>
      <c r="F784" s="78" cm="1">
        <f t="array" ref="F784">INDEX($D$245:$T$280,MATCH(D784,$D$245:$D$280,0),E784+2)</f>
        <v>0</v>
      </c>
      <c r="G784" s="77">
        <f t="shared" si="26"/>
        <v>0</v>
      </c>
    </row>
    <row r="785" spans="4:7" hidden="1" outlineLevel="1" x14ac:dyDescent="0.3">
      <c r="D785" s="77">
        <f t="shared" si="27"/>
        <v>34</v>
      </c>
      <c r="E785" s="77">
        <v>6</v>
      </c>
      <c r="F785" s="78" cm="1">
        <f t="array" ref="F785">INDEX($D$245:$T$280,MATCH(D785,$D$245:$D$280,0),E785+2)</f>
        <v>0</v>
      </c>
      <c r="G785" s="77">
        <f t="shared" si="26"/>
        <v>0</v>
      </c>
    </row>
    <row r="786" spans="4:7" hidden="1" outlineLevel="1" x14ac:dyDescent="0.3">
      <c r="D786" s="77">
        <f t="shared" si="27"/>
        <v>34</v>
      </c>
      <c r="E786" s="77">
        <v>7</v>
      </c>
      <c r="F786" s="78" cm="1">
        <f t="array" ref="F786">INDEX($D$245:$T$280,MATCH(D786,$D$245:$D$280,0),E786+2)</f>
        <v>0</v>
      </c>
      <c r="G786" s="77">
        <f t="shared" si="26"/>
        <v>0</v>
      </c>
    </row>
    <row r="787" spans="4:7" hidden="1" outlineLevel="1" x14ac:dyDescent="0.3">
      <c r="D787" s="77">
        <f t="shared" si="27"/>
        <v>34</v>
      </c>
      <c r="E787" s="77">
        <v>8</v>
      </c>
      <c r="F787" s="78" cm="1">
        <f t="array" ref="F787">INDEX($D$245:$T$280,MATCH(D787,$D$245:$D$280,0),E787+2)</f>
        <v>0</v>
      </c>
      <c r="G787" s="77">
        <f t="shared" si="26"/>
        <v>0</v>
      </c>
    </row>
    <row r="788" spans="4:7" hidden="1" outlineLevel="1" x14ac:dyDescent="0.3">
      <c r="D788" s="77">
        <f t="shared" si="27"/>
        <v>34</v>
      </c>
      <c r="E788" s="77">
        <v>9</v>
      </c>
      <c r="F788" s="78" cm="1">
        <f t="array" ref="F788">INDEX($D$245:$T$280,MATCH(D788,$D$245:$D$280,0),E788+2)</f>
        <v>0</v>
      </c>
      <c r="G788" s="77">
        <f t="shared" si="26"/>
        <v>0</v>
      </c>
    </row>
    <row r="789" spans="4:7" hidden="1" outlineLevel="1" x14ac:dyDescent="0.3">
      <c r="D789" s="77">
        <f t="shared" si="27"/>
        <v>34</v>
      </c>
      <c r="E789" s="77">
        <v>10</v>
      </c>
      <c r="F789" s="78" cm="1">
        <f t="array" ref="F789">INDEX($D$245:$T$280,MATCH(D789,$D$245:$D$280,0),E789+2)</f>
        <v>0</v>
      </c>
      <c r="G789" s="77">
        <f t="shared" si="26"/>
        <v>0</v>
      </c>
    </row>
    <row r="790" spans="4:7" hidden="1" outlineLevel="1" x14ac:dyDescent="0.3">
      <c r="D790" s="77">
        <f t="shared" si="27"/>
        <v>34</v>
      </c>
      <c r="E790" s="77">
        <v>11</v>
      </c>
      <c r="F790" s="78" cm="1">
        <f t="array" ref="F790">INDEX($D$245:$T$280,MATCH(D790,$D$245:$D$280,0),E790+2)</f>
        <v>0</v>
      </c>
      <c r="G790" s="77">
        <f t="shared" si="26"/>
        <v>0</v>
      </c>
    </row>
    <row r="791" spans="4:7" hidden="1" outlineLevel="1" x14ac:dyDescent="0.3">
      <c r="D791" s="77">
        <f t="shared" si="27"/>
        <v>34</v>
      </c>
      <c r="E791" s="77">
        <v>12</v>
      </c>
      <c r="F791" s="78" cm="1">
        <f t="array" ref="F791">INDEX($D$245:$T$280,MATCH(D791,$D$245:$D$280,0),E791+2)</f>
        <v>0</v>
      </c>
      <c r="G791" s="77">
        <f t="shared" si="26"/>
        <v>0</v>
      </c>
    </row>
    <row r="792" spans="4:7" hidden="1" outlineLevel="1" x14ac:dyDescent="0.3">
      <c r="D792" s="77">
        <f t="shared" si="27"/>
        <v>34</v>
      </c>
      <c r="E792" s="77">
        <v>13</v>
      </c>
      <c r="F792" s="78" cm="1">
        <f t="array" ref="F792">INDEX($D$245:$T$280,MATCH(D792,$D$245:$D$280,0),E792+2)</f>
        <v>0</v>
      </c>
      <c r="G792" s="77">
        <f t="shared" si="26"/>
        <v>0</v>
      </c>
    </row>
    <row r="793" spans="4:7" hidden="1" outlineLevel="1" x14ac:dyDescent="0.3">
      <c r="D793" s="77">
        <f t="shared" si="27"/>
        <v>34</v>
      </c>
      <c r="E793" s="77">
        <v>14</v>
      </c>
      <c r="F793" s="78" cm="1">
        <f t="array" ref="F793">INDEX($D$245:$T$280,MATCH(D793,$D$245:$D$280,0),E793+2)</f>
        <v>0</v>
      </c>
      <c r="G793" s="77">
        <f t="shared" si="26"/>
        <v>0</v>
      </c>
    </row>
    <row r="794" spans="4:7" hidden="1" outlineLevel="1" x14ac:dyDescent="0.3">
      <c r="D794" s="77">
        <f t="shared" si="27"/>
        <v>34</v>
      </c>
      <c r="E794" s="77">
        <v>15</v>
      </c>
      <c r="F794" s="78" cm="1">
        <f t="array" ref="F794">INDEX($D$245:$T$280,MATCH(D794,$D$245:$D$280,0),E794+2)</f>
        <v>0</v>
      </c>
      <c r="G794" s="77">
        <f t="shared" si="26"/>
        <v>0</v>
      </c>
    </row>
    <row r="795" spans="4:7" hidden="1" outlineLevel="1" x14ac:dyDescent="0.3">
      <c r="D795" s="77">
        <f t="shared" si="27"/>
        <v>35</v>
      </c>
      <c r="E795" s="77">
        <v>1</v>
      </c>
      <c r="F795" s="78" cm="1">
        <f t="array" ref="F795">INDEX($D$245:$T$280,MATCH(D795,$D$245:$D$280,0),E795+2)</f>
        <v>0</v>
      </c>
      <c r="G795" s="77">
        <f t="shared" si="26"/>
        <v>0</v>
      </c>
    </row>
    <row r="796" spans="4:7" hidden="1" outlineLevel="1" x14ac:dyDescent="0.3">
      <c r="D796" s="77">
        <f t="shared" si="27"/>
        <v>35</v>
      </c>
      <c r="E796" s="77">
        <v>2</v>
      </c>
      <c r="F796" s="78" cm="1">
        <f t="array" ref="F796">INDEX($D$245:$T$280,MATCH(D796,$D$245:$D$280,0),E796+2)</f>
        <v>0</v>
      </c>
      <c r="G796" s="77">
        <f t="shared" si="26"/>
        <v>0</v>
      </c>
    </row>
    <row r="797" spans="4:7" hidden="1" outlineLevel="1" x14ac:dyDescent="0.3">
      <c r="D797" s="77">
        <f t="shared" si="27"/>
        <v>35</v>
      </c>
      <c r="E797" s="77">
        <v>3</v>
      </c>
      <c r="F797" s="78" cm="1">
        <f t="array" ref="F797">INDEX($D$245:$T$280,MATCH(D797,$D$245:$D$280,0),E797+2)</f>
        <v>0</v>
      </c>
      <c r="G797" s="77">
        <f t="shared" ref="G797:G809" si="28">IF(F797&gt;0,D797,0)</f>
        <v>0</v>
      </c>
    </row>
    <row r="798" spans="4:7" hidden="1" outlineLevel="1" x14ac:dyDescent="0.3">
      <c r="D798" s="77">
        <f t="shared" si="27"/>
        <v>35</v>
      </c>
      <c r="E798" s="77">
        <v>4</v>
      </c>
      <c r="F798" s="78" cm="1">
        <f t="array" ref="F798">INDEX($D$245:$T$280,MATCH(D798,$D$245:$D$280,0),E798+2)</f>
        <v>0</v>
      </c>
      <c r="G798" s="77">
        <f t="shared" si="28"/>
        <v>0</v>
      </c>
    </row>
    <row r="799" spans="4:7" hidden="1" outlineLevel="1" x14ac:dyDescent="0.3">
      <c r="D799" s="77">
        <f t="shared" si="27"/>
        <v>35</v>
      </c>
      <c r="E799" s="77">
        <v>5</v>
      </c>
      <c r="F799" s="78" cm="1">
        <f t="array" ref="F799">INDEX($D$245:$T$280,MATCH(D799,$D$245:$D$280,0),E799+2)</f>
        <v>0</v>
      </c>
      <c r="G799" s="77">
        <f t="shared" si="28"/>
        <v>0</v>
      </c>
    </row>
    <row r="800" spans="4:7" hidden="1" outlineLevel="1" x14ac:dyDescent="0.3">
      <c r="D800" s="77">
        <f t="shared" si="27"/>
        <v>35</v>
      </c>
      <c r="E800" s="77">
        <v>6</v>
      </c>
      <c r="F800" s="78" cm="1">
        <f t="array" ref="F800">INDEX($D$245:$T$280,MATCH(D800,$D$245:$D$280,0),E800+2)</f>
        <v>0</v>
      </c>
      <c r="G800" s="77">
        <f t="shared" si="28"/>
        <v>0</v>
      </c>
    </row>
    <row r="801" spans="4:7" hidden="1" outlineLevel="1" x14ac:dyDescent="0.3">
      <c r="D801" s="77">
        <f t="shared" si="27"/>
        <v>35</v>
      </c>
      <c r="E801" s="77">
        <v>7</v>
      </c>
      <c r="F801" s="78" cm="1">
        <f t="array" ref="F801">INDEX($D$245:$T$280,MATCH(D801,$D$245:$D$280,0),E801+2)</f>
        <v>0</v>
      </c>
      <c r="G801" s="77">
        <f t="shared" si="28"/>
        <v>0</v>
      </c>
    </row>
    <row r="802" spans="4:7" hidden="1" outlineLevel="1" x14ac:dyDescent="0.3">
      <c r="D802" s="77">
        <f t="shared" si="27"/>
        <v>35</v>
      </c>
      <c r="E802" s="77">
        <v>8</v>
      </c>
      <c r="F802" s="78" cm="1">
        <f t="array" ref="F802">INDEX($D$245:$T$280,MATCH(D802,$D$245:$D$280,0),E802+2)</f>
        <v>0</v>
      </c>
      <c r="G802" s="77">
        <f t="shared" si="28"/>
        <v>0</v>
      </c>
    </row>
    <row r="803" spans="4:7" hidden="1" outlineLevel="1" x14ac:dyDescent="0.3">
      <c r="D803" s="77">
        <f t="shared" si="27"/>
        <v>35</v>
      </c>
      <c r="E803" s="77">
        <v>9</v>
      </c>
      <c r="F803" s="78" cm="1">
        <f t="array" ref="F803">INDEX($D$245:$T$280,MATCH(D803,$D$245:$D$280,0),E803+2)</f>
        <v>0</v>
      </c>
      <c r="G803" s="77">
        <f t="shared" si="28"/>
        <v>0</v>
      </c>
    </row>
    <row r="804" spans="4:7" hidden="1" outlineLevel="1" x14ac:dyDescent="0.3">
      <c r="D804" s="77">
        <f t="shared" si="27"/>
        <v>35</v>
      </c>
      <c r="E804" s="77">
        <v>10</v>
      </c>
      <c r="F804" s="78" cm="1">
        <f t="array" ref="F804">INDEX($D$245:$T$280,MATCH(D804,$D$245:$D$280,0),E804+2)</f>
        <v>0</v>
      </c>
      <c r="G804" s="77">
        <f t="shared" si="28"/>
        <v>0</v>
      </c>
    </row>
    <row r="805" spans="4:7" hidden="1" outlineLevel="1" x14ac:dyDescent="0.3">
      <c r="D805" s="77">
        <f t="shared" si="27"/>
        <v>35</v>
      </c>
      <c r="E805" s="77">
        <v>11</v>
      </c>
      <c r="F805" s="78" cm="1">
        <f t="array" ref="F805">INDEX($D$245:$T$280,MATCH(D805,$D$245:$D$280,0),E805+2)</f>
        <v>0</v>
      </c>
      <c r="G805" s="77">
        <f t="shared" si="28"/>
        <v>0</v>
      </c>
    </row>
    <row r="806" spans="4:7" hidden="1" outlineLevel="1" x14ac:dyDescent="0.3">
      <c r="D806" s="77">
        <f t="shared" si="27"/>
        <v>35</v>
      </c>
      <c r="E806" s="77">
        <v>12</v>
      </c>
      <c r="F806" s="78" cm="1">
        <f t="array" ref="F806">INDEX($D$245:$T$280,MATCH(D806,$D$245:$D$280,0),E806+2)</f>
        <v>0</v>
      </c>
      <c r="G806" s="77">
        <f t="shared" si="28"/>
        <v>0</v>
      </c>
    </row>
    <row r="807" spans="4:7" hidden="1" outlineLevel="1" x14ac:dyDescent="0.3">
      <c r="D807" s="77">
        <f t="shared" si="27"/>
        <v>35</v>
      </c>
      <c r="E807" s="77">
        <v>13</v>
      </c>
      <c r="F807" s="78" cm="1">
        <f t="array" ref="F807">INDEX($D$245:$T$280,MATCH(D807,$D$245:$D$280,0),E807+2)</f>
        <v>0</v>
      </c>
      <c r="G807" s="77">
        <f t="shared" si="28"/>
        <v>0</v>
      </c>
    </row>
    <row r="808" spans="4:7" hidden="1" outlineLevel="1" x14ac:dyDescent="0.3">
      <c r="D808" s="77">
        <f t="shared" si="27"/>
        <v>35</v>
      </c>
      <c r="E808" s="77">
        <v>14</v>
      </c>
      <c r="F808" s="78" cm="1">
        <f t="array" ref="F808">INDEX($D$245:$T$280,MATCH(D808,$D$245:$D$280,0),E808+2)</f>
        <v>0</v>
      </c>
      <c r="G808" s="77">
        <f t="shared" si="28"/>
        <v>0</v>
      </c>
    </row>
    <row r="809" spans="4:7" hidden="1" outlineLevel="1" x14ac:dyDescent="0.3">
      <c r="D809" s="77">
        <f t="shared" si="27"/>
        <v>35</v>
      </c>
      <c r="E809" s="77">
        <v>15</v>
      </c>
      <c r="F809" s="78" cm="1">
        <f t="array" ref="F809">INDEX($D$245:$T$280,MATCH(D809,$D$245:$D$280,0),E809+2)</f>
        <v>0</v>
      </c>
      <c r="G809" s="77">
        <f t="shared" si="28"/>
        <v>0</v>
      </c>
    </row>
    <row r="810" spans="4:7" hidden="1" outlineLevel="1" x14ac:dyDescent="0.3"/>
    <row r="811" spans="4:7" ht="15" hidden="1" outlineLevel="1" thickBot="1" x14ac:dyDescent="0.35"/>
    <row r="812" spans="4:7" ht="15" hidden="1" outlineLevel="1" thickBot="1" x14ac:dyDescent="0.35">
      <c r="D812" s="81" t="s">
        <v>48</v>
      </c>
      <c r="E812" s="5" t="s">
        <v>574</v>
      </c>
      <c r="F812" t="s">
        <v>575</v>
      </c>
    </row>
    <row r="813" spans="4:7" hidden="1" outlineLevel="1" x14ac:dyDescent="0.3">
      <c r="D813" s="80">
        <v>1</v>
      </c>
      <c r="E813" s="1">
        <f t="shared" ref="E813:E847" si="29">IF(E246&gt;0,D813,0)</f>
        <v>1</v>
      </c>
      <c r="F813" cm="1">
        <f t="array" ref="F813:F830">_xlfn._xlws.FILTER(E813:E847,E813:E847&gt;0)</f>
        <v>1</v>
      </c>
    </row>
    <row r="814" spans="4:7" hidden="1" outlineLevel="1" x14ac:dyDescent="0.3">
      <c r="D814" s="79">
        <v>2</v>
      </c>
      <c r="E814" s="1">
        <f t="shared" si="29"/>
        <v>2</v>
      </c>
      <c r="F814">
        <v>2</v>
      </c>
    </row>
    <row r="815" spans="4:7" hidden="1" outlineLevel="1" x14ac:dyDescent="0.3">
      <c r="D815" s="79">
        <v>3</v>
      </c>
      <c r="E815" s="1">
        <f t="shared" si="29"/>
        <v>3</v>
      </c>
      <c r="F815">
        <v>3</v>
      </c>
    </row>
    <row r="816" spans="4:7" hidden="1" outlineLevel="1" x14ac:dyDescent="0.3">
      <c r="D816" s="79">
        <v>4</v>
      </c>
      <c r="E816" s="1">
        <f t="shared" si="29"/>
        <v>4</v>
      </c>
      <c r="F816">
        <v>4</v>
      </c>
    </row>
    <row r="817" spans="4:6" hidden="1" outlineLevel="1" x14ac:dyDescent="0.3">
      <c r="D817" s="79">
        <v>5</v>
      </c>
      <c r="E817" s="1">
        <f t="shared" si="29"/>
        <v>5</v>
      </c>
      <c r="F817">
        <v>5</v>
      </c>
    </row>
    <row r="818" spans="4:6" hidden="1" outlineLevel="1" x14ac:dyDescent="0.3">
      <c r="D818" s="79">
        <v>6</v>
      </c>
      <c r="E818" s="1">
        <f t="shared" si="29"/>
        <v>6</v>
      </c>
      <c r="F818">
        <v>6</v>
      </c>
    </row>
    <row r="819" spans="4:6" hidden="1" outlineLevel="1" x14ac:dyDescent="0.3">
      <c r="D819" s="79">
        <v>7</v>
      </c>
      <c r="E819" s="1">
        <f t="shared" si="29"/>
        <v>7</v>
      </c>
      <c r="F819">
        <v>7</v>
      </c>
    </row>
    <row r="820" spans="4:6" hidden="1" outlineLevel="1" x14ac:dyDescent="0.3">
      <c r="D820" s="79">
        <v>8</v>
      </c>
      <c r="E820" s="1">
        <f t="shared" si="29"/>
        <v>8</v>
      </c>
      <c r="F820">
        <v>8</v>
      </c>
    </row>
    <row r="821" spans="4:6" hidden="1" outlineLevel="1" x14ac:dyDescent="0.3">
      <c r="D821" s="79">
        <v>9</v>
      </c>
      <c r="E821" s="1">
        <f t="shared" si="29"/>
        <v>9</v>
      </c>
      <c r="F821">
        <v>9</v>
      </c>
    </row>
    <row r="822" spans="4:6" hidden="1" outlineLevel="1" x14ac:dyDescent="0.3">
      <c r="D822" s="79">
        <v>10</v>
      </c>
      <c r="E822" s="1">
        <f t="shared" si="29"/>
        <v>10</v>
      </c>
      <c r="F822">
        <v>10</v>
      </c>
    </row>
    <row r="823" spans="4:6" hidden="1" outlineLevel="1" x14ac:dyDescent="0.3">
      <c r="D823" s="79">
        <v>11</v>
      </c>
      <c r="E823" s="1">
        <f t="shared" si="29"/>
        <v>11</v>
      </c>
      <c r="F823">
        <v>11</v>
      </c>
    </row>
    <row r="824" spans="4:6" hidden="1" outlineLevel="1" x14ac:dyDescent="0.3">
      <c r="D824" s="79">
        <v>12</v>
      </c>
      <c r="E824" s="1">
        <f t="shared" si="29"/>
        <v>12</v>
      </c>
      <c r="F824">
        <v>12</v>
      </c>
    </row>
    <row r="825" spans="4:6" hidden="1" outlineLevel="1" x14ac:dyDescent="0.3">
      <c r="D825" s="79">
        <v>13</v>
      </c>
      <c r="E825" s="1">
        <f t="shared" si="29"/>
        <v>13</v>
      </c>
      <c r="F825">
        <v>13</v>
      </c>
    </row>
    <row r="826" spans="4:6" hidden="1" outlineLevel="1" x14ac:dyDescent="0.3">
      <c r="D826" s="79">
        <v>14</v>
      </c>
      <c r="E826" s="1">
        <f t="shared" si="29"/>
        <v>14</v>
      </c>
      <c r="F826">
        <v>14</v>
      </c>
    </row>
    <row r="827" spans="4:6" hidden="1" outlineLevel="1" x14ac:dyDescent="0.3">
      <c r="D827" s="79">
        <v>15</v>
      </c>
      <c r="E827" s="1">
        <f t="shared" si="29"/>
        <v>15</v>
      </c>
      <c r="F827">
        <v>15</v>
      </c>
    </row>
    <row r="828" spans="4:6" hidden="1" outlineLevel="1" x14ac:dyDescent="0.3">
      <c r="D828" s="79">
        <v>16</v>
      </c>
      <c r="E828" s="1">
        <f t="shared" si="29"/>
        <v>16</v>
      </c>
      <c r="F828">
        <v>16</v>
      </c>
    </row>
    <row r="829" spans="4:6" hidden="1" outlineLevel="1" x14ac:dyDescent="0.3">
      <c r="D829" s="79">
        <v>17</v>
      </c>
      <c r="E829" s="1">
        <f t="shared" si="29"/>
        <v>17</v>
      </c>
      <c r="F829">
        <v>17</v>
      </c>
    </row>
    <row r="830" spans="4:6" hidden="1" outlineLevel="1" x14ac:dyDescent="0.3">
      <c r="D830" s="79">
        <v>18</v>
      </c>
      <c r="E830" s="1">
        <f t="shared" si="29"/>
        <v>18</v>
      </c>
      <c r="F830">
        <v>18</v>
      </c>
    </row>
    <row r="831" spans="4:6" hidden="1" outlineLevel="1" x14ac:dyDescent="0.3">
      <c r="D831" s="79">
        <v>19</v>
      </c>
      <c r="E831" s="1">
        <f t="shared" si="29"/>
        <v>0</v>
      </c>
    </row>
    <row r="832" spans="4:6" hidden="1" outlineLevel="1" x14ac:dyDescent="0.3">
      <c r="D832" s="79">
        <v>20</v>
      </c>
      <c r="E832" s="1">
        <f t="shared" si="29"/>
        <v>0</v>
      </c>
    </row>
    <row r="833" spans="4:5" hidden="1" outlineLevel="1" x14ac:dyDescent="0.3">
      <c r="D833" s="79">
        <v>21</v>
      </c>
      <c r="E833" s="1">
        <f t="shared" si="29"/>
        <v>0</v>
      </c>
    </row>
    <row r="834" spans="4:5" hidden="1" outlineLevel="1" x14ac:dyDescent="0.3">
      <c r="D834" s="79">
        <v>22</v>
      </c>
      <c r="E834" s="1">
        <f t="shared" si="29"/>
        <v>0</v>
      </c>
    </row>
    <row r="835" spans="4:5" hidden="1" outlineLevel="1" x14ac:dyDescent="0.3">
      <c r="D835" s="79">
        <v>23</v>
      </c>
      <c r="E835" s="1">
        <f t="shared" si="29"/>
        <v>0</v>
      </c>
    </row>
    <row r="836" spans="4:5" hidden="1" outlineLevel="1" x14ac:dyDescent="0.3">
      <c r="D836" s="79">
        <v>24</v>
      </c>
      <c r="E836" s="1">
        <f t="shared" si="29"/>
        <v>0</v>
      </c>
    </row>
    <row r="837" spans="4:5" hidden="1" outlineLevel="1" x14ac:dyDescent="0.3">
      <c r="D837" s="79">
        <v>25</v>
      </c>
      <c r="E837" s="1">
        <f t="shared" si="29"/>
        <v>0</v>
      </c>
    </row>
    <row r="838" spans="4:5" hidden="1" outlineLevel="1" x14ac:dyDescent="0.3">
      <c r="D838" s="79">
        <v>26</v>
      </c>
      <c r="E838" s="1">
        <f t="shared" si="29"/>
        <v>0</v>
      </c>
    </row>
    <row r="839" spans="4:5" hidden="1" outlineLevel="1" x14ac:dyDescent="0.3">
      <c r="D839" s="79">
        <v>27</v>
      </c>
      <c r="E839" s="1">
        <f t="shared" si="29"/>
        <v>0</v>
      </c>
    </row>
    <row r="840" spans="4:5" hidden="1" outlineLevel="1" x14ac:dyDescent="0.3">
      <c r="D840" s="79">
        <v>28</v>
      </c>
      <c r="E840" s="1">
        <f t="shared" si="29"/>
        <v>0</v>
      </c>
    </row>
    <row r="841" spans="4:5" hidden="1" outlineLevel="1" x14ac:dyDescent="0.3">
      <c r="D841" s="79">
        <v>29</v>
      </c>
      <c r="E841" s="1">
        <f t="shared" si="29"/>
        <v>0</v>
      </c>
    </row>
    <row r="842" spans="4:5" hidden="1" outlineLevel="1" x14ac:dyDescent="0.3">
      <c r="D842" s="79">
        <v>30</v>
      </c>
      <c r="E842" s="1">
        <f t="shared" si="29"/>
        <v>0</v>
      </c>
    </row>
    <row r="843" spans="4:5" hidden="1" outlineLevel="1" x14ac:dyDescent="0.3">
      <c r="D843" s="79">
        <v>31</v>
      </c>
      <c r="E843" s="1">
        <f t="shared" si="29"/>
        <v>0</v>
      </c>
    </row>
    <row r="844" spans="4:5" hidden="1" outlineLevel="1" x14ac:dyDescent="0.3">
      <c r="D844" s="79">
        <v>32</v>
      </c>
      <c r="E844" s="1">
        <f t="shared" si="29"/>
        <v>0</v>
      </c>
    </row>
    <row r="845" spans="4:5" hidden="1" outlineLevel="1" x14ac:dyDescent="0.3">
      <c r="D845" s="79">
        <v>33</v>
      </c>
      <c r="E845" s="1">
        <f t="shared" si="29"/>
        <v>0</v>
      </c>
    </row>
    <row r="846" spans="4:5" hidden="1" outlineLevel="1" x14ac:dyDescent="0.3">
      <c r="D846" s="79">
        <v>34</v>
      </c>
      <c r="E846" s="1">
        <f t="shared" si="29"/>
        <v>0</v>
      </c>
    </row>
    <row r="847" spans="4:5" hidden="1" outlineLevel="1" x14ac:dyDescent="0.3">
      <c r="D847" s="79">
        <v>35</v>
      </c>
      <c r="E847" s="1">
        <f t="shared" si="29"/>
        <v>0</v>
      </c>
    </row>
    <row r="848" spans="4:5" hidden="1" outlineLevel="1" x14ac:dyDescent="0.3"/>
    <row r="849" spans="4:5" hidden="1" outlineLevel="1" x14ac:dyDescent="0.3"/>
    <row r="850" spans="4:5" collapsed="1" x14ac:dyDescent="0.3"/>
    <row r="851" spans="4:5" hidden="1" outlineLevel="1" x14ac:dyDescent="0.3">
      <c r="D851" s="114" t="s">
        <v>576</v>
      </c>
    </row>
    <row r="852" spans="4:5" hidden="1" outlineLevel="1" x14ac:dyDescent="0.3">
      <c r="D852" t="s">
        <v>577</v>
      </c>
      <c r="E852">
        <f>COUNTA(E79:AM79)</f>
        <v>18</v>
      </c>
    </row>
    <row r="853" spans="4:5" hidden="1" outlineLevel="1" x14ac:dyDescent="0.3"/>
    <row r="854" spans="4:5" hidden="1" outlineLevel="1" x14ac:dyDescent="0.3">
      <c r="E854" cm="1">
        <f t="array" ref="E854:E871">_xlfn.SEQUENCE(E852,1,1)</f>
        <v>1</v>
      </c>
    </row>
    <row r="855" spans="4:5" hidden="1" outlineLevel="1" x14ac:dyDescent="0.3">
      <c r="E855">
        <v>2</v>
      </c>
    </row>
    <row r="856" spans="4:5" hidden="1" outlineLevel="1" x14ac:dyDescent="0.3">
      <c r="E856">
        <v>3</v>
      </c>
    </row>
    <row r="857" spans="4:5" hidden="1" outlineLevel="1" x14ac:dyDescent="0.3">
      <c r="E857">
        <v>4</v>
      </c>
    </row>
    <row r="858" spans="4:5" hidden="1" outlineLevel="1" x14ac:dyDescent="0.3">
      <c r="E858">
        <v>5</v>
      </c>
    </row>
    <row r="859" spans="4:5" hidden="1" outlineLevel="1" x14ac:dyDescent="0.3">
      <c r="E859">
        <v>6</v>
      </c>
    </row>
    <row r="860" spans="4:5" hidden="1" outlineLevel="1" x14ac:dyDescent="0.3">
      <c r="E860">
        <v>7</v>
      </c>
    </row>
    <row r="861" spans="4:5" hidden="1" outlineLevel="1" x14ac:dyDescent="0.3">
      <c r="E861">
        <v>8</v>
      </c>
    </row>
    <row r="862" spans="4:5" hidden="1" outlineLevel="1" x14ac:dyDescent="0.3">
      <c r="E862">
        <v>9</v>
      </c>
    </row>
    <row r="863" spans="4:5" hidden="1" outlineLevel="1" x14ac:dyDescent="0.3">
      <c r="E863">
        <v>10</v>
      </c>
    </row>
    <row r="864" spans="4:5" hidden="1" outlineLevel="1" x14ac:dyDescent="0.3">
      <c r="E864">
        <v>11</v>
      </c>
    </row>
    <row r="865" spans="5:5" hidden="1" outlineLevel="1" x14ac:dyDescent="0.3">
      <c r="E865">
        <v>12</v>
      </c>
    </row>
    <row r="866" spans="5:5" hidden="1" outlineLevel="1" x14ac:dyDescent="0.3">
      <c r="E866">
        <v>13</v>
      </c>
    </row>
    <row r="867" spans="5:5" hidden="1" outlineLevel="1" x14ac:dyDescent="0.3">
      <c r="E867">
        <v>14</v>
      </c>
    </row>
    <row r="868" spans="5:5" hidden="1" outlineLevel="1" x14ac:dyDescent="0.3">
      <c r="E868">
        <v>15</v>
      </c>
    </row>
    <row r="869" spans="5:5" hidden="1" outlineLevel="1" x14ac:dyDescent="0.3">
      <c r="E869">
        <v>16</v>
      </c>
    </row>
    <row r="870" spans="5:5" hidden="1" outlineLevel="1" x14ac:dyDescent="0.3">
      <c r="E870">
        <v>17</v>
      </c>
    </row>
    <row r="871" spans="5:5" hidden="1" outlineLevel="1" x14ac:dyDescent="0.3">
      <c r="E871">
        <v>18</v>
      </c>
    </row>
    <row r="872" spans="5:5" hidden="1" outlineLevel="1" x14ac:dyDescent="0.3"/>
    <row r="873" spans="5:5" hidden="1" outlineLevel="1" x14ac:dyDescent="0.3"/>
    <row r="874" spans="5:5" hidden="1" outlineLevel="1" x14ac:dyDescent="0.3"/>
    <row r="875" spans="5:5" hidden="1" outlineLevel="1" x14ac:dyDescent="0.3"/>
    <row r="876" spans="5:5" hidden="1" outlineLevel="1" x14ac:dyDescent="0.3"/>
    <row r="877" spans="5:5" hidden="1" outlineLevel="1" x14ac:dyDescent="0.3"/>
    <row r="878" spans="5:5" hidden="1" outlineLevel="1" x14ac:dyDescent="0.3"/>
    <row r="879" spans="5:5" hidden="1" outlineLevel="1" x14ac:dyDescent="0.3"/>
    <row r="880" spans="5:5" hidden="1" outlineLevel="1" x14ac:dyDescent="0.3"/>
    <row r="881" hidden="1" outlineLevel="1" x14ac:dyDescent="0.3"/>
    <row r="882" hidden="1" outlineLevel="1" x14ac:dyDescent="0.3"/>
    <row r="883" hidden="1" outlineLevel="1" x14ac:dyDescent="0.3"/>
    <row r="884" hidden="1" outlineLevel="1" x14ac:dyDescent="0.3"/>
    <row r="885" hidden="1" outlineLevel="1" x14ac:dyDescent="0.3"/>
    <row r="886" hidden="1" outlineLevel="1" x14ac:dyDescent="0.3"/>
    <row r="887" hidden="1" outlineLevel="1" x14ac:dyDescent="0.3"/>
    <row r="888" hidden="1" outlineLevel="1" x14ac:dyDescent="0.3"/>
    <row r="889" hidden="1" outlineLevel="1" x14ac:dyDescent="0.3"/>
    <row r="890" hidden="1" outlineLevel="1" x14ac:dyDescent="0.3"/>
    <row r="891" hidden="1" outlineLevel="1" x14ac:dyDescent="0.3"/>
    <row r="892" hidden="1" outlineLevel="1" x14ac:dyDescent="0.3"/>
    <row r="893" hidden="1" outlineLevel="1" x14ac:dyDescent="0.3"/>
    <row r="894" hidden="1" outlineLevel="1" x14ac:dyDescent="0.3"/>
    <row r="895" hidden="1" outlineLevel="1" x14ac:dyDescent="0.3"/>
    <row r="896" hidden="1" outlineLevel="1" x14ac:dyDescent="0.3"/>
    <row r="897" hidden="1" outlineLevel="1" x14ac:dyDescent="0.3"/>
    <row r="898" hidden="1" outlineLevel="1" x14ac:dyDescent="0.3"/>
    <row r="899" hidden="1" outlineLevel="1" x14ac:dyDescent="0.3"/>
    <row r="900" collapsed="1" x14ac:dyDescent="0.3"/>
  </sheetData>
  <mergeCells count="7">
    <mergeCell ref="D33:F33"/>
    <mergeCell ref="E30:G30"/>
    <mergeCell ref="E31:G31"/>
    <mergeCell ref="D26:G26"/>
    <mergeCell ref="E27:G27"/>
    <mergeCell ref="E28:G28"/>
    <mergeCell ref="E29:G29"/>
  </mergeCells>
  <phoneticPr fontId="4" type="noConversion"/>
  <conditionalFormatting sqref="D35:D49">
    <cfRule type="expression" dxfId="19" priority="1">
      <formula>$F35="Omit"</formula>
    </cfRule>
    <cfRule type="expression" dxfId="18" priority="2">
      <formula>$F35="Prepare"</formula>
    </cfRule>
    <cfRule type="expression" dxfId="17" priority="3">
      <formula>$F35="Review"</formula>
    </cfRule>
  </conditionalFormatting>
  <conditionalFormatting sqref="E84:AM84">
    <cfRule type="expression" dxfId="16" priority="11" stopIfTrue="1">
      <formula>AND(E$84&lt;&gt;0,E$84&lt;&gt;E$240)</formula>
    </cfRule>
  </conditionalFormatting>
  <conditionalFormatting sqref="E85:AN85">
    <cfRule type="beginsWith" dxfId="15" priority="19" operator="beginsWith" text="Make">
      <formula>LEFT(E85,LEN("Make"))="Make"</formula>
    </cfRule>
    <cfRule type="containsText" dxfId="14" priority="20" operator="containsText" text="All 4 Fields Nonempty">
      <formula>NOT(ISERROR(SEARCH("All 4 Fields Nonempty",E85)))</formula>
    </cfRule>
  </conditionalFormatting>
  <conditionalFormatting sqref="E86:AN86">
    <cfRule type="expression" dxfId="13" priority="15">
      <formula>ISBLANK(E79)</formula>
    </cfRule>
    <cfRule type="cellIs" dxfId="12" priority="16" operator="notBetween">
      <formula>-0.00001</formula>
      <formula>0.00001</formula>
    </cfRule>
    <cfRule type="cellIs" dxfId="11" priority="18" operator="between">
      <formula>-0.00001</formula>
      <formula>0.00001</formula>
    </cfRule>
  </conditionalFormatting>
  <conditionalFormatting sqref="F35:F49">
    <cfRule type="containsText" dxfId="10" priority="4" operator="containsText" text="Review">
      <formula>NOT(ISERROR(SEARCH("Review",F35)))</formula>
    </cfRule>
    <cfRule type="containsText" dxfId="9" priority="5" operator="containsText" text="Prepare">
      <formula>NOT(ISERROR(SEARCH("Prepare",F35)))</formula>
    </cfRule>
    <cfRule type="containsText" dxfId="8"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RowHeight="14.4" x14ac:dyDescent="0.3"/>
  <cols>
    <col min="2" max="2" width="5.77734375" style="192" bestFit="1" customWidth="1"/>
    <col min="3" max="3" width="42.21875" bestFit="1" customWidth="1"/>
    <col min="4" max="4" width="9.77734375" bestFit="1" customWidth="1"/>
    <col min="5" max="7" width="9.77734375" customWidth="1"/>
    <col min="8" max="8" width="8.88671875" style="192"/>
    <col min="9" max="9" width="38.109375" customWidth="1"/>
    <col min="10" max="10" width="9.77734375" bestFit="1" customWidth="1"/>
    <col min="11" max="12" width="9.77734375" customWidth="1"/>
    <col min="13" max="13" width="10.77734375" bestFit="1" customWidth="1"/>
    <col min="14" max="14" width="12.21875" bestFit="1" customWidth="1"/>
    <col min="15" max="16" width="12.21875" customWidth="1"/>
    <col min="17" max="17" width="13" bestFit="1" customWidth="1"/>
    <col min="18" max="19" width="8.88671875" style="192"/>
    <col min="20" max="20" width="41.88671875" style="192" bestFit="1" customWidth="1"/>
    <col min="21" max="21" width="10.77734375" style="192" bestFit="1" customWidth="1"/>
    <col min="22" max="22" width="8.88671875" style="192"/>
    <col min="23" max="24" width="10.77734375" style="192" bestFit="1" customWidth="1"/>
    <col min="25" max="25" width="12.21875" style="192" bestFit="1" customWidth="1"/>
    <col min="26" max="28" width="12.21875" style="192" customWidth="1"/>
    <col min="29" max="30" width="8.88671875" style="192"/>
    <col min="31" max="31" width="30.88671875" bestFit="1" customWidth="1"/>
    <col min="32" max="32" width="9.88671875" customWidth="1"/>
    <col min="33" max="34" width="9.77734375" bestFit="1" customWidth="1"/>
    <col min="36" max="41" width="8.88671875" customWidth="1"/>
    <col min="42" max="42" width="10.44140625" style="192" customWidth="1"/>
    <col min="43" max="43" width="38.109375" bestFit="1" customWidth="1"/>
    <col min="44" max="44" width="11.77734375" customWidth="1"/>
    <col min="45" max="45" width="8.88671875" style="192"/>
    <col min="46" max="47" width="11.21875" style="192" bestFit="1" customWidth="1"/>
    <col min="48" max="48" width="13" style="192" bestFit="1" customWidth="1"/>
    <col min="49" max="51" width="13" style="192" customWidth="1"/>
    <col min="52" max="53" width="8.88671875" style="192"/>
    <col min="54" max="54" width="47" bestFit="1" customWidth="1"/>
    <col min="55" max="55" width="10.109375" bestFit="1" customWidth="1"/>
    <col min="56" max="56" width="10.109375" customWidth="1"/>
    <col min="57" max="58" width="10.77734375" bestFit="1" customWidth="1"/>
    <col min="59" max="59" width="12.21875" bestFit="1" customWidth="1"/>
    <col min="60" max="62" width="12.21875" customWidth="1"/>
    <col min="63" max="63" width="10.109375" customWidth="1"/>
    <col min="64" max="64" width="5.77734375" style="192" bestFit="1" customWidth="1"/>
    <col min="65" max="65" width="42.21875" bestFit="1" customWidth="1"/>
    <col min="66" max="66" width="10.44140625" bestFit="1" customWidth="1"/>
    <col min="68" max="69" width="10.77734375" bestFit="1" customWidth="1"/>
    <col min="70" max="70" width="12.21875" bestFit="1" customWidth="1"/>
    <col min="71" max="73" width="12.21875" customWidth="1"/>
  </cols>
  <sheetData>
    <row r="1" spans="1:73" ht="18" x14ac:dyDescent="0.35">
      <c r="A1" s="378" t="str">
        <f>Entity</f>
        <v>Ralphy's Business</v>
      </c>
    </row>
    <row r="2" spans="1:73" x14ac:dyDescent="0.3">
      <c r="A2" t="s">
        <v>578</v>
      </c>
      <c r="D2" s="192"/>
      <c r="E2" s="192"/>
      <c r="F2" s="192"/>
      <c r="G2" s="192"/>
      <c r="I2" s="192"/>
      <c r="J2" s="192"/>
      <c r="K2" s="192"/>
      <c r="L2" s="192"/>
      <c r="M2" s="192"/>
      <c r="N2" s="192"/>
      <c r="O2" s="192"/>
      <c r="P2" s="192"/>
      <c r="Q2" s="192"/>
      <c r="AE2" s="386" t="s">
        <v>95</v>
      </c>
      <c r="AF2" s="170"/>
      <c r="AG2" s="170"/>
      <c r="AH2" s="170"/>
      <c r="AI2" s="170"/>
      <c r="AJ2" s="170"/>
      <c r="AK2" s="170"/>
      <c r="AL2" s="170"/>
      <c r="AM2" s="170"/>
      <c r="AN2" s="192"/>
      <c r="AP2" s="386" t="s">
        <v>96</v>
      </c>
      <c r="AR2" s="170"/>
      <c r="BB2" s="170"/>
      <c r="BC2" s="170"/>
      <c r="BM2" s="170"/>
      <c r="BN2" s="170"/>
    </row>
    <row r="3" spans="1:73" x14ac:dyDescent="0.3">
      <c r="B3" s="372" t="str">
        <f>"Balance Sheet"</f>
        <v>Balance Sheet</v>
      </c>
      <c r="D3" s="192"/>
      <c r="E3" s="192"/>
      <c r="F3" s="192"/>
      <c r="G3" s="192"/>
      <c r="H3" s="372" t="s">
        <v>94</v>
      </c>
      <c r="J3" s="192"/>
      <c r="K3" s="192"/>
      <c r="L3" s="192"/>
      <c r="M3" s="192"/>
      <c r="N3" s="192"/>
      <c r="O3" s="192"/>
      <c r="P3" s="192"/>
      <c r="Q3" s="192"/>
      <c r="S3" s="372" t="s">
        <v>175</v>
      </c>
      <c r="AE3" s="6" t="str">
        <f>"for the "&amp;Period&amp;" Ended "</f>
        <v xml:space="preserve">for the Three Quarters Ended </v>
      </c>
      <c r="AF3" s="6"/>
      <c r="AG3" s="6"/>
      <c r="AH3" s="6"/>
      <c r="AI3" s="6"/>
      <c r="AJ3" s="6"/>
      <c r="AK3" s="6"/>
      <c r="AL3" s="6"/>
      <c r="AM3" s="170"/>
      <c r="AN3" s="192"/>
      <c r="AP3" s="6" t="str">
        <f>"for the "&amp;Period&amp;" Ended "</f>
        <v xml:space="preserve">for the Three Quarters Ended </v>
      </c>
      <c r="AR3" s="170"/>
      <c r="BC3" s="170"/>
      <c r="BL3" s="372" t="str">
        <f>"Balance Sheet"</f>
        <v>Balance Sheet</v>
      </c>
      <c r="BN3" s="192"/>
      <c r="BO3" s="192"/>
      <c r="BP3" s="192"/>
    </row>
    <row r="4" spans="1:73" x14ac:dyDescent="0.3">
      <c r="B4" s="192" t="str">
        <f>"as of "</f>
        <v xml:space="preserve">as of </v>
      </c>
      <c r="D4" s="192"/>
      <c r="E4" s="192"/>
      <c r="F4" s="192"/>
      <c r="G4" s="192"/>
      <c r="H4" s="192" t="str">
        <f>"for the "&amp;Period&amp;" Ended "</f>
        <v xml:space="preserve">for the Three Quarters Ended </v>
      </c>
      <c r="J4" s="192"/>
      <c r="K4" s="192"/>
      <c r="L4" s="192"/>
      <c r="M4" s="192"/>
      <c r="N4" s="192"/>
      <c r="O4" s="192"/>
      <c r="P4" s="192"/>
      <c r="Q4" s="192"/>
      <c r="S4" s="192" t="str">
        <f>"for the "&amp;Period&amp;" Ended "</f>
        <v xml:space="preserve">for the Three Quarters Ended </v>
      </c>
      <c r="AE4" s="6" t="str">
        <f>EndDate</f>
        <v>12/31/20x4</v>
      </c>
      <c r="AF4" s="6"/>
      <c r="AG4" s="6"/>
      <c r="AH4" s="6"/>
      <c r="AI4" s="6"/>
      <c r="AJ4" s="6"/>
      <c r="AK4" s="6"/>
      <c r="AL4" s="6"/>
      <c r="AM4" s="170"/>
      <c r="AN4" s="192"/>
      <c r="AP4" s="6" t="str">
        <f>EndDate</f>
        <v>12/31/20x4</v>
      </c>
      <c r="AR4" s="170"/>
      <c r="BB4" s="170"/>
      <c r="BC4" s="170"/>
      <c r="BL4" s="192" t="str">
        <f>"as of "</f>
        <v xml:space="preserve">as of </v>
      </c>
      <c r="BN4" s="192"/>
      <c r="BO4" s="192"/>
      <c r="BP4" s="192"/>
    </row>
    <row r="5" spans="1:73" x14ac:dyDescent="0.3">
      <c r="B5" s="192" t="str">
        <f>BegDate</f>
        <v>3/31/20X4</v>
      </c>
      <c r="D5" s="192"/>
      <c r="E5" s="192"/>
      <c r="F5" s="192"/>
      <c r="G5" s="192"/>
      <c r="H5" s="192" t="str">
        <f>EndDate</f>
        <v>12/31/20x4</v>
      </c>
      <c r="J5" s="192"/>
      <c r="K5" s="192"/>
      <c r="L5" s="192"/>
      <c r="M5" s="192"/>
      <c r="N5" s="192"/>
      <c r="O5" s="192"/>
      <c r="P5" s="192"/>
      <c r="Q5" s="192"/>
      <c r="S5" s="192" t="str">
        <f>EndDate</f>
        <v>12/31/20x4</v>
      </c>
      <c r="AE5" s="6" t="str">
        <f>Units</f>
        <v>Dollars in Thousands</v>
      </c>
      <c r="AF5" s="6"/>
      <c r="AG5" s="6"/>
      <c r="AH5" s="6"/>
      <c r="AI5" s="6"/>
      <c r="AJ5" s="6"/>
      <c r="AK5" s="6"/>
      <c r="AL5" s="6"/>
      <c r="AM5" s="170"/>
      <c r="AN5" s="192"/>
      <c r="AP5" s="382" t="str">
        <f>Units</f>
        <v>Dollars in Thousands</v>
      </c>
      <c r="AR5" s="170"/>
      <c r="BC5" s="170"/>
      <c r="BL5" s="192" t="str">
        <f>EndDate</f>
        <v>12/31/20x4</v>
      </c>
      <c r="BN5" s="192"/>
      <c r="BO5" s="192"/>
      <c r="BP5" s="192"/>
    </row>
    <row r="6" spans="1:73" x14ac:dyDescent="0.3">
      <c r="B6" s="192" t="str">
        <f>Units</f>
        <v>Dollars in Thousands</v>
      </c>
      <c r="D6" s="192"/>
      <c r="E6" s="192"/>
      <c r="F6" s="192"/>
      <c r="G6" s="192"/>
      <c r="H6" s="192" t="str">
        <f>Units</f>
        <v>Dollars in Thousands</v>
      </c>
      <c r="J6" s="192"/>
      <c r="K6" s="192"/>
      <c r="L6" s="192"/>
      <c r="M6" s="192"/>
      <c r="N6" s="192"/>
      <c r="O6" s="192"/>
      <c r="P6" s="192"/>
      <c r="Q6" s="192"/>
      <c r="S6" s="192" t="str">
        <f>Units</f>
        <v>Dollars in Thousands</v>
      </c>
      <c r="AF6" s="6"/>
      <c r="AG6" s="6"/>
      <c r="AH6" s="6"/>
      <c r="AI6" s="6"/>
      <c r="AJ6" s="6"/>
      <c r="AK6" s="6"/>
      <c r="AL6" s="6"/>
      <c r="AM6" s="170"/>
      <c r="AN6" s="192"/>
      <c r="AR6" s="170"/>
      <c r="BA6" s="386" t="s">
        <v>167</v>
      </c>
      <c r="BB6" s="386"/>
      <c r="BC6" s="170"/>
      <c r="BL6" s="192" t="str">
        <f>Units</f>
        <v>Dollars in Thousands</v>
      </c>
      <c r="BN6" s="192"/>
      <c r="BO6" s="192"/>
      <c r="BP6" s="192"/>
    </row>
    <row r="7" spans="1:73" x14ac:dyDescent="0.3">
      <c r="I7" s="374"/>
      <c r="J7" s="170"/>
      <c r="K7" s="170"/>
      <c r="AE7" t="s">
        <v>579</v>
      </c>
      <c r="AF7">
        <f ca="1">COUNTIF(StChsSE[AmtJournal],"&lt;&gt;0")</f>
        <v>3</v>
      </c>
      <c r="AG7">
        <f ca="1">COUNTIF(StChsSE[AmtAnswer],"&lt;&gt;0")</f>
        <v>3</v>
      </c>
      <c r="AH7">
        <f>COUNTIF(StChsSE[AmtFSBuilder],"&lt;&gt;0")</f>
        <v>1</v>
      </c>
      <c r="AP7" s="372" t="s">
        <v>173</v>
      </c>
      <c r="AQ7" s="374"/>
      <c r="AR7" s="170"/>
      <c r="AT7"/>
      <c r="AU7"/>
      <c r="AV7"/>
      <c r="AW7"/>
      <c r="AX7"/>
      <c r="AY7"/>
      <c r="AZ7"/>
      <c r="BA7" s="192">
        <v>3</v>
      </c>
      <c r="BB7" t="s">
        <v>279</v>
      </c>
      <c r="BE7" s="349">
        <f ca="1">L54</f>
        <v>-4.2</v>
      </c>
      <c r="BF7" s="349">
        <f ca="1">M54</f>
        <v>-4.2</v>
      </c>
      <c r="BG7" s="349">
        <f>N54</f>
        <v>0</v>
      </c>
      <c r="BH7" s="349"/>
      <c r="BI7" s="349"/>
      <c r="BJ7" s="349"/>
      <c r="BK7" s="349"/>
      <c r="BL7" s="5" t="s">
        <v>37</v>
      </c>
    </row>
    <row r="8" spans="1:73" x14ac:dyDescent="0.3">
      <c r="B8" s="5" t="s">
        <v>37</v>
      </c>
      <c r="H8" s="5" t="s">
        <v>43</v>
      </c>
      <c r="L8" s="316"/>
      <c r="M8" s="316"/>
      <c r="N8" s="316"/>
      <c r="O8" s="316"/>
      <c r="P8" s="316"/>
      <c r="Q8" s="316"/>
      <c r="S8" s="372" t="s">
        <v>580</v>
      </c>
      <c r="AE8" s="1" t="s">
        <v>88</v>
      </c>
      <c r="AF8" s="1" t="s">
        <v>581</v>
      </c>
      <c r="AG8" s="1" t="s">
        <v>582</v>
      </c>
      <c r="AH8" s="1" t="s">
        <v>583</v>
      </c>
      <c r="AP8" s="379" t="s">
        <v>584</v>
      </c>
      <c r="AQ8" s="379" t="s">
        <v>542</v>
      </c>
      <c r="AR8" s="379" t="s">
        <v>585</v>
      </c>
      <c r="AS8" s="466" t="s">
        <v>586</v>
      </c>
      <c r="AT8" s="379" t="s">
        <v>581</v>
      </c>
      <c r="AU8" s="379" t="s">
        <v>582</v>
      </c>
      <c r="AV8" s="379" t="s">
        <v>583</v>
      </c>
      <c r="AW8" s="379" t="s">
        <v>587</v>
      </c>
      <c r="AX8" s="379" t="s">
        <v>588</v>
      </c>
      <c r="AY8" s="379" t="s">
        <v>589</v>
      </c>
      <c r="AZ8"/>
      <c r="BA8" s="389" t="s">
        <v>590</v>
      </c>
      <c r="BL8" s="5" t="s">
        <v>176</v>
      </c>
    </row>
    <row r="9" spans="1:73" x14ac:dyDescent="0.3">
      <c r="B9" s="5" t="s">
        <v>176</v>
      </c>
      <c r="G9" s="1"/>
      <c r="H9" s="379" t="s">
        <v>584</v>
      </c>
      <c r="I9" s="379" t="s">
        <v>542</v>
      </c>
      <c r="J9" s="379" t="s">
        <v>585</v>
      </c>
      <c r="K9" s="466" t="s">
        <v>586</v>
      </c>
      <c r="L9" s="379" t="s">
        <v>581</v>
      </c>
      <c r="M9" s="379" t="s">
        <v>582</v>
      </c>
      <c r="N9" s="379" t="s">
        <v>583</v>
      </c>
      <c r="O9" s="379" t="s">
        <v>587</v>
      </c>
      <c r="P9" s="379" t="s">
        <v>588</v>
      </c>
      <c r="Q9" s="379" t="s">
        <v>589</v>
      </c>
      <c r="S9" s="379" t="s">
        <v>584</v>
      </c>
      <c r="T9" s="379" t="s">
        <v>542</v>
      </c>
      <c r="U9" s="379" t="s">
        <v>585</v>
      </c>
      <c r="V9" s="466" t="s">
        <v>586</v>
      </c>
      <c r="W9" s="379" t="s">
        <v>581</v>
      </c>
      <c r="X9" s="379" t="s">
        <v>582</v>
      </c>
      <c r="Y9" s="379" t="s">
        <v>583</v>
      </c>
      <c r="Z9" s="379" t="s">
        <v>587</v>
      </c>
      <c r="AA9" s="379" t="s">
        <v>588</v>
      </c>
      <c r="AB9" s="379" t="s">
        <v>589</v>
      </c>
      <c r="AE9" t="s">
        <v>591</v>
      </c>
      <c r="AF9" s="34">
        <f ca="1">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130</v>
      </c>
      <c r="AR9" s="370">
        <f ca="1">IF(MAX(CFS_CFO[[#This Row],[AmtJournal]],CFS_CFO[[#This Row],[AmtAnswer]],CFS_CFO[[#This Row],[AmtFSBuilder]])&gt;0,1,0)</f>
        <v>1</v>
      </c>
      <c r="AS9" s="370">
        <f ca="1">CFS_CFO[[#This Row],[Used]]</f>
        <v>1</v>
      </c>
      <c r="AT9" s="351">
        <f ca="1">SUMIFS(Journal[Dr Amt],Journal[ref1],"ColC",Journal[Debit Account],"Cash")</f>
        <v>30.05</v>
      </c>
      <c r="AU9" s="351">
        <f ca="1">SUMIFS(JournalAnswer[Dr Amt],JournalAnswer[ref1],"ColC",JournalAnswer[Debit Account],"Cash")</f>
        <v>30.05</v>
      </c>
      <c r="AV9" s="351" cm="1">
        <f t="array" ref="AV9">IF(CFS_CFO[[#This Row],[Account]]&lt;&gt;"",_xlfn._xlws.FILTER(FSBuilder[Amount],(FSBuilder[Account or Explanation]=CFS_CFO[[#This Row],[Account]])*(FSBuilder[Statement]="Cash Flow Statement"),0),"")</f>
        <v>0</v>
      </c>
      <c r="AW9" s="370">
        <f ca="1">IF(CFS_CFO[[#This Row],[AmtJournal]]&lt;&gt;0,1,0)</f>
        <v>1</v>
      </c>
      <c r="AX9" s="370">
        <f ca="1">IF(CFS_CFO[[#This Row],[AmtAnswer]]&lt;&gt;0,1,0)</f>
        <v>1</v>
      </c>
      <c r="AY9" s="370">
        <f>IF(CFS_CFO[[#This Row],[AmtFSBuilder]]&lt;&gt;0,1,0)</f>
        <v>0</v>
      </c>
      <c r="AZ9"/>
      <c r="BA9" s="372" t="s">
        <v>45</v>
      </c>
      <c r="BB9" s="181"/>
      <c r="BL9" s="379" t="s">
        <v>584</v>
      </c>
      <c r="BM9" s="379" t="s">
        <v>542</v>
      </c>
      <c r="BN9" s="379" t="s">
        <v>585</v>
      </c>
      <c r="BO9" s="466" t="s">
        <v>586</v>
      </c>
      <c r="BP9" s="379" t="s">
        <v>581</v>
      </c>
      <c r="BQ9" s="379" t="s">
        <v>582</v>
      </c>
      <c r="BR9" s="379" t="s">
        <v>583</v>
      </c>
      <c r="BS9" s="470" t="s">
        <v>587</v>
      </c>
      <c r="BT9" s="470" t="s">
        <v>588</v>
      </c>
      <c r="BU9" s="470" t="s">
        <v>589</v>
      </c>
    </row>
    <row r="10" spans="1:73" x14ac:dyDescent="0.3">
      <c r="B10" s="1" t="s">
        <v>584</v>
      </c>
      <c r="C10" s="1" t="s">
        <v>542</v>
      </c>
      <c r="D10" s="1" t="s">
        <v>585</v>
      </c>
      <c r="E10" s="1" t="s">
        <v>586</v>
      </c>
      <c r="F10" s="1" t="s">
        <v>433</v>
      </c>
      <c r="G10" s="370"/>
      <c r="H10" s="192" cm="1">
        <f t="array" ref="H10">_xlfn.IFS(AND(IS_Revenues[[#This Row],[Used]]=1,IS_Revenues[[#This Row],[Order]]=1),6,AND(IS_Revenues[[#This Row],[Used]]=1,IS_Revenues[[#This Row],[Order]]&gt;1),7,IS_Revenues[[#This Row],[Used]]=0,8)</f>
        <v>6</v>
      </c>
      <c r="I10" t="s">
        <v>75</v>
      </c>
      <c r="J10" s="370">
        <f>IF(ISNUMBER(_xlfn.XLOOKUP(IS_Revenues[[#This Row],[Account]],MD_Revenue[Account Name],MD_Revenue[Used])),_xlfn.XLOOKUP(IS_Revenues[[#This Row],[Account]],MD_Revenue[Account Name],MD_Revenue[Used]),0)</f>
        <v>1</v>
      </c>
      <c r="K10" s="370">
        <f>IS_Revenues[[#This Row],[Used]]</f>
        <v>1</v>
      </c>
      <c r="L10" s="367">
        <f ca="1">ROUND(SUMIFS(Journal[Cr Amt],Journal[Credit Account],I10,Journal[ref1],"&lt;&gt;CL"),2)</f>
        <v>40</v>
      </c>
      <c r="M10" s="367">
        <f ca="1">ROUND(SUMIFS(JournalAnswer[Cr Amt],JournalAnswer[Credit Account],I10,JournalAnswer[ref1],"&lt;&gt;CL"),2)</f>
        <v>40</v>
      </c>
      <c r="N10" s="367" cm="1">
        <f t="array" ref="N10">ROUND(IF(IS_Revenues[[#This Row],[Account]]&lt;&gt;"",_xlfn._xlws.FILTER(FSBuilder[Amount],(FSBuilder[Account or Explanation]=IS_Revenues[[#This Row],[Account]])*(FSBuilder[Statement]="Income Statement"),0),0),2)</f>
        <v>0</v>
      </c>
      <c r="O10" s="370">
        <f ca="1">IS_Revenues[[#This Row],[Used]]*(IS_Revenues[[#This Row],[AmtJournal]]&lt;&gt;0)</f>
        <v>1</v>
      </c>
      <c r="P10" s="370">
        <f ca="1">IS_Revenues[[#This Row],[Used]]*(IS_Revenues[[#This Row],[AmtAnswer]]&lt;&gt;0)</f>
        <v>1</v>
      </c>
      <c r="Q10" s="370">
        <f>IS_Revenues[[#This Row],[Used]]*(IS_Revenues[[#This Row],[AmtFSBuilder]]&lt;&gt;0)*Financial_Statements_Builder!$K$121</f>
        <v>0</v>
      </c>
      <c r="S10" s="192">
        <v>7</v>
      </c>
      <c r="T10" t="s">
        <v>592</v>
      </c>
      <c r="U10" s="192">
        <f ca="1">IF(ABS(OCI[[#This Row],[AmtJournal]])&gt;0,1,0)</f>
        <v>0</v>
      </c>
      <c r="V10" s="192">
        <v>1</v>
      </c>
      <c r="W10" s="368">
        <f ca="1">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t="e" cm="1">
        <f t="array" ref="Y10">ROUND(IF(OCI[[#This Row],[Account]]&lt;&gt;"",_xlfn._xlws.FILTER(FSBuilder[Amount],(FSBuilder[Account or Explanation]=OCI[[#This Row],[Account]])*(FSBuilder[Statement])="Statement of Comprehensive Income",0),0),2)</f>
        <v>#VALUE!</v>
      </c>
      <c r="Z10" s="368">
        <f ca="1">OCI[[#This Row],[Used]]*(OCI[[#This Row],[AmtJournal]]&lt;&gt;0)</f>
        <v>0</v>
      </c>
      <c r="AA10" s="368">
        <f ca="1">OCI[[#This Row],[Used]]*(OCI[[#This Row],[AmtAnswer]]&lt;&gt;0)</f>
        <v>0</v>
      </c>
      <c r="AB10" s="368" t="e">
        <f ca="1">OCI[[#This Row],[Used]]*(OCI[[#This Row],[AmtFSBuilder]]&lt;&gt;0)</f>
        <v>#VALUE!</v>
      </c>
      <c r="AE10" t="s">
        <v>126</v>
      </c>
      <c r="AF10" s="34">
        <f ca="1">ROUND(SUMIFS(Journal[Cr Amt],Journal[ref1],"ICS",Journal[Credit Account],"Common Stock"),2)</f>
        <v>100</v>
      </c>
      <c r="AG10" s="34">
        <f ca="1">ROUND(SUMIFS(JournalAnswer[Cr Amt],JournalAnswer[ref1],"ICS",JournalAnswer[Credit Account],"Common Stock"),2)</f>
        <v>100</v>
      </c>
      <c r="AH10" s="34" cm="1">
        <f t="array" ref="AH10">ROUND(_xlfn._xlws.FILTER(FSBuilder[Amount],(FSBuilder[Statement]=$AE$2)*(FSBuilder[Account or Explanation]=StChsSE[[#This Row],[Item]]),0),2)</f>
        <v>0</v>
      </c>
      <c r="AP10" s="192">
        <v>7</v>
      </c>
      <c r="AQ10" t="s">
        <v>134</v>
      </c>
      <c r="AR10" s="370">
        <f ca="1">IF(ABS(CFS_CFO[[#This Row],[AmtJournal]])&gt;0,1,0)</f>
        <v>1</v>
      </c>
      <c r="AS10" s="370">
        <f ca="1">IF(CFS_CFO[[#This Row],[Used]]&gt;0,CFS_CFO[[#This Row],[Used]]+AR9,0)</f>
        <v>2</v>
      </c>
      <c r="AT10" s="366">
        <f ca="1">-SUMIFS(Journal[Cr Amt],Journal[ref1],"PdS",Journal[Credit Account],"Cash")</f>
        <v>-15</v>
      </c>
      <c r="AU10" s="366">
        <f ca="1">-SUMIFS(JournalAnswer[Cr Amt],JournalAnswer[ref1],"PdS",JournalAnswer[Credit Account],"Cash")</f>
        <v>-15</v>
      </c>
      <c r="AV10" s="366" cm="1">
        <f t="array" ref="AV10">IF(CFS_CFO[[#This Row],[Account]]&lt;&gt;"",_xlfn._xlws.FILTER(FSBuilder[Amount],(FSBuilder[Account or Explanation]=CFS_CFO[[#This Row],[Account]])*(FSBuilder[Statement]="Cash Flow Statement"),0),"")</f>
        <v>0</v>
      </c>
      <c r="AW10" s="370">
        <f ca="1">IF(CFS_CFO[[#This Row],[AmtJournal]]&lt;&gt;0,1,0)</f>
        <v>1</v>
      </c>
      <c r="AX10" s="370">
        <f ca="1">IF(CFS_CFO[[#This Row],[AmtAnswer]]&lt;&gt;0,1,0)</f>
        <v>1</v>
      </c>
      <c r="AY10" s="370">
        <f>IF(CFS_CFO[[#This Row],[AmtFSBuilder]]&lt;&gt;0,1,0)</f>
        <v>0</v>
      </c>
      <c r="AZ10"/>
      <c r="BA10" s="379" t="s">
        <v>584</v>
      </c>
      <c r="BB10" s="379" t="s">
        <v>542</v>
      </c>
      <c r="BC10" s="379" t="s">
        <v>585</v>
      </c>
      <c r="BD10" s="466" t="s">
        <v>586</v>
      </c>
      <c r="BE10" s="379" t="s">
        <v>581</v>
      </c>
      <c r="BF10" s="379" t="s">
        <v>582</v>
      </c>
      <c r="BG10" s="379" t="s">
        <v>583</v>
      </c>
      <c r="BH10" s="470" t="s">
        <v>587</v>
      </c>
      <c r="BI10" s="470" t="s">
        <v>588</v>
      </c>
      <c r="BJ10" s="470" t="s">
        <v>589</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40.050000000000011</v>
      </c>
      <c r="BQ10" s="367">
        <f>_xlfn.IFNA((_xlfn.XLOOKUP(ECurrAssets[[#This Row],[Account]],BegBalanceSheet_Assets[Account],BegBalanceSheet_Assets[Amount]))+SUMIF(JournalAnswer[Debit Account],ECurrAssets[[#This Row],[Account]],JournalAnswer[Dr Amt])-SUMIF(JournalAnswer[Credit Account],ECurrAssets[[#This Row],[Account]],JournalAnswer[Cr Amt]),0)</f>
        <v>40.050000000000011</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x14ac:dyDescent="0.3">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0</v>
      </c>
      <c r="G11" s="370"/>
      <c r="H11" s="192" cm="1">
        <f t="array" ref="H11">_xlfn.IFS(AND(IS_Revenues[[#This Row],[Used]]=1,IS_Revenues[[#This Row],[Order]]=1),6,AND(IS_Revenues[[#This Row],[Used]]=1,IS_Revenues[[#This Row],[Order]]&gt;1),7,IS_Revenues[[#This Row],[Used]]=0,8)</f>
        <v>8</v>
      </c>
      <c r="I11" t="s">
        <v>593</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256</v>
      </c>
      <c r="AF11" s="34">
        <f ca="1">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aca="1" ref="AP11" ca="1">_xlfn.IFS(AND(CFS_CFO[[#This Row],[Used]]=1,CFS_CFO[[#This Row],[Order]]=1),6,AND(CFS_CFO[[#This Row],[Used]]=1,CFS_CFO[[#This Row],[Order]]&gt;1),7,CFS_CFO[[#This Row],[Used]]=0,8)</f>
        <v>7</v>
      </c>
      <c r="AQ11" t="s">
        <v>133</v>
      </c>
      <c r="AR11" s="370">
        <f ca="1">IF(ABS(CFS_CFO[[#This Row],[AmtJournal]])&gt;0,1,0)</f>
        <v>1</v>
      </c>
      <c r="AS11" s="370">
        <f ca="1">IF(CFS_CFO[[#This Row],[Used]]=1,CFS_CFO[[#This Row],[Used]]+SUM(AR9:AR10),0)</f>
        <v>3</v>
      </c>
      <c r="AT11" s="366">
        <f ca="1">-SUMIFS(Journal[Cr Amt],Journal[ref1],"PdSW",Journal[Credit Account],"Cash")</f>
        <v>-6</v>
      </c>
      <c r="AU11" s="366">
        <f ca="1">-SUMIFS(JournalAnswer[Cr Amt],JournalAnswer[ref1],"PdSW",JournalAnswer[Credit Account],"Cash")</f>
        <v>-6</v>
      </c>
      <c r="AV11" s="366" cm="1">
        <f t="array" ref="AV11">IF(CFS_CFO[[#This Row],[Account]]&lt;&gt;"",_xlfn._xlws.FILTER(FSBuilder[Amount],(FSBuilder[Account or Explanation]=CFS_CFO[[#This Row],[Account]])*(FSBuilder[Statement]="Cash Flow Statement"),0),"")</f>
        <v>0</v>
      </c>
      <c r="AW11" s="370">
        <f ca="1">IF(CFS_CFO[[#This Row],[AmtJournal]]&lt;&gt;0,1,0)</f>
        <v>1</v>
      </c>
      <c r="AX11" s="370">
        <f ca="1">IF(CFS_CFO[[#This Row],[AmtAnswer]]&lt;&gt;0,1,0)</f>
        <v>1</v>
      </c>
      <c r="AY11" s="370">
        <f>IF(CFS_CFO[[#This Row],[AmtFSBuilder]]&lt;&gt;0,1,0)</f>
        <v>0</v>
      </c>
      <c r="AZ11"/>
      <c r="BA11" s="192">
        <f>IF(NI_CFO_Recon_Gains[[#This Row],[Used]]=1,7,8)</f>
        <v>8</v>
      </c>
      <c r="BB11" t="s">
        <v>594</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9.8000000000000007</v>
      </c>
      <c r="BQ11" s="368">
        <f>_xlfn.IFNA((_xlfn.XLOOKUP(ECurrAssets[[#This Row],[Account]],BegBalanceSheet_Assets[Account],BegBalanceSheet_Assets[Amount]))+SUMIF(JournalAnswer[Debit Account],ECurrAssets[[#This Row],[Account]],JournalAnswer[Dr Amt])-SUMIF(JournalAnswer[Credit Account],ECurrAssets[[#This Row],[Account]],JournalAnswer[Cr Amt]),0)</f>
        <v>9.8000000000000007</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x14ac:dyDescent="0.3">
      <c r="B12" s="192" cm="1">
        <f t="array" ref="B12">_xlfn.IFS(AND(BCurrAssets[[#This Row],[Used]]=1,BCurrAssets[[#This Row],[Order]]=1),6,AND(BCurrAssets[[#This Row],[Used]]=1,BCurrAssets[[#This Row],[Order]]&gt;1),7,BCurrAssets[[#This Row],[Used]]=0,8)</f>
        <v>7</v>
      </c>
      <c r="C12" t="s">
        <v>73</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0</v>
      </c>
      <c r="G12" s="370"/>
      <c r="H12" s="192" cm="1">
        <f t="array" ref="H12">_xlfn.IFS(AND(IS_Revenues[[#This Row],[Used]]=1,IS_Revenues[[#This Row],[Order]]=1),6,AND(IS_Revenues[[#This Row],[Used]]=1,IS_Revenues[[#This Row],[Order]]&gt;1),7,IS_Revenues[[#This Row],[Used]]=0,8)</f>
        <v>8</v>
      </c>
      <c r="I12" t="s">
        <v>595</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259</v>
      </c>
      <c r="AF12" s="34">
        <f ca="1">ROUND(-SUMIFS(Journal[Dr Amt],Journal[ref1],"DD",Journal[Debit Account],"Retained Earnings"),2)</f>
        <v>0</v>
      </c>
      <c r="AG12" s="34">
        <f ca="1">-ROUND(SUMIFS(JournalAnswer[Dr Amt],JournalAnswer[ref1],"DD",JournalAnswer[Debit Account],"Retained Earnings"),2)</f>
        <v>0</v>
      </c>
      <c r="AH12" s="34" cm="1">
        <f t="array" ref="AH12">ROUND(_xlfn._xlws.FILTER(FSBuilder[Amount],(FSBuilder[Statement]=$AE$2)*(FSBuilder[Account or Explanation]=StChsSE[[#This Row],[Item]]),0),2)</f>
        <v>0</v>
      </c>
      <c r="AP12" s="192" cm="1">
        <f t="array" aca="1" ref="AP12" ca="1">_xlfn.IFS(AND(CFS_CFO[[#This Row],[Used]]=1,CFS_CFO[[#This Row],[Order]]=1),6,AND(CFS_CFO[[#This Row],[Used]]=1,CFS_CFO[[#This Row],[Order]]&gt;1),7,CFS_CFO[[#This Row],[Used]]=0,8)</f>
        <v>8</v>
      </c>
      <c r="AQ12" t="s">
        <v>596</v>
      </c>
      <c r="AR12" s="370">
        <f ca="1">IF(ABS(CFS_CFO[[#This Row],[AmtJournal]])&gt;0,1,0)</f>
        <v>0</v>
      </c>
      <c r="AS12" s="370">
        <f ca="1">IF(CFS_CFO[[#This Row],[Used]]=1,CFS_CFO[[#This Row],[Used]]+SUM(AR9:AR11),0)</f>
        <v>0</v>
      </c>
      <c r="AT12" s="366">
        <f ca="1">-SUMIFS(Journal[Cr Amt],Journal[ref1],"PdTx",Journal[Credit Account],"Cash")</f>
        <v>0</v>
      </c>
      <c r="AU12" s="366">
        <f ca="1">-SUMIFS(JournalAnswer[Cr Amt],JournalAnswer[ref1],"PdTx",JournalAnswer[Credit Account],"Cash")</f>
        <v>0</v>
      </c>
      <c r="AV12" s="366" cm="1">
        <f t="array" ref="AV12">IF(CFS_CFO[[#This Row],[Account]]&lt;&gt;"",_xlfn._xlws.FILTER(FSBuilder[Amount],(FSBuilder[Account or Explanation]=CFS_CFO[[#This Row],[Account]])*(FSBuilder[Statement]="Cash Flow Statement"),0),"")</f>
        <v>0</v>
      </c>
      <c r="AW12" s="370">
        <f ca="1">IF(CFS_CFO[[#This Row],[AmtJournal]]&lt;&gt;0,1,0)</f>
        <v>0</v>
      </c>
      <c r="AX12" s="370">
        <f ca="1">IF(CFS_CFO[[#This Row],[AmtAnswer]]&lt;&gt;0,1,0)</f>
        <v>0</v>
      </c>
      <c r="AY12" s="370">
        <f>IF(CFS_CFO[[#This Row],[AmtFSBuilder]]&lt;&gt;0,1,0)</f>
        <v>0</v>
      </c>
      <c r="AZ12"/>
      <c r="BA12" s="192">
        <f>IF(NI_CFO_Recon_Gains[[#This Row],[Used]]=1,7,8)</f>
        <v>8</v>
      </c>
      <c r="BB12" t="s">
        <v>597</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x14ac:dyDescent="0.3">
      <c r="B13" s="192" cm="1">
        <f t="array" ref="B13">_xlfn.IFS(AND(BCurrAssets[[#This Row],[Used]]=1,BCurrAssets[[#This Row],[Order]]=1),6,AND(BCurrAssets[[#This Row],[Used]]=1,BCurrAssets[[#This Row],[Order]]&gt;1),7,BCurrAssets[[#This Row],[Used]]=0,8)</f>
        <v>8</v>
      </c>
      <c r="C13" t="s">
        <v>598</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599</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162</v>
      </c>
      <c r="AF13" s="34">
        <f ca="1">ROUND(L54,2)</f>
        <v>-4.2</v>
      </c>
      <c r="AG13" s="34">
        <f ca="1">ROUND(M54,2)</f>
        <v>-4.2</v>
      </c>
      <c r="AH13" s="34" cm="1">
        <f t="array" ref="AH13">ROUND(_xlfn._xlws.FILTER(FSBuilder[Amount],(FSBuilder[Statement]=$AE$2)*(FSBuilder[Account or Explanation]=StChsSE[[#This Row],[Item]]),0),2)</f>
        <v>0</v>
      </c>
      <c r="AP13" s="192" cm="1">
        <f t="array" aca="1" ref="AP13" ca="1">_xlfn.IFS(AND(CFS_CFO[[#This Row],[Used]]=1,CFS_CFO[[#This Row],[Order]]=1),6,AND(CFS_CFO[[#This Row],[Used]]=1,CFS_CFO[[#This Row],[Order]]&gt;1),7,CFS_CFO[[#This Row],[Used]]=0,8)</f>
        <v>8</v>
      </c>
      <c r="AQ13" t="s">
        <v>600</v>
      </c>
      <c r="AR13" s="370">
        <f ca="1">IF(ABS(CFS_CFO[[#This Row],[AmtJournal]])&gt;0,1,0)</f>
        <v>0</v>
      </c>
      <c r="AS13" s="370">
        <f ca="1">IF(CFS_CFO[[#This Row],[Used]]=1,CFS_CFO[[#This Row],[Used]]+SUM(AR9:AR12),0)</f>
        <v>0</v>
      </c>
      <c r="AT13" s="366">
        <f ca="1">-SUMIFS(Journal[Cr Amt],Journal[ref1],"PdInt",Journal[Credit Account],"Cash")</f>
        <v>0</v>
      </c>
      <c r="AU13" s="366">
        <f ca="1">-SUMIFS(JournalAnswer[Cr Amt],JournalAnswer[ref1],"PdInt",JournalAnswer[Credit Account],"Cash")</f>
        <v>0</v>
      </c>
      <c r="AV13" s="366" cm="1">
        <f t="array" ref="AV13">IF(CFS_CFO[[#This Row],[Account]]&lt;&gt;"",_xlfn._xlws.FILTER(FSBuilder[Amount],(FSBuilder[Account or Explanation]=CFS_CFO[[#This Row],[Account]])*(FSBuilder[Statement]="Cash Flow Statement"),0),"")</f>
        <v>0</v>
      </c>
      <c r="AW13" s="370">
        <f ca="1">IF(CFS_CFO[[#This Row],[AmtJournal]]&lt;&gt;0,1,0)</f>
        <v>0</v>
      </c>
      <c r="AX13" s="370">
        <f ca="1">IF(CFS_CFO[[#This Row],[AmtAnswer]]&lt;&gt;0,1,0)</f>
        <v>0</v>
      </c>
      <c r="AY13" s="370">
        <f>IF(CFS_CFO[[#This Row],[AmtFSBuilder]]&lt;&gt;0,1,0)</f>
        <v>0</v>
      </c>
      <c r="AZ13"/>
      <c r="BA13" s="192">
        <f>IF(NI_CFO_Recon_Gains[[#This Row],[Used]]=1,7,8)</f>
        <v>8</v>
      </c>
      <c r="BB13" t="s">
        <v>601</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7</v>
      </c>
      <c r="BM13" t="str">
        <f t="shared" si="0"/>
        <v>Marketable Securities</v>
      </c>
      <c r="BN13" s="370">
        <f>IF(ISNUMBER(_xlfn.XLOOKUP(ECurrAssets[[#This Row],[Account]],MD_Asset[Account Name],MD_Asset[Used])),_xlfn.XLOOKUP(ECurrAssets[[#This Row],[Account]],MD_Asset[Account Name],MD_Asset[Used]),0)</f>
        <v>1</v>
      </c>
      <c r="BO13" s="370">
        <f>IF(ECurrAssets[[#This Row],[Used]]=1,ECurrAssets[[#This Row],[Used]]+SUM(BN10:BN12),0)</f>
        <v>3</v>
      </c>
      <c r="BP13" s="368">
        <f>_xlfn.IFNA((_xlfn.XLOOKUP(ECurrAssets[[#This Row],[Account]],BegBalanceSheet_Assets[Account],BegBalanceSheet_Assets[Amount]))+SUMIF(Journal[Debit Account],ECurrAssets[[#This Row],[Account]],Journal[Dr Amt])-SUMIF(Journal[Credit Account],ECurrAssets[[#This Row],[Account]],Journal[Cr Amt]),0)</f>
        <v>25</v>
      </c>
      <c r="BQ13" s="368">
        <f>_xlfn.IFNA((_xlfn.XLOOKUP(ECurrAssets[[#This Row],[Account]],BegBalanceSheet_Assets[Account],BegBalanceSheet_Assets[Amount]))+SUMIF(JournalAnswer[Debit Account],ECurrAssets[[#This Row],[Account]],JournalAnswer[Dr Amt])-SUMIF(JournalAnswer[Credit Account],ECurrAssets[[#This Row],[Account]],JournalAnswer[Cr Amt]),0)</f>
        <v>25</v>
      </c>
      <c r="BR13" s="368" cm="1">
        <f t="array" ref="BR13">IF(ECurrAssets[[#This Row],[Account]]&lt;&gt;"",_xlfn._xlws.FILTER(FSBuilder[Amount],(FSBuilder[Account or Explanation]=ECurrAssets[[#This Row],[Account]])*(FSBuilder[Statement]="Ending Balance Sheet"),0),0)</f>
        <v>0</v>
      </c>
      <c r="BS13" s="392">
        <f>ECurrAssets[[#This Row],[Used]]*(ECurrAssets[[#This Row],[AmtJournal]]&lt;&gt;0)</f>
        <v>1</v>
      </c>
      <c r="BT13" s="392">
        <f>ECurrAssets[[#This Row],[Used]]*(ECurrAssets[[#This Row],[AmtAnswer]]&lt;&gt;0)</f>
        <v>1</v>
      </c>
      <c r="BU13" s="392">
        <f>ECurrAssets[[#This Row],[Used]]*(ECurrAssets[[#This Row],[AmtFSBuilder]]&lt;&gt;0)</f>
        <v>0</v>
      </c>
    </row>
    <row r="14" spans="1:73" x14ac:dyDescent="0.3">
      <c r="B14" s="192" cm="1">
        <f t="array" ref="B14">_xlfn.IFS(AND(BCurrAssets[[#This Row],[Used]]=1,BCurrAssets[[#This Row],[Order]]=1),6,AND(BCurrAssets[[#This Row],[Used]]=1,BCurrAssets[[#This Row],[Order]]&gt;1),7,BCurrAssets[[#This Row],[Used]]=0,8)</f>
        <v>7</v>
      </c>
      <c r="C14" t="s">
        <v>71</v>
      </c>
      <c r="D14" s="370">
        <f>IF(ISNUMBER(_xlfn.XLOOKUP(BCurrAssets[[#This Row],[Account]],MD_Asset[Account Name],MD_Asset[Used])),_xlfn.XLOOKUP(BCurrAssets[[#This Row],[Account]],MD_Asset[Account Name],MD_Asset[Used]),0)</f>
        <v>1</v>
      </c>
      <c r="E14" s="370">
        <f>IF(BCurrAssets[[#This Row],[Used]]=1,BCurrAssets[[#This Row],[Used]]+SUM(D11:D13),0)</f>
        <v>3</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602</v>
      </c>
      <c r="AF14" s="34">
        <f ca="1">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aca="1" ref="AP14" ca="1">_xlfn.IFS(AND(CFS_CFO[[#This Row],[Used]]=1,CFS_CFO[[#This Row],[Order]]=1),6,AND(CFS_CFO[[#This Row],[Used]]=1,CFS_CFO[[#This Row],[Order]]&gt;1),7,CFS_CFO[[#This Row],[Used]]=0,8)</f>
        <v>7</v>
      </c>
      <c r="AQ14" t="s">
        <v>132</v>
      </c>
      <c r="AR14" s="370">
        <f ca="1">IF(ABS(CFS_CFO[[#This Row],[AmtJournal]])&gt;0,1,0)</f>
        <v>1</v>
      </c>
      <c r="AS14" s="370">
        <f ca="1">IF(CFS_CFO[[#This Row],[Used]]=1,CFS_CFO[[#This Row],[Used]]+SUM(AR9:AR13),0)</f>
        <v>4</v>
      </c>
      <c r="AT14" s="366">
        <f ca="1">-SUMIFS(Journal[Cr Amt],Journal[ref1],"PdPPd",Journal[Credit Account],"Cash")</f>
        <v>-4</v>
      </c>
      <c r="AU14" s="366">
        <f ca="1">-SUMIFS(JournalAnswer[Cr Amt],JournalAnswer[ref1],"PdPPd",JournalAnswer[Credit Account],"Cash")</f>
        <v>-4</v>
      </c>
      <c r="AV14" s="366" cm="1">
        <f t="array" ref="AV14">IF(CFS_CFO[[#This Row],[Account]]&lt;&gt;"",_xlfn._xlws.FILTER(FSBuilder[Amount],(FSBuilder[Account or Explanation]=CFS_CFO[[#This Row],[Account]])*(FSBuilder[Statement]="Cash Flow Statement"),0),"")</f>
        <v>0</v>
      </c>
      <c r="AW14" s="370">
        <f ca="1">IF(CFS_CFO[[#This Row],[AmtJournal]]&lt;&gt;0,1,0)</f>
        <v>1</v>
      </c>
      <c r="AX14" s="370">
        <f ca="1">IF(CFS_CFO[[#This Row],[AmtAnswer]]&lt;&gt;0,1,0)</f>
        <v>1</v>
      </c>
      <c r="AY14" s="370">
        <f>IF(CFS_CFO[[#This Row],[AmtFSBuilder]]&lt;&gt;0,1,0)</f>
        <v>0</v>
      </c>
      <c r="AZ14"/>
      <c r="BA14" s="192">
        <f>IF(NI_CFO_Recon_Gains[[#This Row],[Used]]=1,7,8)</f>
        <v>8</v>
      </c>
      <c r="BB14" t="s">
        <v>603</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4</v>
      </c>
      <c r="BP14" s="368">
        <f>_xlfn.IFNA((_xlfn.XLOOKUP(ECurrAssets[[#This Row],[Account]],BegBalanceSheet_Assets[Account],BegBalanceSheet_Assets[Amount]))+SUMIF(Journal[Debit Account],ECurrAssets[[#This Row],[Account]],Journal[Dr Amt])-SUMIF(Journal[Credit Account],ECurrAssets[[#This Row],[Account]],Journal[Cr Amt]),0)</f>
        <v>5</v>
      </c>
      <c r="BQ14" s="368">
        <f>_xlfn.IFNA((_xlfn.XLOOKUP(ECurrAssets[[#This Row],[Account]],BegBalanceSheet_Assets[Account],BegBalanceSheet_Assets[Amount]))+SUMIF(JournalAnswer[Debit Account],ECurrAssets[[#This Row],[Account]],JournalAnswer[Dr Amt])-SUMIF(JournalAnswer[Credit Account],ECurrAssets[[#This Row],[Account]],JournalAnswer[Cr Amt]),0)</f>
        <v>5</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x14ac:dyDescent="0.3">
      <c r="B15" s="192" cm="1">
        <f t="array" ref="B15">_xlfn.IFS(AND(BCurrAssets[[#This Row],[Used]]=1,BCurrAssets[[#This Row],[Order]]=1),6,AND(BCurrAssets[[#This Row],[Used]]=1,BCurrAssets[[#This Row],[Order]]&gt;1),7,BCurrAssets[[#This Row],[Used]]=0,8)</f>
        <v>7</v>
      </c>
      <c r="C15" t="s">
        <v>68</v>
      </c>
      <c r="D15" s="370">
        <f>IF(ISNUMBER(_xlfn.XLOOKUP(BCurrAssets[[#This Row],[Account]],MD_Asset[Account Name],MD_Asset[Used])),_xlfn.XLOOKUP(BCurrAssets[[#This Row],[Account]],MD_Asset[Account Name],MD_Asset[Used]),0)</f>
        <v>1</v>
      </c>
      <c r="E15" s="370">
        <f>IF(BCurrAssets[[#This Row],[Used]]=1,BCurrAssets[[#This Row],[Used]]+SUM(D11:D14),0)</f>
        <v>4</v>
      </c>
      <c r="F15" s="368">
        <f>ROUND(_xlfn.IFNA(_xlfn.XLOOKUP(C15,BegBalanceSheet_Assets[Account],BegBalanceSheet_Assets[Amount]),0),2)</f>
        <v>0</v>
      </c>
      <c r="G15" s="370"/>
      <c r="H15" s="192">
        <v>5</v>
      </c>
      <c r="I15" s="5" t="s">
        <v>294</v>
      </c>
      <c r="J15" s="391"/>
      <c r="K15" s="370"/>
      <c r="L15" s="367">
        <f ca="1">ROUND(SUBTOTAL(9,L10:L14),2)</f>
        <v>40</v>
      </c>
      <c r="M15" s="367">
        <f ca="1">ROUND(SUBTOTAL(9,M10:M14),2)</f>
        <v>40</v>
      </c>
      <c r="N15" s="367">
        <f>ROUND(SUBTOTAL(9,N10:N14),2)</f>
        <v>0</v>
      </c>
      <c r="O15" s="367">
        <f t="shared" ref="O15" ca="1" si="1">SUBTOTAL(9,O10:O14)</f>
        <v>1</v>
      </c>
      <c r="P15" s="370"/>
      <c r="Q15" s="370"/>
      <c r="T15"/>
      <c r="W15" s="368"/>
      <c r="X15" s="339"/>
      <c r="Y15" s="339" t="str" cm="1">
        <f t="array" ref="Y15">IF(OCI[[#This Row],[Account]]&lt;&gt;"",_xlfn._xlws.FILTER(FSBuilder[Amount],FSBuilder[Account or Explanation]=OCI[[#This Row],[Account]],0),"")</f>
        <v/>
      </c>
      <c r="Z15" s="368"/>
      <c r="AA15" s="368"/>
      <c r="AB15" s="368"/>
      <c r="AE15" t="s">
        <v>604</v>
      </c>
      <c r="AF15" s="34">
        <f ca="1">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aca="1" ref="AP15" ca="1">_xlfn.IFS(AND(CFS_CFO[[#This Row],[Used]]=1,CFS_CFO[[#This Row],[Order]]=1),6,AND(CFS_CFO[[#This Row],[Used]]=1,CFS_CFO[[#This Row],[Order]]&gt;1),7,CFS_CFO[[#This Row],[Used]]=0,8)</f>
        <v>8</v>
      </c>
      <c r="AQ15" t="s">
        <v>605</v>
      </c>
      <c r="AR15" s="370">
        <f ca="1">IF(ABS(CFS_CFO[[#This Row],[AmtJournal]])&gt;0,1,0)</f>
        <v>0</v>
      </c>
      <c r="AS15" s="370">
        <f ca="1">IF(CFS_CFO[[#This Row],[Used]]=1,CFS_CFO[[#This Row],[Used]]+SUM(AR9:AR14),0)</f>
        <v>0</v>
      </c>
      <c r="AT15" s="366">
        <f ca="1">-SUMIFS(Journal[Cr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 ca="1">IF(CFS_CFO[[#This Row],[AmtJournal]]&lt;&gt;0,1,0)</f>
        <v>0</v>
      </c>
      <c r="AX15" s="370">
        <f ca="1">IF(CFS_CFO[[#This Row],[AmtAnswer]]&lt;&gt;0,1,0)</f>
        <v>0</v>
      </c>
      <c r="AY15" s="370">
        <f>IF(CFS_CFO[[#This Row],[AmtFSBuilder]]&lt;&gt;0,1,0)</f>
        <v>0</v>
      </c>
      <c r="AZ15"/>
      <c r="BA15" s="192">
        <f>IF(NI_CFO_Recon_Gains[[#This Row],[Used]]=1,7,8)</f>
        <v>8</v>
      </c>
      <c r="BB15" t="s">
        <v>606</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x14ac:dyDescent="0.3">
      <c r="B16" s="192" cm="1">
        <f t="array" ref="B16">_xlfn.IFS(AND(BCurrAssets[[#This Row],[Used]]=1,BCurrAssets[[#This Row],[Order]]=1),6,AND(BCurrAssets[[#This Row],[Used]]=1,BCurrAssets[[#This Row],[Order]]&gt;1),7,BCurrAssets[[#This Row],[Used]]=0,8)</f>
        <v>8</v>
      </c>
      <c r="C16" t="s">
        <v>607</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608</v>
      </c>
      <c r="AF16" s="34">
        <f ca="1">ROUND(W23,2)</f>
        <v>0</v>
      </c>
      <c r="AG16" s="34">
        <f ca="1">ROUND(X23,2)</f>
        <v>0</v>
      </c>
      <c r="AH16" s="34" cm="1">
        <f t="array" ref="AH16">ROUND(_xlfn._xlws.FILTER(FSBuilder[Amount],(FSBuilder[Statement]=$AE$2)*(FSBuilder[Account or Explanation]=StChsSE[[#This Row],[Item]]),0),2)</f>
        <v>0</v>
      </c>
      <c r="AP16" s="192">
        <v>3</v>
      </c>
      <c r="AQ16" s="181" t="s">
        <v>609</v>
      </c>
      <c r="AR16" s="370"/>
      <c r="AS16" s="370"/>
      <c r="AT16" s="351">
        <f ca="1">ROUND(SUBTOTAL(9,AT9:AT15),2)</f>
        <v>5.05</v>
      </c>
      <c r="AU16" s="351">
        <f t="shared" ref="AU16:AV16" ca="1" si="2">ROUND(SUBTOTAL(9,AU9:AU15),2)</f>
        <v>5.05</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7</v>
      </c>
      <c r="BM16" t="str">
        <f t="shared" si="0"/>
        <v>Prepaid Rent</v>
      </c>
      <c r="BN16" s="370">
        <f>IF(ISNUMBER(_xlfn.XLOOKUP(ECurrAssets[[#This Row],[Account]],MD_Asset[Account Name],MD_Asset[Used])),_xlfn.XLOOKUP(ECurrAssets[[#This Row],[Account]],MD_Asset[Account Name],MD_Asset[Used]),0)</f>
        <v>1</v>
      </c>
      <c r="BO16" s="370">
        <f>IF(ECurrAssets[[#This Row],[Used]]=1,ECurrAssets[[#This Row],[Used]]+SUM(BN10:BN15),0)</f>
        <v>5</v>
      </c>
      <c r="BP16" s="368">
        <f>_xlfn.IFNA((_xlfn.XLOOKUP(ECurrAssets[[#This Row],[Account]],BegBalanceSheet_Assets[Account],BegBalanceSheet_Assets[Amount]))+SUMIF(Journal[Debit Account],ECurrAssets[[#This Row],[Account]],Journal[Dr Amt])-SUMIF(Journal[Credit Account],ECurrAssets[[#This Row],[Account]],Journal[Cr Amt]),0)</f>
        <v>1</v>
      </c>
      <c r="BQ16" s="368">
        <f>_xlfn.IFNA((_xlfn.XLOOKUP(ECurrAssets[[#This Row],[Account]],BegBalanceSheet_Assets[Account],BegBalanceSheet_Assets[Amount]))+SUMIF(JournalAnswer[Debit Account],ECurrAssets[[#This Row],[Account]],JournalAnswer[Dr Amt])-SUMIF(JournalAnswer[Credit Account],ECurrAssets[[#This Row],[Account]],JournalAnswer[Cr Amt]),0)</f>
        <v>1</v>
      </c>
      <c r="BR16" s="368" cm="1">
        <f t="array" ref="BR16">IF(ECurrAssets[[#This Row],[Account]]&lt;&gt;"",_xlfn._xlws.FILTER(FSBuilder[Amount],(FSBuilder[Account or Explanation]=ECurrAssets[[#This Row],[Account]])*(FSBuilder[Statement]="Ending Balance Sheet"),0),0)</f>
        <v>0</v>
      </c>
      <c r="BS16" s="392">
        <f>ECurrAssets[[#This Row],[Used]]*(ECurrAssets[[#This Row],[AmtJournal]]&lt;&gt;0)</f>
        <v>1</v>
      </c>
      <c r="BT16" s="392">
        <f>ECurrAssets[[#This Row],[Used]]*(ECurrAssets[[#This Row],[AmtAnswer]]&lt;&gt;0)</f>
        <v>1</v>
      </c>
      <c r="BU16" s="392">
        <f>ECurrAssets[[#This Row],[Used]]*(ECurrAssets[[#This Row],[AmtFSBuilder]]&lt;&gt;0)</f>
        <v>0</v>
      </c>
    </row>
    <row r="17" spans="2:73" x14ac:dyDescent="0.3">
      <c r="B17" s="192" cm="1">
        <f t="array" ref="B17">_xlfn.IFS(AND(BCurrAssets[[#This Row],[Used]]=1,BCurrAssets[[#This Row],[Order]]=1),6,AND(BCurrAssets[[#This Row],[Used]]=1,BCurrAssets[[#This Row],[Order]]&gt;1),7,BCurrAssets[[#This Row],[Used]]=0,8)</f>
        <v>7</v>
      </c>
      <c r="C17" t="s">
        <v>67</v>
      </c>
      <c r="D17" s="370">
        <f>IF(ISNUMBER(_xlfn.XLOOKUP(BCurrAssets[[#This Row],[Account]],MD_Asset[Account Name],MD_Asset[Used])),_xlfn.XLOOKUP(BCurrAssets[[#This Row],[Account]],MD_Asset[Account Name],MD_Asset[Used]),0)</f>
        <v>1</v>
      </c>
      <c r="E17" s="370">
        <f>IF(BCurrAssets[[#This Row],[Used]]=1,BCurrAssets[[#This Row],[Used]]+SUM(D11:D16),0)</f>
        <v>5</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252</v>
      </c>
      <c r="AF17" s="34">
        <f ca="1">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x14ac:dyDescent="0.3">
      <c r="B18" s="192" cm="1">
        <f t="array" ref="B18">_xlfn.IFS(AND(BCurrAssets[[#This Row],[Used]]=1,BCurrAssets[[#This Row],[Order]]=1),6,AND(BCurrAssets[[#This Row],[Used]]=1,BCurrAssets[[#This Row],[Order]]&gt;1),7,BCurrAssets[[#This Row],[Used]]=0,8)</f>
        <v>8</v>
      </c>
      <c r="C18" t="s">
        <v>610</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584</v>
      </c>
      <c r="I18" s="379" t="s">
        <v>542</v>
      </c>
      <c r="J18" s="379" t="s">
        <v>585</v>
      </c>
      <c r="K18" s="466" t="s">
        <v>586</v>
      </c>
      <c r="L18" s="379" t="s">
        <v>581</v>
      </c>
      <c r="M18" s="379" t="s">
        <v>582</v>
      </c>
      <c r="N18" s="379" t="s">
        <v>583</v>
      </c>
      <c r="O18" s="470" t="s">
        <v>587</v>
      </c>
      <c r="P18" s="470" t="s">
        <v>588</v>
      </c>
      <c r="Q18" s="470" t="s">
        <v>589</v>
      </c>
      <c r="T18"/>
      <c r="W18" s="368"/>
      <c r="X18" s="339"/>
      <c r="Y18" s="339" t="str" cm="1">
        <f t="array" ref="Y18">IF(OCI[[#This Row],[Account]]&lt;&gt;"",_xlfn._xlws.FILTER(FSBuilder[Amount],FSBuilder[Account or Explanation]=OCI[[#This Row],[Account]],0),"")</f>
        <v/>
      </c>
      <c r="Z18" s="368"/>
      <c r="AA18" s="368"/>
      <c r="AB18" s="368"/>
      <c r="AE18" t="s">
        <v>257</v>
      </c>
      <c r="AF18" s="34">
        <f ca="1">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611</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x14ac:dyDescent="0.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77</v>
      </c>
      <c r="J19" s="370">
        <f>IF(ISNUMBER(_xlfn.XLOOKUP(IS_Expenses[[#This Row],[Account]],MD_Expense[Account Name],MD_Expense[Used])),_xlfn.XLOOKUP(IS_Expenses[[#This Row],[Account]],MD_Expense[Account Name],MD_Expense[Used]),0)</f>
        <v>1</v>
      </c>
      <c r="K19" s="370">
        <f>IS_Expenses[[#This Row],[Used]]</f>
        <v>1</v>
      </c>
      <c r="L19" s="367">
        <f ca="1">ROUND(SUMIFS(Journal[Dr Amt],Journal[Debit Account],I19,Journal[ref1],"&lt;&gt;CL"),2)</f>
        <v>25</v>
      </c>
      <c r="M19" s="367">
        <f ca="1">ROUND(SUMIFS(JournalAnswer[Dr Amt],JournalAnswer[Debit Account],I19,JournalAnswer[ref1],"&lt;&gt;CL"),2)</f>
        <v>25</v>
      </c>
      <c r="N19" s="367" cm="1">
        <f t="array" ref="N19">ROUND(IF(IS_Expenses[[#This Row],[Account]]&lt;&gt;"",_xlfn._xlws.FILTER(FSBuilder[Amount],(FSBuilder[Account or Explanation]=IS_Expenses[[#This Row],[Account]])*(FSBuilder[Statement]="Income Statement"),0),0),2)</f>
        <v>0</v>
      </c>
      <c r="O19" s="370">
        <f ca="1">IS_Expenses[[#This Row],[Used]]*(IS_Expenses[[#This Row],[AmtJournal]]&lt;&gt;0)</f>
        <v>1</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253</v>
      </c>
      <c r="AF19" s="34">
        <f ca="1">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584</v>
      </c>
      <c r="AQ19" s="379" t="s">
        <v>542</v>
      </c>
      <c r="AR19" s="379" t="s">
        <v>585</v>
      </c>
      <c r="AS19" s="466" t="s">
        <v>586</v>
      </c>
      <c r="AT19" s="379" t="s">
        <v>581</v>
      </c>
      <c r="AU19" s="379" t="s">
        <v>582</v>
      </c>
      <c r="AV19" s="379" t="s">
        <v>583</v>
      </c>
      <c r="AW19" s="379" t="s">
        <v>587</v>
      </c>
      <c r="AX19" s="379" t="s">
        <v>588</v>
      </c>
      <c r="AY19" s="379" t="s">
        <v>589</v>
      </c>
      <c r="AZ19"/>
      <c r="BA19" s="379" t="s">
        <v>584</v>
      </c>
      <c r="BB19" s="379" t="s">
        <v>542</v>
      </c>
      <c r="BC19" s="379" t="s">
        <v>585</v>
      </c>
      <c r="BD19" s="466" t="s">
        <v>586</v>
      </c>
      <c r="BE19" s="379" t="s">
        <v>581</v>
      </c>
      <c r="BF19" s="379" t="s">
        <v>582</v>
      </c>
      <c r="BG19" s="379" t="s">
        <v>583</v>
      </c>
      <c r="BH19" s="470" t="s">
        <v>587</v>
      </c>
      <c r="BI19" s="470" t="s">
        <v>588</v>
      </c>
      <c r="BJ19" s="470" t="s">
        <v>589</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x14ac:dyDescent="0.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612</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258</v>
      </c>
      <c r="AF20" s="34">
        <f ca="1">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aca="1" ref="AP20" ca="1">_xlfn.IFS(AND(CFS_CFI[[#This Row],[Used]]=1,CFS_CFI[[#This Row],[Order]]=1),6,AND(CFS_CFI[[#This Row],[Used]]=1,CFS_CFI[[#This Row],[Order]]&gt;1),7,CFS_CFI[[#This Row],[Used]]=0,8)</f>
        <v>8</v>
      </c>
      <c r="AQ20" t="s">
        <v>613</v>
      </c>
      <c r="AR20" s="370">
        <f ca="1">IF(ABS(CFS_CFI[[#This Row],[AmtJournal]])&gt;0,1,0)</f>
        <v>0</v>
      </c>
      <c r="AS20" s="370">
        <f ca="1">CFS_CFI[[#This Row],[Used]]</f>
        <v>0</v>
      </c>
      <c r="AT20" s="351">
        <f ca="1">SUMIFS(Journal[Dr Amt],Journal[ref1],"SPPE",Journal[Debit Account],"Cash")</f>
        <v>0</v>
      </c>
      <c r="AU20" s="351">
        <f ca="1">SUMIFS(JournalAnswer[Dr Amt],JournalAnswer[ref1],"SPPE",JournalAnswer[Debit Account],"Cash")</f>
        <v>0</v>
      </c>
      <c r="AV20" s="351" cm="1">
        <f t="array" ref="AV20">IF(CFS_CFI[[#This Row],[Account]]&lt;&gt;"",_xlfn._xlws.FILTER(FSBuilder[Amount],(FSBuilder[Account or Explanation]=CFS_CFI[[#This Row],[Account]])*(FSBuilder[Statement]="Cash Flow Statement"),0),"")</f>
        <v>0</v>
      </c>
      <c r="AW20" s="370">
        <f ca="1">IF(CFS_CFI[[#This Row],[AmtJournal]]&lt;&gt;0,1,0)</f>
        <v>0</v>
      </c>
      <c r="AX20" s="370">
        <f ca="1">IF(CFS_CFI[[#This Row],[AmtAnswer]]&lt;&gt;0,1,0)</f>
        <v>0</v>
      </c>
      <c r="AY20" s="370">
        <f>IF(CFS_CFI[[#This Row],[AmtFSBuilder]]&lt;&gt;0,1,0)</f>
        <v>0</v>
      </c>
      <c r="AZ20"/>
      <c r="BA20" s="192">
        <f>IF(NI_CFO_Recon_Losses[[#This Row],[Used]]=1,7,8)</f>
        <v>8</v>
      </c>
      <c r="BB20" t="s">
        <v>614</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301</v>
      </c>
      <c r="BN20" s="370"/>
      <c r="BO20" s="370"/>
      <c r="BP20" s="367">
        <f>SUBTOTAL(9,BP10:BP19)</f>
        <v>80.850000000000009</v>
      </c>
      <c r="BQ20" s="367">
        <f>SUBTOTAL(9,BQ10:BQ19)</f>
        <v>80.850000000000009</v>
      </c>
      <c r="BR20" s="367">
        <f>SUBTOTAL(9,BR10:BR19)</f>
        <v>0</v>
      </c>
      <c r="BS20" s="392"/>
      <c r="BT20" s="392"/>
      <c r="BU20" s="392"/>
    </row>
    <row r="21" spans="2:73" x14ac:dyDescent="0.3">
      <c r="B21" s="192">
        <v>5</v>
      </c>
      <c r="C21" t="s">
        <v>301</v>
      </c>
      <c r="D21" s="370"/>
      <c r="E21" s="370"/>
      <c r="F21" s="367">
        <f>ROUND(SUBTOTAL(9,F11:F20),2)</f>
        <v>0</v>
      </c>
      <c r="G21" s="367"/>
      <c r="H21" s="192" cm="1">
        <f t="array" ref="H21">_xlfn.IFS(AND(IS_Expenses[[#This Row],[Used]]=1,IS_Expenses[[#This Row],[Order]]=1),6,AND(IS_Expenses[[#This Row],[Used]]=1,IS_Expenses[[#This Row],[Order]]&gt;1),7,IS_Expenses[[#This Row],[Used]]=0,8)</f>
        <v>8</v>
      </c>
      <c r="I21" t="s">
        <v>615</v>
      </c>
      <c r="J21" s="370">
        <f>IF(ISNUMBER(_xlfn.XLOOKUP(IS_Expenses[[#This Row],[Account]],MD_Expense[Account Name],MD_Expense[Used])),_xlfn.XLOOKUP(IS_Expenses[[#This Row],[Account]],MD_Expense[Account Name],MD_Expense[Used]),0)</f>
        <v>0</v>
      </c>
      <c r="K21" s="370">
        <f>IF(IS_Expenses[[#This Row],[Used]]=1,IS_Expenses[[#This Row],[Used]]+SUM(J19:J20),0)</f>
        <v>0</v>
      </c>
      <c r="L21" s="368">
        <f>ROUND(SUMIFS(Journal[Dr Amt],Journal[Debit Account],I21,Journal[ref1],"&lt;&gt;CL"),2)</f>
        <v>0</v>
      </c>
      <c r="M21" s="368">
        <f>ROUND(SUMIFS(JournalAnswer[Dr Amt],JournalAnswer[Debit Account],I21,JournalAnswer[ref1],"&lt;&gt;CL"),2)</f>
        <v>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IS_Expenses[[#This Row],[Used]]*(IS_Expenses[[#This Row],[AmtAnswer]]&lt;&gt;0)</f>
        <v>0</v>
      </c>
      <c r="Q21" s="370">
        <f>IS_Expenses[[#This Row],[Used]]*(IS_Expenses[[#This Row],[AmtFSBuilder]]&lt;&gt;0)*Financial_Statements_Builder!$K$122</f>
        <v>0</v>
      </c>
      <c r="S21" s="372">
        <v>3</v>
      </c>
      <c r="T21" s="372" t="s">
        <v>616</v>
      </c>
      <c r="W21" s="380">
        <f ca="1">ROUND(L54+SUM(OCI[AmtJournal]),2)</f>
        <v>-4.2</v>
      </c>
      <c r="X21" s="380">
        <f ca="1">ROUND(M54+SUM(OCI[AmtAnswer]),2)</f>
        <v>-4.2</v>
      </c>
      <c r="Y21" s="380" t="e">
        <f>ROUND(N54+SUM(OCI[AmtFSBuilder]),2)</f>
        <v>#VALUE!</v>
      </c>
      <c r="Z21" s="380"/>
      <c r="AA21" s="380"/>
      <c r="AB21" s="380"/>
      <c r="AF21" s="34"/>
      <c r="AG21" s="34"/>
      <c r="AH21" s="34"/>
      <c r="AP21" s="192" cm="1">
        <f t="array" aca="1" ref="AP21" ca="1">_xlfn.IFS(AND(CFS_CFI[[#This Row],[Used]]=1,CFS_CFI[[#This Row],[Order]]=1),6,AND(CFS_CFI[[#This Row],[Used]]=1,CFS_CFI[[#This Row],[Order]]&gt;1),7,CFS_CFI[[#This Row],[Used]]=0,8)</f>
        <v>8</v>
      </c>
      <c r="AQ21" t="s">
        <v>617</v>
      </c>
      <c r="AR21" s="370">
        <f ca="1">IF(ABS(CFS_CFI[[#This Row],[AmtJournal]])&gt;0,1,0)</f>
        <v>0</v>
      </c>
      <c r="AS21" s="370">
        <f ca="1">IF(CFS_CFI[[#This Row],[Used]]&gt;0,CFS_CFI[[#This Row],[Used]]+AR20,0)</f>
        <v>0</v>
      </c>
      <c r="AT21" s="366">
        <f ca="1">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 ca="1">IF(CFS_CFI[[#This Row],[AmtJournal]]&lt;&gt;0,1,0)</f>
        <v>0</v>
      </c>
      <c r="AX21" s="370">
        <f ca="1">IF(CFS_CFI[[#This Row],[AmtAnswer]]&lt;&gt;0,1,0)</f>
        <v>0</v>
      </c>
      <c r="AY21" s="370">
        <f>IF(CFS_CFI[[#This Row],[AmtFSBuilder]]&lt;&gt;0,1,0)</f>
        <v>0</v>
      </c>
      <c r="AZ21"/>
      <c r="BA21" s="192">
        <f>IF(NI_CFO_Recon_Losses[[#This Row],[Used]]=1,7,8)</f>
        <v>8</v>
      </c>
      <c r="BB21" t="s">
        <v>618</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x14ac:dyDescent="0.3">
      <c r="D22" s="367"/>
      <c r="E22" s="367"/>
      <c r="F22" s="367"/>
      <c r="G22" s="367"/>
      <c r="H22" s="192" cm="1">
        <f t="array" ref="H22">_xlfn.IFS(AND(IS_Expenses[[#This Row],[Used]]=1,IS_Expenses[[#This Row],[Order]]=1),6,AND(IS_Expenses[[#This Row],[Used]]=1,IS_Expenses[[#This Row],[Order]]&gt;1),7,IS_Expenses[[#This Row],[Used]]=0,8)</f>
        <v>7</v>
      </c>
      <c r="I22" t="s">
        <v>84</v>
      </c>
      <c r="J22" s="370">
        <f>IF(ISNUMBER(_xlfn.XLOOKUP(IS_Expenses[[#This Row],[Account]],MD_Expense[Account Name],MD_Expense[Used])),_xlfn.XLOOKUP(IS_Expenses[[#This Row],[Account]],MD_Expense[Account Name],MD_Expense[Used]),0)</f>
        <v>1</v>
      </c>
      <c r="K22" s="370">
        <f>IF(IS_Expenses[[#This Row],[Used]]=1,IS_Expenses[[#This Row],[Used]]+SUM(J19:J21),0)</f>
        <v>2</v>
      </c>
      <c r="L22" s="368">
        <f ca="1">ROUND(SUMIFS(Journal[Dr Amt],Journal[Debit Account],I22,Journal[ref1],"&lt;&gt;CL"),2)</f>
        <v>1.55</v>
      </c>
      <c r="M22" s="368">
        <f ca="1">ROUND(SUMIFS(JournalAnswer[Dr Amt],JournalAnswer[Debit Account],I22,JournalAnswer[ref1],"&lt;&gt;CL"),2)</f>
        <v>1.55</v>
      </c>
      <c r="N22" s="368" cm="1">
        <f t="array" ref="N22">ROUND(IF(IS_Expenses[[#This Row],[Account]]&lt;&gt;"",_xlfn._xlws.FILTER(FSBuilder[Amount],(FSBuilder[Account or Explanation]=IS_Expenses[[#This Row],[Account]])*(FSBuilder[Statement]="Income Statement"),0),0),2)</f>
        <v>0</v>
      </c>
      <c r="O22" s="370">
        <f ca="1">IS_Expenses[[#This Row],[Used]]*(IS_Expenses[[#This Row],[AmtJournal]]&lt;&gt;0)</f>
        <v>1</v>
      </c>
      <c r="P22" s="370">
        <f ca="1">IS_Expenses[[#This Row],[Used]]*(IS_Expenses[[#This Row],[AmtAnswer]]&lt;&gt;0)</f>
        <v>1</v>
      </c>
      <c r="Q22" s="370">
        <f>IS_Expenses[[#This Row],[Used]]*(IS_Expenses[[#This Row],[AmtFSBuilder]]&lt;&gt;0)*Financial_Statements_Builder!$K$122</f>
        <v>0</v>
      </c>
      <c r="T22" s="192" t="s">
        <v>279</v>
      </c>
      <c r="W22" s="491">
        <f ca="1">ROUND(L54,2)</f>
        <v>-4.2</v>
      </c>
      <c r="X22" s="491">
        <f t="shared" ref="X22:Y22" ca="1" si="3">ROUND(M54,2)</f>
        <v>-4.2</v>
      </c>
      <c r="Y22" s="491">
        <f t="shared" si="3"/>
        <v>0</v>
      </c>
      <c r="AP22" s="192" cm="1">
        <f t="array" aca="1" ref="AP22" ca="1">_xlfn.IFS(AND(CFS_CFI[[#This Row],[Used]]=1,CFS_CFI[[#This Row],[Order]]=1),6,AND(CFS_CFI[[#This Row],[Used]]=1,CFS_CFI[[#This Row],[Order]]&gt;1),7,CFS_CFI[[#This Row],[Used]]=0,8)</f>
        <v>8</v>
      </c>
      <c r="AQ22" t="s">
        <v>619</v>
      </c>
      <c r="AR22" s="370">
        <f ca="1">IF(ABS(CFS_CFI[[#This Row],[AmtJournal]])&gt;0,1,0)</f>
        <v>0</v>
      </c>
      <c r="AS22" s="370">
        <f ca="1">IF(CFS_CFI[[#This Row],[Used]]=1,CFS_CFI[[#This Row],[Used]]+SUM(AR20:AR21),0)</f>
        <v>0</v>
      </c>
      <c r="AT22" s="366">
        <f ca="1">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 ca="1">IF(CFS_CFI[[#This Row],[AmtJournal]]&lt;&gt;0,1,0)</f>
        <v>0</v>
      </c>
      <c r="AX22" s="370">
        <f ca="1">IF(CFS_CFI[[#This Row],[AmtAnswer]]&lt;&gt;0,1,0)</f>
        <v>0</v>
      </c>
      <c r="AY22" s="370">
        <f>IF(CFS_CFI[[#This Row],[AmtFSBuilder]]&lt;&gt;0,1,0)</f>
        <v>0</v>
      </c>
      <c r="AZ22"/>
      <c r="BA22" s="192">
        <f>IF(NI_CFO_Recon_Losses[[#This Row],[Used]]=1,7,8)</f>
        <v>8</v>
      </c>
      <c r="BB22" t="s">
        <v>620</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198</v>
      </c>
      <c r="BN22" s="367"/>
      <c r="BO22" s="367"/>
      <c r="BP22" s="367"/>
    </row>
    <row r="23" spans="2:73" x14ac:dyDescent="0.3">
      <c r="B23" s="5" t="s">
        <v>198</v>
      </c>
      <c r="D23" s="367"/>
      <c r="E23" s="367"/>
      <c r="F23" s="367"/>
      <c r="G23" s="369"/>
      <c r="H23" s="192" cm="1">
        <f t="array" ref="H23">_xlfn.IFS(AND(IS_Expenses[[#This Row],[Used]]=1,IS_Expenses[[#This Row],[Order]]=1),6,AND(IS_Expenses[[#This Row],[Used]]=1,IS_Expenses[[#This Row],[Order]]&gt;1),7,IS_Expenses[[#This Row],[Used]]=0,8)</f>
        <v>8</v>
      </c>
      <c r="I23" t="s">
        <v>621</v>
      </c>
      <c r="J23" s="370">
        <f>IF(ISNUMBER(_xlfn.XLOOKUP(IS_Expenses[[#This Row],[Account]],MD_Expense[Account Name],MD_Expense[Used])),_xlfn.XLOOKUP(IS_Expenses[[#This Row],[Account]],MD_Expense[Account Name],MD_Expense[Used]),0)</f>
        <v>0</v>
      </c>
      <c r="K23" s="370">
        <f>IF(IS_Expenses[[#This Row],[Used]]=1,IS_Expenses[[#This Row],[Used]]+SUM(J19:J22),0)</f>
        <v>0</v>
      </c>
      <c r="L23" s="368">
        <f>ROUND(SUMIFS(Journal[Dr Amt],Journal[Debit Account],I23,Journal[ref1],"&lt;&gt;CL"),2)</f>
        <v>0</v>
      </c>
      <c r="M23" s="368">
        <f>ROUND(SUMIFS(JournalAnswer[Dr Amt],JournalAnswer[Debit Account],I23,JournalAnswer[ref1],"&lt;&gt;CL"),2)</f>
        <v>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IS_Expenses[[#This Row],[Used]]*(IS_Expenses[[#This Row],[AmtAnswer]]&lt;&gt;0)</f>
        <v>0</v>
      </c>
      <c r="Q23" s="370">
        <f>IS_Expenses[[#This Row],[Used]]*(IS_Expenses[[#This Row],[AmtFSBuilder]]&lt;&gt;0)*Financial_Statements_Builder!$K$122</f>
        <v>0</v>
      </c>
      <c r="T23" s="372" t="s">
        <v>608</v>
      </c>
      <c r="U23" s="372"/>
      <c r="V23" s="372"/>
      <c r="W23" s="380">
        <f ca="1">ROUND(W21-W22,2)</f>
        <v>0</v>
      </c>
      <c r="X23" s="380">
        <f t="shared" ref="X23:Y23" ca="1" si="4">ROUND(X21-X22,2)</f>
        <v>0</v>
      </c>
      <c r="Y23" s="380" t="e">
        <f t="shared" si="4"/>
        <v>#VALUE!</v>
      </c>
      <c r="AE23" s="5" t="s">
        <v>622</v>
      </c>
      <c r="AP23" s="192" cm="1">
        <f t="array" aca="1" ref="AP23" ca="1">_xlfn.IFS(AND(CFS_CFI[[#This Row],[Used]]=1,CFS_CFI[[#This Row],[Order]]=1),6,AND(CFS_CFI[[#This Row],[Used]]=1,CFS_CFI[[#This Row],[Order]]&gt;1),7,CFS_CFI[[#This Row],[Used]]=0,8)</f>
        <v>8</v>
      </c>
      <c r="AQ23" t="s">
        <v>623</v>
      </c>
      <c r="AR23" s="370">
        <f ca="1">IF(ABS(CFS_CFI[[#This Row],[AmtJournal]])&gt;0,1,0)</f>
        <v>0</v>
      </c>
      <c r="AS23" s="370">
        <f ca="1">IF(CFS_CFI[[#This Row],[Used]]=1,CFS_CFI[[#This Row],[Used]]+SUM(AR20:AR22),0)</f>
        <v>0</v>
      </c>
      <c r="AT23" s="366">
        <f ca="1">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 ca="1">IF(CFS_CFI[[#This Row],[AmtJournal]]&lt;&gt;0,1,0)</f>
        <v>0</v>
      </c>
      <c r="AX23" s="370">
        <f ca="1">IF(CFS_CFI[[#This Row],[AmtAnswer]]&lt;&gt;0,1,0)</f>
        <v>0</v>
      </c>
      <c r="AY23" s="370">
        <f>IF(CFS_CFI[[#This Row],[AmtFSBuilder]]&lt;&gt;0,1,0)</f>
        <v>0</v>
      </c>
      <c r="AZ23"/>
      <c r="BA23" s="192">
        <f>IF(NI_CFO_Recon_Losses[[#This Row],[Used]]=1,7,8)</f>
        <v>8</v>
      </c>
      <c r="BB23" t="s">
        <v>624</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584</v>
      </c>
      <c r="BM23" s="379" t="s">
        <v>542</v>
      </c>
      <c r="BN23" s="379" t="s">
        <v>585</v>
      </c>
      <c r="BO23" s="466" t="s">
        <v>586</v>
      </c>
      <c r="BP23" s="379" t="s">
        <v>581</v>
      </c>
      <c r="BQ23" s="379" t="s">
        <v>582</v>
      </c>
      <c r="BR23" s="379" t="s">
        <v>583</v>
      </c>
      <c r="BS23" s="470" t="s">
        <v>587</v>
      </c>
      <c r="BT23" s="470" t="s">
        <v>588</v>
      </c>
      <c r="BU23" s="470" t="s">
        <v>589</v>
      </c>
    </row>
    <row r="24" spans="2:73" x14ac:dyDescent="0.3">
      <c r="B24" s="1" t="s">
        <v>584</v>
      </c>
      <c r="C24" s="1" t="s">
        <v>542</v>
      </c>
      <c r="D24" s="369" t="s">
        <v>585</v>
      </c>
      <c r="E24" s="369" t="s">
        <v>586</v>
      </c>
      <c r="F24" s="369" t="s">
        <v>433</v>
      </c>
      <c r="G24" s="370"/>
      <c r="H24" s="192" cm="1">
        <f t="array" ref="H24">_xlfn.IFS(AND(IS_Expenses[[#This Row],[Used]]=1,IS_Expenses[[#This Row],[Order]]=1),6,AND(IS_Expenses[[#This Row],[Used]]=1,IS_Expenses[[#This Row],[Order]]&gt;1),7,IS_Expenses[[#This Row],[Used]]=0,8)</f>
        <v>7</v>
      </c>
      <c r="I24" t="s">
        <v>81</v>
      </c>
      <c r="J24" s="370">
        <f>IF(ISNUMBER(_xlfn.XLOOKUP(IS_Expenses[[#This Row],[Account]],MD_Expense[Account Name],MD_Expense[Used])),_xlfn.XLOOKUP(IS_Expenses[[#This Row],[Account]],MD_Expense[Account Name],MD_Expense[Used]),0)</f>
        <v>1</v>
      </c>
      <c r="K24" s="370">
        <f>IF(IS_Expenses[[#This Row],[Used]]=1,IS_Expenses[[#This Row],[Used]]+SUM(J19:J24),0)</f>
        <v>4</v>
      </c>
      <c r="L24" s="368">
        <f ca="1">ROUND(SUMIFS(Journal[Dr Amt],Journal[Debit Account],I24,Journal[ref1],"&lt;&gt;CL"),2)</f>
        <v>7.5</v>
      </c>
      <c r="M24" s="368">
        <f ca="1">ROUND(SUMIFS(JournalAnswer[Dr Amt],JournalAnswer[Debit Account],I24,JournalAnswer[ref1],"&lt;&gt;CL"),2)</f>
        <v>7.5</v>
      </c>
      <c r="N24" s="368" cm="1">
        <f t="array" ref="N24">ROUND(IF(IS_Expenses[[#This Row],[Account]]&lt;&gt;"",_xlfn._xlws.FILTER(FSBuilder[Amount],(FSBuilder[Account or Explanation]=IS_Expenses[[#This Row],[Account]])*(FSBuilder[Statement]="Income Statement"),0),0),2)</f>
        <v>0</v>
      </c>
      <c r="O24" s="370">
        <f ca="1">IS_Expenses[[#This Row],[Used]]*(IS_Expenses[[#This Row],[AmtJournal]]&lt;&gt;0)</f>
        <v>1</v>
      </c>
      <c r="P24" s="370">
        <f ca="1">IS_Expenses[[#This Row],[Used]]*(IS_Expenses[[#This Row],[AmtAnswer]]&lt;&gt;0)</f>
        <v>1</v>
      </c>
      <c r="Q24" s="370">
        <f>IS_Expenses[[#This Row],[Used]]*(IS_Expenses[[#This Row],[AmtFSBuilder]]&lt;&gt;0)*Financial_Statements_Builder!$K$122</f>
        <v>0</v>
      </c>
      <c r="U24" s="478"/>
      <c r="AE24" t="s">
        <v>625</v>
      </c>
      <c r="AF24" t="b">
        <f>AND(D78=1,D81=1,D77=0,D79=0,D80=0,D82=0)</f>
        <v>1</v>
      </c>
      <c r="AP24" s="192" cm="1">
        <f t="array" aca="1" ref="AP24" ca="1">_xlfn.IFS(AND(CFS_CFI[[#This Row],[Used]]=1,CFS_CFI[[#This Row],[Order]]=1),6,AND(CFS_CFI[[#This Row],[Used]]=1,CFS_CFI[[#This Row],[Order]]&gt;1),7,CFS_CFI[[#This Row],[Used]]=0,8)</f>
        <v>8</v>
      </c>
      <c r="AQ24" t="s">
        <v>626</v>
      </c>
      <c r="AR24" s="370">
        <f ca="1">IF(ABS(CFS_CFI[[#This Row],[AmtJournal]])&gt;0,1,0)</f>
        <v>0</v>
      </c>
      <c r="AS24" s="370">
        <f ca="1">IF(CFS_CFI[[#This Row],[Used]]=1,CFS_CFI[[#This Row],[Used]]+SUM(AR20:AR23),0)</f>
        <v>0</v>
      </c>
      <c r="AT24" s="366">
        <f ca="1">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 ca="1">IF(CFS_CFI[[#This Row],[AmtJournal]]&lt;&gt;0,1,0)</f>
        <v>0</v>
      </c>
      <c r="AX24" s="370">
        <f ca="1">IF(CFS_CFI[[#This Row],[AmtAnswer]]&lt;&gt;0,1,0)</f>
        <v>0</v>
      </c>
      <c r="AY24" s="370">
        <f>IF(CFS_CFI[[#This Row],[AmtFSBuilder]]&lt;&gt;0,1,0)</f>
        <v>0</v>
      </c>
      <c r="AZ24"/>
      <c r="BA24" s="192">
        <f>IF(NI_CFO_Recon_Losses[[#This Row],[Used]]=1,7,8)</f>
        <v>8</v>
      </c>
      <c r="BB24" t="s">
        <v>627</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60</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60</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1</v>
      </c>
      <c r="BT24" s="392">
        <f>ENonCurrAssets[[#This Row],[Used]]*(ENonCurrAssets[[#This Row],[AmtAnswer]]&lt;&gt;0)</f>
        <v>1</v>
      </c>
      <c r="BU24" s="392">
        <f>ENonCurrAssets[[#This Row],[Used]]*(ENonCurrAssets[[#This Row],[AmtFSBuilder]]&lt;&gt;0)</f>
        <v>0</v>
      </c>
    </row>
    <row r="25" spans="2:73" x14ac:dyDescent="0.3">
      <c r="B25" s="192" cm="1">
        <f t="array" ref="B25">_xlfn.IFS(AND(BNonCurrAssets[[#This Row],[Used]]=1,BNonCurrAssets[[#This Row],[Order]]=1),6,AND(BNonCurrAssets[[#This Row],[Used]]=1,BNonCurrAssets[[#This Row],[Order]]&gt;1),7,BNonCurrAssets[[#This Row],[Used]]=0,8)</f>
        <v>6</v>
      </c>
      <c r="C25" t="s">
        <v>66</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0</v>
      </c>
      <c r="G25" s="370"/>
      <c r="H25" s="192" cm="1">
        <f t="array" ref="H25">_xlfn.IFS(AND(IS_Expenses[[#This Row],[Used]]=1,IS_Expenses[[#This Row],[Order]]=1),6,AND(IS_Expenses[[#This Row],[Used]]=1,IS_Expenses[[#This Row],[Order]]&gt;1),7,IS_Expenses[[#This Row],[Used]]=0,8)</f>
        <v>7</v>
      </c>
      <c r="I25" t="s">
        <v>83</v>
      </c>
      <c r="J25" s="370">
        <f>IF(ISNUMBER(_xlfn.XLOOKUP(IS_Expenses[[#This Row],[Account]],MD_Expense[Account Name],MD_Expense[Used])),_xlfn.XLOOKUP(IS_Expenses[[#This Row],[Account]],MD_Expense[Account Name],MD_Expense[Used]),0)</f>
        <v>1</v>
      </c>
      <c r="K25" s="370">
        <f>IF(IS_Expenses[[#This Row],[Used]]=1,IS_Expenses[[#This Row],[Used]]+SUM(J19:J25),0)</f>
        <v>5</v>
      </c>
      <c r="L25" s="368">
        <f ca="1">ROUND(SUMIFS(Journal[Dr Amt],Journal[Debit Account],I25,Journal[ref1],"&lt;&gt;CL"),2)</f>
        <v>3</v>
      </c>
      <c r="M25" s="368">
        <f ca="1">ROUND(SUMIFS(JournalAnswer[Dr Amt],JournalAnswer[Debit Account],I25,JournalAnswer[ref1],"&lt;&gt;CL"),2)</f>
        <v>3</v>
      </c>
      <c r="N25" s="368" cm="1">
        <f t="array" ref="N25">ROUND(IF(IS_Expenses[[#This Row],[Account]]&lt;&gt;"",_xlfn._xlws.FILTER(FSBuilder[Amount],(FSBuilder[Account or Explanation]=IS_Expenses[[#This Row],[Account]])*(FSBuilder[Statement]="Income Statement"),0),0),2)</f>
        <v>0</v>
      </c>
      <c r="O25" s="370">
        <f ca="1">IS_Expenses[[#This Row],[Used]]*(IS_Expenses[[#This Row],[AmtJournal]]&lt;&gt;0)</f>
        <v>1</v>
      </c>
      <c r="P25" s="370">
        <f ca="1">IS_Expenses[[#This Row],[Used]]*(IS_Expenses[[#This Row],[AmtAnswer]]&lt;&gt;0)</f>
        <v>1</v>
      </c>
      <c r="Q25" s="370">
        <f>IS_Expenses[[#This Row],[Used]]*(IS_Expenses[[#This Row],[AmtFSBuilder]]&lt;&gt;0)*Financial_Statements_Builder!$K$122</f>
        <v>0</v>
      </c>
      <c r="AE25" t="s">
        <v>628</v>
      </c>
      <c r="AF25" t="b">
        <f>AND(D78=1,D81=1,D77=0,D79=1,D80=0,D82=0)</f>
        <v>0</v>
      </c>
      <c r="AP25" s="192" cm="1">
        <f t="array" aca="1" ref="AP25" ca="1">_xlfn.IFS(AND(CFS_CFI[[#This Row],[Used]]=1,CFS_CFI[[#This Row],[Order]]=1),6,AND(CFS_CFI[[#This Row],[Used]]=1,CFS_CFI[[#This Row],[Order]]&gt;1),7,CFS_CFI[[#This Row],[Used]]=0,8)</f>
        <v>6</v>
      </c>
      <c r="AQ25" t="s">
        <v>115</v>
      </c>
      <c r="AR25" s="370">
        <f ca="1">IF(ABS(CFS_CFI[[#This Row],[AmtJournal]])&gt;0,1,0)</f>
        <v>1</v>
      </c>
      <c r="AS25" s="370">
        <f ca="1">IF(CFS_CFI[[#This Row],[Used]]=1,CFS_CFI[[#This Row],[Used]]+SUM(AR20:AR24),0)</f>
        <v>1</v>
      </c>
      <c r="AT25" s="366">
        <f ca="1">-SUMIFS(Journal[Cr Amt],Journal[ref1],"PMS",Journal[Credit Account],"Cash")</f>
        <v>-25</v>
      </c>
      <c r="AU25" s="366">
        <f ca="1">-SUMIFS(JournalAnswer[Cr Amt],JournalAnswer[ref1],"PMS",JournalAnswer[Credit Account],"Cash")</f>
        <v>-25</v>
      </c>
      <c r="AV25" s="366" cm="1">
        <f t="array" ref="AV25">IF(CFS_CFI[[#This Row],[Account]]&lt;&gt;"",_xlfn._xlws.FILTER(FSBuilder[Amount],(FSBuilder[Account or Explanation]=CFS_CFI[[#This Row],[Account]])*(FSBuilder[Statement]="Cash Flow Statement"),0),"")</f>
        <v>0</v>
      </c>
      <c r="AW25" s="370">
        <f ca="1">IF(CFS_CFI[[#This Row],[AmtJournal]]&lt;&gt;0,1,0)</f>
        <v>1</v>
      </c>
      <c r="AX25" s="370">
        <f ca="1">IF(CFS_CFI[[#This Row],[AmtAnswer]]&lt;&gt;0,1,0)</f>
        <v>1</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-7.5</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-7.5</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1</v>
      </c>
      <c r="BT25" s="392">
        <f>ENonCurrAssets[[#This Row],[Used]]*(ENonCurrAssets[[#This Row],[AmtAnswer]]&lt;&gt;0)</f>
        <v>1</v>
      </c>
      <c r="BU25" s="392">
        <f>ENonCurrAssets[[#This Row],[Used]]*(ENonCurrAssets[[#This Row],[AmtFSBuilder]]&lt;&gt;0)</f>
        <v>0</v>
      </c>
    </row>
    <row r="26" spans="2:73" x14ac:dyDescent="0.3">
      <c r="B26" s="192" cm="1">
        <f t="array" ref="B26">_xlfn.IFS(AND(BNonCurrAssets[[#This Row],[Used]]=1,BNonCurrAssets[[#This Row],[Order]]=1),6,AND(BNonCurrAssets[[#This Row],[Used]]=1,BNonCurrAssets[[#This Row],[Order]]&gt;1),7,BNonCurrAssets[[#This Row],[Used]]=0,8)</f>
        <v>7</v>
      </c>
      <c r="C26" t="s">
        <v>82</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0</v>
      </c>
      <c r="G26" s="370"/>
      <c r="H26" s="192" cm="1">
        <f t="array" ref="H26">_xlfn.IFS(AND(IS_Expenses[[#This Row],[Used]]=1,IS_Expenses[[#This Row],[Order]]=1),6,AND(IS_Expenses[[#This Row],[Used]]=1,IS_Expenses[[#This Row],[Order]]&gt;1),7,IS_Expenses[[#This Row],[Used]]=0,8)</f>
        <v>7</v>
      </c>
      <c r="I26" t="s">
        <v>78</v>
      </c>
      <c r="J26" s="370">
        <f>IF(ISNUMBER(_xlfn.XLOOKUP(IS_Expenses[[#This Row],[Account]],MD_Expense[Account Name],MD_Expense[Used])),_xlfn.XLOOKUP(IS_Expenses[[#This Row],[Account]],MD_Expense[Account Name],MD_Expense[Used]),0)</f>
        <v>1</v>
      </c>
      <c r="K26" s="370">
        <f>IF(IS_Expenses[[#This Row],[Used]]=1,IS_Expenses[[#This Row],[Used]]+SUM(J19:J26),0)</f>
        <v>6</v>
      </c>
      <c r="L26" s="368">
        <f ca="1">ROUND(SUMIFS(Journal[Dr Amt],Journal[Debit Account],I26,Journal[ref1],"&lt;&gt;CL"),2)</f>
        <v>0.15</v>
      </c>
      <c r="M26" s="368">
        <f ca="1">ROUND(SUMIFS(JournalAnswer[Dr Amt],JournalAnswer[Debit Account],I26,JournalAnswer[ref1],"&lt;&gt;CL"),2)</f>
        <v>0.15</v>
      </c>
      <c r="N26" s="368" cm="1">
        <f t="array" ref="N26">ROUND(IF(IS_Expenses[[#This Row],[Account]]&lt;&gt;"",_xlfn._xlws.FILTER(FSBuilder[Amount],(FSBuilder[Account or Explanation]=IS_Expenses[[#This Row],[Account]])*(FSBuilder[Statement]="Income Statement"),0),0),2)</f>
        <v>0</v>
      </c>
      <c r="O26" s="370">
        <f ca="1">IS_Expenses[[#This Row],[Used]]*(IS_Expenses[[#This Row],[AmtJournal]]&lt;&gt;0)</f>
        <v>1</v>
      </c>
      <c r="P26" s="370">
        <f ca="1">IS_Expenses[[#This Row],[Used]]*(IS_Expenses[[#This Row],[AmtAnswer]]&lt;&gt;0)</f>
        <v>1</v>
      </c>
      <c r="Q26" s="370">
        <f>IS_Expenses[[#This Row],[Used]]*(IS_Expenses[[#This Row],[AmtFSBuilder]]&lt;&gt;0)*Financial_Statements_Builder!$K$122</f>
        <v>0</v>
      </c>
      <c r="AE26" t="s">
        <v>629</v>
      </c>
      <c r="AF26" t="b">
        <f>AND(D78=1,D81=1,D77=1,D79=1,D80=0,D82=0)</f>
        <v>0</v>
      </c>
      <c r="AP26" s="192" cm="1">
        <f t="array" aca="1" ref="AP26" ca="1">_xlfn.IFS(AND(CFS_CFI[[#This Row],[Used]]=1,CFS_CFI[[#This Row],[Order]]=1),6,AND(CFS_CFI[[#This Row],[Used]]=1,CFS_CFI[[#This Row],[Order]]&gt;1),7,CFS_CFI[[#This Row],[Used]]=0,8)</f>
        <v>7</v>
      </c>
      <c r="AQ26" t="s">
        <v>121</v>
      </c>
      <c r="AR26" s="370">
        <f ca="1">IF(ABS(CFS_CFI[[#This Row],[AmtJournal]])&gt;0,1,0)</f>
        <v>1</v>
      </c>
      <c r="AS26" s="370">
        <f ca="1">IF(CFS_CFI[[#This Row],[Used]]=1,CFS_CFI[[#This Row],[Used]]+SUM(AR20:AR25),0)</f>
        <v>2</v>
      </c>
      <c r="AT26" s="366">
        <f ca="1">-SUMIFS(Journal[Cr Amt],Journal[ref1],"PPPE",Journal[Credit Account],"Cash")</f>
        <v>-60</v>
      </c>
      <c r="AU26" s="366">
        <f ca="1">-SUMIFS(JournalAnswer[Cr Amt],JournalAnswer[ref1],"PPPE",JournalAnswer[Credit Account],"Cash")</f>
        <v>-60</v>
      </c>
      <c r="AV26" s="366" cm="1">
        <f t="array" ref="AV26">IF(CFS_CFI[[#This Row],[Account]]&lt;&gt;"",_xlfn._xlws.FILTER(FSBuilder[Amount],(FSBuilder[Account or Explanation]=CFS_CFI[[#This Row],[Account]])*(FSBuilder[Statement]="Cash Flow Statement"),0),"")</f>
        <v>0</v>
      </c>
      <c r="AW26" s="370">
        <f ca="1">IF(CFS_CFI[[#This Row],[AmtJournal]]&lt;&gt;0,1,0)</f>
        <v>1</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x14ac:dyDescent="0.3">
      <c r="B27" s="192" cm="1">
        <f t="array" ref="B27">_xlfn.IFS(AND(BNonCurrAssets[[#This Row],[Used]]=1,BNonCurrAssets[[#This Row],[Order]]=1),6,AND(BNonCurrAssets[[#This Row],[Used]]=1,BNonCurrAssets[[#This Row],[Order]]&gt;1),7,BNonCurrAssets[[#This Row],[Used]]=0,8)</f>
        <v>8</v>
      </c>
      <c r="C27" t="s">
        <v>630</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7</v>
      </c>
      <c r="I27" t="s">
        <v>79</v>
      </c>
      <c r="J27" s="370">
        <f>IF(ISNUMBER(_xlfn.XLOOKUP(IS_Expenses[[#This Row],[Account]],MD_Expense[Account Name],MD_Expense[Used])),_xlfn.XLOOKUP(IS_Expenses[[#This Row],[Account]],MD_Expense[Account Name],MD_Expense[Used]),0)</f>
        <v>1</v>
      </c>
      <c r="K27" s="370">
        <f>IF(IS_Expenses[[#This Row],[Used]]=1,IS_Expenses[[#This Row],[Used]]+SUM(J19:J27),0)</f>
        <v>7</v>
      </c>
      <c r="L27" s="368">
        <f ca="1">ROUND(SUMIFS(Journal[Dr Amt],Journal[Debit Account],I27,Journal[ref1],"&lt;&gt;CL"),2)</f>
        <v>7</v>
      </c>
      <c r="M27" s="368">
        <f ca="1">ROUND(SUMIFS(JournalAnswer[Dr Amt],JournalAnswer[Debit Account],I27,JournalAnswer[ref1],"&lt;&gt;CL"),2)</f>
        <v>7</v>
      </c>
      <c r="N27" s="368" cm="1">
        <f t="array" ref="N27">ROUND(IF(IS_Expenses[[#This Row],[Account]]&lt;&gt;"",_xlfn._xlws.FILTER(FSBuilder[Amount],(FSBuilder[Account or Explanation]=IS_Expenses[[#This Row],[Account]])*(FSBuilder[Statement]="Income Statement"),0),0),2)</f>
        <v>0</v>
      </c>
      <c r="O27" s="370">
        <f ca="1">IS_Expenses[[#This Row],[Used]]*(IS_Expenses[[#This Row],[AmtJournal]]&lt;&gt;0)</f>
        <v>1</v>
      </c>
      <c r="P27" s="370">
        <f ca="1">IS_Expenses[[#This Row],[Used]]*(IS_Expenses[[#This Row],[AmtAnswer]]&lt;&gt;0)</f>
        <v>1</v>
      </c>
      <c r="Q27" s="370">
        <f>IS_Expenses[[#This Row],[Used]]*(IS_Expenses[[#This Row],[AmtFSBuilder]]&lt;&gt;0)*Financial_Statements_Builder!$K$122</f>
        <v>0</v>
      </c>
      <c r="AE27" t="s">
        <v>631</v>
      </c>
      <c r="AF27" t="b">
        <f>NOT(OR(AF24,AF25,AF26))</f>
        <v>0</v>
      </c>
      <c r="AP27" s="192" cm="1">
        <f t="array" aca="1" ref="AP27" ca="1">_xlfn.IFS(AND(CFS_CFI[[#This Row],[Used]]=1,CFS_CFI[[#This Row],[Order]]=1),6,AND(CFS_CFI[[#This Row],[Used]]=1,CFS_CFI[[#This Row],[Order]]&gt;1),7,CFS_CFI[[#This Row],[Used]]=0,8)</f>
        <v>8</v>
      </c>
      <c r="AQ27" t="s">
        <v>632</v>
      </c>
      <c r="AR27" s="370">
        <f ca="1">IF(ABS(CFS_CFI[[#This Row],[AmtJournal]])&gt;0,1,0)</f>
        <v>0</v>
      </c>
      <c r="AS27" s="370">
        <f ca="1">IF(CFS_CFI[[#This Row],[Used]]=1,CFS_CFI[[#This Row],[Used]]+SUM(AR20:AR26),0)</f>
        <v>0</v>
      </c>
      <c r="AT27" s="366">
        <f ca="1">-SUMIFS(Journal[Cr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 ca="1">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x14ac:dyDescent="0.3">
      <c r="B28" s="192" cm="1">
        <f t="array" ref="B28">_xlfn.IFS(AND(BNonCurrAssets[[#This Row],[Used]]=1,BNonCurrAssets[[#This Row],[Order]]=1),6,AND(BNonCurrAssets[[#This Row],[Used]]=1,BNonCurrAssets[[#This Row],[Order]]&gt;1),7,BNonCurrAssets[[#This Row],[Used]]=0,8)</f>
        <v>8</v>
      </c>
      <c r="C28" t="s">
        <v>633</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634</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635</v>
      </c>
      <c r="AF28" cm="1">
        <f t="array" ref="AF28">_xlfn.IFS(AF24,1,AF25,2,AF26,3,AF27,4)</f>
        <v>1</v>
      </c>
      <c r="AP28" s="192" cm="1">
        <f t="array" aca="1" ref="AP28" ca="1">_xlfn.IFS(AND(CFS_CFI[[#This Row],[Used]]=1,CFS_CFI[[#This Row],[Order]]=1),6,AND(CFS_CFI[[#This Row],[Used]]=1,CFS_CFI[[#This Row],[Order]]&gt;1),7,CFS_CFI[[#This Row],[Used]]=0,8)</f>
        <v>8</v>
      </c>
      <c r="AQ28" t="s">
        <v>636</v>
      </c>
      <c r="AR28" s="370">
        <f ca="1">IF(ABS(CFS_CFI[[#This Row],[AmtJournal]])&gt;0,1,0)</f>
        <v>0</v>
      </c>
      <c r="AS28" s="370">
        <f ca="1">IF(CFS_CFI[[#This Row],[Used]]=1,CFS_CFI[[#This Row],[Used]]+SUM(AR20:AR27),0)</f>
        <v>0</v>
      </c>
      <c r="AT28" s="366">
        <f ca="1">-SUMIFS(Journal[Cr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 ca="1">IF(CFS_CFI[[#This Row],[AmtJournal]]&lt;&gt;0,1,0)</f>
        <v>0</v>
      </c>
      <c r="AX28" s="370">
        <f ca="1">IF(CFS_CFI[[#This Row],[AmtAnswer]]&lt;&gt;0,1,0)</f>
        <v>0</v>
      </c>
      <c r="AY28" s="370">
        <f>IF(CFS_CFI[[#This Row],[AmtFSBuilder]]&lt;&gt;0,1,0)</f>
        <v>0</v>
      </c>
      <c r="AZ28"/>
      <c r="BA28" s="372" t="s">
        <v>396</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x14ac:dyDescent="0.3">
      <c r="B29" s="192" cm="1">
        <f t="array" ref="B29">_xlfn.IFS(AND(BNonCurrAssets[[#This Row],[Used]]=1,BNonCurrAssets[[#This Row],[Order]]=1),6,AND(BNonCurrAssets[[#This Row],[Used]]=1,BNonCurrAssets[[#This Row],[Order]]&gt;1),7,BNonCurrAssets[[#This Row],[Used]]=0,8)</f>
        <v>8</v>
      </c>
      <c r="C29" t="s">
        <v>637</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638</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aca="1" ref="AP29" ca="1">_xlfn.IFS(AND(CFS_CFI[[#This Row],[Used]]=1,CFS_CFI[[#This Row],[Order]]=1),6,AND(CFS_CFI[[#This Row],[Used]]=1,CFS_CFI[[#This Row],[Order]]&gt;1),7,CFS_CFI[[#This Row],[Used]]=0,8)</f>
        <v>8</v>
      </c>
      <c r="AQ29" t="s">
        <v>639</v>
      </c>
      <c r="AR29" s="370">
        <f ca="1">IF(ABS(CFS_CFI[[#This Row],[AmtJournal]])&gt;0,1,0)</f>
        <v>0</v>
      </c>
      <c r="AS29" s="370">
        <f ca="1">IF(CFS_CFI[[#This Row],[Used]]=1,CFS_CFI[[#This Row],[Used]]+SUM(AR20:AR28),0)</f>
        <v>0</v>
      </c>
      <c r="AT29" s="366">
        <f ca="1">-SUMIFS(Journal[Cr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 ca="1">IF(CFS_CFI[[#This Row],[AmtJournal]]&lt;&gt;0,1,0)</f>
        <v>0</v>
      </c>
      <c r="AX29" s="370">
        <f ca="1">IF(CFS_CFI[[#This Row],[AmtAnswer]]&lt;&gt;0,1,0)</f>
        <v>0</v>
      </c>
      <c r="AY29" s="370">
        <f>IF(CFS_CFI[[#This Row],[AmtFSBuilder]]&lt;&gt;0,1,0)</f>
        <v>0</v>
      </c>
      <c r="AZ29"/>
      <c r="BA29" s="379" t="s">
        <v>584</v>
      </c>
      <c r="BB29" s="379" t="s">
        <v>542</v>
      </c>
      <c r="BC29" s="379" t="s">
        <v>585</v>
      </c>
      <c r="BD29" s="466" t="s">
        <v>586</v>
      </c>
      <c r="BE29" s="379" t="s">
        <v>581</v>
      </c>
      <c r="BF29" s="379" t="s">
        <v>582</v>
      </c>
      <c r="BG29" s="379" t="s">
        <v>583</v>
      </c>
      <c r="BH29" s="470" t="s">
        <v>587</v>
      </c>
      <c r="BI29" s="470" t="s">
        <v>588</v>
      </c>
      <c r="BJ29" s="470" t="s">
        <v>589</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x14ac:dyDescent="0.3">
      <c r="B30" s="192" cm="1">
        <f t="array" ref="B30">_xlfn.IFS(AND(BNonCurrAssets[[#This Row],[Used]]=1,BNonCurrAssets[[#This Row],[Order]]=1),6,AND(BNonCurrAssets[[#This Row],[Used]]=1,BNonCurrAssets[[#This Row],[Order]]&gt;1),7,BNonCurrAssets[[#This Row],[Used]]=0,8)</f>
        <v>8</v>
      </c>
      <c r="C30" t="s">
        <v>640</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641</v>
      </c>
      <c r="AR30" s="370"/>
      <c r="AS30"/>
      <c r="AT30" s="351">
        <f ca="1">ROUND(SUBTOTAL(9,AT20:AT29),2)</f>
        <v>-85</v>
      </c>
      <c r="AU30" s="351">
        <f t="shared" ref="AU30:AV30" ca="1" si="6">ROUND(SUBTOTAL(9,AU20:AU29),2)</f>
        <v>-85</v>
      </c>
      <c r="AV30" s="351">
        <f t="shared" si="6"/>
        <v>0</v>
      </c>
      <c r="AW30" s="370"/>
      <c r="AX30" s="370"/>
      <c r="AY30" s="370"/>
      <c r="AZ30"/>
      <c r="BA30" s="192">
        <f ca="1">IF(NI_CFO_Recon_Other[[#This Row],[Used]]=1,7,8)</f>
        <v>7</v>
      </c>
      <c r="BB30" t="s">
        <v>642</v>
      </c>
      <c r="BC30" s="350">
        <f ca="1">IF(ABS(NI_CFO_Recon_Other[[#This Row],[AmtJournal]])&gt;0,1,0)</f>
        <v>1</v>
      </c>
      <c r="BD30" s="350">
        <f ca="1">NI_CFO_Recon_Other[[#This Row],[Used]]</f>
        <v>1</v>
      </c>
      <c r="BE30" s="350">
        <f ca="1">ROUND(SUMIFS(Journal[Cr Amt],Journal[Credit Account],"Accumulated Depreciation",Journal[ref1],"RecDeprExp")+SUMIFS(Journal[Cr Amt],Journal[Credit Account],"Accumulated Depreciation",Journal[ref1],"RecDeprAmortExp"),2)</f>
        <v>7.5</v>
      </c>
      <c r="BF30" s="473">
        <f ca="1">ROUND(SUMIFS(JournalAnswer[Cr Amt],JournalAnswer[Credit Account],"Accumulated Depreciation",JournalAnswer[ref1],"RecDeprExp")+SUMIFS(JournalAnswer[Cr Amt],JournalAnswer[Credit Account],"Accumulated Depreciation",JournalAnswer[ref1],"RecDeprAmortExp"),2)</f>
        <v>7.5</v>
      </c>
      <c r="BG30" s="473" cm="1">
        <f t="array" ref="BG30">ROUND(IF(NI_CFO_Recon_Other[[#This Row],[Account]]&lt;&gt;"",_xlfn._xlws.FILTER(FSBuilder[Amount],(FSBuilder[Account or Explanation]=NI_CFO_Recon_Other[[#This Row],[Account]])*(FSBuilder[Statement]=$BA$6),0),0),2)</f>
        <v>0</v>
      </c>
      <c r="BH30" s="492">
        <f ca="1">IF(ABS(NI_CFO_Recon_Other[[#This Row],[AmtJournal]])&gt;0,1,0)</f>
        <v>1</v>
      </c>
      <c r="BI30" s="492">
        <f ca="1">IF(ABS(NI_CFO_Recon_Other[[#This Row],[AmtAnswer]])&gt;0,1,0)</f>
        <v>1</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x14ac:dyDescent="0.3">
      <c r="B31" s="192" cm="1">
        <f t="array" ref="B31">_xlfn.IFS(AND(BNonCurrAssets[[#This Row],[Used]]=1,BNonCurrAssets[[#This Row],[Order]]=1),6,AND(BNonCurrAssets[[#This Row],[Used]]=1,BNonCurrAssets[[#This Row],[Order]]&gt;1),7,BNonCurrAssets[[#This Row],[Used]]=0,8)</f>
        <v>8</v>
      </c>
      <c r="C31" t="s">
        <v>643</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644</v>
      </c>
      <c r="BC31" s="350">
        <f>IF(ABS(NI_CFO_Recon_Other[[#This Row],[AmtJournal]])&gt;0,1,0)</f>
        <v>0</v>
      </c>
      <c r="BD31" s="350">
        <f ca="1">NI_CFO_Recon_Other[[#This Row],[Used]]+BC30</f>
        <v>1</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x14ac:dyDescent="0.3">
      <c r="B32" s="192" cm="1">
        <f t="array" ref="B32">_xlfn.IFS(AND(BNonCurrAssets[[#This Row],[Used]]=1,BNonCurrAssets[[#This Row],[Order]]=1),6,AND(BNonCurrAssets[[#This Row],[Used]]=1,BNonCurrAssets[[#This Row],[Order]]&gt;1),7,BNonCurrAssets[[#This Row],[Used]]=0,8)</f>
        <v>8</v>
      </c>
      <c r="C32" t="s">
        <v>645</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295</v>
      </c>
      <c r="J32" s="391"/>
      <c r="K32" s="391"/>
      <c r="L32" s="367">
        <f ca="1">ROUND(SUBTOTAL(9,L19:L31),2)</f>
        <v>44.2</v>
      </c>
      <c r="M32" s="367">
        <f ca="1">ROUND(SUBTOTAL(9,M19:M31),2)</f>
        <v>44.2</v>
      </c>
      <c r="N32" s="367">
        <f>ROUND(SUBTOTAL(9,N19:N31),2)</f>
        <v>0</v>
      </c>
      <c r="O32" s="370"/>
      <c r="P32" s="370"/>
      <c r="Q32" s="370"/>
      <c r="AP32" s="372" t="s">
        <v>646</v>
      </c>
      <c r="AQ32" s="181"/>
      <c r="AR32" s="351"/>
      <c r="AS32"/>
      <c r="AT32"/>
      <c r="AU32"/>
      <c r="AV32"/>
      <c r="AW32"/>
      <c r="AX32"/>
      <c r="AY32"/>
      <c r="AZ32"/>
      <c r="BA32" s="192">
        <f ca="1">IF(NI_CFO_Recon_Other[[#This Row],[Used]]=1,7,8)</f>
        <v>8</v>
      </c>
      <c r="BB32" t="s">
        <v>647</v>
      </c>
      <c r="BC32" s="350">
        <f ca="1">IF(ABS(NI_CFO_Recon_Other[[#This Row],[AmtJournal]])&gt;0,1,0)</f>
        <v>0</v>
      </c>
      <c r="BD32" s="350">
        <f ca="1">NI_CFO_Recon_Other[[#This Row],[Used]]+SUM(BC30:BC31)</f>
        <v>1</v>
      </c>
      <c r="BE32" s="388">
        <f ca="1">ROUND(SUMIFS(Journal[Cr Amt],Journal[Credit Account],"Common Stock",Journal[ref1],"SBC")+SUMIFS(Journal[Cr Amt],Journal[Credit Account],"Additional Paid-in Capital",Journal[ref1],"SBC"),2)</f>
        <v>0</v>
      </c>
      <c r="BF32" s="473">
        <f ca="1">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 ca="1">IF(ABS(NI_CFO_Recon_Other[[#This Row],[AmtJournal]])&gt;0,1,0)</f>
        <v>0</v>
      </c>
      <c r="BI32" s="492">
        <f ca="1">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x14ac:dyDescent="0.3">
      <c r="B33" s="192" cm="1">
        <f t="array" ref="B33">_xlfn.IFS(AND(BNonCurrAssets[[#This Row],[Used]]=1,BNonCurrAssets[[#This Row],[Order]]=1),6,AND(BNonCurrAssets[[#This Row],[Used]]=1,BNonCurrAssets[[#This Row],[Order]]&gt;1),7,BNonCurrAssets[[#This Row],[Used]]=0,8)</f>
        <v>8</v>
      </c>
      <c r="C33" t="s">
        <v>648</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584</v>
      </c>
      <c r="AQ33" s="379" t="s">
        <v>542</v>
      </c>
      <c r="AR33" s="379" t="s">
        <v>585</v>
      </c>
      <c r="AS33" s="466" t="s">
        <v>586</v>
      </c>
      <c r="AT33" s="379" t="s">
        <v>581</v>
      </c>
      <c r="AU33" s="379" t="s">
        <v>582</v>
      </c>
      <c r="AV33" s="379" t="s">
        <v>583</v>
      </c>
      <c r="AW33" s="379" t="s">
        <v>587</v>
      </c>
      <c r="AX33" s="379" t="s">
        <v>588</v>
      </c>
      <c r="AY33" s="379" t="s">
        <v>589</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x14ac:dyDescent="0.3">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aca="1" ref="AP34" ca="1">_xlfn.IFS(AND(CFS_CFF[[#This Row],[Used]]=1,CFS_CFF[[#This Row],[Order]]=1),6,AND(CFS_CFF[[#This Row],[Used]]=1,CFS_CFF[[#This Row],[Order]]&gt;1),7,CFS_CFF[[#This Row],[Used]]=0,8)</f>
        <v>6</v>
      </c>
      <c r="AQ34" t="s">
        <v>126</v>
      </c>
      <c r="AR34" s="383">
        <f ca="1">IF(ABS(CFS_CFF[[#This Row],[AmtJournal]])&gt;0,1,0)</f>
        <v>1</v>
      </c>
      <c r="AS34" s="383">
        <f ca="1">CFS_CFF[[#This Row],[Used]]</f>
        <v>1</v>
      </c>
      <c r="AT34" s="351">
        <f ca="1">SUMIFS(Journal[Dr Amt],Journal[ref1],"ICS",Journal[Debit Account],"Cash")</f>
        <v>100</v>
      </c>
      <c r="AU34" s="351">
        <f ca="1">SUMIFS(JournalAnswer[Dr Amt],JournalAnswer[ref1],"ICS",JournalAnswer[Debit Account],"Cash")</f>
        <v>100</v>
      </c>
      <c r="AV34" s="351" cm="1">
        <f t="array" ref="AV34">IF(CFS_CFF[[#This Row],[Account]]&lt;&gt;"",_xlfn._xlws.FILTER(FSBuilder[Amount],(FSBuilder[Account or Explanation]=CFS_CFF[[#This Row],[Account]])*(FSBuilder[Statement]="Cash Flow Statement"),0),"")</f>
        <v>0</v>
      </c>
      <c r="AW34" s="383">
        <f ca="1">IF(CFS_CFF[[#This Row],[AmtJournal]]&lt;&gt;0,1,0)</f>
        <v>1</v>
      </c>
      <c r="AX34" s="383">
        <f ca="1">IF(CFS_CFF[[#This Row],[AmtAnswer]]&lt;&gt;0,1,0)</f>
        <v>1</v>
      </c>
      <c r="AY34" s="383">
        <f>IF(CFS_CFF[[#This Row],[AmtFSBuilder]]&lt;&gt;0,1,0)</f>
        <v>0</v>
      </c>
      <c r="AZ34"/>
      <c r="BA34" s="192">
        <f>IF(NI_CFO_Recon_Other[[#This Row],[Used]]=1,7,8)</f>
        <v>8</v>
      </c>
      <c r="BC34" s="350"/>
      <c r="BD34" s="350"/>
      <c r="BE34" s="388"/>
      <c r="BF34" s="473"/>
      <c r="BG34" s="473"/>
      <c r="BH34" s="492"/>
      <c r="BI34" s="492"/>
      <c r="BJ34" s="492"/>
      <c r="BK34" s="350"/>
      <c r="BL34" s="192">
        <v>5</v>
      </c>
      <c r="BM34" t="s">
        <v>304</v>
      </c>
      <c r="BN34" s="370">
        <v>1</v>
      </c>
      <c r="BO34" s="370"/>
      <c r="BP34" s="367">
        <f>SUBTOTAL(9,BP24:BP33)</f>
        <v>52.5</v>
      </c>
      <c r="BQ34" s="367">
        <f t="shared" ref="BQ34:BR34" si="7">SUBTOTAL(9,BQ24:BQ33)</f>
        <v>52.5</v>
      </c>
      <c r="BR34" s="367">
        <f t="shared" si="7"/>
        <v>0</v>
      </c>
      <c r="BS34" s="392"/>
      <c r="BT34" s="392"/>
      <c r="BU34" s="392"/>
    </row>
    <row r="35" spans="2:73" x14ac:dyDescent="0.3">
      <c r="B35" s="192">
        <v>5</v>
      </c>
      <c r="C35" t="s">
        <v>304</v>
      </c>
      <c r="D35" s="370"/>
      <c r="E35" s="370"/>
      <c r="F35" s="367">
        <f>ROUND(SUBTOTAL(9,F25:F34),2)</f>
        <v>0</v>
      </c>
      <c r="G35" s="370"/>
      <c r="H35" s="379" t="s">
        <v>584</v>
      </c>
      <c r="I35" s="379" t="s">
        <v>542</v>
      </c>
      <c r="J35" s="379" t="s">
        <v>585</v>
      </c>
      <c r="K35" s="466" t="s">
        <v>586</v>
      </c>
      <c r="L35" s="379" t="s">
        <v>581</v>
      </c>
      <c r="M35" s="379" t="s">
        <v>582</v>
      </c>
      <c r="N35" s="379" t="s">
        <v>583</v>
      </c>
      <c r="O35" s="470" t="s">
        <v>587</v>
      </c>
      <c r="P35" s="470" t="s">
        <v>588</v>
      </c>
      <c r="Q35" s="470" t="s">
        <v>589</v>
      </c>
      <c r="AP35" s="192" cm="1">
        <f t="array" aca="1" ref="AP35" ca="1">_xlfn.IFS(AND(CFS_CFF[[#This Row],[Used]]=1,CFS_CFF[[#This Row],[Order]]=1),6,AND(CFS_CFF[[#This Row],[Used]]=1,CFS_CFF[[#This Row],[Order]]&gt;1),7,CFS_CFF[[#This Row],[Used]]=0,8)</f>
        <v>8</v>
      </c>
      <c r="AQ35" t="s">
        <v>591</v>
      </c>
      <c r="AR35" s="383">
        <f ca="1">IF(ABS(CFS_CFF[[#This Row],[AmtJournal]])&gt;0,1,0)</f>
        <v>0</v>
      </c>
      <c r="AS35" s="370">
        <f ca="1">IF(CFS_CFF[[#This Row],[Used]]&gt;0,CFS_CFF[[#This Row],[Used]]+AR34,0)</f>
        <v>0</v>
      </c>
      <c r="AT35" s="366">
        <f ca="1">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 ca="1">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269</v>
      </c>
      <c r="BN35" s="391"/>
      <c r="BO35" s="368"/>
      <c r="BP35" s="495">
        <f>BP20+BP34</f>
        <v>133.35000000000002</v>
      </c>
      <c r="BQ35" s="373">
        <f t="shared" ref="BQ35:BR35" si="8">BQ20+BQ34</f>
        <v>133.35000000000002</v>
      </c>
      <c r="BR35" s="373">
        <f t="shared" si="8"/>
        <v>0</v>
      </c>
      <c r="BS35" s="373"/>
      <c r="BT35" s="373"/>
      <c r="BU35" s="373"/>
    </row>
    <row r="36" spans="2:73" x14ac:dyDescent="0.3">
      <c r="B36" s="192">
        <v>3</v>
      </c>
      <c r="C36" s="5" t="s">
        <v>269</v>
      </c>
      <c r="D36" s="391"/>
      <c r="E36" s="368"/>
      <c r="F36" s="373">
        <f>ROUND(F21+F35,2)</f>
        <v>0</v>
      </c>
      <c r="G36" s="316"/>
      <c r="H36" s="192" cm="1">
        <f t="array" ref="H36">_xlfn.IFS(AND(IS_Gains[[#This Row],[Used]]=1,IS_Gains[[#This Row],[Order]]=1),6,AND(IS_Gains[[#This Row],[Used]]=1,IS_Gains[[#This Row],[Order]]&gt;1),7,IS_Gains[[#This Row],[Used]]=0,8)</f>
        <v>8</v>
      </c>
      <c r="I36" t="s">
        <v>594</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aca="1" ref="AP36" ca="1">_xlfn.IFS(AND(CFS_CFF[[#This Row],[Used]]=1,CFS_CFF[[#This Row],[Order]]=1),6,AND(CFS_CFF[[#This Row],[Used]]=1,CFS_CFF[[#This Row],[Order]]&gt;1),7,CFS_CFF[[#This Row],[Used]]=0,8)</f>
        <v>7</v>
      </c>
      <c r="AQ36" t="s">
        <v>128</v>
      </c>
      <c r="AR36" s="383">
        <f ca="1">IF(ABS(CFS_CFF[[#This Row],[AmtJournal]])&gt;0,1,0)</f>
        <v>1</v>
      </c>
      <c r="AS36" s="383">
        <f ca="1">IF(CFS_CFF[[#This Row],[Used]]=1,CFS_CFF[[#This Row],[Used]]+SUM(AR34:AR35),0)</f>
        <v>2</v>
      </c>
      <c r="AT36" s="366">
        <f ca="1">SUMIFS(Journal[Dr Amt],Journal[ref1],"IB",Journal[Debit Account],"Cash")</f>
        <v>20</v>
      </c>
      <c r="AU36" s="383">
        <f ca="1">SUMIFS(JournalAnswer[Dr Amt],JournalAnswer[ref1],"IB",JournalAnswer[Debit Account],"Cash")</f>
        <v>20</v>
      </c>
      <c r="AV36" s="366" cm="1">
        <f t="array" ref="AV36">IF(CFS_CFF[[#This Row],[Account]]&lt;&gt;"",_xlfn._xlws.FILTER(FSBuilder[Amount],(FSBuilder[Account or Explanation]=CFS_CFF[[#This Row],[Account]])*(FSBuilder[Statement]="Cash Flow Statement"),0),"")</f>
        <v>0</v>
      </c>
      <c r="AW36" s="383">
        <f ca="1">IF(CFS_CFF[[#This Row],[AmtJournal]]&lt;&gt;0,1,0)</f>
        <v>1</v>
      </c>
      <c r="AX36" s="383">
        <f ca="1">IF(CFS_CFF[[#This Row],[AmtAnswer]]&lt;&gt;0,1,0)</f>
        <v>1</v>
      </c>
      <c r="AY36" s="383">
        <f>IF(CFS_CFF[[#This Row],[AmtFSBuilder]]&lt;&gt;0,1,0)</f>
        <v>0</v>
      </c>
      <c r="AZ36"/>
      <c r="BA36" s="389" t="s">
        <v>649</v>
      </c>
      <c r="BK36" s="216"/>
      <c r="BN36" s="316"/>
      <c r="BO36" s="316"/>
      <c r="BP36" s="316"/>
    </row>
    <row r="37" spans="2:73" x14ac:dyDescent="0.3">
      <c r="D37" s="316"/>
      <c r="E37" s="316"/>
      <c r="F37" s="316"/>
      <c r="G37" s="316"/>
      <c r="H37" s="192" cm="1">
        <f t="array" ref="H37">_xlfn.IFS(AND(IS_Gains[[#This Row],[Used]]=1,IS_Gains[[#This Row],[Order]]=1),6,AND(IS_Gains[[#This Row],[Used]]=1,IS_Gains[[#This Row],[Order]]&gt;1),7,IS_Gains[[#This Row],[Used]]=0,8)</f>
        <v>8</v>
      </c>
      <c r="I37" t="s">
        <v>597</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aca="1" ref="AP37" ca="1">_xlfn.IFS(AND(CFS_CFF[[#This Row],[Used]]=1,CFS_CFF[[#This Row],[Order]]=1),6,AND(CFS_CFF[[#This Row],[Used]]=1,CFS_CFF[[#This Row],[Order]]&gt;1),7,CFS_CFF[[#This Row],[Used]]=0,8)</f>
        <v>8</v>
      </c>
      <c r="AQ37" t="s">
        <v>650</v>
      </c>
      <c r="AR37" s="383">
        <f ca="1">IF(ABS(CFS_CFF[[#This Row],[AmtJournal]])&gt;0,1,0)</f>
        <v>0</v>
      </c>
      <c r="AS37" s="383">
        <f ca="1">IF(CFS_CFF[[#This Row],[Used]]=1,CFS_CFF[[#This Row],[Used]]+SUM(AR34:AR36),0)</f>
        <v>0</v>
      </c>
      <c r="AT37" s="366">
        <f ca="1">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 ca="1">IF(CFS_CFF[[#This Row],[AmtJournal]]&lt;&gt;0,1,0)</f>
        <v>0</v>
      </c>
      <c r="AX37" s="383">
        <f ca="1">IF(CFS_CFF[[#This Row],[AmtAnswer]]&lt;&gt;0,1,0)</f>
        <v>0</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x14ac:dyDescent="0.3">
      <c r="B38" s="372" t="s">
        <v>38</v>
      </c>
      <c r="D38" s="316"/>
      <c r="E38" s="316"/>
      <c r="F38" s="316"/>
      <c r="G38" s="316"/>
      <c r="H38" s="192" cm="1">
        <f t="array" ref="H38">_xlfn.IFS(AND(IS_Gains[[#This Row],[Used]]=1,IS_Gains[[#This Row],[Order]]=1),6,AND(IS_Gains[[#This Row],[Used]]=1,IS_Gains[[#This Row],[Order]]&gt;1),7,IS_Gains[[#This Row],[Used]]=0,8)</f>
        <v>8</v>
      </c>
      <c r="I38" t="s">
        <v>601</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aca="1" ref="AP38" ca="1">_xlfn.IFS(AND(CFS_CFF[[#This Row],[Used]]=1,CFS_CFF[[#This Row],[Order]]=1),6,AND(CFS_CFF[[#This Row],[Used]]=1,CFS_CFF[[#This Row],[Order]]&gt;1),7,CFS_CFF[[#This Row],[Used]]=0,8)</f>
        <v>8</v>
      </c>
      <c r="AQ38" t="s">
        <v>651</v>
      </c>
      <c r="AR38" s="383">
        <f ca="1">IF(ABS(CFS_CFF[[#This Row],[AmtJournal]])&gt;0,1,0)</f>
        <v>0</v>
      </c>
      <c r="AS38" s="383">
        <f ca="1">IF(CFS_CFF[[#This Row],[Used]]=1,CFS_CFF[[#This Row],[Used]]+SUM(AR34:AR37),0)</f>
        <v>0</v>
      </c>
      <c r="AT38" s="366">
        <f ca="1">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 ca="1">IF(CFS_CFF[[#This Row],[AmtJournal]]&lt;&gt;0,1,0)</f>
        <v>0</v>
      </c>
      <c r="AX38" s="383">
        <f ca="1">IF(CFS_CFF[[#This Row],[AmtAnswer]]&lt;&gt;0,1,0)</f>
        <v>0</v>
      </c>
      <c r="AY38" s="383">
        <f>IF(CFS_CFF[[#This Row],[AmtFSBuilder]]&lt;&gt;0,1,0)</f>
        <v>0</v>
      </c>
      <c r="AZ38"/>
      <c r="BA38" s="379" t="s">
        <v>584</v>
      </c>
      <c r="BB38" s="379" t="s">
        <v>542</v>
      </c>
      <c r="BC38" s="379" t="s">
        <v>585</v>
      </c>
      <c r="BD38" s="466" t="s">
        <v>586</v>
      </c>
      <c r="BE38" s="379" t="s">
        <v>581</v>
      </c>
      <c r="BF38" s="379" t="s">
        <v>582</v>
      </c>
      <c r="BG38" s="379" t="s">
        <v>583</v>
      </c>
      <c r="BH38" s="470" t="s">
        <v>587</v>
      </c>
      <c r="BI38" s="470" t="s">
        <v>588</v>
      </c>
      <c r="BJ38" s="470" t="s">
        <v>589</v>
      </c>
      <c r="BK38" s="216"/>
      <c r="BL38" s="5" t="s">
        <v>203</v>
      </c>
      <c r="BN38" s="316"/>
      <c r="BO38" s="316"/>
      <c r="BP38" s="316"/>
    </row>
    <row r="39" spans="2:73" x14ac:dyDescent="0.3">
      <c r="B39" s="5" t="s">
        <v>203</v>
      </c>
      <c r="D39" s="316"/>
      <c r="E39" s="316"/>
      <c r="F39" s="316"/>
      <c r="G39" s="316"/>
      <c r="H39" s="192" cm="1">
        <f t="array" ref="H39">_xlfn.IFS(AND(IS_Gains[[#This Row],[Used]]=1,IS_Gains[[#This Row],[Order]]=1),6,AND(IS_Gains[[#This Row],[Used]]=1,IS_Gains[[#This Row],[Order]]&gt;1),7,IS_Gains[[#This Row],[Used]]=0,8)</f>
        <v>8</v>
      </c>
      <c r="I39" t="s">
        <v>603</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aca="1" ref="AP39" ca="1">_xlfn.IFS(AND(CFS_CFF[[#This Row],[Used]]=1,CFS_CFF[[#This Row],[Order]]=1),6,AND(CFS_CFF[[#This Row],[Used]]=1,CFS_CFF[[#This Row],[Order]]&gt;1),7,CFS_CFF[[#This Row],[Used]]=0,8)</f>
        <v>8</v>
      </c>
      <c r="AQ39" t="s">
        <v>652</v>
      </c>
      <c r="AR39" s="383">
        <f ca="1">IF(ABS(CFS_CFF[[#This Row],[AmtJournal]])&gt;0,1,0)</f>
        <v>0</v>
      </c>
      <c r="AS39" s="383">
        <f ca="1">IF(CFS_CFF[[#This Row],[Used]]=1,CFS_CFF[[#This Row],[Used]]+SUM(AR34:AR38),0)</f>
        <v>0</v>
      </c>
      <c r="AT39" s="366">
        <f ca="1">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 ca="1">IF(CFS_CFF[[#This Row],[AmtJournal]]&lt;&gt;0,1,0)</f>
        <v>0</v>
      </c>
      <c r="AX39" s="383">
        <f ca="1">IF(CFS_CFF[[#This Row],[AmtAnswer]]&lt;&gt;0,1,0)</f>
        <v>0</v>
      </c>
      <c r="AY39" s="383">
        <f>IF(CFS_CFF[[#This Row],[AmtFSBuilder]]&lt;&gt;0,1,0)</f>
        <v>0</v>
      </c>
      <c r="AZ39"/>
      <c r="BA39" s="192">
        <f ca="1">IF(NI_CFO_Recon_Assets[[#This Row],[Used]]=1,7,8)</f>
        <v>7</v>
      </c>
      <c r="BB39" t="s">
        <v>73</v>
      </c>
      <c r="BC39" s="370">
        <f ca="1">IF(ABS(NI_CFO_Recon_Assets[[#This Row],[AmtJournal]])&gt;0,1,0)</f>
        <v>1</v>
      </c>
      <c r="BD39" s="216">
        <f ca="1">NI_CFO_Recon_Assets[[#This Row],[Used]]</f>
        <v>1</v>
      </c>
      <c r="BE39" s="216">
        <f ca="1">ROUND(SUMIFS(Journal[Cr Amt],Journal[Credit Account],$BB39,Journal[ref3],"TRUE")-SUMIFS(Journal[Dr Amt],Journal[Debit Account],$BB39,Journal[ref3],"TRUE"),2)</f>
        <v>-9.8000000000000007</v>
      </c>
      <c r="BF39" s="216">
        <f ca="1">ROUND(SUMIFS(JournalAnswer[Cr Amt],JournalAnswer[Credit Account],BB39,JournalAnswer[ref3],"TRUE")-SUMIFS(JournalAnswer[Dr Amt],JournalAnswer[Debit Account],BB39,JournalAnswer[ref3],"TRUE"),2)</f>
        <v>-9.8000000000000007</v>
      </c>
      <c r="BG39" s="216" cm="1">
        <f t="array" ref="BG39">ROUND(IF(NI_CFO_Recon_Assets[[#This Row],[Account]]&lt;&gt;"",_xlfn._xlws.FILTER(FSBuilder[Amount],(FSBuilder[Account or Explanation]=NI_CFO_Recon_Assets[[#This Row],[Account]])*(FSBuilder[Statement]=$BA$6),0),0),2)</f>
        <v>0</v>
      </c>
      <c r="BH39" s="392">
        <f ca="1">IF(ABS(NI_CFO_Recon_Assets[[#This Row],[AmtJournal]])&gt;0,1,0)</f>
        <v>1</v>
      </c>
      <c r="BI39" s="392">
        <f ca="1">IF(ABS(NI_CFO_Recon_Assets[[#This Row],[AmtAnswer]])&gt;0,1,0)</f>
        <v>1</v>
      </c>
      <c r="BJ39" s="392">
        <f>IF(ABS(NI_CFO_Recon_Assets[[#This Row],[AmtFSBuilder]])&gt;0,1,0)</f>
        <v>0</v>
      </c>
      <c r="BK39" s="216"/>
      <c r="BL39" s="379" t="s">
        <v>584</v>
      </c>
      <c r="BM39" s="379" t="s">
        <v>542</v>
      </c>
      <c r="BN39" s="379" t="s">
        <v>585</v>
      </c>
      <c r="BO39" s="466" t="s">
        <v>586</v>
      </c>
      <c r="BP39" s="379" t="s">
        <v>581</v>
      </c>
      <c r="BQ39" s="379" t="s">
        <v>582</v>
      </c>
      <c r="BR39" s="379" t="s">
        <v>583</v>
      </c>
      <c r="BS39" s="470" t="s">
        <v>587</v>
      </c>
      <c r="BT39" s="470" t="s">
        <v>588</v>
      </c>
      <c r="BU39" s="470" t="s">
        <v>589</v>
      </c>
    </row>
    <row r="40" spans="2:73" x14ac:dyDescent="0.3">
      <c r="B40" s="1" t="s">
        <v>584</v>
      </c>
      <c r="C40" s="1" t="s">
        <v>542</v>
      </c>
      <c r="D40" s="369" t="s">
        <v>585</v>
      </c>
      <c r="E40" s="369" t="s">
        <v>586</v>
      </c>
      <c r="F40" s="369" t="s">
        <v>433</v>
      </c>
      <c r="G40" s="316"/>
      <c r="H40" s="192" cm="1">
        <f t="array" ref="H40">_xlfn.IFS(AND(IS_Gains[[#This Row],[Used]]=1,IS_Gains[[#This Row],[Order]]=1),6,AND(IS_Gains[[#This Row],[Used]]=1,IS_Gains[[#This Row],[Order]]&gt;1),7,IS_Gains[[#This Row],[Used]]=0,8)</f>
        <v>8</v>
      </c>
      <c r="I40" t="s">
        <v>606</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aca="1" ref="AP40" ca="1">_xlfn.IFS(AND(CFS_CFF[[#This Row],[Used]]=1,CFS_CFF[[#This Row],[Order]]=1),6,AND(CFS_CFF[[#This Row],[Used]]=1,CFS_CFF[[#This Row],[Order]]&gt;1),7,CFS_CFF[[#This Row],[Used]]=0,8)</f>
        <v>8</v>
      </c>
      <c r="AQ40" t="s">
        <v>653</v>
      </c>
      <c r="AR40" s="383">
        <f ca="1">IF(ABS(CFS_CFF[[#This Row],[AmtJournal]])&gt;0,1,0)</f>
        <v>0</v>
      </c>
      <c r="AS40" s="383">
        <f ca="1">IF(CFS_CFF[[#This Row],[Used]]=1,CFS_CFF[[#This Row],[Used]]+SUM(AR34:AR39),0)</f>
        <v>0</v>
      </c>
      <c r="AT40" s="366">
        <f ca="1">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 ca="1">IF(CFS_CFF[[#This Row],[AmtJournal]]&lt;&gt;0,1,0)</f>
        <v>0</v>
      </c>
      <c r="AX40" s="383">
        <f ca="1">IF(CFS_CFF[[#This Row],[AmtAnswer]]&lt;&gt;0,1,0)</f>
        <v>0</v>
      </c>
      <c r="AY40" s="383">
        <f>IF(CFS_CFF[[#This Row],[AmtFSBuilder]]&lt;&gt;0,1,0)</f>
        <v>0</v>
      </c>
      <c r="AZ40"/>
      <c r="BA40" s="192">
        <f>IF(NI_CFO_Recon_Assets[[#This Row],[Used]]=1,7,8)</f>
        <v>8</v>
      </c>
      <c r="BB40" t="s">
        <v>598</v>
      </c>
      <c r="BC40" s="370">
        <f>IF(ABS(NI_CFO_Recon_Assets[[#This Row],[AmtJournal]])&gt;0,1,0)</f>
        <v>0</v>
      </c>
      <c r="BD40" s="216">
        <f ca="1">NI_CFO_Recon_Assets[[#This Row],[Used]]+BC39</f>
        <v>1</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tr">
        <f>C41</f>
        <v>Accounts Payable</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15</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15</v>
      </c>
      <c r="BR40" s="367" cm="1">
        <f t="array" ref="BR40">IF(ECurrLiabs[[#This Row],[Account]]&lt;&gt;"",_xlfn._xlws.FILTER(FSBuilder[Amount],(FSBuilder[Account or Explanation]=ECurrLiabs[[#This Row],[Account]])*(FSBuilder[Statement]="Ending Balance Sheet"),0),0)</f>
        <v>0</v>
      </c>
      <c r="BS40" s="392">
        <f>ECurrLiabs[[#This Row],[Used]]*(ECurrLiabs[[#This Row],[AmtJournal]]&lt;&gt;0)</f>
        <v>1</v>
      </c>
      <c r="BT40" s="392">
        <f>ECurrLiabs[[#This Row],[Used]]*(ECurrLiabs[[#This Row],[AmtAnswer]]&lt;&gt;0)</f>
        <v>1</v>
      </c>
      <c r="BU40" s="392">
        <f>ECurrLiabs[[#This Row],[Used]]*(ECurrLiabs[[#This Row],[AmtFSBuilder]]&lt;&gt;0)</f>
        <v>0</v>
      </c>
    </row>
    <row r="41" spans="2:73" x14ac:dyDescent="0.3">
      <c r="B41" s="192" cm="1">
        <f t="array" ref="B41">_xlfn.IFS(AND(BCurrLiabs[[#This Row],[Used]]=1,BCurrLiabs[[#This Row],[Order]]=1),6,AND(BCurrLiabs[[#This Row],[Used]]=1,BCurrLiabs[[#This Row],[Order]]&gt;1),7,BCurrLiabs[[#This Row],[Used]]=0,8)</f>
        <v>6</v>
      </c>
      <c r="C41" t="s">
        <v>70</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aca="1" ref="AP41" ca="1">_xlfn.IFS(AND(CFS_CFF[[#This Row],[Used]]=1,CFS_CFF[[#This Row],[Order]]=1),6,AND(CFS_CFF[[#This Row],[Used]]=1,CFS_CFF[[#This Row],[Order]]&gt;1),7,CFS_CFF[[#This Row],[Used]]=0,8)</f>
        <v>8</v>
      </c>
      <c r="AQ41" t="s">
        <v>604</v>
      </c>
      <c r="AR41" s="383">
        <f ca="1">IF(ABS(CFS_CFF[[#This Row],[AmtJournal]])&gt;0,1,0)</f>
        <v>0</v>
      </c>
      <c r="AS41" s="383">
        <f ca="1">IF(CFS_CFF[[#This Row],[Used]]=1,CFS_CFF[[#This Row],[Used]]+SUM(AR34:AR40),0)</f>
        <v>0</v>
      </c>
      <c r="AT41" s="366">
        <f ca="1">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 ca="1">IF(CFS_CFF[[#This Row],[AmtJournal]]&lt;&gt;0,1,0)</f>
        <v>0</v>
      </c>
      <c r="AX41" s="383">
        <f ca="1">IF(CFS_CFF[[#This Row],[AmtAnswer]]&lt;&gt;0,1,0)</f>
        <v>0</v>
      </c>
      <c r="AY41" s="383">
        <f>IF(CFS_CFF[[#This Row],[AmtFSBuilder]]&lt;&gt;0,1,0)</f>
        <v>0</v>
      </c>
      <c r="AZ41"/>
      <c r="BA41" s="192">
        <f ca="1">IF(NI_CFO_Recon_Assets[[#This Row],[Used]]=1,7,8)</f>
        <v>7</v>
      </c>
      <c r="BB41" t="s">
        <v>68</v>
      </c>
      <c r="BC41" s="370">
        <f ca="1">IF(ABS(NI_CFO_Recon_Assets[[#This Row],[AmtJournal]])&gt;0,1,0)</f>
        <v>1</v>
      </c>
      <c r="BD41" s="216">
        <f ca="1">NI_CFO_Recon_Assets[[#This Row],[Used]]+SUM(BC39:BC40)</f>
        <v>2</v>
      </c>
      <c r="BE41" s="216">
        <f ca="1">ROUND(SUMIFS(Journal[Cr Amt],Journal[Credit Account],$BB41,Journal[ref3],"TRUE")-SUMIFS(Journal[Dr Amt],Journal[Debit Account],$BB41,Journal[ref3],"TRUE"),2)</f>
        <v>-5</v>
      </c>
      <c r="BF41" s="216">
        <f ca="1">ROUND(SUMIFS(JournalAnswer[Cr Amt],JournalAnswer[Credit Account],BB41,JournalAnswer[ref3],"TRUE")-SUMIFS(JournalAnswer[Dr Amt],JournalAnswer[Debit Account],BB41,JournalAnswer[ref3],"TRUE"),2)</f>
        <v>-5</v>
      </c>
      <c r="BG41" s="216" cm="1">
        <f t="array" ref="BG41">ROUND(IF(NI_CFO_Recon_Assets[[#This Row],[Account]]&lt;&gt;"",_xlfn._xlws.FILTER(FSBuilder[Amount],(FSBuilder[Account or Explanation]=NI_CFO_Recon_Assets[[#This Row],[Account]])*(FSBuilder[Statement]=$BA$6),0),0),2)</f>
        <v>0</v>
      </c>
      <c r="BH41" s="392">
        <f ca="1">IF(ABS(NI_CFO_Recon_Assets[[#This Row],[AmtJournal]])&gt;0,1,0)</f>
        <v>1</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1</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x14ac:dyDescent="0.3">
      <c r="B42" s="192" cm="1">
        <f t="array" ref="B42">_xlfn.IFS(AND(BCurrLiabs[[#This Row],[Used]]=1,BCurrLiabs[[#This Row],[Order]]=1),6,AND(BCurrLiabs[[#This Row],[Used]]=1,BCurrLiabs[[#This Row],[Order]]&gt;1),7,BCurrLiabs[[#This Row],[Used]]=0,8)</f>
        <v>8</v>
      </c>
      <c r="C42" t="s">
        <v>654</v>
      </c>
      <c r="D42" s="370">
        <f>IF(ISNUMBER(_xlfn.XLOOKUP(BCurrLiabs[[#This Row],[Account]],MD_Liability[Account Name],MD_Liability[Used])),_xlfn.XLOOKUP(BCurrLiabs[[#This Row],[Account]],MD_Liability[Account Name],MD_Liability[Used]),0)</f>
        <v>0</v>
      </c>
      <c r="E42" s="370">
        <f>BCurrLiabs[[#This Row],[Used]]+D41</f>
        <v>1</v>
      </c>
      <c r="F42" s="368">
        <f>ROUND(_xlfn.IFNA(_xlfn.XLOOKUP(C42,BegBalanceSheet_Liabilities[Account],BegBalanceSheet_Liabilities[Amount]),0),2)</f>
        <v>0</v>
      </c>
      <c r="G42" s="316"/>
      <c r="H42" s="192">
        <v>5</v>
      </c>
      <c r="I42" s="5" t="s">
        <v>297</v>
      </c>
      <c r="J42" s="391">
        <f>MAX(IS_Gains[Used])</f>
        <v>0</v>
      </c>
      <c r="K42" s="391"/>
      <c r="L42" s="370">
        <f>ROUND(SUBTOTAL(9,L36:L41),2)</f>
        <v>0</v>
      </c>
      <c r="M42" s="370">
        <f t="shared" ref="M42:N42" si="10">ROUND(SUBTOTAL(9,M36:M41),2)</f>
        <v>0</v>
      </c>
      <c r="N42" s="370">
        <f t="shared" si="10"/>
        <v>0</v>
      </c>
      <c r="O42" s="370"/>
      <c r="P42" s="370"/>
      <c r="Q42" s="370"/>
      <c r="AP42" s="192" cm="1">
        <f t="array" aca="1" ref="AP42" ca="1">_xlfn.IFS(AND(CFS_CFF[[#This Row],[Used]]=1,CFS_CFF[[#This Row],[Order]]=1),6,AND(CFS_CFF[[#This Row],[Used]]=1,CFS_CFF[[#This Row],[Order]]&gt;1),7,CFS_CFF[[#This Row],[Used]]=0,8)</f>
        <v>8</v>
      </c>
      <c r="AQ42" t="s">
        <v>655</v>
      </c>
      <c r="AR42" s="383">
        <f ca="1">IF(ABS(CFS_CFF[[#This Row],[AmtJournal]])&gt;0,1,0)</f>
        <v>0</v>
      </c>
      <c r="AS42" s="383">
        <f ca="1">IF(CFS_CFF[[#This Row],[Used]]=1,CFS_CFF[[#This Row],[Used]]+SUM(AR34:AR41),0)</f>
        <v>0</v>
      </c>
      <c r="AT42" s="366">
        <f ca="1">-SUMIFS(Journal[Cr Amt],Journal[ref1],"PD",Journal[Credit Account],"Cash")</f>
        <v>0</v>
      </c>
      <c r="AU42" s="383">
        <f ca="1">-SUMIFS(JournalAnswer[Cr Amt],JournalAnswer[ref1],"PD",JournalAnswer[Credit Account],"Cash")</f>
        <v>0</v>
      </c>
      <c r="AV42" s="366" cm="1">
        <f t="array" ref="AV42">IF(CFS_CFF[[#This Row],[Account]]&lt;&gt;"",_xlfn._xlws.FILTER(FSBuilder[Amount],(FSBuilder[Account or Explanation]=CFS_CFF[[#This Row],[Account]])*(FSBuilder[Statement]="Cash Flow Statement"),0),"")</f>
        <v>0</v>
      </c>
      <c r="AW42" s="383">
        <f ca="1">IF(CFS_CFF[[#This Row],[AmtJournal]]&lt;&gt;0,1,0)</f>
        <v>0</v>
      </c>
      <c r="AX42" s="383">
        <f ca="1">IF(CFS_CFF[[#This Row],[AmtAnswer]]&lt;&gt;0,1,0)</f>
        <v>0</v>
      </c>
      <c r="AY42" s="383">
        <f>IF(CFS_CFF[[#This Row],[AmtFSBuilder]]&lt;&gt;0,1,0)</f>
        <v>0</v>
      </c>
      <c r="AZ42"/>
      <c r="BA42" s="192">
        <f>IF(NI_CFO_Recon_Assets[[#This Row],[Used]]=1,7,8)</f>
        <v>8</v>
      </c>
      <c r="BB42" t="s">
        <v>607</v>
      </c>
      <c r="BC42" s="370">
        <f>IF(ABS(NI_CFO_Recon_Assets[[#This Row],[AmtJournal]])&gt;0,1,0)</f>
        <v>0</v>
      </c>
      <c r="BD42" s="216">
        <f ca="1">NI_CFO_Recon_Assets[[#This Row],[Used]]+SUM(BC39:BC41)</f>
        <v>2</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7</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2</v>
      </c>
      <c r="BP42" s="368">
        <f>_xlfn.IFNA((_xlfn.XLOOKUP(ECurrLiabs[[#This Row],[Account]],BegBalanceSheet_Liabilities[Account],BegBalanceSheet_Liabilities[Amount]))-SUMIF(Journal[Debit Account],ECurrLiabs[[#This Row],[Account]],Journal[Dr Amt])+SUMIF(Journal[Credit Account],ECurrLiabs[[#This Row],[Account]],Journal[Cr Amt]),0)</f>
        <v>1.55</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1.55</v>
      </c>
      <c r="BR42" s="368" cm="1">
        <f t="array" ref="BR42">IF(ECurrLiabs[[#This Row],[Account]]&lt;&gt;"",_xlfn._xlws.FILTER(FSBuilder[Amount],(FSBuilder[Account or Explanation]=ECurrLiabs[[#This Row],[Account]])*(FSBuilder[Statement]="Ending Balance Sheet"),0),0)</f>
        <v>0</v>
      </c>
      <c r="BS42" s="392">
        <f>ECurrLiabs[[#This Row],[Used]]*(ECurrLiabs[[#This Row],[AmtJournal]]&lt;&gt;0)</f>
        <v>1</v>
      </c>
      <c r="BT42" s="392">
        <f>ECurrLiabs[[#This Row],[Used]]*(ECurrLiabs[[#This Row],[AmtAnswer]]&lt;&gt;0)</f>
        <v>1</v>
      </c>
      <c r="BU42" s="392">
        <f>ECurrLiabs[[#This Row],[Used]]*(ECurrLiabs[[#This Row],[AmtFSBuilder]]&lt;&gt;0)</f>
        <v>0</v>
      </c>
    </row>
    <row r="43" spans="2:73" x14ac:dyDescent="0.3">
      <c r="B43" s="192" cm="1">
        <f t="array" ref="B43">_xlfn.IFS(AND(BCurrLiabs[[#This Row],[Used]]=1,BCurrLiabs[[#This Row],[Order]]=1),6,AND(BCurrLiabs[[#This Row],[Used]]=1,BCurrLiabs[[#This Row],[Order]]&gt;1),7,BCurrLiabs[[#This Row],[Used]]=0,8)</f>
        <v>7</v>
      </c>
      <c r="C43" t="s">
        <v>85</v>
      </c>
      <c r="D43" s="370">
        <f>IF(ISNUMBER(_xlfn.XLOOKUP(BCurrLiabs[[#This Row],[Account]],MD_Liability[Account Name],MD_Liability[Used])),_xlfn.XLOOKUP(BCurrLiabs[[#This Row],[Account]],MD_Liability[Account Name],MD_Liability[Used]),0)</f>
        <v>1</v>
      </c>
      <c r="E43" s="370">
        <f>IF(BCurrLiabs[[#This Row],[Used]]=1,BCurrLiabs[[#This Row],[Used]]+SUM(D41:D42),0)</f>
        <v>2</v>
      </c>
      <c r="F43" s="368">
        <f>ROUND(_xlfn.IFNA(_xlfn.XLOOKUP(C43,BegBalanceSheet_Liabilities[Account],BegBalanceSheet_Liabilities[Amount]),0),2)</f>
        <v>0</v>
      </c>
      <c r="G43" s="316"/>
      <c r="J43" s="316"/>
      <c r="K43" s="316"/>
      <c r="L43" s="316"/>
      <c r="M43" s="316"/>
      <c r="N43" s="316"/>
      <c r="O43" s="316"/>
      <c r="P43" s="316"/>
      <c r="Q43" s="316"/>
      <c r="AP43" s="192" cm="1">
        <f t="array" aca="1" ref="AP43" ca="1">_xlfn.IFS(AND(CFS_CFF[[#This Row],[Used]]=1,CFS_CFF[[#This Row],[Order]]=1),6,AND(CFS_CFF[[#This Row],[Used]]=1,CFS_CFF[[#This Row],[Order]]&gt;1),7,CFS_CFF[[#This Row],[Used]]=0,8)</f>
        <v>8</v>
      </c>
      <c r="AQ43" t="s">
        <v>656</v>
      </c>
      <c r="AR43" s="383">
        <f ca="1">IF(ABS(CFS_CFF[[#This Row],[AmtJournal]])&gt;0,1,0)</f>
        <v>0</v>
      </c>
      <c r="AS43" s="383">
        <f ca="1">IF(CFS_CFF[[#This Row],[Used]]=1,CFS_CFF[[#This Row],[Used]]+SUM(AR34:AR42),0)</f>
        <v>0</v>
      </c>
      <c r="AT43" s="366">
        <f ca="1">-SUMIFS(Journal[Cr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 ca="1">IF(CFS_CFF[[#This Row],[AmtJournal]]&lt;&gt;0,1,0)</f>
        <v>0</v>
      </c>
      <c r="AX43" s="383">
        <f ca="1">IF(CFS_CFF[[#This Row],[AmtAnswer]]&lt;&gt;0,1,0)</f>
        <v>0</v>
      </c>
      <c r="AY43" s="383">
        <f>IF(CFS_CFF[[#This Row],[AmtFSBuilder]]&lt;&gt;0,1,0)</f>
        <v>0</v>
      </c>
      <c r="AZ43"/>
      <c r="BA43" s="192">
        <f ca="1">IF(NI_CFO_Recon_Assets[[#This Row],[Used]]=1,7,8)</f>
        <v>7</v>
      </c>
      <c r="BB43" t="s">
        <v>67</v>
      </c>
      <c r="BC43" s="370">
        <f ca="1">IF(ABS(NI_CFO_Recon_Assets[[#This Row],[AmtJournal]])&gt;0,1,0)</f>
        <v>1</v>
      </c>
      <c r="BD43" s="216">
        <f ca="1">NI_CFO_Recon_Assets[[#This Row],[Used]]+SUM(BC39:BC42)</f>
        <v>3</v>
      </c>
      <c r="BE43" s="216">
        <f ca="1">ROUND(SUMIFS(Journal[Cr Amt],Journal[Credit Account],$BB43,Journal[ref3],"TRUE")-SUMIFS(Journal[Dr Amt],Journal[Debit Account],$BB43,Journal[ref3],"TRUE"),2)</f>
        <v>-1</v>
      </c>
      <c r="BF43" s="216">
        <f ca="1">ROUND(SUMIFS(JournalAnswer[Cr Amt],JournalAnswer[Credit Account],BB43,JournalAnswer[ref3],"TRUE")-SUMIFS(JournalAnswer[Dr Amt],JournalAnswer[Debit Account],BB43,JournalAnswer[ref3],"TRUE"),2)</f>
        <v>-1</v>
      </c>
      <c r="BG43" s="216" cm="1">
        <f t="array" ref="BG43">ROUND(IF(NI_CFO_Recon_Assets[[#This Row],[Account]]&lt;&gt;"",_xlfn._xlws.FILTER(FSBuilder[Amount],(FSBuilder[Account or Explanation]=NI_CFO_Recon_Assets[[#This Row],[Account]])*(FSBuilder[Statement]=$BA$6),0),0),2)</f>
        <v>0</v>
      </c>
      <c r="BH43" s="392">
        <f ca="1">IF(ABS(NI_CFO_Recon_Assets[[#This Row],[AmtJournal]])&gt;0,1,0)</f>
        <v>1</v>
      </c>
      <c r="BI43" s="392">
        <f ca="1">IF(ABS(NI_CFO_Recon_Assets[[#This Row],[AmtAnswer]])&gt;0,1,0)</f>
        <v>1</v>
      </c>
      <c r="BJ43" s="392">
        <f>IF(ABS(NI_CFO_Recon_Assets[[#This Row],[AmtFSBuilder]])&gt;0,1,0)</f>
        <v>0</v>
      </c>
      <c r="BK43" s="216"/>
      <c r="BL43" s="192" cm="1">
        <f t="array" ref="BL43">_xlfn.IFS(AND(ECurrLiabs[[#This Row],[Used]]=1,ECurrLiabs[[#This Row],[Order]]=1),6,AND(ECurrLiabs[[#This Row],[Used]]=1,ECurrLiabs[[#This Row],[Order]]&gt;1),7,ECurrLiabs[[#This Row],[Used]]=0,8)</f>
        <v>8</v>
      </c>
      <c r="BM43" t="str">
        <f t="shared" si="9"/>
        <v>Dividends Payable</v>
      </c>
      <c r="BN43" s="370">
        <f>IF(ISNUMBER(_xlfn.XLOOKUP(ECurrLiabs[[#This Row],[Account]],MD_Liability[Account Name],MD_Liability[Used])),_xlfn.XLOOKUP(ECurrLiabs[[#This Row],[Account]],MD_Liability[Account Name],MD_Liability[Used]),0)</f>
        <v>0</v>
      </c>
      <c r="BO43" s="370">
        <f>IF(ECurrLiabs[[#This Row],[Used]]=1,ECurrLiabs[[#This Row],[Used]]+SUM(BN40:BN42),0)</f>
        <v>0</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x14ac:dyDescent="0.3">
      <c r="B44" s="192" cm="1">
        <f t="array" ref="B44">_xlfn.IFS(AND(BCurrLiabs[[#This Row],[Used]]=1,BCurrLiabs[[#This Row],[Order]]=1),6,AND(BCurrLiabs[[#This Row],[Used]]=1,BCurrLiabs[[#This Row],[Order]]&gt;1),7,BCurrLiabs[[#This Row],[Used]]=0,8)</f>
        <v>8</v>
      </c>
      <c r="C44" t="s">
        <v>657</v>
      </c>
      <c r="D44" s="370">
        <f>IF(ISNUMBER(_xlfn.XLOOKUP(BCurrLiabs[[#This Row],[Account]],MD_Liability[Account Name],MD_Liability[Used])),_xlfn.XLOOKUP(BCurrLiabs[[#This Row],[Account]],MD_Liability[Account Name],MD_Liability[Used]),0)</f>
        <v>0</v>
      </c>
      <c r="E44" s="370">
        <f>IF(BCurrLiabs[[#This Row],[Used]]=1,BCurrLiabs[[#This Row],[Used]]+SUM(D41:D43),0)</f>
        <v>0</v>
      </c>
      <c r="F44" s="368">
        <f>ROUND(_xlfn.IFNA(_xlfn.XLOOKUP(C44,BegBalanceSheet_Liabilities[Account],BegBalanceSheet_Liabilities[Amount]),0),2)</f>
        <v>0</v>
      </c>
      <c r="G44" s="316"/>
      <c r="H44" s="5" t="s">
        <v>46</v>
      </c>
      <c r="J44" s="316"/>
      <c r="K44" s="316"/>
      <c r="L44" s="316"/>
      <c r="M44" s="316"/>
      <c r="N44" s="316"/>
      <c r="O44" s="316"/>
      <c r="P44" s="316"/>
      <c r="Q44" s="316"/>
      <c r="S44"/>
      <c r="T44"/>
      <c r="U44"/>
      <c r="V44"/>
      <c r="AP44" s="192" cm="1">
        <f t="array" aca="1" ref="AP44" ca="1">_xlfn.IFS(AND(CFS_CFF[[#This Row],[Used]]=1,CFS_CFF[[#This Row],[Order]]=1),6,AND(CFS_CFF[[#This Row],[Used]]=1,CFS_CFF[[#This Row],[Order]]&gt;1),7,CFS_CFF[[#This Row],[Used]]=0,8)</f>
        <v>8</v>
      </c>
      <c r="AQ44" t="s">
        <v>658</v>
      </c>
      <c r="AR44" s="383">
        <f ca="1">IF(ABS(CFS_CFF[[#This Row],[AmtJournal]])&gt;0,1,0)</f>
        <v>0</v>
      </c>
      <c r="AS44" s="383">
        <f ca="1">IF(CFS_CFF[[#This Row],[Used]]=1,CFS_CFF[[#This Row],[Used]]+SUM(AR34:AR43),0)</f>
        <v>0</v>
      </c>
      <c r="AT44" s="366">
        <f ca="1">-SUMIFS(Journal[Cr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 ca="1">IF(CFS_CFF[[#This Row],[AmtJournal]]&lt;&gt;0,1,0)</f>
        <v>0</v>
      </c>
      <c r="AX44" s="383">
        <f ca="1">IF(CFS_CFF[[#This Row],[AmtAnswer]]&lt;&gt;0,1,0)</f>
        <v>0</v>
      </c>
      <c r="AY44" s="383">
        <f>IF(CFS_CFF[[#This Row],[AmtFSBuilder]]&lt;&gt;0,1,0)</f>
        <v>0</v>
      </c>
      <c r="AZ44"/>
      <c r="BA44" s="192">
        <f>IF(NI_CFO_Recon_Assets[[#This Row],[Used]]=1,7,8)</f>
        <v>8</v>
      </c>
      <c r="BB44" t="s">
        <v>610</v>
      </c>
      <c r="BC44" s="370">
        <f>IF(ABS(NI_CFO_Recon_Assets[[#This Row],[AmtJournal]])&gt;0,1,0)</f>
        <v>0</v>
      </c>
      <c r="BD44" s="216">
        <f ca="1">NI_CFO_Recon_Assets[[#This Row],[Used]]+SUM(BC39:BC43)</f>
        <v>3</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tr">
        <f t="shared" si="9"/>
        <v>Taxes Payable</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x14ac:dyDescent="0.3">
      <c r="B45" s="192" cm="1">
        <f t="array" ref="B45">_xlfn.IFS(AND(BCurrLiabs[[#This Row],[Used]]=1,BCurrLiabs[[#This Row],[Order]]=1),6,AND(BCurrLiabs[[#This Row],[Used]]=1,BCurrLiabs[[#This Row],[Order]]&gt;1),7,BCurrLiabs[[#This Row],[Used]]=0,8)</f>
        <v>8</v>
      </c>
      <c r="C45" t="s">
        <v>659</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584</v>
      </c>
      <c r="I45" s="379" t="s">
        <v>542</v>
      </c>
      <c r="J45" s="379" t="s">
        <v>585</v>
      </c>
      <c r="K45" s="466" t="s">
        <v>586</v>
      </c>
      <c r="L45" s="379" t="s">
        <v>581</v>
      </c>
      <c r="M45" s="379" t="s">
        <v>582</v>
      </c>
      <c r="N45" s="379" t="s">
        <v>583</v>
      </c>
      <c r="O45" s="470" t="s">
        <v>587</v>
      </c>
      <c r="P45" s="470" t="s">
        <v>588</v>
      </c>
      <c r="Q45" s="470" t="s">
        <v>589</v>
      </c>
      <c r="W45"/>
      <c r="X45"/>
      <c r="Y45"/>
      <c r="Z45"/>
      <c r="AA45"/>
      <c r="AB45"/>
      <c r="AP45" s="192" cm="1">
        <f t="array" aca="1" ref="AP45" ca="1">_xlfn.IFS(AND(CFS_CFF[[#This Row],[Used]]=1,CFS_CFF[[#This Row],[Order]]=1),6,AND(CFS_CFF[[#This Row],[Used]]=1,CFS_CFF[[#This Row],[Order]]&gt;1),7,CFS_CFF[[#This Row],[Used]]=0,8)</f>
        <v>8</v>
      </c>
      <c r="AQ45" t="s">
        <v>660</v>
      </c>
      <c r="AR45" s="383">
        <f ca="1">IF(ABS(CFS_CFF[[#This Row],[AmtJournal]])&gt;0,1,0)</f>
        <v>0</v>
      </c>
      <c r="AS45" s="383">
        <f ca="1">IF(CFS_CFF[[#This Row],[Used]]=1,CFS_CFF[[#This Row],[Used]]+SUM(AR34:AR44),0)</f>
        <v>0</v>
      </c>
      <c r="AT45" s="366">
        <f ca="1">-SUMIFS(Journal[Cr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 ca="1">IF(CFS_CFF[[#This Row],[AmtJournal]]&lt;&gt;0,1,0)</f>
        <v>0</v>
      </c>
      <c r="AX45" s="383">
        <f ca="1">IF(CFS_CFF[[#This Row],[AmtAnswer]]&lt;&gt;0,1,0)</f>
        <v>0</v>
      </c>
      <c r="AY45" s="383">
        <f>IF(CFS_CFF[[#This Row],[AmtFSBuilder]]&lt;&gt;0,1,0)</f>
        <v>0</v>
      </c>
      <c r="AZ45"/>
      <c r="BA45" s="192">
        <f>IF(NI_CFO_Recon_Assets[[#This Row],[Used]]=1,7,8)</f>
        <v>8</v>
      </c>
      <c r="BB45" t="s">
        <v>637</v>
      </c>
      <c r="BC45" s="370">
        <f>IF(ABS(NI_CFO_Recon_Assets[[#This Row],[AmtJournal]])&gt;0,1,0)</f>
        <v>0</v>
      </c>
      <c r="BD45" s="216">
        <f ca="1">NI_CFO_Recon_Assets[[#This Row],[Used]]+SUM(BC39:BC44)</f>
        <v>3</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x14ac:dyDescent="0.3">
      <c r="B46" s="192" cm="1">
        <f t="array" ref="B46">_xlfn.IFS(AND(BCurrLiabs[[#This Row],[Used]]=1,BCurrLiabs[[#This Row],[Order]]=1),6,AND(BCurrLiabs[[#This Row],[Used]]=1,BCurrLiabs[[#This Row],[Order]]&gt;1),7,BCurrLiabs[[#This Row],[Used]]=0,8)</f>
        <v>8</v>
      </c>
      <c r="C46" t="s">
        <v>661</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614</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aca="1" ref="AP46" ca="1">_xlfn.IFS(AND(CFS_CFF[[#This Row],[Used]]=1,CFS_CFF[[#This Row],[Order]]=1),6,AND(CFS_CFF[[#This Row],[Used]]=1,CFS_CFF[[#This Row],[Order]]&gt;1),7,CFS_CFF[[#This Row],[Used]]=0,8)</f>
        <v>8</v>
      </c>
      <c r="AQ46" t="s">
        <v>602</v>
      </c>
      <c r="AR46" s="383">
        <f ca="1">IF(ABS(CFS_CFF[[#This Row],[AmtJournal]])&gt;0,1,0)</f>
        <v>0</v>
      </c>
      <c r="AS46" s="383">
        <f ca="1">IF(CFS_CFF[[#This Row],[Used]]=1,CFS_CFF[[#This Row],[Used]]+SUM(AR34:AR45),0)</f>
        <v>0</v>
      </c>
      <c r="AT46" s="366">
        <f ca="1">-SUMIFS(Journal[Cr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 ca="1">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 ca="1">NI_CFO_Recon_Assets[[#This Row],[Used]]+SUM(BC39:BC45)</f>
        <v>3</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x14ac:dyDescent="0.3">
      <c r="B47" s="192" cm="1">
        <f t="array" ref="B47">_xlfn.IFS(AND(BCurrLiabs[[#This Row],[Used]]=1,BCurrLiabs[[#This Row],[Order]]=1),6,AND(BCurrLiabs[[#This Row],[Used]]=1,BCurrLiabs[[#This Row],[Order]]&gt;1),7,BCurrLiabs[[#This Row],[Used]]=0,8)</f>
        <v>8</v>
      </c>
      <c r="C47" t="s">
        <v>662</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618</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 ca="1">IF(AT47=0,8,3)</f>
        <v>3</v>
      </c>
      <c r="AQ47" s="181" t="s">
        <v>663</v>
      </c>
      <c r="AR47" s="383"/>
      <c r="AT47" s="351">
        <f ca="1">ROUND(SUBTOTAL(9,AT34:AT46),2)</f>
        <v>120</v>
      </c>
      <c r="AU47" s="351">
        <f t="shared" ref="AU47:AV47" ca="1" si="11">ROUND(SUBTOTAL(9,AU34:AU46),2)</f>
        <v>120</v>
      </c>
      <c r="AV47" s="351">
        <f t="shared" si="11"/>
        <v>0</v>
      </c>
      <c r="AW47" s="383"/>
      <c r="AX47" s="383"/>
      <c r="AY47" s="383"/>
      <c r="AZ47"/>
      <c r="BA47" s="192">
        <f>IF(NI_CFO_Recon_Assets[[#This Row],[Used]]=1,7,8)</f>
        <v>8</v>
      </c>
      <c r="BC47" s="370">
        <f>IF(ABS(NI_CFO_Recon_Assets[[#This Row],[AmtJournal]])&gt;0,1,0)</f>
        <v>0</v>
      </c>
      <c r="BD47" s="216">
        <f ca="1">NI_CFO_Recon_Assets[[#This Row],[Used]]+SUM(BC39:BC46)</f>
        <v>3</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3</v>
      </c>
      <c r="BP47" s="368">
        <f>_xlfn.IFNA((_xlfn.XLOOKUP(ECurrLiabs[[#This Row],[Account]],BegBalanceSheet_Liabilities[Account],BegBalanceSheet_Liabilities[Amount]))-SUMIF(Journal[Debit Account],ECurrLiabs[[#This Row],[Account]],Journal[Dr Amt])+SUMIF(Journal[Credit Account],ECurrLiabs[[#This Row],[Account]],Journal[Cr Amt]),0)</f>
        <v>1</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1</v>
      </c>
      <c r="BR47" s="368" cm="1">
        <f t="array" ref="BR47">IF(ECurrLiabs[[#This Row],[Account]]&lt;&gt;"",_xlfn._xlws.FILTER(FSBuilder[Amount],(FSBuilder[Account or Explanation]=ECurrLiabs[[#This Row],[Account]])*(FSBuilder[Statement]="Ending Balance Sheet"),0),0)</f>
        <v>0</v>
      </c>
      <c r="BS47" s="392">
        <f>ECurrLiabs[[#This Row],[Used]]*(ECurrLiabs[[#This Row],[AmtJournal]]&lt;&gt;0)</f>
        <v>1</v>
      </c>
      <c r="BT47" s="392">
        <f>ECurrLiabs[[#This Row],[Used]]*(ECurrLiabs[[#This Row],[AmtAnswer]]&lt;&gt;0)</f>
        <v>1</v>
      </c>
      <c r="BU47" s="392">
        <f>ECurrLiabs[[#This Row],[Used]]*(ECurrLiabs[[#This Row],[AmtFSBuilder]]&lt;&gt;0)</f>
        <v>0</v>
      </c>
    </row>
    <row r="48" spans="2:73" x14ac:dyDescent="0.3">
      <c r="B48" s="192" cm="1">
        <f t="array" ref="B48">_xlfn.IFS(AND(BCurrLiabs[[#This Row],[Used]]=1,BCurrLiabs[[#This Row],[Order]]=1),6,AND(BCurrLiabs[[#This Row],[Used]]=1,BCurrLiabs[[#This Row],[Order]]&gt;1),7,BCurrLiabs[[#This Row],[Used]]=0,8)</f>
        <v>7</v>
      </c>
      <c r="C48" t="s">
        <v>80</v>
      </c>
      <c r="D48" s="370">
        <f>IF(ISNUMBER(_xlfn.XLOOKUP(BCurrLiabs[[#This Row],[Account]],MD_Liability[Account Name],MD_Liability[Used])),_xlfn.XLOOKUP(BCurrLiabs[[#This Row],[Account]],MD_Liability[Account Name],MD_Liability[Used]),0)</f>
        <v>1</v>
      </c>
      <c r="E48" s="370">
        <f>IF(BCurrLiabs[[#This Row],[Used]]=1,BCurrLiabs[[#This Row],[Used]]+SUM(D41:D47),0)</f>
        <v>3</v>
      </c>
      <c r="F48" s="368">
        <f>ROUND(_xlfn.IFNA(_xlfn.XLOOKUP(C48,BegBalanceSheet_Liabilities[Account],BegBalanceSheet_Liabilities[Amount]),0),2)</f>
        <v>0</v>
      </c>
      <c r="G48" s="316"/>
      <c r="H48" s="192" cm="1">
        <f t="array" ref="H48">_xlfn.IFS(AND(IS_Losses[[#This Row],[Used]]=1,IS_Losses[[#This Row],[Order]]=1),6,AND(IS_Losses[[#This Row],[Used]]=1,IS_Losses[[#This Row],[Order]]&gt;1),7,IS_Losses[[#This Row],[Used]]=0,8)</f>
        <v>8</v>
      </c>
      <c r="I48" t="s">
        <v>620</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 ca="1">NI_CFO_Recon_Assets[[#This Row],[Used]]+SUM(BC39:BC47)</f>
        <v>3</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x14ac:dyDescent="0.3">
      <c r="B49" s="192" cm="1">
        <f t="array" ref="B49">_xlfn.IFS(AND(BCurrLiabs[[#This Row],[Used]]=1,BCurrLiabs[[#This Row],[Order]]=1),6,AND(BCurrLiabs[[#This Row],[Used]]=1,BCurrLiabs[[#This Row],[Order]]&gt;1),7,BCurrLiabs[[#This Row],[Used]]=0,8)</f>
        <v>8</v>
      </c>
      <c r="C49" t="s">
        <v>664</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624</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665</v>
      </c>
      <c r="AS49"/>
      <c r="AT49"/>
      <c r="AU49"/>
      <c r="AV49"/>
      <c r="AW49"/>
      <c r="AX49"/>
      <c r="AY49"/>
      <c r="AZ49"/>
      <c r="BA49" s="192">
        <f>IF(NI_CFO_Recon_Assets[[#This Row],[Used]]=1,7,8)</f>
        <v>8</v>
      </c>
      <c r="BC49" s="370">
        <f>IF(ABS(NI_CFO_Recon_Assets[[#This Row],[AmtJournal]])&gt;0,1,0)</f>
        <v>0</v>
      </c>
      <c r="BD49" s="216">
        <f ca="1">NI_CFO_Recon_Assets[[#This Row],[Used]]+SUM(BC39:BC48)</f>
        <v>3</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x14ac:dyDescent="0.3">
      <c r="B50" s="192" cm="1">
        <f t="array" ref="B50">_xlfn.IFS(AND(BCurrLiabs[[#This Row],[Used]]=1,BCurrLiabs[[#This Row],[Order]]=1),6,AND(BCurrLiabs[[#This Row],[Used]]=1,BCurrLiabs[[#This Row],[Order]]&gt;1),7,BCurrLiabs[[#This Row],[Used]]=0,8)</f>
        <v>8</v>
      </c>
      <c r="C50" t="s">
        <v>666</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627</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584</v>
      </c>
      <c r="AQ50" s="379" t="s">
        <v>542</v>
      </c>
      <c r="AR50" s="379" t="s">
        <v>585</v>
      </c>
      <c r="AS50" s="466" t="s">
        <v>586</v>
      </c>
      <c r="AT50" s="379" t="s">
        <v>581</v>
      </c>
      <c r="AU50" s="379" t="s">
        <v>582</v>
      </c>
      <c r="AV50" s="379" t="s">
        <v>583</v>
      </c>
      <c r="AW50" s="379" t="s">
        <v>587</v>
      </c>
      <c r="AX50" s="379" t="s">
        <v>588</v>
      </c>
      <c r="AY50" s="379" t="s">
        <v>589</v>
      </c>
      <c r="AZ50"/>
      <c r="BA50" s="192">
        <f>IF(NI_CFO_Recon_Assets[[#This Row],[Used]]=1,7,8)</f>
        <v>8</v>
      </c>
      <c r="BC50" s="370">
        <f>IF(ABS(NI_CFO_Recon_Assets[[#This Row],[AmtJournal]])&gt;0,1,0)</f>
        <v>0</v>
      </c>
      <c r="BD50" s="216">
        <f ca="1">NI_CFO_Recon_Assets[[#This Row],[Used]]+SUM(BC39:BC49)</f>
        <v>3</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x14ac:dyDescent="0.3">
      <c r="B51" s="192" cm="1">
        <f t="array" ref="B51">_xlfn.IFS(AND(BCurrLiabs[[#This Row],[Used]]=1,BCurrLiabs[[#This Row],[Order]]=1),6,AND(BCurrLiabs[[#This Row],[Used]]=1,BCurrLiabs[[#This Row],[Order]]&gt;1),7,BCurrLiabs[[#This Row],[Used]]=0,8)</f>
        <v>8</v>
      </c>
      <c r="C51" t="s">
        <v>667</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278</v>
      </c>
      <c r="AR51" s="251">
        <f ca="1">IF(ABS(CFSummary[[#This Row],[AmtJournal]])&gt;0,1,0)</f>
        <v>1</v>
      </c>
      <c r="AS51" s="251"/>
      <c r="AT51" s="351">
        <f ca="1">ROUND(AT47+AT30+AT16,2)</f>
        <v>40.049999999999997</v>
      </c>
      <c r="AU51" s="351">
        <f t="shared" ref="AU51:AV51" ca="1" si="12">ROUND(AU47+AU30+AU16,2)</f>
        <v>40.049999999999997</v>
      </c>
      <c r="AV51" s="351">
        <f t="shared" si="12"/>
        <v>0</v>
      </c>
      <c r="AW51" s="383">
        <f ca="1">IF(CFSummary[[#This Row],[AmtJournal]]&lt;&gt;0,1,0)</f>
        <v>1</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x14ac:dyDescent="0.3">
      <c r="B52" s="192" cm="1">
        <f t="array" ref="B52">_xlfn.IFS(AND(BCurrLiabs[[#This Row],[Used]]=1,BCurrLiabs[[#This Row],[Order]]=1),6,AND(BCurrLiabs[[#This Row],[Used]]=1,BCurrLiabs[[#This Row],[Order]]&gt;1),7,BCurrLiabs[[#This Row],[Used]]=0,8)</f>
        <v>8</v>
      </c>
      <c r="C52" t="s">
        <v>668</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298</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3/31/20X4</v>
      </c>
      <c r="AR52" s="251">
        <f>IF(ABS(CFSummary[[#This Row],[AmtJournal]])&gt;0,1,0)</f>
        <v>0</v>
      </c>
      <c r="AT52" s="366">
        <f>ROUND(_xlfn.XLOOKUP("Cash",C11:C20,F11:F20,0),2)</f>
        <v>0</v>
      </c>
      <c r="AU52" s="366">
        <f>ROUND(_xlfn.XLOOKUP("Cash",C11:C20,F11:F20,0),2)</f>
        <v>0</v>
      </c>
      <c r="AV52" s="366">
        <f>ROUND(_xlfn.XLOOKUP("Cash",C11:C20,F11:F20,0),2)</f>
        <v>0</v>
      </c>
      <c r="AW52" s="383">
        <f>IF(CFSummary[[#This Row],[AmtJournal]]&lt;&gt;0,1,0)</f>
        <v>0</v>
      </c>
      <c r="AX52" s="383">
        <f>IF(CFSummary[[#This Row],[AmtAnswer]]&lt;&gt;0,1,0)</f>
        <v>0</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x14ac:dyDescent="0.3">
      <c r="B53" s="192" cm="1">
        <f t="array" ref="B53">_xlfn.IFS(AND(BCurrLiabs[[#This Row],[Used]]=1,BCurrLiabs[[#This Row],[Order]]=1),6,AND(BCurrLiabs[[#This Row],[Used]]=1,BCurrLiabs[[#This Row],[Order]]&gt;1),7,BCurrLiabs[[#This Row],[Used]]=0,8)</f>
        <v>8</v>
      </c>
      <c r="C53" t="s">
        <v>669</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12/31/20x4</v>
      </c>
      <c r="AR53" s="251">
        <f ca="1">IF(ABS(CFSummary[[#This Row],[AmtJournal]])&gt;0,1,0)</f>
        <v>1</v>
      </c>
      <c r="AT53" s="351">
        <f ca="1">ROUND(SUM(AT51:AT52),2)</f>
        <v>40.049999999999997</v>
      </c>
      <c r="AU53" s="351">
        <f t="shared" ref="AU53:AV53" ca="1" si="14">ROUND(SUM(AU51:AU52),2)</f>
        <v>40.049999999999997</v>
      </c>
      <c r="AV53" s="351">
        <f t="shared" si="14"/>
        <v>0</v>
      </c>
      <c r="AW53" s="383">
        <f ca="1">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x14ac:dyDescent="0.3">
      <c r="B54" s="192" cm="1">
        <f t="array" ref="B54">_xlfn.IFS(AND(BCurrLiabs[[#This Row],[Used]]=1,BCurrLiabs[[#This Row],[Order]]=1),6,AND(BCurrLiabs[[#This Row],[Used]]=1,BCurrLiabs[[#This Row],[Order]]&gt;1),7,BCurrLiabs[[#This Row],[Used]]=0,8)</f>
        <v>8</v>
      </c>
      <c r="C54" t="s">
        <v>670</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162</v>
      </c>
      <c r="K54" s="316"/>
      <c r="L54" s="373">
        <f ca="1">ROUND(L15-L32+L42-L52,2)</f>
        <v>-4.2</v>
      </c>
      <c r="M54" s="373">
        <f t="shared" ref="M54:N54" ca="1" si="15">ROUND(M15-M32+M42-M52,2)</f>
        <v>-4.2</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x14ac:dyDescent="0.3">
      <c r="B55" s="192" cm="1">
        <f t="array" ref="B55">_xlfn.IFS(AND(BCurrLiabs[[#This Row],[Used]]=1,BCurrLiabs[[#This Row],[Order]]=1),6,AND(BCurrLiabs[[#This Row],[Used]]=1,BCurrLiabs[[#This Row],[Order]]&gt;1),7,BCurrLiabs[[#This Row],[Used]]=0,8)</f>
        <v>8</v>
      </c>
      <c r="C55" t="s">
        <v>671</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138</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x14ac:dyDescent="0.3">
      <c r="B56" s="192" cm="1">
        <f t="array" ref="B56">_xlfn.IFS(AND(BCurrLiabs[[#This Row],[Used]]=1,BCurrLiabs[[#This Row],[Order]]=1),6,AND(BCurrLiabs[[#This Row],[Used]]=1,BCurrLiabs[[#This Row],[Order]]&gt;1),7,BCurrLiabs[[#This Row],[Used]]=0,8)</f>
        <v>8</v>
      </c>
      <c r="C56" t="s">
        <v>672</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584</v>
      </c>
      <c r="AQ56" s="379" t="s">
        <v>542</v>
      </c>
      <c r="AR56" s="379" t="s">
        <v>585</v>
      </c>
      <c r="AS56" s="466" t="s">
        <v>586</v>
      </c>
      <c r="AT56" s="379" t="s">
        <v>581</v>
      </c>
      <c r="AU56" s="379" t="s">
        <v>582</v>
      </c>
      <c r="AV56" s="379" t="s">
        <v>583</v>
      </c>
      <c r="AW56" s="379" t="s">
        <v>587</v>
      </c>
      <c r="AX56" s="379" t="s">
        <v>588</v>
      </c>
      <c r="AY56" s="379" t="s">
        <v>589</v>
      </c>
      <c r="AZ56"/>
      <c r="BA56" s="379" t="s">
        <v>584</v>
      </c>
      <c r="BB56" s="379" t="s">
        <v>542</v>
      </c>
      <c r="BC56" s="379" t="s">
        <v>585</v>
      </c>
      <c r="BD56" s="466" t="s">
        <v>586</v>
      </c>
      <c r="BE56" s="379" t="s">
        <v>581</v>
      </c>
      <c r="BF56" s="379" t="s">
        <v>582</v>
      </c>
      <c r="BG56" s="379" t="s">
        <v>583</v>
      </c>
      <c r="BH56" s="470" t="s">
        <v>587</v>
      </c>
      <c r="BI56" s="470" t="s">
        <v>588</v>
      </c>
      <c r="BJ56" s="470" t="s">
        <v>589</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x14ac:dyDescent="0.3">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673</v>
      </c>
      <c r="AR57" s="385">
        <f ca="1">IF(ABS(Noncash_IF[[#This Row],[AmtJournal]])&gt;0,1,0)</f>
        <v>0</v>
      </c>
      <c r="AS57" s="385">
        <f ca="1">Noncash_IF[[#This Row],[Used]]</f>
        <v>0</v>
      </c>
      <c r="AT57" s="384">
        <f ca="1">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 ca="1">IF(Noncash_IF[[#This Row],[AmtJournal]]&lt;&gt;0,1,0)</f>
        <v>0</v>
      </c>
      <c r="AX57" s="385">
        <f ca="1">IF(Noncash_IF[[#This Row],[AmtAnswer]]&lt;&gt;0,1,0)</f>
        <v>0</v>
      </c>
      <c r="AY57" s="385">
        <f>IF(Noncash_IF[[#This Row],[AmtFSBuilder]]&lt;&gt;0,1,0)</f>
        <v>0</v>
      </c>
      <c r="AZ57"/>
      <c r="BA57" s="192">
        <f ca="1">IF(NI_CFO_Recon_Liabilities[[#This Row],[Used]]=1,7,8)</f>
        <v>7</v>
      </c>
      <c r="BB57" t="s">
        <v>70</v>
      </c>
      <c r="BC57" s="370">
        <f ca="1">IF(ABS(NI_CFO_Recon_Liabilities[[#This Row],[AmtJournal]])&gt;0,1,0)</f>
        <v>1</v>
      </c>
      <c r="BD57" s="216">
        <f ca="1">NI_CFO_Recon_Liabilities[[#This Row],[Used]]</f>
        <v>1</v>
      </c>
      <c r="BE57" s="216">
        <f ca="1">ROUND(-SUMIFS(Journal[Dr Amt],Journal[Debit Account],BB57,Journal[ref3],"TRUE")+SUMIFS(Journal[Cr Amt],Journal[Credit Account],BB57,Journal[ref3],"TRUE"),2)</f>
        <v>15</v>
      </c>
      <c r="BF57" s="216">
        <f ca="1">ROUND(-SUMIFS(JournalAnswer[Dr Amt],JournalAnswer[Debit Account],BB57,JournalAnswer[ref3],"TRUE")+SUMIFS(JournalAnswer[Cr Amt],JournalAnswer[Credit Account],BB57,JournalAnswer[ref3],"TRUE"),2)</f>
        <v>15</v>
      </c>
      <c r="BG57" s="216" cm="1">
        <f t="array" ref="BG57">ROUND(IF(NI_CFO_Recon_Liabilities[[#This Row],[Account]]&lt;&gt;"",_xlfn._xlws.FILTER(FSBuilder[Amount],(FSBuilder[Account or Explanation]=NI_CFO_Recon_Liabilities[[#This Row],[Account]])*(FSBuilder[Statement]=$BA$6),0),0),2)</f>
        <v>0</v>
      </c>
      <c r="BH57" s="392">
        <f ca="1">IF(ABS(NI_CFO_Recon_Liabilities[[#This Row],[AmtJournal]])&gt;0,1,0)</f>
        <v>1</v>
      </c>
      <c r="BI57" s="392">
        <f ca="1">IF(ABS(NI_CFO_Recon_Liabilities[[#This Row],[AmtAnswer]])&gt;0,1,0)</f>
        <v>1</v>
      </c>
      <c r="BJ57" s="392">
        <f>IF(ABS(NI_CFO_Recon_Liabilities[[#This Row],[AmtFSBuilder]])&gt;0,1,0)</f>
        <v>0</v>
      </c>
      <c r="BK57" s="216"/>
      <c r="BL57" s="192">
        <v>5</v>
      </c>
      <c r="BM57" t="s">
        <v>306</v>
      </c>
      <c r="BN57" s="370"/>
      <c r="BO57" s="370"/>
      <c r="BP57" s="367">
        <f>SUM(BP40:BP56)</f>
        <v>17.55</v>
      </c>
      <c r="BQ57" s="367">
        <f t="shared" ref="BQ57:BR57" si="16">SUM(BQ40:BQ56)</f>
        <v>17.55</v>
      </c>
      <c r="BR57" s="367">
        <f t="shared" si="16"/>
        <v>0</v>
      </c>
      <c r="BS57" s="392"/>
      <c r="BT57" s="392"/>
      <c r="BU57" s="392"/>
    </row>
    <row r="58" spans="2:73" x14ac:dyDescent="0.3">
      <c r="B58" s="192">
        <v>5</v>
      </c>
      <c r="C58" t="s">
        <v>306</v>
      </c>
      <c r="D58" s="370"/>
      <c r="E58" s="370"/>
      <c r="F58" s="367">
        <f>ROUND(SUBTOTAL(9,F41:F57),2)</f>
        <v>0</v>
      </c>
      <c r="G58" s="316"/>
      <c r="L58" s="316"/>
      <c r="M58" s="316"/>
      <c r="N58" s="316"/>
      <c r="O58" s="316"/>
      <c r="P58" s="316"/>
      <c r="Q58" s="316"/>
      <c r="AP58" s="192" cm="1">
        <f t="array" aca="1" ref="AP58" ca="1">_xlfn.IFS(Noncash_IF[[#This Row],[UsedAnswer]]=1,6,Noncash_IF[[#This Row],[UsedAnswer]]=0,8)</f>
        <v>8</v>
      </c>
      <c r="AQ58" t="s">
        <v>674</v>
      </c>
      <c r="AR58" s="385">
        <f ca="1">IF(ABS(Noncash_IF[[#This Row],[AmtJournal]])&gt;0,1,0)</f>
        <v>0</v>
      </c>
      <c r="AS58" s="383">
        <f ca="1">IF(Noncash_IF[[#This Row],[Used]]&gt;0,Noncash_IF[[#This Row],[Used]]+AR57,0)</f>
        <v>0</v>
      </c>
      <c r="AT58" s="384">
        <f ca="1">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 ca="1">IF(Noncash_IF[[#This Row],[AmtJournal]]&lt;&gt;0,1,0)</f>
        <v>0</v>
      </c>
      <c r="AX58" s="385">
        <f ca="1">IF(Noncash_IF[[#This Row],[AmtAnswer]]&lt;&gt;0,1,0)</f>
        <v>0</v>
      </c>
      <c r="AY58" s="385">
        <f>IF(Noncash_IF[[#This Row],[AmtFSBuilder]]&lt;&gt;0,1,0)</f>
        <v>0</v>
      </c>
      <c r="AZ58"/>
      <c r="BA58" s="192">
        <f>IF(NI_CFO_Recon_Liabilities[[#This Row],[Used]]=1,7,8)</f>
        <v>8</v>
      </c>
      <c r="BB58" t="s">
        <v>654</v>
      </c>
      <c r="BC58" s="370">
        <f>IF(ABS(NI_CFO_Recon_Liabilities[[#This Row],[AmtJournal]])&gt;0,1,0)</f>
        <v>0</v>
      </c>
      <c r="BD58" s="216">
        <f ca="1">NI_CFO_Recon_Liabilities[[#This Row],[Used]]+BC57</f>
        <v>1</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x14ac:dyDescent="0.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 ca="1">IF(NI_CFO_Recon_Liabilities[[#This Row],[Used]]=1,7,8)</f>
        <v>7</v>
      </c>
      <c r="BB59" t="s">
        <v>85</v>
      </c>
      <c r="BC59" s="370">
        <f ca="1">IF(ABS(NI_CFO_Recon_Liabilities[[#This Row],[AmtJournal]])&gt;0,1,0)</f>
        <v>1</v>
      </c>
      <c r="BD59" s="216">
        <f ca="1">NI_CFO_Recon_Liabilities[[#This Row],[Used]]+SUM(BC57:BC58)</f>
        <v>2</v>
      </c>
      <c r="BE59" s="216">
        <f ca="1">ROUND(-SUMIFS(Journal[Dr Amt],Journal[Debit Account],BB59,Journal[ref3],"TRUE")+SUMIFS(Journal[Cr Amt],Journal[Credit Account],BB59,Journal[ref3],"TRUE"),2)</f>
        <v>1.55</v>
      </c>
      <c r="BF59" s="216">
        <f ca="1">ROUND(-SUMIFS(JournalAnswer[Dr Amt],JournalAnswer[Debit Account],BB59,JournalAnswer[ref3],"TRUE")+SUMIFS(JournalAnswer[Cr Amt],JournalAnswer[Credit Account],BB59,JournalAnswer[ref3],"TRUE"),2)</f>
        <v>1.55</v>
      </c>
      <c r="BG59" s="216" cm="1">
        <f t="array" ref="BG59">ROUND(IF(NI_CFO_Recon_Liabilities[[#This Row],[Account]]&lt;&gt;"",_xlfn._xlws.FILTER(FSBuilder[Amount],(FSBuilder[Account or Explanation]=NI_CFO_Recon_Liabilities[[#This Row],[Account]])*(FSBuilder[Statement]=$BA$6),0),0),2)</f>
        <v>0</v>
      </c>
      <c r="BH59" s="392">
        <f ca="1">IF(ABS(NI_CFO_Recon_Liabilities[[#This Row],[AmtJournal]])&gt;0,1,0)</f>
        <v>1</v>
      </c>
      <c r="BI59" s="392">
        <f ca="1">IF(ABS(NI_CFO_Recon_Liabilities[[#This Row],[AmtAnswer]])&gt;0,1,0)</f>
        <v>1</v>
      </c>
      <c r="BJ59" s="392">
        <f>IF(ABS(NI_CFO_Recon_Liabilities[[#This Row],[AmtFSBuilder]])&gt;0,1,0)</f>
        <v>0</v>
      </c>
      <c r="BK59" s="216"/>
      <c r="BL59" s="5" t="s">
        <v>220</v>
      </c>
      <c r="BN59" s="316"/>
      <c r="BO59" s="316"/>
      <c r="BP59" s="316"/>
    </row>
    <row r="60" spans="2:73" x14ac:dyDescent="0.3">
      <c r="B60" s="5" t="s">
        <v>220</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659</v>
      </c>
      <c r="BC60" s="370">
        <f>IF(ABS(NI_CFO_Recon_Liabilities[[#This Row],[AmtJournal]])&gt;0,1,0)</f>
        <v>0</v>
      </c>
      <c r="BD60" s="216">
        <f ca="1">NI_CFO_Recon_Liabilities[[#This Row],[Used]]+SUM(BC57:BC59)</f>
        <v>2</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584</v>
      </c>
      <c r="BM60" s="379" t="s">
        <v>542</v>
      </c>
      <c r="BN60" s="379" t="s">
        <v>585</v>
      </c>
      <c r="BO60" s="466" t="s">
        <v>586</v>
      </c>
      <c r="BP60" s="379" t="s">
        <v>581</v>
      </c>
      <c r="BQ60" s="379" t="s">
        <v>582</v>
      </c>
      <c r="BR60" s="379" t="s">
        <v>583</v>
      </c>
      <c r="BS60" s="470" t="s">
        <v>587</v>
      </c>
      <c r="BT60" s="470" t="s">
        <v>588</v>
      </c>
      <c r="BU60" s="470" t="s">
        <v>589</v>
      </c>
    </row>
    <row r="61" spans="2:73" x14ac:dyDescent="0.3">
      <c r="B61" s="375" t="s">
        <v>584</v>
      </c>
      <c r="C61" s="313" t="s">
        <v>542</v>
      </c>
      <c r="D61" s="376" t="s">
        <v>585</v>
      </c>
      <c r="E61" s="377" t="s">
        <v>586</v>
      </c>
      <c r="F61" s="376" t="s">
        <v>433</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661</v>
      </c>
      <c r="BC61" s="370">
        <f>IF(ABS(NI_CFO_Recon_Liabilities[[#This Row],[AmtJournal]])&gt;0,1,0)</f>
        <v>0</v>
      </c>
      <c r="BD61" s="216">
        <f ca="1">NI_CFO_Recon_Liabilities[[#This Row],[Used]]+SUM(BC57:BC60)</f>
        <v>2</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6</v>
      </c>
      <c r="BM61" t="str">
        <f>C62</f>
        <v>Bonds Payable</v>
      </c>
      <c r="BN61" s="370">
        <f>IF(ISNUMBER(_xlfn.XLOOKUP(ENonCurrLiabs[[#This Row],[Account]],MD_Liability[Account Name],MD_Liability[Used])),_xlfn.XLOOKUP(ENonCurrLiabs[[#This Row],[Account]],MD_Liability[Account Name],MD_Liability[Used]),0)</f>
        <v>1</v>
      </c>
      <c r="BO61" s="370">
        <f>ENonCurrLiabs[[#This Row],[Used]]</f>
        <v>1</v>
      </c>
      <c r="BP61" s="367">
        <f>_xlfn.IFNA((_xlfn.XLOOKUP(ENonCurrLiabs[[#This Row],[Account]],BegBalanceSheet_Liabilities[Account],BegBalanceSheet_Liabilities[Amount]))-SUMIF(Journal[Debit Account],ENonCurrLiabs[[#This Row],[Account]],Journal[Dr Amt])+SUMIF(Journal[Credit Account],ENonCurrLiabs[[#This Row],[Account]],Journal[Cr Amt]),0)</f>
        <v>20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20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1</v>
      </c>
      <c r="BT61" s="392">
        <f>ENonCurrLiabs[[#This Row],[Used]]*(ENonCurrLiabs[[#This Row],[AmtAnswer]]&lt;&gt;0)</f>
        <v>1</v>
      </c>
      <c r="BU61" s="392">
        <f>ENonCurrLiabs[[#This Row],[Used]]*(ENonCurrLiabs[[#This Row],[AmtFSBuilder]]&lt;&gt;0)</f>
        <v>0</v>
      </c>
    </row>
    <row r="62" spans="2:73" x14ac:dyDescent="0.3">
      <c r="B62" s="192" cm="1">
        <f t="array" ref="B62">_xlfn.IFS(AND(BNonCurrLiabs[[#This Row],[Used]]=1,BNonCurrLiabs[[#This Row],[Order]]=1),6,AND(BNonCurrLiabs[[#This Row],[Used]]=1,BNonCurrLiabs[[#This Row],[Order]]&gt;1),7,BNonCurrLiabs[[#This Row],[Used]]=0,8)</f>
        <v>6</v>
      </c>
      <c r="C62" t="s">
        <v>72</v>
      </c>
      <c r="D62" s="370">
        <f>IF(ISNUMBER(_xlfn.XLOOKUP(BNonCurrLiabs[[#This Row],[Account]],MD_Liability[Account Name],MD_Liability[Used])),_xlfn.XLOOKUP(BNonCurrLiabs[[#This Row],[Account]],MD_Liability[Account Name],MD_Liability[Used]),0)</f>
        <v>1</v>
      </c>
      <c r="E62" s="370">
        <f>BNonCurrLiabs[[#This Row],[Used]]</f>
        <v>1</v>
      </c>
      <c r="F62" s="367">
        <f>ROUND(_xlfn.IFNA(_xlfn.XLOOKUP(C62,BegBalanceSheet_Liabilities[Account],BegBalanceSheet_Liabilities[Amount]),0),2)</f>
        <v>0</v>
      </c>
      <c r="G62" s="316"/>
      <c r="L62" s="316"/>
      <c r="M62" s="316"/>
      <c r="N62" s="316"/>
      <c r="O62" s="316"/>
      <c r="P62" s="316"/>
      <c r="Q62" s="316"/>
      <c r="AQ62" t="s">
        <v>675</v>
      </c>
      <c r="AR62" s="391">
        <f ca="1">COUNTIF(Noncash_IF[AmtJournal],"&gt;0")+COUNTIF(Noncash_IF[AmtAnswer],"&gt;0")</f>
        <v>0</v>
      </c>
      <c r="AS62"/>
      <c r="AT62"/>
      <c r="AU62"/>
      <c r="AV62"/>
      <c r="AW62"/>
      <c r="AX62"/>
      <c r="AY62"/>
      <c r="AZ62"/>
      <c r="BA62" s="192">
        <f>IF(NI_CFO_Recon_Liabilities[[#This Row],[Used]]=1,7,8)</f>
        <v>8</v>
      </c>
      <c r="BB62" t="s">
        <v>662</v>
      </c>
      <c r="BC62" s="370">
        <f>IF(ABS(NI_CFO_Recon_Liabilities[[#This Row],[AmtJournal]])&gt;0,1,0)</f>
        <v>0</v>
      </c>
      <c r="BD62" s="216">
        <f ca="1">NI_CFO_Recon_Liabilities[[#This Row],[Used]]+SUM(BC57:BC61)</f>
        <v>2</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tr">
        <f t="shared" ref="BM62:BM70" si="17">C63</f>
        <v>Notes Payable</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x14ac:dyDescent="0.3">
      <c r="B63" s="192" cm="1">
        <f t="array" ref="B63">_xlfn.IFS(AND(BNonCurrLiabs[[#This Row],[Used]]=1,BNonCurrLiabs[[#This Row],[Order]]=1),6,AND(BNonCurrLiabs[[#This Row],[Used]]=1,BNonCurrLiabs[[#This Row],[Order]]&gt;1),7,BNonCurrLiabs[[#This Row],[Used]]=0,8)</f>
        <v>8</v>
      </c>
      <c r="C63" t="s">
        <v>676</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 ca="1">IF(NI_CFO_Recon_Liabilities[[#This Row],[Used]]=1,7,8)</f>
        <v>7</v>
      </c>
      <c r="BB63" t="s">
        <v>80</v>
      </c>
      <c r="BC63" s="370">
        <f ca="1">IF(ABS(NI_CFO_Recon_Liabilities[[#This Row],[AmtJournal]])&gt;0,1,0)</f>
        <v>1</v>
      </c>
      <c r="BD63" s="216">
        <f ca="1">NI_CFO_Recon_Liabilities[[#This Row],[Used]]+SUM(BC57:BC62)</f>
        <v>3</v>
      </c>
      <c r="BE63" s="216">
        <f ca="1">ROUND(-SUMIFS(Journal[Dr Amt],Journal[Debit Account],BB63,Journal[ref3],"TRUE")+SUMIFS(Journal[Cr Amt],Journal[Credit Account],BB63,Journal[ref3],"TRUE"),2)</f>
        <v>1</v>
      </c>
      <c r="BF63" s="216">
        <f ca="1">ROUND(-SUMIFS(JournalAnswer[Dr Amt],JournalAnswer[Debit Account],BB63,JournalAnswer[ref3],"TRUE")+SUMIFS(JournalAnswer[Cr Amt],JournalAnswer[Credit Account],BB63,JournalAnswer[ref3],"TRUE"),2)</f>
        <v>1</v>
      </c>
      <c r="BG63" s="216" cm="1">
        <f t="array" ref="BG63">ROUND(IF(NI_CFO_Recon_Liabilities[[#This Row],[Account]]&lt;&gt;"",_xlfn._xlws.FILTER(FSBuilder[Amount],(FSBuilder[Account or Explanation]=NI_CFO_Recon_Liabilities[[#This Row],[Account]])*(FSBuilder[Statement]=$BA$6),0),0),2)</f>
        <v>0</v>
      </c>
      <c r="BH63" s="392">
        <f ca="1">IF(ABS(NI_CFO_Recon_Liabilities[[#This Row],[AmtJournal]])&gt;0,1,0)</f>
        <v>1</v>
      </c>
      <c r="BI63" s="392">
        <f ca="1">IF(ABS(NI_CFO_Recon_Liabilities[[#This Row],[AmtAnswer]])&gt;0,1,0)</f>
        <v>1</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x14ac:dyDescent="0.3">
      <c r="B64" s="192" cm="1">
        <f t="array" ref="B64">_xlfn.IFS(AND(BNonCurrLiabs[[#This Row],[Used]]=1,BNonCurrLiabs[[#This Row],[Order]]=1),6,AND(BNonCurrLiabs[[#This Row],[Used]]=1,BNonCurrLiabs[[#This Row],[Order]]&gt;1),7,BNonCurrLiabs[[#This Row],[Used]]=0,8)</f>
        <v>8</v>
      </c>
      <c r="C64" t="s">
        <v>677</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664</v>
      </c>
      <c r="BC64" s="370">
        <f>IF(ABS(NI_CFO_Recon_Liabilities[[#This Row],[AmtJournal]])&gt;0,1,0)</f>
        <v>0</v>
      </c>
      <c r="BD64" s="216">
        <f ca="1">NI_CFO_Recon_Liabilities[[#This Row],[Used]]+SUM(BC57:BC63)</f>
        <v>3</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x14ac:dyDescent="0.3">
      <c r="B65" s="192" cm="1">
        <f t="array" ref="B65">_xlfn.IFS(AND(BNonCurrLiabs[[#This Row],[Used]]=1,BNonCurrLiabs[[#This Row],[Order]]=1),6,AND(BNonCurrLiabs[[#This Row],[Used]]=1,BNonCurrLiabs[[#This Row],[Order]]&gt;1),7,BNonCurrLiabs[[#This Row],[Used]]=0,8)</f>
        <v>8</v>
      </c>
      <c r="C65" t="s">
        <v>678</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667</v>
      </c>
      <c r="BC65" s="370">
        <f>IF(ABS(NI_CFO_Recon_Liabilities[[#This Row],[AmtJournal]])&gt;0,1,0)</f>
        <v>0</v>
      </c>
      <c r="BD65" s="216">
        <f ca="1">NI_CFO_Recon_Liabilities[[#This Row],[Used]]+SUM(BC57:BC64)</f>
        <v>3</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x14ac:dyDescent="0.3">
      <c r="B66" s="192" cm="1">
        <f t="array" ref="B66">_xlfn.IFS(AND(BNonCurrLiabs[[#This Row],[Used]]=1,BNonCurrLiabs[[#This Row],[Order]]=1),6,AND(BNonCurrLiabs[[#This Row],[Used]]=1,BNonCurrLiabs[[#This Row],[Order]]&gt;1),7,BNonCurrLiabs[[#This Row],[Used]]=0,8)</f>
        <v>8</v>
      </c>
      <c r="C66" t="s">
        <v>679</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668</v>
      </c>
      <c r="BC66" s="370">
        <f>IF(ABS(NI_CFO_Recon_Liabilities[[#This Row],[AmtJournal]])&gt;0,1,0)</f>
        <v>0</v>
      </c>
      <c r="BD66" s="216">
        <f ca="1">NI_CFO_Recon_Liabilities[[#This Row],[Used]]+SUM(BC57:BC65)</f>
        <v>3</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x14ac:dyDescent="0.3">
      <c r="B67" s="192" cm="1">
        <f t="array" ref="B67">_xlfn.IFS(AND(BNonCurrLiabs[[#This Row],[Used]]=1,BNonCurrLiabs[[#This Row],[Order]]=1),6,AND(BNonCurrLiabs[[#This Row],[Used]]=1,BNonCurrLiabs[[#This Row],[Order]]&gt;1),7,BNonCurrLiabs[[#This Row],[Used]]=0,8)</f>
        <v>8</v>
      </c>
      <c r="C67" t="s">
        <v>680</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669</v>
      </c>
      <c r="BC67" s="370">
        <f>IF(ABS(NI_CFO_Recon_Liabilities[[#This Row],[AmtJournal]])&gt;0,1,0)</f>
        <v>0</v>
      </c>
      <c r="BD67" s="216">
        <f ca="1">NI_CFO_Recon_Liabilities[[#This Row],[Used]]+SUM(BC57:BC66)</f>
        <v>3</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x14ac:dyDescent="0.3">
      <c r="B68" s="192" cm="1">
        <f t="array" ref="B68">_xlfn.IFS(AND(BNonCurrLiabs[[#This Row],[Used]]=1,BNonCurrLiabs[[#This Row],[Order]]=1),6,AND(BNonCurrLiabs[[#This Row],[Used]]=1,BNonCurrLiabs[[#This Row],[Order]]&gt;1),7,BNonCurrLiabs[[#This Row],[Used]]=0,8)</f>
        <v>8</v>
      </c>
      <c r="C68" t="s">
        <v>681</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670</v>
      </c>
      <c r="BC68" s="370">
        <f>IF(ABS(NI_CFO_Recon_Liabilities[[#This Row],[AmtJournal]])&gt;0,1,0)</f>
        <v>0</v>
      </c>
      <c r="BD68" s="216">
        <f ca="1">NI_CFO_Recon_Liabilities[[#This Row],[Used]]+SUM(BC57:BC67)</f>
        <v>3</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x14ac:dyDescent="0.3">
      <c r="B69" s="192" cm="1">
        <f t="array" ref="B69">_xlfn.IFS(AND(BNonCurrLiabs[[#This Row],[Used]]=1,BNonCurrLiabs[[#This Row],[Order]]=1),6,AND(BNonCurrLiabs[[#This Row],[Used]]=1,BNonCurrLiabs[[#This Row],[Order]]&gt;1),7,BNonCurrLiabs[[#This Row],[Used]]=0,8)</f>
        <v>8</v>
      </c>
      <c r="C69" t="s">
        <v>682</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679</v>
      </c>
      <c r="BC69" s="370">
        <f>IF(ABS(NI_CFO_Recon_Liabilities[[#This Row],[AmtJournal]])&gt;0,1,0)</f>
        <v>0</v>
      </c>
      <c r="BD69" s="216">
        <f ca="1">NI_CFO_Recon_Liabilities[[#This Row],[Used]]+SUM(BC57:BC68)</f>
        <v>3</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x14ac:dyDescent="0.3">
      <c r="B70" s="192" cm="1">
        <f t="array" ref="B70">_xlfn.IFS(AND(BNonCurrLiabs[[#This Row],[Used]]=1,BNonCurrLiabs[[#This Row],[Order]]=1),6,AND(BNonCurrLiabs[[#This Row],[Used]]=1,BNonCurrLiabs[[#This Row],[Order]]&gt;1),7,BNonCurrLiabs[[#This Row],[Used]]=0,8)</f>
        <v>8</v>
      </c>
      <c r="C70" t="s">
        <v>683</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 ca="1">NI_CFO_Recon_Liabilities[[#This Row],[Used]]+SUM(BC57:BC69)</f>
        <v>3</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x14ac:dyDescent="0.3">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 ca="1">NI_CFO_Recon_Liabilities[[#This Row],[Used]]+SUM(BC57:BC70)</f>
        <v>3</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308</v>
      </c>
      <c r="BN71" s="370"/>
      <c r="BO71" s="370"/>
      <c r="BP71" s="367">
        <f>SUM(BP61:BP70)</f>
        <v>20</v>
      </c>
      <c r="BQ71" s="367">
        <f t="shared" ref="BQ71:BR71" si="18">SUM(BQ61:BQ70)</f>
        <v>20</v>
      </c>
      <c r="BR71" s="367">
        <f t="shared" si="18"/>
        <v>0</v>
      </c>
      <c r="BS71" s="392"/>
      <c r="BT71" s="392"/>
      <c r="BU71" s="392"/>
    </row>
    <row r="72" spans="2:73" x14ac:dyDescent="0.3">
      <c r="B72" s="192">
        <v>5</v>
      </c>
      <c r="C72" t="s">
        <v>308</v>
      </c>
      <c r="D72" s="370"/>
      <c r="E72" s="370"/>
      <c r="F72" s="367">
        <f>ROUND(SUBTOTAL(9,F62:F71),2)</f>
        <v>0</v>
      </c>
      <c r="G72" s="316"/>
      <c r="AS72"/>
      <c r="AT72"/>
      <c r="AU72"/>
      <c r="AV72"/>
      <c r="AW72"/>
      <c r="AX72"/>
      <c r="AY72"/>
      <c r="AZ72"/>
      <c r="BA72" s="192">
        <f>IF(NI_CFO_Recon_Liabilities[[#This Row],[Used]]=1,7,8)</f>
        <v>8</v>
      </c>
      <c r="BC72" s="370">
        <f>IF(ABS(NI_CFO_Recon_Liabilities[[#This Row],[AmtJournal]])&gt;0,1,0)</f>
        <v>0</v>
      </c>
      <c r="BD72" s="216">
        <f ca="1">NI_CFO_Recon_Liabilities[[#This Row],[Used]]+SUM(BC57:BC71)</f>
        <v>3</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272</v>
      </c>
      <c r="BN72" s="391"/>
      <c r="BO72" s="391"/>
      <c r="BP72" s="494">
        <f>BP57+BP71</f>
        <v>37.549999999999997</v>
      </c>
      <c r="BQ72" s="367">
        <f t="shared" ref="BQ72:BR72" si="19">BQ57+BQ71</f>
        <v>37.549999999999997</v>
      </c>
      <c r="BR72" s="367">
        <f t="shared" si="19"/>
        <v>0</v>
      </c>
      <c r="BS72" s="495"/>
      <c r="BT72" s="495"/>
      <c r="BU72" s="495"/>
    </row>
    <row r="73" spans="2:73" x14ac:dyDescent="0.3">
      <c r="B73" s="192">
        <v>3</v>
      </c>
      <c r="C73" s="5" t="s">
        <v>272</v>
      </c>
      <c r="D73" s="391"/>
      <c r="E73" s="391"/>
      <c r="F73" s="373">
        <f>ROUND(F58+F72,2)</f>
        <v>0</v>
      </c>
      <c r="G73" s="316"/>
      <c r="AS73"/>
      <c r="AT73"/>
      <c r="AU73"/>
      <c r="AV73"/>
      <c r="AW73"/>
      <c r="AX73"/>
      <c r="AY73"/>
      <c r="AZ73"/>
      <c r="BB73" s="181" t="s">
        <v>684</v>
      </c>
      <c r="BC73" s="370"/>
      <c r="BD73" s="216"/>
      <c r="BE73" s="390">
        <f ca="1">SUBTOTAL(9,BE7:BE72)</f>
        <v>5.05</v>
      </c>
      <c r="BF73" s="390">
        <f ca="1">SUBTOTAL(9,BF7:BF72)</f>
        <v>5.05</v>
      </c>
      <c r="BG73" s="390">
        <f>SUBTOTAL(9,BG7:BG72)</f>
        <v>0</v>
      </c>
      <c r="BH73" s="392"/>
      <c r="BI73" s="392"/>
      <c r="BJ73" s="392"/>
      <c r="BK73" s="216"/>
      <c r="BN73" s="316"/>
      <c r="BO73" s="316"/>
      <c r="BP73" s="316"/>
    </row>
    <row r="74" spans="2:73" x14ac:dyDescent="0.3">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x14ac:dyDescent="0.3">
      <c r="B75" s="5" t="s">
        <v>39</v>
      </c>
      <c r="D75" s="316"/>
      <c r="E75" s="316"/>
      <c r="F75" s="316"/>
      <c r="G75" s="316"/>
      <c r="AS75"/>
      <c r="AT75"/>
      <c r="AU75"/>
      <c r="AV75"/>
      <c r="AW75"/>
      <c r="AX75"/>
      <c r="AY75"/>
      <c r="AZ75"/>
      <c r="BA75" s="5" t="s">
        <v>685</v>
      </c>
      <c r="BD75" s="216"/>
      <c r="BE75" s="216"/>
      <c r="BF75" s="216"/>
      <c r="BG75" s="216"/>
      <c r="BH75" s="216"/>
      <c r="BI75" s="216"/>
      <c r="BJ75" s="216"/>
      <c r="BK75" s="216"/>
      <c r="BL75" s="379" t="s">
        <v>584</v>
      </c>
      <c r="BM75" s="379" t="s">
        <v>542</v>
      </c>
      <c r="BN75" s="379" t="s">
        <v>585</v>
      </c>
      <c r="BO75" s="466" t="s">
        <v>586</v>
      </c>
      <c r="BP75" s="379" t="s">
        <v>581</v>
      </c>
      <c r="BQ75" s="379" t="s">
        <v>582</v>
      </c>
      <c r="BR75" s="379" t="s">
        <v>583</v>
      </c>
      <c r="BS75" s="470" t="s">
        <v>587</v>
      </c>
      <c r="BT75" s="470" t="s">
        <v>588</v>
      </c>
      <c r="BU75" s="470" t="s">
        <v>589</v>
      </c>
    </row>
    <row r="76" spans="2:73" x14ac:dyDescent="0.3">
      <c r="B76" s="375" t="s">
        <v>584</v>
      </c>
      <c r="C76" s="313" t="s">
        <v>542</v>
      </c>
      <c r="D76" s="376" t="s">
        <v>585</v>
      </c>
      <c r="E76" s="377" t="s">
        <v>586</v>
      </c>
      <c r="F76" s="376" t="s">
        <v>433</v>
      </c>
      <c r="G76" s="316"/>
      <c r="AS76"/>
      <c r="AT76"/>
      <c r="AU76"/>
      <c r="AV76"/>
      <c r="AW76"/>
      <c r="AX76"/>
      <c r="AY76"/>
      <c r="AZ76"/>
      <c r="BA76" s="379" t="s">
        <v>584</v>
      </c>
      <c r="BB76" s="379" t="s">
        <v>542</v>
      </c>
      <c r="BC76" s="379" t="s">
        <v>585</v>
      </c>
      <c r="BD76" s="466" t="s">
        <v>586</v>
      </c>
      <c r="BE76" s="379" t="s">
        <v>581</v>
      </c>
      <c r="BF76" s="379" t="s">
        <v>582</v>
      </c>
      <c r="BG76" s="379" t="s">
        <v>583</v>
      </c>
      <c r="BH76" s="470" t="s">
        <v>587</v>
      </c>
      <c r="BI76" s="470" t="s">
        <v>588</v>
      </c>
      <c r="BJ76" s="470" t="s">
        <v>589</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x14ac:dyDescent="0.3">
      <c r="B77" s="192" cm="1">
        <f t="array" ref="B77">_xlfn.IFS(AND(BEquities[[#This Row],[Used]]=1,BEquities[[#This Row],[Order]]=1),6,AND(BEquities[[#This Row],[Used]]=1,BEquities[[#This Row],[Order]]&gt;1),7,BEquities[[#This Row],[Used]]=0,8)</f>
        <v>8</v>
      </c>
      <c r="C77" t="s">
        <v>249</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 ca="1">IF(ReqdDisclosures124[[#This Row],[Used]]=1,7,8)</f>
        <v>8</v>
      </c>
      <c r="BB77" t="s">
        <v>686</v>
      </c>
      <c r="BC77" s="392">
        <f ca="1">IF(ABS(ReqdDisclosures124[[#This Row],[AmtJournal]])&gt;0,1,0)</f>
        <v>0</v>
      </c>
      <c r="BD77" s="216">
        <f ca="1">ReqdDisclosures124[[#This Row],[Used]]</f>
        <v>0</v>
      </c>
      <c r="BE77" s="351">
        <f ca="1">ROUND(SUMIFS(Journal[Cr Amt],Journal[ref1],"PdTx",Journal[Credit Account],"Cash"),2)</f>
        <v>0</v>
      </c>
      <c r="BF77" s="216">
        <f ca="1">ROUND(SUMIFS(JournalAnswer[Cr Amt],JournalAnswer[ref1],"PdTx",JournalAnswer[Credit Account],"Cash"),2)</f>
        <v>0</v>
      </c>
      <c r="BG77" s="216" cm="1">
        <f t="array" ref="BG77">ROUND(IF(ReqdDisclosures124[[#This Row],[Account]]&lt;&gt;"",_xlfn._xlws.FILTER(FSBuilder[Amount],FSBuilder[Account or Explanation]=ReqdDisclosures124[[#This Row],[Account]],0),0),2)</f>
        <v>0</v>
      </c>
      <c r="BH77" s="392">
        <f ca="1">IF(ABS(ReqdDisclosures124[[#This Row],[AmtJournal]])&gt;0,1,0)</f>
        <v>0</v>
      </c>
      <c r="BI77" s="392">
        <f ca="1">IF(ABS(ReqdDisclosures124[[#This Row],[AmtAnswer]])&gt;0,1,0)</f>
        <v>0</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100</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100</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x14ac:dyDescent="0.3">
      <c r="B78" s="192" cm="1">
        <f t="array" ref="B78">_xlfn.IFS(AND(BEquities[[#This Row],[Used]]=1,BEquities[[#This Row],[Order]]=1),6,AND(BEquities[[#This Row],[Used]]=1,BEquities[[#This Row],[Order]]&gt;1),7,BEquities[[#This Row],[Used]]=0,8)</f>
        <v>6</v>
      </c>
      <c r="C78" t="s">
        <v>65</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0</v>
      </c>
      <c r="G78" s="316"/>
      <c r="AS78"/>
      <c r="AT78"/>
      <c r="AU78"/>
      <c r="AV78"/>
      <c r="AW78"/>
      <c r="AX78"/>
      <c r="AY78"/>
      <c r="AZ78"/>
      <c r="BA78" s="192">
        <f ca="1">IF(ReqdDisclosures124[[#This Row],[Used]]=1,7,8)</f>
        <v>8</v>
      </c>
      <c r="BB78" t="s">
        <v>687</v>
      </c>
      <c r="BC78" s="392">
        <f ca="1">IF(ABS(ReqdDisclosures124[[#This Row],[AmtJournal]])&gt;0,1,0)</f>
        <v>0</v>
      </c>
      <c r="BD78" s="216">
        <f ca="1">ReqdDisclosures124[[#This Row],[Used]]+BC77</f>
        <v>0</v>
      </c>
      <c r="BE78" s="351">
        <f ca="1">ROUND(SUMIFS(Journal[Cr Amt],Journal[ref1],"PdTx",Journal[Credit Account],"Cash"),2)</f>
        <v>0</v>
      </c>
      <c r="BF78" s="216">
        <f ca="1">ROUND(SUMIFS(JournalAnswer[Cr Amt],JournalAnswer[ref1],"PdInt",JournalAnswer[Credit Account],"Cash"),2)</f>
        <v>0</v>
      </c>
      <c r="BG78" s="216" cm="1">
        <f t="array" ref="BG78">ROUND(IF(ReqdDisclosures124[[#This Row],[Account]]&lt;&gt;"",_xlfn._xlws.FILTER(FSBuilder[Amount],FSBuilder[Account or Explanation]=ReqdDisclosures124[[#This Row],[Account]],0),0),2)</f>
        <v>0</v>
      </c>
      <c r="BH78" s="392">
        <f ca="1">IF(ABS(ReqdDisclosures124[[#This Row],[AmtJournal]])&gt;0,1,0)</f>
        <v>0</v>
      </c>
      <c r="BI78" s="392">
        <f ca="1">IF(ABS(ReqdDisclosures124[[#This Row],[AmtAnswer]])&gt;0,1,0)</f>
        <v>0</v>
      </c>
      <c r="BJ78" s="392">
        <f>IF(ABS(ReqdDisclosures124[[#This Row],[AmtFSBuilder]])&gt;0,1,0)</f>
        <v>0</v>
      </c>
      <c r="BK78" s="216"/>
      <c r="BL78" s="192" cm="1">
        <f t="array" ref="BL78">_xlfn.IFS(AND(EEquities[[#This Row],[Used]]=1,EEquities[[#This Row],[Order]]=1),6,AND(EEquities[[#This Row],[Used]]=1,EEquities[[#This Row],[Order]]&gt;1),7,EEquities[[#This Row],[Used]]=0,8)</f>
        <v>8</v>
      </c>
      <c r="BM78" t="str">
        <f t="shared" si="20"/>
        <v>Additional Paid-in Capital</v>
      </c>
      <c r="BN78" s="370">
        <f>IF(ISNUMBER(_xlfn.XLOOKUP(EEquities[[#This Row],[Account]],MD_Equity[Account Name],MD_Equity[Used])),_xlfn.XLOOKUP(EEquities[[#This Row],[Account]],MD_Equity[Account Name],MD_Equity[Used]),0)</f>
        <v>0</v>
      </c>
      <c r="BO78" s="370">
        <f>IF(EEquities[[#This Row],[Used]]=1,EEquities[[#This Row],[Used]]+SUM(BN76:BN77),0)</f>
        <v>0</v>
      </c>
      <c r="BP78" s="34">
        <f>ROUND(_xlfn.IFNA((_xlfn.XLOOKUP(EEquities[[#This Row],[Account]],BegBalanceSheet_Equities[Account],BegBalanceSheet_Equities[Amount]))-SUMIF(Journal[Debit Account],EEquities[[#This Row],[Account]],Journal[Dr Amt])+SUMIF(Journal[Credit Account],EEquities[[#This Row],[Account]],Journal[Cr Amt]),0),2)</f>
        <v>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8" s="34" cm="1">
        <f t="array" ref="BR78">ROUND(IF(EEquities[[#This Row],[Account]]&lt;&gt;"",_xlfn._xlws.FILTER(FSBuilder[Amount],(FSBuilder[Account or Explanation]=EEquities[[#This Row],[Account]])*(FSBuilder[Statement]="Ending Balance Sheet"),0),0),2)</f>
        <v>0</v>
      </c>
      <c r="BS78" s="392">
        <f>EEquities[[#This Row],[Used]]*(EEquities[[#This Row],[AmtJournal]]&lt;&gt;0)</f>
        <v>0</v>
      </c>
      <c r="BT78" s="392">
        <f>EEquities[[#This Row],[Used]]*(EEquities[[#This Row],[AmtAnswer]]&lt;&gt;0)</f>
        <v>0</v>
      </c>
      <c r="BU78" s="392">
        <f>EEquities[[#This Row],[Used]]*(EEquities[[#This Row],[AmtFSBuilder]]&lt;&gt;0)</f>
        <v>0</v>
      </c>
    </row>
    <row r="79" spans="2:73" x14ac:dyDescent="0.3">
      <c r="B79" s="192" cm="1">
        <f t="array" ref="B79">_xlfn.IFS(AND(BEquities[[#This Row],[Used]]=1,BEquities[[#This Row],[Order]]=1),6,AND(BEquities[[#This Row],[Used]]=1,BEquities[[#This Row],[Order]]&gt;1),7,BEquities[[#This Row],[Used]]=0,8)</f>
        <v>8</v>
      </c>
      <c r="C79" t="s">
        <v>255</v>
      </c>
      <c r="D79" s="370">
        <f>IF(ISNUMBER(_xlfn.XLOOKUP(BEquities[[#This Row],[Account]],MD_Equity[Account Name],MD_Equity[Used])),_xlfn.XLOOKUP(BEquities[[#This Row],[Account]],MD_Equity[Account Name],MD_Equity[Used]),0)</f>
        <v>0</v>
      </c>
      <c r="E79" s="370">
        <f>IF(BEquities[[#This Row],[Used]]=1,BEquities[[#This Row],[Used]]+SUM(D77:D78),0)</f>
        <v>0</v>
      </c>
      <c r="F79" s="34">
        <f>ROUND(_xlfn.IFNA(_xlfn.XLOOKUP(C79,BegBalanceSheet_Equities[Account],BegBalanceSheet_Equities[Amount]),0),2)</f>
        <v>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x14ac:dyDescent="0.3">
      <c r="B80" s="192" cm="1">
        <f t="array" ref="B80">_xlfn.IFS(AND(BEquities[[#This Row],[Used]]=1,BEquities[[#This Row],[Order]]=1),6,AND(BEquities[[#This Row],[Used]]=1,BEquities[[#This Row],[Order]]&gt;1),7,BEquities[[#This Row],[Used]]=0,8)</f>
        <v>8</v>
      </c>
      <c r="C80" t="s">
        <v>261</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166</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2</v>
      </c>
      <c r="BP80" s="34">
        <f>ROUND(_xlfn.IFNA((_xlfn.XLOOKUP(EEquities[[#This Row],[Account]],BegBalanceSheet_Equities[Account],BegBalanceSheet_Equities[Amount]))-SUMIF(Journal[Debit Account],EEquities[[#This Row],[Account]],Journal[Dr Amt])+SUMIF(Journal[Credit Account],EEquities[[#This Row],[Account]],Journal[Cr Amt]),0),2)</f>
        <v>-4.2</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-4.2</v>
      </c>
      <c r="BR80" s="34" cm="1">
        <f t="array" ref="BR80">ROUND(IF(EEquities[[#This Row],[Account]]&lt;&gt;"",_xlfn._xlws.FILTER(FSBuilder[Amount],(FSBuilder[Account or Explanation]=EEquities[[#This Row],[Account]])*(FSBuilder[Statement]="Ending Balance Sheet"),0),0),2)</f>
        <v>0</v>
      </c>
      <c r="BS80" s="392">
        <f>EEquities[[#This Row],[Used]]*(EEquities[[#This Row],[AmtJournal]]&lt;&gt;0)</f>
        <v>1</v>
      </c>
      <c r="BT80" s="392">
        <f>EEquities[[#This Row],[Used]]*(EEquities[[#This Row],[AmtAnswer]]&lt;&gt;0)</f>
        <v>1</v>
      </c>
      <c r="BU80" s="392">
        <f>EEquities[[#This Row],[Used]]*(EEquities[[#This Row],[AmtFSBuilder]]&lt;&gt;0)</f>
        <v>0</v>
      </c>
    </row>
    <row r="81" spans="2:73" x14ac:dyDescent="0.3">
      <c r="B81" s="192" cm="1">
        <f t="array" ref="B81">_xlfn.IFS(AND(BEquities[[#This Row],[Used]]=1,BEquities[[#This Row],[Order]]=1),6,AND(BEquities[[#This Row],[Used]]=1,BEquities[[#This Row],[Order]]&gt;1),7,BEquities[[#This Row],[Used]]=0,8)</f>
        <v>7</v>
      </c>
      <c r="C81" t="s">
        <v>86</v>
      </c>
      <c r="D81" s="370">
        <f>IF(ISNUMBER(_xlfn.XLOOKUP(BEquities[[#This Row],[Account]],MD_Equity[Account Name],MD_Equity[Used])),_xlfn.XLOOKUP(BEquities[[#This Row],[Account]],MD_Equity[Account Name],MD_Equity[Used]),0)</f>
        <v>1</v>
      </c>
      <c r="E81" s="370">
        <f>IF(BEquities[[#This Row],[Used]]=1,BEquities[[#This Row],[Used]]+SUM(D77:D80),0)</f>
        <v>2</v>
      </c>
      <c r="F81" s="34">
        <f>ROUND(_xlfn.IFNA(_xlfn.XLOOKUP(C81,BegBalanceSheet_Equities[Account],BegBalanceSheet_Equities[Amount]),0),2)</f>
        <v>0</v>
      </c>
      <c r="G81" s="316"/>
      <c r="AS81"/>
      <c r="AT81"/>
      <c r="AU81"/>
      <c r="AV81"/>
      <c r="AW81"/>
      <c r="AX81"/>
      <c r="AY81"/>
      <c r="AZ81"/>
      <c r="BA81" s="379" t="s">
        <v>584</v>
      </c>
      <c r="BB81" s="379" t="s">
        <v>542</v>
      </c>
      <c r="BC81" s="379" t="s">
        <v>585</v>
      </c>
      <c r="BD81" s="466" t="s">
        <v>586</v>
      </c>
      <c r="BE81" s="379" t="s">
        <v>581</v>
      </c>
      <c r="BF81" s="379" t="s">
        <v>582</v>
      </c>
      <c r="BG81" s="379" t="s">
        <v>583</v>
      </c>
      <c r="BH81" s="470" t="s">
        <v>587</v>
      </c>
      <c r="BI81" s="470" t="s">
        <v>588</v>
      </c>
      <c r="BJ81" s="470" t="s">
        <v>589</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x14ac:dyDescent="0.3">
      <c r="B82" s="192" cm="1">
        <f t="array" ref="B82">_xlfn.IFS(AND(BEquities[[#This Row],[Used]]=1,BEquities[[#This Row],[Order]]=1),6,AND(BEquities[[#This Row],[Used]]=1,BEquities[[#This Row],[Order]]&gt;1),7,BEquities[[#This Row],[Used]]=0,8)</f>
        <v>8</v>
      </c>
      <c r="C82" t="s">
        <v>263</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 ca="1">IF(NI_CFO_Recon_Adjs[[#This Row],[Used]]=1,7,8)</f>
        <v>7</v>
      </c>
      <c r="BB82" s="3" t="s">
        <v>642</v>
      </c>
      <c r="BC82" s="391">
        <f ca="1">IF(ABS(NI_CFO_Recon_Adjs[[#This Row],[AmtJournal]])&gt;0,1,0)</f>
        <v>1</v>
      </c>
      <c r="BD82" s="216">
        <f ca="1">NI_CFO_Recon_Adjs[[#This Row],[Used]]</f>
        <v>1</v>
      </c>
      <c r="BE82" s="34">
        <f ca="1">ROUND(SUMIFS(Journal[Cr Amt],Journal[Credit Account],"Accumulated Depreciation",Journal[ref1],"RecDeprExp")+SUMIFS(Journal[Cr Amt],Journal[Credit Account],"Accumulated Depreciation",Journal[ref1],"RecDeprAmortExp"),2)</f>
        <v>7.5</v>
      </c>
      <c r="BF82" s="34">
        <f ca="1">ROUND(SUMIFS(JournalAnswer[Cr Amt],JournalAnswer[Credit Account],"Accumulated Depreciation",JournalAnswer[ref1],"RecDeprExp")+SUMIFS(JournalAnswer[Cr Amt],JournalAnswer[Credit Account],"Accumulated Depreciation",JournalAnswer[ref1],"RecDeprAmortExp"),2)</f>
        <v>7.5</v>
      </c>
      <c r="BG82" s="216" cm="1">
        <f t="array" ref="BG82">ROUND(IF(NI_CFO_Recon_Adjs[[#This Row],[Account]]&lt;&gt;"",_xlfn._xlws.FILTER(FSBuilder[Amount],(FSBuilder[Account or Explanation]=NI_CFO_Recon_Adjs[[#This Row],[Account]])*(FSBuilder[Statement]="Cash Flow Statement"),0),0),2)</f>
        <v>0</v>
      </c>
      <c r="BH82" s="392">
        <f ca="1">IF(ABS(NI_CFO_Recon_Adjs[[#This Row],[AmtJournal]])&gt;0,1,0)</f>
        <v>1</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x14ac:dyDescent="0.3">
      <c r="B83" s="192" cm="1">
        <f t="array" ref="B83">_xlfn.IFS(AND(BEquities[[#This Row],[Used]]=1,BEquities[[#This Row],[Order]]=1),6,AND(BEquities[[#This Row],[Used]]=1,BEquities[[#This Row],[Order]]&gt;1),7,BEquities[[#This Row],[Used]]=0,8)</f>
        <v>8</v>
      </c>
      <c r="C83" t="s">
        <v>688</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644</v>
      </c>
      <c r="BC83" s="391">
        <f>IF(ABS(NI_CFO_Recon_Adjs[[#This Row],[AmtJournal]])&gt;0,1,0)</f>
        <v>0</v>
      </c>
      <c r="BD83" s="391">
        <f ca="1">NI_CFO_Recon_Adjs[[#This Row],[Used]]+BC82</f>
        <v>1</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273</v>
      </c>
      <c r="BN83" s="391">
        <v>1</v>
      </c>
      <c r="BO83" s="370"/>
      <c r="BP83" s="475">
        <f>ROUND(SUM(BP76:BP82),2)</f>
        <v>95.8</v>
      </c>
      <c r="BQ83" s="475">
        <f t="shared" ref="BQ83:BR83" si="21">ROUND(SUM(BQ76:BQ82),2)</f>
        <v>95.8</v>
      </c>
      <c r="BR83" s="475">
        <f t="shared" si="21"/>
        <v>0</v>
      </c>
      <c r="BS83" s="475"/>
      <c r="BT83" s="475"/>
      <c r="BU83" s="475"/>
    </row>
    <row r="84" spans="2:73" x14ac:dyDescent="0.3">
      <c r="B84" s="192">
        <v>3</v>
      </c>
      <c r="C84" s="5" t="s">
        <v>273</v>
      </c>
      <c r="D84" s="391"/>
      <c r="E84" s="370"/>
      <c r="F84" s="475">
        <f>ROUND(SUBTOTAL(9,F77:F83),2)</f>
        <v>0</v>
      </c>
      <c r="AS84"/>
      <c r="AT84"/>
      <c r="AU84"/>
      <c r="AV84"/>
      <c r="AW84"/>
      <c r="AX84"/>
      <c r="AY84"/>
      <c r="AZ84"/>
      <c r="BA84" s="192">
        <f ca="1">IF(NI_CFO_Recon_Adjs[[#This Row],[Used]]=1,7,8)</f>
        <v>8</v>
      </c>
      <c r="BB84" s="3" t="s">
        <v>647</v>
      </c>
      <c r="BC84" s="391">
        <f ca="1">IF(ABS(NI_CFO_Recon_Adjs[[#This Row],[AmtJournal]])&gt;0,1,0)</f>
        <v>0</v>
      </c>
      <c r="BD84" s="392">
        <f ca="1">NI_CFO_Recon_Adjs[[#This Row],[Used]]+SUM(BC82:BC83)</f>
        <v>1</v>
      </c>
      <c r="BE84" s="34">
        <f ca="1">ROUND(SUMIFS(Journal[Cr Amt],Journal[Credit Account],"Common Stock",Journal[ref1],"SBC")+SUMIFS(Journal[Cr Amt],Journal[Credit Account],"Additional Paid-in Capital",Journal[ref1],"SBC"),2)</f>
        <v>0</v>
      </c>
      <c r="BF84" s="34">
        <f ca="1">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 ca="1">IF(ABS(NI_CFO_Recon_Adjs[[#This Row],[AmtJournal]])&gt;0,1,0)</f>
        <v>0</v>
      </c>
      <c r="BI84" s="392">
        <f ca="1">IF(ABS(NI_CFO_Recon_Adjs[[#This Row],[AmtAnswer]])&gt;0,1,0)</f>
        <v>0</v>
      </c>
      <c r="BJ84" s="392">
        <f>IF(ABS(NI_CFO_Recon_Adjs[[#This Row],[AmtFSBuilder]])&gt;0,1,0)</f>
        <v>0</v>
      </c>
      <c r="BK84" s="351"/>
      <c r="BN84" s="391"/>
      <c r="BO84" s="391"/>
      <c r="BP84" s="496"/>
    </row>
    <row r="85" spans="2:73" x14ac:dyDescent="0.3">
      <c r="B85" s="192">
        <v>3</v>
      </c>
      <c r="C85" s="5" t="s">
        <v>689</v>
      </c>
      <c r="D85" s="391"/>
      <c r="E85" s="391"/>
      <c r="F85" s="475">
        <f>ROUND(F73+F84,2)</f>
        <v>0</v>
      </c>
      <c r="AS85"/>
      <c r="AT85"/>
      <c r="AU85"/>
      <c r="AV85"/>
      <c r="AW85"/>
      <c r="AX85"/>
      <c r="AY85"/>
      <c r="AZ85"/>
      <c r="BA85" s="192">
        <f>IF(NI_CFO_Recon_Adjs[[#This Row],[Used]]=1,7,8)</f>
        <v>8</v>
      </c>
      <c r="BB85" s="3" t="s">
        <v>594</v>
      </c>
      <c r="BC85" s="391">
        <f>IF(ABS(NI_CFO_Recon_Adjs[[#This Row],[AmtJournal]])&gt;0,1,0)</f>
        <v>0</v>
      </c>
      <c r="BD85" s="392">
        <f ca="1">NI_CFO_Recon_Adjs[[#This Row],[Used]]+SUM(BC82:BC84)</f>
        <v>1</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689</v>
      </c>
      <c r="BN85" s="391">
        <v>1</v>
      </c>
      <c r="BO85" s="391"/>
      <c r="BP85" s="475">
        <f>ROUND(BP72+BP83,2)</f>
        <v>133.35</v>
      </c>
      <c r="BQ85" s="475">
        <f t="shared" ref="BQ85:BR85" si="22">ROUND(BQ72+BQ83,2)</f>
        <v>133.35</v>
      </c>
      <c r="BR85" s="475">
        <f t="shared" si="22"/>
        <v>0</v>
      </c>
      <c r="BS85" s="475"/>
      <c r="BT85" s="475"/>
      <c r="BU85" s="475"/>
    </row>
    <row r="86" spans="2:73" x14ac:dyDescent="0.3">
      <c r="AS86"/>
      <c r="AT86"/>
      <c r="AU86"/>
      <c r="AV86"/>
      <c r="AW86"/>
      <c r="AX86"/>
      <c r="AY86"/>
      <c r="AZ86"/>
      <c r="BA86" s="192">
        <f>IF(NI_CFO_Recon_Adjs[[#This Row],[Used]]=1,7,8)</f>
        <v>8</v>
      </c>
      <c r="BB86" s="3" t="s">
        <v>597</v>
      </c>
      <c r="BC86" s="391">
        <f>IF(ABS(NI_CFO_Recon_Adjs[[#This Row],[AmtJournal]])&gt;0,1,0)</f>
        <v>0</v>
      </c>
      <c r="BD86" s="392">
        <f ca="1">NI_CFO_Recon_Adjs[[#This Row],[Used]]+SUM(BC82:BC85)</f>
        <v>1</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x14ac:dyDescent="0.3">
      <c r="C87" s="5" t="s">
        <v>690</v>
      </c>
      <c r="D87" s="5"/>
      <c r="I87" s="5" t="s">
        <v>691</v>
      </c>
      <c r="J87" s="5"/>
      <c r="AS87"/>
      <c r="AT87"/>
      <c r="AU87"/>
      <c r="AV87"/>
      <c r="AW87"/>
      <c r="AX87"/>
      <c r="AY87"/>
      <c r="AZ87"/>
      <c r="BA87" s="192">
        <f>IF(NI_CFO_Recon_Adjs[[#This Row],[Used]]=1,7,8)</f>
        <v>8</v>
      </c>
      <c r="BB87" s="3" t="s">
        <v>601</v>
      </c>
      <c r="BC87" s="391">
        <f>IF(ABS(NI_CFO_Recon_Adjs[[#This Row],[AmtJournal]])&gt;0,1,0)</f>
        <v>0</v>
      </c>
      <c r="BD87" s="392">
        <f ca="1">NI_CFO_Recon_Adjs[[#This Row],[Used]]+SUM(BC82:BC86)</f>
        <v>1</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x14ac:dyDescent="0.3">
      <c r="C88" t="str" cm="1">
        <f t="array" ref="C88:C100">_xlfn.VSTACK(_xlfn._xlws.FILTER(C11:C20,D11:D20),_xlfn._xlws.FILTER(C25:C34,D25:D34),_xlfn._xlws.FILTER(C41:C57,D41:D57),_xlfn._xlws.FILTER(C62:C71,D62:D71),_xlfn._xlws.FILTER(C77:C83,D77:D83))</f>
        <v>Cash</v>
      </c>
      <c r="I88" t="str" cm="1">
        <f t="array" ref="I88:I96">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603</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x14ac:dyDescent="0.3">
      <c r="C89" t="str">
        <v>Accounts Receivable</v>
      </c>
      <c r="I89" t="str">
        <v>Cost of Goods Sold</v>
      </c>
      <c r="AS89"/>
      <c r="AT89"/>
      <c r="AU89"/>
      <c r="AV89"/>
      <c r="AW89"/>
      <c r="AX89"/>
      <c r="AY89"/>
      <c r="AZ89"/>
      <c r="BA89" s="192">
        <f>IF(NI_CFO_Recon_Adjs[[#This Row],[Used]]=1,7,8)</f>
        <v>8</v>
      </c>
      <c r="BB89" s="3" t="s">
        <v>606</v>
      </c>
      <c r="BC89" s="391">
        <f>IF(ABS(NI_CFO_Recon_Adjs[[#This Row],[AmtJournal]])&gt;0,1,0)</f>
        <v>0</v>
      </c>
      <c r="BD89" s="392">
        <f ca="1">NI_CFO_Recon_Adjs[[#This Row],[Used]]+SUM(BC82:BC88)</f>
        <v>1</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x14ac:dyDescent="0.3">
      <c r="C90" t="str">
        <v>Marketable Securities</v>
      </c>
      <c r="I90" t="str">
        <v>Interest Expense</v>
      </c>
      <c r="AS90"/>
      <c r="AT90"/>
      <c r="AU90"/>
      <c r="AV90"/>
      <c r="AW90"/>
      <c r="AX90"/>
      <c r="AY90"/>
      <c r="AZ90"/>
      <c r="BA90" s="192">
        <f>IF(NI_CFO_Recon_Adjs[[#This Row],[Used]]=1,7,8)</f>
        <v>8</v>
      </c>
      <c r="BB90" s="3" t="s">
        <v>614</v>
      </c>
      <c r="BC90" s="391">
        <f>IF(ABS(NI_CFO_Recon_Adjs[[#This Row],[AmtJournal]])&gt;0,1,0)</f>
        <v>0</v>
      </c>
      <c r="BD90" s="392">
        <f ca="1">NI_CFO_Recon_Adjs[[#This Row],[Used]]+SUM(BC82:BC89)</f>
        <v>1</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x14ac:dyDescent="0.3">
      <c r="C91" t="str">
        <v>Inventories</v>
      </c>
      <c r="I91" t="str">
        <v>Depreciation Expense</v>
      </c>
      <c r="AS91"/>
      <c r="AT91"/>
      <c r="AU91"/>
      <c r="AV91"/>
      <c r="AW91"/>
      <c r="AX91"/>
      <c r="AY91"/>
      <c r="AZ91"/>
      <c r="BA91" s="192">
        <f>IF(NI_CFO_Recon_Adjs[[#This Row],[Used]]=1,7,8)</f>
        <v>8</v>
      </c>
      <c r="BB91" s="3" t="s">
        <v>618</v>
      </c>
      <c r="BC91" s="391">
        <f>IF(ABS(NI_CFO_Recon_Adjs[[#This Row],[AmtJournal]])&gt;0,1,0)</f>
        <v>0</v>
      </c>
      <c r="BD91" s="392">
        <f ca="1">NI_CFO_Recon_Adjs[[#This Row],[Used]]+SUM(BC82:BC90)</f>
        <v>1</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x14ac:dyDescent="0.3">
      <c r="C92" t="str">
        <v>Prepaid Rent</v>
      </c>
      <c r="I92" t="str">
        <v>Rent Expense</v>
      </c>
      <c r="AS92"/>
      <c r="AT92"/>
      <c r="AU92"/>
      <c r="AV92"/>
      <c r="AW92"/>
      <c r="AX92"/>
      <c r="AY92"/>
      <c r="AZ92"/>
      <c r="BA92" s="192">
        <f>IF(NI_CFO_Recon_Adjs[[#This Row],[Used]]=1,7,8)</f>
        <v>8</v>
      </c>
      <c r="BB92" s="3" t="s">
        <v>620</v>
      </c>
      <c r="BC92" s="391">
        <f>IF(ABS(NI_CFO_Recon_Adjs[[#This Row],[AmtJournal]])&gt;0,1,0)</f>
        <v>0</v>
      </c>
      <c r="BD92" s="392">
        <f ca="1">NI_CFO_Recon_Adjs[[#This Row],[Used]]+SUM(BC82:BC91)</f>
        <v>1</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x14ac:dyDescent="0.3">
      <c r="C93" t="str">
        <v>Property, Plant &amp; Equipment</v>
      </c>
      <c r="I93" t="str">
        <v>Bad Debts Expense</v>
      </c>
      <c r="AS93"/>
      <c r="AT93"/>
      <c r="AU93"/>
      <c r="AV93"/>
      <c r="AW93"/>
      <c r="AX93"/>
      <c r="AY93"/>
      <c r="AZ93"/>
      <c r="BA93" s="192">
        <f>IF(NI_CFO_Recon_Adjs[[#This Row],[Used]]=1,7,8)</f>
        <v>8</v>
      </c>
      <c r="BB93" s="3" t="s">
        <v>624</v>
      </c>
      <c r="BC93" s="391">
        <f>IF(ABS(NI_CFO_Recon_Adjs[[#This Row],[AmtJournal]])&gt;0,1,0)</f>
        <v>0</v>
      </c>
      <c r="BD93" s="392">
        <f ca="1">NI_CFO_Recon_Adjs[[#This Row],[Used]]+SUM(BC82:BC92)</f>
        <v>1</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x14ac:dyDescent="0.3">
      <c r="C94" t="str">
        <v>Accumulated Depreciation</v>
      </c>
      <c r="I94" t="str">
        <v>Salaries &amp; Wages Expense</v>
      </c>
      <c r="AS94"/>
      <c r="AT94"/>
      <c r="AU94"/>
      <c r="AV94"/>
      <c r="AW94"/>
      <c r="AX94"/>
      <c r="AY94"/>
      <c r="AZ94"/>
      <c r="BA94" s="192">
        <f>IF(NI_CFO_Recon_Adjs[[#This Row],[Used]]=1,7,8)</f>
        <v>8</v>
      </c>
      <c r="BB94" s="3" t="s">
        <v>627</v>
      </c>
      <c r="BC94" s="391">
        <f>IF(ABS(NI_CFO_Recon_Adjs[[#This Row],[AmtJournal]])&gt;0,1,0)</f>
        <v>0</v>
      </c>
      <c r="BD94" s="392">
        <f ca="1">NI_CFO_Recon_Adjs[[#This Row],[Used]]+SUM(BC82:BC93)</f>
        <v>1</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x14ac:dyDescent="0.3">
      <c r="C95" t="str">
        <v>Accounts Payable</v>
      </c>
      <c r="I95" t="str">
        <v/>
      </c>
      <c r="AS95"/>
      <c r="AT95"/>
      <c r="AU95"/>
      <c r="AV95"/>
      <c r="AW95"/>
      <c r="AX95"/>
      <c r="AY95"/>
      <c r="AZ95"/>
      <c r="BN95" s="368"/>
    </row>
    <row r="96" spans="2:73" x14ac:dyDescent="0.3">
      <c r="C96" t="str">
        <v>Interest Payable</v>
      </c>
      <c r="I96" t="str">
        <v/>
      </c>
      <c r="AS96"/>
      <c r="AT96"/>
      <c r="AU96"/>
      <c r="AV96"/>
      <c r="AW96"/>
      <c r="AX96"/>
      <c r="AY96"/>
      <c r="AZ96"/>
      <c r="BA96" s="372" t="s">
        <v>692</v>
      </c>
      <c r="BN96" s="368"/>
    </row>
    <row r="97" spans="3:66" x14ac:dyDescent="0.3">
      <c r="C97" t="str">
        <v>Salaries &amp; Wages Payable</v>
      </c>
      <c r="AS97"/>
      <c r="AT97"/>
      <c r="AU97"/>
      <c r="AV97"/>
      <c r="AW97"/>
      <c r="AX97"/>
      <c r="AY97"/>
      <c r="AZ97"/>
      <c r="BA97" s="379" t="s">
        <v>584</v>
      </c>
      <c r="BB97" s="379" t="s">
        <v>542</v>
      </c>
      <c r="BC97" s="379" t="s">
        <v>585</v>
      </c>
      <c r="BD97" s="466" t="s">
        <v>586</v>
      </c>
      <c r="BE97" s="379" t="s">
        <v>581</v>
      </c>
      <c r="BF97" s="379" t="s">
        <v>582</v>
      </c>
      <c r="BG97" s="379" t="s">
        <v>583</v>
      </c>
      <c r="BH97" s="470" t="s">
        <v>587</v>
      </c>
      <c r="BI97" s="470" t="s">
        <v>588</v>
      </c>
      <c r="BJ97" s="470" t="s">
        <v>589</v>
      </c>
      <c r="BN97" s="368"/>
    </row>
    <row r="98" spans="3:66" x14ac:dyDescent="0.3">
      <c r="C98" t="str">
        <v>Bonds Payable</v>
      </c>
      <c r="AS98"/>
      <c r="AT98"/>
      <c r="AU98"/>
      <c r="AV98"/>
      <c r="AW98"/>
      <c r="AX98"/>
      <c r="AY98"/>
      <c r="AZ98"/>
      <c r="BA98" s="192">
        <f ca="1">IF(NI_CFO_Recon_Chs_Ops[[#This Row],[Order]]=1,7,8)</f>
        <v>7</v>
      </c>
      <c r="BB98" s="3" t="s">
        <v>73</v>
      </c>
      <c r="BC98" s="391">
        <f ca="1">IF(ABS(NI_CFO_Recon_Chs_Ops[[#This Row],[AmtJournal]])&gt;0,1,0)</f>
        <v>1</v>
      </c>
      <c r="BD98" s="391">
        <f ca="1">NI_CFO_Recon_Chs_Ops[[#This Row],[Used]]</f>
        <v>1</v>
      </c>
      <c r="BE98" s="34">
        <f ca="1">ROUND(BE39,2)</f>
        <v>-9.8000000000000007</v>
      </c>
      <c r="BF98" s="34">
        <f t="shared" ref="BF98:BG98" ca="1" si="23">ROUND(BF39,2)</f>
        <v>-9.8000000000000007</v>
      </c>
      <c r="BG98" s="34">
        <f t="shared" si="23"/>
        <v>0</v>
      </c>
      <c r="BH98" s="392">
        <f ca="1">IF(ABS(NI_CFO_Recon_Chs_Ops[[#This Row],[AmtJournal]])&gt;0,1,0)</f>
        <v>1</v>
      </c>
      <c r="BI98" s="392">
        <f ca="1">IF(ABS(NI_CFO_Recon_Chs_Ops[[#This Row],[AmtAnswer]])&gt;0,1,0)</f>
        <v>1</v>
      </c>
      <c r="BJ98" s="392">
        <f>IF(ABS(NI_CFO_Recon_Chs_Ops[[#This Row],[AmtFSBuilder]])&gt;0,1,0)</f>
        <v>0</v>
      </c>
      <c r="BN98" s="368"/>
    </row>
    <row r="99" spans="3:66" x14ac:dyDescent="0.3">
      <c r="C99" t="str">
        <v>Common Stock</v>
      </c>
      <c r="AS99"/>
      <c r="AT99"/>
      <c r="AU99"/>
      <c r="AV99"/>
      <c r="AW99"/>
      <c r="AX99"/>
      <c r="AY99"/>
      <c r="AZ99"/>
      <c r="BA99" s="192">
        <f ca="1">IF(NI_CFO_Recon_Chs_Ops[[#This Row],[Order]]=1,7,8)</f>
        <v>7</v>
      </c>
      <c r="BB99" s="3" t="s">
        <v>598</v>
      </c>
      <c r="BC99" s="391">
        <f>IF(ABS(NI_CFO_Recon_Chs_Ops[[#This Row],[AmtJournal]])&gt;0,1,0)</f>
        <v>0</v>
      </c>
      <c r="BD99" s="391">
        <f ca="1">NI_CFO_Recon_Chs_Ops[[#This Row],[Used]]+BC98</f>
        <v>1</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x14ac:dyDescent="0.3">
      <c r="C100" t="str">
        <v>Retained Earnings</v>
      </c>
      <c r="AS100"/>
      <c r="AT100"/>
      <c r="AU100"/>
      <c r="AV100"/>
      <c r="AW100"/>
      <c r="AX100"/>
      <c r="AY100"/>
      <c r="AZ100"/>
      <c r="BA100" s="192">
        <f ca="1">IF(NI_CFO_Recon_Chs_Ops[[#This Row],[Order]]=1,7,8)</f>
        <v>8</v>
      </c>
      <c r="BB100" s="3" t="s">
        <v>68</v>
      </c>
      <c r="BC100" s="391">
        <f ca="1">IF(ABS(NI_CFO_Recon_Chs_Ops[[#This Row],[AmtJournal]])&gt;0,1,0)</f>
        <v>1</v>
      </c>
      <c r="BD100" s="391">
        <f ca="1">NI_CFO_Recon_Chs_Ops[[#This Row],[Used]]+SUM(BC98:BC99)</f>
        <v>2</v>
      </c>
      <c r="BE100" s="34">
        <f t="shared" ca="1" si="24"/>
        <v>-5</v>
      </c>
      <c r="BF100" s="34">
        <f t="shared" ca="1" si="24"/>
        <v>-5</v>
      </c>
      <c r="BG100" s="34">
        <f t="shared" si="24"/>
        <v>0</v>
      </c>
      <c r="BH100" s="392">
        <f ca="1">IF(ABS(NI_CFO_Recon_Chs_Ops[[#This Row],[AmtJournal]])&gt;0,1,0)</f>
        <v>1</v>
      </c>
      <c r="BI100" s="392">
        <f ca="1">IF(ABS(NI_CFO_Recon_Chs_Ops[[#This Row],[AmtAnswer]])&gt;0,1,0)</f>
        <v>1</v>
      </c>
      <c r="BJ100" s="392">
        <f>IF(ABS(NI_CFO_Recon_Chs_Ops[[#This Row],[AmtFSBuilder]])&gt;0,1,0)</f>
        <v>0</v>
      </c>
      <c r="BN100" s="368"/>
    </row>
    <row r="101" spans="3:66" x14ac:dyDescent="0.3">
      <c r="AS101"/>
      <c r="AT101"/>
      <c r="AU101"/>
      <c r="AV101"/>
      <c r="AW101"/>
      <c r="AX101"/>
      <c r="AY101"/>
      <c r="AZ101"/>
      <c r="BA101" s="192">
        <f ca="1">IF(NI_CFO_Recon_Chs_Ops[[#This Row],[Order]]=1,7,8)</f>
        <v>8</v>
      </c>
      <c r="BB101" s="3" t="s">
        <v>607</v>
      </c>
      <c r="BC101" s="391">
        <f>IF(ABS(NI_CFO_Recon_Chs_Ops[[#This Row],[AmtJournal]])&gt;0,1,0)</f>
        <v>0</v>
      </c>
      <c r="BD101" s="391">
        <f ca="1">NI_CFO_Recon_Chs_Ops[[#This Row],[Used]]+SUM(BC98:BC100)</f>
        <v>2</v>
      </c>
      <c r="BE101" s="34">
        <f t="shared" si="24"/>
        <v>0</v>
      </c>
      <c r="BF101" s="34">
        <f t="shared" si="24"/>
        <v>0</v>
      </c>
      <c r="BG101" s="34">
        <f t="shared" si="24"/>
        <v>0</v>
      </c>
      <c r="BH101" s="392">
        <f>IF(ABS(NI_CFO_Recon_Chs_Ops[[#This Row],[AmtJournal]])&gt;0,1,0)</f>
        <v>0</v>
      </c>
      <c r="BI101" s="392">
        <f>IF(ABS(NI_CFO_Recon_Chs_Ops[[#This Row],[AmtAnswer]])&gt;0,1,0)</f>
        <v>0</v>
      </c>
      <c r="BJ101" s="392">
        <f>IF(ABS(NI_CFO_Recon_Chs_Ops[[#This Row],[AmtFSBuilder]])&gt;0,1,0)</f>
        <v>0</v>
      </c>
    </row>
    <row r="102" spans="3:66" x14ac:dyDescent="0.3">
      <c r="AS102"/>
      <c r="AT102"/>
      <c r="AU102"/>
      <c r="AV102"/>
      <c r="AW102"/>
      <c r="AX102"/>
      <c r="AY102"/>
      <c r="AZ102"/>
      <c r="BA102" s="192">
        <f ca="1">IF(NI_CFO_Recon_Chs_Ops[[#This Row],[Order]]=1,7,8)</f>
        <v>8</v>
      </c>
      <c r="BB102" s="3" t="s">
        <v>67</v>
      </c>
      <c r="BC102" s="391">
        <f ca="1">IF(ABS(NI_CFO_Recon_Chs_Ops[[#This Row],[AmtJournal]])&gt;0,1,0)</f>
        <v>1</v>
      </c>
      <c r="BD102" s="391">
        <f ca="1">NI_CFO_Recon_Chs_Ops[[#This Row],[Used]]+SUM(BC98:BC101)</f>
        <v>3</v>
      </c>
      <c r="BE102" s="34">
        <f t="shared" ca="1" si="24"/>
        <v>-1</v>
      </c>
      <c r="BF102" s="34">
        <f t="shared" ca="1" si="24"/>
        <v>-1</v>
      </c>
      <c r="BG102" s="34">
        <f t="shared" si="24"/>
        <v>0</v>
      </c>
      <c r="BH102" s="392">
        <f ca="1">IF(ABS(NI_CFO_Recon_Chs_Ops[[#This Row],[AmtJournal]])&gt;0,1,0)</f>
        <v>1</v>
      </c>
      <c r="BI102" s="392">
        <f ca="1">IF(ABS(NI_CFO_Recon_Chs_Ops[[#This Row],[AmtAnswer]])&gt;0,1,0)</f>
        <v>1</v>
      </c>
      <c r="BJ102" s="392">
        <f>IF(ABS(NI_CFO_Recon_Chs_Ops[[#This Row],[AmtFSBuilder]])&gt;0,1,0)</f>
        <v>0</v>
      </c>
    </row>
    <row r="103" spans="3:66" x14ac:dyDescent="0.3">
      <c r="AS103"/>
      <c r="AZ103"/>
      <c r="BA103" s="192">
        <f ca="1">IF(NI_CFO_Recon_Chs_Ops[[#This Row],[Order]]=1,7,8)</f>
        <v>8</v>
      </c>
      <c r="BB103" s="3" t="s">
        <v>610</v>
      </c>
      <c r="BC103" s="391">
        <f>IF(ABS(NI_CFO_Recon_Chs_Ops[[#This Row],[AmtJournal]])&gt;0,1,0)</f>
        <v>0</v>
      </c>
      <c r="BD103" s="391">
        <f ca="1">NI_CFO_Recon_Chs_Ops[[#This Row],[Used]]+SUM(BC98:BC102)</f>
        <v>3</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x14ac:dyDescent="0.3">
      <c r="BA104" s="192">
        <f ca="1">IF(NI_CFO_Recon_Chs_Ops[[#This Row],[Order]]=1,7,8)</f>
        <v>8</v>
      </c>
      <c r="BB104" s="3" t="s">
        <v>637</v>
      </c>
      <c r="BC104" s="391">
        <f>IF(ABS(NI_CFO_Recon_Chs_Ops[[#This Row],[AmtJournal]])&gt;0,1,0)</f>
        <v>0</v>
      </c>
      <c r="BD104" s="391">
        <f ca="1">NI_CFO_Recon_Chs_Ops[[#This Row],[Used]]+SUM(BC98:BC103)</f>
        <v>3</v>
      </c>
      <c r="BE104" s="34">
        <f t="shared" si="24"/>
        <v>0</v>
      </c>
      <c r="BF104" s="34">
        <f t="shared" si="24"/>
        <v>0</v>
      </c>
      <c r="BG104" s="34">
        <f t="shared" si="24"/>
        <v>0</v>
      </c>
      <c r="BH104" s="392">
        <f>IF(ABS(NI_CFO_Recon_Chs_Ops[[#This Row],[AmtJournal]])&gt;0,1,0)</f>
        <v>0</v>
      </c>
      <c r="BI104" s="392">
        <f>IF(ABS(NI_CFO_Recon_Chs_Ops[[#This Row],[AmtAnswer]])&gt;0,1,0)</f>
        <v>0</v>
      </c>
      <c r="BJ104" s="392">
        <f>IF(ABS(NI_CFO_Recon_Chs_Ops[[#This Row],[AmtFSBuilder]])&gt;0,1,0)</f>
        <v>0</v>
      </c>
    </row>
    <row r="105" spans="3:66" x14ac:dyDescent="0.3">
      <c r="BA105" s="192">
        <f ca="1">IF(NI_CFO_Recon_Chs_Ops[[#This Row],[Order]]=1,7,8)</f>
        <v>8</v>
      </c>
      <c r="BB105" s="3" t="s">
        <v>70</v>
      </c>
      <c r="BC105" s="391">
        <f ca="1">IF(ABS(NI_CFO_Recon_Chs_Ops[[#This Row],[AmtJournal]])&gt;0,1,0)</f>
        <v>1</v>
      </c>
      <c r="BD105" s="391">
        <f ca="1">NI_CFO_Recon_Chs_Ops[[#This Row],[Used]]+SUM(BC98:BC104)</f>
        <v>4</v>
      </c>
      <c r="BE105" s="34">
        <f ca="1">ROUND(BE57,2)</f>
        <v>15</v>
      </c>
      <c r="BF105" s="34">
        <f t="shared" ref="BF105:BG105" ca="1" si="25">ROUND(BF57,2)</f>
        <v>15</v>
      </c>
      <c r="BG105" s="34">
        <f t="shared" si="25"/>
        <v>0</v>
      </c>
      <c r="BH105" s="392">
        <f ca="1">IF(ABS(NI_CFO_Recon_Chs_Ops[[#This Row],[AmtJournal]])&gt;0,1,0)</f>
        <v>1</v>
      </c>
      <c r="BI105" s="392">
        <f ca="1">IF(ABS(NI_CFO_Recon_Chs_Ops[[#This Row],[AmtAnswer]])&gt;0,1,0)</f>
        <v>1</v>
      </c>
      <c r="BJ105" s="392">
        <f>IF(ABS(NI_CFO_Recon_Chs_Ops[[#This Row],[AmtFSBuilder]])&gt;0,1,0)</f>
        <v>0</v>
      </c>
    </row>
    <row r="106" spans="3:66" x14ac:dyDescent="0.3">
      <c r="I106" s="5"/>
      <c r="BA106" s="192">
        <f ca="1">IF(NI_CFO_Recon_Chs_Ops[[#This Row],[Order]]=1,7,8)</f>
        <v>8</v>
      </c>
      <c r="BB106" s="3" t="s">
        <v>654</v>
      </c>
      <c r="BC106" s="391">
        <f>IF(ABS(NI_CFO_Recon_Chs_Ops[[#This Row],[AmtJournal]])&gt;0,1,0)</f>
        <v>0</v>
      </c>
      <c r="BD106" s="391">
        <f ca="1">NI_CFO_Recon_Chs_Ops[[#This Row],[Used]]+SUM(BC98:BC105)</f>
        <v>4</v>
      </c>
      <c r="BE106" s="34">
        <f t="shared" ref="BE106:BG117" si="26">ROUND(BE58,2)</f>
        <v>0</v>
      </c>
      <c r="BF106" s="34">
        <f t="shared" si="26"/>
        <v>0</v>
      </c>
      <c r="BG106" s="34">
        <f t="shared" si="26"/>
        <v>0</v>
      </c>
      <c r="BH106" s="392">
        <f>IF(ABS(NI_CFO_Recon_Chs_Ops[[#This Row],[AmtJournal]])&gt;0,1,0)</f>
        <v>0</v>
      </c>
      <c r="BI106" s="392">
        <f>IF(ABS(NI_CFO_Recon_Chs_Ops[[#This Row],[AmtAnswer]])&gt;0,1,0)</f>
        <v>0</v>
      </c>
      <c r="BJ106" s="392">
        <f>IF(ABS(NI_CFO_Recon_Chs_Ops[[#This Row],[AmtFSBuilder]])&gt;0,1,0)</f>
        <v>0</v>
      </c>
    </row>
    <row r="107" spans="3:66" x14ac:dyDescent="0.3">
      <c r="BA107" s="192">
        <f ca="1">IF(NI_CFO_Recon_Chs_Ops[[#This Row],[Order]]=1,7,8)</f>
        <v>8</v>
      </c>
      <c r="BB107" s="3" t="s">
        <v>85</v>
      </c>
      <c r="BC107" s="391">
        <f ca="1">IF(ABS(NI_CFO_Recon_Chs_Ops[[#This Row],[AmtJournal]])&gt;0,1,0)</f>
        <v>1</v>
      </c>
      <c r="BD107" s="391">
        <f ca="1">NI_CFO_Recon_Chs_Ops[[#This Row],[Used]]+SUM(BC98:BC106)</f>
        <v>5</v>
      </c>
      <c r="BE107" s="34">
        <f t="shared" ca="1" si="26"/>
        <v>1.55</v>
      </c>
      <c r="BF107" s="34">
        <f t="shared" ca="1" si="26"/>
        <v>1.55</v>
      </c>
      <c r="BG107" s="34">
        <f t="shared" si="26"/>
        <v>0</v>
      </c>
      <c r="BH107" s="392">
        <f ca="1">IF(ABS(NI_CFO_Recon_Chs_Ops[[#This Row],[AmtJournal]])&gt;0,1,0)</f>
        <v>1</v>
      </c>
      <c r="BI107" s="392">
        <f ca="1">IF(ABS(NI_CFO_Recon_Chs_Ops[[#This Row],[AmtAnswer]])&gt;0,1,0)</f>
        <v>1</v>
      </c>
      <c r="BJ107" s="392">
        <f>IF(ABS(NI_CFO_Recon_Chs_Ops[[#This Row],[AmtFSBuilder]])&gt;0,1,0)</f>
        <v>0</v>
      </c>
    </row>
    <row r="108" spans="3:66" x14ac:dyDescent="0.3">
      <c r="BA108" s="192">
        <f ca="1">IF(NI_CFO_Recon_Chs_Ops[[#This Row],[Order]]=1,7,8)</f>
        <v>8</v>
      </c>
      <c r="BB108" s="3" t="s">
        <v>659</v>
      </c>
      <c r="BC108" s="391">
        <f>IF(ABS(NI_CFO_Recon_Chs_Ops[[#This Row],[AmtJournal]])&gt;0,1,0)</f>
        <v>0</v>
      </c>
      <c r="BD108" s="391">
        <f ca="1">NI_CFO_Recon_Chs_Ops[[#This Row],[Used]]+SUM(BC98:BC107)</f>
        <v>5</v>
      </c>
      <c r="BE108" s="34">
        <f t="shared" si="26"/>
        <v>0</v>
      </c>
      <c r="BF108" s="34">
        <f t="shared" si="26"/>
        <v>0</v>
      </c>
      <c r="BG108" s="34">
        <f t="shared" si="26"/>
        <v>0</v>
      </c>
      <c r="BH108" s="392">
        <f>IF(ABS(NI_CFO_Recon_Chs_Ops[[#This Row],[AmtJournal]])&gt;0,1,0)</f>
        <v>0</v>
      </c>
      <c r="BI108" s="392">
        <f>IF(ABS(NI_CFO_Recon_Chs_Ops[[#This Row],[AmtAnswer]])&gt;0,1,0)</f>
        <v>0</v>
      </c>
      <c r="BJ108" s="392">
        <f>IF(ABS(NI_CFO_Recon_Chs_Ops[[#This Row],[AmtFSBuilder]])&gt;0,1,0)</f>
        <v>0</v>
      </c>
    </row>
    <row r="109" spans="3:66" x14ac:dyDescent="0.3">
      <c r="BA109" s="192">
        <f ca="1">IF(NI_CFO_Recon_Chs_Ops[[#This Row],[Order]]=1,7,8)</f>
        <v>8</v>
      </c>
      <c r="BB109" s="3" t="s">
        <v>661</v>
      </c>
      <c r="BC109" s="391">
        <f>IF(ABS(NI_CFO_Recon_Chs_Ops[[#This Row],[AmtJournal]])&gt;0,1,0)</f>
        <v>0</v>
      </c>
      <c r="BD109" s="391">
        <f ca="1">NI_CFO_Recon_Chs_Ops[[#This Row],[Used]]+SUM(BC98:BC108)</f>
        <v>5</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x14ac:dyDescent="0.3">
      <c r="BA110" s="192">
        <f ca="1">IF(NI_CFO_Recon_Chs_Ops[[#This Row],[Order]]=1,7,8)</f>
        <v>8</v>
      </c>
      <c r="BB110" s="3" t="s">
        <v>662</v>
      </c>
      <c r="BC110" s="391">
        <f>IF(ABS(NI_CFO_Recon_Chs_Ops[[#This Row],[AmtJournal]])&gt;0,1,0)</f>
        <v>0</v>
      </c>
      <c r="BD110" s="391">
        <f ca="1">NI_CFO_Recon_Chs_Ops[[#This Row],[Used]]+SUM(BC98:BC109)</f>
        <v>5</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x14ac:dyDescent="0.3">
      <c r="BA111" s="192">
        <f ca="1">IF(NI_CFO_Recon_Chs_Ops[[#This Row],[Order]]=1,7,8)</f>
        <v>8</v>
      </c>
      <c r="BB111" s="3" t="s">
        <v>80</v>
      </c>
      <c r="BC111" s="391">
        <f ca="1">IF(ABS(NI_CFO_Recon_Chs_Ops[[#This Row],[AmtJournal]])&gt;0,1,0)</f>
        <v>1</v>
      </c>
      <c r="BD111" s="391">
        <f ca="1">NI_CFO_Recon_Chs_Ops[[#This Row],[Used]]+SUM(BC98:BC110)</f>
        <v>6</v>
      </c>
      <c r="BE111" s="34">
        <f t="shared" ca="1" si="26"/>
        <v>1</v>
      </c>
      <c r="BF111" s="34">
        <f t="shared" ca="1" si="26"/>
        <v>1</v>
      </c>
      <c r="BG111" s="34">
        <f t="shared" si="26"/>
        <v>0</v>
      </c>
      <c r="BH111" s="392">
        <f ca="1">IF(ABS(NI_CFO_Recon_Chs_Ops[[#This Row],[AmtJournal]])&gt;0,1,0)</f>
        <v>1</v>
      </c>
      <c r="BI111" s="392">
        <f ca="1">IF(ABS(NI_CFO_Recon_Chs_Ops[[#This Row],[AmtAnswer]])&gt;0,1,0)</f>
        <v>1</v>
      </c>
      <c r="BJ111" s="392">
        <f>IF(ABS(NI_CFO_Recon_Chs_Ops[[#This Row],[AmtFSBuilder]])&gt;0,1,0)</f>
        <v>0</v>
      </c>
    </row>
    <row r="112" spans="3:66" x14ac:dyDescent="0.3">
      <c r="BA112" s="192">
        <f ca="1">IF(NI_CFO_Recon_Chs_Ops[[#This Row],[Order]]=1,7,8)</f>
        <v>8</v>
      </c>
      <c r="BB112" s="3" t="s">
        <v>664</v>
      </c>
      <c r="BC112" s="391">
        <f>IF(ABS(NI_CFO_Recon_Chs_Ops[[#This Row],[AmtJournal]])&gt;0,1,0)</f>
        <v>0</v>
      </c>
      <c r="BD112" s="391">
        <f ca="1">NI_CFO_Recon_Chs_Ops[[#This Row],[Used]]+SUM(BC98:BC111)</f>
        <v>6</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x14ac:dyDescent="0.3">
      <c r="BA113" s="192">
        <f ca="1">IF(NI_CFO_Recon_Chs_Ops[[#This Row],[Order]]=1,7,8)</f>
        <v>8</v>
      </c>
      <c r="BB113" s="3" t="s">
        <v>667</v>
      </c>
      <c r="BC113" s="391">
        <f>IF(ABS(NI_CFO_Recon_Chs_Ops[[#This Row],[AmtJournal]])&gt;0,1,0)</f>
        <v>0</v>
      </c>
      <c r="BD113" s="391">
        <f ca="1">NI_CFO_Recon_Chs_Ops[[#This Row],[Used]]+SUM(BC98:BC112)</f>
        <v>6</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x14ac:dyDescent="0.3">
      <c r="BA114" s="192">
        <f ca="1">IF(NI_CFO_Recon_Chs_Ops[[#This Row],[Order]]=1,7,8)</f>
        <v>8</v>
      </c>
      <c r="BB114" s="3" t="s">
        <v>668</v>
      </c>
      <c r="BC114" s="391">
        <f>IF(ABS(NI_CFO_Recon_Chs_Ops[[#This Row],[AmtJournal]])&gt;0,1,0)</f>
        <v>0</v>
      </c>
      <c r="BD114" s="391">
        <f ca="1">NI_CFO_Recon_Chs_Ops[[#This Row],[Used]]+SUM(BC98:BC113)</f>
        <v>6</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x14ac:dyDescent="0.3">
      <c r="B115" s="372" t="s">
        <v>693</v>
      </c>
      <c r="BA115" s="192">
        <f ca="1">IF(NI_CFO_Recon_Chs_Ops[[#This Row],[Order]]=1,7,8)</f>
        <v>8</v>
      </c>
      <c r="BB115" s="3" t="s">
        <v>669</v>
      </c>
      <c r="BC115" s="391">
        <f>IF(ABS(NI_CFO_Recon_Chs_Ops[[#This Row],[AmtJournal]])&gt;0,1,0)</f>
        <v>0</v>
      </c>
      <c r="BD115" s="391">
        <f ca="1">NI_CFO_Recon_Chs_Ops[[#This Row],[Used]]+SUM(BC98:BC114)</f>
        <v>6</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x14ac:dyDescent="0.3">
      <c r="B116" s="375" t="s">
        <v>584</v>
      </c>
      <c r="C116" s="313" t="s">
        <v>694</v>
      </c>
      <c r="BA116" s="192">
        <f ca="1">IF(NI_CFO_Recon_Chs_Ops[[#This Row],[Order]]=1,7,8)</f>
        <v>8</v>
      </c>
      <c r="BB116" s="3" t="s">
        <v>670</v>
      </c>
      <c r="BC116" s="391">
        <f>IF(ABS(NI_CFO_Recon_Chs_Ops[[#This Row],[AmtJournal]])&gt;0,1,0)</f>
        <v>0</v>
      </c>
      <c r="BD116" s="391">
        <f ca="1">NI_CFO_Recon_Chs_Ops[[#This Row],[Used]]+SUM(BC98:BC115)</f>
        <v>6</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x14ac:dyDescent="0.3">
      <c r="B117" s="192">
        <v>10</v>
      </c>
      <c r="C117" s="450" t="s">
        <v>695</v>
      </c>
      <c r="BA117" s="192">
        <f ca="1">IF(NI_CFO_Recon_Chs_Ops[[#This Row],[Order]]=1,7,8)</f>
        <v>8</v>
      </c>
      <c r="BB117" s="3" t="s">
        <v>679</v>
      </c>
      <c r="BC117" s="391">
        <f>IF(ABS(NI_CFO_Recon_Chs_Ops[[#This Row],[AmtJournal]])&gt;0,1,0)</f>
        <v>0</v>
      </c>
      <c r="BD117" s="391">
        <f ca="1">NI_CFO_Recon_Chs_Ops[[#This Row],[Used]]+SUM(BC98:BC116)</f>
        <v>6</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x14ac:dyDescent="0.3">
      <c r="B118" s="192">
        <v>11</v>
      </c>
      <c r="C118" t="str">
        <f>Entity&amp;" (the 'Company', 'we', 'us', 'our') is a "&amp;EntityType&amp;" whose activity is "&amp;EntityActivity&amp;"."</f>
        <v>Ralphy's Business (the 'Company', 'we', 'us', 'our') is a For-profit corporation whose activity is Retail.</v>
      </c>
      <c r="BA118" s="192">
        <v>3</v>
      </c>
      <c r="BB118" s="393" t="s">
        <v>684</v>
      </c>
      <c r="BC118" s="391"/>
      <c r="BD118" s="391"/>
      <c r="BE118" s="34">
        <f ca="1">ROUND(BE7+SUM(NI_CFO_Recon_Adjs[AmtJournal])+SUM(BE98:BE117),2)</f>
        <v>5.05</v>
      </c>
      <c r="BF118" s="34">
        <f ca="1">ROUND(BF7+SUM(NI_CFO_Recon_Adjs[AmtAnswer])+SUM(BF98:BF117),2)</f>
        <v>5.05</v>
      </c>
      <c r="BG118" s="34">
        <f>ROUND(BG7+SUM(NI_CFO_Recon_Adjs[AmtFSBuilder])+SUM(BG98:BG117),2)</f>
        <v>0</v>
      </c>
      <c r="BH118" s="392"/>
      <c r="BI118" s="392"/>
      <c r="BJ118" s="392"/>
    </row>
    <row r="119" spans="2:62" ht="43.2" x14ac:dyDescent="0.3">
      <c r="B119" s="192">
        <v>10</v>
      </c>
      <c r="C119" s="450" t="s">
        <v>696</v>
      </c>
    </row>
    <row r="120" spans="2:62" ht="28.8" x14ac:dyDescent="0.3">
      <c r="B120" s="192">
        <v>10</v>
      </c>
      <c r="C120" s="446" t="s">
        <v>697</v>
      </c>
    </row>
    <row r="121" spans="2:62" ht="144" x14ac:dyDescent="0.3">
      <c r="B121" s="192">
        <v>11</v>
      </c>
      <c r="C121" s="410" t="s">
        <v>698</v>
      </c>
    </row>
    <row r="122" spans="2:62" ht="28.8" x14ac:dyDescent="0.3">
      <c r="B122" s="192">
        <v>10</v>
      </c>
      <c r="C122" s="446" t="s">
        <v>699</v>
      </c>
    </row>
    <row r="123" spans="2:62" ht="28.8" x14ac:dyDescent="0.3">
      <c r="B123" s="192">
        <v>11</v>
      </c>
      <c r="C123" s="447" t="s">
        <v>700</v>
      </c>
    </row>
    <row r="124" spans="2:62" ht="28.8" x14ac:dyDescent="0.3">
      <c r="B124" s="192">
        <v>10</v>
      </c>
      <c r="C124" s="446" t="s">
        <v>701</v>
      </c>
    </row>
    <row r="125" spans="2:62" ht="43.2" x14ac:dyDescent="0.3">
      <c r="B125" s="192">
        <v>11</v>
      </c>
      <c r="C125" s="447" t="str">
        <f>"Our inventories are exclusively goods held for resale and stated on a "&amp;InventoryMethod&amp;" basis."</f>
        <v>Our inventories are exclusively goods held for resale and stated on a First-in, first-out (FIFO) basis.</v>
      </c>
    </row>
    <row r="126" spans="2:62" ht="28.8" x14ac:dyDescent="0.3">
      <c r="B126" s="192">
        <v>10</v>
      </c>
      <c r="C126" s="446" t="s">
        <v>702</v>
      </c>
    </row>
    <row r="127" spans="2:62" ht="28.8" x14ac:dyDescent="0.3">
      <c r="B127" s="192">
        <v>11</v>
      </c>
      <c r="C127" s="447" t="s">
        <v>703</v>
      </c>
    </row>
    <row r="128" spans="2:62" ht="28.8" x14ac:dyDescent="0.3">
      <c r="B128" s="192">
        <v>10</v>
      </c>
      <c r="C128" s="446" t="s">
        <v>704</v>
      </c>
    </row>
    <row r="129" spans="2:64" ht="115.2" x14ac:dyDescent="0.3">
      <c r="B129" s="192">
        <v>11</v>
      </c>
      <c r="C129" s="447" t="str">
        <f>"We recognize revenue "&amp;RevRec&amp;"."</f>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30" spans="2:64" ht="28.8" x14ac:dyDescent="0.3">
      <c r="B130" s="192">
        <v>10</v>
      </c>
      <c r="C130" s="446" t="s">
        <v>705</v>
      </c>
    </row>
    <row r="131" spans="2:64" ht="43.2" x14ac:dyDescent="0.3">
      <c r="B131" s="192">
        <v>11</v>
      </c>
      <c r="C131" s="410" t="s">
        <v>706</v>
      </c>
    </row>
    <row r="132" spans="2:64" ht="28.8" x14ac:dyDescent="0.3">
      <c r="B132" s="192">
        <v>10</v>
      </c>
      <c r="C132" s="446" t="s">
        <v>707</v>
      </c>
    </row>
    <row r="133" spans="2:64" s="459" customFormat="1" ht="72" x14ac:dyDescent="0.3">
      <c r="B133" s="458">
        <v>11</v>
      </c>
      <c r="C133" s="194" t="s">
        <v>708</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28.8" x14ac:dyDescent="0.3">
      <c r="B134" s="192">
        <v>10</v>
      </c>
      <c r="C134" s="446" t="s">
        <v>709</v>
      </c>
    </row>
    <row r="135" spans="2:64" ht="57.6" x14ac:dyDescent="0.3">
      <c r="B135" s="192">
        <v>11</v>
      </c>
      <c r="C135" s="447" t="str">
        <f>"We have evaluated subsequent events through "&amp;Issue_Date&amp;", the date we have issued these financial statements. As of that date, there were no material, reportable subsequent events."</f>
        <v>We have evaluated subsequent events through 3/31/20x5, the date we have issued these financial statements. As of that date, there were no material, reportable subsequent events.</v>
      </c>
    </row>
    <row r="136" spans="2:64" x14ac:dyDescent="0.3">
      <c r="B136" s="192">
        <v>8</v>
      </c>
    </row>
    <row r="137" spans="2:64" x14ac:dyDescent="0.3">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4.4" x14ac:dyDescent="0.3"/>
  <cols>
    <col min="2" max="2" width="2.77734375" customWidth="1"/>
    <col min="3" max="3" width="43.21875" customWidth="1"/>
    <col min="4" max="4" width="10.44140625" style="34" customWidth="1"/>
    <col min="5" max="6" width="2.77734375" customWidth="1"/>
    <col min="7" max="7" width="44.44140625" customWidth="1"/>
    <col min="8" max="8" width="10.88671875" style="34" customWidth="1"/>
    <col min="9" max="10" width="2.77734375" customWidth="1"/>
    <col min="11" max="11" width="40.21875" customWidth="1"/>
    <col min="12" max="12" width="14.21875" style="34" customWidth="1"/>
    <col min="13" max="13" width="2.77734375" customWidth="1"/>
    <col min="14" max="14" width="43.21875" customWidth="1"/>
    <col min="15" max="15" width="9.44140625" style="34" customWidth="1"/>
    <col min="16" max="17" width="2.77734375" customWidth="1"/>
    <col min="18" max="18" width="45.44140625" customWidth="1"/>
    <col min="19" max="19" width="14.109375" style="34" customWidth="1"/>
    <col min="22" max="22" width="50" customWidth="1"/>
    <col min="24" max="24" width="50" customWidth="1"/>
    <col min="25" max="25" width="9" customWidth="1"/>
    <col min="26" max="26" width="50" customWidth="1"/>
    <col min="28" max="28" width="55.5546875" customWidth="1"/>
  </cols>
  <sheetData>
    <row r="1" spans="1:28" x14ac:dyDescent="0.3">
      <c r="A1" t="s">
        <v>710</v>
      </c>
    </row>
    <row r="2" spans="1:28" x14ac:dyDescent="0.3">
      <c r="A2" t="s">
        <v>711</v>
      </c>
    </row>
    <row r="5" spans="1:28" x14ac:dyDescent="0.3">
      <c r="B5">
        <v>2</v>
      </c>
      <c r="C5" t="s">
        <v>37</v>
      </c>
      <c r="F5">
        <v>2</v>
      </c>
      <c r="G5" t="s">
        <v>43</v>
      </c>
      <c r="J5">
        <v>2</v>
      </c>
      <c r="K5" t="s">
        <v>712</v>
      </c>
      <c r="L5" s="34">
        <v>2140</v>
      </c>
      <c r="M5">
        <v>2</v>
      </c>
      <c r="N5" t="s">
        <v>713</v>
      </c>
      <c r="O5" s="34">
        <v>450</v>
      </c>
      <c r="Q5">
        <v>2</v>
      </c>
      <c r="R5" t="s">
        <v>37</v>
      </c>
      <c r="V5" s="40" t="s">
        <v>94</v>
      </c>
      <c r="W5" s="1"/>
      <c r="X5" s="40" t="s">
        <v>714</v>
      </c>
      <c r="Y5" s="1"/>
      <c r="Z5" s="40" t="s">
        <v>96</v>
      </c>
      <c r="AA5" s="1"/>
      <c r="AB5" s="40" t="s">
        <v>97</v>
      </c>
    </row>
    <row r="6" spans="1:28" ht="15" thickBot="1" x14ac:dyDescent="0.35"/>
    <row r="7" spans="1:28" x14ac:dyDescent="0.3">
      <c r="B7">
        <v>4</v>
      </c>
      <c r="C7" t="s">
        <v>715</v>
      </c>
      <c r="F7">
        <v>6</v>
      </c>
      <c r="G7" t="s">
        <v>75</v>
      </c>
      <c r="H7" s="34">
        <v>7500</v>
      </c>
      <c r="J7">
        <v>3</v>
      </c>
      <c r="K7" t="s">
        <v>65</v>
      </c>
      <c r="M7">
        <v>3</v>
      </c>
      <c r="N7" t="s">
        <v>215</v>
      </c>
      <c r="Q7">
        <v>4</v>
      </c>
      <c r="R7" t="s">
        <v>715</v>
      </c>
      <c r="V7" s="355" t="str">
        <f>G7&amp;H7</f>
        <v>Sales7500</v>
      </c>
      <c r="X7" s="355" t="str">
        <f>K7&amp;L7</f>
        <v>Common Stock</v>
      </c>
      <c r="Z7" s="355" t="str">
        <f>N7&amp;O7</f>
        <v>Operating Activities</v>
      </c>
      <c r="AB7" s="355" t="str">
        <f>R6&amp;S6</f>
        <v/>
      </c>
    </row>
    <row r="8" spans="1:28" x14ac:dyDescent="0.3">
      <c r="B8">
        <v>6</v>
      </c>
      <c r="C8" t="s">
        <v>59</v>
      </c>
      <c r="D8" s="34">
        <v>450</v>
      </c>
      <c r="F8">
        <v>5</v>
      </c>
      <c r="G8" t="s">
        <v>294</v>
      </c>
      <c r="H8" s="34">
        <v>7500</v>
      </c>
      <c r="J8">
        <v>5</v>
      </c>
      <c r="K8" t="s">
        <v>716</v>
      </c>
      <c r="L8" s="34">
        <v>390</v>
      </c>
      <c r="Q8">
        <v>6</v>
      </c>
      <c r="R8" t="s">
        <v>59</v>
      </c>
      <c r="S8" s="34">
        <v>3209</v>
      </c>
      <c r="V8" s="162" t="str">
        <f t="shared" ref="V8:V71" si="0">G8&amp;H8</f>
        <v xml:space="preserve">  Total Revenues7500</v>
      </c>
      <c r="X8" s="162" t="str">
        <f t="shared" ref="X8:X71" si="1">K8&amp;L8</f>
        <v>Balance @ 12/31/20x8390</v>
      </c>
      <c r="Z8" s="162" t="str">
        <f t="shared" ref="Z8:Z71" si="2">N8&amp;O8</f>
        <v/>
      </c>
      <c r="AB8" s="162" t="str">
        <f t="shared" ref="AB8:AB71" si="3">R7&amp;S7</f>
        <v xml:space="preserve"> Current Assets:</v>
      </c>
    </row>
    <row r="9" spans="1:28" x14ac:dyDescent="0.3">
      <c r="B9">
        <v>7</v>
      </c>
      <c r="C9" t="s">
        <v>73</v>
      </c>
      <c r="D9" s="34">
        <v>400</v>
      </c>
      <c r="J9">
        <v>7</v>
      </c>
      <c r="K9" t="s">
        <v>126</v>
      </c>
      <c r="L9" s="34">
        <v>3000</v>
      </c>
      <c r="M9">
        <v>6</v>
      </c>
      <c r="N9" t="s">
        <v>130</v>
      </c>
      <c r="O9" s="34">
        <v>7600</v>
      </c>
      <c r="Q9">
        <v>7</v>
      </c>
      <c r="R9" t="s">
        <v>73</v>
      </c>
      <c r="S9" s="34">
        <v>75</v>
      </c>
      <c r="V9" s="162" t="str">
        <f t="shared" si="0"/>
        <v/>
      </c>
      <c r="X9" s="162" t="str">
        <f t="shared" si="1"/>
        <v>Issued common stock3000</v>
      </c>
      <c r="Z9" s="162" t="str">
        <f t="shared" si="2"/>
        <v>Collections from customers7600</v>
      </c>
      <c r="AB9" s="162" t="str">
        <f t="shared" si="3"/>
        <v>Cash3209</v>
      </c>
    </row>
    <row r="10" spans="1:28" x14ac:dyDescent="0.3">
      <c r="B10">
        <v>7</v>
      </c>
      <c r="C10" t="s">
        <v>71</v>
      </c>
      <c r="D10" s="34">
        <v>750</v>
      </c>
      <c r="F10">
        <v>2</v>
      </c>
      <c r="G10" t="s">
        <v>44</v>
      </c>
      <c r="J10">
        <v>5</v>
      </c>
      <c r="K10" t="s">
        <v>717</v>
      </c>
      <c r="L10" s="34">
        <v>3390</v>
      </c>
      <c r="M10">
        <v>7</v>
      </c>
      <c r="N10" t="s">
        <v>134</v>
      </c>
      <c r="O10" s="34">
        <v>-5500</v>
      </c>
      <c r="Q10">
        <v>7</v>
      </c>
      <c r="R10" t="s">
        <v>71</v>
      </c>
      <c r="S10" s="34">
        <v>735</v>
      </c>
      <c r="V10" s="162" t="str">
        <f t="shared" si="0"/>
        <v>Expenses</v>
      </c>
      <c r="X10" s="162" t="str">
        <f t="shared" si="1"/>
        <v>Balance @ 12/31/20x93390</v>
      </c>
      <c r="Z10" s="162" t="str">
        <f t="shared" si="2"/>
        <v>Payments to suppliers-5500</v>
      </c>
      <c r="AB10" s="162" t="str">
        <f t="shared" si="3"/>
        <v>Accounts Receivable75</v>
      </c>
    </row>
    <row r="11" spans="1:28" x14ac:dyDescent="0.3">
      <c r="B11">
        <v>7</v>
      </c>
      <c r="C11" t="s">
        <v>68</v>
      </c>
      <c r="D11" s="34">
        <v>775</v>
      </c>
      <c r="J11">
        <v>3</v>
      </c>
      <c r="K11" t="s">
        <v>86</v>
      </c>
      <c r="M11">
        <v>7</v>
      </c>
      <c r="N11" t="s">
        <v>133</v>
      </c>
      <c r="O11" s="34">
        <v>-1850</v>
      </c>
      <c r="Q11">
        <v>7</v>
      </c>
      <c r="R11" t="s">
        <v>68</v>
      </c>
      <c r="S11" s="34">
        <v>752</v>
      </c>
      <c r="V11" s="162" t="str">
        <f t="shared" si="0"/>
        <v/>
      </c>
      <c r="X11" s="162" t="str">
        <f t="shared" si="1"/>
        <v>Retained Earnings</v>
      </c>
      <c r="Z11" s="162" t="str">
        <f t="shared" si="2"/>
        <v>Payments to employees-1850</v>
      </c>
      <c r="AB11" s="162" t="str">
        <f t="shared" si="3"/>
        <v>Marketable Securities735</v>
      </c>
    </row>
    <row r="12" spans="1:28" x14ac:dyDescent="0.3">
      <c r="B12">
        <v>5</v>
      </c>
      <c r="C12" t="s">
        <v>301</v>
      </c>
      <c r="D12" s="34">
        <v>2375</v>
      </c>
      <c r="F12">
        <v>6</v>
      </c>
      <c r="G12" t="s">
        <v>77</v>
      </c>
      <c r="H12" s="34">
        <v>5383</v>
      </c>
      <c r="J12">
        <v>5</v>
      </c>
      <c r="K12" t="s">
        <v>716</v>
      </c>
      <c r="L12" s="34">
        <v>1750</v>
      </c>
      <c r="M12">
        <v>7</v>
      </c>
      <c r="N12" t="s">
        <v>600</v>
      </c>
      <c r="O12" s="34">
        <v>-65</v>
      </c>
      <c r="Q12">
        <v>5</v>
      </c>
      <c r="R12" t="s">
        <v>301</v>
      </c>
      <c r="S12" s="34">
        <v>4771</v>
      </c>
      <c r="V12" s="162" t="str">
        <f t="shared" si="0"/>
        <v>Cost of Goods Sold5383</v>
      </c>
      <c r="X12" s="162" t="str">
        <f t="shared" si="1"/>
        <v>Balance @ 12/31/20x81750</v>
      </c>
      <c r="Z12" s="162" t="str">
        <f t="shared" si="2"/>
        <v>Payments for interest-65</v>
      </c>
      <c r="AB12" s="162" t="str">
        <f t="shared" si="3"/>
        <v>Inventories752</v>
      </c>
    </row>
    <row r="13" spans="1:28" x14ac:dyDescent="0.3">
      <c r="F13">
        <v>7</v>
      </c>
      <c r="G13" t="s">
        <v>84</v>
      </c>
      <c r="H13" s="34">
        <v>35</v>
      </c>
      <c r="J13">
        <v>7</v>
      </c>
      <c r="K13" t="s">
        <v>259</v>
      </c>
      <c r="L13" s="34">
        <v>-30</v>
      </c>
      <c r="M13">
        <v>5</v>
      </c>
      <c r="N13" t="s">
        <v>275</v>
      </c>
      <c r="O13" s="34">
        <v>185</v>
      </c>
      <c r="V13" s="162" t="str">
        <f t="shared" si="0"/>
        <v>Interest Expense35</v>
      </c>
      <c r="X13" s="162" t="str">
        <f t="shared" si="1"/>
        <v>Declared Dividends-30</v>
      </c>
      <c r="Z13" s="162" t="str">
        <f t="shared" si="2"/>
        <v>Total Cash Flow from Operating Activities185</v>
      </c>
      <c r="AB13" s="162" t="str">
        <f t="shared" si="3"/>
        <v xml:space="preserve">  Total Current Assets4771</v>
      </c>
    </row>
    <row r="14" spans="1:28" x14ac:dyDescent="0.3">
      <c r="B14">
        <v>4</v>
      </c>
      <c r="C14" t="s">
        <v>718</v>
      </c>
      <c r="F14">
        <v>7</v>
      </c>
      <c r="G14" t="s">
        <v>81</v>
      </c>
      <c r="H14" s="34">
        <v>250</v>
      </c>
      <c r="J14">
        <v>7</v>
      </c>
      <c r="K14" t="s">
        <v>162</v>
      </c>
      <c r="L14" s="34">
        <v>201</v>
      </c>
      <c r="Q14">
        <v>4</v>
      </c>
      <c r="R14" t="s">
        <v>718</v>
      </c>
      <c r="V14" s="162" t="str">
        <f t="shared" si="0"/>
        <v>Depreciation Expense250</v>
      </c>
      <c r="X14" s="162" t="str">
        <f t="shared" si="1"/>
        <v>Net Income (Loss)201</v>
      </c>
      <c r="Z14" s="162" t="str">
        <f t="shared" si="2"/>
        <v/>
      </c>
      <c r="AB14" s="162" t="str">
        <f t="shared" si="3"/>
        <v/>
      </c>
    </row>
    <row r="15" spans="1:28" x14ac:dyDescent="0.3">
      <c r="B15">
        <v>6</v>
      </c>
      <c r="C15" t="s">
        <v>66</v>
      </c>
      <c r="D15" s="34">
        <v>1200</v>
      </c>
      <c r="F15">
        <v>7</v>
      </c>
      <c r="G15" t="s">
        <v>79</v>
      </c>
      <c r="H15" s="34">
        <v>1650</v>
      </c>
      <c r="J15">
        <v>5</v>
      </c>
      <c r="K15" t="s">
        <v>717</v>
      </c>
      <c r="L15" s="34">
        <v>1921</v>
      </c>
      <c r="M15">
        <v>3</v>
      </c>
      <c r="N15" t="s">
        <v>230</v>
      </c>
      <c r="Q15">
        <v>6</v>
      </c>
      <c r="R15" t="s">
        <v>66</v>
      </c>
      <c r="S15" s="34">
        <v>1570</v>
      </c>
      <c r="V15" s="162" t="str">
        <f t="shared" si="0"/>
        <v>Salaries &amp; Wages Expense1650</v>
      </c>
      <c r="X15" s="162" t="str">
        <f t="shared" si="1"/>
        <v>Balance @ 12/31/20x91921</v>
      </c>
      <c r="Z15" s="162" t="str">
        <f t="shared" si="2"/>
        <v>Investing Activities</v>
      </c>
      <c r="AB15" s="162" t="str">
        <f t="shared" si="3"/>
        <v xml:space="preserve"> Noncurrent Assets:</v>
      </c>
    </row>
    <row r="16" spans="1:28" x14ac:dyDescent="0.3">
      <c r="B16">
        <v>7</v>
      </c>
      <c r="C16" t="s">
        <v>82</v>
      </c>
      <c r="D16" s="34">
        <v>-500</v>
      </c>
      <c r="F16">
        <v>5</v>
      </c>
      <c r="G16" t="s">
        <v>295</v>
      </c>
      <c r="H16" s="34">
        <v>7318</v>
      </c>
      <c r="J16">
        <v>2</v>
      </c>
      <c r="K16" t="s">
        <v>719</v>
      </c>
      <c r="L16" s="34">
        <v>5311</v>
      </c>
      <c r="Q16">
        <v>7</v>
      </c>
      <c r="R16" t="s">
        <v>82</v>
      </c>
      <c r="S16" s="34">
        <v>-730</v>
      </c>
      <c r="V16" s="162" t="str">
        <f t="shared" si="0"/>
        <v xml:space="preserve">  Total Expenses7318</v>
      </c>
      <c r="X16" s="162" t="str">
        <f t="shared" si="1"/>
        <v>Total Shareholders' Equity @ 12/31/20x95311</v>
      </c>
      <c r="Z16" s="162" t="str">
        <f t="shared" si="2"/>
        <v/>
      </c>
      <c r="AB16" s="162" t="str">
        <f t="shared" si="3"/>
        <v>Property, Plant &amp; Equipment1570</v>
      </c>
    </row>
    <row r="17" spans="2:52" x14ac:dyDescent="0.3">
      <c r="B17">
        <v>7</v>
      </c>
      <c r="C17" t="s">
        <v>633</v>
      </c>
      <c r="D17" s="34">
        <v>65</v>
      </c>
      <c r="M17">
        <v>6</v>
      </c>
      <c r="N17" t="s">
        <v>613</v>
      </c>
      <c r="O17" s="34">
        <v>50</v>
      </c>
      <c r="Q17">
        <v>7</v>
      </c>
      <c r="R17" t="s">
        <v>633</v>
      </c>
      <c r="S17" s="34">
        <v>55</v>
      </c>
      <c r="V17" s="162" t="str">
        <f t="shared" si="0"/>
        <v/>
      </c>
      <c r="X17" s="162" t="str">
        <f t="shared" si="1"/>
        <v/>
      </c>
      <c r="Z17" s="162" t="str">
        <f t="shared" si="2"/>
        <v>Proceeds from sales of PP&amp;E50</v>
      </c>
      <c r="AB17" s="162" t="str">
        <f t="shared" si="3"/>
        <v>Accumulated Depreciation-730</v>
      </c>
    </row>
    <row r="18" spans="2:52" x14ac:dyDescent="0.3">
      <c r="B18">
        <v>5</v>
      </c>
      <c r="C18" t="s">
        <v>304</v>
      </c>
      <c r="D18" s="34">
        <v>765</v>
      </c>
      <c r="F18">
        <v>2</v>
      </c>
      <c r="G18" t="s">
        <v>45</v>
      </c>
      <c r="M18">
        <v>7</v>
      </c>
      <c r="N18" t="s">
        <v>617</v>
      </c>
      <c r="O18" s="34">
        <v>280</v>
      </c>
      <c r="Q18">
        <v>5</v>
      </c>
      <c r="R18" t="s">
        <v>304</v>
      </c>
      <c r="S18" s="34">
        <v>895</v>
      </c>
      <c r="V18" s="162" t="str">
        <f t="shared" si="0"/>
        <v>Gains</v>
      </c>
      <c r="X18" s="162" t="str">
        <f t="shared" si="1"/>
        <v/>
      </c>
      <c r="Z18" s="162" t="str">
        <f t="shared" si="2"/>
        <v>Proceeds from sale of business unit280</v>
      </c>
      <c r="AB18" s="162" t="str">
        <f t="shared" si="3"/>
        <v>Goodwill55</v>
      </c>
    </row>
    <row r="19" spans="2:52" x14ac:dyDescent="0.3">
      <c r="M19">
        <v>7</v>
      </c>
      <c r="N19" t="s">
        <v>121</v>
      </c>
      <c r="O19" s="34">
        <v>-450</v>
      </c>
      <c r="V19" s="162" t="str">
        <f t="shared" si="0"/>
        <v/>
      </c>
      <c r="X19" s="162" t="str">
        <f t="shared" si="1"/>
        <v/>
      </c>
      <c r="Z19" s="162" t="str">
        <f t="shared" si="2"/>
        <v>Acquired PP&amp;E-450</v>
      </c>
      <c r="AB19" s="162" t="str">
        <f t="shared" si="3"/>
        <v xml:space="preserve">  Total Noncurrent Assets895</v>
      </c>
      <c r="AZ19">
        <v>1</v>
      </c>
    </row>
    <row r="20" spans="2:52" x14ac:dyDescent="0.3">
      <c r="B20">
        <v>3</v>
      </c>
      <c r="C20" t="s">
        <v>269</v>
      </c>
      <c r="D20" s="34">
        <v>3140</v>
      </c>
      <c r="F20">
        <v>6</v>
      </c>
      <c r="G20" t="s">
        <v>597</v>
      </c>
      <c r="H20" s="34">
        <v>30</v>
      </c>
      <c r="M20">
        <v>5</v>
      </c>
      <c r="N20" t="s">
        <v>276</v>
      </c>
      <c r="O20" s="34">
        <v>-120</v>
      </c>
      <c r="Q20">
        <v>3</v>
      </c>
      <c r="R20" t="s">
        <v>269</v>
      </c>
      <c r="S20" s="34">
        <v>5666</v>
      </c>
      <c r="V20" s="162" t="str">
        <f t="shared" si="0"/>
        <v>Gain on Sale of Subsidiary30</v>
      </c>
      <c r="X20" s="162" t="str">
        <f t="shared" si="1"/>
        <v/>
      </c>
      <c r="Z20" s="162" t="str">
        <f t="shared" si="2"/>
        <v>Total Cash Flow from Investing Activities-120</v>
      </c>
      <c r="AB20" s="162" t="str">
        <f t="shared" si="3"/>
        <v/>
      </c>
    </row>
    <row r="21" spans="2:52" x14ac:dyDescent="0.3">
      <c r="F21">
        <v>7</v>
      </c>
      <c r="G21" t="s">
        <v>601</v>
      </c>
      <c r="H21" s="34">
        <v>14</v>
      </c>
      <c r="V21" s="162" t="str">
        <f t="shared" si="0"/>
        <v>Gain on Retirement of Debt14</v>
      </c>
      <c r="X21" s="162" t="str">
        <f t="shared" si="1"/>
        <v/>
      </c>
      <c r="Z21" s="162" t="str">
        <f t="shared" si="2"/>
        <v/>
      </c>
      <c r="AB21" s="162" t="str">
        <f t="shared" si="3"/>
        <v>Total Assets5666</v>
      </c>
    </row>
    <row r="22" spans="2:52" x14ac:dyDescent="0.3">
      <c r="B22">
        <v>2</v>
      </c>
      <c r="C22" t="s">
        <v>38</v>
      </c>
      <c r="F22">
        <v>5</v>
      </c>
      <c r="G22" t="s">
        <v>297</v>
      </c>
      <c r="H22" s="34">
        <v>44</v>
      </c>
      <c r="M22">
        <v>3</v>
      </c>
      <c r="N22" t="s">
        <v>239</v>
      </c>
      <c r="Q22">
        <v>2</v>
      </c>
      <c r="R22" t="s">
        <v>38</v>
      </c>
      <c r="V22" s="162" t="str">
        <f t="shared" si="0"/>
        <v xml:space="preserve">  Total Gains44</v>
      </c>
      <c r="X22" s="162" t="str">
        <f t="shared" si="1"/>
        <v/>
      </c>
      <c r="Z22" s="162" t="str">
        <f t="shared" si="2"/>
        <v>Financing Activities</v>
      </c>
      <c r="AB22" s="162" t="str">
        <f t="shared" si="3"/>
        <v/>
      </c>
    </row>
    <row r="23" spans="2:52" x14ac:dyDescent="0.3">
      <c r="V23" s="162" t="str">
        <f t="shared" si="0"/>
        <v/>
      </c>
      <c r="X23" s="162" t="str">
        <f t="shared" si="1"/>
        <v/>
      </c>
      <c r="Z23" s="162" t="str">
        <f t="shared" si="2"/>
        <v/>
      </c>
      <c r="AB23" s="162" t="str">
        <f t="shared" si="3"/>
        <v>Liabilities</v>
      </c>
    </row>
    <row r="24" spans="2:52" x14ac:dyDescent="0.3">
      <c r="B24">
        <v>4</v>
      </c>
      <c r="C24" t="s">
        <v>720</v>
      </c>
      <c r="F24">
        <v>2</v>
      </c>
      <c r="G24" t="s">
        <v>46</v>
      </c>
      <c r="M24">
        <v>6</v>
      </c>
      <c r="N24" t="s">
        <v>126</v>
      </c>
      <c r="O24" s="34">
        <v>3000</v>
      </c>
      <c r="Q24">
        <v>4</v>
      </c>
      <c r="R24" t="s">
        <v>720</v>
      </c>
      <c r="V24" s="162" t="str">
        <f t="shared" si="0"/>
        <v>Losses</v>
      </c>
      <c r="X24" s="162" t="str">
        <f t="shared" si="1"/>
        <v/>
      </c>
      <c r="Z24" s="162" t="str">
        <f t="shared" si="2"/>
        <v>Issued common stock3000</v>
      </c>
      <c r="AB24" s="162" t="str">
        <f t="shared" si="3"/>
        <v/>
      </c>
    </row>
    <row r="25" spans="2:52" x14ac:dyDescent="0.3">
      <c r="B25">
        <v>6</v>
      </c>
      <c r="C25" t="s">
        <v>70</v>
      </c>
      <c r="D25" s="34">
        <v>400</v>
      </c>
      <c r="M25">
        <v>7</v>
      </c>
      <c r="N25" t="s">
        <v>655</v>
      </c>
      <c r="O25" s="34">
        <v>-20</v>
      </c>
      <c r="Q25">
        <v>6</v>
      </c>
      <c r="R25" t="s">
        <v>70</v>
      </c>
      <c r="S25" s="34">
        <v>275</v>
      </c>
      <c r="V25" s="162" t="str">
        <f t="shared" si="0"/>
        <v/>
      </c>
      <c r="X25" s="162" t="str">
        <f t="shared" si="1"/>
        <v/>
      </c>
      <c r="Z25" s="162" t="str">
        <f t="shared" si="2"/>
        <v>Paid dividends-20</v>
      </c>
      <c r="AB25" s="162" t="str">
        <f t="shared" si="3"/>
        <v xml:space="preserve"> Current Liabilities:</v>
      </c>
    </row>
    <row r="26" spans="2:52" x14ac:dyDescent="0.3">
      <c r="B26">
        <v>7</v>
      </c>
      <c r="C26" t="s">
        <v>85</v>
      </c>
      <c r="D26" s="34">
        <v>30</v>
      </c>
      <c r="F26">
        <v>6</v>
      </c>
      <c r="G26" t="s">
        <v>614</v>
      </c>
      <c r="H26" s="34">
        <v>10</v>
      </c>
      <c r="M26">
        <v>7</v>
      </c>
      <c r="N26" t="s">
        <v>656</v>
      </c>
      <c r="O26" s="34">
        <v>-286</v>
      </c>
      <c r="Q26">
        <v>7</v>
      </c>
      <c r="R26" t="s">
        <v>85</v>
      </c>
      <c r="S26" s="34">
        <v>0</v>
      </c>
      <c r="V26" s="162" t="str">
        <f t="shared" si="0"/>
        <v>Loss on Sale of PP&amp;E10</v>
      </c>
      <c r="X26" s="162" t="str">
        <f t="shared" si="1"/>
        <v/>
      </c>
      <c r="Z26" s="162" t="str">
        <f t="shared" si="2"/>
        <v>Retired bonds-286</v>
      </c>
      <c r="AB26" s="162" t="str">
        <f t="shared" si="3"/>
        <v>Accounts Payable275</v>
      </c>
    </row>
    <row r="27" spans="2:52" x14ac:dyDescent="0.3">
      <c r="B27">
        <v>7</v>
      </c>
      <c r="C27" t="s">
        <v>657</v>
      </c>
      <c r="D27" s="34">
        <v>20</v>
      </c>
      <c r="F27">
        <v>7</v>
      </c>
      <c r="G27" t="s">
        <v>624</v>
      </c>
      <c r="H27" s="34">
        <v>15</v>
      </c>
      <c r="M27">
        <v>5</v>
      </c>
      <c r="N27" t="s">
        <v>277</v>
      </c>
      <c r="O27" s="34">
        <v>2694</v>
      </c>
      <c r="Q27">
        <v>7</v>
      </c>
      <c r="R27" t="s">
        <v>657</v>
      </c>
      <c r="S27" s="34">
        <v>30</v>
      </c>
      <c r="V27" s="162" t="str">
        <f t="shared" si="0"/>
        <v>Holding Loss on Marketable Securities15</v>
      </c>
      <c r="X27" s="162" t="str">
        <f t="shared" si="1"/>
        <v/>
      </c>
      <c r="Z27" s="162" t="str">
        <f t="shared" si="2"/>
        <v>Total Cash Flow from Financing Activities2694</v>
      </c>
      <c r="AB27" s="162" t="str">
        <f t="shared" si="3"/>
        <v>Interest Payable0</v>
      </c>
    </row>
    <row r="28" spans="2:52" x14ac:dyDescent="0.3">
      <c r="B28">
        <v>7</v>
      </c>
      <c r="C28" t="s">
        <v>80</v>
      </c>
      <c r="D28" s="34">
        <v>250</v>
      </c>
      <c r="F28">
        <v>5</v>
      </c>
      <c r="G28" t="s">
        <v>298</v>
      </c>
      <c r="H28" s="34">
        <v>25</v>
      </c>
      <c r="Q28">
        <v>7</v>
      </c>
      <c r="R28" t="s">
        <v>80</v>
      </c>
      <c r="S28" s="34">
        <v>50</v>
      </c>
      <c r="V28" s="162" t="str">
        <f t="shared" si="0"/>
        <v xml:space="preserve">  Total Losses25</v>
      </c>
      <c r="X28" s="162" t="str">
        <f t="shared" si="1"/>
        <v/>
      </c>
      <c r="Z28" s="162" t="str">
        <f t="shared" si="2"/>
        <v/>
      </c>
      <c r="AB28" s="162" t="str">
        <f t="shared" si="3"/>
        <v>Dividends Payable30</v>
      </c>
    </row>
    <row r="29" spans="2:52" x14ac:dyDescent="0.3">
      <c r="B29">
        <v>5</v>
      </c>
      <c r="C29" t="s">
        <v>306</v>
      </c>
      <c r="D29" s="34">
        <v>700</v>
      </c>
      <c r="M29">
        <v>5</v>
      </c>
      <c r="N29" t="s">
        <v>278</v>
      </c>
      <c r="O29" s="34">
        <v>2759</v>
      </c>
      <c r="Q29">
        <v>5</v>
      </c>
      <c r="R29" t="s">
        <v>306</v>
      </c>
      <c r="S29" s="34">
        <v>355</v>
      </c>
      <c r="V29" s="162" t="str">
        <f t="shared" si="0"/>
        <v/>
      </c>
      <c r="X29" s="162" t="str">
        <f t="shared" si="1"/>
        <v/>
      </c>
      <c r="Z29" s="162" t="str">
        <f t="shared" si="2"/>
        <v>Increase (decrease) in cash2759</v>
      </c>
      <c r="AB29" s="162" t="str">
        <f t="shared" si="3"/>
        <v>Salaries &amp; Wages Payable50</v>
      </c>
    </row>
    <row r="30" spans="2:52" x14ac:dyDescent="0.3">
      <c r="F30">
        <v>3</v>
      </c>
      <c r="G30" t="s">
        <v>279</v>
      </c>
      <c r="H30" s="34">
        <v>201</v>
      </c>
      <c r="V30" s="162" t="str">
        <f t="shared" si="0"/>
        <v>Net Income201</v>
      </c>
      <c r="X30" s="162" t="str">
        <f t="shared" si="1"/>
        <v/>
      </c>
      <c r="Z30" s="162" t="str">
        <f t="shared" si="2"/>
        <v/>
      </c>
      <c r="AB30" s="162" t="str">
        <f t="shared" si="3"/>
        <v xml:space="preserve">  Total Current Liabilities355</v>
      </c>
    </row>
    <row r="31" spans="2:52" x14ac:dyDescent="0.3">
      <c r="B31">
        <v>4</v>
      </c>
      <c r="C31" t="s">
        <v>721</v>
      </c>
      <c r="M31">
        <v>2</v>
      </c>
      <c r="N31" t="s">
        <v>722</v>
      </c>
      <c r="O31" s="34">
        <v>3209</v>
      </c>
      <c r="Q31">
        <v>4</v>
      </c>
      <c r="R31" t="s">
        <v>721</v>
      </c>
      <c r="V31" s="162" t="str">
        <f t="shared" si="0"/>
        <v/>
      </c>
      <c r="X31" s="162" t="str">
        <f t="shared" si="1"/>
        <v/>
      </c>
      <c r="Z31" s="162" t="str">
        <f t="shared" si="2"/>
        <v>Cash @ 12/31/20x93209</v>
      </c>
      <c r="AB31" s="162" t="str">
        <f t="shared" si="3"/>
        <v/>
      </c>
    </row>
    <row r="32" spans="2:52" x14ac:dyDescent="0.3">
      <c r="B32">
        <v>6</v>
      </c>
      <c r="C32" t="s">
        <v>681</v>
      </c>
      <c r="D32" s="34">
        <v>300</v>
      </c>
      <c r="Q32">
        <v>6</v>
      </c>
      <c r="R32" t="s">
        <v>681</v>
      </c>
      <c r="S32" s="34">
        <v>0</v>
      </c>
      <c r="V32" s="162" t="str">
        <f t="shared" si="0"/>
        <v/>
      </c>
      <c r="X32" s="162" t="str">
        <f t="shared" si="1"/>
        <v/>
      </c>
      <c r="Z32" s="162" t="str">
        <f t="shared" si="2"/>
        <v/>
      </c>
      <c r="AB32" s="162" t="str">
        <f t="shared" si="3"/>
        <v xml:space="preserve"> Noncurrent Liabilities:</v>
      </c>
    </row>
    <row r="33" spans="2:28" x14ac:dyDescent="0.3">
      <c r="B33">
        <v>5</v>
      </c>
      <c r="C33" t="s">
        <v>308</v>
      </c>
      <c r="D33" s="34">
        <v>300</v>
      </c>
      <c r="Q33">
        <v>5</v>
      </c>
      <c r="R33" t="s">
        <v>308</v>
      </c>
      <c r="S33" s="34">
        <v>0</v>
      </c>
      <c r="V33" s="162" t="str">
        <f t="shared" si="0"/>
        <v/>
      </c>
      <c r="X33" s="162" t="str">
        <f t="shared" si="1"/>
        <v/>
      </c>
      <c r="Z33" s="162" t="str">
        <f t="shared" si="2"/>
        <v/>
      </c>
      <c r="AB33" s="162" t="str">
        <f t="shared" si="3"/>
        <v>Long-term Bonds Payable0</v>
      </c>
    </row>
    <row r="34" spans="2:28" x14ac:dyDescent="0.3">
      <c r="V34" s="162" t="str">
        <f t="shared" si="0"/>
        <v/>
      </c>
      <c r="X34" s="162" t="str">
        <f t="shared" si="1"/>
        <v/>
      </c>
      <c r="Z34" s="162" t="str">
        <f t="shared" si="2"/>
        <v/>
      </c>
      <c r="AB34" s="162" t="str">
        <f t="shared" si="3"/>
        <v xml:space="preserve">  Total Noncurrent Liabilities0</v>
      </c>
    </row>
    <row r="35" spans="2:28" x14ac:dyDescent="0.3">
      <c r="B35">
        <v>3</v>
      </c>
      <c r="C35" t="s">
        <v>272</v>
      </c>
      <c r="D35" s="34">
        <v>1000</v>
      </c>
      <c r="Q35">
        <v>3</v>
      </c>
      <c r="R35" t="s">
        <v>272</v>
      </c>
      <c r="S35" s="34">
        <v>355</v>
      </c>
      <c r="V35" s="162" t="str">
        <f t="shared" si="0"/>
        <v/>
      </c>
      <c r="X35" s="162" t="str">
        <f t="shared" si="1"/>
        <v/>
      </c>
      <c r="Z35" s="162" t="str">
        <f t="shared" si="2"/>
        <v/>
      </c>
      <c r="AB35" s="162" t="str">
        <f t="shared" si="3"/>
        <v/>
      </c>
    </row>
    <row r="36" spans="2:28" x14ac:dyDescent="0.3">
      <c r="M36">
        <v>1</v>
      </c>
      <c r="N36" t="s">
        <v>138</v>
      </c>
      <c r="V36" s="162" t="str">
        <f t="shared" si="0"/>
        <v/>
      </c>
      <c r="X36" s="162" t="str">
        <f t="shared" si="1"/>
        <v/>
      </c>
      <c r="Z36" s="162" t="str">
        <f t="shared" si="2"/>
        <v>Noncash Investing/Financing Transactions</v>
      </c>
      <c r="AB36" s="162" t="str">
        <f t="shared" si="3"/>
        <v>Total Liabilities355</v>
      </c>
    </row>
    <row r="37" spans="2:28" x14ac:dyDescent="0.3">
      <c r="B37">
        <v>2</v>
      </c>
      <c r="C37" t="s">
        <v>39</v>
      </c>
      <c r="M37">
        <v>6</v>
      </c>
      <c r="Q37">
        <v>2</v>
      </c>
      <c r="R37" t="s">
        <v>39</v>
      </c>
      <c r="V37" s="162" t="str">
        <f t="shared" si="0"/>
        <v/>
      </c>
      <c r="X37" s="162" t="str">
        <f t="shared" si="1"/>
        <v/>
      </c>
      <c r="Z37" s="162" t="str">
        <f t="shared" si="2"/>
        <v/>
      </c>
      <c r="AB37" s="162" t="str">
        <f t="shared" si="3"/>
        <v/>
      </c>
    </row>
    <row r="38" spans="2:28" x14ac:dyDescent="0.3">
      <c r="V38" s="162" t="str">
        <f t="shared" si="0"/>
        <v/>
      </c>
      <c r="X38" s="162" t="str">
        <f t="shared" si="1"/>
        <v/>
      </c>
      <c r="Z38" s="162" t="str">
        <f t="shared" si="2"/>
        <v/>
      </c>
      <c r="AB38" s="162" t="str">
        <f t="shared" si="3"/>
        <v>Equities</v>
      </c>
    </row>
    <row r="39" spans="2:28" x14ac:dyDescent="0.3">
      <c r="B39">
        <v>6</v>
      </c>
      <c r="C39" t="s">
        <v>65</v>
      </c>
      <c r="D39" s="34">
        <v>390</v>
      </c>
      <c r="Q39">
        <v>6</v>
      </c>
      <c r="R39" t="s">
        <v>65</v>
      </c>
      <c r="S39" s="34">
        <v>3390</v>
      </c>
      <c r="V39" s="162" t="str">
        <f t="shared" si="0"/>
        <v/>
      </c>
      <c r="X39" s="162" t="str">
        <f t="shared" si="1"/>
        <v/>
      </c>
      <c r="Z39" s="162" t="str">
        <f t="shared" si="2"/>
        <v/>
      </c>
      <c r="AB39" s="162" t="str">
        <f t="shared" si="3"/>
        <v/>
      </c>
    </row>
    <row r="40" spans="2:28" x14ac:dyDescent="0.3">
      <c r="B40">
        <v>7</v>
      </c>
      <c r="C40" t="s">
        <v>86</v>
      </c>
      <c r="D40" s="34">
        <v>1750</v>
      </c>
      <c r="Q40">
        <v>7</v>
      </c>
      <c r="R40" t="s">
        <v>86</v>
      </c>
      <c r="S40" s="34">
        <v>1921</v>
      </c>
      <c r="V40" s="162" t="str">
        <f t="shared" si="0"/>
        <v/>
      </c>
      <c r="X40" s="162" t="str">
        <f t="shared" si="1"/>
        <v/>
      </c>
      <c r="Z40" s="162" t="str">
        <f t="shared" si="2"/>
        <v/>
      </c>
      <c r="AB40" s="162" t="str">
        <f t="shared" si="3"/>
        <v>Common Stock3390</v>
      </c>
    </row>
    <row r="41" spans="2:28" x14ac:dyDescent="0.3">
      <c r="V41" s="162" t="str">
        <f t="shared" si="0"/>
        <v/>
      </c>
      <c r="X41" s="162" t="str">
        <f t="shared" si="1"/>
        <v/>
      </c>
      <c r="Z41" s="162" t="str">
        <f t="shared" si="2"/>
        <v/>
      </c>
      <c r="AB41" s="162" t="str">
        <f t="shared" si="3"/>
        <v>Retained Earnings1921</v>
      </c>
    </row>
    <row r="42" spans="2:28" x14ac:dyDescent="0.3">
      <c r="B42">
        <v>3</v>
      </c>
      <c r="C42" t="s">
        <v>273</v>
      </c>
      <c r="D42" s="34">
        <v>2140</v>
      </c>
      <c r="M42">
        <v>1</v>
      </c>
      <c r="N42" t="s">
        <v>152</v>
      </c>
      <c r="Q42">
        <v>3</v>
      </c>
      <c r="R42" t="s">
        <v>273</v>
      </c>
      <c r="S42" s="34">
        <v>5311</v>
      </c>
      <c r="V42" s="162" t="str">
        <f t="shared" si="0"/>
        <v/>
      </c>
      <c r="X42" s="162" t="str">
        <f t="shared" si="1"/>
        <v/>
      </c>
      <c r="Z42" s="162" t="str">
        <f t="shared" si="2"/>
        <v>NI CFO Reconciliation</v>
      </c>
      <c r="AB42" s="162" t="str">
        <f t="shared" si="3"/>
        <v/>
      </c>
    </row>
    <row r="43" spans="2:28" x14ac:dyDescent="0.3">
      <c r="V43" s="162" t="str">
        <f t="shared" si="0"/>
        <v/>
      </c>
      <c r="X43" s="162" t="str">
        <f t="shared" si="1"/>
        <v/>
      </c>
      <c r="Z43" s="162" t="str">
        <f t="shared" si="2"/>
        <v/>
      </c>
      <c r="AB43" s="162" t="str">
        <f t="shared" si="3"/>
        <v>Total Equities5311</v>
      </c>
    </row>
    <row r="44" spans="2:28" x14ac:dyDescent="0.3">
      <c r="B44">
        <v>3</v>
      </c>
      <c r="C44" t="s">
        <v>274</v>
      </c>
      <c r="D44" s="34">
        <v>3140</v>
      </c>
      <c r="M44">
        <v>2</v>
      </c>
      <c r="N44" t="s">
        <v>279</v>
      </c>
      <c r="O44" s="34">
        <v>201</v>
      </c>
      <c r="Q44">
        <v>3</v>
      </c>
      <c r="R44" t="s">
        <v>274</v>
      </c>
      <c r="S44" s="34">
        <v>5666</v>
      </c>
      <c r="V44" s="162" t="str">
        <f t="shared" si="0"/>
        <v/>
      </c>
      <c r="X44" s="162" t="str">
        <f t="shared" si="1"/>
        <v/>
      </c>
      <c r="Z44" s="162" t="str">
        <f t="shared" si="2"/>
        <v>Net Income201</v>
      </c>
      <c r="AB44" s="162" t="str">
        <f t="shared" si="3"/>
        <v/>
      </c>
    </row>
    <row r="45" spans="2:28" x14ac:dyDescent="0.3">
      <c r="V45" s="162" t="str">
        <f t="shared" si="0"/>
        <v/>
      </c>
      <c r="X45" s="162" t="str">
        <f t="shared" si="1"/>
        <v/>
      </c>
      <c r="Z45" s="162" t="str">
        <f t="shared" si="2"/>
        <v/>
      </c>
      <c r="AB45" s="162" t="str">
        <f t="shared" si="3"/>
        <v>Total Liabilities and Equities5666</v>
      </c>
    </row>
    <row r="46" spans="2:28" x14ac:dyDescent="0.3">
      <c r="M46">
        <v>3</v>
      </c>
      <c r="N46" t="s">
        <v>723</v>
      </c>
      <c r="V46" s="162" t="str">
        <f t="shared" si="0"/>
        <v/>
      </c>
      <c r="X46" s="162" t="str">
        <f t="shared" si="1"/>
        <v/>
      </c>
      <c r="Z46" s="162" t="str">
        <f t="shared" si="2"/>
        <v>Adjustments:</v>
      </c>
      <c r="AB46" s="162" t="str">
        <f t="shared" si="3"/>
        <v/>
      </c>
    </row>
    <row r="47" spans="2:28" x14ac:dyDescent="0.3">
      <c r="M47">
        <v>6</v>
      </c>
      <c r="N47" t="s">
        <v>642</v>
      </c>
      <c r="O47" s="34">
        <v>250</v>
      </c>
      <c r="V47" s="162" t="str">
        <f t="shared" si="0"/>
        <v/>
      </c>
      <c r="X47" s="162" t="str">
        <f t="shared" si="1"/>
        <v/>
      </c>
      <c r="Z47" s="162" t="str">
        <f t="shared" si="2"/>
        <v>Depreciation expense250</v>
      </c>
      <c r="AB47" s="162" t="str">
        <f t="shared" si="3"/>
        <v/>
      </c>
    </row>
    <row r="48" spans="2:28" x14ac:dyDescent="0.3">
      <c r="M48">
        <v>7</v>
      </c>
      <c r="N48" t="s">
        <v>597</v>
      </c>
      <c r="O48" s="34">
        <v>-30</v>
      </c>
      <c r="V48" s="162" t="str">
        <f t="shared" si="0"/>
        <v/>
      </c>
      <c r="X48" s="162" t="str">
        <f t="shared" si="1"/>
        <v/>
      </c>
      <c r="Z48" s="162" t="str">
        <f t="shared" si="2"/>
        <v>Gain on Sale of Subsidiary-30</v>
      </c>
      <c r="AB48" s="162" t="str">
        <f t="shared" si="3"/>
        <v/>
      </c>
    </row>
    <row r="49" spans="13:31" x14ac:dyDescent="0.3">
      <c r="M49">
        <v>7</v>
      </c>
      <c r="N49" t="s">
        <v>601</v>
      </c>
      <c r="O49" s="34">
        <v>-14</v>
      </c>
      <c r="V49" s="162" t="str">
        <f t="shared" si="0"/>
        <v/>
      </c>
      <c r="X49" s="162" t="str">
        <f t="shared" si="1"/>
        <v/>
      </c>
      <c r="Z49" s="162" t="str">
        <f t="shared" si="2"/>
        <v>Gain on Retirement of Debt-14</v>
      </c>
      <c r="AB49" s="162" t="str">
        <f t="shared" si="3"/>
        <v/>
      </c>
    </row>
    <row r="50" spans="13:31" x14ac:dyDescent="0.3">
      <c r="M50">
        <v>7</v>
      </c>
      <c r="N50" t="s">
        <v>614</v>
      </c>
      <c r="O50" s="34">
        <v>10</v>
      </c>
      <c r="V50" s="162" t="str">
        <f t="shared" si="0"/>
        <v/>
      </c>
      <c r="X50" s="162" t="str">
        <f t="shared" si="1"/>
        <v/>
      </c>
      <c r="Z50" s="162" t="str">
        <f t="shared" si="2"/>
        <v>Loss on Sale of PP&amp;E10</v>
      </c>
      <c r="AB50" s="162" t="str">
        <f t="shared" si="3"/>
        <v/>
      </c>
    </row>
    <row r="51" spans="13:31" x14ac:dyDescent="0.3">
      <c r="M51">
        <v>7</v>
      </c>
      <c r="N51" t="s">
        <v>624</v>
      </c>
      <c r="O51" s="34">
        <v>15</v>
      </c>
      <c r="V51" s="162" t="str">
        <f t="shared" si="0"/>
        <v/>
      </c>
      <c r="X51" s="162" t="str">
        <f t="shared" si="1"/>
        <v/>
      </c>
      <c r="Z51" s="162" t="str">
        <f t="shared" si="2"/>
        <v>Holding Loss on Marketable Securities15</v>
      </c>
      <c r="AB51" s="162" t="str">
        <f t="shared" si="3"/>
        <v/>
      </c>
    </row>
    <row r="52" spans="13:31" x14ac:dyDescent="0.3">
      <c r="V52" s="162" t="str">
        <f t="shared" si="0"/>
        <v/>
      </c>
      <c r="X52" s="162" t="str">
        <f t="shared" si="1"/>
        <v/>
      </c>
      <c r="Z52" s="162" t="str">
        <f t="shared" si="2"/>
        <v/>
      </c>
      <c r="AB52" s="162" t="str">
        <f t="shared" si="3"/>
        <v/>
      </c>
    </row>
    <row r="53" spans="13:31" x14ac:dyDescent="0.3">
      <c r="M53">
        <v>3</v>
      </c>
      <c r="N53" t="s">
        <v>724</v>
      </c>
      <c r="V53" s="162" t="str">
        <f t="shared" si="0"/>
        <v/>
      </c>
      <c r="X53" s="162" t="str">
        <f t="shared" si="1"/>
        <v/>
      </c>
      <c r="Z53" s="162" t="str">
        <f t="shared" si="2"/>
        <v>ΔBalance sheet accounts due to Operations:</v>
      </c>
      <c r="AB53" s="162" t="str">
        <f t="shared" si="3"/>
        <v/>
      </c>
    </row>
    <row r="54" spans="13:31" x14ac:dyDescent="0.3">
      <c r="M54">
        <v>7</v>
      </c>
      <c r="N54" t="s">
        <v>73</v>
      </c>
      <c r="O54" s="34">
        <v>100</v>
      </c>
      <c r="V54" s="162" t="str">
        <f t="shared" si="0"/>
        <v/>
      </c>
      <c r="X54" s="162" t="str">
        <f t="shared" si="1"/>
        <v/>
      </c>
      <c r="Z54" s="162" t="str">
        <f t="shared" si="2"/>
        <v>Accounts Receivable100</v>
      </c>
      <c r="AB54" s="162" t="str">
        <f t="shared" si="3"/>
        <v/>
      </c>
    </row>
    <row r="55" spans="13:31" x14ac:dyDescent="0.3">
      <c r="M55">
        <v>7</v>
      </c>
      <c r="N55" t="s">
        <v>68</v>
      </c>
      <c r="O55" s="34">
        <v>-17</v>
      </c>
      <c r="V55" s="162" t="str">
        <f t="shared" si="0"/>
        <v/>
      </c>
      <c r="X55" s="162" t="str">
        <f t="shared" si="1"/>
        <v/>
      </c>
      <c r="Z55" s="162" t="str">
        <f t="shared" si="2"/>
        <v>Inventories-17</v>
      </c>
      <c r="AB55" s="162" t="str">
        <f t="shared" si="3"/>
        <v/>
      </c>
    </row>
    <row r="56" spans="13:31" x14ac:dyDescent="0.3">
      <c r="M56">
        <v>7</v>
      </c>
      <c r="N56" t="s">
        <v>70</v>
      </c>
      <c r="O56" s="34">
        <v>-100</v>
      </c>
      <c r="V56" s="162" t="str">
        <f t="shared" si="0"/>
        <v/>
      </c>
      <c r="X56" s="162" t="str">
        <f t="shared" si="1"/>
        <v/>
      </c>
      <c r="Z56" s="162" t="str">
        <f t="shared" si="2"/>
        <v>Accounts Payable-100</v>
      </c>
      <c r="AB56" s="162" t="str">
        <f t="shared" si="3"/>
        <v/>
      </c>
    </row>
    <row r="57" spans="13:31" x14ac:dyDescent="0.3">
      <c r="M57">
        <v>7</v>
      </c>
      <c r="N57" t="s">
        <v>85</v>
      </c>
      <c r="O57" s="34">
        <v>-30</v>
      </c>
      <c r="V57" s="162" t="str">
        <f t="shared" si="0"/>
        <v/>
      </c>
      <c r="X57" s="162" t="str">
        <f t="shared" si="1"/>
        <v/>
      </c>
      <c r="Z57" s="162" t="str">
        <f t="shared" si="2"/>
        <v>Interest Payable-30</v>
      </c>
      <c r="AB57" s="162" t="str">
        <f t="shared" si="3"/>
        <v/>
      </c>
    </row>
    <row r="58" spans="13:31" x14ac:dyDescent="0.3">
      <c r="M58">
        <v>7</v>
      </c>
      <c r="N58" t="s">
        <v>80</v>
      </c>
      <c r="O58" s="34">
        <v>-200</v>
      </c>
      <c r="V58" s="162" t="str">
        <f t="shared" si="0"/>
        <v/>
      </c>
      <c r="X58" s="162" t="str">
        <f t="shared" si="1"/>
        <v/>
      </c>
      <c r="Z58" s="162" t="str">
        <f t="shared" si="2"/>
        <v>Salaries &amp; Wages Payable-200</v>
      </c>
      <c r="AB58" s="162" t="str">
        <f t="shared" si="3"/>
        <v/>
      </c>
    </row>
    <row r="59" spans="13:31" x14ac:dyDescent="0.3">
      <c r="V59" s="162" t="str">
        <f t="shared" si="0"/>
        <v/>
      </c>
      <c r="X59" s="162" t="str">
        <f t="shared" si="1"/>
        <v/>
      </c>
      <c r="Z59" s="162" t="str">
        <f t="shared" si="2"/>
        <v/>
      </c>
      <c r="AB59" s="162" t="str">
        <f t="shared" si="3"/>
        <v/>
      </c>
    </row>
    <row r="60" spans="13:31" x14ac:dyDescent="0.3">
      <c r="M60">
        <v>2</v>
      </c>
      <c r="N60" t="s">
        <v>173</v>
      </c>
      <c r="O60" s="34">
        <v>185</v>
      </c>
      <c r="V60" s="162" t="str">
        <f t="shared" si="0"/>
        <v/>
      </c>
      <c r="X60" s="162" t="str">
        <f t="shared" si="1"/>
        <v/>
      </c>
      <c r="Z60" s="162" t="str">
        <f t="shared" si="2"/>
        <v>Cash Flow from Operations185</v>
      </c>
      <c r="AA60" s="5"/>
      <c r="AB60" s="162" t="str">
        <f t="shared" si="3"/>
        <v/>
      </c>
      <c r="AE60" s="5"/>
    </row>
    <row r="61" spans="13:31" x14ac:dyDescent="0.3">
      <c r="V61" s="162" t="str">
        <f t="shared" si="0"/>
        <v/>
      </c>
      <c r="X61" s="162" t="str">
        <f t="shared" si="1"/>
        <v/>
      </c>
      <c r="Z61" s="162" t="str">
        <f t="shared" si="2"/>
        <v/>
      </c>
      <c r="AB61" s="162" t="str">
        <f t="shared" si="3"/>
        <v/>
      </c>
    </row>
    <row r="62" spans="13:31" x14ac:dyDescent="0.3">
      <c r="V62" s="162" t="str">
        <f t="shared" si="0"/>
        <v/>
      </c>
      <c r="X62" s="162" t="str">
        <f t="shared" si="1"/>
        <v/>
      </c>
      <c r="Z62" s="162" t="str">
        <f t="shared" si="2"/>
        <v/>
      </c>
      <c r="AB62" s="162" t="str">
        <f t="shared" si="3"/>
        <v/>
      </c>
    </row>
    <row r="63" spans="13:31" x14ac:dyDescent="0.3">
      <c r="V63" s="162" t="str">
        <f t="shared" si="0"/>
        <v/>
      </c>
      <c r="X63" s="162" t="str">
        <f t="shared" si="1"/>
        <v/>
      </c>
      <c r="Z63" s="162" t="str">
        <f t="shared" si="2"/>
        <v/>
      </c>
      <c r="AB63" s="162" t="str">
        <f t="shared" si="3"/>
        <v/>
      </c>
    </row>
    <row r="64" spans="13:31" x14ac:dyDescent="0.3">
      <c r="V64" s="162" t="str">
        <f t="shared" si="0"/>
        <v/>
      </c>
      <c r="X64" s="162" t="str">
        <f t="shared" si="1"/>
        <v/>
      </c>
      <c r="Z64" s="162" t="str">
        <f t="shared" si="2"/>
        <v/>
      </c>
      <c r="AB64" s="162" t="str">
        <f t="shared" si="3"/>
        <v/>
      </c>
    </row>
    <row r="65" spans="22:28" x14ac:dyDescent="0.3">
      <c r="V65" s="162" t="str">
        <f t="shared" si="0"/>
        <v/>
      </c>
      <c r="X65" s="162" t="str">
        <f t="shared" si="1"/>
        <v/>
      </c>
      <c r="Z65" s="162" t="str">
        <f t="shared" si="2"/>
        <v/>
      </c>
      <c r="AB65" s="162" t="str">
        <f t="shared" si="3"/>
        <v/>
      </c>
    </row>
    <row r="66" spans="22:28" x14ac:dyDescent="0.3">
      <c r="V66" s="162" t="str">
        <f t="shared" si="0"/>
        <v/>
      </c>
      <c r="X66" s="162" t="str">
        <f t="shared" si="1"/>
        <v/>
      </c>
      <c r="Z66" s="162" t="str">
        <f t="shared" si="2"/>
        <v/>
      </c>
      <c r="AB66" s="162" t="str">
        <f t="shared" si="3"/>
        <v/>
      </c>
    </row>
    <row r="67" spans="22:28" x14ac:dyDescent="0.3">
      <c r="V67" s="162" t="str">
        <f t="shared" si="0"/>
        <v/>
      </c>
      <c r="X67" s="162" t="str">
        <f t="shared" si="1"/>
        <v/>
      </c>
      <c r="Z67" s="162" t="str">
        <f t="shared" si="2"/>
        <v/>
      </c>
      <c r="AB67" s="162" t="str">
        <f t="shared" si="3"/>
        <v/>
      </c>
    </row>
    <row r="68" spans="22:28" x14ac:dyDescent="0.3">
      <c r="V68" s="162" t="str">
        <f t="shared" si="0"/>
        <v/>
      </c>
      <c r="X68" s="162" t="str">
        <f t="shared" si="1"/>
        <v/>
      </c>
      <c r="Z68" s="162" t="str">
        <f t="shared" si="2"/>
        <v/>
      </c>
      <c r="AB68" s="162" t="str">
        <f t="shared" si="3"/>
        <v/>
      </c>
    </row>
    <row r="69" spans="22:28" x14ac:dyDescent="0.3">
      <c r="V69" s="162" t="str">
        <f t="shared" si="0"/>
        <v/>
      </c>
      <c r="X69" s="162" t="str">
        <f t="shared" si="1"/>
        <v/>
      </c>
      <c r="Z69" s="162" t="str">
        <f t="shared" si="2"/>
        <v/>
      </c>
      <c r="AB69" s="162" t="str">
        <f t="shared" si="3"/>
        <v/>
      </c>
    </row>
    <row r="70" spans="22:28" x14ac:dyDescent="0.3">
      <c r="V70" s="162" t="str">
        <f t="shared" si="0"/>
        <v/>
      </c>
      <c r="X70" s="162" t="str">
        <f t="shared" si="1"/>
        <v/>
      </c>
      <c r="Z70" s="162" t="str">
        <f t="shared" si="2"/>
        <v/>
      </c>
      <c r="AB70" s="162" t="str">
        <f t="shared" si="3"/>
        <v/>
      </c>
    </row>
    <row r="71" spans="22:28" x14ac:dyDescent="0.3">
      <c r="V71" s="162" t="str">
        <f t="shared" si="0"/>
        <v/>
      </c>
      <c r="X71" s="162" t="str">
        <f t="shared" si="1"/>
        <v/>
      </c>
      <c r="Z71" s="162" t="str">
        <f t="shared" si="2"/>
        <v/>
      </c>
      <c r="AB71" s="162" t="str">
        <f t="shared" si="3"/>
        <v/>
      </c>
    </row>
    <row r="72" spans="22:28" x14ac:dyDescent="0.3">
      <c r="V72" s="162" t="str">
        <f t="shared" ref="V72:V94" si="4">G72&amp;H72</f>
        <v/>
      </c>
      <c r="X72" s="162" t="str">
        <f t="shared" ref="X72:X95" si="5">K72&amp;L72</f>
        <v/>
      </c>
      <c r="Z72" s="162" t="str">
        <f t="shared" ref="Z72:Z95" si="6">N72&amp;O72</f>
        <v/>
      </c>
      <c r="AB72" s="162" t="str">
        <f t="shared" ref="AB72:AB95" si="7">R71&amp;S71</f>
        <v/>
      </c>
    </row>
    <row r="73" spans="22:28" x14ac:dyDescent="0.3">
      <c r="V73" s="162" t="str">
        <f t="shared" si="4"/>
        <v/>
      </c>
      <c r="X73" s="162" t="str">
        <f t="shared" si="5"/>
        <v/>
      </c>
      <c r="Z73" s="162" t="str">
        <f t="shared" si="6"/>
        <v/>
      </c>
      <c r="AB73" s="162" t="str">
        <f t="shared" si="7"/>
        <v/>
      </c>
    </row>
    <row r="74" spans="22:28" x14ac:dyDescent="0.3">
      <c r="V74" s="162" t="str">
        <f t="shared" si="4"/>
        <v/>
      </c>
      <c r="X74" s="162" t="str">
        <f t="shared" si="5"/>
        <v/>
      </c>
      <c r="Z74" s="162" t="str">
        <f t="shared" si="6"/>
        <v/>
      </c>
      <c r="AB74" s="162" t="str">
        <f t="shared" si="7"/>
        <v/>
      </c>
    </row>
    <row r="75" spans="22:28" x14ac:dyDescent="0.3">
      <c r="V75" s="162" t="str">
        <f t="shared" si="4"/>
        <v/>
      </c>
      <c r="X75" s="162" t="str">
        <f t="shared" si="5"/>
        <v/>
      </c>
      <c r="Z75" s="162" t="str">
        <f t="shared" si="6"/>
        <v/>
      </c>
      <c r="AB75" s="162" t="str">
        <f t="shared" si="7"/>
        <v/>
      </c>
    </row>
    <row r="76" spans="22:28" x14ac:dyDescent="0.3">
      <c r="V76" s="162" t="str">
        <f t="shared" si="4"/>
        <v/>
      </c>
      <c r="X76" s="162" t="str">
        <f t="shared" si="5"/>
        <v/>
      </c>
      <c r="Z76" s="162" t="str">
        <f t="shared" si="6"/>
        <v/>
      </c>
      <c r="AB76" s="162" t="str">
        <f t="shared" si="7"/>
        <v/>
      </c>
    </row>
    <row r="77" spans="22:28" x14ac:dyDescent="0.3">
      <c r="V77" s="162" t="str">
        <f t="shared" si="4"/>
        <v/>
      </c>
      <c r="X77" s="162" t="str">
        <f t="shared" si="5"/>
        <v/>
      </c>
      <c r="Z77" s="162" t="str">
        <f t="shared" si="6"/>
        <v/>
      </c>
      <c r="AB77" s="162" t="str">
        <f t="shared" si="7"/>
        <v/>
      </c>
    </row>
    <row r="78" spans="22:28" x14ac:dyDescent="0.3">
      <c r="V78" s="162" t="str">
        <f t="shared" si="4"/>
        <v/>
      </c>
      <c r="X78" s="162" t="str">
        <f t="shared" si="5"/>
        <v/>
      </c>
      <c r="Z78" s="162" t="str">
        <f t="shared" si="6"/>
        <v/>
      </c>
      <c r="AB78" s="162" t="str">
        <f t="shared" si="7"/>
        <v/>
      </c>
    </row>
    <row r="79" spans="22:28" x14ac:dyDescent="0.3">
      <c r="V79" s="162" t="str">
        <f t="shared" si="4"/>
        <v/>
      </c>
      <c r="X79" s="162" t="str">
        <f t="shared" si="5"/>
        <v/>
      </c>
      <c r="Z79" s="162" t="str">
        <f t="shared" si="6"/>
        <v/>
      </c>
      <c r="AB79" s="162" t="str">
        <f t="shared" si="7"/>
        <v/>
      </c>
    </row>
    <row r="80" spans="22:28" x14ac:dyDescent="0.3">
      <c r="V80" s="162" t="str">
        <f t="shared" si="4"/>
        <v/>
      </c>
      <c r="X80" s="162" t="str">
        <f t="shared" si="5"/>
        <v/>
      </c>
      <c r="Z80" s="162" t="str">
        <f t="shared" si="6"/>
        <v/>
      </c>
      <c r="AB80" s="162" t="str">
        <f t="shared" si="7"/>
        <v/>
      </c>
    </row>
    <row r="81" spans="22:28" x14ac:dyDescent="0.3">
      <c r="V81" s="162" t="str">
        <f t="shared" si="4"/>
        <v/>
      </c>
      <c r="X81" s="162" t="str">
        <f t="shared" si="5"/>
        <v/>
      </c>
      <c r="Z81" s="162" t="str">
        <f t="shared" si="6"/>
        <v/>
      </c>
      <c r="AB81" s="162" t="str">
        <f t="shared" si="7"/>
        <v/>
      </c>
    </row>
    <row r="82" spans="22:28" x14ac:dyDescent="0.3">
      <c r="V82" s="162" t="str">
        <f t="shared" si="4"/>
        <v/>
      </c>
      <c r="X82" s="162" t="str">
        <f t="shared" si="5"/>
        <v/>
      </c>
      <c r="Z82" s="162" t="str">
        <f t="shared" si="6"/>
        <v/>
      </c>
      <c r="AB82" s="162" t="str">
        <f t="shared" si="7"/>
        <v/>
      </c>
    </row>
    <row r="83" spans="22:28" x14ac:dyDescent="0.3">
      <c r="V83" s="162" t="str">
        <f t="shared" si="4"/>
        <v/>
      </c>
      <c r="X83" s="162" t="str">
        <f t="shared" si="5"/>
        <v/>
      </c>
      <c r="Z83" s="162" t="str">
        <f t="shared" si="6"/>
        <v/>
      </c>
      <c r="AB83" s="162" t="str">
        <f t="shared" si="7"/>
        <v/>
      </c>
    </row>
    <row r="84" spans="22:28" x14ac:dyDescent="0.3">
      <c r="V84" s="162" t="str">
        <f t="shared" si="4"/>
        <v/>
      </c>
      <c r="X84" s="162" t="str">
        <f t="shared" si="5"/>
        <v/>
      </c>
      <c r="Z84" s="162" t="str">
        <f t="shared" si="6"/>
        <v/>
      </c>
      <c r="AB84" s="162" t="str">
        <f t="shared" si="7"/>
        <v/>
      </c>
    </row>
    <row r="85" spans="22:28" x14ac:dyDescent="0.3">
      <c r="V85" s="162" t="str">
        <f t="shared" si="4"/>
        <v/>
      </c>
      <c r="X85" s="162" t="str">
        <f t="shared" si="5"/>
        <v/>
      </c>
      <c r="Z85" s="162" t="str">
        <f t="shared" si="6"/>
        <v/>
      </c>
      <c r="AB85" s="162" t="str">
        <f t="shared" si="7"/>
        <v/>
      </c>
    </row>
    <row r="86" spans="22:28" x14ac:dyDescent="0.3">
      <c r="V86" s="162" t="str">
        <f t="shared" si="4"/>
        <v/>
      </c>
      <c r="X86" s="162" t="str">
        <f t="shared" si="5"/>
        <v/>
      </c>
      <c r="Z86" s="162" t="str">
        <f t="shared" si="6"/>
        <v/>
      </c>
      <c r="AB86" s="162" t="str">
        <f t="shared" si="7"/>
        <v/>
      </c>
    </row>
    <row r="87" spans="22:28" x14ac:dyDescent="0.3">
      <c r="V87" s="162" t="str">
        <f t="shared" si="4"/>
        <v/>
      </c>
      <c r="X87" s="162" t="str">
        <f t="shared" si="5"/>
        <v/>
      </c>
      <c r="Z87" s="162" t="str">
        <f t="shared" si="6"/>
        <v/>
      </c>
      <c r="AB87" s="162" t="str">
        <f t="shared" si="7"/>
        <v/>
      </c>
    </row>
    <row r="88" spans="22:28" x14ac:dyDescent="0.3">
      <c r="V88" s="162" t="str">
        <f t="shared" si="4"/>
        <v/>
      </c>
      <c r="X88" s="162" t="str">
        <f t="shared" si="5"/>
        <v/>
      </c>
      <c r="Z88" s="162" t="str">
        <f t="shared" si="6"/>
        <v/>
      </c>
      <c r="AB88" s="162" t="str">
        <f t="shared" si="7"/>
        <v/>
      </c>
    </row>
    <row r="89" spans="22:28" x14ac:dyDescent="0.3">
      <c r="V89" s="162" t="str">
        <f t="shared" si="4"/>
        <v/>
      </c>
      <c r="X89" s="162" t="str">
        <f t="shared" si="5"/>
        <v/>
      </c>
      <c r="Z89" s="162" t="str">
        <f t="shared" si="6"/>
        <v/>
      </c>
      <c r="AB89" s="162" t="str">
        <f t="shared" si="7"/>
        <v/>
      </c>
    </row>
    <row r="90" spans="22:28" x14ac:dyDescent="0.3">
      <c r="V90" s="162" t="str">
        <f t="shared" si="4"/>
        <v/>
      </c>
      <c r="X90" s="162" t="str">
        <f t="shared" si="5"/>
        <v/>
      </c>
      <c r="Z90" s="162" t="str">
        <f t="shared" si="6"/>
        <v/>
      </c>
      <c r="AB90" s="162" t="str">
        <f t="shared" si="7"/>
        <v/>
      </c>
    </row>
    <row r="91" spans="22:28" x14ac:dyDescent="0.3">
      <c r="V91" s="162" t="str">
        <f t="shared" si="4"/>
        <v/>
      </c>
      <c r="X91" s="162" t="str">
        <f t="shared" si="5"/>
        <v/>
      </c>
      <c r="Z91" s="162" t="str">
        <f t="shared" si="6"/>
        <v/>
      </c>
      <c r="AB91" s="162" t="str">
        <f t="shared" si="7"/>
        <v/>
      </c>
    </row>
    <row r="92" spans="22:28" x14ac:dyDescent="0.3">
      <c r="V92" s="162" t="str">
        <f t="shared" si="4"/>
        <v/>
      </c>
      <c r="X92" s="162" t="str">
        <f t="shared" si="5"/>
        <v/>
      </c>
      <c r="Z92" s="162" t="str">
        <f t="shared" si="6"/>
        <v/>
      </c>
      <c r="AB92" s="162" t="str">
        <f t="shared" si="7"/>
        <v/>
      </c>
    </row>
    <row r="93" spans="22:28" x14ac:dyDescent="0.3">
      <c r="V93" s="162" t="str">
        <f t="shared" si="4"/>
        <v/>
      </c>
      <c r="X93" s="162" t="str">
        <f t="shared" si="5"/>
        <v/>
      </c>
      <c r="Z93" s="162" t="str">
        <f t="shared" si="6"/>
        <v/>
      </c>
      <c r="AB93" s="162" t="str">
        <f t="shared" si="7"/>
        <v/>
      </c>
    </row>
    <row r="94" spans="22:28" x14ac:dyDescent="0.3">
      <c r="V94" s="162" t="str">
        <f t="shared" si="4"/>
        <v/>
      </c>
      <c r="X94" s="162" t="str">
        <f t="shared" si="5"/>
        <v/>
      </c>
      <c r="Z94" s="162" t="str">
        <f t="shared" si="6"/>
        <v/>
      </c>
      <c r="AB94" s="162" t="str">
        <f t="shared" si="7"/>
        <v/>
      </c>
    </row>
    <row r="95" spans="22:28" ht="15" thickBot="1" x14ac:dyDescent="0.35">
      <c r="V95" s="163" t="str">
        <f>G95&amp;H95</f>
        <v/>
      </c>
      <c r="X95" s="163" t="str">
        <f t="shared" si="5"/>
        <v/>
      </c>
      <c r="Z95" s="163" t="str">
        <f t="shared" si="6"/>
        <v/>
      </c>
      <c r="AB95" s="163" t="str">
        <f t="shared" si="7"/>
        <v/>
      </c>
    </row>
    <row r="100" spans="43:47" x14ac:dyDescent="0.3">
      <c r="AS100" t="s">
        <v>725</v>
      </c>
      <c r="AT100" t="s">
        <v>542</v>
      </c>
      <c r="AU100" t="s">
        <v>726</v>
      </c>
    </row>
    <row r="101" spans="43:47" x14ac:dyDescent="0.3">
      <c r="AQ101" t="s">
        <v>727</v>
      </c>
      <c r="AR101">
        <v>0</v>
      </c>
      <c r="AU101">
        <v>0</v>
      </c>
    </row>
    <row r="102" spans="43:47" x14ac:dyDescent="0.3">
      <c r="AQ102" t="s">
        <v>74</v>
      </c>
      <c r="AU102">
        <v>1</v>
      </c>
    </row>
    <row r="103" spans="43:47" x14ac:dyDescent="0.3">
      <c r="AQ103" t="s">
        <v>76</v>
      </c>
    </row>
    <row r="104" spans="43:47" x14ac:dyDescent="0.3">
      <c r="AQ104" t="s">
        <v>728</v>
      </c>
    </row>
    <row r="105" spans="43:47" x14ac:dyDescent="0.3">
      <c r="AQ105" t="s">
        <v>729</v>
      </c>
    </row>
    <row r="143" spans="22:22" x14ac:dyDescent="0.3">
      <c r="V143" t="str">
        <f t="shared" ref="V143:V153" si="8">_xlfn.CONCAT(V50:W50)</f>
        <v/>
      </c>
    </row>
    <row r="144" spans="22:22" x14ac:dyDescent="0.3">
      <c r="V144" t="str">
        <f t="shared" si="8"/>
        <v/>
      </c>
    </row>
    <row r="145" spans="22:22" x14ac:dyDescent="0.3">
      <c r="V145" t="str">
        <f t="shared" si="8"/>
        <v/>
      </c>
    </row>
    <row r="146" spans="22:22" x14ac:dyDescent="0.3">
      <c r="V146" t="str">
        <f t="shared" si="8"/>
        <v/>
      </c>
    </row>
    <row r="147" spans="22:22" x14ac:dyDescent="0.3">
      <c r="V147" t="str">
        <f t="shared" si="8"/>
        <v/>
      </c>
    </row>
    <row r="148" spans="22:22" x14ac:dyDescent="0.3">
      <c r="V148" t="str">
        <f t="shared" si="8"/>
        <v/>
      </c>
    </row>
    <row r="149" spans="22:22" x14ac:dyDescent="0.3">
      <c r="V149" t="str">
        <f t="shared" si="8"/>
        <v/>
      </c>
    </row>
    <row r="150" spans="22:22" x14ac:dyDescent="0.3">
      <c r="V150" t="str">
        <f t="shared" si="8"/>
        <v/>
      </c>
    </row>
    <row r="151" spans="22:22" x14ac:dyDescent="0.3">
      <c r="V151" t="str">
        <f t="shared" si="8"/>
        <v/>
      </c>
    </row>
    <row r="152" spans="22:22" x14ac:dyDescent="0.3">
      <c r="V152" t="str">
        <f t="shared" si="8"/>
        <v/>
      </c>
    </row>
    <row r="153" spans="22:22" x14ac:dyDescent="0.3">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4.4" x14ac:dyDescent="0.3"/>
  <cols>
    <col min="2" max="2" width="11.5546875" bestFit="1" customWidth="1"/>
  </cols>
  <sheetData>
    <row r="2" spans="2:3" x14ac:dyDescent="0.3">
      <c r="B2">
        <v>1</v>
      </c>
      <c r="C2" t="s">
        <v>730</v>
      </c>
    </row>
    <row r="3" spans="2:3" x14ac:dyDescent="0.3">
      <c r="B3">
        <v>2</v>
      </c>
      <c r="C3" t="s">
        <v>731</v>
      </c>
    </row>
    <row r="4" spans="2:3" x14ac:dyDescent="0.3">
      <c r="B4">
        <v>3</v>
      </c>
      <c r="C4" t="s">
        <v>732</v>
      </c>
    </row>
    <row r="5" spans="2:3" x14ac:dyDescent="0.3">
      <c r="B5">
        <v>4</v>
      </c>
      <c r="C5" t="s">
        <v>733</v>
      </c>
    </row>
    <row r="6" spans="2:3" x14ac:dyDescent="0.3">
      <c r="B6">
        <v>5</v>
      </c>
      <c r="C6" t="s">
        <v>734</v>
      </c>
    </row>
    <row r="7" spans="2:3" x14ac:dyDescent="0.3">
      <c r="B7">
        <v>6</v>
      </c>
      <c r="C7" t="s">
        <v>735</v>
      </c>
    </row>
    <row r="8" spans="2:3" x14ac:dyDescent="0.3">
      <c r="B8">
        <v>7</v>
      </c>
      <c r="C8" t="s">
        <v>736</v>
      </c>
    </row>
    <row r="9" spans="2:3" x14ac:dyDescent="0.3">
      <c r="B9">
        <v>8</v>
      </c>
      <c r="C9" t="s">
        <v>737</v>
      </c>
    </row>
    <row r="10" spans="2:3" x14ac:dyDescent="0.3">
      <c r="B10">
        <v>9</v>
      </c>
      <c r="C10" t="s">
        <v>738</v>
      </c>
    </row>
    <row r="11" spans="2:3" x14ac:dyDescent="0.3">
      <c r="B11">
        <v>10</v>
      </c>
      <c r="C11" t="s">
        <v>91</v>
      </c>
    </row>
    <row r="12" spans="2:3" x14ac:dyDescent="0.3">
      <c r="B12">
        <v>11</v>
      </c>
      <c r="C12" t="s">
        <v>739</v>
      </c>
    </row>
    <row r="15" spans="2:3" x14ac:dyDescent="0.3">
      <c r="C15" t="s">
        <v>740</v>
      </c>
    </row>
    <row r="16" spans="2:3" x14ac:dyDescent="0.3">
      <c r="C16" t="s">
        <v>37</v>
      </c>
    </row>
    <row r="17" spans="3:3" x14ac:dyDescent="0.3">
      <c r="C17" t="s">
        <v>38</v>
      </c>
    </row>
    <row r="18" spans="3:3" x14ac:dyDescent="0.3">
      <c r="C18" t="s">
        <v>39</v>
      </c>
    </row>
    <row r="21" spans="3:3" x14ac:dyDescent="0.3">
      <c r="C21" t="s">
        <v>741</v>
      </c>
    </row>
    <row r="22" spans="3:3" x14ac:dyDescent="0.3">
      <c r="C22" t="s">
        <v>43</v>
      </c>
    </row>
    <row r="23" spans="3:3" x14ac:dyDescent="0.3">
      <c r="C23" t="s">
        <v>44</v>
      </c>
    </row>
    <row r="24" spans="3:3" x14ac:dyDescent="0.3">
      <c r="C24" t="s">
        <v>742</v>
      </c>
    </row>
    <row r="25" spans="3:3" x14ac:dyDescent="0.3">
      <c r="C25" t="s">
        <v>398</v>
      </c>
    </row>
    <row r="26" spans="3:3" x14ac:dyDescent="0.3">
      <c r="C26" t="s">
        <v>394</v>
      </c>
    </row>
    <row r="27" spans="3:3" x14ac:dyDescent="0.3">
      <c r="C27" t="s">
        <v>395</v>
      </c>
    </row>
    <row r="28" spans="3:3" x14ac:dyDescent="0.3">
      <c r="C28" t="s">
        <v>162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defaultRowHeight="14.4" x14ac:dyDescent="0.3"/>
  <cols>
    <col min="1" max="1" width="2" customWidth="1"/>
    <col min="2" max="2" width="6.88671875" style="76" customWidth="1"/>
    <col min="3" max="3" width="15.21875" style="1" customWidth="1"/>
    <col min="4" max="4" width="12.109375" customWidth="1"/>
    <col min="5" max="6" width="26.21875" customWidth="1"/>
    <col min="7" max="9" width="10" customWidth="1"/>
    <col min="10" max="11" width="12.109375" customWidth="1"/>
    <col min="12" max="13" width="13.77734375" customWidth="1"/>
    <col min="14" max="14" width="9.77734375" customWidth="1"/>
  </cols>
  <sheetData>
    <row r="1" spans="2:14" ht="8.85" customHeight="1" thickBot="1" x14ac:dyDescent="0.35"/>
    <row r="2" spans="2:14" ht="16.5" customHeight="1" thickBot="1" x14ac:dyDescent="0.35">
      <c r="B2" s="39"/>
      <c r="C2" s="94" t="s">
        <v>48</v>
      </c>
      <c r="D2" s="95">
        <v>32</v>
      </c>
    </row>
    <row r="3" spans="2:14" ht="15" thickBot="1" x14ac:dyDescent="0.35">
      <c r="B3" s="39"/>
      <c r="C3" s="688" t="s">
        <v>50</v>
      </c>
      <c r="D3" s="689"/>
      <c r="E3" s="689"/>
      <c r="F3" s="689"/>
      <c r="G3" s="689"/>
      <c r="H3" s="689"/>
      <c r="I3" s="690"/>
      <c r="J3" s="35"/>
      <c r="K3" s="35"/>
      <c r="L3" s="35" t="s">
        <v>51</v>
      </c>
    </row>
    <row r="4" spans="2:14" x14ac:dyDescent="0.3">
      <c r="B4" s="39"/>
      <c r="C4" s="691" cm="1">
        <f t="array" ref="C4">INDEX(ProblemData!D78:AN79,2,D2+1)</f>
        <v>0</v>
      </c>
      <c r="D4" s="692"/>
      <c r="E4" s="692"/>
      <c r="F4" s="692"/>
      <c r="G4" s="692"/>
      <c r="H4" s="692"/>
      <c r="I4" s="693"/>
      <c r="J4" s="35"/>
      <c r="K4" s="35"/>
      <c r="L4" s="35" t="s">
        <v>51</v>
      </c>
    </row>
    <row r="5" spans="2:14" x14ac:dyDescent="0.3">
      <c r="B5" s="39"/>
      <c r="C5" s="694"/>
      <c r="D5" s="695"/>
      <c r="E5" s="695"/>
      <c r="F5" s="695"/>
      <c r="G5" s="695"/>
      <c r="H5" s="695"/>
      <c r="I5" s="696"/>
      <c r="J5" s="35"/>
      <c r="K5" s="35"/>
      <c r="L5" s="35" t="s">
        <v>51</v>
      </c>
    </row>
    <row r="6" spans="2:14" x14ac:dyDescent="0.3">
      <c r="B6" s="39"/>
      <c r="C6" s="694"/>
      <c r="D6" s="695"/>
      <c r="E6" s="695"/>
      <c r="F6" s="695"/>
      <c r="G6" s="695"/>
      <c r="H6" s="695"/>
      <c r="I6" s="696"/>
      <c r="J6" s="35"/>
      <c r="K6" s="35"/>
      <c r="L6" s="35" t="s">
        <v>51</v>
      </c>
    </row>
    <row r="7" spans="2:14" ht="15" thickBot="1" x14ac:dyDescent="0.35">
      <c r="B7" s="39"/>
      <c r="C7" s="697"/>
      <c r="D7" s="698"/>
      <c r="E7" s="698"/>
      <c r="F7" s="698"/>
      <c r="G7" s="698"/>
      <c r="H7" s="698"/>
      <c r="I7" s="699"/>
      <c r="J7" s="35"/>
      <c r="K7" s="35"/>
      <c r="L7" s="35" t="s">
        <v>51</v>
      </c>
    </row>
    <row r="8" spans="2:14" ht="7.35" customHeight="1" thickBot="1" x14ac:dyDescent="0.35">
      <c r="B8" s="39"/>
      <c r="C8"/>
    </row>
    <row r="9" spans="2:14" x14ac:dyDescent="0.3">
      <c r="B9" s="39"/>
      <c r="C9" s="790" t="s">
        <v>743</v>
      </c>
      <c r="D9" s="791"/>
      <c r="E9" s="791"/>
      <c r="F9" s="792"/>
      <c r="G9" s="56" t="s">
        <v>744</v>
      </c>
      <c r="H9" s="57" t="s">
        <v>745</v>
      </c>
      <c r="I9" s="58" t="s">
        <v>436</v>
      </c>
    </row>
    <row r="10" spans="2:14" ht="15" thickBot="1" x14ac:dyDescent="0.35">
      <c r="B10" s="39"/>
      <c r="C10" s="793"/>
      <c r="D10" s="794"/>
      <c r="E10" s="794"/>
      <c r="F10" s="795"/>
      <c r="G10" s="156">
        <f>SUM(JournalAnswer[Dr Amt])</f>
        <v>418.45</v>
      </c>
      <c r="H10" s="157">
        <f>SUM(JournalAnswer[Cr Amt])</f>
        <v>418.45</v>
      </c>
      <c r="I10" s="36">
        <f>ROUND(G10-H10,2)</f>
        <v>0</v>
      </c>
      <c r="J10" s="11"/>
      <c r="K10" s="11"/>
      <c r="L10" s="11"/>
      <c r="M10" s="11"/>
    </row>
    <row r="11" spans="2:14" ht="14.85" customHeight="1" x14ac:dyDescent="0.3">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x14ac:dyDescent="0.3">
      <c r="B12" s="76" cm="1">
        <f t="array" ref="B12:B67">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Cash</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100</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Financing</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100</v>
      </c>
      <c r="L12" s="38" t="str" cm="1">
        <f t="array" aca="1" ref="L12" ca="1">IFERROR(INDEX(ProblemData!$E$240:$AM$240,1,JournalAnswer[[#This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x14ac:dyDescent="0.3">
      <c r="B13" s="76">
        <v>1</v>
      </c>
      <c r="C13" s="290">
        <f>IF(B13="","",B13)</f>
        <v>1</v>
      </c>
      <c r="D13" s="291" t="str">
        <f>IFERROR(_xlfn.IFNA(INDEX(ProblemData!$C$78:$AM$146,MATCH(J13+0.1,ProblemData!$C$78:$C$146,0),MATCH(C13,ProblemData!$C$78:$AM$78,0)),""),"")</f>
        <v>Equity</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Common Stock</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100</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x14ac:dyDescent="0.3">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Property, Plant &amp; Equipment</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60</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0</v>
      </c>
      <c r="L14" s="38" t="str" cm="1">
        <f t="array" aca="1" ref="L14" ca="1">IFERROR(INDEX(ProblemData!$E$240:$AM$240,1,JournalAnswer[[#This Row],[Transaction '#]]),"")</f>
        <v>PPPE</v>
      </c>
      <c r="M14" s="1" t="str">
        <f ca="1">IF(JournalAnswer[[#This Row],[ref1]]="","",IF(NOT(ISBLANK(JournalAnswer[[#This Row],[Transaction '#]])),JournalAnswer[[#This Row],[ref1]]&amp;JournalAnswer[[#This Row],[Movement '#]],""))</f>
        <v>PPPE1</v>
      </c>
      <c r="N14" s="1" t="b">
        <f ca="1">OR(JournalAnswer[[#This Row],[ref1]]="",ISNUMBER(MATCH(JournalAnswer[[#This Row],[ref1]], Operating[Abbr], 0)), "Found", "Not Found"="Found")</f>
        <v>0</v>
      </c>
    </row>
    <row r="15" spans="2:14" x14ac:dyDescent="0.3">
      <c r="B15" s="76">
        <v>2</v>
      </c>
      <c r="C15" s="290">
        <f t="shared" ref="C15" si="0">IF(B15="","",B15)</f>
        <v>2</v>
      </c>
      <c r="D15" s="291" t="str">
        <f>IFERROR(_xlfn.IFNA(INDEX(ProblemData!$C$78:$AM$146,MATCH(J15+0.1,ProblemData!$C$78:$C$146,0),MATCH(C15,ProblemData!$C$78:$AM$78,0)),""),"")</f>
        <v>Asset</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Cash</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60</v>
      </c>
      <c r="I15" s="321" t="str" cm="1">
        <f t="array" ref="I15">IF(JournalAnswer[[#This Row],[Debit Account]]="Cash",INDEX(ProblemData!$E$239:$AM$239,1,JournalAnswer[[#This Row],[Transaction '#]]),IF(JournalAnswer[[#This Row],[Credit Account]]="Cash",INDEX(ProblemData!$E$239:$AM$239,1,JournalAnswer[[#This Row],[Transaction '#]]),""))</f>
        <v>Investing</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-60</v>
      </c>
      <c r="L15" s="38" t="str" cm="1">
        <f t="array" aca="1" ref="L15" ca="1">IFERROR(INDEX(ProblemData!$E$240:$AM$240,1,JournalAnswer[[#This Row],[Transaction '#]]),"")</f>
        <v>PPPE</v>
      </c>
      <c r="M15" s="1" t="str">
        <f ca="1">IF(JournalAnswer[[#This Row],[ref1]]="","",IF(NOT(ISBLANK(JournalAnswer[[#This Row],[Transaction '#]])),JournalAnswer[[#This Row],[ref1]]&amp;JournalAnswer[[#This Row],[Movement '#]],""))</f>
        <v>PPPE2</v>
      </c>
      <c r="N15" s="1" t="b">
        <f ca="1">OR(JournalAnswer[[#This Row],[ref1]]="",ISNUMBER(MATCH(JournalAnswer[[#This Row],[ref1]], Operating[Abbr], 0)), "Found", "Not Found"="Found")</f>
        <v>0</v>
      </c>
    </row>
    <row r="16" spans="2:14" x14ac:dyDescent="0.3">
      <c r="B16" s="76">
        <v>3</v>
      </c>
      <c r="C16" s="290">
        <f>IF(B16="","",B16)</f>
        <v>3</v>
      </c>
      <c r="D16" s="291" t="str">
        <f>IFERROR(_xlfn.IFNA(INDEX(ProblemData!$C$78:$AM$146,MATCH(J16+0.1,ProblemData!$C$78:$C$146,0),MATCH(C16,ProblemData!$C$78:$AM$78,0)),""),"")</f>
        <v>Asset</v>
      </c>
      <c r="E16" s="63" t="str">
        <f>IFERROR(_xlfn.IFNA(IF(INDEX(ProblemData!$C$78:$AM$146,MATCH(J16+0.3,ProblemData!$C$78:$C$146,0),MATCH(C16,ProblemData!$C$78:$AM$78,0))="Debit",INDEX(ProblemData!$C$78:$AM$146,MATCH(J16+0.2,ProblemData!$C$78:$C$146,0),MATCH(C16,ProblemData!$C$78:$AM$78,0)),""),""),"")</f>
        <v>Prepaid Rent</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4</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PdPPd</v>
      </c>
      <c r="M16" s="1" t="str">
        <f ca="1">IF(JournalAnswer[[#This Row],[ref1]]="","",IF(NOT(ISBLANK(JournalAnswer[[#This Row],[Transaction '#]])),JournalAnswer[[#This Row],[ref1]]&amp;JournalAnswer[[#This Row],[Movement '#]],""))</f>
        <v>PdPPd1</v>
      </c>
      <c r="N16" s="1" t="b">
        <f ca="1">OR(JournalAnswer[[#This Row],[ref1]]="",ISNUMBER(MATCH(JournalAnswer[[#This Row],[ref1]], Operating[Abbr], 0)), "Found", "Not Found"="Found")</f>
        <v>1</v>
      </c>
    </row>
    <row r="17" spans="2:14" x14ac:dyDescent="0.3">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Cash</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4</v>
      </c>
      <c r="I17" s="321" t="str" cm="1">
        <f t="array" ref="I17">IF(JournalAnswer[[#This Row],[Debit Account]]="Cash",INDEX(ProblemData!$E$239:$AM$239,1,JournalAnswer[[#This Row],[Transaction '#]]),IF(JournalAnswer[[#This Row],[Credit Account]]="Cash",INDEX(ProblemData!$E$239:$AM$239,1,JournalAnswer[[#This Row],[Transaction '#]]),""))</f>
        <v>Operating</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-4</v>
      </c>
      <c r="L17" s="38" t="str" cm="1">
        <f t="array" aca="1" ref="L17" ca="1">IFERROR(INDEX(ProblemData!$E$240:$AM$240,1,JournalAnswer[[#This Row],[Transaction '#]]),"")</f>
        <v>PdPPd</v>
      </c>
      <c r="M17" s="1" t="str">
        <f ca="1">IF(JournalAnswer[[#This Row],[ref1]]="","",IF(NOT(ISBLANK(JournalAnswer[[#This Row],[Transaction '#]])),JournalAnswer[[#This Row],[ref1]]&amp;JournalAnswer[[#This Row],[Movement '#]],""))</f>
        <v>PdPPd2</v>
      </c>
      <c r="N17" s="1" t="b">
        <f ca="1">OR(JournalAnswer[[#This Row],[ref1]]="",ISNUMBER(MATCH(JournalAnswer[[#This Row],[ref1]], Operating[Abbr], 0)), "Found", "Not Found"="Found")</f>
        <v>1</v>
      </c>
    </row>
    <row r="18" spans="2:14" x14ac:dyDescent="0.3">
      <c r="B18" s="76">
        <v>4</v>
      </c>
      <c r="C18" s="290">
        <f t="shared" si="1"/>
        <v>4</v>
      </c>
      <c r="D18" s="291" t="str">
        <f>IFERROR(_xlfn.IFNA(INDEX(ProblemData!$C$78:$AM$146,MATCH(J18+0.1,ProblemData!$C$78:$C$146,0),MATCH(C18,ProblemData!$C$78:$AM$78,0)),""),"")</f>
        <v>Asset</v>
      </c>
      <c r="E18" s="63" t="str">
        <f>IFERROR(_xlfn.IFNA(IF(INDEX(ProblemData!$C$78:$AM$146,MATCH(J18+0.3,ProblemData!$C$78:$C$146,0),MATCH(C18,ProblemData!$C$78:$AM$78,0))="Debit",INDEX(ProblemData!$C$78:$AM$146,MATCH(J18+0.2,ProblemData!$C$78:$C$146,0),MATCH(C18,ProblemData!$C$78:$AM$78,0)),""),""),"")</f>
        <v>Inventories</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30</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
      </c>
      <c r="M18" s="1" t="str">
        <f ca="1">IF(JournalAnswer[[#This Row],[ref1]]="","",IF(NOT(ISBLANK(JournalAnswer[[#This Row],[Transaction '#]])),JournalAnswer[[#This Row],[ref1]]&amp;JournalAnswer[[#This Row],[Movement '#]],""))</f>
        <v/>
      </c>
      <c r="N18" s="1" t="b">
        <f ca="1">OR(JournalAnswer[[#This Row],[ref1]]="",ISNUMBER(MATCH(JournalAnswer[[#This Row],[ref1]], Operating[Abbr], 0)), "Found", "Not Found"="Found")</f>
        <v>1</v>
      </c>
    </row>
    <row r="19" spans="2:14" x14ac:dyDescent="0.3">
      <c r="B19" s="76">
        <v>4</v>
      </c>
      <c r="C19" s="290">
        <f t="shared" si="1"/>
        <v>4</v>
      </c>
      <c r="D19" s="291" t="str">
        <f>IFERROR(_xlfn.IFNA(INDEX(ProblemData!$C$78:$AM$146,MATCH(J19+0.1,ProblemData!$C$78:$C$146,0),MATCH(C19,ProblemData!$C$78:$AM$78,0)),""),"")</f>
        <v>Liability</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Accounts Payable</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30</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
      </c>
      <c r="M19" s="1" t="str">
        <f ca="1">IF(JournalAnswer[[#This Row],[ref1]]="","",IF(NOT(ISBLANK(JournalAnswer[[#This Row],[Transaction '#]])),JournalAnswer[[#This Row],[ref1]]&amp;JournalAnswer[[#This Row],[Movement '#]],""))</f>
        <v/>
      </c>
      <c r="N19" s="1" t="b">
        <f ca="1">OR(JournalAnswer[[#This Row],[ref1]]="",ISNUMBER(MATCH(JournalAnswer[[#This Row],[ref1]], Operating[Abbr], 0)), "Found", "Not Found"="Found")</f>
        <v>1</v>
      </c>
    </row>
    <row r="20" spans="2:14" x14ac:dyDescent="0.3">
      <c r="B20" s="76">
        <v>5</v>
      </c>
      <c r="C20" s="290">
        <f t="shared" si="1"/>
        <v>5</v>
      </c>
      <c r="D20" s="291" t="str">
        <f>IFERROR(_xlfn.IFNA(INDEX(ProblemData!$C$78:$AM$146,MATCH(J20+0.1,ProblemData!$C$78:$C$146,0),MATCH(C20,ProblemData!$C$78:$AM$78,0)),""),"")</f>
        <v>Asset</v>
      </c>
      <c r="E20" s="63" t="str">
        <f>IFERROR(_xlfn.IFNA(IF(INDEX(ProblemData!$C$78:$AM$146,MATCH(J20+0.3,ProblemData!$C$78:$C$146,0),MATCH(C20,ProblemData!$C$78:$AM$78,0))="Debit",INDEX(ProblemData!$C$78:$AM$146,MATCH(J20+0.2,ProblemData!$C$78:$C$146,0),MATCH(C20,ProblemData!$C$78:$AM$78,0)),""),""),"")</f>
        <v>Marketable Securities</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25</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PMS</v>
      </c>
      <c r="M20" s="1" t="str">
        <f ca="1">IF(JournalAnswer[[#This Row],[ref1]]="","",IF(NOT(ISBLANK(JournalAnswer[[#This Row],[Transaction '#]])),JournalAnswer[[#This Row],[ref1]]&amp;JournalAnswer[[#This Row],[Movement '#]],""))</f>
        <v>PMS1</v>
      </c>
      <c r="N20" s="1" t="b">
        <f ca="1">OR(JournalAnswer[[#This Row],[ref1]]="",ISNUMBER(MATCH(JournalAnswer[[#This Row],[ref1]], Operating[Abbr], 0)), "Found", "Not Found"="Found")</f>
        <v>0</v>
      </c>
    </row>
    <row r="21" spans="2:14" x14ac:dyDescent="0.3">
      <c r="B21" s="76">
        <v>5</v>
      </c>
      <c r="C21" s="290">
        <f t="shared" si="1"/>
        <v>5</v>
      </c>
      <c r="D21" s="291" t="str">
        <f>IFERROR(_xlfn.IFNA(INDEX(ProblemData!$C$78:$AM$146,MATCH(J21+0.1,ProblemData!$C$78:$C$146,0),MATCH(C21,ProblemData!$C$78:$AM$78,0)),""),"")</f>
        <v>Asset</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Cash</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25</v>
      </c>
      <c r="I21" s="321" t="str" cm="1">
        <f t="array" ref="I21">IF(JournalAnswer[[#This Row],[Debit Account]]="Cash",INDEX(ProblemData!$E$239:$AM$239,1,JournalAnswer[[#This Row],[Transaction '#]]),IF(JournalAnswer[[#This Row],[Credit Account]]="Cash",INDEX(ProblemData!$E$239:$AM$239,1,JournalAnswer[[#This Row],[Transaction '#]]),""))</f>
        <v>Investing</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-25</v>
      </c>
      <c r="L21" s="38" t="str" cm="1">
        <f t="array" aca="1" ref="L21" ca="1">IFERROR(INDEX(ProblemData!$E$240:$AM$240,1,JournalAnswer[[#This Row],[Transaction '#]]),"")</f>
        <v>PMS</v>
      </c>
      <c r="M21" s="1" t="str">
        <f ca="1">IF(JournalAnswer[[#This Row],[ref1]]="","",IF(NOT(ISBLANK(JournalAnswer[[#This Row],[Transaction '#]])),JournalAnswer[[#This Row],[ref1]]&amp;JournalAnswer[[#This Row],[Movement '#]],""))</f>
        <v>PMS2</v>
      </c>
      <c r="N21" s="1" t="b">
        <f ca="1">OR(JournalAnswer[[#This Row],[ref1]]="",ISNUMBER(MATCH(JournalAnswer[[#This Row],[ref1]], Operating[Abbr], 0)), "Found", "Not Found"="Found")</f>
        <v>0</v>
      </c>
    </row>
    <row r="22" spans="2:14" x14ac:dyDescent="0.3">
      <c r="B22" s="76">
        <v>6</v>
      </c>
      <c r="C22" s="290">
        <f t="shared" si="1"/>
        <v>6</v>
      </c>
      <c r="D22" s="291" t="str">
        <f>IFERROR(_xlfn.IFNA(INDEX(ProblemData!$C$78:$AM$146,MATCH(J22+0.1,ProblemData!$C$78:$C$146,0),MATCH(C22,ProblemData!$C$78:$AM$78,0)),""),"")</f>
        <v>Asset</v>
      </c>
      <c r="E22" s="63" t="str">
        <f>IFERROR(_xlfn.IFNA(IF(INDEX(ProblemData!$C$78:$AM$146,MATCH(J22+0.3,ProblemData!$C$78:$C$146,0),MATCH(C22,ProblemData!$C$78:$AM$78,0))="Debit",INDEX(ProblemData!$C$78:$AM$146,MATCH(J22+0.2,ProblemData!$C$78:$C$146,0),MATCH(C22,ProblemData!$C$78:$AM$78,0)),""),""),"")</f>
        <v>Cash</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20</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Financing</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20</v>
      </c>
      <c r="L22" s="38" t="str" cm="1">
        <f t="array" aca="1" ref="L22" ca="1">IFERROR(INDEX(ProblemData!$E$240:$AM$240,1,JournalAnswer[[#This Row],[Transaction '#]]),"")</f>
        <v>IB</v>
      </c>
      <c r="M22" s="1" t="str">
        <f ca="1">IF(JournalAnswer[[#This Row],[ref1]]="","",IF(NOT(ISBLANK(JournalAnswer[[#This Row],[Transaction '#]])),JournalAnswer[[#This Row],[ref1]]&amp;JournalAnswer[[#This Row],[Movement '#]],""))</f>
        <v>IB1</v>
      </c>
      <c r="N22" s="1" t="b">
        <f ca="1">OR(JournalAnswer[[#This Row],[ref1]]="",ISNUMBER(MATCH(JournalAnswer[[#This Row],[ref1]], Operating[Abbr], 0)), "Found", "Not Found"="Found")</f>
        <v>0</v>
      </c>
    </row>
    <row r="23" spans="2:14" x14ac:dyDescent="0.3">
      <c r="B23" s="76">
        <v>6</v>
      </c>
      <c r="C23" s="290">
        <f t="shared" si="1"/>
        <v>6</v>
      </c>
      <c r="D23" s="291" t="str">
        <f>IFERROR(_xlfn.IFNA(INDEX(ProblemData!$C$78:$AM$146,MATCH(J23+0.1,ProblemData!$C$78:$C$146,0),MATCH(C23,ProblemData!$C$78:$AM$78,0)),""),"")</f>
        <v>Liability</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Bonds Payable</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20</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IB</v>
      </c>
      <c r="M23" s="1" t="str">
        <f ca="1">IF(JournalAnswer[[#This Row],[ref1]]="","",IF(NOT(ISBLANK(JournalAnswer[[#This Row],[Transaction '#]])),JournalAnswer[[#This Row],[ref1]]&amp;JournalAnswer[[#This Row],[Movement '#]],""))</f>
        <v>IB2</v>
      </c>
      <c r="N23" s="1" t="b">
        <f ca="1">OR(JournalAnswer[[#This Row],[ref1]]="",ISNUMBER(MATCH(JournalAnswer[[#This Row],[ref1]], Operating[Abbr], 0)), "Found", "Not Found"="Found")</f>
        <v>0</v>
      </c>
    </row>
    <row r="24" spans="2:14" x14ac:dyDescent="0.3">
      <c r="B24" s="76">
        <v>7</v>
      </c>
      <c r="C24" s="290">
        <f t="shared" si="1"/>
        <v>7</v>
      </c>
      <c r="D24" s="291" t="str">
        <f>IFERROR(_xlfn.IFNA(INDEX(ProblemData!$C$78:$AM$146,MATCH(J24+0.1,ProblemData!$C$78:$C$146,0),MATCH(C24,ProblemData!$C$78:$AM$78,0)),""),"")</f>
        <v>Asset</v>
      </c>
      <c r="E24" s="63" t="str">
        <f>IFERROR(_xlfn.IFNA(IF(INDEX(ProblemData!$C$78:$AM$146,MATCH(J24+0.3,ProblemData!$C$78:$C$146,0),MATCH(C24,ProblemData!$C$78:$AM$78,0))="Debit",INDEX(ProblemData!$C$78:$AM$146,MATCH(J24+0.2,ProblemData!$C$78:$C$146,0),MATCH(C24,ProblemData!$C$78:$AM$78,0)),""),""),"")</f>
        <v>Accounts Receivable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40</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
      </c>
      <c r="M24" s="1" t="str">
        <f ca="1">IF(JournalAnswer[[#This Row],[ref1]]="","",IF(NOT(ISBLANK(JournalAnswer[[#This Row],[Transaction '#]])),JournalAnswer[[#This Row],[ref1]]&amp;JournalAnswer[[#This Row],[Movement '#]],""))</f>
        <v/>
      </c>
      <c r="N24" s="1" t="b">
        <f ca="1">OR(JournalAnswer[[#This Row],[ref1]]="",ISNUMBER(MATCH(JournalAnswer[[#This Row],[ref1]], Operating[Abbr], 0)), "Found", "Not Found"="Found")</f>
        <v>1</v>
      </c>
    </row>
    <row r="25" spans="2:14" x14ac:dyDescent="0.3">
      <c r="B25" s="76">
        <v>7</v>
      </c>
      <c r="C25" s="290">
        <f t="shared" si="1"/>
        <v>7</v>
      </c>
      <c r="D25" s="291" t="str">
        <f>IFERROR(_xlfn.IFNA(INDEX(ProblemData!$C$78:$AM$146,MATCH(J25+0.1,ProblemData!$C$78:$C$146,0),MATCH(C25,ProblemData!$C$78:$AM$78,0)),""),"")</f>
        <v>Revenue</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Sales</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40</v>
      </c>
      <c r="I25" s="321" t="str" cm="1">
        <f t="array" ref="I25">IF(JournalAnswer[[#This Row],[Debit Account]]="Cash",INDEX(ProblemData!$E$239:$AM$239,1,JournalAnswer[[#This Row],[Transaction '#]]),IF(JournalAnswer[[#This Row],[Credit Account]]="Cash",INDEX(ProblemData!$E$239:$AM$239,1,JournalAnswer[[#This Row],[Transaction '#]]),""))</f>
        <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0</v>
      </c>
      <c r="L25" s="38" t="str" cm="1">
        <f t="array" aca="1" ref="L25" ca="1">IFERROR(INDEX(ProblemData!$E$240:$AM$240,1,JournalAnswer[[#This Row],[Transaction '#]]),"")</f>
        <v/>
      </c>
      <c r="M25" s="1" t="str">
        <f ca="1">IF(JournalAnswer[[#This Row],[ref1]]="","",IF(NOT(ISBLANK(JournalAnswer[[#This Row],[Transaction '#]])),JournalAnswer[[#This Row],[ref1]]&amp;JournalAnswer[[#This Row],[Movement '#]],""))</f>
        <v/>
      </c>
      <c r="N25" s="1" t="b">
        <f ca="1">OR(JournalAnswer[[#This Row],[ref1]]="",ISNUMBER(MATCH(JournalAnswer[[#This Row],[ref1]], Operating[Abbr], 0)), "Found", "Not Found"="Found")</f>
        <v>1</v>
      </c>
    </row>
    <row r="26" spans="2:14" x14ac:dyDescent="0.3">
      <c r="B26" s="76">
        <v>8</v>
      </c>
      <c r="C26" s="290">
        <f t="shared" si="1"/>
        <v>8</v>
      </c>
      <c r="D26" s="291" t="str">
        <f>IFERROR(_xlfn.IFNA(INDEX(ProblemData!$C$78:$AM$146,MATCH(J26+0.1,ProblemData!$C$78:$C$146,0),MATCH(C26,ProblemData!$C$78:$AM$78,0)),""),"")</f>
        <v>Expense</v>
      </c>
      <c r="E26" s="63" t="str">
        <f>IFERROR(_xlfn.IFNA(IF(INDEX(ProblemData!$C$78:$AM$146,MATCH(J26+0.3,ProblemData!$C$78:$C$146,0),MATCH(C26,ProblemData!$C$78:$AM$78,0))="Debit",INDEX(ProblemData!$C$78:$AM$146,MATCH(J26+0.2,ProblemData!$C$78:$C$146,0),MATCH(C26,ProblemData!$C$78:$AM$78,0)),""),""),"")</f>
        <v>Cost of Goods Sold</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25</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
      </c>
      <c r="M26" s="1" t="str">
        <f ca="1">IF(JournalAnswer[[#This Row],[ref1]]="","",IF(NOT(ISBLANK(JournalAnswer[[#This Row],[Transaction '#]])),JournalAnswer[[#This Row],[ref1]]&amp;JournalAnswer[[#This Row],[Movement '#]],""))</f>
        <v/>
      </c>
      <c r="N26" s="1" t="b">
        <f ca="1">OR(JournalAnswer[[#This Row],[ref1]]="",ISNUMBER(MATCH(JournalAnswer[[#This Row],[ref1]], Operating[Abbr], 0)), "Found", "Not Found"="Found")</f>
        <v>1</v>
      </c>
    </row>
    <row r="27" spans="2:14" x14ac:dyDescent="0.3">
      <c r="B27" s="76">
        <v>8</v>
      </c>
      <c r="C27" s="290">
        <f t="shared" si="1"/>
        <v>8</v>
      </c>
      <c r="D27" s="291" t="str">
        <f>IFERROR(_xlfn.IFNA(INDEX(ProblemData!$C$78:$AM$146,MATCH(J27+0.1,ProblemData!$C$78:$C$146,0),MATCH(C27,ProblemData!$C$78:$AM$78,0)),""),"")</f>
        <v>Asset</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Inventories</v>
      </c>
      <c r="G27" s="292" t="str">
        <f>_xlfn.IFNA(IF(JournalAnswer[[#This Row],[Debit Account]]&lt;&gt;"",INDEX(ProblemData!$C$78:$AM$146,MATCH(J27+0.4,ProblemData!$C$78:$C$146,0),MATCH(C27,ProblemData!$C$78:$AM$78,0)),""),"")</f>
        <v/>
      </c>
      <c r="H27" s="293">
        <f>_xlfn.IFNA(IF(JournalAnswer[[#This Row],[Credit Account]]&lt;&gt;"",INDEX(ProblemData!$C$78:$AM$146,MATCH(J27+0.4,ProblemData!$C$78:$C$146,0),MATCH(C27,ProblemData!$C$78:$AM$78,0)),""),"")</f>
        <v>25</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
      </c>
      <c r="M27" s="1" t="str">
        <f ca="1">IF(JournalAnswer[[#This Row],[ref1]]="","",IF(NOT(ISBLANK(JournalAnswer[[#This Row],[Transaction '#]])),JournalAnswer[[#This Row],[ref1]]&amp;JournalAnswer[[#This Row],[Movement '#]],""))</f>
        <v/>
      </c>
      <c r="N27" s="1" t="b">
        <f ca="1">OR(JournalAnswer[[#This Row],[ref1]]="",ISNUMBER(MATCH(JournalAnswer[[#This Row],[ref1]], Operating[Abbr], 0)), "Found", "Not Found"="Found")</f>
        <v>1</v>
      </c>
    </row>
    <row r="28" spans="2:14" x14ac:dyDescent="0.3">
      <c r="B28" s="76">
        <v>9</v>
      </c>
      <c r="C28" s="290">
        <f t="shared" si="1"/>
        <v>9</v>
      </c>
      <c r="D28" s="291" t="str">
        <f>IFERROR(_xlfn.IFNA(INDEX(ProblemData!$C$78:$AM$146,MATCH(J28+0.1,ProblemData!$C$78:$C$146,0),MATCH(C28,ProblemData!$C$78:$AM$78,0)),""),"")</f>
        <v>Liability</v>
      </c>
      <c r="E28" s="63" t="str">
        <f>IFERROR(_xlfn.IFNA(IF(INDEX(ProblemData!$C$78:$AM$146,MATCH(J28+0.3,ProblemData!$C$78:$C$146,0),MATCH(C28,ProblemData!$C$78:$AM$78,0))="Debit",INDEX(ProblemData!$C$78:$AM$146,MATCH(J28+0.2,ProblemData!$C$78:$C$146,0),MATCH(C28,ProblemData!$C$78:$AM$78,0)),""),""),"")</f>
        <v>Accounts Payable</v>
      </c>
      <c r="F28" s="63" t="str">
        <f>IFERROR(_xlfn.IFNA(IF(INDEX(ProblemData!$C$78:$AM$146,MATCH(J28+0.3,ProblemData!$C$78:$C$146,0),MATCH(C28,ProblemData!$C$78:$AM$78,0))="Credit",INDEX(ProblemData!$C$78:$AM$146,MATCH(J28+0.2,ProblemData!$C$78:$C$146,0),MATCH(C28,ProblemData!$C$78:$AM$78,0)),""),""),"")</f>
        <v/>
      </c>
      <c r="G28" s="292">
        <f>_xlfn.IFNA(IF(JournalAnswer[[#This Row],[Debit Account]]&lt;&gt;"",INDEX(ProblemData!$C$78:$AM$146,MATCH(J28+0.4,ProblemData!$C$78:$C$146,0),MATCH(C28,ProblemData!$C$78:$AM$78,0)),""),"")</f>
        <v>15</v>
      </c>
      <c r="H28" s="293" t="str">
        <f>_xlfn.IFNA(IF(JournalAnswer[[#This Row],[Credit Account]]&lt;&gt;"",INDEX(ProblemData!$C$78:$AM$146,MATCH(J28+0.4,ProblemData!$C$78:$C$146,0),MATCH(C28,ProblemData!$C$78:$AM$78,0)),""),"")</f>
        <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1</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PdS</v>
      </c>
      <c r="M28" s="1" t="str">
        <f ca="1">IF(JournalAnswer[[#This Row],[ref1]]="","",IF(NOT(ISBLANK(JournalAnswer[[#This Row],[Transaction '#]])),JournalAnswer[[#This Row],[ref1]]&amp;JournalAnswer[[#This Row],[Movement '#]],""))</f>
        <v>PdS1</v>
      </c>
      <c r="N28" s="1" t="b">
        <f ca="1">OR(JournalAnswer[[#This Row],[ref1]]="",ISNUMBER(MATCH(JournalAnswer[[#This Row],[ref1]], Operating[Abbr], 0)), "Found", "Not Found"="Found")</f>
        <v>1</v>
      </c>
    </row>
    <row r="29" spans="2:14" x14ac:dyDescent="0.3">
      <c r="B29" s="76">
        <v>9</v>
      </c>
      <c r="C29" s="290">
        <f t="shared" si="1"/>
        <v>9</v>
      </c>
      <c r="D29" s="291" t="str">
        <f>IFERROR(_xlfn.IFNA(INDEX(ProblemData!$C$78:$AM$146,MATCH(J29+0.1,ProblemData!$C$78:$C$146,0),MATCH(C29,ProblemData!$C$78:$AM$78,0)),""),"")</f>
        <v>Asset</v>
      </c>
      <c r="E29" s="63" t="str">
        <f>IFERROR(_xlfn.IFNA(IF(INDEX(ProblemData!$C$78:$AM$146,MATCH(J29+0.3,ProblemData!$C$78:$C$146,0),MATCH(C29,ProblemData!$C$78:$AM$78,0))="Debit",INDEX(ProblemData!$C$78:$AM$146,MATCH(J29+0.2,ProblemData!$C$78:$C$146,0),MATCH(C29,ProblemData!$C$78:$AM$78,0)),""),""),"")</f>
        <v/>
      </c>
      <c r="F29" s="63" t="str">
        <f>IFERROR(_xlfn.IFNA(IF(INDEX(ProblemData!$C$78:$AM$146,MATCH(J29+0.3,ProblemData!$C$78:$C$146,0),MATCH(C29,ProblemData!$C$78:$AM$78,0))="Credit",INDEX(ProblemData!$C$78:$AM$146,MATCH(J29+0.2,ProblemData!$C$78:$C$146,0),MATCH(C29,ProblemData!$C$78:$AM$78,0)),""),""),"")</f>
        <v>Cash</v>
      </c>
      <c r="G29" s="292" t="str">
        <f>_xlfn.IFNA(IF(JournalAnswer[[#This Row],[Debit Account]]&lt;&gt;"",INDEX(ProblemData!$C$78:$AM$146,MATCH(J29+0.4,ProblemData!$C$78:$C$146,0),MATCH(C29,ProblemData!$C$78:$AM$78,0)),""),"")</f>
        <v/>
      </c>
      <c r="H29" s="293">
        <f>_xlfn.IFNA(IF(JournalAnswer[[#This Row],[Credit Account]]&lt;&gt;"",INDEX(ProblemData!$C$78:$AM$146,MATCH(J29+0.4,ProblemData!$C$78:$C$146,0),MATCH(C29,ProblemData!$C$78:$AM$78,0)),""),"")</f>
        <v>15</v>
      </c>
      <c r="I29" s="321" t="str" cm="1">
        <f t="array" ref="I29">IF(JournalAnswer[[#This Row],[Debit Account]]="Cash",INDEX(ProblemData!$E$239:$AM$239,1,JournalAnswer[[#This Row],[Transaction '#]]),IF(JournalAnswer[[#This Row],[Credit Account]]="Cash",INDEX(ProblemData!$E$239:$AM$239,1,JournalAnswer[[#This Row],[Transaction '#]]),""))</f>
        <v>Operating</v>
      </c>
      <c r="J29" s="74">
        <f>IF(JournalAnswer[[#This Row],[Transaction '#]]="","",IF(JournalAnswer[[#This Row],[Transaction '#]]=C28,J28+1,1))</f>
        <v>2</v>
      </c>
      <c r="K29" s="34" cm="1">
        <f t="array" ref="K29">IFERROR(_xlfn.IFS(JournalAnswer[[#This Row],[Debit Account]]="Cash",JournalAnswer[[#This Row],[Dr Amt]],JournalAnswer[[#This Row],[Credit Account]]="Cash",-JournalAnswer[[#This Row],[Cr Amt]]),0)</f>
        <v>-15</v>
      </c>
      <c r="L29" s="38" t="str" cm="1">
        <f t="array" aca="1" ref="L29" ca="1">IFERROR(INDEX(ProblemData!$E$240:$AM$240,1,JournalAnswer[[#This Row],[Transaction '#]]),"")</f>
        <v>PdS</v>
      </c>
      <c r="M29" s="1" t="str">
        <f ca="1">IF(JournalAnswer[[#This Row],[ref1]]="","",IF(NOT(ISBLANK(JournalAnswer[[#This Row],[Transaction '#]])),JournalAnswer[[#This Row],[ref1]]&amp;JournalAnswer[[#This Row],[Movement '#]],""))</f>
        <v>PdS2</v>
      </c>
      <c r="N29" s="1" t="b">
        <f ca="1">OR(JournalAnswer[[#This Row],[ref1]]="",ISNUMBER(MATCH(JournalAnswer[[#This Row],[ref1]], Operating[Abbr], 0)), "Found", "Not Found"="Found")</f>
        <v>1</v>
      </c>
    </row>
    <row r="30" spans="2:14" x14ac:dyDescent="0.3">
      <c r="B30" s="76">
        <v>10</v>
      </c>
      <c r="C30" s="290">
        <f t="shared" si="1"/>
        <v>10</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Cash</v>
      </c>
      <c r="F30" s="63" t="str">
        <f>IFERROR(_xlfn.IFNA(IF(INDEX(ProblemData!$C$78:$AM$146,MATCH(J30+0.3,ProblemData!$C$78:$C$146,0),MATCH(C30,ProblemData!$C$78:$AM$78,0))="Credit",INDEX(ProblemData!$C$78:$AM$146,MATCH(J30+0.2,ProblemData!$C$78:$C$146,0),MATCH(C30,ProblemData!$C$78:$AM$78,0)),""),""),"")</f>
        <v/>
      </c>
      <c r="G30" s="292">
        <f>_xlfn.IFNA(IF(JournalAnswer[[#This Row],[Debit Account]]&lt;&gt;"",INDEX(ProblemData!$C$78:$AM$146,MATCH(J30+0.4,ProblemData!$C$78:$C$146,0),MATCH(C30,ProblemData!$C$78:$AM$78,0)),""),"")</f>
        <v>30</v>
      </c>
      <c r="H30" s="293" t="str">
        <f>_xlfn.IFNA(IF(JournalAnswer[[#This Row],[Credit Account]]&lt;&gt;"",INDEX(ProblemData!$C$78:$AM$146,MATCH(J30+0.4,ProblemData!$C$78:$C$146,0),MATCH(C30,ProblemData!$C$78:$AM$78,0)),""),"")</f>
        <v/>
      </c>
      <c r="I30" s="321" t="str" cm="1">
        <f t="array" ref="I30">IF(JournalAnswer[[#This Row],[Debit Account]]="Cash",INDEX(ProblemData!$E$239:$AM$239,1,JournalAnswer[[#This Row],[Transaction '#]]),IF(JournalAnswer[[#This Row],[Credit Account]]="Cash",INDEX(ProblemData!$E$239:$AM$239,1,JournalAnswer[[#This Row],[Transaction '#]]),""))</f>
        <v>Operating</v>
      </c>
      <c r="J30" s="74">
        <f>IF(JournalAnswer[[#This Row],[Transaction '#]]="","",IF(JournalAnswer[[#This Row],[Transaction '#]]=C29,J29+1,1))</f>
        <v>1</v>
      </c>
      <c r="K30" s="34" cm="1">
        <f t="array" ref="K30">IFERROR(_xlfn.IFS(JournalAnswer[[#This Row],[Debit Account]]="Cash",JournalAnswer[[#This Row],[Dr Amt]],JournalAnswer[[#This Row],[Credit Account]]="Cash",-JournalAnswer[[#This Row],[Cr Amt]]),0)</f>
        <v>30</v>
      </c>
      <c r="L30" s="38" t="str" cm="1">
        <f t="array" aca="1" ref="L30" ca="1">IFERROR(INDEX(ProblemData!$E$240:$AM$240,1,JournalAnswer[[#This Row],[Transaction '#]]),"")</f>
        <v>ColC</v>
      </c>
      <c r="M30" s="1" t="str">
        <f ca="1">IF(JournalAnswer[[#This Row],[ref1]]="","",IF(NOT(ISBLANK(JournalAnswer[[#This Row],[Transaction '#]])),JournalAnswer[[#This Row],[ref1]]&amp;JournalAnswer[[#This Row],[Movement '#]],""))</f>
        <v>ColC1</v>
      </c>
      <c r="N30" s="1" t="b">
        <f ca="1">OR(JournalAnswer[[#This Row],[ref1]]="",ISNUMBER(MATCH(JournalAnswer[[#This Row],[ref1]], Operating[Abbr], 0)), "Found", "Not Found"="Found")</f>
        <v>1</v>
      </c>
    </row>
    <row r="31" spans="2:14" x14ac:dyDescent="0.3">
      <c r="B31" s="76">
        <v>10</v>
      </c>
      <c r="C31" s="290">
        <f t="shared" si="1"/>
        <v>10</v>
      </c>
      <c r="D31" s="291" t="str">
        <f>IFERROR(_xlfn.IFNA(INDEX(ProblemData!$C$78:$AM$146,MATCH(J31+0.1,ProblemData!$C$78:$C$146,0),MATCH(C31,ProblemData!$C$78:$AM$78,0)),""),"")</f>
        <v>Asset</v>
      </c>
      <c r="E31" s="63" t="str">
        <f>IFERROR(_xlfn.IFNA(IF(INDEX(ProblemData!$C$78:$AM$146,MATCH(J31+0.3,ProblemData!$C$78:$C$146,0),MATCH(C31,ProblemData!$C$78:$AM$78,0))="Debit",INDEX(ProblemData!$C$78:$AM$146,MATCH(J31+0.2,ProblemData!$C$78:$C$146,0),MATCH(C31,ProblemData!$C$78:$AM$78,0)),""),""),"")</f>
        <v/>
      </c>
      <c r="F31" s="63" t="str">
        <f>IFERROR(_xlfn.IFNA(IF(INDEX(ProblemData!$C$78:$AM$146,MATCH(J31+0.3,ProblemData!$C$78:$C$146,0),MATCH(C31,ProblemData!$C$78:$AM$78,0))="Credit",INDEX(ProblemData!$C$78:$AM$146,MATCH(J31+0.2,ProblemData!$C$78:$C$146,0),MATCH(C31,ProblemData!$C$78:$AM$78,0)),""),""),"")</f>
        <v>Accounts Receivable</v>
      </c>
      <c r="G31" s="292" t="str">
        <f>_xlfn.IFNA(IF(JournalAnswer[[#This Row],[Debit Account]]&lt;&gt;"",INDEX(ProblemData!$C$78:$AM$146,MATCH(J31+0.4,ProblemData!$C$78:$C$146,0),MATCH(C31,ProblemData!$C$78:$AM$78,0)),""),"")</f>
        <v/>
      </c>
      <c r="H31" s="293">
        <f>_xlfn.IFNA(IF(JournalAnswer[[#This Row],[Credit Account]]&lt;&gt;"",INDEX(ProblemData!$C$78:$AM$146,MATCH(J31+0.4,ProblemData!$C$78:$C$146,0),MATCH(C31,ProblemData!$C$78:$AM$78,0)),""),"")</f>
        <v>30</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2</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ColC</v>
      </c>
      <c r="M31" s="1" t="str">
        <f ca="1">IF(JournalAnswer[[#This Row],[ref1]]="","",IF(NOT(ISBLANK(JournalAnswer[[#This Row],[Transaction '#]])),JournalAnswer[[#This Row],[ref1]]&amp;JournalAnswer[[#This Row],[Movement '#]],""))</f>
        <v>ColC2</v>
      </c>
      <c r="N31" s="1" t="b">
        <f ca="1">OR(JournalAnswer[[#This Row],[ref1]]="",ISNUMBER(MATCH(JournalAnswer[[#This Row],[ref1]], Operating[Abbr], 0)), "Found", "Not Found"="Found")</f>
        <v>1</v>
      </c>
    </row>
    <row r="32" spans="2:14" x14ac:dyDescent="0.3">
      <c r="B32" s="76">
        <v>11</v>
      </c>
      <c r="C32" s="290">
        <f t="shared" si="1"/>
        <v>11</v>
      </c>
      <c r="D32" s="291" t="str">
        <f>IFERROR(_xlfn.IFNA(INDEX(ProblemData!$C$78:$AM$146,MATCH(J32+0.1,ProblemData!$C$78:$C$146,0),MATCH(C32,ProblemData!$C$78:$AM$78,0)),""),"")</f>
        <v>Asset</v>
      </c>
      <c r="E32" s="63" t="str">
        <f>IFERROR(_xlfn.IFNA(IF(INDEX(ProblemData!$C$78:$AM$146,MATCH(J32+0.3,ProblemData!$C$78:$C$146,0),MATCH(C32,ProblemData!$C$78:$AM$78,0))="Debit",INDEX(ProblemData!$C$78:$AM$146,MATCH(J32+0.2,ProblemData!$C$78:$C$146,0),MATCH(C32,ProblemData!$C$78:$AM$78,0)),""),""),"")</f>
        <v>Cash</v>
      </c>
      <c r="F32" s="63" t="str">
        <f>IFERROR(_xlfn.IFNA(IF(INDEX(ProblemData!$C$78:$AM$146,MATCH(J32+0.3,ProblemData!$C$78:$C$146,0),MATCH(C32,ProblemData!$C$78:$AM$78,0))="Credit",INDEX(ProblemData!$C$78:$AM$146,MATCH(J32+0.2,ProblemData!$C$78:$C$146,0),MATCH(C32,ProblemData!$C$78:$AM$78,0)),""),""),"")</f>
        <v/>
      </c>
      <c r="G32" s="292">
        <f>_xlfn.IFNA(IF(JournalAnswer[[#This Row],[Debit Account]]&lt;&gt;"",INDEX(ProblemData!$C$78:$AM$146,MATCH(J32+0.4,ProblemData!$C$78:$C$146,0),MATCH(C32,ProblemData!$C$78:$AM$78,0)),""),"")</f>
        <v>0.05</v>
      </c>
      <c r="H32" s="293" t="str">
        <f>_xlfn.IFNA(IF(JournalAnswer[[#This Row],[Credit Account]]&lt;&gt;"",INDEX(ProblemData!$C$78:$AM$146,MATCH(J32+0.4,ProblemData!$C$78:$C$146,0),MATCH(C32,ProblemData!$C$78:$AM$78,0)),""),"")</f>
        <v/>
      </c>
      <c r="I32" s="321" t="str" cm="1">
        <f t="array" ref="I32">IF(JournalAnswer[[#This Row],[Debit Account]]="Cash",INDEX(ProblemData!$E$239:$AM$239,1,JournalAnswer[[#This Row],[Transaction '#]]),IF(JournalAnswer[[#This Row],[Credit Account]]="Cash",INDEX(ProblemData!$E$239:$AM$239,1,JournalAnswer[[#This Row],[Transaction '#]]),""))</f>
        <v>Operating</v>
      </c>
      <c r="J32" s="74">
        <f>IF(JournalAnswer[[#This Row],[Transaction '#]]="","",IF(JournalAnswer[[#This Row],[Transaction '#]]=C31,J31+1,1))</f>
        <v>1</v>
      </c>
      <c r="K32" s="34" cm="1">
        <f t="array" ref="K32">IFERROR(_xlfn.IFS(JournalAnswer[[#This Row],[Debit Account]]="Cash",JournalAnswer[[#This Row],[Dr Amt]],JournalAnswer[[#This Row],[Credit Account]]="Cash",-JournalAnswer[[#This Row],[Cr Amt]]),0)</f>
        <v>0.05</v>
      </c>
      <c r="L32" s="38" t="str" cm="1">
        <f t="array" aca="1" ref="L32" ca="1">IFERROR(INDEX(ProblemData!$E$240:$AM$240,1,JournalAnswer[[#This Row],[Transaction '#]]),"")</f>
        <v>ColC</v>
      </c>
      <c r="M32" s="1" t="str">
        <f ca="1">IF(JournalAnswer[[#This Row],[ref1]]="","",IF(NOT(ISBLANK(JournalAnswer[[#This Row],[Transaction '#]])),JournalAnswer[[#This Row],[ref1]]&amp;JournalAnswer[[#This Row],[Movement '#]],""))</f>
        <v>ColC1</v>
      </c>
      <c r="N32" s="1" t="b">
        <f ca="1">OR(JournalAnswer[[#This Row],[ref1]]="",ISNUMBER(MATCH(JournalAnswer[[#This Row],[ref1]], Operating[Abbr], 0)), "Found", "Not Found"="Found")</f>
        <v>1</v>
      </c>
    </row>
    <row r="33" spans="2:14" x14ac:dyDescent="0.3">
      <c r="B33" s="76">
        <v>11</v>
      </c>
      <c r="C33" s="290">
        <f t="shared" si="1"/>
        <v>11</v>
      </c>
      <c r="D33" s="291" t="str">
        <f>IFERROR(_xlfn.IFNA(INDEX(ProblemData!$C$78:$AM$146,MATCH(J33+0.1,ProblemData!$C$78:$C$146,0),MATCH(C33,ProblemData!$C$78:$AM$78,0)),""),"")</f>
        <v>Expense</v>
      </c>
      <c r="E33" s="63" t="str">
        <f>IFERROR(_xlfn.IFNA(IF(INDEX(ProblemData!$C$78:$AM$146,MATCH(J33+0.3,ProblemData!$C$78:$C$146,0),MATCH(C33,ProblemData!$C$78:$AM$78,0))="Debit",INDEX(ProblemData!$C$78:$AM$146,MATCH(J33+0.2,ProblemData!$C$78:$C$146,0),MATCH(C33,ProblemData!$C$78:$AM$78,0)),""),""),"")</f>
        <v>Bad Debts Expense</v>
      </c>
      <c r="F33" s="63" t="str">
        <f>IFERROR(_xlfn.IFNA(IF(INDEX(ProblemData!$C$78:$AM$146,MATCH(J33+0.3,ProblemData!$C$78:$C$146,0),MATCH(C33,ProblemData!$C$78:$AM$78,0))="Credit",INDEX(ProblemData!$C$78:$AM$146,MATCH(J33+0.2,ProblemData!$C$78:$C$146,0),MATCH(C33,ProblemData!$C$78:$AM$78,0)),""),""),"")</f>
        <v/>
      </c>
      <c r="G33" s="292">
        <f>_xlfn.IFNA(IF(JournalAnswer[[#This Row],[Debit Account]]&lt;&gt;"",INDEX(ProblemData!$C$78:$AM$146,MATCH(J33+0.4,ProblemData!$C$78:$C$146,0),MATCH(C33,ProblemData!$C$78:$AM$78,0)),""),"")</f>
        <v>0.15</v>
      </c>
      <c r="H33" s="293" t="str">
        <f>_xlfn.IFNA(IF(JournalAnswer[[#This Row],[Credit Account]]&lt;&gt;"",INDEX(ProblemData!$C$78:$AM$146,MATCH(J33+0.4,ProblemData!$C$78:$C$146,0),MATCH(C33,ProblemData!$C$78:$AM$78,0)),""),"")</f>
        <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2</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ColC</v>
      </c>
      <c r="M33" s="1" t="str">
        <f ca="1">IF(JournalAnswer[[#This Row],[ref1]]="","",IF(NOT(ISBLANK(JournalAnswer[[#This Row],[Transaction '#]])),JournalAnswer[[#This Row],[ref1]]&amp;JournalAnswer[[#This Row],[Movement '#]],""))</f>
        <v>ColC2</v>
      </c>
      <c r="N33" s="1" t="b">
        <f ca="1">OR(JournalAnswer[[#This Row],[ref1]]="",ISNUMBER(MATCH(JournalAnswer[[#This Row],[ref1]], Operating[Abbr], 0)), "Found", "Not Found"="Found")</f>
        <v>1</v>
      </c>
    </row>
    <row r="34" spans="2:14" x14ac:dyDescent="0.3">
      <c r="B34" s="76">
        <v>11</v>
      </c>
      <c r="C34" s="290">
        <f t="shared" si="1"/>
        <v>11</v>
      </c>
      <c r="D34" s="291" t="str">
        <f>IFERROR(_xlfn.IFNA(INDEX(ProblemData!$C$78:$AM$146,MATCH(J34+0.1,ProblemData!$C$78:$C$146,0),MATCH(C34,ProblemData!$C$78:$AM$78,0)),""),"")</f>
        <v>Asset</v>
      </c>
      <c r="E34" s="63" t="str">
        <f>IFERROR(_xlfn.IFNA(IF(INDEX(ProblemData!$C$78:$AM$146,MATCH(J34+0.3,ProblemData!$C$78:$C$146,0),MATCH(C34,ProblemData!$C$78:$AM$78,0))="Debit",INDEX(ProblemData!$C$78:$AM$146,MATCH(J34+0.2,ProblemData!$C$78:$C$146,0),MATCH(C34,ProblemData!$C$78:$AM$78,0)),""),""),"")</f>
        <v/>
      </c>
      <c r="F34" s="63" t="str">
        <f>IFERROR(_xlfn.IFNA(IF(INDEX(ProblemData!$C$78:$AM$146,MATCH(J34+0.3,ProblemData!$C$78:$C$146,0),MATCH(C34,ProblemData!$C$78:$AM$78,0))="Credit",INDEX(ProblemData!$C$78:$AM$146,MATCH(J34+0.2,ProblemData!$C$78:$C$146,0),MATCH(C34,ProblemData!$C$78:$AM$78,0)),""),""),"")</f>
        <v>Accounts Receivable</v>
      </c>
      <c r="G34" s="292" t="str">
        <f>_xlfn.IFNA(IF(JournalAnswer[[#This Row],[Debit Account]]&lt;&gt;"",INDEX(ProblemData!$C$78:$AM$146,MATCH(J34+0.4,ProblemData!$C$78:$C$146,0),MATCH(C34,ProblemData!$C$78:$AM$78,0)),""),"")</f>
        <v/>
      </c>
      <c r="H34" s="293">
        <f>_xlfn.IFNA(IF(JournalAnswer[[#This Row],[Credit Account]]&lt;&gt;"",INDEX(ProblemData!$C$78:$AM$146,MATCH(J34+0.4,ProblemData!$C$78:$C$146,0),MATCH(C34,ProblemData!$C$78:$AM$78,0)),""),"")</f>
        <v>0.2</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3</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ColC</v>
      </c>
      <c r="M34" s="1" t="str">
        <f ca="1">IF(JournalAnswer[[#This Row],[ref1]]="","",IF(NOT(ISBLANK(JournalAnswer[[#This Row],[Transaction '#]])),JournalAnswer[[#This Row],[ref1]]&amp;JournalAnswer[[#This Row],[Movement '#]],""))</f>
        <v>ColC3</v>
      </c>
      <c r="N34" s="1" t="b">
        <f ca="1">OR(JournalAnswer[[#This Row],[ref1]]="",ISNUMBER(MATCH(JournalAnswer[[#This Row],[ref1]], Operating[Abbr], 0)), "Found", "Not Found"="Found")</f>
        <v>1</v>
      </c>
    </row>
    <row r="35" spans="2:14" x14ac:dyDescent="0.3">
      <c r="B35" s="76">
        <v>12</v>
      </c>
      <c r="C35" s="290">
        <f t="shared" si="1"/>
        <v>12</v>
      </c>
      <c r="D35" s="291" t="str">
        <f>IFERROR(_xlfn.IFNA(INDEX(ProblemData!$C$78:$AM$146,MATCH(J35+0.1,ProblemData!$C$78:$C$146,0),MATCH(C35,ProblemData!$C$78:$AM$78,0)),""),"")</f>
        <v>Liability</v>
      </c>
      <c r="E35" s="63" t="str">
        <f>IFERROR(_xlfn.IFNA(IF(INDEX(ProblemData!$C$78:$AM$146,MATCH(J35+0.3,ProblemData!$C$78:$C$146,0),MATCH(C35,ProblemData!$C$78:$AM$78,0))="Debit",INDEX(ProblemData!$C$78:$AM$146,MATCH(J35+0.2,ProblemData!$C$78:$C$146,0),MATCH(C35,ProblemData!$C$78:$AM$78,0)),""),""),"")</f>
        <v>Salaries &amp; Wages Payable</v>
      </c>
      <c r="F35" s="63" t="str">
        <f>IFERROR(_xlfn.IFNA(IF(INDEX(ProblemData!$C$78:$AM$146,MATCH(J35+0.3,ProblemData!$C$78:$C$146,0),MATCH(C35,ProblemData!$C$78:$AM$78,0))="Credit",INDEX(ProblemData!$C$78:$AM$146,MATCH(J35+0.2,ProblemData!$C$78:$C$146,0),MATCH(C35,ProblemData!$C$78:$AM$78,0)),""),""),"")</f>
        <v/>
      </c>
      <c r="G35" s="292">
        <f>_xlfn.IFNA(IF(JournalAnswer[[#This Row],[Debit Account]]&lt;&gt;"",INDEX(ProblemData!$C$78:$AM$146,MATCH(J35+0.4,ProblemData!$C$78:$C$146,0),MATCH(C35,ProblemData!$C$78:$AM$78,0)),""),"")</f>
        <v>6</v>
      </c>
      <c r="H35" s="293" t="str">
        <f>_xlfn.IFNA(IF(JournalAnswer[[#This Row],[Credit Account]]&lt;&gt;"",INDEX(ProblemData!$C$78:$AM$146,MATCH(J35+0.4,ProblemData!$C$78:$C$146,0),MATCH(C35,ProblemData!$C$78:$AM$78,0)),""),"")</f>
        <v/>
      </c>
      <c r="I35" s="321" t="str" cm="1">
        <f t="array" ref="I35">IF(JournalAnswer[[#This Row],[Debit Account]]="Cash",INDEX(ProblemData!$E$239:$AM$239,1,JournalAnswer[[#This Row],[Transaction '#]]),IF(JournalAnswer[[#This Row],[Credit Account]]="Cash",INDEX(ProblemData!$E$239:$AM$239,1,JournalAnswer[[#This Row],[Transaction '#]]),""))</f>
        <v/>
      </c>
      <c r="J35" s="74">
        <f>IF(JournalAnswer[[#This Row],[Transaction '#]]="","",IF(JournalAnswer[[#This Row],[Transaction '#]]=C34,J34+1,1))</f>
        <v>1</v>
      </c>
      <c r="K35" s="34" cm="1">
        <f t="array" ref="K35">IFERROR(_xlfn.IFS(JournalAnswer[[#This Row],[Debit Account]]="Cash",JournalAnswer[[#This Row],[Dr Amt]],JournalAnswer[[#This Row],[Credit Account]]="Cash",-JournalAnswer[[#This Row],[Cr Amt]]),0)</f>
        <v>0</v>
      </c>
      <c r="L35" s="38" t="str" cm="1">
        <f t="array" aca="1" ref="L35" ca="1">IFERROR(INDEX(ProblemData!$E$240:$AM$240,1,JournalAnswer[[#This Row],[Transaction '#]]),"")</f>
        <v>PdSW</v>
      </c>
      <c r="M35" s="1" t="str">
        <f ca="1">IF(JournalAnswer[[#This Row],[ref1]]="","",IF(NOT(ISBLANK(JournalAnswer[[#This Row],[Transaction '#]])),JournalAnswer[[#This Row],[ref1]]&amp;JournalAnswer[[#This Row],[Movement '#]],""))</f>
        <v>PdSW1</v>
      </c>
      <c r="N35" s="1" t="b">
        <f ca="1">OR(JournalAnswer[[#This Row],[ref1]]="",ISNUMBER(MATCH(JournalAnswer[[#This Row],[ref1]], Operating[Abbr], 0)), "Found", "Not Found"="Found")</f>
        <v>1</v>
      </c>
    </row>
    <row r="36" spans="2:14" x14ac:dyDescent="0.3">
      <c r="B36" s="76">
        <v>12</v>
      </c>
      <c r="C36" s="290">
        <f t="shared" si="1"/>
        <v>12</v>
      </c>
      <c r="D36" s="291" t="str">
        <f>IFERROR(_xlfn.IFNA(INDEX(ProblemData!$C$78:$AM$146,MATCH(J36+0.1,ProblemData!$C$78:$C$146,0),MATCH(C36,ProblemData!$C$78:$AM$78,0)),""),"")</f>
        <v>Asset</v>
      </c>
      <c r="E36" s="63" t="str">
        <f>IFERROR(_xlfn.IFNA(IF(INDEX(ProblemData!$C$78:$AM$146,MATCH(J36+0.3,ProblemData!$C$78:$C$146,0),MATCH(C36,ProblemData!$C$78:$AM$78,0))="Debit",INDEX(ProblemData!$C$78:$AM$146,MATCH(J36+0.2,ProblemData!$C$78:$C$146,0),MATCH(C36,ProblemData!$C$78:$AM$78,0)),""),""),"")</f>
        <v/>
      </c>
      <c r="F36" s="63" t="str">
        <f>IFERROR(_xlfn.IFNA(IF(INDEX(ProblemData!$C$78:$AM$146,MATCH(J36+0.3,ProblemData!$C$78:$C$146,0),MATCH(C36,ProblemData!$C$78:$AM$78,0))="Credit",INDEX(ProblemData!$C$78:$AM$146,MATCH(J36+0.2,ProblemData!$C$78:$C$146,0),MATCH(C36,ProblemData!$C$78:$AM$78,0)),""),""),"")</f>
        <v>Cash</v>
      </c>
      <c r="G36" s="292" t="str">
        <f>_xlfn.IFNA(IF(JournalAnswer[[#This Row],[Debit Account]]&lt;&gt;"",INDEX(ProblemData!$C$78:$AM$146,MATCH(J36+0.4,ProblemData!$C$78:$C$146,0),MATCH(C36,ProblemData!$C$78:$AM$78,0)),""),"")</f>
        <v/>
      </c>
      <c r="H36" s="293">
        <f>_xlfn.IFNA(IF(JournalAnswer[[#This Row],[Credit Account]]&lt;&gt;"",INDEX(ProblemData!$C$78:$AM$146,MATCH(J36+0.4,ProblemData!$C$78:$C$146,0),MATCH(C36,ProblemData!$C$78:$AM$78,0)),""),"")</f>
        <v>6</v>
      </c>
      <c r="I36" s="321" t="str" cm="1">
        <f t="array" ref="I36">IF(JournalAnswer[[#This Row],[Debit Account]]="Cash",INDEX(ProblemData!$E$239:$AM$239,1,JournalAnswer[[#This Row],[Transaction '#]]),IF(JournalAnswer[[#This Row],[Credit Account]]="Cash",INDEX(ProblemData!$E$239:$AM$239,1,JournalAnswer[[#This Row],[Transaction '#]]),""))</f>
        <v>Operating</v>
      </c>
      <c r="J36" s="74">
        <f>IF(JournalAnswer[[#This Row],[Transaction '#]]="","",IF(JournalAnswer[[#This Row],[Transaction '#]]=C35,J35+1,1))</f>
        <v>2</v>
      </c>
      <c r="K36" s="34" cm="1">
        <f t="array" ref="K36">IFERROR(_xlfn.IFS(JournalAnswer[[#This Row],[Debit Account]]="Cash",JournalAnswer[[#This Row],[Dr Amt]],JournalAnswer[[#This Row],[Credit Account]]="Cash",-JournalAnswer[[#This Row],[Cr Amt]]),0)</f>
        <v>-6</v>
      </c>
      <c r="L36" s="38" t="str" cm="1">
        <f t="array" aca="1" ref="L36" ca="1">IFERROR(INDEX(ProblemData!$E$240:$AM$240,1,JournalAnswer[[#This Row],[Transaction '#]]),"")</f>
        <v>PdSW</v>
      </c>
      <c r="M36" s="1" t="str">
        <f ca="1">IF(JournalAnswer[[#This Row],[ref1]]="","",IF(NOT(ISBLANK(JournalAnswer[[#This Row],[Transaction '#]])),JournalAnswer[[#This Row],[ref1]]&amp;JournalAnswer[[#This Row],[Movement '#]],""))</f>
        <v>PdSW2</v>
      </c>
      <c r="N36" s="1" t="b">
        <f ca="1">OR(JournalAnswer[[#This Row],[ref1]]="",ISNUMBER(MATCH(JournalAnswer[[#This Row],[ref1]], Operating[Abbr], 0)), "Found", "Not Found"="Found")</f>
        <v>1</v>
      </c>
    </row>
    <row r="37" spans="2:14" x14ac:dyDescent="0.3">
      <c r="B37" s="76">
        <v>13</v>
      </c>
      <c r="C37" s="290">
        <f t="shared" si="1"/>
        <v>13</v>
      </c>
      <c r="D37" s="291" t="str">
        <f>IFERROR(_xlfn.IFNA(INDEX(ProblemData!$C$78:$AM$146,MATCH(J37+0.1,ProblemData!$C$78:$C$146,0),MATCH(C37,ProblemData!$C$78:$AM$78,0)),""),"")</f>
        <v>Expense</v>
      </c>
      <c r="E37" s="63" t="str">
        <f>IFERROR(_xlfn.IFNA(IF(INDEX(ProblemData!$C$78:$AM$146,MATCH(J37+0.3,ProblemData!$C$78:$C$146,0),MATCH(C37,ProblemData!$C$78:$AM$78,0))="Debit",INDEX(ProblemData!$C$78:$AM$146,MATCH(J37+0.2,ProblemData!$C$78:$C$146,0),MATCH(C37,ProblemData!$C$78:$AM$78,0)),""),""),"")</f>
        <v>Salaries &amp; Wages Expense</v>
      </c>
      <c r="F37" s="63" t="str">
        <f>IFERROR(_xlfn.IFNA(IF(INDEX(ProblemData!$C$78:$AM$146,MATCH(J37+0.3,ProblemData!$C$78:$C$146,0),MATCH(C37,ProblemData!$C$78:$AM$78,0))="Credit",INDEX(ProblemData!$C$78:$AM$146,MATCH(J37+0.2,ProblemData!$C$78:$C$146,0),MATCH(C37,ProblemData!$C$78:$AM$78,0)),""),""),"")</f>
        <v/>
      </c>
      <c r="G37" s="292">
        <f>_xlfn.IFNA(IF(JournalAnswer[[#This Row],[Debit Account]]&lt;&gt;"",INDEX(ProblemData!$C$78:$AM$146,MATCH(J37+0.4,ProblemData!$C$78:$C$146,0),MATCH(C37,ProblemData!$C$78:$AM$78,0)),""),"")</f>
        <v>7</v>
      </c>
      <c r="H37" s="293" t="str">
        <f>_xlfn.IFNA(IF(JournalAnswer[[#This Row],[Credit Account]]&lt;&gt;"",INDEX(ProblemData!$C$78:$AM$146,MATCH(J37+0.4,ProblemData!$C$78:$C$146,0),MATCH(C37,ProblemData!$C$78:$AM$78,0)),""),"")</f>
        <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1</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
      </c>
      <c r="M37" s="1" t="str">
        <f ca="1">IF(JournalAnswer[[#This Row],[ref1]]="","",IF(NOT(ISBLANK(JournalAnswer[[#This Row],[Transaction '#]])),JournalAnswer[[#This Row],[ref1]]&amp;JournalAnswer[[#This Row],[Movement '#]],""))</f>
        <v/>
      </c>
      <c r="N37" s="1" t="b">
        <f ca="1">OR(JournalAnswer[[#This Row],[ref1]]="",ISNUMBER(MATCH(JournalAnswer[[#This Row],[ref1]], Operating[Abbr], 0)), "Found", "Not Found"="Found")</f>
        <v>1</v>
      </c>
    </row>
    <row r="38" spans="2:14" x14ac:dyDescent="0.3">
      <c r="B38" s="76">
        <v>13</v>
      </c>
      <c r="C38" s="290">
        <f t="shared" si="1"/>
        <v>13</v>
      </c>
      <c r="D38" s="291" t="str">
        <f>IFERROR(_xlfn.IFNA(INDEX(ProblemData!$C$78:$AM$146,MATCH(J38+0.1,ProblemData!$C$78:$C$146,0),MATCH(C38,ProblemData!$C$78:$AM$78,0)),""),"")</f>
        <v>Liability</v>
      </c>
      <c r="E38" s="63" t="str">
        <f>IFERROR(_xlfn.IFNA(IF(INDEX(ProblemData!$C$78:$AM$146,MATCH(J38+0.3,ProblemData!$C$78:$C$146,0),MATCH(C38,ProblemData!$C$78:$AM$78,0))="Debit",INDEX(ProblemData!$C$78:$AM$146,MATCH(J38+0.2,ProblemData!$C$78:$C$146,0),MATCH(C38,ProblemData!$C$78:$AM$78,0)),""),""),"")</f>
        <v/>
      </c>
      <c r="F38" s="63" t="str">
        <f>IFERROR(_xlfn.IFNA(IF(INDEX(ProblemData!$C$78:$AM$146,MATCH(J38+0.3,ProblemData!$C$78:$C$146,0),MATCH(C38,ProblemData!$C$78:$AM$78,0))="Credit",INDEX(ProblemData!$C$78:$AM$146,MATCH(J38+0.2,ProblemData!$C$78:$C$146,0),MATCH(C38,ProblemData!$C$78:$AM$78,0)),""),""),"")</f>
        <v>Salaries &amp; Wages Payable</v>
      </c>
      <c r="G38" s="292" t="str">
        <f>_xlfn.IFNA(IF(JournalAnswer[[#This Row],[Debit Account]]&lt;&gt;"",INDEX(ProblemData!$C$78:$AM$146,MATCH(J38+0.4,ProblemData!$C$78:$C$146,0),MATCH(C38,ProblemData!$C$78:$AM$78,0)),""),"")</f>
        <v/>
      </c>
      <c r="H38" s="293">
        <f>_xlfn.IFNA(IF(JournalAnswer[[#This Row],[Credit Account]]&lt;&gt;"",INDEX(ProblemData!$C$78:$AM$146,MATCH(J38+0.4,ProblemData!$C$78:$C$146,0),MATCH(C38,ProblemData!$C$78:$AM$78,0)),""),"")</f>
        <v>7</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2</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
      </c>
      <c r="M38" s="1" t="str">
        <f ca="1">IF(JournalAnswer[[#This Row],[ref1]]="","",IF(NOT(ISBLANK(JournalAnswer[[#This Row],[Transaction '#]])),JournalAnswer[[#This Row],[ref1]]&amp;JournalAnswer[[#This Row],[Movement '#]],""))</f>
        <v/>
      </c>
      <c r="N38" s="1" t="b">
        <f ca="1">OR(JournalAnswer[[#This Row],[ref1]]="",ISNUMBER(MATCH(JournalAnswer[[#This Row],[ref1]], Operating[Abbr], 0)), "Found", "Not Found"="Found")</f>
        <v>1</v>
      </c>
    </row>
    <row r="39" spans="2:14" x14ac:dyDescent="0.3">
      <c r="B39" s="76">
        <v>14</v>
      </c>
      <c r="C39" s="290">
        <f t="shared" si="1"/>
        <v>14</v>
      </c>
      <c r="D39" s="291" t="str">
        <f>IFERROR(_xlfn.IFNA(INDEX(ProblemData!$C$78:$AM$146,MATCH(J39+0.1,ProblemData!$C$78:$C$146,0),MATCH(C39,ProblemData!$C$78:$AM$78,0)),""),"")</f>
        <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
      </c>
      <c r="G39" s="292" t="str">
        <f>_xlfn.IFNA(IF(JournalAnswer[[#This Row],[Debit Account]]&lt;&gt;"",INDEX(ProblemData!$C$78:$AM$146,MATCH(J39+0.4,ProblemData!$C$78:$C$146,0),MATCH(C39,ProblemData!$C$78:$AM$78,0)),""),"")</f>
        <v/>
      </c>
      <c r="H39" s="293" t="str">
        <f>_xlfn.IFNA(IF(JournalAnswer[[#This Row],[Credit Account]]&lt;&gt;"",INDEX(ProblemData!$C$78:$AM$146,MATCH(J39+0.4,ProblemData!$C$78:$C$146,0),MATCH(C39,ProblemData!$C$78:$AM$78,0)),""),"")</f>
        <v/>
      </c>
      <c r="I39" s="321" t="str" cm="1">
        <f t="array" ref="I39">IF(JournalAnswer[[#This Row],[Debit Account]]="Cash",INDEX(ProblemData!$E$239:$AM$239,1,JournalAnswer[[#This Row],[Transaction '#]]),IF(JournalAnswer[[#This Row],[Credit Account]]="Cash",INDEX(ProblemData!$E$239:$AM$239,1,JournalAnswer[[#This Row],[Transaction '#]]),""))</f>
        <v/>
      </c>
      <c r="J39" s="74">
        <f>IF(JournalAnswer[[#This Row],[Transaction '#]]="","",IF(JournalAnswer[[#This Row],[Transaction '#]]=C38,J38+1,1))</f>
        <v>1</v>
      </c>
      <c r="K39" s="34" cm="1">
        <f t="array" ref="K39">IFERROR(_xlfn.IFS(JournalAnswer[[#This Row],[Debit Account]]="Cash",JournalAnswer[[#This Row],[Dr Amt]],JournalAnswer[[#This Row],[Credit Account]]="Cash",-JournalAnswer[[#This Row],[Cr Amt]]),0)</f>
        <v>0</v>
      </c>
      <c r="L39" s="38" t="str" cm="1">
        <f t="array" aca="1" ref="L39" ca="1">IFERROR(INDEX(ProblemData!$E$240:$AM$240,1,JournalAnswer[[#This Row],[Transaction '#]]),"")</f>
        <v/>
      </c>
      <c r="M39" s="1" t="str">
        <f ca="1">IF(JournalAnswer[[#This Row],[ref1]]="","",IF(NOT(ISBLANK(JournalAnswer[[#This Row],[Transaction '#]])),JournalAnswer[[#This Row],[ref1]]&amp;JournalAnswer[[#This Row],[Movement '#]],""))</f>
        <v/>
      </c>
      <c r="N39" s="1" t="b">
        <f ca="1">OR(JournalAnswer[[#This Row],[ref1]]="",ISNUMBER(MATCH(JournalAnswer[[#This Row],[ref1]], Operating[Abbr], 0)), "Found", "Not Found"="Found")</f>
        <v>1</v>
      </c>
    </row>
    <row r="40" spans="2:14" x14ac:dyDescent="0.3">
      <c r="B40" s="76">
        <v>14</v>
      </c>
      <c r="C40" s="290">
        <f t="shared" si="1"/>
        <v>14</v>
      </c>
      <c r="D40" s="291">
        <f>IFERROR(_xlfn.IFNA(INDEX(ProblemData!$C$78:$AM$146,MATCH(J40+0.1,ProblemData!$C$78:$C$146,0),MATCH(C40,ProblemData!$C$78:$AM$78,0)),""),"")</f>
        <v>0</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
      </c>
      <c r="G40" s="292" t="str">
        <f>_xlfn.IFNA(IF(JournalAnswer[[#This Row],[Debit Account]]&lt;&gt;"",INDEX(ProblemData!$C$78:$AM$146,MATCH(J40+0.4,ProblemData!$C$78:$C$146,0),MATCH(C40,ProblemData!$C$78:$AM$78,0)),""),"")</f>
        <v/>
      </c>
      <c r="H40" s="293" t="str">
        <f>_xlfn.IFNA(IF(JournalAnswer[[#This Row],[Credit Account]]&lt;&gt;"",INDEX(ProblemData!$C$78:$AM$146,MATCH(J40+0.4,ProblemData!$C$78:$C$146,0),MATCH(C40,ProblemData!$C$78:$AM$78,0)),""),"")</f>
        <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2</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
      </c>
      <c r="M40" s="1" t="str">
        <f ca="1">IF(JournalAnswer[[#This Row],[ref1]]="","",IF(NOT(ISBLANK(JournalAnswer[[#This Row],[Transaction '#]])),JournalAnswer[[#This Row],[ref1]]&amp;JournalAnswer[[#This Row],[Movement '#]],""))</f>
        <v/>
      </c>
      <c r="N40" s="1" t="b">
        <f ca="1">OR(JournalAnswer[[#This Row],[ref1]]="",ISNUMBER(MATCH(JournalAnswer[[#This Row],[ref1]], Operating[Abbr], 0)), "Found", "Not Found"="Found")</f>
        <v>1</v>
      </c>
    </row>
    <row r="41" spans="2:14" x14ac:dyDescent="0.3">
      <c r="B41" s="76">
        <v>14</v>
      </c>
      <c r="C41" s="290">
        <f t="shared" si="1"/>
        <v>14</v>
      </c>
      <c r="D41" s="291">
        <f>IFERROR(_xlfn.IFNA(INDEX(ProblemData!$C$78:$AM$146,MATCH(J41+0.1,ProblemData!$C$78:$C$146,0),MATCH(C41,ProblemData!$C$78:$AM$78,0)),""),"")</f>
        <v>0</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
      </c>
      <c r="G41" s="292" t="str">
        <f>_xlfn.IFNA(IF(JournalAnswer[[#This Row],[Debit Account]]&lt;&gt;"",INDEX(ProblemData!$C$78:$AM$146,MATCH(J41+0.4,ProblemData!$C$78:$C$146,0),MATCH(C41,ProblemData!$C$78:$AM$78,0)),""),"")</f>
        <v/>
      </c>
      <c r="H41" s="293" t="str">
        <f>_xlfn.IFNA(IF(JournalAnswer[[#This Row],[Credit Account]]&lt;&gt;"",INDEX(ProblemData!$C$78:$AM$146,MATCH(J41+0.4,ProblemData!$C$78:$C$146,0),MATCH(C41,ProblemData!$C$78:$AM$78,0)),""),"")</f>
        <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3</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
      </c>
      <c r="M41" s="1" t="str">
        <f ca="1">IF(JournalAnswer[[#This Row],[ref1]]="","",IF(NOT(ISBLANK(JournalAnswer[[#This Row],[Transaction '#]])),JournalAnswer[[#This Row],[ref1]]&amp;JournalAnswer[[#This Row],[Movement '#]],""))</f>
        <v/>
      </c>
      <c r="N41" s="1" t="b">
        <f ca="1">OR(JournalAnswer[[#This Row],[ref1]]="",ISNUMBER(MATCH(JournalAnswer[[#This Row],[ref1]], Operating[Abbr], 0)), "Found", "Not Found"="Found")</f>
        <v>1</v>
      </c>
    </row>
    <row r="42" spans="2:14" x14ac:dyDescent="0.3">
      <c r="B42" s="76">
        <v>14</v>
      </c>
      <c r="C42" s="290">
        <f t="shared" si="1"/>
        <v>14</v>
      </c>
      <c r="D42" s="291">
        <f>IFERROR(_xlfn.IFNA(INDEX(ProblemData!$C$78:$AM$146,MATCH(J42+0.1,ProblemData!$C$78:$C$146,0),MATCH(C42,ProblemData!$C$78:$AM$78,0)),""),"")</f>
        <v>0</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
      </c>
      <c r="G42" s="292" t="str">
        <f>_xlfn.IFNA(IF(JournalAnswer[[#This Row],[Debit Account]]&lt;&gt;"",INDEX(ProblemData!$C$78:$AM$146,MATCH(J42+0.4,ProblemData!$C$78:$C$146,0),MATCH(C42,ProblemData!$C$78:$AM$78,0)),""),"")</f>
        <v/>
      </c>
      <c r="H42" s="293" t="str">
        <f>_xlfn.IFNA(IF(JournalAnswer[[#This Row],[Credit Account]]&lt;&gt;"",INDEX(ProblemData!$C$78:$AM$146,MATCH(J42+0.4,ProblemData!$C$78:$C$146,0),MATCH(C42,ProblemData!$C$78:$AM$78,0)),""),"")</f>
        <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4</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
      </c>
      <c r="M42" s="1" t="str">
        <f ca="1">IF(JournalAnswer[[#This Row],[ref1]]="","",IF(NOT(ISBLANK(JournalAnswer[[#This Row],[Transaction '#]])),JournalAnswer[[#This Row],[ref1]]&amp;JournalAnswer[[#This Row],[Movement '#]],""))</f>
        <v/>
      </c>
      <c r="N42" s="1" t="b">
        <f ca="1">OR(JournalAnswer[[#This Row],[ref1]]="",ISNUMBER(MATCH(JournalAnswer[[#This Row],[ref1]], Operating[Abbr], 0)), "Found", "Not Found"="Found")</f>
        <v>1</v>
      </c>
    </row>
    <row r="43" spans="2:14" x14ac:dyDescent="0.3">
      <c r="B43" s="76">
        <v>14</v>
      </c>
      <c r="C43" s="290">
        <f t="shared" si="1"/>
        <v>14</v>
      </c>
      <c r="D43" s="291">
        <f>IFERROR(_xlfn.IFNA(INDEX(ProblemData!$C$78:$AM$146,MATCH(J43+0.1,ProblemData!$C$78:$C$146,0),MATCH(C43,ProblemData!$C$78:$AM$78,0)),""),"")</f>
        <v>0</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
      </c>
      <c r="G43" s="292" t="str">
        <f>_xlfn.IFNA(IF(JournalAnswer[[#This Row],[Debit Account]]&lt;&gt;"",INDEX(ProblemData!$C$78:$AM$146,MATCH(J43+0.4,ProblemData!$C$78:$C$146,0),MATCH(C43,ProblemData!$C$78:$AM$78,0)),""),"")</f>
        <v/>
      </c>
      <c r="H43" s="293" t="str">
        <f>_xlfn.IFNA(IF(JournalAnswer[[#This Row],[Credit Account]]&lt;&gt;"",INDEX(ProblemData!$C$78:$AM$146,MATCH(J43+0.4,ProblemData!$C$78:$C$146,0),MATCH(C43,ProblemData!$C$78:$AM$78,0)),""),"")</f>
        <v/>
      </c>
      <c r="I43" s="321" t="str" cm="1">
        <f t="array" ref="I43">IF(JournalAnswer[[#This Row],[Debit Account]]="Cash",INDEX(ProblemData!$E$239:$AM$239,1,JournalAnswer[[#This Row],[Transaction '#]]),IF(JournalAnswer[[#This Row],[Credit Account]]="Cash",INDEX(ProblemData!$E$239:$AM$239,1,JournalAnswer[[#This Row],[Transaction '#]]),""))</f>
        <v/>
      </c>
      <c r="J43" s="74">
        <f>IF(JournalAnswer[[#This Row],[Transaction '#]]="","",IF(JournalAnswer[[#This Row],[Transaction '#]]=C42,J42+1,1))</f>
        <v>5</v>
      </c>
      <c r="K43" s="34" cm="1">
        <f t="array" ref="K43">IFERROR(_xlfn.IFS(JournalAnswer[[#This Row],[Debit Account]]="Cash",JournalAnswer[[#This Row],[Dr Amt]],JournalAnswer[[#This Row],[Credit Account]]="Cash",-JournalAnswer[[#This Row],[Cr Amt]]),0)</f>
        <v>0</v>
      </c>
      <c r="L43" s="38" t="str" cm="1">
        <f t="array" aca="1" ref="L43" ca="1">IFERROR(INDEX(ProblemData!$E$240:$AM$240,1,JournalAnswer[[#This Row],[Transaction '#]]),"")</f>
        <v/>
      </c>
      <c r="M43" s="1" t="str">
        <f ca="1">IF(JournalAnswer[[#This Row],[ref1]]="","",IF(NOT(ISBLANK(JournalAnswer[[#This Row],[Transaction '#]])),JournalAnswer[[#This Row],[ref1]]&amp;JournalAnswer[[#This Row],[Movement '#]],""))</f>
        <v/>
      </c>
      <c r="N43" s="1" t="b">
        <f ca="1">OR(JournalAnswer[[#This Row],[ref1]]="",ISNUMBER(MATCH(JournalAnswer[[#This Row],[ref1]], Operating[Abbr], 0)), "Found", "Not Found"="Found")</f>
        <v>1</v>
      </c>
    </row>
    <row r="44" spans="2:14" x14ac:dyDescent="0.3">
      <c r="B44" s="76">
        <v>14</v>
      </c>
      <c r="C44" s="290">
        <f t="shared" si="1"/>
        <v>14</v>
      </c>
      <c r="D44" s="291">
        <f>IFERROR(_xlfn.IFNA(INDEX(ProblemData!$C$78:$AM$146,MATCH(J44+0.1,ProblemData!$C$78:$C$146,0),MATCH(C44,ProblemData!$C$78:$AM$78,0)),""),"")</f>
        <v>0</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
      </c>
      <c r="G44" s="292" t="str">
        <f>_xlfn.IFNA(IF(JournalAnswer[[#This Row],[Debit Account]]&lt;&gt;"",INDEX(ProblemData!$C$78:$AM$146,MATCH(J44+0.4,ProblemData!$C$78:$C$146,0),MATCH(C44,ProblemData!$C$78:$AM$78,0)),""),"")</f>
        <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6</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
      </c>
      <c r="M44" s="1" t="str">
        <f ca="1">IF(JournalAnswer[[#This Row],[ref1]]="","",IF(NOT(ISBLANK(JournalAnswer[[#This Row],[Transaction '#]])),JournalAnswer[[#This Row],[ref1]]&amp;JournalAnswer[[#This Row],[Movement '#]],""))</f>
        <v/>
      </c>
      <c r="N44" s="1" t="b">
        <f ca="1">OR(JournalAnswer[[#This Row],[ref1]]="",ISNUMBER(MATCH(JournalAnswer[[#This Row],[ref1]], Operating[Abbr], 0)), "Found", "Not Found"="Found")</f>
        <v>1</v>
      </c>
    </row>
    <row r="45" spans="2:14" x14ac:dyDescent="0.3">
      <c r="B45" s="76">
        <v>14</v>
      </c>
      <c r="C45" s="290">
        <f t="shared" si="1"/>
        <v>14</v>
      </c>
      <c r="D45" s="291">
        <f>IFERROR(_xlfn.IFNA(INDEX(ProblemData!$C$78:$AM$146,MATCH(J45+0.1,ProblemData!$C$78:$C$146,0),MATCH(C45,ProblemData!$C$78:$AM$78,0)),""),"")</f>
        <v>0</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
      </c>
      <c r="G45" s="292" t="str">
        <f>_xlfn.IFNA(IF(JournalAnswer[[#This Row],[Debit Account]]&lt;&gt;"",INDEX(ProblemData!$C$78:$AM$146,MATCH(J45+0.4,ProblemData!$C$78:$C$146,0),MATCH(C45,ProblemData!$C$78:$AM$78,0)),""),"")</f>
        <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f>IF(JournalAnswer[[#This Row],[Transaction '#]]="","",IF(JournalAnswer[[#This Row],[Transaction '#]]=C44,J44+1,1))</f>
        <v>7</v>
      </c>
      <c r="K45" s="34" cm="1">
        <f t="array" ref="K45">IFERROR(_xlfn.IFS(JournalAnswer[[#This Row],[Debit Account]]="Cash",JournalAnswer[[#This Row],[Dr Amt]],JournalAnswer[[#This Row],[Credit Account]]="Cash",-JournalAnswer[[#This Row],[Cr Amt]]),0)</f>
        <v>0</v>
      </c>
      <c r="L45" s="38" t="str" cm="1">
        <f t="array" aca="1" ref="L45" ca="1">IFERROR(INDEX(ProblemData!$E$240:$AM$240,1,JournalAnswer[[#This Row],[Transaction '#]]),"")</f>
        <v/>
      </c>
      <c r="M45" s="1" t="str">
        <f ca="1">IF(JournalAnswer[[#This Row],[ref1]]="","",IF(NOT(ISBLANK(JournalAnswer[[#This Row],[Transaction '#]])),JournalAnswer[[#This Row],[ref1]]&amp;JournalAnswer[[#This Row],[Movement '#]],""))</f>
        <v/>
      </c>
      <c r="N45" s="1" t="b">
        <f ca="1">OR(JournalAnswer[[#This Row],[ref1]]="",ISNUMBER(MATCH(JournalAnswer[[#This Row],[ref1]], Operating[Abbr], 0)), "Found", "Not Found"="Found")</f>
        <v>1</v>
      </c>
    </row>
    <row r="46" spans="2:14" x14ac:dyDescent="0.3">
      <c r="B46" s="76">
        <v>14</v>
      </c>
      <c r="C46" s="290">
        <f t="shared" si="1"/>
        <v>14</v>
      </c>
      <c r="D46" s="291">
        <f>IFERROR(_xlfn.IFNA(INDEX(ProblemData!$C$78:$AM$146,MATCH(J46+0.1,ProblemData!$C$78:$C$146,0),MATCH(C46,ProblemData!$C$78:$AM$78,0)),""),"")</f>
        <v>0</v>
      </c>
      <c r="E46" s="63" t="str">
        <f>IFERROR(_xlfn.IFNA(IF(INDEX(ProblemData!$C$78:$AM$146,MATCH(J46+0.3,ProblemData!$C$78:$C$146,0),MATCH(C46,ProblemData!$C$78:$AM$78,0))="Debit",INDEX(ProblemData!$C$78:$AM$146,MATCH(J46+0.2,ProblemData!$C$78:$C$146,0),MATCH(C46,ProblemData!$C$78:$AM$78,0)),""),""),"")</f>
        <v/>
      </c>
      <c r="F46" s="63" t="str">
        <f>IFERROR(_xlfn.IFNA(IF(INDEX(ProblemData!$C$78:$AM$146,MATCH(J46+0.3,ProblemData!$C$78:$C$146,0),MATCH(C46,ProblemData!$C$78:$AM$78,0))="Credit",INDEX(ProblemData!$C$78:$AM$146,MATCH(J46+0.2,ProblemData!$C$78:$C$146,0),MATCH(C46,ProblemData!$C$78:$AM$78,0)),""),""),"")</f>
        <v/>
      </c>
      <c r="G46" s="292" t="str">
        <f>_xlfn.IFNA(IF(JournalAnswer[[#This Row],[Debit Account]]&lt;&gt;"",INDEX(ProblemData!$C$78:$AM$146,MATCH(J46+0.4,ProblemData!$C$78:$C$146,0),MATCH(C46,ProblemData!$C$78:$AM$78,0)),""),"")</f>
        <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f>IF(JournalAnswer[[#This Row],[Transaction '#]]="","",IF(JournalAnswer[[#This Row],[Transaction '#]]=C45,J45+1,1))</f>
        <v>8</v>
      </c>
      <c r="K46" s="34" cm="1">
        <f t="array" ref="K46">IFERROR(_xlfn.IFS(JournalAnswer[[#This Row],[Debit Account]]="Cash",JournalAnswer[[#This Row],[Dr Amt]],JournalAnswer[[#This Row],[Credit Account]]="Cash",-JournalAnswer[[#This Row],[Cr Amt]]),0)</f>
        <v>0</v>
      </c>
      <c r="L46" s="38" t="str" cm="1">
        <f t="array" aca="1" ref="L46" ca="1">IFERROR(INDEX(ProblemData!$E$240:$AM$240,1,JournalAnswer[[#This Row],[Transaction '#]]),"")</f>
        <v/>
      </c>
      <c r="M46" s="1" t="str">
        <f ca="1">IF(JournalAnswer[[#This Row],[ref1]]="","",IF(NOT(ISBLANK(JournalAnswer[[#This Row],[Transaction '#]])),JournalAnswer[[#This Row],[ref1]]&amp;JournalAnswer[[#This Row],[Movement '#]],""))</f>
        <v/>
      </c>
      <c r="N46" s="1" t="b">
        <f ca="1">OR(JournalAnswer[[#This Row],[ref1]]="",ISNUMBER(MATCH(JournalAnswer[[#This Row],[ref1]], Operating[Abbr], 0)), "Found", "Not Found"="Found")</f>
        <v>1</v>
      </c>
    </row>
    <row r="47" spans="2:14" x14ac:dyDescent="0.3">
      <c r="B47" s="76">
        <v>14</v>
      </c>
      <c r="C47" s="290">
        <f t="shared" si="1"/>
        <v>14</v>
      </c>
      <c r="D47" s="291">
        <f>IFERROR(_xlfn.IFNA(INDEX(ProblemData!$C$78:$AM$146,MATCH(J47+0.1,ProblemData!$C$78:$C$146,0),MATCH(C47,ProblemData!$C$78:$AM$78,0)),""),"")</f>
        <v>0</v>
      </c>
      <c r="E47" s="63" t="str">
        <f>IFERROR(_xlfn.IFNA(IF(INDEX(ProblemData!$C$78:$AM$146,MATCH(J47+0.3,ProblemData!$C$78:$C$146,0),MATCH(C47,ProblemData!$C$78:$AM$78,0))="Debit",INDEX(ProblemData!$C$78:$AM$146,MATCH(J47+0.2,ProblemData!$C$78:$C$146,0),MATCH(C47,ProblemData!$C$78:$AM$78,0)),""),""),"")</f>
        <v/>
      </c>
      <c r="F47" s="63" t="str">
        <f>IFERROR(_xlfn.IFNA(IF(INDEX(ProblemData!$C$78:$AM$146,MATCH(J47+0.3,ProblemData!$C$78:$C$146,0),MATCH(C47,ProblemData!$C$78:$AM$78,0))="Credit",INDEX(ProblemData!$C$78:$AM$146,MATCH(J47+0.2,ProblemData!$C$78:$C$146,0),MATCH(C47,ProblemData!$C$78:$AM$78,0)),""),""),"")</f>
        <v/>
      </c>
      <c r="G47" s="292" t="str">
        <f>_xlfn.IFNA(IF(JournalAnswer[[#This Row],[Debit Account]]&lt;&gt;"",INDEX(ProblemData!$C$78:$AM$146,MATCH(J47+0.4,ProblemData!$C$78:$C$146,0),MATCH(C47,ProblemData!$C$78:$AM$78,0)),""),"")</f>
        <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9</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
      </c>
      <c r="M47" s="1" t="str">
        <f ca="1">IF(JournalAnswer[[#This Row],[ref1]]="","",IF(NOT(ISBLANK(JournalAnswer[[#This Row],[Transaction '#]])),JournalAnswer[[#This Row],[ref1]]&amp;JournalAnswer[[#This Row],[Movement '#]],""))</f>
        <v/>
      </c>
      <c r="N47" s="1" t="b">
        <f ca="1">OR(JournalAnswer[[#This Row],[ref1]]="",ISNUMBER(MATCH(JournalAnswer[[#This Row],[ref1]], Operating[Abbr], 0)), "Found", "Not Found"="Found")</f>
        <v>1</v>
      </c>
    </row>
    <row r="48" spans="2:14" x14ac:dyDescent="0.3">
      <c r="B48" s="76">
        <v>14</v>
      </c>
      <c r="C48" s="290">
        <f t="shared" si="1"/>
        <v>14</v>
      </c>
      <c r="D48" s="291">
        <f>IFERROR(_xlfn.IFNA(INDEX(ProblemData!$C$78:$AM$146,MATCH(J48+0.1,ProblemData!$C$78:$C$146,0),MATCH(C48,ProblemData!$C$78:$AM$78,0)),""),"")</f>
        <v>0</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
      </c>
      <c r="G48" s="292" t="str">
        <f>_xlfn.IFNA(IF(JournalAnswer[[#This Row],[Debit Account]]&lt;&gt;"",INDEX(ProblemData!$C$78:$AM$146,MATCH(J48+0.4,ProblemData!$C$78:$C$146,0),MATCH(C48,ProblemData!$C$78:$AM$78,0)),""),"")</f>
        <v/>
      </c>
      <c r="H48" s="293" t="str">
        <f>_xlfn.IFNA(IF(JournalAnswer[[#This Row],[Credit Account]]&lt;&gt;"",INDEX(ProblemData!$C$78:$AM$146,MATCH(J48+0.4,ProblemData!$C$78:$C$146,0),MATCH(C48,ProblemData!$C$78:$AM$78,0)),""),"")</f>
        <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10</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
      </c>
      <c r="M48" s="1" t="str">
        <f ca="1">IF(JournalAnswer[[#This Row],[ref1]]="","",IF(NOT(ISBLANK(JournalAnswer[[#This Row],[Transaction '#]])),JournalAnswer[[#This Row],[ref1]]&amp;JournalAnswer[[#This Row],[Movement '#]],""))</f>
        <v/>
      </c>
      <c r="N48" s="1" t="b">
        <f ca="1">OR(JournalAnswer[[#This Row],[ref1]]="",ISNUMBER(MATCH(JournalAnswer[[#This Row],[ref1]], Operating[Abbr], 0)), "Found", "Not Found"="Found")</f>
        <v>1</v>
      </c>
    </row>
    <row r="49" spans="2:14" x14ac:dyDescent="0.3">
      <c r="B49" s="76">
        <v>14</v>
      </c>
      <c r="C49" s="290">
        <f t="shared" si="1"/>
        <v>14</v>
      </c>
      <c r="D49" s="291">
        <f>IFERROR(_xlfn.IFNA(INDEX(ProblemData!$C$78:$AM$146,MATCH(J49+0.1,ProblemData!$C$78:$C$146,0),MATCH(C49,ProblemData!$C$78:$AM$78,0)),""),"")</f>
        <v>0</v>
      </c>
      <c r="E49" s="63" t="str">
        <f>IFERROR(_xlfn.IFNA(IF(INDEX(ProblemData!$C$78:$AM$146,MATCH(J49+0.3,ProblemData!$C$78:$C$146,0),MATCH(C49,ProblemData!$C$78:$AM$78,0))="Debit",INDEX(ProblemData!$C$78:$AM$146,MATCH(J49+0.2,ProblemData!$C$78:$C$146,0),MATCH(C49,ProblemData!$C$78:$AM$78,0)),""),""),"")</f>
        <v/>
      </c>
      <c r="F49" s="63" t="str">
        <f>IFERROR(_xlfn.IFNA(IF(INDEX(ProblemData!$C$78:$AM$146,MATCH(J49+0.3,ProblemData!$C$78:$C$146,0),MATCH(C49,ProblemData!$C$78:$AM$78,0))="Credit",INDEX(ProblemData!$C$78:$AM$146,MATCH(J49+0.2,ProblemData!$C$78:$C$146,0),MATCH(C49,ProblemData!$C$78:$AM$78,0)),""),""),"")</f>
        <v/>
      </c>
      <c r="G49" s="292" t="str">
        <f>_xlfn.IFNA(IF(JournalAnswer[[#This Row],[Debit Account]]&lt;&gt;"",INDEX(ProblemData!$C$78:$AM$146,MATCH(J49+0.4,ProblemData!$C$78:$C$146,0),MATCH(C49,ProblemData!$C$78:$AM$78,0)),""),"")</f>
        <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11</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
      </c>
      <c r="M49" s="1" t="str">
        <f ca="1">IF(JournalAnswer[[#This Row],[ref1]]="","",IF(NOT(ISBLANK(JournalAnswer[[#This Row],[Transaction '#]])),JournalAnswer[[#This Row],[ref1]]&amp;JournalAnswer[[#This Row],[Movement '#]],""))</f>
        <v/>
      </c>
      <c r="N49" s="1" t="b">
        <f ca="1">OR(JournalAnswer[[#This Row],[ref1]]="",ISNUMBER(MATCH(JournalAnswer[[#This Row],[ref1]], Operating[Abbr], 0)), "Found", "Not Found"="Found")</f>
        <v>1</v>
      </c>
    </row>
    <row r="50" spans="2:14" x14ac:dyDescent="0.3">
      <c r="B50" s="76">
        <v>14</v>
      </c>
      <c r="C50" s="290">
        <f t="shared" si="1"/>
        <v>14</v>
      </c>
      <c r="D50" s="291">
        <f>IFERROR(_xlfn.IFNA(INDEX(ProblemData!$C$78:$AM$146,MATCH(J50+0.1,ProblemData!$C$78:$C$146,0),MATCH(C50,ProblemData!$C$78:$AM$78,0)),""),"")</f>
        <v>0</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
      </c>
      <c r="G50" s="292" t="str">
        <f>_xlfn.IFNA(IF(JournalAnswer[[#This Row],[Debit Account]]&lt;&gt;"",INDEX(ProblemData!$C$78:$AM$146,MATCH(J50+0.4,ProblemData!$C$78:$C$146,0),MATCH(C50,ProblemData!$C$78:$AM$78,0)),""),"")</f>
        <v/>
      </c>
      <c r="H50" s="293" t="str">
        <f>_xlfn.IFNA(IF(JournalAnswer[[#This Row],[Credit Account]]&lt;&gt;"",INDEX(ProblemData!$C$78:$AM$146,MATCH(J50+0.4,ProblemData!$C$78:$C$146,0),MATCH(C50,ProblemData!$C$78:$AM$78,0)),""),"")</f>
        <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12</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
      </c>
      <c r="M50" s="1" t="str">
        <f ca="1">IF(JournalAnswer[[#This Row],[ref1]]="","",IF(NOT(ISBLANK(JournalAnswer[[#This Row],[Transaction '#]])),JournalAnswer[[#This Row],[ref1]]&amp;JournalAnswer[[#This Row],[Movement '#]],""))</f>
        <v/>
      </c>
      <c r="N50" s="1" t="b">
        <f ca="1">OR(JournalAnswer[[#This Row],[ref1]]="",ISNUMBER(MATCH(JournalAnswer[[#This Row],[ref1]], Operating[Abbr], 0)), "Found", "Not Found"="Found")</f>
        <v>1</v>
      </c>
    </row>
    <row r="51" spans="2:14" x14ac:dyDescent="0.3">
      <c r="B51" s="76">
        <v>14</v>
      </c>
      <c r="C51" s="290">
        <f t="shared" si="1"/>
        <v>14</v>
      </c>
      <c r="D51" s="291">
        <f>IFERROR(_xlfn.IFNA(INDEX(ProblemData!$C$78:$AM$146,MATCH(J51+0.1,ProblemData!$C$78:$C$146,0),MATCH(C51,ProblemData!$C$78:$AM$78,0)),""),"")</f>
        <v>0</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
      </c>
      <c r="G51" s="292" t="str">
        <f>_xlfn.IFNA(IF(JournalAnswer[[#This Row],[Debit Account]]&lt;&gt;"",INDEX(ProblemData!$C$78:$AM$146,MATCH(J51+0.4,ProblemData!$C$78:$C$146,0),MATCH(C51,ProblemData!$C$78:$AM$78,0)),""),"")</f>
        <v/>
      </c>
      <c r="H51" s="293" t="str">
        <f>_xlfn.IFNA(IF(JournalAnswer[[#This Row],[Credit Account]]&lt;&gt;"",INDEX(ProblemData!$C$78:$AM$146,MATCH(J51+0.4,ProblemData!$C$78:$C$146,0),MATCH(C51,ProblemData!$C$78:$AM$78,0)),""),"")</f>
        <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13</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
      </c>
      <c r="M51" s="1" t="str">
        <f ca="1">IF(JournalAnswer[[#This Row],[ref1]]="","",IF(NOT(ISBLANK(JournalAnswer[[#This Row],[Transaction '#]])),JournalAnswer[[#This Row],[ref1]]&amp;JournalAnswer[[#This Row],[Movement '#]],""))</f>
        <v/>
      </c>
      <c r="N51" s="1" t="b">
        <f ca="1">OR(JournalAnswer[[#This Row],[ref1]]="",ISNUMBER(MATCH(JournalAnswer[[#This Row],[ref1]], Operating[Abbr], 0)), "Found", "Not Found"="Found")</f>
        <v>1</v>
      </c>
    </row>
    <row r="52" spans="2:14" x14ac:dyDescent="0.3">
      <c r="B52" s="76">
        <v>14</v>
      </c>
      <c r="C52" s="290">
        <f t="shared" si="1"/>
        <v>14</v>
      </c>
      <c r="D52" s="291">
        <f>IFERROR(_xlfn.IFNA(INDEX(ProblemData!$C$78:$AM$146,MATCH(J52+0.1,ProblemData!$C$78:$C$146,0),MATCH(C52,ProblemData!$C$78:$AM$78,0)),""),"")</f>
        <v>0</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
      </c>
      <c r="G52" s="292" t="str">
        <f>_xlfn.IFNA(IF(JournalAnswer[[#This Row],[Debit Account]]&lt;&gt;"",INDEX(ProblemData!$C$78:$AM$146,MATCH(J52+0.4,ProblemData!$C$78:$C$146,0),MATCH(C52,ProblemData!$C$78:$AM$78,0)),""),"")</f>
        <v/>
      </c>
      <c r="H52" s="293" t="str">
        <f>_xlfn.IFNA(IF(JournalAnswer[[#This Row],[Credit Account]]&lt;&gt;"",INDEX(ProblemData!$C$78:$AM$146,MATCH(J52+0.4,ProblemData!$C$78:$C$146,0),MATCH(C52,ProblemData!$C$78:$AM$78,0)),""),"")</f>
        <v/>
      </c>
      <c r="I52" s="321" t="str" cm="1">
        <f t="array" ref="I52">IF(JournalAnswer[[#This Row],[Debit Account]]="Cash",INDEX(ProblemData!$E$239:$AM$239,1,JournalAnswer[[#This Row],[Transaction '#]]),IF(JournalAnswer[[#This Row],[Credit Account]]="Cash",INDEX(ProblemData!$E$239:$AM$239,1,JournalAnswer[[#This Row],[Transaction '#]]),""))</f>
        <v/>
      </c>
      <c r="J52" s="74">
        <f>IF(JournalAnswer[[#This Row],[Transaction '#]]="","",IF(JournalAnswer[[#This Row],[Transaction '#]]=C51,J51+1,1))</f>
        <v>14</v>
      </c>
      <c r="K52" s="34" cm="1">
        <f t="array" ref="K52">IFERROR(_xlfn.IFS(JournalAnswer[[#This Row],[Debit Account]]="Cash",JournalAnswer[[#This Row],[Dr Amt]],JournalAnswer[[#This Row],[Credit Account]]="Cash",-JournalAnswer[[#This Row],[Cr Amt]]),0)</f>
        <v>0</v>
      </c>
      <c r="L52" s="38" t="str" cm="1">
        <f t="array" aca="1" ref="L52" ca="1">IFERROR(INDEX(ProblemData!$E$240:$AM$240,1,JournalAnswer[[#This Row],[Transaction '#]]),"")</f>
        <v/>
      </c>
      <c r="M52" s="1" t="str">
        <f ca="1">IF(JournalAnswer[[#This Row],[ref1]]="","",IF(NOT(ISBLANK(JournalAnswer[[#This Row],[Transaction '#]])),JournalAnswer[[#This Row],[ref1]]&amp;JournalAnswer[[#This Row],[Movement '#]],""))</f>
        <v/>
      </c>
      <c r="N52" s="1" t="b">
        <f ca="1">OR(JournalAnswer[[#This Row],[ref1]]="",ISNUMBER(MATCH(JournalAnswer[[#This Row],[ref1]], Operating[Abbr], 0)), "Found", "Not Found"="Found")</f>
        <v>1</v>
      </c>
    </row>
    <row r="53" spans="2:14" x14ac:dyDescent="0.3">
      <c r="B53" s="76">
        <v>14</v>
      </c>
      <c r="C53" s="290">
        <f t="shared" si="1"/>
        <v>14</v>
      </c>
      <c r="D53" s="291">
        <f>IFERROR(_xlfn.IFNA(INDEX(ProblemData!$C$78:$AM$146,MATCH(J53+0.1,ProblemData!$C$78:$C$146,0),MATCH(C53,ProblemData!$C$78:$AM$78,0)),""),"")</f>
        <v>0</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
      </c>
      <c r="G53" s="292" t="str">
        <f>_xlfn.IFNA(IF(JournalAnswer[[#This Row],[Debit Account]]&lt;&gt;"",INDEX(ProblemData!$C$78:$AM$146,MATCH(J53+0.4,ProblemData!$C$78:$C$146,0),MATCH(C53,ProblemData!$C$78:$AM$78,0)),""),"")</f>
        <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15</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
      </c>
      <c r="M53" s="1" t="str">
        <f ca="1">IF(JournalAnswer[[#This Row],[ref1]]="","",IF(NOT(ISBLANK(JournalAnswer[[#This Row],[Transaction '#]])),JournalAnswer[[#This Row],[ref1]]&amp;JournalAnswer[[#This Row],[Movement '#]],""))</f>
        <v/>
      </c>
      <c r="N53" s="1" t="b">
        <f ca="1">OR(JournalAnswer[[#This Row],[ref1]]="",ISNUMBER(MATCH(JournalAnswer[[#This Row],[ref1]], Operating[Abbr], 0)), "Found", "Not Found"="Found")</f>
        <v>1</v>
      </c>
    </row>
    <row r="54" spans="2:14" x14ac:dyDescent="0.3">
      <c r="B54" s="76">
        <v>15</v>
      </c>
      <c r="C54" s="290">
        <f t="shared" si="1"/>
        <v>15</v>
      </c>
      <c r="D54" s="291" t="str">
        <f>IFERROR(_xlfn.IFNA(INDEX(ProblemData!$C$78:$AM$146,MATCH(J54+0.1,ProblemData!$C$78:$C$146,0),MATCH(C54,ProblemData!$C$78:$AM$78,0)),""),"")</f>
        <v>Expense</v>
      </c>
      <c r="E54" s="63" t="str">
        <f>IFERROR(_xlfn.IFNA(IF(INDEX(ProblemData!$C$78:$AM$146,MATCH(J54+0.3,ProblemData!$C$78:$C$146,0),MATCH(C54,ProblemData!$C$78:$AM$78,0))="Debit",INDEX(ProblemData!$C$78:$AM$146,MATCH(J54+0.2,ProblemData!$C$78:$C$146,0),MATCH(C54,ProblemData!$C$78:$AM$78,0)),""),""),"")</f>
        <v>Depreciation Expense</v>
      </c>
      <c r="F54" s="63" t="str">
        <f>IFERROR(_xlfn.IFNA(IF(INDEX(ProblemData!$C$78:$AM$146,MATCH(J54+0.3,ProblemData!$C$78:$C$146,0),MATCH(C54,ProblemData!$C$78:$AM$78,0))="Credit",INDEX(ProblemData!$C$78:$AM$146,MATCH(J54+0.2,ProblemData!$C$78:$C$146,0),MATCH(C54,ProblemData!$C$78:$AM$78,0)),""),""),"")</f>
        <v/>
      </c>
      <c r="G54" s="292">
        <f>_xlfn.IFNA(IF(JournalAnswer[[#This Row],[Debit Account]]&lt;&gt;"",INDEX(ProblemData!$C$78:$AM$146,MATCH(J54+0.4,ProblemData!$C$78:$C$146,0),MATCH(C54,ProblemData!$C$78:$AM$78,0)),""),"")</f>
        <v>7.5</v>
      </c>
      <c r="H54" s="293" t="str">
        <f>_xlfn.IFNA(IF(JournalAnswer[[#This Row],[Credit Account]]&lt;&gt;"",INDEX(ProblemData!$C$78:$AM$146,MATCH(J54+0.4,ProblemData!$C$78:$C$146,0),MATCH(C54,ProblemData!$C$78:$AM$78,0)),""),"")</f>
        <v/>
      </c>
      <c r="I54" s="321" t="str" cm="1">
        <f t="array" ref="I54">IF(JournalAnswer[[#This Row],[Debit Account]]="Cash",INDEX(ProblemData!$E$239:$AM$239,1,JournalAnswer[[#This Row],[Transaction '#]]),IF(JournalAnswer[[#This Row],[Credit Account]]="Cash",INDEX(ProblemData!$E$239:$AM$239,1,JournalAnswer[[#This Row],[Transaction '#]]),""))</f>
        <v/>
      </c>
      <c r="J54" s="74">
        <f>IF(JournalAnswer[[#This Row],[Transaction '#]]="","",IF(JournalAnswer[[#This Row],[Transaction '#]]=C53,J53+1,1))</f>
        <v>1</v>
      </c>
      <c r="K54" s="34" cm="1">
        <f t="array" ref="K54">IFERROR(_xlfn.IFS(JournalAnswer[[#This Row],[Debit Account]]="Cash",JournalAnswer[[#This Row],[Dr Amt]],JournalAnswer[[#This Row],[Credit Account]]="Cash",-JournalAnswer[[#This Row],[Cr Amt]]),0)</f>
        <v>0</v>
      </c>
      <c r="L54" s="38" t="str" cm="1">
        <f t="array" aca="1" ref="L54" ca="1">IFERROR(INDEX(ProblemData!$E$240:$AM$240,1,JournalAnswer[[#This Row],[Transaction '#]]),"")</f>
        <v>RecDeprExp</v>
      </c>
      <c r="M54" s="1" t="str">
        <f ca="1">IF(JournalAnswer[[#This Row],[ref1]]="","",IF(NOT(ISBLANK(JournalAnswer[[#This Row],[Transaction '#]])),JournalAnswer[[#This Row],[ref1]]&amp;JournalAnswer[[#This Row],[Movement '#]],""))</f>
        <v>RecDeprExp1</v>
      </c>
      <c r="N54" s="1" t="b">
        <f ca="1">OR(JournalAnswer[[#This Row],[ref1]]="",ISNUMBER(MATCH(JournalAnswer[[#This Row],[ref1]], Operating[Abbr], 0)), "Found", "Not Found"="Found")</f>
        <v>0</v>
      </c>
    </row>
    <row r="55" spans="2:14" x14ac:dyDescent="0.3">
      <c r="B55" s="76">
        <v>15</v>
      </c>
      <c r="C55" s="290">
        <f t="shared" si="1"/>
        <v>15</v>
      </c>
      <c r="D55" s="291" t="str">
        <f>IFERROR(_xlfn.IFNA(INDEX(ProblemData!$C$78:$AM$146,MATCH(J55+0.1,ProblemData!$C$78:$C$146,0),MATCH(C55,ProblemData!$C$78:$AM$78,0)),""),"")</f>
        <v>Asset</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Accumulated Depreciation</v>
      </c>
      <c r="G55" s="292" t="str">
        <f>_xlfn.IFNA(IF(JournalAnswer[[#This Row],[Debit Account]]&lt;&gt;"",INDEX(ProblemData!$C$78:$AM$146,MATCH(J55+0.4,ProblemData!$C$78:$C$146,0),MATCH(C55,ProblemData!$C$78:$AM$78,0)),""),"")</f>
        <v/>
      </c>
      <c r="H55" s="293">
        <f>_xlfn.IFNA(IF(JournalAnswer[[#This Row],[Credit Account]]&lt;&gt;"",INDEX(ProblemData!$C$78:$AM$146,MATCH(J55+0.4,ProblemData!$C$78:$C$146,0),MATCH(C55,ProblemData!$C$78:$AM$78,0)),""),"")</f>
        <v>7.5</v>
      </c>
      <c r="I55" s="321" t="str" cm="1">
        <f t="array" ref="I55">IF(JournalAnswer[[#This Row],[Debit Account]]="Cash",INDEX(ProblemData!$E$239:$AM$239,1,JournalAnswer[[#This Row],[Transaction '#]]),IF(JournalAnswer[[#This Row],[Credit Account]]="Cash",INDEX(ProblemData!$E$239:$AM$239,1,JournalAnswer[[#This Row],[Transaction '#]]),""))</f>
        <v/>
      </c>
      <c r="J55" s="74">
        <f>IF(JournalAnswer[[#This Row],[Transaction '#]]="","",IF(JournalAnswer[[#This Row],[Transaction '#]]=C54,J54+1,1))</f>
        <v>2</v>
      </c>
      <c r="K55" s="34" cm="1">
        <f t="array" ref="K55">IFERROR(_xlfn.IFS(JournalAnswer[[#This Row],[Debit Account]]="Cash",JournalAnswer[[#This Row],[Dr Amt]],JournalAnswer[[#This Row],[Credit Account]]="Cash",-JournalAnswer[[#This Row],[Cr Amt]]),0)</f>
        <v>0</v>
      </c>
      <c r="L55" s="38" t="str" cm="1">
        <f t="array" aca="1" ref="L55" ca="1">IFERROR(INDEX(ProblemData!$E$240:$AM$240,1,JournalAnswer[[#This Row],[Transaction '#]]),"")</f>
        <v>RecDeprExp</v>
      </c>
      <c r="M55" s="1" t="str">
        <f ca="1">IF(JournalAnswer[[#This Row],[ref1]]="","",IF(NOT(ISBLANK(JournalAnswer[[#This Row],[Transaction '#]])),JournalAnswer[[#This Row],[ref1]]&amp;JournalAnswer[[#This Row],[Movement '#]],""))</f>
        <v>RecDeprExp2</v>
      </c>
      <c r="N55" s="1" t="b">
        <f ca="1">OR(JournalAnswer[[#This Row],[ref1]]="",ISNUMBER(MATCH(JournalAnswer[[#This Row],[ref1]], Operating[Abbr], 0)), "Found", "Not Found"="Found")</f>
        <v>0</v>
      </c>
    </row>
    <row r="56" spans="2:14" x14ac:dyDescent="0.3">
      <c r="B56" s="76">
        <v>16</v>
      </c>
      <c r="C56" s="290">
        <f t="shared" si="1"/>
        <v>16</v>
      </c>
      <c r="D56" s="291" t="str">
        <f>IFERROR(_xlfn.IFNA(INDEX(ProblemData!$C$78:$AM$146,MATCH(J56+0.1,ProblemData!$C$78:$C$146,0),MATCH(C56,ProblemData!$C$78:$AM$78,0)),""),"")</f>
        <v>Expense</v>
      </c>
      <c r="E56" s="63" t="str">
        <f>IFERROR(_xlfn.IFNA(IF(INDEX(ProblemData!$C$78:$AM$146,MATCH(J56+0.3,ProblemData!$C$78:$C$146,0),MATCH(C56,ProblemData!$C$78:$AM$78,0))="Debit",INDEX(ProblemData!$C$78:$AM$146,MATCH(J56+0.2,ProblemData!$C$78:$C$146,0),MATCH(C56,ProblemData!$C$78:$AM$78,0)),""),""),"")</f>
        <v>Rent Expense</v>
      </c>
      <c r="F56" s="63" t="str">
        <f>IFERROR(_xlfn.IFNA(IF(INDEX(ProblemData!$C$78:$AM$146,MATCH(J56+0.3,ProblemData!$C$78:$C$146,0),MATCH(C56,ProblemData!$C$78:$AM$78,0))="Credit",INDEX(ProblemData!$C$78:$AM$146,MATCH(J56+0.2,ProblemData!$C$78:$C$146,0),MATCH(C56,ProblemData!$C$78:$AM$78,0)),""),""),"")</f>
        <v/>
      </c>
      <c r="G56" s="292">
        <f>_xlfn.IFNA(IF(JournalAnswer[[#This Row],[Debit Account]]&lt;&gt;"",INDEX(ProblemData!$C$78:$AM$146,MATCH(J56+0.4,ProblemData!$C$78:$C$146,0),MATCH(C56,ProblemData!$C$78:$AM$78,0)),""),"")</f>
        <v>3</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f>IF(JournalAnswer[[#This Row],[Transaction '#]]="","",IF(JournalAnswer[[#This Row],[Transaction '#]]=C55,J55+1,1))</f>
        <v>1</v>
      </c>
      <c r="K56" s="34" cm="1">
        <f t="array" ref="K56">IFERROR(_xlfn.IFS(JournalAnswer[[#This Row],[Debit Account]]="Cash",JournalAnswer[[#This Row],[Dr Amt]],JournalAnswer[[#This Row],[Credit Account]]="Cash",-JournalAnswer[[#This Row],[Cr Amt]]),0)</f>
        <v>0</v>
      </c>
      <c r="L56" s="38" t="str" cm="1">
        <f t="array" aca="1" ref="L56" ca="1">IFERROR(INDEX(ProblemData!$E$240:$AM$240,1,JournalAnswer[[#This Row],[Transaction '#]]),"")</f>
        <v/>
      </c>
      <c r="M56" s="1" t="str">
        <f ca="1">IF(JournalAnswer[[#This Row],[ref1]]="","",IF(NOT(ISBLANK(JournalAnswer[[#This Row],[Transaction '#]])),JournalAnswer[[#This Row],[ref1]]&amp;JournalAnswer[[#This Row],[Movement '#]],""))</f>
        <v/>
      </c>
      <c r="N56" s="1" t="b">
        <f ca="1">OR(JournalAnswer[[#This Row],[ref1]]="",ISNUMBER(MATCH(JournalAnswer[[#This Row],[ref1]], Operating[Abbr], 0)), "Found", "Not Found"="Found")</f>
        <v>1</v>
      </c>
    </row>
    <row r="57" spans="2:14" x14ac:dyDescent="0.3">
      <c r="B57" s="76">
        <v>16</v>
      </c>
      <c r="C57" s="290">
        <f t="shared" si="1"/>
        <v>16</v>
      </c>
      <c r="D57" s="291" t="str">
        <f>IFERROR(_xlfn.IFNA(INDEX(ProblemData!$C$78:$AM$146,MATCH(J57+0.1,ProblemData!$C$78:$C$146,0),MATCH(C57,ProblemData!$C$78:$AM$78,0)),""),"")</f>
        <v>Asset</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Prepaid Rent</v>
      </c>
      <c r="G57" s="292" t="str">
        <f>_xlfn.IFNA(IF(JournalAnswer[[#This Row],[Debit Account]]&lt;&gt;"",INDEX(ProblemData!$C$78:$AM$146,MATCH(J57+0.4,ProblemData!$C$78:$C$146,0),MATCH(C57,ProblemData!$C$78:$AM$78,0)),""),"")</f>
        <v/>
      </c>
      <c r="H57" s="293">
        <f>_xlfn.IFNA(IF(JournalAnswer[[#This Row],[Credit Account]]&lt;&gt;"",INDEX(ProblemData!$C$78:$AM$146,MATCH(J57+0.4,ProblemData!$C$78:$C$146,0),MATCH(C57,ProblemData!$C$78:$AM$78,0)),""),"")</f>
        <v>3</v>
      </c>
      <c r="I57" s="321" t="str" cm="1">
        <f t="array" ref="I57">IF(JournalAnswer[[#This Row],[Debit Account]]="Cash",INDEX(ProblemData!$E$239:$AM$239,1,JournalAnswer[[#This Row],[Transaction '#]]),IF(JournalAnswer[[#This Row],[Credit Account]]="Cash",INDEX(ProblemData!$E$239:$AM$239,1,JournalAnswer[[#This Row],[Transaction '#]]),""))</f>
        <v/>
      </c>
      <c r="J57" s="74">
        <f>IF(JournalAnswer[[#This Row],[Transaction '#]]="","",IF(JournalAnswer[[#This Row],[Transaction '#]]=C56,J56+1,1))</f>
        <v>2</v>
      </c>
      <c r="K57" s="34" cm="1">
        <f t="array" ref="K57">IFERROR(_xlfn.IFS(JournalAnswer[[#This Row],[Debit Account]]="Cash",JournalAnswer[[#This Row],[Dr Amt]],JournalAnswer[[#This Row],[Credit Account]]="Cash",-JournalAnswer[[#This Row],[Cr Amt]]),0)</f>
        <v>0</v>
      </c>
      <c r="L57" s="38" t="str" cm="1">
        <f t="array" aca="1" ref="L57" ca="1">IFERROR(INDEX(ProblemData!$E$240:$AM$240,1,JournalAnswer[[#This Row],[Transaction '#]]),"")</f>
        <v/>
      </c>
      <c r="M57" s="1" t="str">
        <f ca="1">IF(JournalAnswer[[#This Row],[ref1]]="","",IF(NOT(ISBLANK(JournalAnswer[[#This Row],[Transaction '#]])),JournalAnswer[[#This Row],[ref1]]&amp;JournalAnswer[[#This Row],[Movement '#]],""))</f>
        <v/>
      </c>
      <c r="N57" s="1" t="b">
        <f ca="1">OR(JournalAnswer[[#This Row],[ref1]]="",ISNUMBER(MATCH(JournalAnswer[[#This Row],[ref1]], Operating[Abbr], 0)), "Found", "Not Found"="Found")</f>
        <v>1</v>
      </c>
    </row>
    <row r="58" spans="2:14" x14ac:dyDescent="0.3">
      <c r="B58" s="76">
        <v>17</v>
      </c>
      <c r="C58" s="290">
        <f t="shared" si="1"/>
        <v>17</v>
      </c>
      <c r="D58" s="291" t="str">
        <f>IFERROR(_xlfn.IFNA(INDEX(ProblemData!$C$78:$AM$146,MATCH(J58+0.1,ProblemData!$C$78:$C$146,0),MATCH(C58,ProblemData!$C$78:$AM$78,0)),""),"")</f>
        <v>Expense</v>
      </c>
      <c r="E58" s="63" t="str">
        <f>IFERROR(_xlfn.IFNA(IF(INDEX(ProblemData!$C$78:$AM$146,MATCH(J58+0.3,ProblemData!$C$78:$C$146,0),MATCH(C58,ProblemData!$C$78:$AM$78,0))="Debit",INDEX(ProblemData!$C$78:$AM$146,MATCH(J58+0.2,ProblemData!$C$78:$C$146,0),MATCH(C58,ProblemData!$C$78:$AM$78,0)),""),""),"")</f>
        <v>Interest Expense</v>
      </c>
      <c r="F58" s="63" t="str">
        <f>IFERROR(_xlfn.IFNA(IF(INDEX(ProblemData!$C$78:$AM$146,MATCH(J58+0.3,ProblemData!$C$78:$C$146,0),MATCH(C58,ProblemData!$C$78:$AM$78,0))="Credit",INDEX(ProblemData!$C$78:$AM$146,MATCH(J58+0.2,ProblemData!$C$78:$C$146,0),MATCH(C58,ProblemData!$C$78:$AM$78,0)),""),""),"")</f>
        <v/>
      </c>
      <c r="G58" s="292">
        <f>_xlfn.IFNA(IF(JournalAnswer[[#This Row],[Debit Account]]&lt;&gt;"",INDEX(ProblemData!$C$78:$AM$146,MATCH(J58+0.4,ProblemData!$C$78:$C$146,0),MATCH(C58,ProblemData!$C$78:$AM$78,0)),""),"")</f>
        <v>1.55</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f>IF(JournalAnswer[[#This Row],[Transaction '#]]="","",IF(JournalAnswer[[#This Row],[Transaction '#]]=C57,J57+1,1))</f>
        <v>1</v>
      </c>
      <c r="K58" s="34" cm="1">
        <f t="array" ref="K58">IFERROR(_xlfn.IFS(JournalAnswer[[#This Row],[Debit Account]]="Cash",JournalAnswer[[#This Row],[Dr Amt]],JournalAnswer[[#This Row],[Credit Account]]="Cash",-JournalAnswer[[#This Row],[Cr Amt]]),0)</f>
        <v>0</v>
      </c>
      <c r="L58" s="38" t="str" cm="1">
        <f t="array" aca="1" ref="L58" ca="1">IFERROR(INDEX(ProblemData!$E$240:$AM$240,1,JournalAnswer[[#This Row],[Transaction '#]]),"")</f>
        <v/>
      </c>
      <c r="M58" s="1" t="str">
        <f ca="1">IF(JournalAnswer[[#This Row],[ref1]]="","",IF(NOT(ISBLANK(JournalAnswer[[#This Row],[Transaction '#]])),JournalAnswer[[#This Row],[ref1]]&amp;JournalAnswer[[#This Row],[Movement '#]],""))</f>
        <v/>
      </c>
      <c r="N58" s="1" t="b">
        <f ca="1">OR(JournalAnswer[[#This Row],[ref1]]="",ISNUMBER(MATCH(JournalAnswer[[#This Row],[ref1]], Operating[Abbr], 0)), "Found", "Not Found"="Found")</f>
        <v>1</v>
      </c>
    </row>
    <row r="59" spans="2:14" x14ac:dyDescent="0.3">
      <c r="B59" s="76">
        <v>17</v>
      </c>
      <c r="C59" s="290">
        <f t="shared" si="1"/>
        <v>17</v>
      </c>
      <c r="D59" s="291" t="str">
        <f>IFERROR(_xlfn.IFNA(INDEX(ProblemData!$C$78:$AM$146,MATCH(J59+0.1,ProblemData!$C$78:$C$146,0),MATCH(C59,ProblemData!$C$78:$AM$78,0)),""),"")</f>
        <v>Liability</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Interest Payable</v>
      </c>
      <c r="G59" s="292" t="str">
        <f>_xlfn.IFNA(IF(JournalAnswer[[#This Row],[Debit Account]]&lt;&gt;"",INDEX(ProblemData!$C$78:$AM$146,MATCH(J59+0.4,ProblemData!$C$78:$C$146,0),MATCH(C59,ProblemData!$C$78:$AM$78,0)),""),"")</f>
        <v/>
      </c>
      <c r="H59" s="293">
        <f>_xlfn.IFNA(IF(JournalAnswer[[#This Row],[Credit Account]]&lt;&gt;"",INDEX(ProblemData!$C$78:$AM$146,MATCH(J59+0.4,ProblemData!$C$78:$C$146,0),MATCH(C59,ProblemData!$C$78:$AM$78,0)),""),"")</f>
        <v>1.55</v>
      </c>
      <c r="I59" s="321" t="str" cm="1">
        <f t="array" ref="I59">IF(JournalAnswer[[#This Row],[Debit Account]]="Cash",INDEX(ProblemData!$E$239:$AM$239,1,JournalAnswer[[#This Row],[Transaction '#]]),IF(JournalAnswer[[#This Row],[Credit Account]]="Cash",INDEX(ProblemData!$E$239:$AM$239,1,JournalAnswer[[#This Row],[Transaction '#]]),""))</f>
        <v/>
      </c>
      <c r="J59" s="74">
        <f>IF(JournalAnswer[[#This Row],[Transaction '#]]="","",IF(JournalAnswer[[#This Row],[Transaction '#]]=C58,J58+1,1))</f>
        <v>2</v>
      </c>
      <c r="K59" s="34" cm="1">
        <f t="array" ref="K59">IFERROR(_xlfn.IFS(JournalAnswer[[#This Row],[Debit Account]]="Cash",JournalAnswer[[#This Row],[Dr Amt]],JournalAnswer[[#This Row],[Credit Account]]="Cash",-JournalAnswer[[#This Row],[Cr Amt]]),0)</f>
        <v>0</v>
      </c>
      <c r="L59" s="38" t="str" cm="1">
        <f t="array" aca="1" ref="L59" ca="1">IFERROR(INDEX(ProblemData!$E$240:$AM$240,1,JournalAnswer[[#This Row],[Transaction '#]]),"")</f>
        <v/>
      </c>
      <c r="M59" s="1" t="str">
        <f ca="1">IF(JournalAnswer[[#This Row],[ref1]]="","",IF(NOT(ISBLANK(JournalAnswer[[#This Row],[Transaction '#]])),JournalAnswer[[#This Row],[ref1]]&amp;JournalAnswer[[#This Row],[Movement '#]],""))</f>
        <v/>
      </c>
      <c r="N59" s="1" t="b">
        <f ca="1">OR(JournalAnswer[[#This Row],[ref1]]="",ISNUMBER(MATCH(JournalAnswer[[#This Row],[ref1]], Operating[Abbr], 0)), "Found", "Not Found"="Found")</f>
        <v>1</v>
      </c>
    </row>
    <row r="60" spans="2:14" x14ac:dyDescent="0.3">
      <c r="B60" s="76">
        <v>18</v>
      </c>
      <c r="C60" s="290">
        <f t="shared" si="1"/>
        <v>18</v>
      </c>
      <c r="D60" s="291" t="str">
        <f>IFERROR(_xlfn.IFNA(INDEX(ProblemData!$C$78:$AM$146,MATCH(J60+0.1,ProblemData!$C$78:$C$146,0),MATCH(C60,ProblemData!$C$78:$AM$78,0)),""),"")</f>
        <v>Revenue</v>
      </c>
      <c r="E60" s="63" t="str">
        <f>IFERROR(_xlfn.IFNA(IF(INDEX(ProblemData!$C$78:$AM$146,MATCH(J60+0.3,ProblemData!$C$78:$C$146,0),MATCH(C60,ProblemData!$C$78:$AM$78,0))="Debit",INDEX(ProblemData!$C$78:$AM$146,MATCH(J60+0.2,ProblemData!$C$78:$C$146,0),MATCH(C60,ProblemData!$C$78:$AM$78,0)),""),""),"")</f>
        <v>Sales</v>
      </c>
      <c r="F60" s="63" t="str">
        <f>IFERROR(_xlfn.IFNA(IF(INDEX(ProblemData!$C$78:$AM$146,MATCH(J60+0.3,ProblemData!$C$78:$C$146,0),MATCH(C60,ProblemData!$C$78:$AM$78,0))="Credit",INDEX(ProblemData!$C$78:$AM$146,MATCH(J60+0.2,ProblemData!$C$78:$C$146,0),MATCH(C60,ProblemData!$C$78:$AM$78,0)),""),""),"")</f>
        <v/>
      </c>
      <c r="G60" s="292">
        <f>_xlfn.IFNA(IF(JournalAnswer[[#This Row],[Debit Account]]&lt;&gt;"",INDEX(ProblemData!$C$78:$AM$146,MATCH(J60+0.4,ProblemData!$C$78:$C$146,0),MATCH(C60,ProblemData!$C$78:$AM$78,0)),""),"")</f>
        <v>40</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
      </c>
      <c r="J60" s="74">
        <f>IF(JournalAnswer[[#This Row],[Transaction '#]]="","",IF(JournalAnswer[[#This Row],[Transaction '#]]=C59,J59+1,1))</f>
        <v>1</v>
      </c>
      <c r="K60" s="34" cm="1">
        <f t="array" ref="K60">IFERROR(_xlfn.IFS(JournalAnswer[[#This Row],[Debit Account]]="Cash",JournalAnswer[[#This Row],[Dr Amt]],JournalAnswer[[#This Row],[Credit Account]]="Cash",-JournalAnswer[[#This Row],[Cr Amt]]),0)</f>
        <v>0</v>
      </c>
      <c r="L60" s="38" t="str" cm="1">
        <f t="array" aca="1" ref="L60" ca="1">IFERROR(INDEX(ProblemData!$E$240:$AM$240,1,JournalAnswer[[#This Row],[Transaction '#]]),"")</f>
        <v>CL</v>
      </c>
      <c r="M60" s="1" t="str">
        <f ca="1">IF(JournalAnswer[[#This Row],[ref1]]="","",IF(NOT(ISBLANK(JournalAnswer[[#This Row],[Transaction '#]])),JournalAnswer[[#This Row],[ref1]]&amp;JournalAnswer[[#This Row],[Movement '#]],""))</f>
        <v>CL1</v>
      </c>
      <c r="N60" s="1" t="b">
        <f ca="1">OR(JournalAnswer[[#This Row],[ref1]]="",ISNUMBER(MATCH(JournalAnswer[[#This Row],[ref1]], Operating[Abbr], 0)), "Found", "Not Found"="Found")</f>
        <v>0</v>
      </c>
    </row>
    <row r="61" spans="2:14" x14ac:dyDescent="0.3">
      <c r="B61" s="76">
        <v>18</v>
      </c>
      <c r="C61" s="290">
        <f t="shared" si="1"/>
        <v>18</v>
      </c>
      <c r="D61" s="291" t="str">
        <f>IFERROR(_xlfn.IFNA(INDEX(ProblemData!$C$78:$AM$146,MATCH(J61+0.1,ProblemData!$C$78:$C$146,0),MATCH(C61,ProblemData!$C$78:$AM$78,0)),""),"")</f>
        <v>Equity</v>
      </c>
      <c r="E61" s="63" t="str">
        <f>IFERROR(_xlfn.IFNA(IF(INDEX(ProblemData!$C$78:$AM$146,MATCH(J61+0.3,ProblemData!$C$78:$C$146,0),MATCH(C61,ProblemData!$C$78:$AM$78,0))="Debit",INDEX(ProblemData!$C$78:$AM$146,MATCH(J61+0.2,ProblemData!$C$78:$C$146,0),MATCH(C61,ProblemData!$C$78:$AM$78,0)),""),""),"")</f>
        <v>Retained Earnings</v>
      </c>
      <c r="F61" s="63" t="str">
        <f>IFERROR(_xlfn.IFNA(IF(INDEX(ProblemData!$C$78:$AM$146,MATCH(J61+0.3,ProblemData!$C$78:$C$146,0),MATCH(C61,ProblemData!$C$78:$AM$78,0))="Credit",INDEX(ProblemData!$C$78:$AM$146,MATCH(J61+0.2,ProblemData!$C$78:$C$146,0),MATCH(C61,ProblemData!$C$78:$AM$78,0)),""),""),"")</f>
        <v/>
      </c>
      <c r="G61" s="292">
        <f>_xlfn.IFNA(IF(JournalAnswer[[#This Row],[Debit Account]]&lt;&gt;"",INDEX(ProblemData!$C$78:$AM$146,MATCH(J61+0.4,ProblemData!$C$78:$C$146,0),MATCH(C61,ProblemData!$C$78:$AM$78,0)),""),"")</f>
        <v>4.2</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f>IF(JournalAnswer[[#This Row],[Transaction '#]]="","",IF(JournalAnswer[[#This Row],[Transaction '#]]=C60,J60+1,1))</f>
        <v>2</v>
      </c>
      <c r="K61" s="34" cm="1">
        <f t="array" ref="K61">IFERROR(_xlfn.IFS(JournalAnswer[[#This Row],[Debit Account]]="Cash",JournalAnswer[[#This Row],[Dr Amt]],JournalAnswer[[#This Row],[Credit Account]]="Cash",-JournalAnswer[[#This Row],[Cr Amt]]),0)</f>
        <v>0</v>
      </c>
      <c r="L61" s="38" t="str" cm="1">
        <f t="array" aca="1" ref="L61" ca="1">IFERROR(INDEX(ProblemData!$E$240:$AM$240,1,JournalAnswer[[#This Row],[Transaction '#]]),"")</f>
        <v>CL</v>
      </c>
      <c r="M61" s="1" t="str">
        <f ca="1">IF(JournalAnswer[[#This Row],[ref1]]="","",IF(NOT(ISBLANK(JournalAnswer[[#This Row],[Transaction '#]])),JournalAnswer[[#This Row],[ref1]]&amp;JournalAnswer[[#This Row],[Movement '#]],""))</f>
        <v>CL2</v>
      </c>
      <c r="N61" s="1" t="b">
        <f ca="1">OR(JournalAnswer[[#This Row],[ref1]]="",ISNUMBER(MATCH(JournalAnswer[[#This Row],[ref1]], Operating[Abbr], 0)), "Found", "Not Found"="Found")</f>
        <v>0</v>
      </c>
    </row>
    <row r="62" spans="2:14" x14ac:dyDescent="0.3">
      <c r="B62" s="76">
        <v>18</v>
      </c>
      <c r="C62" s="290">
        <f t="shared" si="1"/>
        <v>18</v>
      </c>
      <c r="D62" s="291" t="str">
        <f>IFERROR(_xlfn.IFNA(INDEX(ProblemData!$C$78:$AM$146,MATCH(J62+0.1,ProblemData!$C$78:$C$146,0),MATCH(C62,ProblemData!$C$78:$AM$78,0)),""),"")</f>
        <v>Expense</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Cost of Goods Sold</v>
      </c>
      <c r="G62" s="292" t="str">
        <f>_xlfn.IFNA(IF(JournalAnswer[[#This Row],[Debit Account]]&lt;&gt;"",INDEX(ProblemData!$C$78:$AM$146,MATCH(J62+0.4,ProblemData!$C$78:$C$146,0),MATCH(C62,ProblemData!$C$78:$AM$78,0)),""),"")</f>
        <v/>
      </c>
      <c r="H62" s="293">
        <f>_xlfn.IFNA(IF(JournalAnswer[[#This Row],[Credit Account]]&lt;&gt;"",INDEX(ProblemData!$C$78:$AM$146,MATCH(J62+0.4,ProblemData!$C$78:$C$146,0),MATCH(C62,ProblemData!$C$78:$AM$78,0)),""),"")</f>
        <v>25</v>
      </c>
      <c r="I62" s="321" t="str" cm="1">
        <f t="array" ref="I62">IF(JournalAnswer[[#This Row],[Debit Account]]="Cash",INDEX(ProblemData!$E$239:$AM$239,1,JournalAnswer[[#This Row],[Transaction '#]]),IF(JournalAnswer[[#This Row],[Credit Account]]="Cash",INDEX(ProblemData!$E$239:$AM$239,1,JournalAnswer[[#This Row],[Transaction '#]]),""))</f>
        <v/>
      </c>
      <c r="J62" s="74">
        <f>IF(JournalAnswer[[#This Row],[Transaction '#]]="","",IF(JournalAnswer[[#This Row],[Transaction '#]]=C61,J61+1,1))</f>
        <v>3</v>
      </c>
      <c r="K62" s="34" cm="1">
        <f t="array" ref="K62">IFERROR(_xlfn.IFS(JournalAnswer[[#This Row],[Debit Account]]="Cash",JournalAnswer[[#This Row],[Dr Amt]],JournalAnswer[[#This Row],[Credit Account]]="Cash",-JournalAnswer[[#This Row],[Cr Amt]]),0)</f>
        <v>0</v>
      </c>
      <c r="L62" s="38" t="str" cm="1">
        <f t="array" aca="1" ref="L62" ca="1">IFERROR(INDEX(ProblemData!$E$240:$AM$240,1,JournalAnswer[[#This Row],[Transaction '#]]),"")</f>
        <v>CL</v>
      </c>
      <c r="M62" s="1" t="str">
        <f ca="1">IF(JournalAnswer[[#This Row],[ref1]]="","",IF(NOT(ISBLANK(JournalAnswer[[#This Row],[Transaction '#]])),JournalAnswer[[#This Row],[ref1]]&amp;JournalAnswer[[#This Row],[Movement '#]],""))</f>
        <v>CL3</v>
      </c>
      <c r="N62" s="1" t="b">
        <f ca="1">OR(JournalAnswer[[#This Row],[ref1]]="",ISNUMBER(MATCH(JournalAnswer[[#This Row],[ref1]], Operating[Abbr], 0)), "Found", "Not Found"="Found")</f>
        <v>0</v>
      </c>
    </row>
    <row r="63" spans="2:14" x14ac:dyDescent="0.3">
      <c r="B63" s="76">
        <v>18</v>
      </c>
      <c r="C63" s="290">
        <f t="shared" si="1"/>
        <v>18</v>
      </c>
      <c r="D63" s="291" t="str">
        <f>IFERROR(_xlfn.IFNA(INDEX(ProblemData!$C$78:$AM$146,MATCH(J63+0.1,ProblemData!$C$78:$C$146,0),MATCH(C63,ProblemData!$C$78:$AM$78,0)),""),"")</f>
        <v>Expense</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Salaries &amp; Wages Expense</v>
      </c>
      <c r="G63" s="292" t="str">
        <f>_xlfn.IFNA(IF(JournalAnswer[[#This Row],[Debit Account]]&lt;&gt;"",INDEX(ProblemData!$C$78:$AM$146,MATCH(J63+0.4,ProblemData!$C$78:$C$146,0),MATCH(C63,ProblemData!$C$78:$AM$78,0)),""),"")</f>
        <v/>
      </c>
      <c r="H63" s="293">
        <f>_xlfn.IFNA(IF(JournalAnswer[[#This Row],[Credit Account]]&lt;&gt;"",INDEX(ProblemData!$C$78:$AM$146,MATCH(J63+0.4,ProblemData!$C$78:$C$146,0),MATCH(C63,ProblemData!$C$78:$AM$78,0)),""),"")</f>
        <v>7</v>
      </c>
      <c r="I63" s="321" t="str" cm="1">
        <f t="array" ref="I63">IF(JournalAnswer[[#This Row],[Debit Account]]="Cash",INDEX(ProblemData!$E$239:$AM$239,1,JournalAnswer[[#This Row],[Transaction '#]]),IF(JournalAnswer[[#This Row],[Credit Account]]="Cash",INDEX(ProblemData!$E$239:$AM$239,1,JournalAnswer[[#This Row],[Transaction '#]]),""))</f>
        <v/>
      </c>
      <c r="J63" s="74">
        <f>IF(JournalAnswer[[#This Row],[Transaction '#]]="","",IF(JournalAnswer[[#This Row],[Transaction '#]]=C62,J62+1,1))</f>
        <v>4</v>
      </c>
      <c r="K63" s="34" cm="1">
        <f t="array" ref="K63">IFERROR(_xlfn.IFS(JournalAnswer[[#This Row],[Debit Account]]="Cash",JournalAnswer[[#This Row],[Dr Amt]],JournalAnswer[[#This Row],[Credit Account]]="Cash",-JournalAnswer[[#This Row],[Cr Amt]]),0)</f>
        <v>0</v>
      </c>
      <c r="L63" s="38" t="str" cm="1">
        <f t="array" aca="1" ref="L63" ca="1">IFERROR(INDEX(ProblemData!$E$240:$AM$240,1,JournalAnswer[[#This Row],[Transaction '#]]),"")</f>
        <v>CL</v>
      </c>
      <c r="M63" s="1" t="str">
        <f ca="1">IF(JournalAnswer[[#This Row],[ref1]]="","",IF(NOT(ISBLANK(JournalAnswer[[#This Row],[Transaction '#]])),JournalAnswer[[#This Row],[ref1]]&amp;JournalAnswer[[#This Row],[Movement '#]],""))</f>
        <v>CL4</v>
      </c>
      <c r="N63" s="1" t="b">
        <f ca="1">OR(JournalAnswer[[#This Row],[ref1]]="",ISNUMBER(MATCH(JournalAnswer[[#This Row],[ref1]], Operating[Abbr], 0)), "Found", "Not Found"="Found")</f>
        <v>0</v>
      </c>
    </row>
    <row r="64" spans="2:14" x14ac:dyDescent="0.3">
      <c r="B64" s="76">
        <v>18</v>
      </c>
      <c r="C64" s="290">
        <f t="shared" si="1"/>
        <v>18</v>
      </c>
      <c r="D64" s="291" t="str">
        <f>IFERROR(_xlfn.IFNA(INDEX(ProblemData!$C$78:$AM$146,MATCH(J64+0.1,ProblemData!$C$78:$C$146,0),MATCH(C64,ProblemData!$C$78:$AM$78,0)),""),"")</f>
        <v>Expense</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Rent Expense</v>
      </c>
      <c r="G64" s="292" t="str">
        <f>_xlfn.IFNA(IF(JournalAnswer[[#This Row],[Debit Account]]&lt;&gt;"",INDEX(ProblemData!$C$78:$AM$146,MATCH(J64+0.4,ProblemData!$C$78:$C$146,0),MATCH(C64,ProblemData!$C$78:$AM$78,0)),""),"")</f>
        <v/>
      </c>
      <c r="H64" s="293">
        <f>_xlfn.IFNA(IF(JournalAnswer[[#This Row],[Credit Account]]&lt;&gt;"",INDEX(ProblemData!$C$78:$AM$146,MATCH(J64+0.4,ProblemData!$C$78:$C$146,0),MATCH(C64,ProblemData!$C$78:$AM$78,0)),""),"")</f>
        <v>3</v>
      </c>
      <c r="I64" s="321" t="str" cm="1">
        <f t="array" ref="I64">IF(JournalAnswer[[#This Row],[Debit Account]]="Cash",INDEX(ProblemData!$E$239:$AM$239,1,JournalAnswer[[#This Row],[Transaction '#]]),IF(JournalAnswer[[#This Row],[Credit Account]]="Cash",INDEX(ProblemData!$E$239:$AM$239,1,JournalAnswer[[#This Row],[Transaction '#]]),""))</f>
        <v/>
      </c>
      <c r="J64" s="74">
        <f>IF(JournalAnswer[[#This Row],[Transaction '#]]="","",IF(JournalAnswer[[#This Row],[Transaction '#]]=C63,J63+1,1))</f>
        <v>5</v>
      </c>
      <c r="K64" s="34" cm="1">
        <f t="array" ref="K64">IFERROR(_xlfn.IFS(JournalAnswer[[#This Row],[Debit Account]]="Cash",JournalAnswer[[#This Row],[Dr Amt]],JournalAnswer[[#This Row],[Credit Account]]="Cash",-JournalAnswer[[#This Row],[Cr Amt]]),0)</f>
        <v>0</v>
      </c>
      <c r="L64" s="38" t="str" cm="1">
        <f t="array" aca="1" ref="L64" ca="1">IFERROR(INDEX(ProblemData!$E$240:$AM$240,1,JournalAnswer[[#This Row],[Transaction '#]]),"")</f>
        <v>CL</v>
      </c>
      <c r="M64" s="1" t="str">
        <f ca="1">IF(JournalAnswer[[#This Row],[ref1]]="","",IF(NOT(ISBLANK(JournalAnswer[[#This Row],[Transaction '#]])),JournalAnswer[[#This Row],[ref1]]&amp;JournalAnswer[[#This Row],[Movement '#]],""))</f>
        <v>CL5</v>
      </c>
      <c r="N64" s="1" t="b">
        <f ca="1">OR(JournalAnswer[[#This Row],[ref1]]="",ISNUMBER(MATCH(JournalAnswer[[#This Row],[ref1]], Operating[Abbr], 0)), "Found", "Not Found"="Found")</f>
        <v>0</v>
      </c>
    </row>
    <row r="65" spans="2:14" x14ac:dyDescent="0.3">
      <c r="B65" s="76">
        <v>18</v>
      </c>
      <c r="C65" s="290">
        <f t="shared" si="1"/>
        <v>18</v>
      </c>
      <c r="D65" s="291" t="str">
        <f>IFERROR(_xlfn.IFNA(INDEX(ProblemData!$C$78:$AM$146,MATCH(J65+0.1,ProblemData!$C$78:$C$146,0),MATCH(C65,ProblemData!$C$78:$AM$78,0)),""),"")</f>
        <v>Expense</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Interest Expense</v>
      </c>
      <c r="G65" s="292" t="str">
        <f>_xlfn.IFNA(IF(JournalAnswer[[#This Row],[Debit Account]]&lt;&gt;"",INDEX(ProblemData!$C$78:$AM$146,MATCH(J65+0.4,ProblemData!$C$78:$C$146,0),MATCH(C65,ProblemData!$C$78:$AM$78,0)),""),"")</f>
        <v/>
      </c>
      <c r="H65" s="293">
        <f>_xlfn.IFNA(IF(JournalAnswer[[#This Row],[Credit Account]]&lt;&gt;"",INDEX(ProblemData!$C$78:$AM$146,MATCH(J65+0.4,ProblemData!$C$78:$C$146,0),MATCH(C65,ProblemData!$C$78:$AM$78,0)),""),"")</f>
        <v>1.55</v>
      </c>
      <c r="I65" s="321" t="str" cm="1">
        <f t="array" ref="I65">IF(JournalAnswer[[#This Row],[Debit Account]]="Cash",INDEX(ProblemData!$E$239:$AM$239,1,JournalAnswer[[#This Row],[Transaction '#]]),IF(JournalAnswer[[#This Row],[Credit Account]]="Cash",INDEX(ProblemData!$E$239:$AM$239,1,JournalAnswer[[#This Row],[Transaction '#]]),""))</f>
        <v/>
      </c>
      <c r="J65" s="74">
        <f>IF(JournalAnswer[[#This Row],[Transaction '#]]="","",IF(JournalAnswer[[#This Row],[Transaction '#]]=C64,J64+1,1))</f>
        <v>6</v>
      </c>
      <c r="K65" s="34" cm="1">
        <f t="array" ref="K65">IFERROR(_xlfn.IFS(JournalAnswer[[#This Row],[Debit Account]]="Cash",JournalAnswer[[#This Row],[Dr Amt]],JournalAnswer[[#This Row],[Credit Account]]="Cash",-JournalAnswer[[#This Row],[Cr Amt]]),0)</f>
        <v>0</v>
      </c>
      <c r="L65" s="38" t="str" cm="1">
        <f t="array" aca="1" ref="L65" ca="1">IFERROR(INDEX(ProblemData!$E$240:$AM$240,1,JournalAnswer[[#This Row],[Transaction '#]]),"")</f>
        <v>CL</v>
      </c>
      <c r="M65" s="1" t="str">
        <f ca="1">IF(JournalAnswer[[#This Row],[ref1]]="","",IF(NOT(ISBLANK(JournalAnswer[[#This Row],[Transaction '#]])),JournalAnswer[[#This Row],[ref1]]&amp;JournalAnswer[[#This Row],[Movement '#]],""))</f>
        <v>CL6</v>
      </c>
      <c r="N65" s="1" t="b">
        <f ca="1">OR(JournalAnswer[[#This Row],[ref1]]="",ISNUMBER(MATCH(JournalAnswer[[#This Row],[ref1]], Operating[Abbr], 0)), "Found", "Not Found"="Found")</f>
        <v>0</v>
      </c>
    </row>
    <row r="66" spans="2:14" x14ac:dyDescent="0.3">
      <c r="B66" s="76">
        <v>18</v>
      </c>
      <c r="C66" s="290">
        <f t="shared" si="1"/>
        <v>18</v>
      </c>
      <c r="D66" s="291" t="str">
        <f>IFERROR(_xlfn.IFNA(INDEX(ProblemData!$C$78:$AM$146,MATCH(J66+0.1,ProblemData!$C$78:$C$146,0),MATCH(C66,ProblemData!$C$78:$AM$78,0)),""),"")</f>
        <v>Expense</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Depreciation Expense</v>
      </c>
      <c r="G66" s="292" t="str">
        <f>_xlfn.IFNA(IF(JournalAnswer[[#This Row],[Debit Account]]&lt;&gt;"",INDEX(ProblemData!$C$78:$AM$146,MATCH(J66+0.4,ProblemData!$C$78:$C$146,0),MATCH(C66,ProblemData!$C$78:$AM$78,0)),""),"")</f>
        <v/>
      </c>
      <c r="H66" s="293">
        <f>_xlfn.IFNA(IF(JournalAnswer[[#This Row],[Credit Account]]&lt;&gt;"",INDEX(ProblemData!$C$78:$AM$146,MATCH(J66+0.4,ProblemData!$C$78:$C$146,0),MATCH(C66,ProblemData!$C$78:$AM$78,0)),""),"")</f>
        <v>7.5</v>
      </c>
      <c r="I66" s="321" t="str" cm="1">
        <f t="array" ref="I66">IF(JournalAnswer[[#This Row],[Debit Account]]="Cash",INDEX(ProblemData!$E$239:$AM$239,1,JournalAnswer[[#This Row],[Transaction '#]]),IF(JournalAnswer[[#This Row],[Credit Account]]="Cash",INDEX(ProblemData!$E$239:$AM$239,1,JournalAnswer[[#This Row],[Transaction '#]]),""))</f>
        <v/>
      </c>
      <c r="J66" s="74">
        <f>IF(JournalAnswer[[#This Row],[Transaction '#]]="","",IF(JournalAnswer[[#This Row],[Transaction '#]]=C65,J65+1,1))</f>
        <v>7</v>
      </c>
      <c r="K66" s="34" cm="1">
        <f t="array" ref="K66">IFERROR(_xlfn.IFS(JournalAnswer[[#This Row],[Debit Account]]="Cash",JournalAnswer[[#This Row],[Dr Amt]],JournalAnswer[[#This Row],[Credit Account]]="Cash",-JournalAnswer[[#This Row],[Cr Amt]]),0)</f>
        <v>0</v>
      </c>
      <c r="L66" s="38" t="str" cm="1">
        <f t="array" aca="1" ref="L66" ca="1">IFERROR(INDEX(ProblemData!$E$240:$AM$240,1,JournalAnswer[[#This Row],[Transaction '#]]),"")</f>
        <v>CL</v>
      </c>
      <c r="M66" s="1" t="str">
        <f ca="1">IF(JournalAnswer[[#This Row],[ref1]]="","",IF(NOT(ISBLANK(JournalAnswer[[#This Row],[Transaction '#]])),JournalAnswer[[#This Row],[ref1]]&amp;JournalAnswer[[#This Row],[Movement '#]],""))</f>
        <v>CL7</v>
      </c>
      <c r="N66" s="1" t="b">
        <f ca="1">OR(JournalAnswer[[#This Row],[ref1]]="",ISNUMBER(MATCH(JournalAnswer[[#This Row],[ref1]], Operating[Abbr], 0)), "Found", "Not Found"="Found")</f>
        <v>0</v>
      </c>
    </row>
    <row r="67" spans="2:14" x14ac:dyDescent="0.3">
      <c r="B67" s="76">
        <v>18</v>
      </c>
      <c r="C67" s="290">
        <f t="shared" si="1"/>
        <v>18</v>
      </c>
      <c r="D67" s="291" t="str">
        <f>IFERROR(_xlfn.IFNA(INDEX(ProblemData!$C$78:$AM$146,MATCH(J67+0.1,ProblemData!$C$78:$C$146,0),MATCH(C67,ProblemData!$C$78:$AM$78,0)),""),"")</f>
        <v>Expense</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Bad Debts Expense</v>
      </c>
      <c r="G67" s="292" t="str">
        <f>_xlfn.IFNA(IF(JournalAnswer[[#This Row],[Debit Account]]&lt;&gt;"",INDEX(ProblemData!$C$78:$AM$146,MATCH(J67+0.4,ProblemData!$C$78:$C$146,0),MATCH(C67,ProblemData!$C$78:$AM$78,0)),""),"")</f>
        <v/>
      </c>
      <c r="H67" s="293">
        <f>_xlfn.IFNA(IF(JournalAnswer[[#This Row],[Credit Account]]&lt;&gt;"",INDEX(ProblemData!$C$78:$AM$146,MATCH(J67+0.4,ProblemData!$C$78:$C$146,0),MATCH(C67,ProblemData!$C$78:$AM$78,0)),""),"")</f>
        <v>0.15</v>
      </c>
      <c r="I67" s="321" t="str" cm="1">
        <f t="array" ref="I67">IF(JournalAnswer[[#This Row],[Debit Account]]="Cash",INDEX(ProblemData!$E$239:$AM$239,1,JournalAnswer[[#This Row],[Transaction '#]]),IF(JournalAnswer[[#This Row],[Credit Account]]="Cash",INDEX(ProblemData!$E$239:$AM$239,1,JournalAnswer[[#This Row],[Transaction '#]]),""))</f>
        <v/>
      </c>
      <c r="J67" s="74">
        <f>IF(JournalAnswer[[#This Row],[Transaction '#]]="","",IF(JournalAnswer[[#This Row],[Transaction '#]]=C66,J66+1,1))</f>
        <v>8</v>
      </c>
      <c r="K67" s="34" cm="1">
        <f t="array" ref="K67">IFERROR(_xlfn.IFS(JournalAnswer[[#This Row],[Debit Account]]="Cash",JournalAnswer[[#This Row],[Dr Amt]],JournalAnswer[[#This Row],[Credit Account]]="Cash",-JournalAnswer[[#This Row],[Cr Amt]]),0)</f>
        <v>0</v>
      </c>
      <c r="L67" s="38" t="str" cm="1">
        <f t="array" aca="1" ref="L67" ca="1">IFERROR(INDEX(ProblemData!$E$240:$AM$240,1,JournalAnswer[[#This Row],[Transaction '#]]),"")</f>
        <v>CL</v>
      </c>
      <c r="M67" s="1" t="str">
        <f ca="1">IF(JournalAnswer[[#This Row],[ref1]]="","",IF(NOT(ISBLANK(JournalAnswer[[#This Row],[Transaction '#]])),JournalAnswer[[#This Row],[ref1]]&amp;JournalAnswer[[#This Row],[Movement '#]],""))</f>
        <v>CL8</v>
      </c>
      <c r="N67" s="1" t="b">
        <f ca="1">OR(JournalAnswer[[#This Row],[ref1]]="",ISNUMBER(MATCH(JournalAnswer[[#This Row],[ref1]], Operating[Abbr], 0)), "Found", "Not Found"="Found")</f>
        <v>0</v>
      </c>
    </row>
    <row r="68" spans="2:14" x14ac:dyDescent="0.3">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2:14" x14ac:dyDescent="0.3">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2:14" x14ac:dyDescent="0.3">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2:14" x14ac:dyDescent="0.3">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2:14" x14ac:dyDescent="0.3">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2:14" x14ac:dyDescent="0.3">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2:14" x14ac:dyDescent="0.3">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2:14" x14ac:dyDescent="0.3">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2:14" x14ac:dyDescent="0.3">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2:14" x14ac:dyDescent="0.3">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2:14" x14ac:dyDescent="0.3">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2:14" x14ac:dyDescent="0.3">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2:14" x14ac:dyDescent="0.3">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x14ac:dyDescent="0.3">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x14ac:dyDescent="0.3">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x14ac:dyDescent="0.3">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x14ac:dyDescent="0.3">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x14ac:dyDescent="0.3">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x14ac:dyDescent="0.3">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x14ac:dyDescent="0.3">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x14ac:dyDescent="0.3">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x14ac:dyDescent="0.3">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x14ac:dyDescent="0.3">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x14ac:dyDescent="0.3">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x14ac:dyDescent="0.3">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x14ac:dyDescent="0.3">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x14ac:dyDescent="0.3">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x14ac:dyDescent="0.3">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x14ac:dyDescent="0.3">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x14ac:dyDescent="0.3">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x14ac:dyDescent="0.3">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x14ac:dyDescent="0.3">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x14ac:dyDescent="0.3">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x14ac:dyDescent="0.3">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x14ac:dyDescent="0.3">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x14ac:dyDescent="0.3">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x14ac:dyDescent="0.3">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x14ac:dyDescent="0.3">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x14ac:dyDescent="0.3">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x14ac:dyDescent="0.3">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x14ac:dyDescent="0.3">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x14ac:dyDescent="0.3">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x14ac:dyDescent="0.3">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x14ac:dyDescent="0.3">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x14ac:dyDescent="0.3">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x14ac:dyDescent="0.3">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x14ac:dyDescent="0.3">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x14ac:dyDescent="0.3">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x14ac:dyDescent="0.3">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x14ac:dyDescent="0.3">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x14ac:dyDescent="0.3">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x14ac:dyDescent="0.3">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x14ac:dyDescent="0.3">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x14ac:dyDescent="0.3">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x14ac:dyDescent="0.3">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x14ac:dyDescent="0.3">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x14ac:dyDescent="0.3">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x14ac:dyDescent="0.3">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x14ac:dyDescent="0.3">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x14ac:dyDescent="0.3">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x14ac:dyDescent="0.3">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x14ac:dyDescent="0.3">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x14ac:dyDescent="0.3">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x14ac:dyDescent="0.3">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x14ac:dyDescent="0.3">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x14ac:dyDescent="0.3">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x14ac:dyDescent="0.3">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x14ac:dyDescent="0.3">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x14ac:dyDescent="0.3">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x14ac:dyDescent="0.3">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x14ac:dyDescent="0.3">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x14ac:dyDescent="0.3">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x14ac:dyDescent="0.3">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x14ac:dyDescent="0.3">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x14ac:dyDescent="0.3">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x14ac:dyDescent="0.3">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x14ac:dyDescent="0.3">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x14ac:dyDescent="0.3">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x14ac:dyDescent="0.3">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x14ac:dyDescent="0.3">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x14ac:dyDescent="0.3">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x14ac:dyDescent="0.3">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x14ac:dyDescent="0.3">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x14ac:dyDescent="0.3">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x14ac:dyDescent="0.3">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x14ac:dyDescent="0.3">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x14ac:dyDescent="0.3">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x14ac:dyDescent="0.3">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x14ac:dyDescent="0.3">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x14ac:dyDescent="0.3">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x14ac:dyDescent="0.3">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x14ac:dyDescent="0.3">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x14ac:dyDescent="0.3">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x14ac:dyDescent="0.3">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x14ac:dyDescent="0.3">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x14ac:dyDescent="0.3">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x14ac:dyDescent="0.3">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x14ac:dyDescent="0.3">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x14ac:dyDescent="0.3">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x14ac:dyDescent="0.3">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x14ac:dyDescent="0.3">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x14ac:dyDescent="0.3">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x14ac:dyDescent="0.3">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x14ac:dyDescent="0.3">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x14ac:dyDescent="0.3">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x14ac:dyDescent="0.3">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x14ac:dyDescent="0.3">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x14ac:dyDescent="0.3">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x14ac:dyDescent="0.3">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x14ac:dyDescent="0.3">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x14ac:dyDescent="0.3">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x14ac:dyDescent="0.3">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x14ac:dyDescent="0.3">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x14ac:dyDescent="0.3">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x14ac:dyDescent="0.3">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x14ac:dyDescent="0.3">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x14ac:dyDescent="0.3">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x14ac:dyDescent="0.3">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x14ac:dyDescent="0.3">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x14ac:dyDescent="0.3">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x14ac:dyDescent="0.3">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x14ac:dyDescent="0.3">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x14ac:dyDescent="0.3">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x14ac:dyDescent="0.3">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x14ac:dyDescent="0.3">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x14ac:dyDescent="0.3">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x14ac:dyDescent="0.3">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x14ac:dyDescent="0.3">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x14ac:dyDescent="0.3">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x14ac:dyDescent="0.3">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x14ac:dyDescent="0.3"/>
  </sheetData>
  <mergeCells count="3">
    <mergeCell ref="C3:I3"/>
    <mergeCell ref="C4:I7"/>
    <mergeCell ref="C9:F10"/>
  </mergeCells>
  <phoneticPr fontId="4" type="noConversion"/>
  <conditionalFormatting sqref="C12:H197">
    <cfRule type="expression" dxfId="7" priority="2">
      <formula>ISEVEN($C12)</formula>
    </cfRule>
  </conditionalFormatting>
  <conditionalFormatting sqref="G9:I10">
    <cfRule type="expression" dxfId="6" priority="3">
      <formula>ROUND($I$10,2)&lt;&gt;0</formula>
    </cfRule>
  </conditionalFormatting>
  <conditionalFormatting sqref="I12:I197">
    <cfRule type="expression" dxfId="5" priority="1">
      <formula>OR($E12="Cash",$F12="Cash")</formula>
    </cfRule>
  </conditionalFormatting>
  <conditionalFormatting sqref="J3:L3">
    <cfRule type="expression" dxfId="4" priority="4">
      <formula>LEN(Line1)&gt;125</formula>
    </cfRule>
  </conditionalFormatting>
  <conditionalFormatting sqref="J4:L4">
    <cfRule type="expression" dxfId="3" priority="5">
      <formula>LEN(Line2)&gt;125</formula>
    </cfRule>
  </conditionalFormatting>
  <conditionalFormatting sqref="J5:L5">
    <cfRule type="expression" dxfId="2" priority="6">
      <formula>LEN(Line3)&gt;125</formula>
    </cfRule>
  </conditionalFormatting>
  <conditionalFormatting sqref="J6:L6">
    <cfRule type="expression" dxfId="1" priority="7">
      <formula>LEN(Line4)&gt;125</formula>
    </cfRule>
  </conditionalFormatting>
  <conditionalFormatting sqref="J7:L7">
    <cfRule type="expression" dxfId="0"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A251" workbookViewId="0">
      <selection activeCell="BF95" sqref="BF95"/>
    </sheetView>
  </sheetViews>
  <sheetFormatPr defaultRowHeight="14.4" x14ac:dyDescent="0.3"/>
  <cols>
    <col min="1" max="1" width="17.21875" bestFit="1" customWidth="1"/>
    <col min="2" max="2" width="2" style="39" bestFit="1" customWidth="1"/>
    <col min="3" max="3" width="38.44140625" bestFit="1" customWidth="1"/>
    <col min="4" max="4" width="9.109375" bestFit="1" customWidth="1"/>
    <col min="5" max="5" width="14.88671875" bestFit="1" customWidth="1"/>
    <col min="6" max="6" width="15" bestFit="1" customWidth="1"/>
    <col min="7" max="7" width="6.88671875" style="39" bestFit="1" customWidth="1"/>
    <col min="8" max="8" width="38.44140625" bestFit="1" customWidth="1"/>
    <col min="9" max="9" width="9.109375" bestFit="1" customWidth="1"/>
    <col min="10" max="10" width="6.109375" style="39" bestFit="1" customWidth="1"/>
    <col min="11" max="11" width="2" style="39" bestFit="1" customWidth="1"/>
    <col min="12" max="12" width="40" bestFit="1" customWidth="1"/>
    <col min="13" max="13" width="10.88671875" bestFit="1" customWidth="1"/>
    <col min="14" max="14" width="2" style="192" bestFit="1" customWidth="1"/>
    <col min="15" max="15" width="53" style="39" bestFit="1" customWidth="1"/>
    <col min="16" max="16" width="42.88671875" bestFit="1" customWidth="1"/>
    <col min="17" max="17" width="9.109375" bestFit="1" customWidth="1"/>
    <col min="18" max="18" width="3.44140625" style="192" customWidth="1"/>
    <col min="19" max="19" width="2" style="39" bestFit="1" customWidth="1"/>
    <col min="20" max="20" width="29.5546875" bestFit="1" customWidth="1"/>
    <col min="21" max="21" width="9.109375" bestFit="1" customWidth="1"/>
    <col min="22" max="22" width="14.88671875" style="39" bestFit="1" customWidth="1"/>
    <col min="23" max="23" width="15" bestFit="1" customWidth="1"/>
  </cols>
  <sheetData>
    <row r="1" spans="1:23" ht="23.4" x14ac:dyDescent="0.45">
      <c r="A1" s="353">
        <v>1</v>
      </c>
      <c r="C1" s="363" t="str">
        <f>Entity</f>
        <v>Ralphy's Business</v>
      </c>
    </row>
    <row r="2" spans="1:23" x14ac:dyDescent="0.3">
      <c r="A2" s="358">
        <v>2</v>
      </c>
      <c r="C2" s="362" t="str">
        <f>Units</f>
        <v>Dollars in Thousands</v>
      </c>
      <c r="D2" s="261"/>
      <c r="E2" s="261"/>
      <c r="F2" s="261"/>
      <c r="H2" s="261"/>
      <c r="I2" s="261"/>
      <c r="L2" s="261"/>
      <c r="M2" s="261"/>
      <c r="P2" s="261"/>
      <c r="Q2" s="261"/>
      <c r="T2" s="261"/>
      <c r="U2" s="261"/>
      <c r="W2" s="261"/>
    </row>
    <row r="3" spans="1:23" x14ac:dyDescent="0.3">
      <c r="A3" s="358" t="s">
        <v>746</v>
      </c>
      <c r="C3" s="261"/>
      <c r="D3" s="261"/>
      <c r="E3" s="261"/>
      <c r="F3" s="261"/>
      <c r="H3" s="261"/>
      <c r="I3" s="261"/>
      <c r="L3" s="261"/>
      <c r="M3" s="261"/>
      <c r="P3" s="261"/>
      <c r="Q3" s="261"/>
      <c r="T3" s="261"/>
      <c r="U3" s="261"/>
      <c r="W3" s="261"/>
    </row>
    <row r="4" spans="1:23" ht="18.600000000000001" thickBot="1" x14ac:dyDescent="0.4">
      <c r="A4" s="358" t="s">
        <v>747</v>
      </c>
      <c r="C4" s="364" t="str">
        <f>BegDate</f>
        <v>3/31/20X4</v>
      </c>
      <c r="D4" s="361"/>
      <c r="E4" s="261"/>
      <c r="F4" s="261"/>
      <c r="H4" s="796" t="s">
        <v>748</v>
      </c>
      <c r="I4" s="663"/>
      <c r="J4" s="663"/>
      <c r="K4" s="663"/>
      <c r="L4" s="663"/>
      <c r="M4" s="663"/>
      <c r="N4" s="663"/>
      <c r="O4" s="663"/>
      <c r="P4" s="663"/>
      <c r="Q4" s="663"/>
      <c r="T4" s="364" t="str">
        <f>EndDate</f>
        <v>12/31/20x4</v>
      </c>
      <c r="U4" s="361"/>
      <c r="W4" s="261"/>
    </row>
    <row r="5" spans="1:23" x14ac:dyDescent="0.3">
      <c r="A5" s="358" t="s">
        <v>749</v>
      </c>
      <c r="C5" s="261"/>
      <c r="D5" s="261"/>
      <c r="E5" s="261"/>
      <c r="F5" s="261"/>
      <c r="H5" s="261"/>
      <c r="I5" s="261"/>
      <c r="L5" s="261"/>
      <c r="M5" s="261"/>
      <c r="P5" s="261"/>
      <c r="Q5" s="261"/>
      <c r="T5" s="261"/>
      <c r="U5" s="261"/>
      <c r="W5" s="261"/>
    </row>
    <row r="6" spans="1:23" ht="15" thickBot="1" x14ac:dyDescent="0.35">
      <c r="A6" s="358" t="s">
        <v>750</v>
      </c>
      <c r="B6" s="39">
        <v>1</v>
      </c>
      <c r="C6" s="360" t="s">
        <v>751</v>
      </c>
      <c r="D6" s="361"/>
      <c r="E6" s="261"/>
      <c r="F6" s="261"/>
      <c r="G6" s="39">
        <v>1</v>
      </c>
      <c r="H6" s="360" t="s">
        <v>94</v>
      </c>
      <c r="I6" s="361"/>
      <c r="K6" s="39">
        <v>1</v>
      </c>
      <c r="L6" s="360" t="s">
        <v>95</v>
      </c>
      <c r="M6" s="361"/>
      <c r="O6" s="39">
        <v>1</v>
      </c>
      <c r="P6" s="360" t="s">
        <v>96</v>
      </c>
      <c r="Q6" s="361"/>
      <c r="S6" s="39">
        <v>1</v>
      </c>
      <c r="T6" s="360" t="s">
        <v>751</v>
      </c>
      <c r="U6" s="361"/>
      <c r="W6" s="359"/>
    </row>
    <row r="7" spans="1:23" x14ac:dyDescent="0.3">
      <c r="B7" s="39" cm="1">
        <f t="array" ref="B7:D43">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2"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4" ca="1">_xlfn.IFS($M$224=1,_xlfn.ANCHORARRAY(L230),$M$224=2,_xlfn.ANCHORARRAY(L245),$M$224=3,_xlfn.ANCHORARRAY(L270),$M$224=4,_xlfn.ANCHORARRAY(L300))</f>
        <v>Total Shareholders' Equity @ 3/31/20X4</v>
      </c>
      <c r="M7" s="486">
        <f ca="1"/>
        <v>0</v>
      </c>
      <c r="O7" s="192" cm="1">
        <f t="array" aca="1" ref="O7:Q29"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43">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x14ac:dyDescent="0.3">
      <c r="B8" s="39" t="str">
        <v/>
      </c>
      <c r="C8" t="str">
        <v/>
      </c>
      <c r="D8" s="34" t="str">
        <v/>
      </c>
      <c r="E8" s="34"/>
      <c r="F8" s="34"/>
      <c r="G8" s="192" t="str">
        <f ca="1"/>
        <v/>
      </c>
      <c r="H8" s="192" t="str">
        <f ca="1"/>
        <v/>
      </c>
      <c r="I8" s="34" t="str">
        <f ca="1"/>
        <v/>
      </c>
      <c r="L8" t="str">
        <f ca="1"/>
        <v>Total Shareholders' Equity @ 12/31/20x4</v>
      </c>
      <c r="M8" s="34">
        <f ca="1"/>
        <v>95.8</v>
      </c>
      <c r="O8" s="192">
        <f ca="1"/>
        <v>6</v>
      </c>
      <c r="P8" t="str">
        <f ca="1"/>
        <v>Collections from customers</v>
      </c>
      <c r="Q8" s="34">
        <f ca="1"/>
        <v>30.05</v>
      </c>
      <c r="S8" s="39" t="str">
        <v/>
      </c>
      <c r="T8" t="str">
        <v/>
      </c>
      <c r="U8" s="34" t="str">
        <v/>
      </c>
      <c r="V8" s="39">
        <v>0</v>
      </c>
    </row>
    <row r="9" spans="1:23" x14ac:dyDescent="0.3">
      <c r="B9" s="39">
        <v>4</v>
      </c>
      <c r="C9" t="str">
        <v xml:space="preserve"> Current Assets:</v>
      </c>
      <c r="D9" s="34" t="str">
        <v/>
      </c>
      <c r="E9" s="34"/>
      <c r="F9" s="34"/>
      <c r="G9" s="192">
        <f ca="1"/>
        <v>6</v>
      </c>
      <c r="H9" s="192" t="str">
        <f ca="1"/>
        <v>Sales</v>
      </c>
      <c r="I9" s="34">
        <f ca="1"/>
        <v>40</v>
      </c>
      <c r="L9" t="str">
        <f ca="1"/>
        <v>Common Stock</v>
      </c>
      <c r="M9" s="34" t="str">
        <f ca="1"/>
        <v/>
      </c>
      <c r="O9" s="192">
        <f ca="1"/>
        <v>7</v>
      </c>
      <c r="P9" t="str">
        <f ca="1"/>
        <v>Payments to suppliers</v>
      </c>
      <c r="Q9" s="34">
        <f ca="1"/>
        <v>-15</v>
      </c>
      <c r="S9" s="39">
        <v>4</v>
      </c>
      <c r="T9" t="str">
        <v xml:space="preserve"> Current Assets:</v>
      </c>
      <c r="U9" s="34" t="str">
        <v/>
      </c>
      <c r="V9" s="39">
        <v>0</v>
      </c>
      <c r="W9" s="39"/>
    </row>
    <row r="10" spans="1:23" x14ac:dyDescent="0.3">
      <c r="B10" s="39">
        <v>6</v>
      </c>
      <c r="C10" t="str">
        <v>Cash</v>
      </c>
      <c r="D10" s="34">
        <v>0</v>
      </c>
      <c r="E10" s="34"/>
      <c r="F10" s="34"/>
      <c r="G10" s="192">
        <f ca="1"/>
        <v>5</v>
      </c>
      <c r="H10" s="192" t="str">
        <f ca="1"/>
        <v xml:space="preserve">  Total Revenues</v>
      </c>
      <c r="I10" s="34">
        <f ca="1"/>
        <v>40</v>
      </c>
      <c r="L10" t="str">
        <f ca="1"/>
        <v>Issued Common Stock</v>
      </c>
      <c r="M10" s="34">
        <f ca="1"/>
        <v>100</v>
      </c>
      <c r="O10" s="192">
        <f ca="1"/>
        <v>7</v>
      </c>
      <c r="P10" t="str">
        <f ca="1"/>
        <v>Payments to employees</v>
      </c>
      <c r="Q10" s="34">
        <f ca="1"/>
        <v>-6</v>
      </c>
      <c r="S10" s="39">
        <v>6</v>
      </c>
      <c r="T10" t="str">
        <v>Cash</v>
      </c>
      <c r="U10" s="34">
        <v>40.050000000000011</v>
      </c>
      <c r="V10" s="39">
        <v>0</v>
      </c>
    </row>
    <row r="11" spans="1:23" x14ac:dyDescent="0.3">
      <c r="B11" s="39">
        <v>7</v>
      </c>
      <c r="C11" t="str">
        <v>Accounts Receivable</v>
      </c>
      <c r="D11" s="34">
        <v>0</v>
      </c>
      <c r="E11" s="34"/>
      <c r="F11" s="34"/>
      <c r="G11" s="192" t="str">
        <f ca="1"/>
        <v/>
      </c>
      <c r="H11" s="192" t="str">
        <f ca="1"/>
        <v/>
      </c>
      <c r="I11" s="34" t="str">
        <f ca="1"/>
        <v/>
      </c>
      <c r="L11" t="str">
        <f ca="1"/>
        <v>Balance @ 12/31/20x4</v>
      </c>
      <c r="M11" s="34">
        <f ca="1"/>
        <v>100</v>
      </c>
      <c r="O11" s="192">
        <f ca="1"/>
        <v>7</v>
      </c>
      <c r="P11" t="str">
        <f ca="1"/>
        <v>Payments for prepaid expenses</v>
      </c>
      <c r="Q11" s="34">
        <f ca="1"/>
        <v>-4</v>
      </c>
      <c r="S11" s="39">
        <v>7</v>
      </c>
      <c r="T11" t="str">
        <v>Accounts Receivable</v>
      </c>
      <c r="U11" s="34">
        <v>9.8000000000000007</v>
      </c>
      <c r="V11" s="39">
        <v>0</v>
      </c>
    </row>
    <row r="12" spans="1:23" x14ac:dyDescent="0.3">
      <c r="B12" s="39">
        <v>7</v>
      </c>
      <c r="C12" t="str">
        <v>Marketable Securities</v>
      </c>
      <c r="D12" s="34">
        <v>0</v>
      </c>
      <c r="E12" s="34"/>
      <c r="F12" s="34"/>
      <c r="G12" s="192">
        <f ca="1"/>
        <v>2</v>
      </c>
      <c r="H12" s="192" t="str">
        <f ca="1"/>
        <v>EXPENSES</v>
      </c>
      <c r="I12" s="34" t="str">
        <f ca="1"/>
        <v/>
      </c>
      <c r="L12" t="str">
        <f ca="1"/>
        <v>Retained Earnings</v>
      </c>
      <c r="M12" s="34" t="str">
        <f ca="1"/>
        <v/>
      </c>
      <c r="O12" s="192">
        <f ca="1"/>
        <v>3</v>
      </c>
      <c r="P12" t="str">
        <f ca="1"/>
        <v>Total Cash Flow from Operating Activities</v>
      </c>
      <c r="Q12" s="34">
        <f ca="1"/>
        <v>5.05</v>
      </c>
      <c r="S12" s="39">
        <v>7</v>
      </c>
      <c r="T12" t="str">
        <v>Marketable Securities</v>
      </c>
      <c r="U12" s="34">
        <v>25</v>
      </c>
      <c r="V12" s="39">
        <v>0</v>
      </c>
    </row>
    <row r="13" spans="1:23" x14ac:dyDescent="0.3">
      <c r="B13" s="39">
        <v>7</v>
      </c>
      <c r="C13" t="str">
        <v>Inventories</v>
      </c>
      <c r="D13" s="34">
        <v>0</v>
      </c>
      <c r="E13" s="34"/>
      <c r="F13" s="34"/>
      <c r="G13" s="192" t="str">
        <f ca="1"/>
        <v/>
      </c>
      <c r="H13" s="192" t="str">
        <f ca="1"/>
        <v/>
      </c>
      <c r="I13" s="34" t="str">
        <f ca="1"/>
        <v/>
      </c>
      <c r="L13" t="str">
        <f ca="1"/>
        <v>Net Income (Loss)</v>
      </c>
      <c r="M13" s="34">
        <f ca="1"/>
        <v>-4.2</v>
      </c>
      <c r="O13" s="192">
        <f ca="1"/>
        <v>3</v>
      </c>
      <c r="P13" t="str">
        <f ca="1"/>
        <v>Total Cash Flow from Operating Activities</v>
      </c>
      <c r="Q13" s="34">
        <f ca="1"/>
        <v>5.05</v>
      </c>
      <c r="S13" s="39">
        <v>7</v>
      </c>
      <c r="T13" t="str">
        <v>Inventories</v>
      </c>
      <c r="U13" s="34">
        <v>5</v>
      </c>
      <c r="V13" s="39">
        <v>0</v>
      </c>
    </row>
    <row r="14" spans="1:23" x14ac:dyDescent="0.3">
      <c r="B14" s="39">
        <v>7</v>
      </c>
      <c r="C14" t="str">
        <v>Prepaid Rent</v>
      </c>
      <c r="D14" s="34">
        <v>0</v>
      </c>
      <c r="E14" s="34"/>
      <c r="F14" s="34"/>
      <c r="G14" s="192">
        <f ca="1"/>
        <v>6</v>
      </c>
      <c r="H14" s="192" t="str">
        <f ca="1"/>
        <v>Cost of Goods Sold</v>
      </c>
      <c r="I14" s="34">
        <f ca="1"/>
        <v>25</v>
      </c>
      <c r="L14" t="str">
        <f ca="1"/>
        <v>Balance @ 12/31/20x4</v>
      </c>
      <c r="M14" s="34">
        <f ca="1"/>
        <v>-4.2</v>
      </c>
      <c r="O14" s="192" t="str">
        <f ca="1"/>
        <v/>
      </c>
      <c r="P14" t="str">
        <f ca="1"/>
        <v/>
      </c>
      <c r="Q14" s="34" t="str">
        <f ca="1"/>
        <v/>
      </c>
      <c r="S14" s="39">
        <v>7</v>
      </c>
      <c r="T14" t="str">
        <v>Prepaid Rent</v>
      </c>
      <c r="U14" s="34">
        <v>1</v>
      </c>
      <c r="V14" s="39">
        <v>0</v>
      </c>
    </row>
    <row r="15" spans="1:23" x14ac:dyDescent="0.3">
      <c r="B15" s="39">
        <v>5</v>
      </c>
      <c r="C15" t="str">
        <v xml:space="preserve">  Total Current Assets</v>
      </c>
      <c r="D15" s="34">
        <v>0</v>
      </c>
      <c r="E15" s="34"/>
      <c r="F15" s="34"/>
      <c r="G15" s="192">
        <f ca="1"/>
        <v>7</v>
      </c>
      <c r="H15" s="192" t="str">
        <f ca="1"/>
        <v>Interest Expense</v>
      </c>
      <c r="I15" s="34">
        <f ca="1"/>
        <v>1.55</v>
      </c>
      <c r="M15" s="34"/>
      <c r="O15" s="192">
        <f ca="1"/>
        <v>2</v>
      </c>
      <c r="P15" t="str">
        <f ca="1"/>
        <v>Investing Activities</v>
      </c>
      <c r="Q15" s="34" t="str">
        <f ca="1"/>
        <v/>
      </c>
      <c r="S15" s="39">
        <v>5</v>
      </c>
      <c r="T15" t="str">
        <v xml:space="preserve">  Total Current Assets</v>
      </c>
      <c r="U15" s="34">
        <v>80.850000000000009</v>
      </c>
      <c r="V15" s="39">
        <v>0</v>
      </c>
    </row>
    <row r="16" spans="1:23" x14ac:dyDescent="0.3">
      <c r="B16" s="39" t="str">
        <v/>
      </c>
      <c r="C16" t="str">
        <v/>
      </c>
      <c r="D16" s="34" t="str">
        <v/>
      </c>
      <c r="E16" s="34"/>
      <c r="F16" s="34"/>
      <c r="G16" s="192">
        <f ca="1"/>
        <v>7</v>
      </c>
      <c r="H16" s="192" t="str">
        <f ca="1"/>
        <v>Depreciation Expense</v>
      </c>
      <c r="I16" s="34">
        <f ca="1"/>
        <v>7.5</v>
      </c>
      <c r="M16" s="34"/>
      <c r="O16" s="192">
        <f ca="1"/>
        <v>6</v>
      </c>
      <c r="P16" t="str">
        <f ca="1"/>
        <v>Acquired marketable securities</v>
      </c>
      <c r="Q16" s="34">
        <f ca="1"/>
        <v>-25</v>
      </c>
      <c r="S16" s="39" t="str">
        <v/>
      </c>
      <c r="T16" t="str">
        <v/>
      </c>
      <c r="U16" s="34" t="str">
        <v/>
      </c>
      <c r="V16" s="39">
        <v>0</v>
      </c>
    </row>
    <row r="17" spans="2:22" x14ac:dyDescent="0.3">
      <c r="B17" s="39">
        <v>4</v>
      </c>
      <c r="C17" t="str">
        <v xml:space="preserve"> Noncurrent Assets:</v>
      </c>
      <c r="D17" s="34" t="str">
        <v/>
      </c>
      <c r="E17" s="34"/>
      <c r="F17" s="34"/>
      <c r="G17" s="192">
        <f ca="1"/>
        <v>7</v>
      </c>
      <c r="H17" s="192" t="str">
        <f ca="1"/>
        <v>Rent Expense</v>
      </c>
      <c r="I17" s="34">
        <f ca="1"/>
        <v>3</v>
      </c>
      <c r="M17" s="34"/>
      <c r="O17" s="192">
        <f ca="1"/>
        <v>7</v>
      </c>
      <c r="P17" t="str">
        <f ca="1"/>
        <v>Acquired PP&amp;E</v>
      </c>
      <c r="Q17" s="34">
        <f ca="1"/>
        <v>-60</v>
      </c>
      <c r="S17" s="39">
        <v>4</v>
      </c>
      <c r="T17" t="str">
        <v xml:space="preserve"> Noncurrent Assets:</v>
      </c>
      <c r="U17" s="34" t="str">
        <v/>
      </c>
      <c r="V17" s="39">
        <v>0</v>
      </c>
    </row>
    <row r="18" spans="2:22" x14ac:dyDescent="0.3">
      <c r="B18" s="39">
        <v>6</v>
      </c>
      <c r="C18" t="str">
        <v>Property, Plant &amp; Equipment</v>
      </c>
      <c r="D18" s="34">
        <v>0</v>
      </c>
      <c r="E18" s="34"/>
      <c r="F18" s="34"/>
      <c r="G18" s="192">
        <f ca="1"/>
        <v>7</v>
      </c>
      <c r="H18" s="192" t="str">
        <f ca="1"/>
        <v>Bad Debts Expense</v>
      </c>
      <c r="I18" s="34">
        <f ca="1"/>
        <v>0.15</v>
      </c>
      <c r="M18" s="34"/>
      <c r="O18" s="192">
        <f ca="1"/>
        <v>3</v>
      </c>
      <c r="P18" t="str">
        <f ca="1"/>
        <v>Total Cash Flow from Investing Activities</v>
      </c>
      <c r="Q18" s="34">
        <f ca="1"/>
        <v>-85</v>
      </c>
      <c r="S18" s="39">
        <v>6</v>
      </c>
      <c r="T18" t="str">
        <v>Property, Plant &amp; Equipment</v>
      </c>
      <c r="U18" s="34">
        <v>60</v>
      </c>
      <c r="V18" s="39">
        <v>0</v>
      </c>
    </row>
    <row r="19" spans="2:22" x14ac:dyDescent="0.3">
      <c r="B19" s="39">
        <v>7</v>
      </c>
      <c r="C19" t="str">
        <v>Accumulated Depreciation</v>
      </c>
      <c r="D19" s="34">
        <v>0</v>
      </c>
      <c r="E19" s="34"/>
      <c r="F19" s="34"/>
      <c r="G19" s="192">
        <f ca="1"/>
        <v>7</v>
      </c>
      <c r="H19" s="192" t="str">
        <f ca="1"/>
        <v>Salaries &amp; Wages Expense</v>
      </c>
      <c r="I19" s="34">
        <f ca="1"/>
        <v>7</v>
      </c>
      <c r="M19" s="34"/>
      <c r="O19" s="192" t="str">
        <f ca="1"/>
        <v/>
      </c>
      <c r="P19" t="str">
        <f ca="1"/>
        <v/>
      </c>
      <c r="Q19" s="34" t="str">
        <f ca="1"/>
        <v/>
      </c>
      <c r="S19" s="39">
        <v>7</v>
      </c>
      <c r="T19" t="str">
        <v>Accumulated Depreciation</v>
      </c>
      <c r="U19" s="34">
        <v>-7.5</v>
      </c>
      <c r="V19" s="39">
        <v>0</v>
      </c>
    </row>
    <row r="20" spans="2:22" x14ac:dyDescent="0.3">
      <c r="B20" s="39">
        <v>5</v>
      </c>
      <c r="C20" t="str">
        <v xml:space="preserve">  Total Noncurrent Assets</v>
      </c>
      <c r="D20" s="34">
        <v>0</v>
      </c>
      <c r="E20" s="34"/>
      <c r="F20" s="34"/>
      <c r="G20" s="192">
        <f ca="1"/>
        <v>5</v>
      </c>
      <c r="H20" s="192" t="str">
        <f ca="1"/>
        <v xml:space="preserve">  Total Expenses</v>
      </c>
      <c r="I20" s="34">
        <f ca="1"/>
        <v>44.199999999999996</v>
      </c>
      <c r="M20" s="34"/>
      <c r="O20" s="192">
        <f ca="1"/>
        <v>2</v>
      </c>
      <c r="P20" t="str">
        <f ca="1"/>
        <v>Financing Activities</v>
      </c>
      <c r="Q20" s="34" t="str">
        <f ca="1"/>
        <v/>
      </c>
      <c r="S20" s="39">
        <v>5</v>
      </c>
      <c r="T20" t="str">
        <v xml:space="preserve">  Total Noncurrent Assets</v>
      </c>
      <c r="U20" s="34">
        <v>52.5</v>
      </c>
      <c r="V20" s="39">
        <v>0</v>
      </c>
    </row>
    <row r="21" spans="2:22" x14ac:dyDescent="0.3">
      <c r="B21" s="39" t="str">
        <v/>
      </c>
      <c r="C21" t="str">
        <v/>
      </c>
      <c r="D21" s="34" t="str">
        <v/>
      </c>
      <c r="E21" s="34"/>
      <c r="F21" s="34"/>
      <c r="G21" s="192" t="str">
        <f ca="1"/>
        <v/>
      </c>
      <c r="H21" s="192" t="str">
        <f ca="1"/>
        <v/>
      </c>
      <c r="I21" s="34" t="str">
        <f ca="1"/>
        <v/>
      </c>
      <c r="M21" s="34"/>
      <c r="O21" s="192">
        <f ca="1"/>
        <v>6</v>
      </c>
      <c r="P21" t="str">
        <f ca="1"/>
        <v>Issued common stock</v>
      </c>
      <c r="Q21" s="34">
        <f ca="1"/>
        <v>100</v>
      </c>
      <c r="S21" s="39" t="str">
        <v/>
      </c>
      <c r="T21" t="str">
        <v/>
      </c>
      <c r="U21" s="34" t="str">
        <v/>
      </c>
      <c r="V21" s="39">
        <v>0</v>
      </c>
    </row>
    <row r="22" spans="2:22" x14ac:dyDescent="0.3">
      <c r="B22" s="39">
        <v>3</v>
      </c>
      <c r="C22" t="str">
        <v>Total Assets</v>
      </c>
      <c r="D22" s="34">
        <v>0</v>
      </c>
      <c r="E22" s="34"/>
      <c r="F22" s="34"/>
      <c r="G22" s="192">
        <f ca="1"/>
        <v>3</v>
      </c>
      <c r="H22" s="192" t="str">
        <f ca="1"/>
        <v>Net Income</v>
      </c>
      <c r="I22" s="34">
        <f ca="1"/>
        <v>-4.2</v>
      </c>
      <c r="M22" s="34"/>
      <c r="O22" s="192">
        <f ca="1"/>
        <v>7</v>
      </c>
      <c r="P22" t="str">
        <f ca="1"/>
        <v>Issued bonds</v>
      </c>
      <c r="Q22" s="34">
        <f ca="1"/>
        <v>20</v>
      </c>
      <c r="S22" s="39">
        <v>3</v>
      </c>
      <c r="T22" t="str">
        <v>Total Assets</v>
      </c>
      <c r="U22" s="34">
        <v>133.35000000000002</v>
      </c>
      <c r="V22" s="39">
        <v>0</v>
      </c>
    </row>
    <row r="23" spans="2:22" x14ac:dyDescent="0.3">
      <c r="B23" s="39" t="str">
        <v/>
      </c>
      <c r="C23" t="str">
        <v/>
      </c>
      <c r="D23" s="34" t="str">
        <v/>
      </c>
      <c r="E23" s="34"/>
      <c r="F23" s="34"/>
      <c r="G23" s="192"/>
      <c r="H23" s="192"/>
      <c r="I23" s="34"/>
      <c r="M23" s="34"/>
      <c r="O23" s="192">
        <f ca="1"/>
        <v>3</v>
      </c>
      <c r="P23" t="str">
        <f ca="1"/>
        <v>Total Cash Flow from Financing Activities</v>
      </c>
      <c r="Q23" s="34">
        <f ca="1"/>
        <v>120</v>
      </c>
      <c r="S23" s="39" t="str">
        <v/>
      </c>
      <c r="T23" t="str">
        <v/>
      </c>
      <c r="U23" s="34" t="str">
        <v/>
      </c>
      <c r="V23" s="39">
        <v>0</v>
      </c>
    </row>
    <row r="24" spans="2:22" x14ac:dyDescent="0.3">
      <c r="B24" s="39">
        <v>2</v>
      </c>
      <c r="C24" t="str">
        <v>LIABILITIES</v>
      </c>
      <c r="D24" s="34" t="str">
        <v/>
      </c>
      <c r="E24" s="34"/>
      <c r="F24" s="34"/>
      <c r="G24" s="192"/>
      <c r="H24" s="192"/>
      <c r="I24" s="34"/>
      <c r="M24" s="34"/>
      <c r="O24" s="192" t="str">
        <f ca="1"/>
        <v/>
      </c>
      <c r="P24" t="str">
        <f ca="1"/>
        <v/>
      </c>
      <c r="Q24" s="34" t="str">
        <f ca="1"/>
        <v/>
      </c>
      <c r="S24" s="39">
        <v>2</v>
      </c>
      <c r="T24" t="str">
        <v>LIABILITIES</v>
      </c>
      <c r="U24" s="34" t="str">
        <v/>
      </c>
      <c r="V24" s="39">
        <v>0</v>
      </c>
    </row>
    <row r="25" spans="2:22" x14ac:dyDescent="0.3">
      <c r="B25" s="39" t="str">
        <v/>
      </c>
      <c r="C25" t="str">
        <v/>
      </c>
      <c r="D25" s="34" t="str">
        <v/>
      </c>
      <c r="E25" s="34"/>
      <c r="F25" s="34"/>
      <c r="G25" s="192"/>
      <c r="H25" s="192"/>
      <c r="I25" s="34"/>
      <c r="M25" s="34"/>
      <c r="O25" s="39">
        <f ca="1"/>
        <v>3</v>
      </c>
      <c r="P25" t="str">
        <f ca="1"/>
        <v>Increase (decrease) in cash</v>
      </c>
      <c r="Q25" s="34">
        <f ca="1"/>
        <v>40.049999999999997</v>
      </c>
      <c r="S25" s="39" t="str">
        <v/>
      </c>
      <c r="T25" t="str">
        <v/>
      </c>
      <c r="U25" s="34" t="str">
        <v/>
      </c>
      <c r="V25" s="39">
        <v>0</v>
      </c>
    </row>
    <row r="26" spans="2:22" x14ac:dyDescent="0.3">
      <c r="B26" s="39">
        <v>4</v>
      </c>
      <c r="C26" t="str">
        <v xml:space="preserve"> Current Liabilities:</v>
      </c>
      <c r="D26" s="34" t="str">
        <v/>
      </c>
      <c r="E26" s="34"/>
      <c r="F26" s="34"/>
      <c r="G26" s="192"/>
      <c r="H26" s="192"/>
      <c r="I26" s="34"/>
      <c r="M26" s="34"/>
      <c r="O26" s="39">
        <f ca="1"/>
        <v>5</v>
      </c>
      <c r="P26" t="str">
        <f ca="1"/>
        <v>Cash @ 12/31/20x4</v>
      </c>
      <c r="Q26" s="34">
        <f ca="1"/>
        <v>40.049999999999997</v>
      </c>
      <c r="S26" s="39">
        <v>4</v>
      </c>
      <c r="T26" t="str">
        <v xml:space="preserve"> Current Liabilities:</v>
      </c>
      <c r="U26" s="34" t="str">
        <v/>
      </c>
      <c r="V26" s="39" t="e">
        <v>#NAME?</v>
      </c>
    </row>
    <row r="27" spans="2:22" x14ac:dyDescent="0.3">
      <c r="B27" s="39">
        <v>6</v>
      </c>
      <c r="C27" t="str">
        <v>Accounts Payable</v>
      </c>
      <c r="D27" s="34">
        <v>0</v>
      </c>
      <c r="E27" s="34"/>
      <c r="F27" s="34"/>
      <c r="G27" s="192"/>
      <c r="H27" s="192"/>
      <c r="I27" s="34"/>
      <c r="J27" s="39">
        <v>0</v>
      </c>
      <c r="M27" s="34"/>
      <c r="O27" s="39" t="str">
        <f ca="1"/>
        <v/>
      </c>
      <c r="P27" t="str">
        <f ca="1"/>
        <v/>
      </c>
      <c r="Q27" s="34" t="str">
        <f ca="1"/>
        <v/>
      </c>
      <c r="S27" s="39">
        <v>6</v>
      </c>
      <c r="T27" t="str">
        <v>Accounts Payable</v>
      </c>
      <c r="U27" s="34">
        <v>15</v>
      </c>
      <c r="V27" s="39">
        <v>0</v>
      </c>
    </row>
    <row r="28" spans="2:22" x14ac:dyDescent="0.3">
      <c r="B28" s="39">
        <v>7</v>
      </c>
      <c r="C28" t="str">
        <v>Interest Payable</v>
      </c>
      <c r="D28" s="34">
        <v>0</v>
      </c>
      <c r="E28" s="34"/>
      <c r="F28" s="34"/>
      <c r="H28" s="192"/>
      <c r="I28" s="34"/>
      <c r="J28" s="39">
        <v>0</v>
      </c>
      <c r="M28" s="34"/>
      <c r="O28" s="39" t="str">
        <f ca="1"/>
        <v/>
      </c>
      <c r="P28" t="str">
        <f ca="1"/>
        <v/>
      </c>
      <c r="Q28" s="34" t="str">
        <f ca="1"/>
        <v/>
      </c>
      <c r="S28" s="39">
        <v>7</v>
      </c>
      <c r="T28" t="str">
        <v>Interest Payable</v>
      </c>
      <c r="U28" s="34">
        <v>1.55</v>
      </c>
      <c r="V28" s="39">
        <v>0</v>
      </c>
    </row>
    <row r="29" spans="2:22" x14ac:dyDescent="0.3">
      <c r="B29" s="39">
        <v>7</v>
      </c>
      <c r="C29" t="str">
        <v>Salaries &amp; Wages Payable</v>
      </c>
      <c r="D29" s="34">
        <v>0</v>
      </c>
      <c r="E29" s="34"/>
      <c r="F29" s="34"/>
      <c r="H29" s="192"/>
      <c r="I29" s="34"/>
      <c r="J29" s="39">
        <v>0</v>
      </c>
      <c r="M29" s="34"/>
      <c r="O29" s="39" t="str">
        <f ca="1"/>
        <v/>
      </c>
      <c r="P29" t="str">
        <f ca="1"/>
        <v/>
      </c>
      <c r="Q29" s="34" t="str">
        <f ca="1"/>
        <v/>
      </c>
      <c r="S29" s="39">
        <v>7</v>
      </c>
      <c r="T29" t="str">
        <v>Salaries &amp; Wages Payable</v>
      </c>
      <c r="U29" s="34">
        <v>1</v>
      </c>
      <c r="V29" s="39">
        <v>0</v>
      </c>
    </row>
    <row r="30" spans="2:22" x14ac:dyDescent="0.3">
      <c r="B30" s="39">
        <v>5</v>
      </c>
      <c r="C30" t="str">
        <v xml:space="preserve">  Total Current Liabilities</v>
      </c>
      <c r="D30" s="34">
        <v>0</v>
      </c>
      <c r="E30" s="34"/>
      <c r="F30" s="34"/>
      <c r="H30" s="192"/>
      <c r="I30" s="34"/>
      <c r="J30" s="39">
        <v>0</v>
      </c>
      <c r="M30" s="34"/>
      <c r="Q30" s="34"/>
      <c r="S30" s="39">
        <v>5</v>
      </c>
      <c r="T30" t="str">
        <v xml:space="preserve">  Total Current Liabilities</v>
      </c>
      <c r="U30" s="34">
        <v>17.55</v>
      </c>
      <c r="V30" s="39">
        <v>0</v>
      </c>
    </row>
    <row r="31" spans="2:22" x14ac:dyDescent="0.3">
      <c r="B31" s="39" t="str">
        <v/>
      </c>
      <c r="C31" t="str">
        <v/>
      </c>
      <c r="D31" s="34" t="str">
        <v/>
      </c>
      <c r="E31" s="34"/>
      <c r="F31" s="34"/>
      <c r="H31" s="192"/>
      <c r="I31" s="34"/>
      <c r="J31" s="39">
        <f>IF(H31&lt;&gt;"",COUNTIFS(#REF!,H31),0)</f>
        <v>0</v>
      </c>
      <c r="M31" s="34"/>
      <c r="Q31" s="34"/>
      <c r="S31" s="39" t="str">
        <v/>
      </c>
      <c r="T31" t="str">
        <v/>
      </c>
      <c r="U31" s="34" t="str">
        <v/>
      </c>
    </row>
    <row r="32" spans="2:22" x14ac:dyDescent="0.3">
      <c r="B32" s="39">
        <v>4</v>
      </c>
      <c r="C32" t="str">
        <v xml:space="preserve"> Noncurrent Liabilities:</v>
      </c>
      <c r="D32" s="34" t="str">
        <v/>
      </c>
      <c r="E32" s="34"/>
      <c r="F32" s="34"/>
      <c r="H32" s="192"/>
      <c r="I32" s="34"/>
      <c r="J32" s="39">
        <f>IF(H32&lt;&gt;"",COUNTIFS(#REF!,H32),0)</f>
        <v>0</v>
      </c>
      <c r="M32" s="34"/>
      <c r="Q32" s="34"/>
      <c r="S32" s="39">
        <v>4</v>
      </c>
      <c r="T32" t="str">
        <v xml:space="preserve"> Noncurrent Liabilities:</v>
      </c>
      <c r="U32" s="34" t="str">
        <v/>
      </c>
    </row>
    <row r="33" spans="2:21" x14ac:dyDescent="0.3">
      <c r="B33" s="39">
        <v>6</v>
      </c>
      <c r="C33" t="str">
        <v>Bonds Payable</v>
      </c>
      <c r="D33" s="34">
        <v>0</v>
      </c>
      <c r="E33" s="34"/>
      <c r="F33" s="34"/>
      <c r="H33" s="192"/>
      <c r="I33" s="34"/>
      <c r="J33" s="39">
        <f>IF(H33&lt;&gt;"",COUNTIFS(#REF!,H33),0)</f>
        <v>0</v>
      </c>
      <c r="M33" s="34"/>
      <c r="Q33" s="34"/>
      <c r="S33" s="39">
        <v>6</v>
      </c>
      <c r="T33" t="str">
        <v>Bonds Payable</v>
      </c>
      <c r="U33" s="34">
        <v>20</v>
      </c>
    </row>
    <row r="34" spans="2:21" x14ac:dyDescent="0.3">
      <c r="B34" s="39">
        <v>5</v>
      </c>
      <c r="C34" t="str">
        <v xml:space="preserve">  Total Noncurrent Liabilities</v>
      </c>
      <c r="D34" s="34">
        <v>0</v>
      </c>
      <c r="E34" s="34"/>
      <c r="F34" s="34"/>
      <c r="H34" s="192"/>
      <c r="I34" s="34"/>
      <c r="J34" s="39">
        <f>IF(H34&lt;&gt;"",COUNTIFS(#REF!,H34),0)</f>
        <v>0</v>
      </c>
      <c r="M34" s="34"/>
      <c r="Q34" s="34"/>
      <c r="S34" s="39">
        <v>5</v>
      </c>
      <c r="T34" t="str">
        <v xml:space="preserve">  Total Noncurrent Liabilities</v>
      </c>
      <c r="U34" s="34">
        <v>20</v>
      </c>
    </row>
    <row r="35" spans="2:21" x14ac:dyDescent="0.3">
      <c r="B35" s="39">
        <v>3</v>
      </c>
      <c r="C35" t="str">
        <v>Total Liabilities</v>
      </c>
      <c r="D35" s="34">
        <v>0</v>
      </c>
      <c r="E35" s="34"/>
      <c r="F35" s="34"/>
      <c r="H35" s="192"/>
      <c r="I35" s="34"/>
      <c r="J35" s="39">
        <f>IF(H35&lt;&gt;"",COUNTIFS(#REF!,H35),0)</f>
        <v>0</v>
      </c>
      <c r="M35" s="34"/>
      <c r="Q35" s="34"/>
      <c r="S35" s="39">
        <v>3</v>
      </c>
      <c r="T35" t="str">
        <v>Total Liabilities</v>
      </c>
      <c r="U35" s="34">
        <v>37.549999999999997</v>
      </c>
    </row>
    <row r="36" spans="2:21" x14ac:dyDescent="0.3">
      <c r="B36" s="39" t="str">
        <v/>
      </c>
      <c r="C36" t="str">
        <v/>
      </c>
      <c r="D36" s="34" t="str">
        <v/>
      </c>
      <c r="E36" s="34"/>
      <c r="F36" s="34"/>
      <c r="H36" s="192"/>
      <c r="I36" s="34"/>
      <c r="J36" s="39">
        <f>IF(H36&lt;&gt;"",COUNTIFS(#REF!,H36),0)</f>
        <v>0</v>
      </c>
      <c r="M36" s="34"/>
      <c r="Q36" s="34"/>
      <c r="S36" s="39" t="str">
        <v/>
      </c>
      <c r="T36" t="str">
        <v/>
      </c>
      <c r="U36" s="34" t="str">
        <v/>
      </c>
    </row>
    <row r="37" spans="2:21" x14ac:dyDescent="0.3">
      <c r="B37" s="39">
        <v>2</v>
      </c>
      <c r="C37" t="str">
        <v>EQUITIES</v>
      </c>
      <c r="D37" s="34" t="str">
        <v/>
      </c>
      <c r="E37" s="34"/>
      <c r="F37" s="34"/>
      <c r="H37" s="192"/>
      <c r="I37" s="34"/>
      <c r="J37" s="39">
        <f>IF(H37&lt;&gt;"",COUNTIFS(#REF!,H37),0)</f>
        <v>0</v>
      </c>
      <c r="M37" s="34"/>
      <c r="Q37" s="34"/>
      <c r="S37" s="39">
        <v>2</v>
      </c>
      <c r="T37" t="str">
        <v>EQUITIES</v>
      </c>
      <c r="U37" s="34" t="str">
        <v/>
      </c>
    </row>
    <row r="38" spans="2:21" x14ac:dyDescent="0.3">
      <c r="B38" s="39" t="str">
        <v/>
      </c>
      <c r="C38" t="str">
        <v/>
      </c>
      <c r="D38" s="34" t="str">
        <v/>
      </c>
      <c r="E38" s="34"/>
      <c r="F38" s="34"/>
      <c r="H38" s="192"/>
      <c r="I38" s="34"/>
      <c r="J38" s="39">
        <f>IF(H38&lt;&gt;"",COUNTIFS(#REF!,H38),0)</f>
        <v>0</v>
      </c>
      <c r="M38" s="34"/>
      <c r="Q38" s="34"/>
      <c r="S38" s="39" t="str">
        <v/>
      </c>
      <c r="T38" t="str">
        <v/>
      </c>
      <c r="U38" s="34" t="str">
        <v/>
      </c>
    </row>
    <row r="39" spans="2:21" x14ac:dyDescent="0.3">
      <c r="B39" s="39">
        <v>6</v>
      </c>
      <c r="C39" t="str">
        <v>Common Stock</v>
      </c>
      <c r="D39" s="34">
        <v>0</v>
      </c>
      <c r="E39" s="34"/>
      <c r="F39" s="34"/>
      <c r="H39" s="192"/>
      <c r="I39" s="34"/>
      <c r="J39" s="39">
        <f>IF(H39&lt;&gt;"",COUNTIFS(#REF!,H39),0)</f>
        <v>0</v>
      </c>
      <c r="M39" s="34"/>
      <c r="Q39" s="34"/>
      <c r="S39" s="39">
        <v>6</v>
      </c>
      <c r="T39" t="str">
        <v>Common Stock</v>
      </c>
      <c r="U39" s="34">
        <v>100</v>
      </c>
    </row>
    <row r="40" spans="2:21" x14ac:dyDescent="0.3">
      <c r="B40" s="39">
        <v>7</v>
      </c>
      <c r="C40" t="str">
        <v>Retained Earnings</v>
      </c>
      <c r="D40" s="34">
        <v>0</v>
      </c>
      <c r="E40" s="34"/>
      <c r="F40" s="34"/>
      <c r="H40" s="192"/>
      <c r="I40" s="34"/>
      <c r="J40" s="39">
        <f>IF(H40&lt;&gt;"",COUNTIFS(#REF!,H40),0)</f>
        <v>0</v>
      </c>
      <c r="M40" s="34"/>
      <c r="Q40" s="34"/>
      <c r="S40" s="39">
        <v>7</v>
      </c>
      <c r="T40" t="str">
        <v>Retained Earnings</v>
      </c>
      <c r="U40" s="34">
        <v>-4.2</v>
      </c>
    </row>
    <row r="41" spans="2:21" x14ac:dyDescent="0.3">
      <c r="B41" s="39">
        <v>3</v>
      </c>
      <c r="C41" t="str">
        <v>Total Equities</v>
      </c>
      <c r="D41" s="34">
        <v>0</v>
      </c>
      <c r="E41" s="34"/>
      <c r="F41" s="34"/>
      <c r="H41" s="192"/>
      <c r="I41" s="34"/>
      <c r="J41" s="39">
        <f>IF(H41&lt;&gt;"",COUNTIFS(#REF!,H41),0)</f>
        <v>0</v>
      </c>
      <c r="M41" s="34"/>
      <c r="Q41" s="34"/>
      <c r="S41" s="39">
        <v>3</v>
      </c>
      <c r="T41" t="str">
        <v>Total Equities</v>
      </c>
      <c r="U41" s="34">
        <v>95.8</v>
      </c>
    </row>
    <row r="42" spans="2:21" x14ac:dyDescent="0.3">
      <c r="B42" s="39" t="str">
        <v/>
      </c>
      <c r="C42" t="str">
        <v/>
      </c>
      <c r="D42" s="34" t="str">
        <v/>
      </c>
      <c r="E42" s="34"/>
      <c r="F42" s="34"/>
      <c r="H42" s="192"/>
      <c r="I42" s="34"/>
      <c r="J42" s="39">
        <f>IF(H42&lt;&gt;"",COUNTIFS(#REF!,H42),0)</f>
        <v>0</v>
      </c>
      <c r="M42" s="34"/>
      <c r="Q42" s="34"/>
      <c r="S42" s="39" t="str">
        <v/>
      </c>
      <c r="T42" t="str">
        <v/>
      </c>
      <c r="U42" s="34" t="str">
        <v/>
      </c>
    </row>
    <row r="43" spans="2:21" x14ac:dyDescent="0.3">
      <c r="B43" s="39">
        <v>3</v>
      </c>
      <c r="C43" t="str">
        <v>Total Liabilities and Equities</v>
      </c>
      <c r="D43" s="34">
        <v>0</v>
      </c>
      <c r="E43" s="34"/>
      <c r="F43" s="34"/>
      <c r="H43" s="192"/>
      <c r="I43" s="34"/>
      <c r="J43" s="39">
        <f>IF(H43&lt;&gt;"",COUNTIFS(#REF!,H43),0)</f>
        <v>0</v>
      </c>
      <c r="M43" s="34"/>
      <c r="Q43" s="34"/>
      <c r="S43" s="39">
        <v>3</v>
      </c>
      <c r="T43" t="str">
        <v>Total Liabilities and Equities</v>
      </c>
      <c r="U43" s="34">
        <v>133.35</v>
      </c>
    </row>
    <row r="44" spans="2:21" x14ac:dyDescent="0.3">
      <c r="D44" s="34"/>
      <c r="E44" s="34"/>
      <c r="F44" s="34"/>
      <c r="H44" s="192"/>
      <c r="I44" s="34"/>
      <c r="J44" s="39">
        <f>IF(H44&lt;&gt;"",COUNTIFS(#REF!,H44),0)</f>
        <v>0</v>
      </c>
      <c r="M44" s="34"/>
      <c r="Q44" s="34"/>
      <c r="U44" s="34"/>
    </row>
    <row r="45" spans="2:21" x14ac:dyDescent="0.3">
      <c r="D45" s="34"/>
      <c r="E45" s="34"/>
      <c r="F45" s="34"/>
      <c r="I45" s="34"/>
      <c r="J45" s="39">
        <f>IF(H45&lt;&gt;"",COUNTIFS(#REF!,H45),0)</f>
        <v>0</v>
      </c>
      <c r="M45" s="34"/>
      <c r="Q45" s="34"/>
      <c r="U45" s="34"/>
    </row>
    <row r="46" spans="2:21" x14ac:dyDescent="0.3">
      <c r="D46" s="34"/>
      <c r="E46" s="34"/>
      <c r="F46" s="34"/>
      <c r="I46" s="34"/>
      <c r="J46" s="39">
        <f>IF(H46&lt;&gt;"",COUNTIFS(#REF!,H46),0)</f>
        <v>0</v>
      </c>
      <c r="M46" s="34"/>
      <c r="Q46" s="34"/>
      <c r="U46" s="34"/>
    </row>
    <row r="47" spans="2:21" x14ac:dyDescent="0.3">
      <c r="D47" s="34"/>
      <c r="E47" s="34"/>
      <c r="F47" s="34"/>
      <c r="I47" s="34"/>
      <c r="J47" s="39">
        <f>IF(H47&lt;&gt;"",COUNTIFS(#REF!,H47),0)</f>
        <v>0</v>
      </c>
      <c r="M47" s="34"/>
      <c r="Q47" s="34"/>
      <c r="U47" s="34"/>
    </row>
    <row r="48" spans="2:21" x14ac:dyDescent="0.3">
      <c r="D48" s="34"/>
      <c r="E48" s="34"/>
      <c r="F48" s="34"/>
      <c r="I48" s="34"/>
      <c r="J48" s="39">
        <f>IF(H48&lt;&gt;"",COUNTIFS(#REF!,H48),0)</f>
        <v>0</v>
      </c>
      <c r="M48" s="34"/>
      <c r="Q48" s="34"/>
      <c r="U48" s="34"/>
    </row>
    <row r="49" spans="4:21" x14ac:dyDescent="0.3">
      <c r="D49" s="34"/>
      <c r="E49" s="34"/>
      <c r="F49" s="34"/>
      <c r="I49" s="34"/>
      <c r="J49" s="39">
        <f>IF(H49&lt;&gt;"",COUNTIFS(#REF!,H49),0)</f>
        <v>0</v>
      </c>
      <c r="M49" s="34"/>
      <c r="Q49" s="34"/>
      <c r="U49" s="34"/>
    </row>
    <row r="50" spans="4:21" x14ac:dyDescent="0.3">
      <c r="D50" s="34"/>
      <c r="E50" s="34"/>
      <c r="F50" s="34"/>
      <c r="I50" s="34"/>
      <c r="J50" s="39">
        <f>IF(H50&lt;&gt;"",COUNTIFS(#REF!,H50),0)</f>
        <v>0</v>
      </c>
      <c r="M50" s="34"/>
      <c r="Q50" s="34"/>
      <c r="U50" s="34"/>
    </row>
    <row r="51" spans="4:21" x14ac:dyDescent="0.3">
      <c r="D51" s="34"/>
      <c r="E51" s="34"/>
      <c r="F51" s="34"/>
      <c r="I51" s="34"/>
      <c r="J51" s="39">
        <f>IF(H51&lt;&gt;"",COUNTIFS(#REF!,H51),0)</f>
        <v>0</v>
      </c>
      <c r="M51" s="34"/>
      <c r="Q51" s="34"/>
      <c r="U51" s="34"/>
    </row>
    <row r="52" spans="4:21" x14ac:dyDescent="0.3">
      <c r="D52" s="34"/>
      <c r="E52" s="34"/>
      <c r="F52" s="34"/>
      <c r="I52" s="34"/>
      <c r="J52" s="39">
        <f>IF(H52&lt;&gt;"",COUNTIFS(#REF!,H52),0)</f>
        <v>0</v>
      </c>
      <c r="M52" s="34"/>
      <c r="Q52" s="34"/>
      <c r="U52" s="34"/>
    </row>
    <row r="53" spans="4:21" x14ac:dyDescent="0.3">
      <c r="D53" s="34"/>
      <c r="E53" s="34"/>
      <c r="F53" s="34"/>
      <c r="I53" s="34"/>
      <c r="J53" s="39">
        <f>IF(H53&lt;&gt;"",COUNTIFS(#REF!,H53),0)</f>
        <v>0</v>
      </c>
      <c r="M53" s="34"/>
      <c r="Q53" s="34"/>
      <c r="U53" s="34"/>
    </row>
    <row r="54" spans="4:21" x14ac:dyDescent="0.3">
      <c r="D54" s="34"/>
      <c r="E54" s="34"/>
      <c r="F54" s="34"/>
      <c r="I54" s="34"/>
      <c r="J54" s="39">
        <f>IF(H54&lt;&gt;"",COUNTIFS(#REF!,H54),0)</f>
        <v>0</v>
      </c>
      <c r="M54" s="34"/>
      <c r="Q54" s="34"/>
      <c r="U54" s="34"/>
    </row>
    <row r="55" spans="4:21" x14ac:dyDescent="0.3">
      <c r="D55" s="34"/>
      <c r="E55" s="34"/>
      <c r="F55" s="34"/>
      <c r="I55" s="34"/>
      <c r="J55" s="39">
        <f>IF(H55&lt;&gt;"",COUNTIFS(#REF!,H55),0)</f>
        <v>0</v>
      </c>
      <c r="M55" s="34"/>
      <c r="Q55" s="34"/>
      <c r="U55" s="34"/>
    </row>
    <row r="56" spans="4:21" x14ac:dyDescent="0.3">
      <c r="D56" s="34"/>
      <c r="E56" s="34"/>
      <c r="F56" s="34"/>
      <c r="I56" s="34"/>
      <c r="J56" s="39">
        <f>IF(H56&lt;&gt;"",COUNTIFS(#REF!,H56),0)</f>
        <v>0</v>
      </c>
      <c r="M56" s="34"/>
      <c r="Q56" s="34"/>
      <c r="U56" s="34"/>
    </row>
    <row r="57" spans="4:21" x14ac:dyDescent="0.3">
      <c r="D57" s="34"/>
      <c r="E57" s="34"/>
      <c r="F57" s="34"/>
      <c r="I57" s="34"/>
      <c r="J57" s="39">
        <f>IF(H57&lt;&gt;"",COUNTIFS(#REF!,H57),0)</f>
        <v>0</v>
      </c>
      <c r="M57" s="34"/>
      <c r="Q57" s="34"/>
      <c r="U57" s="34"/>
    </row>
    <row r="58" spans="4:21" x14ac:dyDescent="0.3">
      <c r="D58" s="34"/>
      <c r="E58" s="34"/>
      <c r="F58" s="34"/>
      <c r="I58" s="34"/>
      <c r="J58" s="39">
        <f>IF(H58&lt;&gt;"",COUNTIFS(#REF!,H58),0)</f>
        <v>0</v>
      </c>
      <c r="M58" s="34"/>
      <c r="Q58" s="34"/>
      <c r="U58" s="34"/>
    </row>
    <row r="59" spans="4:21" x14ac:dyDescent="0.3">
      <c r="D59" s="34"/>
      <c r="E59" s="34"/>
      <c r="F59" s="34"/>
      <c r="I59" s="34"/>
      <c r="J59" s="39">
        <f>IF(H59&lt;&gt;"",COUNTIFS(#REF!,H59),0)</f>
        <v>0</v>
      </c>
      <c r="M59" s="34"/>
      <c r="Q59" s="34"/>
      <c r="U59" s="34"/>
    </row>
    <row r="60" spans="4:21" x14ac:dyDescent="0.3">
      <c r="D60" s="34"/>
      <c r="E60" s="34"/>
      <c r="F60" s="34"/>
      <c r="I60" s="34"/>
      <c r="J60" s="39">
        <f>IF(H60&lt;&gt;"",COUNTIFS(#REF!,H60),0)</f>
        <v>0</v>
      </c>
      <c r="M60" s="34"/>
      <c r="Q60" s="34"/>
      <c r="U60" s="34"/>
    </row>
    <row r="61" spans="4:21" x14ac:dyDescent="0.3">
      <c r="D61" s="34"/>
      <c r="E61" s="34"/>
      <c r="F61" s="34"/>
      <c r="I61" s="34"/>
      <c r="M61" s="34"/>
      <c r="Q61" s="34"/>
      <c r="U61" s="34"/>
    </row>
    <row r="62" spans="4:21" x14ac:dyDescent="0.3">
      <c r="D62" s="34"/>
      <c r="E62" s="34"/>
      <c r="F62" s="34"/>
      <c r="I62" s="34"/>
      <c r="M62" s="34"/>
      <c r="Q62" s="34"/>
      <c r="U62" s="34"/>
    </row>
    <row r="63" spans="4:21" x14ac:dyDescent="0.3">
      <c r="D63" s="34"/>
      <c r="E63" s="34"/>
      <c r="F63" s="34"/>
      <c r="I63" s="34"/>
      <c r="M63" s="34"/>
      <c r="Q63" s="34"/>
      <c r="U63" s="34"/>
    </row>
    <row r="64" spans="4:21" x14ac:dyDescent="0.3">
      <c r="D64" s="34"/>
      <c r="E64" s="34"/>
      <c r="F64" s="34"/>
      <c r="I64" s="34"/>
      <c r="M64" s="34"/>
      <c r="Q64" s="34"/>
      <c r="U64" s="34"/>
    </row>
    <row r="65" spans="4:21" x14ac:dyDescent="0.3">
      <c r="D65" s="34"/>
      <c r="E65" s="34"/>
      <c r="F65" s="34"/>
      <c r="I65" s="34"/>
      <c r="M65" s="34"/>
      <c r="Q65" s="34"/>
      <c r="U65" s="34"/>
    </row>
    <row r="66" spans="4:21" x14ac:dyDescent="0.3">
      <c r="D66" s="34"/>
      <c r="E66" s="34"/>
      <c r="F66" s="34"/>
      <c r="I66" s="34"/>
      <c r="M66" s="34"/>
      <c r="Q66" s="34"/>
      <c r="U66" s="34"/>
    </row>
    <row r="67" spans="4:21" x14ac:dyDescent="0.3">
      <c r="D67" s="34"/>
      <c r="E67" s="34"/>
      <c r="F67" s="34"/>
      <c r="I67" s="34"/>
      <c r="M67" s="34"/>
      <c r="Q67" s="34"/>
      <c r="U67" s="34"/>
    </row>
    <row r="68" spans="4:21" x14ac:dyDescent="0.3">
      <c r="D68" s="34"/>
      <c r="E68" s="34"/>
      <c r="F68" s="34"/>
      <c r="I68" s="34"/>
      <c r="M68" s="34"/>
      <c r="Q68" s="34"/>
      <c r="U68" s="34"/>
    </row>
    <row r="69" spans="4:21" x14ac:dyDescent="0.3">
      <c r="D69" s="34"/>
      <c r="E69" s="34"/>
      <c r="F69" s="34"/>
      <c r="I69" s="34"/>
      <c r="M69" s="34"/>
      <c r="Q69" s="34"/>
      <c r="U69" s="34"/>
    </row>
    <row r="70" spans="4:21" x14ac:dyDescent="0.3">
      <c r="D70" s="34"/>
      <c r="E70" s="34"/>
      <c r="F70" s="34"/>
      <c r="I70" s="34"/>
      <c r="M70" s="34"/>
      <c r="Q70" s="34"/>
      <c r="U70" s="34"/>
    </row>
    <row r="71" spans="4:21" x14ac:dyDescent="0.3">
      <c r="D71" s="34"/>
      <c r="E71" s="34"/>
      <c r="F71" s="34"/>
      <c r="I71" s="34"/>
      <c r="M71" s="34"/>
      <c r="Q71" s="34"/>
      <c r="U71" s="34"/>
    </row>
    <row r="72" spans="4:21" x14ac:dyDescent="0.3">
      <c r="D72" s="34"/>
      <c r="E72" s="34"/>
      <c r="F72" s="34"/>
      <c r="I72" s="34"/>
      <c r="M72" s="34"/>
      <c r="Q72" s="34"/>
      <c r="U72" s="34"/>
    </row>
    <row r="73" spans="4:21" x14ac:dyDescent="0.3">
      <c r="D73" s="34"/>
      <c r="E73" s="34"/>
      <c r="F73" s="34"/>
      <c r="I73" s="34"/>
      <c r="M73" s="34"/>
      <c r="Q73" s="34"/>
      <c r="U73" s="34"/>
    </row>
    <row r="74" spans="4:21" x14ac:dyDescent="0.3">
      <c r="D74" s="34"/>
      <c r="E74" s="34"/>
      <c r="F74" s="34"/>
      <c r="I74" s="34"/>
      <c r="M74" s="34"/>
      <c r="Q74" s="34"/>
      <c r="U74" s="34"/>
    </row>
    <row r="75" spans="4:21" x14ac:dyDescent="0.3">
      <c r="D75" s="34"/>
      <c r="E75" s="34"/>
      <c r="F75" s="34"/>
      <c r="I75" s="34"/>
      <c r="M75" s="34"/>
      <c r="Q75" s="34"/>
      <c r="U75" s="34"/>
    </row>
    <row r="76" spans="4:21" x14ac:dyDescent="0.3">
      <c r="D76" s="34"/>
      <c r="E76" s="34"/>
      <c r="F76" s="34"/>
      <c r="I76" s="34"/>
      <c r="M76" s="34"/>
      <c r="Q76" s="34"/>
      <c r="U76" s="34"/>
    </row>
    <row r="77" spans="4:21" x14ac:dyDescent="0.3">
      <c r="D77" s="34"/>
      <c r="E77" s="34"/>
      <c r="F77" s="34"/>
      <c r="I77" s="34"/>
      <c r="M77" s="34"/>
      <c r="Q77" s="34"/>
      <c r="U77" s="34"/>
    </row>
    <row r="78" spans="4:21" x14ac:dyDescent="0.3">
      <c r="D78" s="34"/>
      <c r="E78" s="34"/>
      <c r="F78" s="34"/>
      <c r="I78" s="34"/>
      <c r="M78" s="34"/>
      <c r="Q78" s="34"/>
      <c r="U78" s="34"/>
    </row>
    <row r="79" spans="4:21" x14ac:dyDescent="0.3">
      <c r="D79" s="34"/>
      <c r="E79" s="34"/>
      <c r="F79" s="34"/>
      <c r="I79" s="34"/>
      <c r="M79" s="34"/>
      <c r="Q79" s="34"/>
      <c r="U79" s="34"/>
    </row>
    <row r="80" spans="4:21" x14ac:dyDescent="0.3">
      <c r="D80" s="34"/>
      <c r="E80" s="34"/>
      <c r="F80" s="34"/>
      <c r="I80" s="34"/>
      <c r="M80" s="34"/>
      <c r="Q80" s="34"/>
      <c r="U80" s="34"/>
    </row>
    <row r="81" spans="4:21" x14ac:dyDescent="0.3">
      <c r="D81" s="34"/>
      <c r="E81" s="34"/>
      <c r="F81" s="34"/>
      <c r="I81" s="34"/>
      <c r="M81" s="34"/>
      <c r="Q81" s="34"/>
      <c r="U81" s="34"/>
    </row>
    <row r="82" spans="4:21" x14ac:dyDescent="0.3">
      <c r="D82" s="34"/>
      <c r="E82" s="34"/>
      <c r="F82" s="34"/>
      <c r="I82" s="34"/>
      <c r="M82" s="34"/>
      <c r="Q82" s="34"/>
      <c r="U82" s="34"/>
    </row>
    <row r="83" spans="4:21" x14ac:dyDescent="0.3">
      <c r="D83" s="34"/>
      <c r="E83" s="34"/>
      <c r="F83" s="34"/>
      <c r="I83" s="34"/>
      <c r="M83" s="34"/>
      <c r="Q83" s="34"/>
      <c r="U83" s="34"/>
    </row>
    <row r="84" spans="4:21" x14ac:dyDescent="0.3">
      <c r="D84" s="34"/>
      <c r="E84" s="34"/>
      <c r="F84" s="34"/>
      <c r="I84" s="34"/>
      <c r="M84" s="34"/>
      <c r="Q84" s="34"/>
      <c r="U84" s="34"/>
    </row>
    <row r="85" spans="4:21" x14ac:dyDescent="0.3">
      <c r="D85" s="34"/>
      <c r="E85" s="34"/>
      <c r="F85" s="34"/>
      <c r="I85" s="34"/>
      <c r="M85" s="34"/>
      <c r="Q85" s="34"/>
      <c r="U85" s="34"/>
    </row>
    <row r="86" spans="4:21" x14ac:dyDescent="0.3">
      <c r="D86" s="34"/>
      <c r="E86" s="34"/>
      <c r="F86" s="34"/>
      <c r="I86" s="34"/>
      <c r="M86" s="34"/>
      <c r="Q86" s="34"/>
      <c r="U86" s="34"/>
    </row>
    <row r="87" spans="4:21" x14ac:dyDescent="0.3">
      <c r="D87" s="34"/>
      <c r="E87" s="34"/>
      <c r="F87" s="34"/>
      <c r="I87" s="34"/>
      <c r="M87" s="34"/>
      <c r="Q87" s="34"/>
      <c r="U87" s="34"/>
    </row>
    <row r="88" spans="4:21" x14ac:dyDescent="0.3">
      <c r="D88" s="34"/>
      <c r="E88" s="34"/>
      <c r="F88" s="34"/>
      <c r="I88" s="34"/>
      <c r="M88" s="34"/>
      <c r="Q88" s="34"/>
      <c r="U88" s="34"/>
    </row>
    <row r="89" spans="4:21" x14ac:dyDescent="0.3">
      <c r="D89" s="34"/>
      <c r="E89" s="34"/>
      <c r="F89" s="34"/>
      <c r="I89" s="34"/>
      <c r="M89" s="34"/>
      <c r="Q89" s="34"/>
      <c r="U89" s="34"/>
    </row>
    <row r="90" spans="4:21" x14ac:dyDescent="0.3">
      <c r="D90" s="34"/>
      <c r="E90" s="34"/>
      <c r="F90" s="34"/>
      <c r="I90" s="34"/>
      <c r="M90" s="34"/>
      <c r="Q90" s="34"/>
      <c r="U90" s="34"/>
    </row>
    <row r="99" spans="3:21" ht="15" thickBot="1" x14ac:dyDescent="0.35">
      <c r="C99" t="s">
        <v>752</v>
      </c>
      <c r="D99" t="b">
        <f>ISNUMBER(MATCH(FALSE,D100:D154,0))</f>
        <v>0</v>
      </c>
      <c r="H99" t="s">
        <v>752</v>
      </c>
      <c r="I99" t="b">
        <f ca="1">ISNUMBER(MATCH(FALSE,I100:I154,0))</f>
        <v>0</v>
      </c>
      <c r="L99" t="s">
        <v>752</v>
      </c>
      <c r="M99" t="b">
        <f ca="1">ISNUMBER(MATCH(FALSE,M100:M154,0))</f>
        <v>0</v>
      </c>
      <c r="P99" t="s">
        <v>752</v>
      </c>
      <c r="Q99" t="b">
        <f ca="1">ISNUMBER(MATCH(FALSE,Q100:Q154,0))</f>
        <v>0</v>
      </c>
      <c r="T99" s="5" t="s">
        <v>753</v>
      </c>
      <c r="U99" t="b">
        <f>ISNUMBER(MATCH(FALSE,U100:U154,0))</f>
        <v>0</v>
      </c>
    </row>
    <row r="100" spans="3:21" x14ac:dyDescent="0.3">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3/31/20X40</v>
      </c>
      <c r="M100" t="b">
        <f ca="1">ISNUMBER(MATCH(L100,Financial_Statements_Builder!$R$405:$R$488,0))</f>
        <v>1</v>
      </c>
      <c r="P100" s="355" t="str">
        <f t="shared" ref="P100:P119" ca="1" si="2">P7&amp;Q7</f>
        <v>Operating Activities</v>
      </c>
      <c r="Q100" t="b">
        <f ca="1">ISNUMBER(MATCH(P100,Financial_Statements_Builder!$U$405:$U$488,0))</f>
        <v>1</v>
      </c>
      <c r="T100" s="355" t="str">
        <f t="shared" ref="T100:T119" si="3">T7&amp;U7</f>
        <v>ASSETS</v>
      </c>
      <c r="U100" t="b">
        <f>ISNUMBER(MATCH(T100,Financial_Statements_Builder!$Y$405:$Y$488,0))</f>
        <v>1</v>
      </c>
    </row>
    <row r="101" spans="3:21" x14ac:dyDescent="0.3">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12/31/20x495.8</v>
      </c>
      <c r="M101" t="b">
        <f ca="1">ISNUMBER(MATCH(L101,Financial_Statements_Builder!$R$405:$R$488,0))</f>
        <v>1</v>
      </c>
      <c r="P101" s="162" t="str">
        <f t="shared" ca="1" si="2"/>
        <v>Collections from customers30.05</v>
      </c>
      <c r="Q101" t="b">
        <f ca="1">ISNUMBER(MATCH(P101,Financial_Statements_Builder!$U$405:$U$488,0))</f>
        <v>1</v>
      </c>
      <c r="T101" s="162" t="str">
        <f t="shared" si="3"/>
        <v/>
      </c>
      <c r="U101" t="b">
        <f>ISNUMBER(MATCH(T101,Financial_Statements_Builder!$Y$405:$Y$488,0))</f>
        <v>1</v>
      </c>
    </row>
    <row r="102" spans="3:21" x14ac:dyDescent="0.3">
      <c r="C102" s="162" t="str">
        <f t="shared" si="0"/>
        <v xml:space="preserve"> Current Assets:</v>
      </c>
      <c r="D102" t="b">
        <f>ISNUMBER(MATCH(C102,Financial_Statements_Builder!$J$405:$J$488,0))</f>
        <v>1</v>
      </c>
      <c r="H102" s="162" t="str">
        <f t="shared" ca="1" si="1"/>
        <v>Sales40</v>
      </c>
      <c r="I102" t="b">
        <f ca="1">ISNUMBER(MATCH(H102,Financial_Statements_Builder!$N$405:$N$488,0))</f>
        <v>1</v>
      </c>
      <c r="L102" s="162" t="str">
        <f t="shared" ref="L102:L131" ca="1" si="4">_xlfn.CONCAT(L9:M9)</f>
        <v>Common Stock</v>
      </c>
      <c r="M102" t="b">
        <f ca="1">ISNUMBER(MATCH(L102,Financial_Statements_Builder!$R$405:$R$488,0))</f>
        <v>1</v>
      </c>
      <c r="P102" s="162" t="str">
        <f t="shared" ca="1" si="2"/>
        <v>Payments to suppliers-15</v>
      </c>
      <c r="Q102" t="b">
        <f ca="1">ISNUMBER(MATCH(P102,Financial_Statements_Builder!$U$405:$U$488,0))</f>
        <v>1</v>
      </c>
      <c r="T102" s="162" t="str">
        <f t="shared" si="3"/>
        <v xml:space="preserve"> Current Assets:</v>
      </c>
      <c r="U102" t="b">
        <f>ISNUMBER(MATCH(T102,Financial_Statements_Builder!$Y$405:$Y$488,0))</f>
        <v>1</v>
      </c>
    </row>
    <row r="103" spans="3:21" x14ac:dyDescent="0.3">
      <c r="C103" s="162" t="str">
        <f t="shared" si="0"/>
        <v>Cash0</v>
      </c>
      <c r="D103" t="b">
        <f>ISNUMBER(MATCH(C103,Financial_Statements_Builder!$J$405:$J$488,0))</f>
        <v>1</v>
      </c>
      <c r="H103" s="162" t="str">
        <f t="shared" ca="1" si="1"/>
        <v xml:space="preserve">  Total Revenues40</v>
      </c>
      <c r="I103" t="b">
        <f ca="1">ISNUMBER(MATCH(H103,Financial_Statements_Builder!$N$405:$N$488,0))</f>
        <v>1</v>
      </c>
      <c r="L103" s="162" t="str">
        <f t="shared" ca="1" si="4"/>
        <v>Issued Common Stock100</v>
      </c>
      <c r="M103" t="b">
        <f ca="1">ISNUMBER(MATCH(L103,Financial_Statements_Builder!$R$405:$R$488,0))</f>
        <v>1</v>
      </c>
      <c r="P103" s="162" t="str">
        <f t="shared" ca="1" si="2"/>
        <v>Payments to employees-6</v>
      </c>
      <c r="Q103" t="b">
        <f ca="1">ISNUMBER(MATCH(P103,Financial_Statements_Builder!$U$405:$U$488,0))</f>
        <v>1</v>
      </c>
      <c r="T103" s="162" t="str">
        <f t="shared" si="3"/>
        <v>Cash40.05</v>
      </c>
      <c r="U103" t="b">
        <f>ISNUMBER(MATCH(T103,Financial_Statements_Builder!$Y$405:$Y$488,0))</f>
        <v>1</v>
      </c>
    </row>
    <row r="104" spans="3:21" x14ac:dyDescent="0.3">
      <c r="C104" s="162" t="str">
        <f t="shared" si="0"/>
        <v>Accounts Receivable0</v>
      </c>
      <c r="D104" t="b">
        <f>ISNUMBER(MATCH(C104,Financial_Statements_Builder!$J$405:$J$488,0))</f>
        <v>1</v>
      </c>
      <c r="H104" s="162" t="str">
        <f t="shared" ca="1" si="1"/>
        <v/>
      </c>
      <c r="I104" t="b">
        <f ca="1">ISNUMBER(MATCH(H104,Financial_Statements_Builder!$N$405:$N$488,0))</f>
        <v>1</v>
      </c>
      <c r="L104" s="162" t="str">
        <f t="shared" ca="1" si="4"/>
        <v>Balance @ 12/31/20x4100</v>
      </c>
      <c r="M104" t="b">
        <f ca="1">ISNUMBER(MATCH(L104,Financial_Statements_Builder!$R$405:$R$488,0))</f>
        <v>1</v>
      </c>
      <c r="P104" s="162" t="str">
        <f t="shared" ca="1" si="2"/>
        <v>Payments for prepaid expenses-4</v>
      </c>
      <c r="Q104" t="b">
        <f ca="1">ISNUMBER(MATCH(P104,Financial_Statements_Builder!$U$405:$U$488,0))</f>
        <v>1</v>
      </c>
      <c r="T104" s="162" t="str">
        <f t="shared" si="3"/>
        <v>Accounts Receivable9.8</v>
      </c>
      <c r="U104" t="b">
        <f>ISNUMBER(MATCH(T104,Financial_Statements_Builder!$Y$405:$Y$488,0))</f>
        <v>1</v>
      </c>
    </row>
    <row r="105" spans="3:21" x14ac:dyDescent="0.3">
      <c r="C105" s="162" t="str">
        <f t="shared" si="0"/>
        <v>Marketable Securities0</v>
      </c>
      <c r="D105" t="b">
        <f>ISNUMBER(MATCH(C105,Financial_Statements_Builder!$J$405:$J$488,0))</f>
        <v>1</v>
      </c>
      <c r="H105" s="162" t="str">
        <f t="shared" ca="1" si="1"/>
        <v>EXPENSES</v>
      </c>
      <c r="I105" t="b">
        <f ca="1">ISNUMBER(MATCH(H105,Financial_Statements_Builder!$N$405:$N$488,0))</f>
        <v>1</v>
      </c>
      <c r="L105" s="162" t="str">
        <f t="shared" ca="1" si="4"/>
        <v>Retained Earnings</v>
      </c>
      <c r="M105" t="b">
        <f ca="1">ISNUMBER(MATCH(L105,Financial_Statements_Builder!$R$405:$R$488,0))</f>
        <v>1</v>
      </c>
      <c r="P105" s="162" t="str">
        <f t="shared" ca="1" si="2"/>
        <v>Total Cash Flow from Operating Activities5.05</v>
      </c>
      <c r="Q105" t="b">
        <f ca="1">ISNUMBER(MATCH(P105,Financial_Statements_Builder!$U$405:$U$488,0))</f>
        <v>1</v>
      </c>
      <c r="T105" s="162" t="str">
        <f t="shared" si="3"/>
        <v>Marketable Securities25</v>
      </c>
      <c r="U105" t="b">
        <f>ISNUMBER(MATCH(T105,Financial_Statements_Builder!$Y$405:$Y$488,0))</f>
        <v>1</v>
      </c>
    </row>
    <row r="106" spans="3:21" x14ac:dyDescent="0.3">
      <c r="C106" s="162" t="str">
        <f t="shared" si="0"/>
        <v>Inventories0</v>
      </c>
      <c r="D106" t="b">
        <f>ISNUMBER(MATCH(C106,Financial_Statements_Builder!$J$405:$J$488,0))</f>
        <v>1</v>
      </c>
      <c r="H106" s="162" t="str">
        <f t="shared" ca="1" si="1"/>
        <v/>
      </c>
      <c r="I106" t="b">
        <f ca="1">ISNUMBER(MATCH(H106,Financial_Statements_Builder!$N$405:$N$488,0))</f>
        <v>1</v>
      </c>
      <c r="L106" s="162" t="str">
        <f t="shared" ca="1" si="4"/>
        <v>Net Income (Loss)-4.2</v>
      </c>
      <c r="M106" t="b">
        <f ca="1">ISNUMBER(MATCH(L106,Financial_Statements_Builder!$R$405:$R$488,0))</f>
        <v>1</v>
      </c>
      <c r="P106" s="162" t="str">
        <f t="shared" ca="1" si="2"/>
        <v>Total Cash Flow from Operating Activities5.05</v>
      </c>
      <c r="Q106" t="b">
        <f ca="1">ISNUMBER(MATCH(P106,Financial_Statements_Builder!$U$405:$U$488,0))</f>
        <v>1</v>
      </c>
      <c r="T106" s="162" t="str">
        <f t="shared" si="3"/>
        <v>Inventories5</v>
      </c>
      <c r="U106" t="b">
        <f>ISNUMBER(MATCH(T106,Financial_Statements_Builder!$Y$405:$Y$488,0))</f>
        <v>1</v>
      </c>
    </row>
    <row r="107" spans="3:21" x14ac:dyDescent="0.3">
      <c r="C107" s="162" t="str">
        <f t="shared" si="0"/>
        <v>Prepaid Rent0</v>
      </c>
      <c r="D107" t="b">
        <f>ISNUMBER(MATCH(C107,Financial_Statements_Builder!$J$405:$J$488,0))</f>
        <v>1</v>
      </c>
      <c r="H107" s="162" t="str">
        <f t="shared" ca="1" si="1"/>
        <v>Cost of Goods Sold25</v>
      </c>
      <c r="I107" t="b">
        <f ca="1">ISNUMBER(MATCH(H107,Financial_Statements_Builder!$N$405:$N$488,0))</f>
        <v>1</v>
      </c>
      <c r="L107" s="162" t="str">
        <f t="shared" ca="1" si="4"/>
        <v>Balance @ 12/31/20x4-4.2</v>
      </c>
      <c r="M107" t="b">
        <f ca="1">ISNUMBER(MATCH(L107,Financial_Statements_Builder!$R$405:$R$488,0))</f>
        <v>1</v>
      </c>
      <c r="P107" s="162" t="str">
        <f t="shared" ca="1" si="2"/>
        <v/>
      </c>
      <c r="Q107" t="b">
        <f ca="1">ISNUMBER(MATCH(P107,Financial_Statements_Builder!$U$405:$U$488,0))</f>
        <v>1</v>
      </c>
      <c r="T107" s="162" t="str">
        <f t="shared" si="3"/>
        <v>Prepaid Rent1</v>
      </c>
      <c r="U107" t="b">
        <f>ISNUMBER(MATCH(T107,Financial_Statements_Builder!$Y$405:$Y$488,0))</f>
        <v>1</v>
      </c>
    </row>
    <row r="108" spans="3:21" x14ac:dyDescent="0.3">
      <c r="C108" s="162" t="str">
        <f t="shared" si="0"/>
        <v xml:space="preserve">  Total Current Assets0</v>
      </c>
      <c r="D108" t="b">
        <f>ISNUMBER(MATCH(C108,Financial_Statements_Builder!$J$405:$J$488,0))</f>
        <v>1</v>
      </c>
      <c r="H108" s="162" t="str">
        <f t="shared" ca="1" si="1"/>
        <v>Interest Expense1.55</v>
      </c>
      <c r="I108" t="b">
        <f ca="1">ISNUMBER(MATCH(H108,Financial_Statements_Builder!$N$405:$N$488,0))</f>
        <v>1</v>
      </c>
      <c r="L108" s="162" t="str">
        <f t="shared" si="4"/>
        <v/>
      </c>
      <c r="M108" t="b">
        <f ca="1">ISNUMBER(MATCH(L108,Financial_Statements_Builder!$R$405:$R$488,0))</f>
        <v>1</v>
      </c>
      <c r="P108" s="162" t="str">
        <f t="shared" ca="1" si="2"/>
        <v>Investing Activities</v>
      </c>
      <c r="Q108" t="b">
        <f ca="1">ISNUMBER(MATCH(P108,Financial_Statements_Builder!$U$405:$U$488,0))</f>
        <v>1</v>
      </c>
      <c r="T108" s="162" t="str">
        <f t="shared" si="3"/>
        <v xml:space="preserve">  Total Current Assets80.85</v>
      </c>
      <c r="U108" t="b">
        <f>ISNUMBER(MATCH(T108,Financial_Statements_Builder!$Y$405:$Y$488,0))</f>
        <v>1</v>
      </c>
    </row>
    <row r="109" spans="3:21" x14ac:dyDescent="0.3">
      <c r="C109" s="162" t="str">
        <f t="shared" si="0"/>
        <v/>
      </c>
      <c r="D109" t="b">
        <f>ISNUMBER(MATCH(C109,Financial_Statements_Builder!$J$405:$J$488,0))</f>
        <v>1</v>
      </c>
      <c r="H109" s="162" t="str">
        <f t="shared" ca="1" si="1"/>
        <v>Depreciation Expense7.5</v>
      </c>
      <c r="I109" t="b">
        <f ca="1">ISNUMBER(MATCH(H109,Financial_Statements_Builder!$N$405:$N$488,0))</f>
        <v>1</v>
      </c>
      <c r="L109" s="162" t="str">
        <f t="shared" si="4"/>
        <v/>
      </c>
      <c r="M109" t="b">
        <f ca="1">ISNUMBER(MATCH(L109,Financial_Statements_Builder!$R$405:$R$488,0))</f>
        <v>1</v>
      </c>
      <c r="P109" s="162" t="str">
        <f t="shared" ca="1" si="2"/>
        <v>Acquired marketable securities-25</v>
      </c>
      <c r="Q109" t="b">
        <f ca="1">ISNUMBER(MATCH(P109,Financial_Statements_Builder!$U$405:$U$488,0))</f>
        <v>1</v>
      </c>
      <c r="T109" s="162" t="str">
        <f t="shared" si="3"/>
        <v/>
      </c>
      <c r="U109" t="b">
        <f>ISNUMBER(MATCH(T109,Financial_Statements_Builder!$Y$405:$Y$488,0))</f>
        <v>1</v>
      </c>
    </row>
    <row r="110" spans="3:21" x14ac:dyDescent="0.3">
      <c r="C110" s="162" t="str">
        <f t="shared" si="0"/>
        <v xml:space="preserve"> Noncurrent Assets:</v>
      </c>
      <c r="D110" t="b">
        <f>ISNUMBER(MATCH(C110,Financial_Statements_Builder!$J$405:$J$488,0))</f>
        <v>1</v>
      </c>
      <c r="H110" s="162" t="str">
        <f t="shared" ca="1" si="1"/>
        <v>Rent Expense3</v>
      </c>
      <c r="I110" t="b">
        <f ca="1">ISNUMBER(MATCH(H110,Financial_Statements_Builder!$N$405:$N$488,0))</f>
        <v>1</v>
      </c>
      <c r="L110" s="162" t="str">
        <f t="shared" si="4"/>
        <v/>
      </c>
      <c r="M110" t="b">
        <f ca="1">ISNUMBER(MATCH(L110,Financial_Statements_Builder!$R$405:$R$488,0))</f>
        <v>1</v>
      </c>
      <c r="P110" s="162" t="str">
        <f t="shared" ca="1" si="2"/>
        <v>Acquired PP&amp;E-60</v>
      </c>
      <c r="Q110" t="b">
        <f ca="1">ISNUMBER(MATCH(P110,Financial_Statements_Builder!$U$405:$U$488,0))</f>
        <v>1</v>
      </c>
      <c r="T110" s="162" t="str">
        <f t="shared" si="3"/>
        <v xml:space="preserve"> Noncurrent Assets:</v>
      </c>
      <c r="U110" t="b">
        <f>ISNUMBER(MATCH(T110,Financial_Statements_Builder!$Y$405:$Y$488,0))</f>
        <v>1</v>
      </c>
    </row>
    <row r="111" spans="3:21" x14ac:dyDescent="0.3">
      <c r="C111" s="162" t="str">
        <f t="shared" si="0"/>
        <v>Property, Plant &amp; Equipment0</v>
      </c>
      <c r="D111" t="b">
        <f>ISNUMBER(MATCH(C111,Financial_Statements_Builder!$J$405:$J$488,0))</f>
        <v>1</v>
      </c>
      <c r="H111" s="162" t="str">
        <f t="shared" ca="1" si="1"/>
        <v>Bad Debts Expense0.15</v>
      </c>
      <c r="I111" t="b">
        <f ca="1">ISNUMBER(MATCH(H111,Financial_Statements_Builder!$N$405:$N$488,0))</f>
        <v>1</v>
      </c>
      <c r="L111" s="162" t="str">
        <f t="shared" si="4"/>
        <v/>
      </c>
      <c r="M111" t="b">
        <f ca="1">ISNUMBER(MATCH(L111,Financial_Statements_Builder!$R$405:$R$488,0))</f>
        <v>1</v>
      </c>
      <c r="P111" s="162" t="str">
        <f t="shared" ca="1" si="2"/>
        <v>Total Cash Flow from Investing Activities-85</v>
      </c>
      <c r="Q111" t="b">
        <f ca="1">ISNUMBER(MATCH(P111,Financial_Statements_Builder!$U$405:$U$488,0))</f>
        <v>1</v>
      </c>
      <c r="T111" s="162" t="str">
        <f t="shared" si="3"/>
        <v>Property, Plant &amp; Equipment60</v>
      </c>
      <c r="U111" t="b">
        <f>ISNUMBER(MATCH(T111,Financial_Statements_Builder!$Y$405:$Y$488,0))</f>
        <v>1</v>
      </c>
    </row>
    <row r="112" spans="3:21" x14ac:dyDescent="0.3">
      <c r="C112" s="162" t="str">
        <f t="shared" si="0"/>
        <v>Accumulated Depreciation0</v>
      </c>
      <c r="D112" t="b">
        <f>ISNUMBER(MATCH(C112,Financial_Statements_Builder!$J$405:$J$488,0))</f>
        <v>1</v>
      </c>
      <c r="H112" s="162" t="str">
        <f t="shared" ca="1" si="1"/>
        <v>Salaries &amp; Wages Expense7</v>
      </c>
      <c r="I112" t="b">
        <f ca="1">ISNUMBER(MATCH(H112,Financial_Statements_Builder!$N$405:$N$488,0))</f>
        <v>1</v>
      </c>
      <c r="L112" s="162" t="str">
        <f t="shared" si="4"/>
        <v/>
      </c>
      <c r="M112" t="b">
        <f ca="1">ISNUMBER(MATCH(L112,Financial_Statements_Builder!$R$405:$R$488,0))</f>
        <v>1</v>
      </c>
      <c r="P112" s="162" t="str">
        <f t="shared" ca="1" si="2"/>
        <v/>
      </c>
      <c r="Q112" t="b">
        <f ca="1">ISNUMBER(MATCH(P112,Financial_Statements_Builder!$U$405:$U$488,0))</f>
        <v>1</v>
      </c>
      <c r="T112" s="162" t="str">
        <f t="shared" si="3"/>
        <v>Accumulated Depreciation-7.5</v>
      </c>
      <c r="U112" t="b">
        <f>ISNUMBER(MATCH(T112,Financial_Statements_Builder!$Y$405:$Y$488,0))</f>
        <v>1</v>
      </c>
    </row>
    <row r="113" spans="3:21" x14ac:dyDescent="0.3">
      <c r="C113" s="162" t="str">
        <f t="shared" si="0"/>
        <v xml:space="preserve">  Total Noncurrent Assets0</v>
      </c>
      <c r="D113" t="b">
        <f>ISNUMBER(MATCH(C113,Financial_Statements_Builder!$J$405:$J$488,0))</f>
        <v>1</v>
      </c>
      <c r="H113" s="162" t="str">
        <f t="shared" ca="1" si="1"/>
        <v xml:space="preserve">  Total Expenses44.2</v>
      </c>
      <c r="I113" t="b">
        <f ca="1">ISNUMBER(MATCH(H113,Financial_Statements_Builder!$N$405:$N$488,0))</f>
        <v>1</v>
      </c>
      <c r="L113" s="162" t="str">
        <f t="shared" si="4"/>
        <v/>
      </c>
      <c r="M113" t="b">
        <f ca="1">ISNUMBER(MATCH(L113,Financial_Statements_Builder!$R$405:$R$488,0))</f>
        <v>1</v>
      </c>
      <c r="P113" s="162" t="str">
        <f t="shared" ca="1" si="2"/>
        <v>Financing Activities</v>
      </c>
      <c r="Q113" t="b">
        <f ca="1">ISNUMBER(MATCH(P113,Financial_Statements_Builder!$U$405:$U$488,0))</f>
        <v>1</v>
      </c>
      <c r="T113" s="162" t="str">
        <f t="shared" si="3"/>
        <v xml:space="preserve">  Total Noncurrent Assets52.5</v>
      </c>
      <c r="U113" t="b">
        <f>ISNUMBER(MATCH(T113,Financial_Statements_Builder!$Y$405:$Y$488,0))</f>
        <v>1</v>
      </c>
    </row>
    <row r="114" spans="3:21" x14ac:dyDescent="0.3">
      <c r="C114" s="162" t="str">
        <f t="shared" si="0"/>
        <v/>
      </c>
      <c r="D114" t="b">
        <f>ISNUMBER(MATCH(C114,Financial_Statements_Builder!$J$405:$J$488,0))</f>
        <v>1</v>
      </c>
      <c r="H114" s="162" t="str">
        <f t="shared" ca="1" si="1"/>
        <v/>
      </c>
      <c r="I114" t="b">
        <f ca="1">ISNUMBER(MATCH(H114,Financial_Statements_Builder!$N$405:$N$488,0))</f>
        <v>1</v>
      </c>
      <c r="L114" s="162" t="str">
        <f t="shared" si="4"/>
        <v/>
      </c>
      <c r="M114" t="b">
        <f ca="1">ISNUMBER(MATCH(L114,Financial_Statements_Builder!$R$405:$R$488,0))</f>
        <v>1</v>
      </c>
      <c r="P114" s="162" t="str">
        <f t="shared" ca="1" si="2"/>
        <v>Issued common stock100</v>
      </c>
      <c r="Q114" t="b">
        <f ca="1">ISNUMBER(MATCH(P114,Financial_Statements_Builder!$U$405:$U$488,0))</f>
        <v>1</v>
      </c>
      <c r="T114" s="162" t="str">
        <f t="shared" si="3"/>
        <v/>
      </c>
      <c r="U114" t="b">
        <f>ISNUMBER(MATCH(T114,Financial_Statements_Builder!$Y$405:$Y$488,0))</f>
        <v>1</v>
      </c>
    </row>
    <row r="115" spans="3:21" x14ac:dyDescent="0.3">
      <c r="C115" s="162" t="str">
        <f t="shared" si="0"/>
        <v>Total Assets0</v>
      </c>
      <c r="D115" t="b">
        <f>ISNUMBER(MATCH(C115,Financial_Statements_Builder!$J$405:$J$488,0))</f>
        <v>1</v>
      </c>
      <c r="H115" s="162" t="str">
        <f t="shared" ca="1" si="1"/>
        <v>Net Income-4.2</v>
      </c>
      <c r="I115" t="b">
        <f ca="1">ISNUMBER(MATCH(H115,Financial_Statements_Builder!$N$405:$N$488,0))</f>
        <v>1</v>
      </c>
      <c r="L115" s="162" t="str">
        <f t="shared" si="4"/>
        <v/>
      </c>
      <c r="M115" t="b">
        <f ca="1">ISNUMBER(MATCH(L115,Financial_Statements_Builder!$R$405:$R$488,0))</f>
        <v>1</v>
      </c>
      <c r="P115" s="162" t="str">
        <f t="shared" ca="1" si="2"/>
        <v>Issued bonds20</v>
      </c>
      <c r="Q115" t="b">
        <f ca="1">ISNUMBER(MATCH(P115,Financial_Statements_Builder!$U$405:$U$488,0))</f>
        <v>1</v>
      </c>
      <c r="T115" s="162" t="str">
        <f t="shared" si="3"/>
        <v>Total Assets133.35</v>
      </c>
      <c r="U115" t="b">
        <f>ISNUMBER(MATCH(T115,Financial_Statements_Builder!$Y$405:$Y$488,0))</f>
        <v>1</v>
      </c>
    </row>
    <row r="116" spans="3:21" x14ac:dyDescent="0.3">
      <c r="C116" s="162" t="str">
        <f t="shared" si="0"/>
        <v/>
      </c>
      <c r="D116" t="b">
        <f>ISNUMBER(MATCH(C116,Financial_Statements_Builder!$J$405:$J$488,0))</f>
        <v>1</v>
      </c>
      <c r="H116" s="162" t="str">
        <f t="shared" si="1"/>
        <v/>
      </c>
      <c r="I116" t="b">
        <f ca="1">ISNUMBER(MATCH(H116,Financial_Statements_Builder!$N$405:$N$488,0))</f>
        <v>1</v>
      </c>
      <c r="L116" s="162" t="str">
        <f t="shared" si="4"/>
        <v/>
      </c>
      <c r="M116" t="b">
        <f ca="1">ISNUMBER(MATCH(L116,Financial_Statements_Builder!$R$405:$R$488,0))</f>
        <v>1</v>
      </c>
      <c r="P116" s="162" t="str">
        <f t="shared" ca="1" si="2"/>
        <v>Total Cash Flow from Financing Activities120</v>
      </c>
      <c r="Q116" t="b">
        <f ca="1">ISNUMBER(MATCH(P116,Financial_Statements_Builder!$U$405:$U$488,0))</f>
        <v>1</v>
      </c>
      <c r="T116" s="162" t="str">
        <f t="shared" si="3"/>
        <v/>
      </c>
      <c r="U116" t="b">
        <f>ISNUMBER(MATCH(T116,Financial_Statements_Builder!$Y$405:$Y$488,0))</f>
        <v>1</v>
      </c>
    </row>
    <row r="117" spans="3:21" x14ac:dyDescent="0.3">
      <c r="C117" s="162" t="str">
        <f t="shared" si="0"/>
        <v>LIABILITIES</v>
      </c>
      <c r="D117" t="b">
        <f>ISNUMBER(MATCH(C117,Financial_Statements_Builder!$J$405:$J$488,0))</f>
        <v>1</v>
      </c>
      <c r="H117" s="162" t="str">
        <f t="shared" si="1"/>
        <v/>
      </c>
      <c r="I117" t="b">
        <f ca="1">ISNUMBER(MATCH(H117,Financial_Statements_Builder!$N$405:$N$488,0))</f>
        <v>1</v>
      </c>
      <c r="L117" s="162" t="str">
        <f t="shared" si="4"/>
        <v/>
      </c>
      <c r="M117" t="b">
        <f ca="1">ISNUMBER(MATCH(L117,Financial_Statements_Builder!$R$405:$R$488,0))</f>
        <v>1</v>
      </c>
      <c r="P117" s="162" t="str">
        <f t="shared" ca="1" si="2"/>
        <v/>
      </c>
      <c r="Q117" t="b">
        <f ca="1">ISNUMBER(MATCH(P117,Financial_Statements_Builder!$U$405:$U$488,0))</f>
        <v>1</v>
      </c>
      <c r="T117" s="162" t="str">
        <f t="shared" si="3"/>
        <v>LIABILITIES</v>
      </c>
      <c r="U117" t="b">
        <f>ISNUMBER(MATCH(T117,Financial_Statements_Builder!$Y$405:$Y$488,0))</f>
        <v>1</v>
      </c>
    </row>
    <row r="118" spans="3:21" x14ac:dyDescent="0.3">
      <c r="C118" s="162" t="str">
        <f t="shared" si="0"/>
        <v/>
      </c>
      <c r="D118" t="b">
        <f>ISNUMBER(MATCH(C118,Financial_Statements_Builder!$J$405:$J$488,0))</f>
        <v>1</v>
      </c>
      <c r="H118" s="162" t="str">
        <f t="shared" si="1"/>
        <v/>
      </c>
      <c r="I118" t="b">
        <f ca="1">ISNUMBER(MATCH(H118,Financial_Statements_Builder!$N$405:$N$488,0))</f>
        <v>1</v>
      </c>
      <c r="L118" s="162" t="str">
        <f t="shared" si="4"/>
        <v/>
      </c>
      <c r="M118" t="b">
        <f ca="1">ISNUMBER(MATCH(L118,Financial_Statements_Builder!$R$405:$R$488,0))</f>
        <v>1</v>
      </c>
      <c r="P118" s="162" t="str">
        <f t="shared" ca="1" si="2"/>
        <v>Increase (decrease) in cash40.05</v>
      </c>
      <c r="Q118" t="b">
        <f ca="1">ISNUMBER(MATCH(P118,Financial_Statements_Builder!$U$405:$U$488,0))</f>
        <v>1</v>
      </c>
      <c r="T118" s="162" t="str">
        <f t="shared" si="3"/>
        <v/>
      </c>
      <c r="U118" t="b">
        <f>ISNUMBER(MATCH(T118,Financial_Statements_Builder!$Y$405:$Y$488,0))</f>
        <v>1</v>
      </c>
    </row>
    <row r="119" spans="3:21" x14ac:dyDescent="0.3">
      <c r="C119" s="162" t="str">
        <f t="shared" si="0"/>
        <v xml:space="preserve"> Current Liabilities:</v>
      </c>
      <c r="D119" t="b">
        <f>ISNUMBER(MATCH(C119,Financial_Statements_Builder!$J$405:$J$488,0))</f>
        <v>1</v>
      </c>
      <c r="H119" s="162" t="str">
        <f t="shared" si="1"/>
        <v/>
      </c>
      <c r="I119" t="b">
        <f ca="1">ISNUMBER(MATCH(H119,Financial_Statements_Builder!$N$405:$N$488,0))</f>
        <v>1</v>
      </c>
      <c r="L119" s="162" t="str">
        <f t="shared" si="4"/>
        <v/>
      </c>
      <c r="M119" t="b">
        <f ca="1">ISNUMBER(MATCH(L119,Financial_Statements_Builder!$R$405:$R$488,0))</f>
        <v>1</v>
      </c>
      <c r="P119" s="162" t="str">
        <f t="shared" ca="1" si="2"/>
        <v>Cash @ 12/31/20x440.05</v>
      </c>
      <c r="Q119" t="b">
        <f ca="1">ISNUMBER(MATCH(P119,Financial_Statements_Builder!$U$405:$U$488,0))</f>
        <v>1</v>
      </c>
      <c r="T119" s="162" t="str">
        <f t="shared" si="3"/>
        <v xml:space="preserve"> Current Liabilities:</v>
      </c>
      <c r="U119" t="b">
        <f>ISNUMBER(MATCH(T119,Financial_Statements_Builder!$Y$405:$Y$488,0))</f>
        <v>1</v>
      </c>
    </row>
    <row r="120" spans="3:21" x14ac:dyDescent="0.3">
      <c r="C120" s="162" t="str">
        <f t="shared" ref="C120:C154" si="5">C27&amp;D27</f>
        <v>Accounts Payable0</v>
      </c>
      <c r="D120" t="b">
        <f>ISNUMBER(MATCH(C120,Financial_Statements_Builder!$J$405:$J$488,0))</f>
        <v>1</v>
      </c>
      <c r="H120" s="162" t="str">
        <f t="shared" ref="H120:H156" si="6">H27&amp;I27</f>
        <v/>
      </c>
      <c r="I120" t="b">
        <f ca="1">ISNUMBER(MATCH(H120,Financial_Statements_Builder!$N$405:$N$488,0))</f>
        <v>1</v>
      </c>
      <c r="L120" s="162" t="str">
        <f t="shared" si="4"/>
        <v/>
      </c>
      <c r="M120" t="b">
        <f ca="1">ISNUMBER(MATCH(L120,Financial_Statements_Builder!$R$405:$R$488,0))</f>
        <v>1</v>
      </c>
      <c r="P120" s="162" t="str">
        <f t="shared" ref="P120:P154" ca="1" si="7">P27&amp;Q27</f>
        <v/>
      </c>
      <c r="Q120" t="b">
        <f ca="1">ISNUMBER(MATCH(P120,Financial_Statements_Builder!$U$405:$U$488,0))</f>
        <v>1</v>
      </c>
      <c r="T120" s="162" t="str">
        <f t="shared" ref="T120:T151" si="8">T27&amp;U27</f>
        <v>Accounts Payable15</v>
      </c>
      <c r="U120" t="b">
        <f>ISNUMBER(MATCH(T120,Financial_Statements_Builder!$Y$405:$Y$488,0))</f>
        <v>1</v>
      </c>
    </row>
    <row r="121" spans="3:21" x14ac:dyDescent="0.3">
      <c r="C121" s="162" t="str">
        <f t="shared" si="5"/>
        <v>Interest Payable0</v>
      </c>
      <c r="D121" t="b">
        <f>ISNUMBER(MATCH(C121,Financial_Statements_Builder!$J$405:$J$488,0))</f>
        <v>1</v>
      </c>
      <c r="H121" s="162" t="str">
        <f t="shared" si="6"/>
        <v/>
      </c>
      <c r="I121" t="b">
        <f ca="1">ISNUMBER(MATCH(H121,Financial_Statements_Builder!$N$405:$N$488,0))</f>
        <v>1</v>
      </c>
      <c r="L121" s="162" t="str">
        <f t="shared" si="4"/>
        <v/>
      </c>
      <c r="M121" t="b">
        <f ca="1">ISNUMBER(MATCH(L121,Financial_Statements_Builder!$R$405:$R$488,0))</f>
        <v>1</v>
      </c>
      <c r="P121" s="162" t="str">
        <f t="shared" ca="1" si="7"/>
        <v/>
      </c>
      <c r="Q121" t="b">
        <f ca="1">ISNUMBER(MATCH(P121,Financial_Statements_Builder!$U$405:$U$488,0))</f>
        <v>1</v>
      </c>
      <c r="T121" s="162" t="str">
        <f t="shared" si="8"/>
        <v>Interest Payable1.55</v>
      </c>
      <c r="U121" t="b">
        <f>ISNUMBER(MATCH(T121,Financial_Statements_Builder!$Y$405:$Y$488,0))</f>
        <v>1</v>
      </c>
    </row>
    <row r="122" spans="3:21" x14ac:dyDescent="0.3">
      <c r="C122" s="162" t="str">
        <f t="shared" si="5"/>
        <v>Salaries &amp; Wages Payable0</v>
      </c>
      <c r="D122" t="b">
        <f>ISNUMBER(MATCH(C122,Financial_Statements_Builder!$J$405:$J$488,0))</f>
        <v>1</v>
      </c>
      <c r="H122" s="162" t="str">
        <f t="shared" si="6"/>
        <v/>
      </c>
      <c r="I122" t="b">
        <f ca="1">ISNUMBER(MATCH(H122,Financial_Statements_Builder!$N$405:$N$488,0))</f>
        <v>1</v>
      </c>
      <c r="L122" s="162" t="str">
        <f t="shared" si="4"/>
        <v/>
      </c>
      <c r="M122" t="b">
        <f ca="1">ISNUMBER(MATCH(L122,Financial_Statements_Builder!$R$405:$R$488,0))</f>
        <v>1</v>
      </c>
      <c r="P122" s="162" t="str">
        <f t="shared" ca="1" si="7"/>
        <v/>
      </c>
      <c r="Q122" t="b">
        <f ca="1">ISNUMBER(MATCH(P122,Financial_Statements_Builder!$U$405:$U$488,0))</f>
        <v>1</v>
      </c>
      <c r="T122" s="162" t="str">
        <f t="shared" si="8"/>
        <v>Salaries &amp; Wages Payable1</v>
      </c>
      <c r="U122" t="b">
        <f>ISNUMBER(MATCH(T122,Financial_Statements_Builder!$Y$405:$Y$488,0))</f>
        <v>1</v>
      </c>
    </row>
    <row r="123" spans="3:21" x14ac:dyDescent="0.3">
      <c r="C123" s="162" t="str">
        <f t="shared" si="5"/>
        <v xml:space="preserve">  Total Current Liabilities0</v>
      </c>
      <c r="D123" t="b">
        <f>ISNUMBER(MATCH(C123,Financial_Statements_Builder!$J$405:$J$488,0))</f>
        <v>1</v>
      </c>
      <c r="H123" s="162" t="str">
        <f t="shared" si="6"/>
        <v/>
      </c>
      <c r="I123" t="b">
        <f ca="1">ISNUMBER(MATCH(H123,Financial_Statements_Builder!$N$405:$N$488,0))</f>
        <v>1</v>
      </c>
      <c r="L123" s="162" t="str">
        <f t="shared" si="4"/>
        <v/>
      </c>
      <c r="M123" t="b">
        <f ca="1">ISNUMBER(MATCH(L123,Financial_Statements_Builder!$R$405:$R$488,0))</f>
        <v>1</v>
      </c>
      <c r="P123" s="162" t="str">
        <f t="shared" si="7"/>
        <v/>
      </c>
      <c r="Q123" t="b">
        <f ca="1">ISNUMBER(MATCH(P123,Financial_Statements_Builder!$U$405:$U$488,0))</f>
        <v>1</v>
      </c>
      <c r="T123" s="162" t="str">
        <f t="shared" si="8"/>
        <v xml:space="preserve">  Total Current Liabilities17.55</v>
      </c>
      <c r="U123" t="b">
        <f>ISNUMBER(MATCH(T123,Financial_Statements_Builder!$Y$405:$Y$488,0))</f>
        <v>1</v>
      </c>
    </row>
    <row r="124" spans="3:21" x14ac:dyDescent="0.3">
      <c r="C124" s="162" t="str">
        <f t="shared" si="5"/>
        <v/>
      </c>
      <c r="D124" t="b">
        <f>ISNUMBER(MATCH(C124,Financial_Statements_Builder!$J$405:$J$488,0))</f>
        <v>1</v>
      </c>
      <c r="H124" s="162" t="str">
        <f t="shared" si="6"/>
        <v/>
      </c>
      <c r="I124" t="b">
        <f ca="1">ISNUMBER(MATCH(H124,Financial_Statements_Builder!$N$405:$N$488,0))</f>
        <v>1</v>
      </c>
      <c r="L124" s="162" t="str">
        <f t="shared" si="4"/>
        <v/>
      </c>
      <c r="M124" t="b">
        <f ca="1">ISNUMBER(MATCH(L124,Financial_Statements_Builder!$R$405:$R$488,0))</f>
        <v>1</v>
      </c>
      <c r="P124" s="162" t="str">
        <f t="shared" si="7"/>
        <v/>
      </c>
      <c r="Q124" t="b">
        <f ca="1">ISNUMBER(MATCH(P124,Financial_Statements_Builder!$U$405:$U$488,0))</f>
        <v>1</v>
      </c>
      <c r="T124" s="162" t="str">
        <f t="shared" si="8"/>
        <v/>
      </c>
      <c r="U124" t="b">
        <f>ISNUMBER(MATCH(T124,Financial_Statements_Builder!$Y$405:$Y$488,0))</f>
        <v>1</v>
      </c>
    </row>
    <row r="125" spans="3:21" x14ac:dyDescent="0.3">
      <c r="C125" s="162" t="str">
        <f t="shared" si="5"/>
        <v xml:space="preserve"> Noncurrent Liabilities:</v>
      </c>
      <c r="D125" t="b">
        <f>ISNUMBER(MATCH(C125,Financial_Statements_Builder!$J$405:$J$488,0))</f>
        <v>1</v>
      </c>
      <c r="H125" s="162" t="str">
        <f t="shared" si="6"/>
        <v/>
      </c>
      <c r="I125" t="b">
        <f ca="1">ISNUMBER(MATCH(H125,Financial_Statements_Builder!$N$405:$N$488,0))</f>
        <v>1</v>
      </c>
      <c r="L125" s="162" t="str">
        <f t="shared" si="4"/>
        <v/>
      </c>
      <c r="M125" t="b">
        <f ca="1">ISNUMBER(MATCH(L125,Financial_Statements_Builder!$R$405:$R$488,0))</f>
        <v>1</v>
      </c>
      <c r="P125" s="162" t="str">
        <f t="shared" si="7"/>
        <v/>
      </c>
      <c r="Q125" t="b">
        <f ca="1">ISNUMBER(MATCH(P125,Financial_Statements_Builder!$U$405:$U$488,0))</f>
        <v>1</v>
      </c>
      <c r="T125" s="162" t="str">
        <f t="shared" si="8"/>
        <v xml:space="preserve"> Noncurrent Liabilities:</v>
      </c>
      <c r="U125" t="b">
        <f>ISNUMBER(MATCH(T125,Financial_Statements_Builder!$Y$405:$Y$488,0))</f>
        <v>1</v>
      </c>
    </row>
    <row r="126" spans="3:21" x14ac:dyDescent="0.3">
      <c r="C126" s="162" t="str">
        <f t="shared" si="5"/>
        <v>Bonds Payable0</v>
      </c>
      <c r="D126" t="b">
        <f>ISNUMBER(MATCH(C126,Financial_Statements_Builder!$J$405:$J$488,0))</f>
        <v>1</v>
      </c>
      <c r="H126" s="162" t="str">
        <f t="shared" si="6"/>
        <v/>
      </c>
      <c r="I126" t="b">
        <f ca="1">ISNUMBER(MATCH(H126,Financial_Statements_Builder!$N$405:$N$488,0))</f>
        <v>1</v>
      </c>
      <c r="L126" s="162" t="str">
        <f t="shared" si="4"/>
        <v/>
      </c>
      <c r="M126" t="b">
        <f ca="1">ISNUMBER(MATCH(L126,Financial_Statements_Builder!$R$405:$R$488,0))</f>
        <v>1</v>
      </c>
      <c r="P126" s="162" t="str">
        <f t="shared" si="7"/>
        <v/>
      </c>
      <c r="Q126" t="b">
        <f ca="1">ISNUMBER(MATCH(P126,Financial_Statements_Builder!$U$405:$U$488,0))</f>
        <v>1</v>
      </c>
      <c r="T126" s="162" t="str">
        <f t="shared" si="8"/>
        <v>Bonds Payable20</v>
      </c>
      <c r="U126" t="b">
        <f>ISNUMBER(MATCH(T126,Financial_Statements_Builder!$Y$405:$Y$488,0))</f>
        <v>1</v>
      </c>
    </row>
    <row r="127" spans="3:21" x14ac:dyDescent="0.3">
      <c r="C127" s="162" t="str">
        <f t="shared" si="5"/>
        <v xml:space="preserve">  Total Noncurrent Liabilities0</v>
      </c>
      <c r="D127" t="b">
        <f>ISNUMBER(MATCH(C127,Financial_Statements_Builder!$J$405:$J$488,0))</f>
        <v>1</v>
      </c>
      <c r="H127" s="162" t="str">
        <f t="shared" si="6"/>
        <v/>
      </c>
      <c r="I127" t="b">
        <f ca="1">ISNUMBER(MATCH(H127,Financial_Statements_Builder!$N$405:$N$488,0))</f>
        <v>1</v>
      </c>
      <c r="L127" s="162" t="str">
        <f t="shared" si="4"/>
        <v/>
      </c>
      <c r="M127" t="b">
        <f ca="1">ISNUMBER(MATCH(L127,Financial_Statements_Builder!$R$405:$R$488,0))</f>
        <v>1</v>
      </c>
      <c r="P127" s="162" t="str">
        <f t="shared" si="7"/>
        <v/>
      </c>
      <c r="Q127" t="b">
        <f ca="1">ISNUMBER(MATCH(P127,Financial_Statements_Builder!$U$405:$U$488,0))</f>
        <v>1</v>
      </c>
      <c r="T127" s="162" t="str">
        <f t="shared" si="8"/>
        <v xml:space="preserve">  Total Noncurrent Liabilities20</v>
      </c>
      <c r="U127" t="b">
        <f>ISNUMBER(MATCH(T127,Financial_Statements_Builder!$Y$405:$Y$488,0))</f>
        <v>1</v>
      </c>
    </row>
    <row r="128" spans="3:21" x14ac:dyDescent="0.3">
      <c r="C128" s="162" t="str">
        <f t="shared" si="5"/>
        <v>Total Liabilities0</v>
      </c>
      <c r="D128" t="b">
        <f>ISNUMBER(MATCH(C128,Financial_Statements_Builder!$J$405:$J$488,0))</f>
        <v>1</v>
      </c>
      <c r="H128" s="162" t="str">
        <f t="shared" si="6"/>
        <v/>
      </c>
      <c r="I128" t="b">
        <f ca="1">ISNUMBER(MATCH(H128,Financial_Statements_Builder!$N$405:$N$488,0))</f>
        <v>1</v>
      </c>
      <c r="L128" s="162" t="str">
        <f t="shared" si="4"/>
        <v/>
      </c>
      <c r="M128" t="b">
        <f ca="1">ISNUMBER(MATCH(L128,Financial_Statements_Builder!$R$405:$R$488,0))</f>
        <v>1</v>
      </c>
      <c r="P128" s="162" t="str">
        <f t="shared" si="7"/>
        <v/>
      </c>
      <c r="Q128" t="b">
        <f ca="1">ISNUMBER(MATCH(P128,Financial_Statements_Builder!$U$405:$U$488,0))</f>
        <v>1</v>
      </c>
      <c r="T128" s="162" t="str">
        <f t="shared" si="8"/>
        <v>Total Liabilities37.55</v>
      </c>
      <c r="U128" t="b">
        <f>ISNUMBER(MATCH(T128,Financial_Statements_Builder!$Y$405:$Y$488,0))</f>
        <v>1</v>
      </c>
    </row>
    <row r="129" spans="3:21" x14ac:dyDescent="0.3">
      <c r="C129" s="162" t="str">
        <f t="shared" si="5"/>
        <v/>
      </c>
      <c r="D129" t="b">
        <f>ISNUMBER(MATCH(C129,Financial_Statements_Builder!$J$405:$J$488,0))</f>
        <v>1</v>
      </c>
      <c r="H129" s="162" t="str">
        <f t="shared" si="6"/>
        <v/>
      </c>
      <c r="I129" t="b">
        <f ca="1">ISNUMBER(MATCH(H129,Financial_Statements_Builder!$N$405:$N$488,0))</f>
        <v>1</v>
      </c>
      <c r="L129" s="162" t="str">
        <f t="shared" si="4"/>
        <v/>
      </c>
      <c r="M129" t="b">
        <f ca="1">ISNUMBER(MATCH(L129,Financial_Statements_Builder!$R$405:$R$488,0))</f>
        <v>1</v>
      </c>
      <c r="P129" s="162" t="str">
        <f t="shared" si="7"/>
        <v/>
      </c>
      <c r="Q129" t="b">
        <f ca="1">ISNUMBER(MATCH(P129,Financial_Statements_Builder!$U$405:$U$488,0))</f>
        <v>1</v>
      </c>
      <c r="T129" s="162" t="str">
        <f t="shared" si="8"/>
        <v/>
      </c>
      <c r="U129" t="b">
        <f>ISNUMBER(MATCH(T129,Financial_Statements_Builder!$Y$405:$Y$488,0))</f>
        <v>1</v>
      </c>
    </row>
    <row r="130" spans="3:21" x14ac:dyDescent="0.3">
      <c r="C130" s="162" t="str">
        <f t="shared" si="5"/>
        <v>EQUITIES</v>
      </c>
      <c r="D130" t="b">
        <f>ISNUMBER(MATCH(C130,Financial_Statements_Builder!$J$405:$J$488,0))</f>
        <v>1</v>
      </c>
      <c r="H130" s="162" t="str">
        <f t="shared" si="6"/>
        <v/>
      </c>
      <c r="I130" t="b">
        <f ca="1">ISNUMBER(MATCH(H130,Financial_Statements_Builder!$N$405:$N$488,0))</f>
        <v>1</v>
      </c>
      <c r="L130" s="162" t="str">
        <f t="shared" si="4"/>
        <v/>
      </c>
      <c r="M130" t="b">
        <f ca="1">ISNUMBER(MATCH(L130,Financial_Statements_Builder!$R$405:$R$488,0))</f>
        <v>1</v>
      </c>
      <c r="P130" s="162" t="str">
        <f t="shared" si="7"/>
        <v/>
      </c>
      <c r="Q130" t="b">
        <f ca="1">ISNUMBER(MATCH(P130,Financial_Statements_Builder!$U$405:$U$488,0))</f>
        <v>1</v>
      </c>
      <c r="T130" s="162" t="str">
        <f t="shared" si="8"/>
        <v>EQUITIES</v>
      </c>
      <c r="U130" t="b">
        <f>ISNUMBER(MATCH(T130,Financial_Statements_Builder!$Y$405:$Y$488,0))</f>
        <v>1</v>
      </c>
    </row>
    <row r="131" spans="3:21" x14ac:dyDescent="0.3">
      <c r="C131" s="162" t="str">
        <f t="shared" si="5"/>
        <v/>
      </c>
      <c r="D131" t="b">
        <f>ISNUMBER(MATCH(C131,Financial_Statements_Builder!$J$405:$J$488,0))</f>
        <v>1</v>
      </c>
      <c r="H131" s="162" t="str">
        <f t="shared" si="6"/>
        <v/>
      </c>
      <c r="I131" t="b">
        <f ca="1">ISNUMBER(MATCH(H131,Financial_Statements_Builder!$N$405:$N$488,0))</f>
        <v>1</v>
      </c>
      <c r="L131" s="162" t="str">
        <f t="shared" si="4"/>
        <v/>
      </c>
      <c r="M131" t="b">
        <f ca="1">ISNUMBER(MATCH(L131,Financial_Statements_Builder!$R$405:$R$488,0))</f>
        <v>1</v>
      </c>
      <c r="P131" s="162" t="str">
        <f t="shared" si="7"/>
        <v/>
      </c>
      <c r="Q131" t="b">
        <f ca="1">ISNUMBER(MATCH(P131,Financial_Statements_Builder!$U$405:$U$488,0))</f>
        <v>1</v>
      </c>
      <c r="T131" s="162" t="str">
        <f t="shared" si="8"/>
        <v/>
      </c>
      <c r="U131" t="b">
        <f>ISNUMBER(MATCH(T131,Financial_Statements_Builder!$Y$405:$Y$488,0))</f>
        <v>1</v>
      </c>
    </row>
    <row r="132" spans="3:21" x14ac:dyDescent="0.3">
      <c r="C132" s="162" t="str">
        <f t="shared" si="5"/>
        <v>Common Stock0</v>
      </c>
      <c r="D132" t="b">
        <f>ISNUMBER(MATCH(C132,Financial_Statements_Builder!$J$405:$J$488,0))</f>
        <v>1</v>
      </c>
      <c r="H132" s="162" t="str">
        <f t="shared" si="6"/>
        <v/>
      </c>
      <c r="I132" t="b">
        <f ca="1">ISNUMBER(MATCH(H132,Financial_Statements_Builder!$N$405:$N$488,0))</f>
        <v>1</v>
      </c>
      <c r="L132" s="162" t="str">
        <f t="shared" ref="L132:L154" si="9">_xlfn.CONCAT(L39:M39)</f>
        <v/>
      </c>
      <c r="M132" t="b">
        <f ca="1">ISNUMBER(MATCH(L132,Financial_Statements_Builder!$R$405:$R$488,0))</f>
        <v>1</v>
      </c>
      <c r="P132" s="162" t="str">
        <f t="shared" si="7"/>
        <v/>
      </c>
      <c r="Q132" t="b">
        <f ca="1">ISNUMBER(MATCH(P132,Financial_Statements_Builder!$U$405:$U$488,0))</f>
        <v>1</v>
      </c>
      <c r="T132" s="162" t="str">
        <f t="shared" si="8"/>
        <v>Common Stock100</v>
      </c>
      <c r="U132" t="b">
        <f>ISNUMBER(MATCH(T132,Financial_Statements_Builder!$Y$405:$Y$488,0))</f>
        <v>1</v>
      </c>
    </row>
    <row r="133" spans="3:21" x14ac:dyDescent="0.3">
      <c r="C133" s="162" t="str">
        <f t="shared" si="5"/>
        <v>Retained Earnings0</v>
      </c>
      <c r="D133" t="b">
        <f>ISNUMBER(MATCH(C133,Financial_Statements_Builder!$J$405:$J$488,0))</f>
        <v>1</v>
      </c>
      <c r="H133" s="162" t="str">
        <f t="shared" si="6"/>
        <v/>
      </c>
      <c r="I133" t="b">
        <f ca="1">ISNUMBER(MATCH(H133,Financial_Statements_Builder!$N$405:$N$488,0))</f>
        <v>1</v>
      </c>
      <c r="L133" s="162" t="str">
        <f t="shared" si="9"/>
        <v/>
      </c>
      <c r="M133" t="b">
        <f ca="1">ISNUMBER(MATCH(L133,Financial_Statements_Builder!$R$405:$R$488,0))</f>
        <v>1</v>
      </c>
      <c r="P133" s="162" t="str">
        <f t="shared" si="7"/>
        <v/>
      </c>
      <c r="Q133" t="b">
        <f ca="1">ISNUMBER(MATCH(P133,Financial_Statements_Builder!$U$405:$U$488,0))</f>
        <v>1</v>
      </c>
      <c r="T133" s="162" t="str">
        <f t="shared" si="8"/>
        <v>Retained Earnings-4.2</v>
      </c>
      <c r="U133" t="b">
        <f>ISNUMBER(MATCH(T133,Financial_Statements_Builder!$Y$405:$Y$488,0))</f>
        <v>1</v>
      </c>
    </row>
    <row r="134" spans="3:21" x14ac:dyDescent="0.3">
      <c r="C134" s="162" t="str">
        <f t="shared" si="5"/>
        <v>Total Equities0</v>
      </c>
      <c r="D134" t="b">
        <f>ISNUMBER(MATCH(C134,Financial_Statements_Builder!$J$405:$J$488,0))</f>
        <v>1</v>
      </c>
      <c r="H134" s="162" t="str">
        <f t="shared" si="6"/>
        <v/>
      </c>
      <c r="I134" t="b">
        <f ca="1">ISNUMBER(MATCH(H134,Financial_Statements_Builder!$N$405:$N$488,0))</f>
        <v>1</v>
      </c>
      <c r="L134" s="162" t="str">
        <f t="shared" si="9"/>
        <v/>
      </c>
      <c r="M134" t="b">
        <f ca="1">ISNUMBER(MATCH(L134,Financial_Statements_Builder!$R$405:$R$488,0))</f>
        <v>1</v>
      </c>
      <c r="P134" s="162" t="str">
        <f t="shared" si="7"/>
        <v/>
      </c>
      <c r="Q134" t="b">
        <f ca="1">ISNUMBER(MATCH(P134,Financial_Statements_Builder!$U$405:$U$488,0))</f>
        <v>1</v>
      </c>
      <c r="T134" s="162" t="str">
        <f t="shared" si="8"/>
        <v>Total Equities95.8</v>
      </c>
      <c r="U134" t="b">
        <f>ISNUMBER(MATCH(T134,Financial_Statements_Builder!$Y$405:$Y$488,0))</f>
        <v>1</v>
      </c>
    </row>
    <row r="135" spans="3:21" x14ac:dyDescent="0.3">
      <c r="C135" s="162" t="str">
        <f t="shared" si="5"/>
        <v/>
      </c>
      <c r="D135" t="b">
        <f>ISNUMBER(MATCH(C135,Financial_Statements_Builder!$J$405:$J$488,0))</f>
        <v>1</v>
      </c>
      <c r="H135" s="162" t="str">
        <f t="shared" si="6"/>
        <v/>
      </c>
      <c r="I135" t="b">
        <f ca="1">ISNUMBER(MATCH(H135,Financial_Statements_Builder!$N$405:$N$488,0))</f>
        <v>1</v>
      </c>
      <c r="L135" s="162" t="str">
        <f t="shared" si="9"/>
        <v/>
      </c>
      <c r="M135" t="b">
        <f ca="1">ISNUMBER(MATCH(L135,Financial_Statements_Builder!$R$405:$R$488,0))</f>
        <v>1</v>
      </c>
      <c r="P135" s="162" t="str">
        <f t="shared" si="7"/>
        <v/>
      </c>
      <c r="Q135" t="b">
        <f ca="1">ISNUMBER(MATCH(P135,Financial_Statements_Builder!$U$405:$U$488,0))</f>
        <v>1</v>
      </c>
      <c r="T135" s="162" t="str">
        <f t="shared" si="8"/>
        <v/>
      </c>
      <c r="U135" t="b">
        <f>ISNUMBER(MATCH(T135,Financial_Statements_Builder!$Y$405:$Y$488,0))</f>
        <v>1</v>
      </c>
    </row>
    <row r="136" spans="3:21" x14ac:dyDescent="0.3">
      <c r="C136" s="162" t="str">
        <f t="shared" si="5"/>
        <v>Total Liabilities and Equities0</v>
      </c>
      <c r="D136" t="b">
        <f>ISNUMBER(MATCH(C136,Financial_Statements_Builder!$J$405:$J$488,0))</f>
        <v>1</v>
      </c>
      <c r="H136" s="162" t="str">
        <f t="shared" si="6"/>
        <v/>
      </c>
      <c r="I136" t="b">
        <f ca="1">ISNUMBER(MATCH(H136,Financial_Statements_Builder!$N$405:$N$488,0))</f>
        <v>1</v>
      </c>
      <c r="L136" s="162" t="str">
        <f t="shared" si="9"/>
        <v/>
      </c>
      <c r="M136" t="b">
        <f ca="1">ISNUMBER(MATCH(L136,Financial_Statements_Builder!$R$405:$R$488,0))</f>
        <v>1</v>
      </c>
      <c r="P136" s="162" t="str">
        <f t="shared" si="7"/>
        <v/>
      </c>
      <c r="Q136" t="b">
        <f ca="1">ISNUMBER(MATCH(P136,Financial_Statements_Builder!$U$405:$U$488,0))</f>
        <v>1</v>
      </c>
      <c r="T136" s="162" t="str">
        <f t="shared" si="8"/>
        <v>Total Liabilities and Equities133.35</v>
      </c>
      <c r="U136" t="b">
        <f>ISNUMBER(MATCH(T136,Financial_Statements_Builder!$Y$405:$Y$488,0))</f>
        <v>1</v>
      </c>
    </row>
    <row r="137" spans="3:21" x14ac:dyDescent="0.3">
      <c r="C137" s="162" t="str">
        <f t="shared" si="5"/>
        <v/>
      </c>
      <c r="D137" t="b">
        <f>ISNUMBER(MATCH(C137,Financial_Statements_Builder!$J$405:$J$488,0))</f>
        <v>1</v>
      </c>
      <c r="H137" s="162" t="str">
        <f t="shared" si="6"/>
        <v/>
      </c>
      <c r="I137" t="b">
        <f ca="1">ISNUMBER(MATCH(H137,Financial_Statements_Builder!$N$405:$N$488,0))</f>
        <v>1</v>
      </c>
      <c r="L137" s="162" t="str">
        <f t="shared" si="9"/>
        <v/>
      </c>
      <c r="M137" t="b">
        <f ca="1">ISNUMBER(MATCH(L137,Financial_Statements_Builder!$R$405:$R$488,0))</f>
        <v>1</v>
      </c>
      <c r="P137" s="162" t="str">
        <f t="shared" si="7"/>
        <v/>
      </c>
      <c r="Q137" t="b">
        <f ca="1">ISNUMBER(MATCH(P137,Financial_Statements_Builder!$U$405:$U$488,0))</f>
        <v>1</v>
      </c>
      <c r="T137" s="162" t="str">
        <f t="shared" si="8"/>
        <v/>
      </c>
      <c r="U137" t="b">
        <f>ISNUMBER(MATCH(T137,Financial_Statements_Builder!$Y$405:$Y$488,0))</f>
        <v>1</v>
      </c>
    </row>
    <row r="138" spans="3:21" x14ac:dyDescent="0.3">
      <c r="C138" s="162" t="str">
        <f t="shared" si="5"/>
        <v/>
      </c>
      <c r="D138" t="b">
        <f>ISNUMBER(MATCH(C138,Financial_Statements_Builder!$J$405:$J$488,0))</f>
        <v>1</v>
      </c>
      <c r="H138" s="162" t="str">
        <f t="shared" si="6"/>
        <v/>
      </c>
      <c r="I138" t="b">
        <f ca="1">ISNUMBER(MATCH(H138,Financial_Statements_Builder!$N$405:$N$488,0))</f>
        <v>1</v>
      </c>
      <c r="L138" s="162" t="str">
        <f t="shared" si="9"/>
        <v/>
      </c>
      <c r="M138" t="b">
        <f ca="1">ISNUMBER(MATCH(L138,Financial_Statements_Builder!$R$405:$R$488,0))</f>
        <v>1</v>
      </c>
      <c r="P138" s="162" t="str">
        <f t="shared" si="7"/>
        <v/>
      </c>
      <c r="Q138" t="b">
        <f ca="1">ISNUMBER(MATCH(P138,Financial_Statements_Builder!$U$405:$U$488,0))</f>
        <v>1</v>
      </c>
      <c r="T138" s="162" t="str">
        <f t="shared" si="8"/>
        <v/>
      </c>
      <c r="U138" t="b">
        <f>ISNUMBER(MATCH(T138,Financial_Statements_Builder!$Y$405:$Y$488,0))</f>
        <v>1</v>
      </c>
    </row>
    <row r="139" spans="3:21" x14ac:dyDescent="0.3">
      <c r="C139" s="162" t="str">
        <f t="shared" si="5"/>
        <v/>
      </c>
      <c r="D139" t="b">
        <f>ISNUMBER(MATCH(C139,Financial_Statements_Builder!$J$405:$J$488,0))</f>
        <v>1</v>
      </c>
      <c r="H139" s="162" t="str">
        <f t="shared" si="6"/>
        <v/>
      </c>
      <c r="I139" t="b">
        <f ca="1">ISNUMBER(MATCH(H139,Financial_Statements_Builder!$N$405:$N$488,0))</f>
        <v>1</v>
      </c>
      <c r="L139" s="162" t="str">
        <f t="shared" si="9"/>
        <v/>
      </c>
      <c r="M139" t="b">
        <f ca="1">ISNUMBER(MATCH(L139,Financial_Statements_Builder!$R$405:$R$488,0))</f>
        <v>1</v>
      </c>
      <c r="P139" s="162" t="str">
        <f t="shared" si="7"/>
        <v/>
      </c>
      <c r="Q139" t="b">
        <f ca="1">ISNUMBER(MATCH(P139,Financial_Statements_Builder!$U$405:$U$488,0))</f>
        <v>1</v>
      </c>
      <c r="T139" s="162" t="str">
        <f t="shared" si="8"/>
        <v/>
      </c>
      <c r="U139" t="b">
        <f>ISNUMBER(MATCH(T139,Financial_Statements_Builder!$Y$405:$Y$488,0))</f>
        <v>1</v>
      </c>
    </row>
    <row r="140" spans="3:21" x14ac:dyDescent="0.3">
      <c r="C140" s="162" t="str">
        <f t="shared" si="5"/>
        <v/>
      </c>
      <c r="D140" t="b">
        <f>ISNUMBER(MATCH(C140,Financial_Statements_Builder!$J$405:$J$488,0))</f>
        <v>1</v>
      </c>
      <c r="H140" s="162" t="str">
        <f t="shared" si="6"/>
        <v/>
      </c>
      <c r="I140" t="b">
        <f ca="1">ISNUMBER(MATCH(H140,Financial_Statements_Builder!$N$405:$N$488,0))</f>
        <v>1</v>
      </c>
      <c r="L140" s="162" t="str">
        <f t="shared" si="9"/>
        <v/>
      </c>
      <c r="M140" t="b">
        <f ca="1">ISNUMBER(MATCH(L140,Financial_Statements_Builder!$R$405:$R$488,0))</f>
        <v>1</v>
      </c>
      <c r="P140" s="162" t="str">
        <f t="shared" si="7"/>
        <v/>
      </c>
      <c r="Q140" t="b">
        <f ca="1">ISNUMBER(MATCH(P140,Financial_Statements_Builder!$U$405:$U$488,0))</f>
        <v>1</v>
      </c>
      <c r="T140" s="162" t="str">
        <f t="shared" si="8"/>
        <v/>
      </c>
      <c r="U140" t="b">
        <f>ISNUMBER(MATCH(T140,Financial_Statements_Builder!$Y$405:$Y$488,0))</f>
        <v>1</v>
      </c>
    </row>
    <row r="141" spans="3:21" x14ac:dyDescent="0.3">
      <c r="C141" s="162" t="str">
        <f t="shared" si="5"/>
        <v/>
      </c>
      <c r="D141" t="b">
        <f>ISNUMBER(MATCH(C141,Financial_Statements_Builder!$J$405:$J$488,0))</f>
        <v>1</v>
      </c>
      <c r="H141" s="162" t="str">
        <f t="shared" si="6"/>
        <v/>
      </c>
      <c r="I141" t="b">
        <f ca="1">ISNUMBER(MATCH(H141,Financial_Statements_Builder!$N$405:$N$488,0))</f>
        <v>1</v>
      </c>
      <c r="L141" s="162" t="str">
        <f t="shared" si="9"/>
        <v/>
      </c>
      <c r="M141" t="b">
        <f ca="1">ISNUMBER(MATCH(L141,Financial_Statements_Builder!$R$405:$R$488,0))</f>
        <v>1</v>
      </c>
      <c r="P141" s="162" t="str">
        <f t="shared" si="7"/>
        <v/>
      </c>
      <c r="Q141" t="b">
        <f ca="1">ISNUMBER(MATCH(P141,Financial_Statements_Builder!$U$405:$U$488,0))</f>
        <v>1</v>
      </c>
      <c r="T141" s="162" t="str">
        <f t="shared" si="8"/>
        <v/>
      </c>
      <c r="U141" t="b">
        <f>ISNUMBER(MATCH(T141,Financial_Statements_Builder!$Y$405:$Y$488,0))</f>
        <v>1</v>
      </c>
    </row>
    <row r="142" spans="3:21" x14ac:dyDescent="0.3">
      <c r="C142" s="162" t="str">
        <f t="shared" si="5"/>
        <v/>
      </c>
      <c r="D142" t="b">
        <f>ISNUMBER(MATCH(C142,Financial_Statements_Builder!$J$405:$J$488,0))</f>
        <v>1</v>
      </c>
      <c r="H142" s="162" t="str">
        <f t="shared" si="6"/>
        <v/>
      </c>
      <c r="I142" t="b">
        <f ca="1">ISNUMBER(MATCH(H142,Financial_Statements_Builder!$N$405:$N$488,0))</f>
        <v>1</v>
      </c>
      <c r="L142" s="162" t="str">
        <f t="shared" si="9"/>
        <v/>
      </c>
      <c r="M142" t="b">
        <f ca="1">ISNUMBER(MATCH(L142,Financial_Statements_Builder!$R$405:$R$488,0))</f>
        <v>1</v>
      </c>
      <c r="P142" s="162" t="str">
        <f t="shared" si="7"/>
        <v/>
      </c>
      <c r="Q142" t="b">
        <f ca="1">ISNUMBER(MATCH(P142,Financial_Statements_Builder!$U$405:$U$488,0))</f>
        <v>1</v>
      </c>
      <c r="T142" s="162" t="str">
        <f t="shared" si="8"/>
        <v/>
      </c>
      <c r="U142" t="b">
        <f>ISNUMBER(MATCH(T142,Financial_Statements_Builder!$Y$405:$Y$488,0))</f>
        <v>1</v>
      </c>
    </row>
    <row r="143" spans="3:21" x14ac:dyDescent="0.3">
      <c r="C143" s="162" t="str">
        <f t="shared" si="5"/>
        <v/>
      </c>
      <c r="D143" t="b">
        <f>ISNUMBER(MATCH(C143,Financial_Statements_Builder!$J$405:$J$488,0))</f>
        <v>1</v>
      </c>
      <c r="H143" s="162" t="str">
        <f t="shared" si="6"/>
        <v/>
      </c>
      <c r="I143" t="b">
        <f ca="1">ISNUMBER(MATCH(H143,Financial_Statements_Builder!$N$405:$N$488,0))</f>
        <v>1</v>
      </c>
      <c r="L143" s="162" t="str">
        <f t="shared" si="9"/>
        <v/>
      </c>
      <c r="M143" t="b">
        <f ca="1">ISNUMBER(MATCH(L143,Financial_Statements_Builder!$R$405:$R$488,0))</f>
        <v>1</v>
      </c>
      <c r="P143" s="162" t="str">
        <f t="shared" si="7"/>
        <v/>
      </c>
      <c r="Q143" t="b">
        <f ca="1">ISNUMBER(MATCH(P143,Financial_Statements_Builder!$U$405:$U$488,0))</f>
        <v>1</v>
      </c>
      <c r="T143" s="162" t="str">
        <f t="shared" si="8"/>
        <v/>
      </c>
      <c r="U143" t="b">
        <f>ISNUMBER(MATCH(T143,Financial_Statements_Builder!$Y$405:$Y$488,0))</f>
        <v>1</v>
      </c>
    </row>
    <row r="144" spans="3:21" x14ac:dyDescent="0.3">
      <c r="C144" s="162" t="str">
        <f t="shared" si="5"/>
        <v/>
      </c>
      <c r="D144" t="b">
        <f>ISNUMBER(MATCH(C144,Financial_Statements_Builder!$J$405:$J$488,0))</f>
        <v>1</v>
      </c>
      <c r="H144" s="162" t="str">
        <f t="shared" si="6"/>
        <v/>
      </c>
      <c r="I144" t="b">
        <f ca="1">ISNUMBER(MATCH(H144,Financial_Statements_Builder!$N$405:$N$488,0))</f>
        <v>1</v>
      </c>
      <c r="L144" s="162" t="str">
        <f t="shared" si="9"/>
        <v/>
      </c>
      <c r="M144" t="b">
        <f ca="1">ISNUMBER(MATCH(L144,Financial_Statements_Builder!$R$405:$R$488,0))</f>
        <v>1</v>
      </c>
      <c r="P144" s="162" t="str">
        <f t="shared" si="7"/>
        <v/>
      </c>
      <c r="Q144" t="b">
        <f ca="1">ISNUMBER(MATCH(P144,Financial_Statements_Builder!$U$405:$U$488,0))</f>
        <v>1</v>
      </c>
      <c r="T144" s="162" t="str">
        <f t="shared" si="8"/>
        <v/>
      </c>
      <c r="U144" t="b">
        <f>ISNUMBER(MATCH(T144,Financial_Statements_Builder!$Y$405:$Y$488,0))</f>
        <v>1</v>
      </c>
    </row>
    <row r="145" spans="1:23" x14ac:dyDescent="0.3">
      <c r="C145" s="162" t="str">
        <f t="shared" si="5"/>
        <v/>
      </c>
      <c r="D145" t="b">
        <f>ISNUMBER(MATCH(C145,Financial_Statements_Builder!$J$405:$J$488,0))</f>
        <v>1</v>
      </c>
      <c r="H145" s="162" t="str">
        <f t="shared" si="6"/>
        <v/>
      </c>
      <c r="I145" t="b">
        <f ca="1">ISNUMBER(MATCH(H145,Financial_Statements_Builder!$N$405:$N$488,0))</f>
        <v>1</v>
      </c>
      <c r="L145" s="162" t="str">
        <f t="shared" si="9"/>
        <v/>
      </c>
      <c r="M145" t="b">
        <f ca="1">ISNUMBER(MATCH(L145,Financial_Statements_Builder!$R$405:$R$488,0))</f>
        <v>1</v>
      </c>
      <c r="P145" s="162" t="str">
        <f t="shared" si="7"/>
        <v/>
      </c>
      <c r="Q145" t="b">
        <f ca="1">ISNUMBER(MATCH(P145,Financial_Statements_Builder!$U$405:$U$488,0))</f>
        <v>1</v>
      </c>
      <c r="T145" s="162" t="str">
        <f t="shared" si="8"/>
        <v/>
      </c>
      <c r="U145" t="b">
        <f>ISNUMBER(MATCH(T145,Financial_Statements_Builder!$Y$405:$Y$488,0))</f>
        <v>1</v>
      </c>
    </row>
    <row r="146" spans="1:23" x14ac:dyDescent="0.3">
      <c r="C146" s="162" t="str">
        <f t="shared" si="5"/>
        <v/>
      </c>
      <c r="D146" t="b">
        <f>ISNUMBER(MATCH(C146,Financial_Statements_Builder!$J$405:$J$488,0))</f>
        <v>1</v>
      </c>
      <c r="H146" s="162" t="str">
        <f t="shared" si="6"/>
        <v/>
      </c>
      <c r="I146" t="b">
        <f ca="1">ISNUMBER(MATCH(H146,Financial_Statements_Builder!$N$405:$N$488,0))</f>
        <v>1</v>
      </c>
      <c r="L146" s="162" t="str">
        <f t="shared" si="9"/>
        <v/>
      </c>
      <c r="M146" t="b">
        <f ca="1">ISNUMBER(MATCH(L146,Financial_Statements_Builder!$R$405:$R$488,0))</f>
        <v>1</v>
      </c>
      <c r="P146" s="162" t="str">
        <f t="shared" si="7"/>
        <v/>
      </c>
      <c r="Q146" t="b">
        <f ca="1">ISNUMBER(MATCH(P146,Financial_Statements_Builder!$U$405:$U$488,0))</f>
        <v>1</v>
      </c>
      <c r="T146" s="162" t="str">
        <f t="shared" si="8"/>
        <v/>
      </c>
      <c r="U146" t="b">
        <f>ISNUMBER(MATCH(T146,Financial_Statements_Builder!$Y$405:$Y$488,0))</f>
        <v>1</v>
      </c>
    </row>
    <row r="147" spans="1:23" x14ac:dyDescent="0.3">
      <c r="C147" s="162" t="str">
        <f t="shared" si="5"/>
        <v/>
      </c>
      <c r="D147" t="b">
        <f>ISNUMBER(MATCH(C147,Financial_Statements_Builder!$J$405:$J$488,0))</f>
        <v>1</v>
      </c>
      <c r="H147" s="162" t="str">
        <f t="shared" si="6"/>
        <v/>
      </c>
      <c r="I147" t="b">
        <f ca="1">ISNUMBER(MATCH(H147,Financial_Statements_Builder!$N$405:$N$488,0))</f>
        <v>1</v>
      </c>
      <c r="L147" s="162" t="str">
        <f t="shared" si="9"/>
        <v/>
      </c>
      <c r="M147" t="b">
        <f ca="1">ISNUMBER(MATCH(L147,Financial_Statements_Builder!$R$405:$R$488,0))</f>
        <v>1</v>
      </c>
      <c r="P147" s="162" t="str">
        <f t="shared" si="7"/>
        <v/>
      </c>
      <c r="Q147" t="b">
        <f ca="1">ISNUMBER(MATCH(P147,Financial_Statements_Builder!$U$405:$U$488,0))</f>
        <v>1</v>
      </c>
      <c r="T147" s="162" t="str">
        <f t="shared" si="8"/>
        <v/>
      </c>
      <c r="U147" t="b">
        <f>ISNUMBER(MATCH(T147,Financial_Statements_Builder!$Y$405:$Y$488,0))</f>
        <v>1</v>
      </c>
    </row>
    <row r="148" spans="1:23" x14ac:dyDescent="0.3">
      <c r="C148" s="162" t="str">
        <f t="shared" si="5"/>
        <v/>
      </c>
      <c r="D148" t="b">
        <f>ISNUMBER(MATCH(C148,Financial_Statements_Builder!$J$405:$J$488,0))</f>
        <v>1</v>
      </c>
      <c r="H148" s="162" t="str">
        <f t="shared" si="6"/>
        <v/>
      </c>
      <c r="I148" t="b">
        <f ca="1">ISNUMBER(MATCH(H148,Financial_Statements_Builder!$N$405:$N$488,0))</f>
        <v>1</v>
      </c>
      <c r="L148" s="162" t="str">
        <f t="shared" si="9"/>
        <v/>
      </c>
      <c r="M148" t="b">
        <f ca="1">ISNUMBER(MATCH(L148,Financial_Statements_Builder!$R$405:$R$488,0))</f>
        <v>1</v>
      </c>
      <c r="P148" s="162" t="str">
        <f t="shared" si="7"/>
        <v/>
      </c>
      <c r="Q148" t="b">
        <f ca="1">ISNUMBER(MATCH(P148,Financial_Statements_Builder!$U$405:$U$488,0))</f>
        <v>1</v>
      </c>
      <c r="T148" s="162" t="str">
        <f t="shared" si="8"/>
        <v/>
      </c>
      <c r="U148" t="b">
        <f>ISNUMBER(MATCH(T148,Financial_Statements_Builder!$Y$405:$Y$488,0))</f>
        <v>1</v>
      </c>
    </row>
    <row r="149" spans="1:23" x14ac:dyDescent="0.3">
      <c r="C149" s="162" t="str">
        <f t="shared" si="5"/>
        <v/>
      </c>
      <c r="D149" t="b">
        <f>ISNUMBER(MATCH(C149,Financial_Statements_Builder!$J$405:$J$488,0))</f>
        <v>1</v>
      </c>
      <c r="H149" s="162" t="str">
        <f t="shared" si="6"/>
        <v/>
      </c>
      <c r="I149" t="b">
        <f ca="1">ISNUMBER(MATCH(H149,Financial_Statements_Builder!$N$405:$N$488,0))</f>
        <v>1</v>
      </c>
      <c r="L149" s="162" t="str">
        <f t="shared" si="9"/>
        <v/>
      </c>
      <c r="M149" t="b">
        <f ca="1">ISNUMBER(MATCH(L149,Financial_Statements_Builder!$R$405:$R$488,0))</f>
        <v>1</v>
      </c>
      <c r="P149" s="162" t="str">
        <f t="shared" si="7"/>
        <v/>
      </c>
      <c r="Q149" t="b">
        <f ca="1">ISNUMBER(MATCH(P149,Financial_Statements_Builder!$U$405:$U$488,0))</f>
        <v>1</v>
      </c>
      <c r="T149" s="162" t="str">
        <f t="shared" si="8"/>
        <v/>
      </c>
      <c r="U149" t="b">
        <f>ISNUMBER(MATCH(T149,Financial_Statements_Builder!$Y$405:$Y$488,0))</f>
        <v>1</v>
      </c>
    </row>
    <row r="150" spans="1:23" x14ac:dyDescent="0.3">
      <c r="C150" s="162" t="str">
        <f t="shared" si="5"/>
        <v/>
      </c>
      <c r="D150" t="b">
        <f>ISNUMBER(MATCH(C150,Financial_Statements_Builder!$J$405:$J$488,0))</f>
        <v>1</v>
      </c>
      <c r="H150" s="162" t="str">
        <f t="shared" si="6"/>
        <v/>
      </c>
      <c r="I150" t="b">
        <f ca="1">ISNUMBER(MATCH(H150,Financial_Statements_Builder!$N$405:$N$488,0))</f>
        <v>1</v>
      </c>
      <c r="L150" s="162" t="str">
        <f t="shared" si="9"/>
        <v/>
      </c>
      <c r="M150" t="b">
        <f ca="1">ISNUMBER(MATCH(L150,Financial_Statements_Builder!$R$405:$R$488,0))</f>
        <v>1</v>
      </c>
      <c r="P150" s="162" t="str">
        <f t="shared" si="7"/>
        <v/>
      </c>
      <c r="Q150" t="b">
        <f ca="1">ISNUMBER(MATCH(P150,Financial_Statements_Builder!$U$405:$U$488,0))</f>
        <v>1</v>
      </c>
      <c r="T150" s="162" t="str">
        <f t="shared" si="8"/>
        <v/>
      </c>
      <c r="U150" t="b">
        <f>ISNUMBER(MATCH(T150,Financial_Statements_Builder!$Y$405:$Y$488,0))</f>
        <v>1</v>
      </c>
    </row>
    <row r="151" spans="1:23" x14ac:dyDescent="0.3">
      <c r="C151" s="162" t="str">
        <f t="shared" si="5"/>
        <v/>
      </c>
      <c r="D151" t="b">
        <f>ISNUMBER(MATCH(C151,Financial_Statements_Builder!$J$405:$J$488,0))</f>
        <v>1</v>
      </c>
      <c r="H151" s="162" t="str">
        <f t="shared" si="6"/>
        <v/>
      </c>
      <c r="I151" t="b">
        <f ca="1">ISNUMBER(MATCH(H151,Financial_Statements_Builder!$N$405:$N$488,0))</f>
        <v>1</v>
      </c>
      <c r="L151" s="162" t="str">
        <f t="shared" si="9"/>
        <v/>
      </c>
      <c r="M151" t="b">
        <f ca="1">ISNUMBER(MATCH(L151,Financial_Statements_Builder!$R$405:$R$488,0))</f>
        <v>1</v>
      </c>
      <c r="P151" s="162" t="str">
        <f t="shared" si="7"/>
        <v/>
      </c>
      <c r="Q151" t="b">
        <f ca="1">ISNUMBER(MATCH(P151,Financial_Statements_Builder!$U$405:$U$488,0))</f>
        <v>1</v>
      </c>
      <c r="T151" s="162" t="str">
        <f t="shared" si="8"/>
        <v/>
      </c>
      <c r="U151" t="b">
        <f>ISNUMBER(MATCH(T151,Financial_Statements_Builder!$Y$405:$Y$488,0))</f>
        <v>1</v>
      </c>
    </row>
    <row r="152" spans="1:23" x14ac:dyDescent="0.3">
      <c r="C152" s="162" t="str">
        <f t="shared" si="5"/>
        <v/>
      </c>
      <c r="D152" t="b">
        <f>ISNUMBER(MATCH(C152,Financial_Statements_Builder!$J$405:$J$488,0))</f>
        <v>1</v>
      </c>
      <c r="H152" s="162" t="str">
        <f t="shared" si="6"/>
        <v/>
      </c>
      <c r="I152" t="b">
        <f ca="1">ISNUMBER(MATCH(H152,Financial_Statements_Builder!$N$405:$N$488,0))</f>
        <v>1</v>
      </c>
      <c r="L152" s="162" t="str">
        <f t="shared" si="9"/>
        <v/>
      </c>
      <c r="M152" t="b">
        <f ca="1">ISNUMBER(MATCH(L152,Financial_Statements_Builder!$R$405:$R$488,0))</f>
        <v>1</v>
      </c>
      <c r="P152" s="162" t="str">
        <f t="shared" si="7"/>
        <v/>
      </c>
      <c r="Q152" t="b">
        <f ca="1">ISNUMBER(MATCH(P152,Financial_Statements_Builder!$U$405:$U$488,0))</f>
        <v>1</v>
      </c>
      <c r="T152" s="162" t="str">
        <f>T59&amp;U59</f>
        <v/>
      </c>
      <c r="U152" t="b">
        <f>ISNUMBER(MATCH(T152,Financial_Statements_Builder!$Y$405:$Y$488,0))</f>
        <v>1</v>
      </c>
    </row>
    <row r="153" spans="1:23" x14ac:dyDescent="0.3">
      <c r="A153" s="192"/>
      <c r="C153" s="162" t="str">
        <f t="shared" si="5"/>
        <v/>
      </c>
      <c r="D153" t="b">
        <f>ISNUMBER(MATCH(C153,Financial_Statements_Builder!$J$405:$J$488,0))</f>
        <v>1</v>
      </c>
      <c r="H153" s="162" t="str">
        <f t="shared" si="6"/>
        <v/>
      </c>
      <c r="I153" t="b">
        <f ca="1">ISNUMBER(MATCH(H153,Financial_Statements_Builder!$N$405:$N$488,0))</f>
        <v>1</v>
      </c>
      <c r="L153" s="162" t="str">
        <f t="shared" si="9"/>
        <v/>
      </c>
      <c r="M153" t="b">
        <f ca="1">ISNUMBER(MATCH(L153,Financial_Statements_Builder!$R$405:$R$488,0))</f>
        <v>1</v>
      </c>
      <c r="P153" s="162" t="str">
        <f t="shared" si="7"/>
        <v/>
      </c>
      <c r="Q153" t="b">
        <f ca="1">ISNUMBER(MATCH(P153,Financial_Statements_Builder!$U$405:$U$488,0))</f>
        <v>1</v>
      </c>
      <c r="T153" s="162" t="str">
        <f>T60&amp;U60</f>
        <v/>
      </c>
      <c r="U153" t="b">
        <f>ISNUMBER(MATCH(T153,Financial_Statements_Builder!$Y$405:$Y$488,0))</f>
        <v>1</v>
      </c>
    </row>
    <row r="154" spans="1:23" ht="15" thickBot="1" x14ac:dyDescent="0.35">
      <c r="C154" s="163" t="str">
        <f t="shared" si="5"/>
        <v/>
      </c>
      <c r="D154" t="b">
        <f>ISNUMBER(MATCH(C154,Financial_Statements_Builder!$J$405:$J$488,0))</f>
        <v>1</v>
      </c>
      <c r="H154" s="163" t="str">
        <f t="shared" si="6"/>
        <v/>
      </c>
      <c r="I154" t="b">
        <f ca="1">ISNUMBER(MATCH(H154,Financial_Statements_Builder!$N$405:$N$488,0))</f>
        <v>1</v>
      </c>
      <c r="L154" s="163" t="str">
        <f t="shared" si="9"/>
        <v/>
      </c>
      <c r="M154" t="b">
        <f ca="1">ISNUMBER(MATCH(L154,Financial_Statements_Builder!$R$405:$R$488,0))</f>
        <v>1</v>
      </c>
      <c r="P154" s="163" t="str">
        <f t="shared" si="7"/>
        <v/>
      </c>
      <c r="Q154" t="b">
        <f ca="1">ISNUMBER(MATCH(P154,Financial_Statements_Builder!$U$405:$U$488,0))</f>
        <v>1</v>
      </c>
      <c r="T154" s="163" t="str">
        <f>T61&amp;U61</f>
        <v/>
      </c>
      <c r="U154" t="b">
        <f>ISNUMBER(MATCH(T154,Financial_Statements_Builder!$Y$405:$Y$488,0))</f>
        <v>1</v>
      </c>
    </row>
    <row r="155" spans="1:23" x14ac:dyDescent="0.3">
      <c r="H155" t="str">
        <f t="shared" si="6"/>
        <v/>
      </c>
    </row>
    <row r="156" spans="1:23" x14ac:dyDescent="0.3">
      <c r="H156" t="str">
        <f t="shared" si="6"/>
        <v/>
      </c>
    </row>
    <row r="158" spans="1:23" x14ac:dyDescent="0.3">
      <c r="H158" t="b">
        <f>COUNTIF(Journal!$D$7:$D$176,"Gain")&gt;0</f>
        <v>0</v>
      </c>
    </row>
    <row r="159" spans="1:23" ht="15" thickBot="1" x14ac:dyDescent="0.35">
      <c r="E159" s="523" t="s">
        <v>754</v>
      </c>
      <c r="F159" s="5" t="s">
        <v>755</v>
      </c>
      <c r="P159" s="192" t="s">
        <v>756</v>
      </c>
      <c r="V159" s="523" t="s">
        <v>754</v>
      </c>
      <c r="W159" s="5" t="s">
        <v>755</v>
      </c>
    </row>
    <row r="160" spans="1:23" x14ac:dyDescent="0.3">
      <c r="B160" s="192">
        <v>6</v>
      </c>
      <c r="C160" s="479" t="str" cm="1">
        <f t="array" ref="C160:D164">_xlfn._xlws.FILTER(CHOOSE({1,2},BCurrAssets[Account],BCurrAssets[Amt]),BCurrAssets[Used]=1,"")</f>
        <v>Cash</v>
      </c>
      <c r="D160" s="480">
        <v>0</v>
      </c>
      <c r="E160">
        <f>ABS(D160)</f>
        <v>0</v>
      </c>
      <c r="F160" s="523" t="b">
        <f>C160&lt;&gt;""</f>
        <v>1</v>
      </c>
      <c r="G160" s="192">
        <v>6</v>
      </c>
      <c r="H160" s="479" t="str" cm="1">
        <f t="array" aca="1" ref="H160:I160" ca="1">IF(J160,_xlfn._xlws.FILTER(CHOOSE({1,2},IS_Revenues[Account],IS_Revenues[AmtAnswer]),IS_Revenues[UsedAnswer]=1,""),{"",""})</f>
        <v>Sales</v>
      </c>
      <c r="I160" s="480">
        <f ca="1"/>
        <v>40</v>
      </c>
      <c r="J160" s="192" t="b">
        <f>COUNTIF(JournalAnswer[Accnt Type],"Revenue")&gt;0</f>
        <v>1</v>
      </c>
      <c r="K160"/>
      <c r="L160" s="355" t="s">
        <v>591</v>
      </c>
      <c r="O160" s="192">
        <v>6</v>
      </c>
      <c r="P160" s="479" t="str" cm="1">
        <f t="array" aca="1" ref="P160:Q163" ca="1">_xlfn._xlws.FILTER(CHOOSE({1,2},CFS_CFO[Account],CFS_CFO[AmtAnswer]),CFS_CFO[UsedAnswer]=1,"")</f>
        <v>Collections from customers</v>
      </c>
      <c r="Q160" s="487">
        <f ca="1"/>
        <v>30.05</v>
      </c>
      <c r="S160" s="192">
        <v>6</v>
      </c>
      <c r="T160" s="479" t="str" cm="1">
        <f t="array" ref="T160:U164">_xlfn._xlws.FILTER(CHOOSE({1,2},ECurrAssets[Account],ECurrAssets[AmtAnswer]),ECurrAssets[Used]=1,"")</f>
        <v>Cash</v>
      </c>
      <c r="U160" s="480">
        <v>40.050000000000011</v>
      </c>
      <c r="V160">
        <f>ABS(U160)</f>
        <v>40.050000000000011</v>
      </c>
      <c r="W160" s="523" t="b">
        <f>SUM(V160:V169)&gt;0.000001</f>
        <v>1</v>
      </c>
    </row>
    <row r="161" spans="2:23" x14ac:dyDescent="0.3">
      <c r="B161" s="192">
        <v>7</v>
      </c>
      <c r="C161" s="481" t="str">
        <v>Accounts Receivable</v>
      </c>
      <c r="D161" s="482">
        <v>0</v>
      </c>
      <c r="E161">
        <f t="shared" ref="E161:E219" si="10">ABS(D161)</f>
        <v>0</v>
      </c>
      <c r="F161" s="522"/>
      <c r="G161" s="192">
        <v>7</v>
      </c>
      <c r="H161" s="481"/>
      <c r="I161" s="482"/>
      <c r="J161" s="192"/>
      <c r="K161"/>
      <c r="L161" s="162" t="s">
        <v>126</v>
      </c>
      <c r="O161" s="192">
        <v>7</v>
      </c>
      <c r="P161" s="481" t="str">
        <f ca="1"/>
        <v>Payments to suppliers</v>
      </c>
      <c r="Q161" s="257">
        <f ca="1"/>
        <v>-15</v>
      </c>
      <c r="S161" s="192">
        <v>7</v>
      </c>
      <c r="T161" s="481" t="str">
        <v>Accounts Receivable</v>
      </c>
      <c r="U161" s="482">
        <v>9.8000000000000007</v>
      </c>
      <c r="V161">
        <f t="shared" ref="V161:V209" si="11">ABS(U161)</f>
        <v>9.8000000000000007</v>
      </c>
      <c r="W161" s="522"/>
    </row>
    <row r="162" spans="2:23" x14ac:dyDescent="0.3">
      <c r="B162" s="192">
        <v>7</v>
      </c>
      <c r="C162" s="481" t="str">
        <v>Marketable Securities</v>
      </c>
      <c r="D162" s="482">
        <v>0</v>
      </c>
      <c r="E162">
        <f t="shared" si="10"/>
        <v>0</v>
      </c>
      <c r="F162" s="522"/>
      <c r="G162" s="192">
        <v>7</v>
      </c>
      <c r="H162" s="481"/>
      <c r="I162" s="482"/>
      <c r="J162" s="192"/>
      <c r="K162"/>
      <c r="L162" s="162" t="s">
        <v>259</v>
      </c>
      <c r="O162" s="192">
        <v>7</v>
      </c>
      <c r="P162" s="481" t="str">
        <f ca="1"/>
        <v>Payments to employees</v>
      </c>
      <c r="Q162" s="257">
        <f ca="1"/>
        <v>-6</v>
      </c>
      <c r="S162" s="192">
        <v>7</v>
      </c>
      <c r="T162" s="481" t="str">
        <v>Marketable Securities</v>
      </c>
      <c r="U162" s="482">
        <v>25</v>
      </c>
      <c r="V162">
        <f t="shared" si="11"/>
        <v>25</v>
      </c>
      <c r="W162" s="522"/>
    </row>
    <row r="163" spans="2:23" x14ac:dyDescent="0.3">
      <c r="B163" s="192">
        <v>7</v>
      </c>
      <c r="C163" s="481" t="str">
        <v>Inventories</v>
      </c>
      <c r="D163" s="482">
        <v>0</v>
      </c>
      <c r="E163">
        <f t="shared" si="10"/>
        <v>0</v>
      </c>
      <c r="F163" s="522"/>
      <c r="G163" s="192">
        <v>7</v>
      </c>
      <c r="H163" s="481"/>
      <c r="I163" s="482"/>
      <c r="J163" s="192"/>
      <c r="K163"/>
      <c r="L163" s="162" t="s">
        <v>162</v>
      </c>
      <c r="O163" s="192">
        <v>7</v>
      </c>
      <c r="P163" s="481" t="str">
        <f ca="1"/>
        <v>Payments for prepaid expenses</v>
      </c>
      <c r="Q163" s="257">
        <f ca="1"/>
        <v>-4</v>
      </c>
      <c r="S163" s="192">
        <v>7</v>
      </c>
      <c r="T163" s="481" t="str">
        <v>Inventories</v>
      </c>
      <c r="U163" s="482">
        <v>5</v>
      </c>
      <c r="V163">
        <f t="shared" si="11"/>
        <v>5</v>
      </c>
      <c r="W163" s="522"/>
    </row>
    <row r="164" spans="2:23" x14ac:dyDescent="0.3">
      <c r="B164" s="192">
        <v>7</v>
      </c>
      <c r="C164" s="481" t="str">
        <v>Prepaid Rent</v>
      </c>
      <c r="D164" s="482">
        <v>0</v>
      </c>
      <c r="E164">
        <f t="shared" si="10"/>
        <v>0</v>
      </c>
      <c r="F164" s="522"/>
      <c r="G164" s="192">
        <v>7</v>
      </c>
      <c r="H164" s="481"/>
      <c r="I164" s="482"/>
      <c r="J164" s="192"/>
      <c r="K164"/>
      <c r="L164" s="162" t="s">
        <v>602</v>
      </c>
      <c r="O164" s="192">
        <v>7</v>
      </c>
      <c r="P164" s="481"/>
      <c r="Q164" s="257"/>
      <c r="S164" s="192">
        <v>7</v>
      </c>
      <c r="T164" s="481" t="str">
        <v>Prepaid Rent</v>
      </c>
      <c r="U164" s="482">
        <v>1</v>
      </c>
      <c r="V164">
        <f t="shared" si="11"/>
        <v>1</v>
      </c>
      <c r="W164" s="522"/>
    </row>
    <row r="165" spans="2:23" x14ac:dyDescent="0.3">
      <c r="B165" s="192">
        <v>7</v>
      </c>
      <c r="C165" s="481"/>
      <c r="D165" s="482"/>
      <c r="E165">
        <f t="shared" si="10"/>
        <v>0</v>
      </c>
      <c r="F165" s="522"/>
      <c r="G165" s="192">
        <v>7</v>
      </c>
      <c r="H165" s="481"/>
      <c r="I165" s="482"/>
      <c r="J165" s="192"/>
      <c r="K165"/>
      <c r="L165" s="162" t="s">
        <v>604</v>
      </c>
      <c r="O165" s="192">
        <v>7</v>
      </c>
      <c r="P165" s="481"/>
      <c r="Q165" s="257"/>
      <c r="S165" s="192">
        <v>7</v>
      </c>
      <c r="T165" s="481"/>
      <c r="U165" s="482"/>
      <c r="V165">
        <f t="shared" si="11"/>
        <v>0</v>
      </c>
      <c r="W165" s="522"/>
    </row>
    <row r="166" spans="2:23" x14ac:dyDescent="0.3">
      <c r="B166" s="192">
        <v>7</v>
      </c>
      <c r="C166" s="481"/>
      <c r="D166" s="482"/>
      <c r="E166">
        <f t="shared" si="10"/>
        <v>0</v>
      </c>
      <c r="F166" s="522"/>
      <c r="G166" s="192">
        <v>7</v>
      </c>
      <c r="H166" s="481"/>
      <c r="I166" s="482"/>
      <c r="J166" s="192"/>
      <c r="K166"/>
      <c r="L166" s="162" t="s">
        <v>608</v>
      </c>
      <c r="O166" s="192">
        <v>7</v>
      </c>
      <c r="P166" s="481"/>
      <c r="Q166" s="257"/>
      <c r="S166" s="192">
        <v>7</v>
      </c>
      <c r="T166" s="481"/>
      <c r="U166" s="482"/>
      <c r="V166">
        <f t="shared" si="11"/>
        <v>0</v>
      </c>
      <c r="W166" s="522"/>
    </row>
    <row r="167" spans="2:23" x14ac:dyDescent="0.3">
      <c r="B167" s="192">
        <v>7</v>
      </c>
      <c r="C167" s="481"/>
      <c r="D167" s="482"/>
      <c r="E167">
        <f t="shared" si="10"/>
        <v>0</v>
      </c>
      <c r="F167" s="522"/>
      <c r="G167" s="192">
        <v>7</v>
      </c>
      <c r="H167" s="481"/>
      <c r="I167" s="482"/>
      <c r="J167" s="192"/>
      <c r="K167"/>
      <c r="L167" s="162" t="s">
        <v>757</v>
      </c>
      <c r="O167" s="192">
        <v>7</v>
      </c>
      <c r="P167" s="481"/>
      <c r="Q167" s="257"/>
      <c r="S167" s="192">
        <v>7</v>
      </c>
      <c r="T167" s="481"/>
      <c r="U167" s="482"/>
      <c r="V167">
        <f t="shared" si="11"/>
        <v>0</v>
      </c>
      <c r="W167" s="522"/>
    </row>
    <row r="168" spans="2:23" ht="15" thickBot="1" x14ac:dyDescent="0.35">
      <c r="B168" s="192">
        <v>7</v>
      </c>
      <c r="C168" s="481"/>
      <c r="D168" s="482"/>
      <c r="E168">
        <f t="shared" si="10"/>
        <v>0</v>
      </c>
      <c r="F168" s="522"/>
      <c r="G168" s="192">
        <v>7</v>
      </c>
      <c r="H168" s="481"/>
      <c r="I168" s="482"/>
      <c r="J168" s="192"/>
      <c r="K168"/>
      <c r="L168" s="163" t="s">
        <v>253</v>
      </c>
      <c r="O168" s="192">
        <v>7</v>
      </c>
      <c r="P168" s="481"/>
      <c r="Q168" s="257"/>
      <c r="S168" s="192">
        <v>7</v>
      </c>
      <c r="T168" s="481"/>
      <c r="U168" s="482"/>
      <c r="V168">
        <f t="shared" si="11"/>
        <v>0</v>
      </c>
      <c r="W168" s="522"/>
    </row>
    <row r="169" spans="2:23" ht="15" thickBot="1" x14ac:dyDescent="0.35">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x14ac:dyDescent="0.3">
      <c r="B170" s="192">
        <v>6</v>
      </c>
      <c r="C170" s="479" t="str" cm="1">
        <f t="array" ref="C170:D171">_xlfn._xlws.FILTER(CHOOSE({1,2},BNonCurrAssets[Account],BNonCurrAssets[Amt]),BNonCurrAssets[Used]=1,"")</f>
        <v>Property, Plant &amp; Equipment</v>
      </c>
      <c r="D170" s="480">
        <v>0</v>
      </c>
      <c r="E170">
        <f t="shared" si="10"/>
        <v>0</v>
      </c>
      <c r="F170" s="523" t="b">
        <f>C170&lt;&gt;""</f>
        <v>1</v>
      </c>
      <c r="G170" s="192">
        <v>6</v>
      </c>
      <c r="H170" s="479" t="str" cm="1">
        <f t="array" aca="1" ref="H170:I175" ca="1">IF(J170,_xlfn._xlws.FILTER(CHOOSE({1,2},IS_Expenses[Account],IS_Expenses[AmtAnswer]),IS_Expenses[UsedAnswer]=1,""),{"",""})</f>
        <v>Cost of Goods Sold</v>
      </c>
      <c r="I170" s="480">
        <f ca="1"/>
        <v>25</v>
      </c>
      <c r="J170" s="192" t="b">
        <f>COUNTIF(JournalAnswer[Accnt Type],"Expense")&gt;0</f>
        <v>1</v>
      </c>
      <c r="K170"/>
      <c r="L170" s="5" t="s">
        <v>95</v>
      </c>
      <c r="O170" s="192">
        <v>7</v>
      </c>
      <c r="P170" s="481"/>
      <c r="Q170" s="257"/>
      <c r="S170" s="192">
        <v>6</v>
      </c>
      <c r="T170" s="479" t="str" cm="1">
        <f t="array" ref="T170:U171">_xlfn._xlws.FILTER(CHOOSE({1,2},ENonCurrAssets[Account],ENonCurrAssets[AmtAnswer]),ENonCurrAssets[Used]=1,"")</f>
        <v>Property, Plant &amp; Equipment</v>
      </c>
      <c r="U170" s="480">
        <v>60</v>
      </c>
      <c r="V170">
        <f t="shared" si="11"/>
        <v>60</v>
      </c>
      <c r="W170" s="523" t="b">
        <f>SUM(V170:V179)&gt;0.000001</f>
        <v>1</v>
      </c>
    </row>
    <row r="171" spans="2:23" ht="15" thickBot="1" x14ac:dyDescent="0.35">
      <c r="B171" s="192">
        <v>7</v>
      </c>
      <c r="C171" s="481" t="str">
        <v>Accumulated Depreciation</v>
      </c>
      <c r="D171" s="482">
        <v>0</v>
      </c>
      <c r="E171">
        <f t="shared" si="10"/>
        <v>0</v>
      </c>
      <c r="F171" s="522"/>
      <c r="G171" s="192">
        <v>7</v>
      </c>
      <c r="H171" s="481" t="str">
        <f ca="1"/>
        <v>Interest Expense</v>
      </c>
      <c r="I171" s="482">
        <f ca="1"/>
        <v>1.55</v>
      </c>
      <c r="J171" s="192"/>
      <c r="K171"/>
      <c r="L171" s="5" t="s">
        <v>249</v>
      </c>
      <c r="M171">
        <f ca="1">IF(ABS(MAX(M172:M174)&gt;0),1,0)</f>
        <v>0</v>
      </c>
      <c r="O171" s="192">
        <v>7</v>
      </c>
      <c r="P171" s="481"/>
      <c r="Q171" s="257"/>
      <c r="S171" s="192">
        <v>7</v>
      </c>
      <c r="T171" s="481" t="str">
        <v>Accumulated Depreciation</v>
      </c>
      <c r="U171" s="482">
        <v>-7.5</v>
      </c>
      <c r="V171">
        <f t="shared" si="11"/>
        <v>7.5</v>
      </c>
      <c r="W171" s="522"/>
    </row>
    <row r="172" spans="2:23" x14ac:dyDescent="0.3">
      <c r="B172" s="192">
        <v>7</v>
      </c>
      <c r="C172" s="481"/>
      <c r="D172" s="482"/>
      <c r="E172">
        <f t="shared" si="10"/>
        <v>0</v>
      </c>
      <c r="F172" s="522"/>
      <c r="G172" s="192">
        <v>7</v>
      </c>
      <c r="H172" s="481" t="str">
        <f ca="1"/>
        <v>Depreciation Expense</v>
      </c>
      <c r="I172" s="482">
        <f ca="1"/>
        <v>7.5</v>
      </c>
      <c r="J172" s="192"/>
      <c r="K172">
        <v>5</v>
      </c>
      <c r="L172" s="175" t="str">
        <f>"Balance @ "&amp;BegDate</f>
        <v>Balance @ 3/31/20X4</v>
      </c>
      <c r="M172" s="381" cm="1">
        <f t="array" ref="M172">_xlfn._xlws.FILTER(BegBalanceSheet_Equities[Amount],BegBalanceSheet_Equities[Account]=L171,0)</f>
        <v>0</v>
      </c>
      <c r="O172" s="192">
        <v>7</v>
      </c>
      <c r="P172" s="481"/>
      <c r="Q172" s="257"/>
      <c r="S172" s="192">
        <v>7</v>
      </c>
      <c r="T172" s="481"/>
      <c r="U172" s="482"/>
      <c r="V172">
        <f t="shared" si="11"/>
        <v>0</v>
      </c>
      <c r="W172" s="522"/>
    </row>
    <row r="173" spans="2:23" x14ac:dyDescent="0.3">
      <c r="B173" s="192">
        <v>7</v>
      </c>
      <c r="C173" s="481"/>
      <c r="D173" s="482"/>
      <c r="E173">
        <f t="shared" si="10"/>
        <v>0</v>
      </c>
      <c r="F173" s="522"/>
      <c r="G173" s="192">
        <v>7</v>
      </c>
      <c r="H173" s="481" t="str">
        <f ca="1"/>
        <v>Rent Expense</v>
      </c>
      <c r="I173" s="482">
        <f ca="1"/>
        <v>3</v>
      </c>
      <c r="J173" s="192"/>
      <c r="K173">
        <v>7</v>
      </c>
      <c r="L173" s="96" t="s">
        <v>251</v>
      </c>
      <c r="M173" s="526">
        <f ca="1">FSConstruction!AG9</f>
        <v>0</v>
      </c>
      <c r="O173" s="192">
        <v>7</v>
      </c>
      <c r="P173" s="481"/>
      <c r="Q173" s="257"/>
      <c r="S173" s="192">
        <v>7</v>
      </c>
      <c r="T173" s="481"/>
      <c r="U173" s="482"/>
      <c r="V173">
        <f t="shared" si="11"/>
        <v>0</v>
      </c>
      <c r="W173" s="522"/>
    </row>
    <row r="174" spans="2:23" ht="15" thickBot="1" x14ac:dyDescent="0.35">
      <c r="B174" s="192">
        <v>7</v>
      </c>
      <c r="C174" s="481"/>
      <c r="D174" s="482"/>
      <c r="E174">
        <f t="shared" si="10"/>
        <v>0</v>
      </c>
      <c r="F174" s="522"/>
      <c r="G174" s="192">
        <v>7</v>
      </c>
      <c r="H174" s="481" t="str">
        <f ca="1"/>
        <v>Bad Debts Expense</v>
      </c>
      <c r="I174" s="482">
        <f ca="1"/>
        <v>0.15</v>
      </c>
      <c r="J174" s="192"/>
      <c r="K174">
        <v>5</v>
      </c>
      <c r="L174" s="98" t="str">
        <f>"Balance @ "&amp;EndDate</f>
        <v>Balance @ 12/31/20x4</v>
      </c>
      <c r="M174" s="285" cm="1">
        <f t="array" ref="M174">_xlfn._xlws.FILTER(EEquities[AmtAnswer],(EEquities[UsedAnswer]=1)*(EEquities[Account]=L171),0)</f>
        <v>0</v>
      </c>
      <c r="O174" s="192">
        <v>7</v>
      </c>
      <c r="P174" s="481"/>
      <c r="Q174" s="257"/>
      <c r="S174" s="192">
        <v>7</v>
      </c>
      <c r="T174" s="481"/>
      <c r="U174" s="482"/>
      <c r="V174">
        <f t="shared" si="11"/>
        <v>0</v>
      </c>
      <c r="W174" s="522"/>
    </row>
    <row r="175" spans="2:23" x14ac:dyDescent="0.3">
      <c r="B175" s="192">
        <v>7</v>
      </c>
      <c r="C175" s="481"/>
      <c r="D175" s="482"/>
      <c r="E175">
        <f t="shared" si="10"/>
        <v>0</v>
      </c>
      <c r="F175" s="522"/>
      <c r="G175" s="192">
        <v>7</v>
      </c>
      <c r="H175" s="481" t="str">
        <f ca="1"/>
        <v>Salaries &amp; Wages Expense</v>
      </c>
      <c r="I175" s="482">
        <f ca="1"/>
        <v>7</v>
      </c>
      <c r="J175" s="192"/>
      <c r="K175">
        <v>8</v>
      </c>
      <c r="O175" s="192">
        <v>7</v>
      </c>
      <c r="P175" s="481"/>
      <c r="Q175" s="257"/>
      <c r="S175" s="192">
        <v>7</v>
      </c>
      <c r="T175" s="481"/>
      <c r="U175" s="482"/>
      <c r="V175">
        <f t="shared" si="11"/>
        <v>0</v>
      </c>
      <c r="W175" s="522"/>
    </row>
    <row r="176" spans="2:23" ht="15" thickBot="1" x14ac:dyDescent="0.35">
      <c r="B176" s="192">
        <v>7</v>
      </c>
      <c r="C176" s="481"/>
      <c r="D176" s="482"/>
      <c r="E176">
        <f t="shared" si="10"/>
        <v>0</v>
      </c>
      <c r="F176" s="522"/>
      <c r="G176" s="192">
        <v>7</v>
      </c>
      <c r="H176" s="481"/>
      <c r="I176" s="482"/>
      <c r="J176" s="192"/>
      <c r="K176"/>
      <c r="L176" s="5" t="s">
        <v>65</v>
      </c>
      <c r="M176">
        <f ca="1">IF(ABS(MAX(M177:M181)&gt;0),1,0)</f>
        <v>1</v>
      </c>
      <c r="O176" s="192">
        <v>7</v>
      </c>
      <c r="P176" s="481"/>
      <c r="Q176" s="257"/>
      <c r="S176" s="192">
        <v>7</v>
      </c>
      <c r="T176" s="481"/>
      <c r="U176" s="482"/>
      <c r="V176">
        <f t="shared" si="11"/>
        <v>0</v>
      </c>
      <c r="W176" s="522"/>
    </row>
    <row r="177" spans="2:23" x14ac:dyDescent="0.3">
      <c r="B177" s="192">
        <v>7</v>
      </c>
      <c r="C177" s="481"/>
      <c r="D177" s="482"/>
      <c r="E177">
        <f t="shared" si="10"/>
        <v>0</v>
      </c>
      <c r="F177" s="522"/>
      <c r="G177" s="192">
        <v>7</v>
      </c>
      <c r="H177" s="481"/>
      <c r="I177" s="482"/>
      <c r="J177" s="192"/>
      <c r="K177">
        <v>5</v>
      </c>
      <c r="L177" s="175" t="str">
        <f>"Balance @ "&amp;BegDate</f>
        <v>Balance @ 3/31/20X4</v>
      </c>
      <c r="M177" s="381" cm="1">
        <f t="array" ref="M177">_xlfn._xlws.FILTER(BegBalanceSheet_Equities[Amount],BegBalanceSheet_Equities[Account]=L176,0)</f>
        <v>0</v>
      </c>
      <c r="N177" s="192">
        <v>1</v>
      </c>
      <c r="O177" s="192">
        <v>7</v>
      </c>
      <c r="P177" s="481"/>
      <c r="Q177" s="257"/>
      <c r="S177" s="192">
        <v>7</v>
      </c>
      <c r="T177" s="481"/>
      <c r="U177" s="482"/>
      <c r="V177">
        <f t="shared" si="11"/>
        <v>0</v>
      </c>
      <c r="W177" s="522"/>
    </row>
    <row r="178" spans="2:23" ht="15" thickBot="1" x14ac:dyDescent="0.35">
      <c r="B178" s="192">
        <v>7</v>
      </c>
      <c r="C178" s="481"/>
      <c r="D178" s="482"/>
      <c r="E178">
        <f t="shared" si="10"/>
        <v>0</v>
      </c>
      <c r="F178" s="522"/>
      <c r="G178" s="192">
        <v>7</v>
      </c>
      <c r="H178" s="481"/>
      <c r="I178" s="482"/>
      <c r="J178" s="192"/>
      <c r="K178">
        <v>7</v>
      </c>
      <c r="L178" s="96" t="s">
        <v>758</v>
      </c>
      <c r="M178" s="527">
        <f ca="1">FSConstruction!AG10</f>
        <v>100</v>
      </c>
      <c r="N178" s="192">
        <f ca="1">IF(M178="",0,1)</f>
        <v>1</v>
      </c>
      <c r="O178" s="192">
        <v>7</v>
      </c>
      <c r="P178" s="483"/>
      <c r="Q178" s="488"/>
      <c r="S178" s="192">
        <v>7</v>
      </c>
      <c r="T178" s="481"/>
      <c r="U178" s="482"/>
      <c r="V178">
        <f t="shared" si="11"/>
        <v>0</v>
      </c>
      <c r="W178" s="522"/>
    </row>
    <row r="179" spans="2:23" ht="15" thickBot="1" x14ac:dyDescent="0.35">
      <c r="B179" s="192">
        <v>7</v>
      </c>
      <c r="C179" s="483"/>
      <c r="D179" s="485"/>
      <c r="E179">
        <f t="shared" si="10"/>
        <v>0</v>
      </c>
      <c r="F179" s="522"/>
      <c r="G179" s="192">
        <v>7</v>
      </c>
      <c r="H179" s="481"/>
      <c r="I179" s="482"/>
      <c r="J179" s="192"/>
      <c r="K179">
        <v>7</v>
      </c>
      <c r="L179" s="96" t="s">
        <v>759</v>
      </c>
      <c r="M179" s="527">
        <f ca="1">FSConstruction!AG17</f>
        <v>0</v>
      </c>
      <c r="N179" s="192">
        <f t="shared" ref="N179:N180" ca="1" si="12">IF(M179="",0,1)</f>
        <v>1</v>
      </c>
      <c r="P179" s="192" t="s">
        <v>394</v>
      </c>
      <c r="Q179" s="192"/>
      <c r="S179" s="192">
        <v>7</v>
      </c>
      <c r="T179" s="483"/>
      <c r="U179" s="485"/>
      <c r="V179">
        <f t="shared" si="11"/>
        <v>0</v>
      </c>
      <c r="W179" s="522"/>
    </row>
    <row r="180" spans="2:23" x14ac:dyDescent="0.3">
      <c r="B180" s="192">
        <v>6</v>
      </c>
      <c r="C180" s="479" t="str" cm="1">
        <f t="array" ref="C180:D182">_xlfn._xlws.FILTER(CHOOSE({1,2},BCurrLiabs[Account],BCurrLiabs[Amt]),BCurrLiabs[Used]=1,"")</f>
        <v>Accounts Payable</v>
      </c>
      <c r="D180" s="480">
        <v>0</v>
      </c>
      <c r="E180">
        <f t="shared" si="10"/>
        <v>0</v>
      </c>
      <c r="F180" s="523" t="b">
        <f>C180&lt;&gt;""</f>
        <v>1</v>
      </c>
      <c r="G180" s="192">
        <v>7</v>
      </c>
      <c r="H180" s="481"/>
      <c r="I180" s="482"/>
      <c r="J180" s="192"/>
      <c r="K180">
        <v>7</v>
      </c>
      <c r="L180" s="96" t="s">
        <v>253</v>
      </c>
      <c r="M180" s="527">
        <f ca="1">FSConstruction!AG19</f>
        <v>0</v>
      </c>
      <c r="N180" s="192">
        <f t="shared" ca="1" si="12"/>
        <v>1</v>
      </c>
      <c r="O180" s="192">
        <v>6</v>
      </c>
      <c r="P180" s="479" t="str" cm="1">
        <f t="array" aca="1" ref="P180:Q181" ca="1">_xlfn._xlws.FILTER(CHOOSE({1,2},CFS_CFI[Account],CFS_CFI[AmtAnswer]),CFS_CFI[UsedAnswer]=1,"")</f>
        <v>Acquired marketable securities</v>
      </c>
      <c r="Q180" s="487">
        <f ca="1"/>
        <v>-25</v>
      </c>
      <c r="S180" s="192">
        <v>6</v>
      </c>
      <c r="T180" s="479" t="str" cm="1">
        <f t="array" ref="T180:U182">_xlfn._xlws.FILTER(CHOOSE({1,2},ECurrLiabs[Account],ECurrLiabs[AmtAnswer]),ECurrLiabs[Used]=1,"")</f>
        <v>Accounts Payable</v>
      </c>
      <c r="U180" s="480">
        <v>15</v>
      </c>
      <c r="V180">
        <f t="shared" si="11"/>
        <v>15</v>
      </c>
      <c r="W180" s="523" t="b">
        <f>SUM(V180:V189)&gt;0.000001</f>
        <v>1</v>
      </c>
    </row>
    <row r="181" spans="2:23" ht="15" thickBot="1" x14ac:dyDescent="0.35">
      <c r="B181" s="192">
        <v>7</v>
      </c>
      <c r="C181" s="481" t="str">
        <v>Interest Payable</v>
      </c>
      <c r="D181" s="482">
        <v>0</v>
      </c>
      <c r="E181">
        <f t="shared" si="10"/>
        <v>0</v>
      </c>
      <c r="F181" s="522"/>
      <c r="G181" s="192">
        <v>7</v>
      </c>
      <c r="H181" s="481"/>
      <c r="I181" s="482"/>
      <c r="J181" s="192"/>
      <c r="K181">
        <v>5</v>
      </c>
      <c r="L181" s="98" t="str">
        <f>"Balance @ "&amp;EndDate</f>
        <v>Balance @ 12/31/20x4</v>
      </c>
      <c r="M181" s="285" cm="1">
        <f t="array" ref="M181">_xlfn._xlws.FILTER(EEquities[AmtAnswer],(EEquities[UsedAnswer]=1)*(EEquities[Account]=L176),0)</f>
        <v>100</v>
      </c>
      <c r="N181" s="192">
        <v>1</v>
      </c>
      <c r="O181" s="192">
        <v>7</v>
      </c>
      <c r="P181" s="481" t="str">
        <f ca="1"/>
        <v>Acquired PP&amp;E</v>
      </c>
      <c r="Q181" s="257">
        <f ca="1"/>
        <v>-60</v>
      </c>
      <c r="S181" s="192">
        <v>7</v>
      </c>
      <c r="T181" s="481" t="str">
        <v>Interest Payable</v>
      </c>
      <c r="U181" s="482">
        <v>1.55</v>
      </c>
      <c r="V181">
        <f t="shared" si="11"/>
        <v>1.55</v>
      </c>
      <c r="W181" s="522"/>
    </row>
    <row r="182" spans="2:23" x14ac:dyDescent="0.3">
      <c r="B182" s="192">
        <v>7</v>
      </c>
      <c r="C182" s="481" t="str">
        <v>Salaries &amp; Wages Payable</v>
      </c>
      <c r="D182" s="482">
        <v>0</v>
      </c>
      <c r="E182">
        <f t="shared" si="10"/>
        <v>0</v>
      </c>
      <c r="F182" s="522"/>
      <c r="G182" s="192">
        <v>7</v>
      </c>
      <c r="H182" s="481"/>
      <c r="I182" s="482"/>
      <c r="J182" s="192"/>
      <c r="K182">
        <v>8</v>
      </c>
      <c r="M182" s="34"/>
      <c r="N182" s="192">
        <v>1</v>
      </c>
      <c r="O182" s="192">
        <v>7</v>
      </c>
      <c r="P182" s="481"/>
      <c r="Q182" s="257"/>
      <c r="S182" s="192">
        <v>7</v>
      </c>
      <c r="T182" s="481" t="str">
        <v>Salaries &amp; Wages Payable</v>
      </c>
      <c r="U182" s="482">
        <v>1</v>
      </c>
      <c r="V182">
        <f t="shared" si="11"/>
        <v>1</v>
      </c>
      <c r="W182" s="522"/>
    </row>
    <row r="183" spans="2:23" ht="15" thickBot="1" x14ac:dyDescent="0.35">
      <c r="B183" s="192">
        <v>7</v>
      </c>
      <c r="C183" s="481"/>
      <c r="D183" s="482"/>
      <c r="E183">
        <f t="shared" si="10"/>
        <v>0</v>
      </c>
      <c r="F183" s="522"/>
      <c r="G183" s="192">
        <v>7</v>
      </c>
      <c r="H183" s="481"/>
      <c r="I183" s="482"/>
      <c r="J183" s="192"/>
      <c r="K183"/>
      <c r="L183" s="5" t="s">
        <v>255</v>
      </c>
      <c r="M183">
        <f ca="1">IF(ABS(MAX(M184:M188)&gt;0),1,0)</f>
        <v>0</v>
      </c>
      <c r="O183" s="192">
        <v>7</v>
      </c>
      <c r="P183" s="481"/>
      <c r="Q183" s="257"/>
      <c r="S183" s="192">
        <v>7</v>
      </c>
      <c r="T183" s="481"/>
      <c r="U183" s="482"/>
      <c r="V183">
        <f t="shared" si="11"/>
        <v>0</v>
      </c>
      <c r="W183" s="522"/>
    </row>
    <row r="184" spans="2:23" x14ac:dyDescent="0.3">
      <c r="B184" s="192">
        <v>7</v>
      </c>
      <c r="C184" s="481"/>
      <c r="D184" s="482"/>
      <c r="E184">
        <f t="shared" si="10"/>
        <v>0</v>
      </c>
      <c r="F184" s="522"/>
      <c r="G184" s="192">
        <v>7</v>
      </c>
      <c r="H184" s="481"/>
      <c r="I184" s="482"/>
      <c r="J184" s="192"/>
      <c r="K184">
        <v>5</v>
      </c>
      <c r="L184" s="175" t="str">
        <f>"Balance @ "&amp;BegDate</f>
        <v>Balance @ 3/31/20X4</v>
      </c>
      <c r="M184" s="381" cm="1">
        <f t="array" ref="M184">_xlfn._xlws.FILTER(BegBalanceSheet_Equities[Amount],BegBalanceSheet_Equities[Account]=L183,0)</f>
        <v>0</v>
      </c>
      <c r="N184" s="192">
        <v>1</v>
      </c>
      <c r="O184" s="192">
        <v>7</v>
      </c>
      <c r="P184" s="481"/>
      <c r="Q184" s="257"/>
      <c r="S184" s="192">
        <v>7</v>
      </c>
      <c r="T184" s="481"/>
      <c r="U184" s="482"/>
      <c r="V184">
        <f t="shared" si="11"/>
        <v>0</v>
      </c>
      <c r="W184" s="522"/>
    </row>
    <row r="185" spans="2:23" x14ac:dyDescent="0.3">
      <c r="B185" s="192">
        <v>7</v>
      </c>
      <c r="C185" s="481"/>
      <c r="D185" s="482"/>
      <c r="E185">
        <f t="shared" si="10"/>
        <v>0</v>
      </c>
      <c r="F185" s="522"/>
      <c r="G185" s="192">
        <v>7</v>
      </c>
      <c r="H185" s="481"/>
      <c r="I185" s="482"/>
      <c r="J185" s="192"/>
      <c r="K185">
        <v>7</v>
      </c>
      <c r="L185" s="96" t="s">
        <v>760</v>
      </c>
      <c r="M185" s="527">
        <f ca="1">FSConstruction!AG11</f>
        <v>0</v>
      </c>
      <c r="N185" s="192">
        <f t="shared" ref="N185:N187" ca="1" si="13">IF(M185="",0,1)</f>
        <v>1</v>
      </c>
      <c r="O185" s="192">
        <v>7</v>
      </c>
      <c r="P185" s="481"/>
      <c r="Q185" s="257"/>
      <c r="S185" s="192">
        <v>7</v>
      </c>
      <c r="T185" s="481"/>
      <c r="U185" s="482"/>
      <c r="V185">
        <f t="shared" si="11"/>
        <v>0</v>
      </c>
      <c r="W185" s="522"/>
    </row>
    <row r="186" spans="2:23" x14ac:dyDescent="0.3">
      <c r="B186" s="192">
        <v>7</v>
      </c>
      <c r="C186" s="481"/>
      <c r="D186" s="482"/>
      <c r="E186">
        <f t="shared" si="10"/>
        <v>0</v>
      </c>
      <c r="F186" s="522"/>
      <c r="G186" s="192">
        <v>7</v>
      </c>
      <c r="H186" s="481"/>
      <c r="I186" s="482"/>
      <c r="J186" s="192"/>
      <c r="K186">
        <v>7</v>
      </c>
      <c r="L186" s="96" t="s">
        <v>761</v>
      </c>
      <c r="M186" s="527">
        <f ca="1">FSConstruction!AG18</f>
        <v>0</v>
      </c>
      <c r="N186" s="192">
        <f t="shared" ca="1" si="13"/>
        <v>1</v>
      </c>
      <c r="O186" s="192">
        <v>7</v>
      </c>
      <c r="P186" s="481"/>
      <c r="Q186" s="257"/>
      <c r="S186" s="192">
        <v>7</v>
      </c>
      <c r="T186" s="481"/>
      <c r="U186" s="482"/>
      <c r="V186">
        <f t="shared" si="11"/>
        <v>0</v>
      </c>
      <c r="W186" s="522"/>
    </row>
    <row r="187" spans="2:23" x14ac:dyDescent="0.3">
      <c r="B187" s="192">
        <v>7</v>
      </c>
      <c r="C187" s="481"/>
      <c r="D187" s="482"/>
      <c r="E187">
        <f t="shared" si="10"/>
        <v>0</v>
      </c>
      <c r="F187" s="522"/>
      <c r="G187" s="192">
        <v>7</v>
      </c>
      <c r="H187" s="481"/>
      <c r="I187" s="482"/>
      <c r="J187" s="192"/>
      <c r="K187">
        <v>7</v>
      </c>
      <c r="L187" s="96" t="s">
        <v>258</v>
      </c>
      <c r="M187" s="527">
        <f ca="1">FSConstruction!AG20</f>
        <v>0</v>
      </c>
      <c r="N187" s="192">
        <f t="shared" ca="1" si="13"/>
        <v>1</v>
      </c>
      <c r="O187" s="192">
        <v>7</v>
      </c>
      <c r="P187" s="481"/>
      <c r="Q187" s="257"/>
      <c r="S187" s="192">
        <v>7</v>
      </c>
      <c r="T187" s="481"/>
      <c r="U187" s="482"/>
      <c r="V187">
        <f t="shared" si="11"/>
        <v>0</v>
      </c>
      <c r="W187" s="522"/>
    </row>
    <row r="188" spans="2:23" ht="15" thickBot="1" x14ac:dyDescent="0.35">
      <c r="B188" s="192">
        <v>7</v>
      </c>
      <c r="C188" s="481"/>
      <c r="D188" s="482"/>
      <c r="E188">
        <f t="shared" si="10"/>
        <v>0</v>
      </c>
      <c r="F188" s="522"/>
      <c r="G188" s="192">
        <v>7</v>
      </c>
      <c r="H188" s="481"/>
      <c r="I188" s="482"/>
      <c r="J188" s="192"/>
      <c r="K188">
        <v>5</v>
      </c>
      <c r="L188" s="98" t="str">
        <f>"Balance @ "&amp;EndDate</f>
        <v>Balance @ 12/31/20x4</v>
      </c>
      <c r="M188" s="285" cm="1">
        <f t="array" ref="M188">_xlfn._xlws.FILTER(EEquities[AmtAnswer],(EEquities[UsedAnswer]=1)*(EEquities[Account]=L183),0)</f>
        <v>0</v>
      </c>
      <c r="N188" s="192">
        <v>1</v>
      </c>
      <c r="O188" s="192">
        <v>7</v>
      </c>
      <c r="P188" s="481"/>
      <c r="Q188" s="257"/>
      <c r="S188" s="192">
        <v>7</v>
      </c>
      <c r="T188" s="481"/>
      <c r="U188" s="482"/>
      <c r="V188">
        <f t="shared" si="11"/>
        <v>0</v>
      </c>
      <c r="W188" s="522"/>
    </row>
    <row r="189" spans="2:23" ht="15" thickBot="1" x14ac:dyDescent="0.35">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5" thickBot="1" x14ac:dyDescent="0.35">
      <c r="B190" s="192">
        <v>6</v>
      </c>
      <c r="C190" s="479" t="str" cm="1">
        <f t="array" ref="C190:D190">_xlfn._xlws.FILTER(CHOOSE({1,2},BNonCurrLiabs[Account],BNonCurrLiabs[Amt]),BNonCurrLiabs[Used]=1,"")</f>
        <v>Bonds Payable</v>
      </c>
      <c r="D190" s="480">
        <v>0</v>
      </c>
      <c r="E190">
        <f t="shared" si="10"/>
        <v>0</v>
      </c>
      <c r="F190" s="523" t="b">
        <f>C190&lt;&gt;""</f>
        <v>1</v>
      </c>
      <c r="G190" s="192">
        <v>6</v>
      </c>
      <c r="H190" s="479" t="str" cm="1">
        <f t="array" ref="H190">IF(J170,_xlfn._xlws.FILTER(CHOOSE({1,2},IS_Gains[Account],IS_Gains[AmtAnswer]),IS_Gains[UsedAnswer]=1,""),{"",""})</f>
        <v/>
      </c>
      <c r="I190" s="480"/>
      <c r="J190" s="192" t="b">
        <f>COUNTIF(JournalAnswer[Accnt Type],"Gain")&gt;0</f>
        <v>0</v>
      </c>
      <c r="K190"/>
      <c r="L190" s="5" t="s">
        <v>86</v>
      </c>
      <c r="M190" cm="1">
        <f t="array" aca="1" ref="M190" ca="1">IF(MAX(ABS(M191:M194))&gt;0,1,0)</f>
        <v>1</v>
      </c>
      <c r="O190" s="192">
        <v>7</v>
      </c>
      <c r="P190" s="481"/>
      <c r="Q190" s="257"/>
      <c r="S190" s="192">
        <v>6</v>
      </c>
      <c r="T190" s="479" t="str" cm="1">
        <f t="array" ref="T190:U190">_xlfn._xlws.FILTER(CHOOSE({1,2},ENonCurrLiabs[Account],ENonCurrLiabs[AmtAnswer]),ENonCurrLiabs[Used]=1,"")</f>
        <v>Bonds Payable</v>
      </c>
      <c r="U190" s="480">
        <v>20</v>
      </c>
      <c r="V190">
        <f t="shared" si="11"/>
        <v>20</v>
      </c>
      <c r="W190" s="523" t="b">
        <f>SUM(V190:V199)&gt;0.000001</f>
        <v>1</v>
      </c>
    </row>
    <row r="191" spans="2:23" x14ac:dyDescent="0.3">
      <c r="B191" s="192">
        <v>7</v>
      </c>
      <c r="C191" s="481"/>
      <c r="D191" s="482"/>
      <c r="E191">
        <f t="shared" si="10"/>
        <v>0</v>
      </c>
      <c r="F191" s="522"/>
      <c r="G191" s="192">
        <v>7</v>
      </c>
      <c r="H191" s="481"/>
      <c r="I191" s="482"/>
      <c r="J191" s="192"/>
      <c r="K191">
        <v>5</v>
      </c>
      <c r="L191" s="175" t="str">
        <f>"Balance @ "&amp;BegDate</f>
        <v>Balance @ 3/31/20X4</v>
      </c>
      <c r="M191" s="381" cm="1">
        <f t="array" ref="M191">_xlfn._xlws.FILTER(BegBalanceSheet_Equities[Amount],BegBalanceSheet_Equities[Account]=L190,0)</f>
        <v>0</v>
      </c>
      <c r="N191" s="192">
        <v>1</v>
      </c>
      <c r="O191" s="192">
        <v>7</v>
      </c>
      <c r="P191" s="481"/>
      <c r="Q191" s="257"/>
      <c r="S191" s="192">
        <v>7</v>
      </c>
      <c r="T191" s="481"/>
      <c r="U191" s="482"/>
      <c r="V191">
        <f t="shared" si="11"/>
        <v>0</v>
      </c>
      <c r="W191" s="522"/>
    </row>
    <row r="192" spans="2:23" x14ac:dyDescent="0.3">
      <c r="B192" s="192">
        <v>7</v>
      </c>
      <c r="C192" s="481"/>
      <c r="D192" s="482"/>
      <c r="E192">
        <f t="shared" si="10"/>
        <v>0</v>
      </c>
      <c r="F192" s="522"/>
      <c r="G192" s="192">
        <v>7</v>
      </c>
      <c r="H192" s="481"/>
      <c r="I192" s="482"/>
      <c r="J192" s="192"/>
      <c r="K192">
        <v>7</v>
      </c>
      <c r="L192" s="96" t="s">
        <v>259</v>
      </c>
      <c r="M192" s="527">
        <f ca="1">FSConstruction!AG12</f>
        <v>0</v>
      </c>
      <c r="N192" s="192">
        <f t="shared" ref="N192:N193" ca="1" si="14">IF(M192="",0,1)</f>
        <v>1</v>
      </c>
      <c r="O192" s="192">
        <v>7</v>
      </c>
      <c r="P192" s="481"/>
      <c r="Q192" s="257"/>
      <c r="S192" s="192">
        <v>7</v>
      </c>
      <c r="T192" s="481"/>
      <c r="U192" s="482"/>
      <c r="V192">
        <f t="shared" si="11"/>
        <v>0</v>
      </c>
      <c r="W192" s="522"/>
    </row>
    <row r="193" spans="2:23" x14ac:dyDescent="0.3">
      <c r="B193" s="192">
        <v>7</v>
      </c>
      <c r="C193" s="481"/>
      <c r="D193" s="482"/>
      <c r="E193">
        <f t="shared" si="10"/>
        <v>0</v>
      </c>
      <c r="F193" s="522"/>
      <c r="G193" s="192">
        <v>7</v>
      </c>
      <c r="H193" s="481"/>
      <c r="I193" s="482"/>
      <c r="J193" s="192"/>
      <c r="K193">
        <v>7</v>
      </c>
      <c r="L193" s="96" t="s">
        <v>162</v>
      </c>
      <c r="M193" s="527">
        <f ca="1">FSConstruction!AG13</f>
        <v>-4.2</v>
      </c>
      <c r="N193" s="192">
        <f t="shared" ca="1" si="14"/>
        <v>1</v>
      </c>
      <c r="O193" s="192">
        <v>7</v>
      </c>
      <c r="P193" s="481"/>
      <c r="Q193" s="257"/>
      <c r="S193" s="192">
        <v>7</v>
      </c>
      <c r="T193" s="481"/>
      <c r="U193" s="482"/>
      <c r="V193">
        <f t="shared" si="11"/>
        <v>0</v>
      </c>
      <c r="W193" s="522"/>
    </row>
    <row r="194" spans="2:23" ht="15" thickBot="1" x14ac:dyDescent="0.35">
      <c r="B194" s="192">
        <v>7</v>
      </c>
      <c r="C194" s="481"/>
      <c r="D194" s="482"/>
      <c r="E194">
        <f t="shared" si="10"/>
        <v>0</v>
      </c>
      <c r="F194" s="522"/>
      <c r="G194" s="192">
        <v>7</v>
      </c>
      <c r="H194" s="481"/>
      <c r="I194" s="482"/>
      <c r="J194" s="192"/>
      <c r="K194">
        <v>5</v>
      </c>
      <c r="L194" s="98" t="str">
        <f>"Balance @ "&amp;EndDate</f>
        <v>Balance @ 12/31/20x4</v>
      </c>
      <c r="M194" s="285" cm="1">
        <f t="array" ref="M194">_xlfn._xlws.FILTER(EEquities[AmtAnswer],(EEquities[UsedAnswer]=1)*(EEquities[Account]=L190),0)</f>
        <v>-4.2</v>
      </c>
      <c r="N194" s="192">
        <v>1</v>
      </c>
      <c r="O194" s="192">
        <v>7</v>
      </c>
      <c r="P194" s="481"/>
      <c r="Q194" s="257"/>
      <c r="S194" s="192">
        <v>7</v>
      </c>
      <c r="T194" s="481"/>
      <c r="U194" s="482"/>
      <c r="V194">
        <f t="shared" si="11"/>
        <v>0</v>
      </c>
      <c r="W194" s="522"/>
    </row>
    <row r="195" spans="2:23" x14ac:dyDescent="0.3">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 thickBot="1" x14ac:dyDescent="0.35">
      <c r="B196" s="192">
        <v>7</v>
      </c>
      <c r="C196" s="481"/>
      <c r="D196" s="482"/>
      <c r="E196">
        <f t="shared" si="10"/>
        <v>0</v>
      </c>
      <c r="F196" s="522"/>
      <c r="G196" s="192">
        <v>7</v>
      </c>
      <c r="H196" s="481"/>
      <c r="I196" s="482"/>
      <c r="J196" s="192"/>
      <c r="K196"/>
      <c r="L196" s="5" t="s">
        <v>261</v>
      </c>
      <c r="M196">
        <f ca="1">IF(ABS(MAX(M197:M199)&gt;0),1,0)</f>
        <v>0</v>
      </c>
      <c r="O196" s="192">
        <v>7</v>
      </c>
      <c r="P196" s="481"/>
      <c r="Q196" s="257"/>
      <c r="S196" s="192">
        <v>7</v>
      </c>
      <c r="T196" s="481"/>
      <c r="U196" s="482"/>
      <c r="V196">
        <f t="shared" si="11"/>
        <v>0</v>
      </c>
      <c r="W196" s="522"/>
    </row>
    <row r="197" spans="2:23" x14ac:dyDescent="0.3">
      <c r="B197" s="192">
        <v>7</v>
      </c>
      <c r="C197" s="481"/>
      <c r="D197" s="482"/>
      <c r="E197">
        <f t="shared" si="10"/>
        <v>0</v>
      </c>
      <c r="F197" s="522"/>
      <c r="G197" s="192">
        <v>7</v>
      </c>
      <c r="H197" s="481"/>
      <c r="I197" s="482"/>
      <c r="J197" s="192"/>
      <c r="K197">
        <v>5</v>
      </c>
      <c r="L197" s="175" t="str">
        <f>"Balance @ "&amp;BegDate</f>
        <v>Balance @ 3/31/20X4</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 thickBot="1" x14ac:dyDescent="0.35">
      <c r="B198" s="192">
        <v>7</v>
      </c>
      <c r="C198" s="481"/>
      <c r="D198" s="482"/>
      <c r="E198">
        <f t="shared" si="10"/>
        <v>0</v>
      </c>
      <c r="F198" s="522"/>
      <c r="G198" s="192">
        <v>7</v>
      </c>
      <c r="H198" s="481"/>
      <c r="I198" s="482"/>
      <c r="J198" s="192"/>
      <c r="K198">
        <v>7</v>
      </c>
      <c r="L198" s="96" t="s">
        <v>262</v>
      </c>
      <c r="M198" s="527">
        <f ca="1">FSConstruction!AG16</f>
        <v>0</v>
      </c>
      <c r="N198" s="192">
        <f t="shared" ref="N198" ca="1" si="15">IF(M198="",0,1)</f>
        <v>1</v>
      </c>
      <c r="O198" s="192">
        <v>7</v>
      </c>
      <c r="P198" s="483"/>
      <c r="Q198" s="488"/>
      <c r="S198" s="192">
        <v>7</v>
      </c>
      <c r="T198" s="481"/>
      <c r="U198" s="482"/>
      <c r="V198">
        <f t="shared" si="11"/>
        <v>0</v>
      </c>
      <c r="W198" s="522"/>
    </row>
    <row r="199" spans="2:23" ht="15" thickBot="1" x14ac:dyDescent="0.35">
      <c r="B199" s="192">
        <v>7</v>
      </c>
      <c r="C199" s="483"/>
      <c r="D199" s="485"/>
      <c r="E199">
        <f t="shared" si="10"/>
        <v>0</v>
      </c>
      <c r="F199" s="522"/>
      <c r="G199" s="192">
        <v>7</v>
      </c>
      <c r="H199" s="483"/>
      <c r="I199" s="485"/>
      <c r="J199" s="192"/>
      <c r="K199">
        <v>5</v>
      </c>
      <c r="L199" s="98" t="str">
        <f>"Balance @ "&amp;EndDate</f>
        <v>Balance @ 12/31/20x4</v>
      </c>
      <c r="M199" s="285" cm="1">
        <f t="array" ref="M199">_xlfn._xlws.FILTER(EEquities[AmtAnswer],(EEquities[UsedAnswer]=1)*(EEquities[Account]=L196),0)</f>
        <v>0</v>
      </c>
      <c r="N199" s="192">
        <v>1</v>
      </c>
      <c r="P199" s="192" t="s">
        <v>395</v>
      </c>
      <c r="Q199" s="192"/>
      <c r="S199" s="192">
        <v>7</v>
      </c>
      <c r="T199" s="483"/>
      <c r="U199" s="485"/>
      <c r="V199">
        <f t="shared" si="11"/>
        <v>0</v>
      </c>
      <c r="W199" s="522"/>
    </row>
    <row r="200" spans="2:23" x14ac:dyDescent="0.3">
      <c r="B200" s="192">
        <v>6</v>
      </c>
      <c r="C200" s="479" t="str" cm="1">
        <f t="array" ref="C200:D201">_xlfn._xlws.FILTER(CHOOSE({1,2},BEquities[Account],BEquities[Amt]),BEquities[Used]=1,"")</f>
        <v>Common Stock</v>
      </c>
      <c r="D200" s="480">
        <v>0</v>
      </c>
      <c r="E200">
        <f t="shared" si="10"/>
        <v>0</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1" ca="1">_xlfn._xlws.FILTER(CHOOSE({1,2},CFS_CFF[Account],CFS_CFF[AmtAnswer]),CFS_CFF[UsedAnswer]=1,"")</f>
        <v>Issued common stock</v>
      </c>
      <c r="Q200" s="487">
        <f ca="1"/>
        <v>100</v>
      </c>
      <c r="S200" s="192">
        <v>6</v>
      </c>
      <c r="T200" s="479" t="str" cm="1">
        <f t="array" ref="T200:U201">_xlfn._xlws.FILTER(CHOOSE({1,2},EEquities[Account],EEquities[AmtAnswer]),EEquities[Used]=1,"")</f>
        <v>Common Stock</v>
      </c>
      <c r="U200" s="480">
        <v>100</v>
      </c>
      <c r="V200">
        <f t="shared" si="11"/>
        <v>100</v>
      </c>
      <c r="W200" s="523" t="b">
        <f>SUM(V200:V209)&gt;0.000001</f>
        <v>1</v>
      </c>
    </row>
    <row r="201" spans="2:23" ht="15" thickBot="1" x14ac:dyDescent="0.35">
      <c r="B201" s="192">
        <v>7</v>
      </c>
      <c r="C201" s="481" t="str">
        <v>Retained Earnings</v>
      </c>
      <c r="D201" s="482">
        <v>0</v>
      </c>
      <c r="E201">
        <f t="shared" si="10"/>
        <v>0</v>
      </c>
      <c r="F201" s="522"/>
      <c r="G201" s="192">
        <v>7</v>
      </c>
      <c r="H201" s="481"/>
      <c r="I201" s="482"/>
      <c r="K201"/>
      <c r="L201" s="5" t="s">
        <v>263</v>
      </c>
      <c r="M201">
        <f ca="1">IF(ABS(MAX(M202:M205)&gt;0),1,0)</f>
        <v>0</v>
      </c>
      <c r="O201" s="192">
        <v>7</v>
      </c>
      <c r="P201" s="481" t="str">
        <f ca="1"/>
        <v>Issued bonds</v>
      </c>
      <c r="Q201" s="257">
        <f ca="1"/>
        <v>20</v>
      </c>
      <c r="S201" s="192">
        <v>7</v>
      </c>
      <c r="T201" s="481" t="str">
        <v>Retained Earnings</v>
      </c>
      <c r="U201" s="482">
        <v>-4.2</v>
      </c>
      <c r="V201">
        <f t="shared" si="11"/>
        <v>4.2</v>
      </c>
      <c r="W201" s="522"/>
    </row>
    <row r="202" spans="2:23" x14ac:dyDescent="0.3">
      <c r="B202" s="192">
        <v>7</v>
      </c>
      <c r="C202" s="481"/>
      <c r="D202" s="482"/>
      <c r="E202">
        <f t="shared" si="10"/>
        <v>0</v>
      </c>
      <c r="F202" s="522"/>
      <c r="G202" s="192">
        <v>7</v>
      </c>
      <c r="H202" s="481"/>
      <c r="I202" s="482"/>
      <c r="J202" s="192"/>
      <c r="K202">
        <v>5</v>
      </c>
      <c r="L202" s="175" t="str">
        <f>"Balance @ "&amp;BegDate</f>
        <v>Balance @ 3/31/20X4</v>
      </c>
      <c r="M202" s="381" cm="1">
        <f t="array" ref="M202">_xlfn._xlws.FILTER(BegBalanceSheet_Equities[Amount],BegBalanceSheet_Equities[Account]=L201,0)</f>
        <v>0</v>
      </c>
      <c r="N202" s="192">
        <v>1</v>
      </c>
      <c r="O202" s="192">
        <v>7</v>
      </c>
      <c r="P202" s="481"/>
      <c r="Q202" s="257"/>
      <c r="S202" s="192">
        <v>7</v>
      </c>
      <c r="T202" s="481"/>
      <c r="U202" s="482"/>
      <c r="V202">
        <f t="shared" si="11"/>
        <v>0</v>
      </c>
      <c r="W202" s="522"/>
    </row>
    <row r="203" spans="2:23" x14ac:dyDescent="0.3">
      <c r="B203" s="192">
        <v>7</v>
      </c>
      <c r="C203" s="481"/>
      <c r="D203" s="482"/>
      <c r="E203">
        <f t="shared" si="10"/>
        <v>0</v>
      </c>
      <c r="F203" s="522"/>
      <c r="G203" s="192">
        <v>7</v>
      </c>
      <c r="H203" s="481"/>
      <c r="I203" s="482"/>
      <c r="J203" s="192"/>
      <c r="K203">
        <v>7</v>
      </c>
      <c r="L203" s="96" t="s">
        <v>264</v>
      </c>
      <c r="M203" s="527">
        <f ca="1">FSConstruction!AG15</f>
        <v>0</v>
      </c>
      <c r="N203" s="192">
        <f t="shared" ref="N203:N204" ca="1" si="16">IF(M203="",0,1)</f>
        <v>1</v>
      </c>
      <c r="O203" s="192">
        <v>7</v>
      </c>
      <c r="P203" s="481"/>
      <c r="Q203" s="257"/>
      <c r="S203" s="192">
        <v>7</v>
      </c>
      <c r="T203" s="481"/>
      <c r="U203" s="482"/>
      <c r="V203">
        <f t="shared" si="11"/>
        <v>0</v>
      </c>
      <c r="W203" s="522"/>
    </row>
    <row r="204" spans="2:23" x14ac:dyDescent="0.3">
      <c r="B204" s="192">
        <v>7</v>
      </c>
      <c r="C204" s="481"/>
      <c r="D204" s="482"/>
      <c r="E204">
        <f t="shared" si="10"/>
        <v>0</v>
      </c>
      <c r="F204" s="522"/>
      <c r="G204" s="192">
        <v>7</v>
      </c>
      <c r="H204" s="481"/>
      <c r="I204" s="482"/>
      <c r="J204" s="192"/>
      <c r="K204">
        <v>7</v>
      </c>
      <c r="L204" s="96" t="s">
        <v>265</v>
      </c>
      <c r="M204" s="527">
        <f ca="1">FSConstruction!AG14</f>
        <v>0</v>
      </c>
      <c r="N204" s="192">
        <f t="shared" ca="1" si="16"/>
        <v>1</v>
      </c>
      <c r="O204" s="192">
        <v>7</v>
      </c>
      <c r="P204" s="481"/>
      <c r="Q204" s="257"/>
      <c r="S204" s="192">
        <v>7</v>
      </c>
      <c r="T204" s="481"/>
      <c r="U204" s="482"/>
      <c r="V204">
        <f t="shared" si="11"/>
        <v>0</v>
      </c>
      <c r="W204" s="522"/>
    </row>
    <row r="205" spans="2:23" ht="15" thickBot="1" x14ac:dyDescent="0.35">
      <c r="B205" s="192">
        <v>7</v>
      </c>
      <c r="C205" s="481"/>
      <c r="D205" s="482"/>
      <c r="E205">
        <f t="shared" si="10"/>
        <v>0</v>
      </c>
      <c r="F205" s="522"/>
      <c r="G205" s="192">
        <v>7</v>
      </c>
      <c r="H205" s="481"/>
      <c r="I205" s="482"/>
      <c r="J205" s="192"/>
      <c r="K205">
        <v>5</v>
      </c>
      <c r="L205" s="98" t="str">
        <f>"Balance @ "&amp;EndDate</f>
        <v>Balance @ 12/31/20x4</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x14ac:dyDescent="0.3">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x14ac:dyDescent="0.3">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x14ac:dyDescent="0.3">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 thickBot="1" x14ac:dyDescent="0.35">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 thickBot="1" x14ac:dyDescent="0.35">
      <c r="B210"/>
      <c r="C210" s="5" t="s">
        <v>153</v>
      </c>
      <c r="E210">
        <f t="shared" si="10"/>
        <v>0</v>
      </c>
      <c r="G210" s="484"/>
      <c r="H210" s="192"/>
      <c r="I210" s="486"/>
      <c r="J210" s="192"/>
      <c r="K210"/>
      <c r="L210" s="5" t="s">
        <v>95</v>
      </c>
      <c r="M210">
        <v>1</v>
      </c>
      <c r="O210" s="192">
        <v>7</v>
      </c>
      <c r="P210" s="481"/>
      <c r="Q210" s="257"/>
      <c r="S210"/>
      <c r="T210" s="5" t="s">
        <v>97</v>
      </c>
      <c r="V210" s="192"/>
      <c r="W210" s="192"/>
    </row>
    <row r="211" spans="2:23" x14ac:dyDescent="0.3">
      <c r="B211"/>
      <c r="C211" s="5" t="s">
        <v>266</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266</v>
      </c>
      <c r="O211" s="192">
        <v>7</v>
      </c>
      <c r="P211" s="481"/>
      <c r="Q211" s="257"/>
      <c r="S211"/>
      <c r="T211" s="5" t="s">
        <v>266</v>
      </c>
      <c r="V211" s="192"/>
      <c r="W211" s="192"/>
    </row>
    <row r="212" spans="2:23" x14ac:dyDescent="0.3">
      <c r="B212">
        <v>5</v>
      </c>
      <c r="C212" t="s">
        <v>301</v>
      </c>
      <c r="D212">
        <f>SUM(D160:D169)</f>
        <v>0</v>
      </c>
      <c r="E212">
        <f t="shared" si="10"/>
        <v>0</v>
      </c>
      <c r="G212" s="481"/>
      <c r="H212" s="192"/>
      <c r="I212" s="482"/>
      <c r="J212" s="192"/>
      <c r="K212">
        <v>3</v>
      </c>
      <c r="L212" t="str">
        <f>"Total Shareholders' Equity @ "&amp;BegDate</f>
        <v>Total Shareholders' Equity @ 3/31/20X4</v>
      </c>
      <c r="M212" s="34">
        <f>M172+M177+M184+M191+M197+M202</f>
        <v>0</v>
      </c>
      <c r="O212" s="192">
        <v>7</v>
      </c>
      <c r="P212" s="481"/>
      <c r="Q212" s="257"/>
      <c r="S212">
        <v>5</v>
      </c>
      <c r="T212" t="s">
        <v>301</v>
      </c>
      <c r="U212">
        <f>SUM(U160:U169)</f>
        <v>80.850000000000009</v>
      </c>
      <c r="V212" s="192"/>
      <c r="W212" s="192"/>
    </row>
    <row r="213" spans="2:23" x14ac:dyDescent="0.3">
      <c r="B213">
        <v>5</v>
      </c>
      <c r="C213" t="s">
        <v>304</v>
      </c>
      <c r="D213">
        <f>SUM(D170:D179)</f>
        <v>0</v>
      </c>
      <c r="E213">
        <f t="shared" si="10"/>
        <v>0</v>
      </c>
      <c r="G213" s="481"/>
      <c r="H213" s="192"/>
      <c r="I213" s="482"/>
      <c r="J213" s="192"/>
      <c r="K213">
        <v>3</v>
      </c>
      <c r="L213" t="str">
        <f>"Total Shareholders' Equity @ "&amp;EndDate</f>
        <v>Total Shareholders' Equity @ 12/31/20x4</v>
      </c>
      <c r="M213" s="34">
        <f>M174+M181+M188+M194+M205+M199</f>
        <v>95.8</v>
      </c>
      <c r="O213" s="192">
        <v>7</v>
      </c>
      <c r="P213" s="481"/>
      <c r="Q213" s="257"/>
      <c r="S213">
        <v>5</v>
      </c>
      <c r="T213" t="s">
        <v>304</v>
      </c>
      <c r="U213">
        <f>SUM(U170:U179)</f>
        <v>52.5</v>
      </c>
      <c r="V213" s="192"/>
      <c r="W213" s="192"/>
    </row>
    <row r="214" spans="2:23" x14ac:dyDescent="0.3">
      <c r="B214">
        <v>3</v>
      </c>
      <c r="C214" t="s">
        <v>269</v>
      </c>
      <c r="D214">
        <f>D212+D213</f>
        <v>0</v>
      </c>
      <c r="E214">
        <f t="shared" si="10"/>
        <v>0</v>
      </c>
      <c r="G214" s="481"/>
      <c r="H214" s="192"/>
      <c r="I214" s="482"/>
      <c r="J214" s="192"/>
      <c r="K214"/>
      <c r="O214" s="192">
        <v>7</v>
      </c>
      <c r="P214" s="481"/>
      <c r="Q214" s="257"/>
      <c r="S214">
        <v>3</v>
      </c>
      <c r="T214" t="s">
        <v>269</v>
      </c>
      <c r="U214">
        <f>U212+U213</f>
        <v>133.35000000000002</v>
      </c>
      <c r="V214" s="192"/>
      <c r="W214" s="192"/>
    </row>
    <row r="215" spans="2:23" x14ac:dyDescent="0.3">
      <c r="B215">
        <v>5</v>
      </c>
      <c r="C215" t="s">
        <v>306</v>
      </c>
      <c r="D215">
        <f>SUM(D180:D189)</f>
        <v>0</v>
      </c>
      <c r="E215">
        <f t="shared" si="10"/>
        <v>0</v>
      </c>
      <c r="G215" s="481"/>
      <c r="H215" s="192"/>
      <c r="I215" s="482"/>
      <c r="J215" s="192"/>
      <c r="K215"/>
      <c r="L215" s="5"/>
      <c r="O215" s="192">
        <v>7</v>
      </c>
      <c r="P215" s="481"/>
      <c r="Q215" s="257"/>
      <c r="S215">
        <v>5</v>
      </c>
      <c r="T215" t="s">
        <v>306</v>
      </c>
      <c r="U215">
        <f>SUM(U180:U189)</f>
        <v>17.55</v>
      </c>
      <c r="V215" s="192"/>
      <c r="W215" s="192"/>
    </row>
    <row r="216" spans="2:23" x14ac:dyDescent="0.3">
      <c r="B216">
        <v>5</v>
      </c>
      <c r="C216" t="s">
        <v>308</v>
      </c>
      <c r="D216">
        <f>SUM(D190:D199)</f>
        <v>0</v>
      </c>
      <c r="E216">
        <f t="shared" si="10"/>
        <v>0</v>
      </c>
      <c r="G216" s="481"/>
      <c r="H216" s="192"/>
      <c r="I216" s="482"/>
      <c r="J216" s="192"/>
      <c r="K216"/>
      <c r="M216" s="40" t="s">
        <v>291</v>
      </c>
      <c r="O216" s="192">
        <v>7</v>
      </c>
      <c r="P216" s="481"/>
      <c r="Q216" s="257"/>
      <c r="S216">
        <v>5</v>
      </c>
      <c r="T216" t="s">
        <v>308</v>
      </c>
      <c r="U216">
        <f>SUM(U190:U199)</f>
        <v>20</v>
      </c>
      <c r="V216" s="192"/>
      <c r="W216" s="192"/>
    </row>
    <row r="217" spans="2:23" ht="15" thickBot="1" x14ac:dyDescent="0.35">
      <c r="B217">
        <v>3</v>
      </c>
      <c r="C217" t="s">
        <v>272</v>
      </c>
      <c r="D217">
        <f>D215+D216</f>
        <v>0</v>
      </c>
      <c r="E217">
        <f t="shared" si="10"/>
        <v>0</v>
      </c>
      <c r="G217" s="483"/>
      <c r="H217" s="484"/>
      <c r="I217" s="485"/>
      <c r="J217" s="192"/>
      <c r="K217"/>
      <c r="L217" t="s">
        <v>249</v>
      </c>
      <c r="M217" t="b">
        <f ca="1">M171=1</f>
        <v>0</v>
      </c>
      <c r="O217" s="192">
        <v>7</v>
      </c>
      <c r="P217" s="481"/>
      <c r="Q217" s="257"/>
      <c r="S217">
        <v>3</v>
      </c>
      <c r="T217" t="s">
        <v>272</v>
      </c>
      <c r="U217">
        <f>U215+U216</f>
        <v>37.549999999999997</v>
      </c>
      <c r="V217" s="192"/>
      <c r="W217" s="192"/>
    </row>
    <row r="218" spans="2:23" ht="15" thickBot="1" x14ac:dyDescent="0.35">
      <c r="B218">
        <v>3</v>
      </c>
      <c r="C218" t="s">
        <v>273</v>
      </c>
      <c r="D218">
        <f>SUM(D200:D209)</f>
        <v>0</v>
      </c>
      <c r="E218">
        <f t="shared" si="10"/>
        <v>0</v>
      </c>
      <c r="K218"/>
      <c r="L218" t="s">
        <v>65</v>
      </c>
      <c r="M218" t="b">
        <f ca="1">M176=1</f>
        <v>1</v>
      </c>
      <c r="O218" s="192">
        <v>7</v>
      </c>
      <c r="P218" s="483"/>
      <c r="Q218" s="488"/>
      <c r="S218">
        <v>3</v>
      </c>
      <c r="T218" t="s">
        <v>273</v>
      </c>
      <c r="U218">
        <f>SUM(U200:U209)</f>
        <v>95.8</v>
      </c>
      <c r="V218" s="192"/>
      <c r="W218" s="192"/>
    </row>
    <row r="219" spans="2:23" ht="15" thickBot="1" x14ac:dyDescent="0.35">
      <c r="B219">
        <v>3</v>
      </c>
      <c r="C219" t="s">
        <v>274</v>
      </c>
      <c r="D219">
        <f>D217+D218</f>
        <v>0</v>
      </c>
      <c r="E219">
        <f t="shared" si="10"/>
        <v>0</v>
      </c>
      <c r="K219"/>
      <c r="L219" t="s">
        <v>255</v>
      </c>
      <c r="M219" t="b">
        <f ca="1">M183=1</f>
        <v>0</v>
      </c>
      <c r="P219" s="192" t="s">
        <v>762</v>
      </c>
      <c r="Q219" s="192"/>
      <c r="S219">
        <v>3</v>
      </c>
      <c r="T219" t="s">
        <v>274</v>
      </c>
      <c r="U219">
        <f>U217+U218</f>
        <v>133.35</v>
      </c>
      <c r="V219" s="192"/>
      <c r="W219" s="192"/>
    </row>
    <row r="220" spans="2:23" x14ac:dyDescent="0.3">
      <c r="B220"/>
      <c r="C220" s="5"/>
      <c r="G220" s="372">
        <v>3</v>
      </c>
      <c r="H220" s="5" t="s">
        <v>279</v>
      </c>
      <c r="I220" s="477">
        <f ca="1">FSConstruction!M54</f>
        <v>-4.2</v>
      </c>
      <c r="K220"/>
      <c r="L220" t="s">
        <v>86</v>
      </c>
      <c r="M220" t="b">
        <f ca="1">M190=1</f>
        <v>1</v>
      </c>
      <c r="O220" s="192">
        <v>3</v>
      </c>
      <c r="P220" s="479" t="str" cm="1">
        <f t="array" aca="1" ref="P220:Q221" ca="1">_xlfn._xlws.FILTER(CHOOSE({1,2},CFSummary[Account],CFSummary[AmtAnswer]),CFSummary[UsedAnswer]=1,"")</f>
        <v>Increase (decrease) in cash</v>
      </c>
      <c r="Q220" s="487">
        <f ca="1"/>
        <v>40.049999999999997</v>
      </c>
      <c r="S220" s="192"/>
      <c r="T220" s="192"/>
      <c r="U220" s="192"/>
      <c r="V220" s="192"/>
      <c r="W220" s="192"/>
    </row>
    <row r="221" spans="2:23" x14ac:dyDescent="0.3">
      <c r="B221"/>
      <c r="G221" s="372">
        <v>3</v>
      </c>
      <c r="H221" s="5" t="s">
        <v>616</v>
      </c>
      <c r="I221" s="477">
        <f ca="1">FSConstruction!X21</f>
        <v>-4.2</v>
      </c>
      <c r="K221"/>
      <c r="L221" t="s">
        <v>232</v>
      </c>
      <c r="M221" t="b">
        <f ca="1">M196=1</f>
        <v>0</v>
      </c>
      <c r="O221" s="192">
        <v>5</v>
      </c>
      <c r="P221" s="481" t="str">
        <f ca="1"/>
        <v>Cash @ 12/31/20x4</v>
      </c>
      <c r="Q221" s="257">
        <f ca="1"/>
        <v>40.049999999999997</v>
      </c>
      <c r="S221" s="192"/>
      <c r="T221" s="192"/>
      <c r="U221" s="192"/>
      <c r="V221" s="192"/>
      <c r="W221" s="192"/>
    </row>
    <row r="222" spans="2:23" x14ac:dyDescent="0.3">
      <c r="B222"/>
      <c r="G222" s="192"/>
      <c r="K222"/>
      <c r="L222" t="s">
        <v>263</v>
      </c>
      <c r="M222" t="b">
        <f ca="1">M201=1</f>
        <v>0</v>
      </c>
      <c r="O222" s="192">
        <v>5</v>
      </c>
      <c r="P222" s="481"/>
      <c r="Q222" s="257"/>
      <c r="S222" s="192"/>
      <c r="T222" s="192"/>
      <c r="U222" s="192"/>
      <c r="V222" s="192"/>
      <c r="W222" s="192"/>
    </row>
    <row r="223" spans="2:23" x14ac:dyDescent="0.3">
      <c r="B223"/>
      <c r="G223" s="192">
        <v>5</v>
      </c>
      <c r="H223" t="s">
        <v>294</v>
      </c>
      <c r="I223" s="216">
        <f ca="1">SUM(I160:I169)</f>
        <v>40</v>
      </c>
      <c r="K223"/>
      <c r="O223" s="192"/>
      <c r="P223" s="481"/>
      <c r="Q223" s="257"/>
      <c r="S223" s="192"/>
      <c r="T223" s="192"/>
      <c r="U223" s="192"/>
      <c r="V223" s="192"/>
      <c r="W223" s="192"/>
    </row>
    <row r="224" spans="2:23" x14ac:dyDescent="0.3">
      <c r="B224"/>
      <c r="G224" s="192">
        <v>5</v>
      </c>
      <c r="H224" t="s">
        <v>295</v>
      </c>
      <c r="I224" s="216">
        <f ca="1">SUM(I170:I189)</f>
        <v>44.199999999999996</v>
      </c>
      <c r="K224"/>
      <c r="L224" s="5" t="s">
        <v>303</v>
      </c>
      <c r="M224" cm="1">
        <f t="array" aca="1" ref="M224" ca="1">_xlfn.IFS(AND(M218,M220,NOT(M217),NOT(M219),NOT(M221),NOT(M222)),1,AND(M218,M219,M220,NOT(M217),NOT(M221),NOT(M222)),2,AND(M217,M218,M219,M220,NOT(M221),NOT(M222)),3,OR(M221,M222),4)</f>
        <v>1</v>
      </c>
      <c r="O224" s="192"/>
      <c r="P224" s="481"/>
      <c r="Q224" s="257"/>
      <c r="S224" s="192"/>
      <c r="T224" s="192"/>
      <c r="U224" s="192"/>
      <c r="V224" s="192"/>
      <c r="W224" s="192"/>
    </row>
    <row r="225" spans="2:23" x14ac:dyDescent="0.3">
      <c r="B225"/>
      <c r="G225" s="192">
        <v>5</v>
      </c>
      <c r="H225" t="s">
        <v>297</v>
      </c>
      <c r="I225" s="216">
        <f>SUM(I190:I199)</f>
        <v>0</v>
      </c>
      <c r="J225" s="192" t="b">
        <f>ROUND(I225,2)&gt;0</f>
        <v>0</v>
      </c>
      <c r="K225"/>
      <c r="O225" s="192"/>
      <c r="P225" s="481"/>
      <c r="Q225" s="257"/>
      <c r="S225" s="192"/>
      <c r="T225" s="192"/>
      <c r="U225" s="192"/>
      <c r="V225" s="192"/>
      <c r="W225" s="192"/>
    </row>
    <row r="226" spans="2:23" x14ac:dyDescent="0.3">
      <c r="B226"/>
      <c r="G226" s="192">
        <v>5</v>
      </c>
      <c r="H226" t="s">
        <v>298</v>
      </c>
      <c r="I226" s="216">
        <f>SUM(I200:I209)</f>
        <v>0</v>
      </c>
      <c r="J226" s="192" t="b">
        <f>ROUND(I226,2)&gt;0</f>
        <v>0</v>
      </c>
      <c r="K226"/>
      <c r="O226" s="192"/>
      <c r="P226" s="481"/>
      <c r="Q226" s="257"/>
      <c r="S226" s="192"/>
      <c r="T226" s="192"/>
      <c r="U226" s="192"/>
      <c r="V226" s="192"/>
      <c r="W226" s="192"/>
    </row>
    <row r="227" spans="2:23" x14ac:dyDescent="0.3">
      <c r="B227"/>
      <c r="G227" s="192"/>
      <c r="K227"/>
      <c r="O227" s="192"/>
      <c r="P227" s="481"/>
      <c r="Q227" s="257"/>
      <c r="S227" s="192"/>
      <c r="T227" s="192"/>
      <c r="U227" s="192"/>
      <c r="V227" s="192"/>
      <c r="W227" s="192"/>
    </row>
    <row r="228" spans="2:23" x14ac:dyDescent="0.3">
      <c r="B228"/>
      <c r="G228" s="192"/>
      <c r="K228"/>
      <c r="O228" s="192"/>
      <c r="P228" s="481"/>
      <c r="Q228" s="257"/>
      <c r="S228" s="192"/>
      <c r="T228" s="192"/>
      <c r="U228" s="192"/>
      <c r="V228" s="192"/>
      <c r="W228" s="192"/>
    </row>
    <row r="229" spans="2:23" x14ac:dyDescent="0.3">
      <c r="B229"/>
      <c r="G229" s="192"/>
      <c r="K229"/>
      <c r="L229" s="5" t="s">
        <v>314</v>
      </c>
      <c r="O229" s="192"/>
      <c r="P229" s="481"/>
      <c r="Q229" s="257"/>
      <c r="S229" s="192"/>
      <c r="T229" s="192"/>
      <c r="U229" s="192"/>
      <c r="V229" s="192"/>
      <c r="W229" s="192"/>
    </row>
    <row r="230" spans="2:23" x14ac:dyDescent="0.3">
      <c r="B230"/>
      <c r="G230" s="192"/>
      <c r="K230"/>
      <c r="L230" t="str" cm="1">
        <f t="array" aca="1" ref="L230:M237" ca="1">_xlfn.VSTACK(L212:M212,L213:M213,{"Common Stock",""},_xlfn._xlws.FILTER(L177:M181,M177:M181&lt;&gt;0,{"",""}),{"Retained Earnings",""},_xlfn._xlws.FILTER(L191:M194,M191:M194&lt;&gt;0,{"",""}))</f>
        <v>Total Shareholders' Equity @ 3/31/20X4</v>
      </c>
      <c r="M230">
        <f ca="1"/>
        <v>0</v>
      </c>
      <c r="O230" s="192"/>
      <c r="P230" s="481"/>
      <c r="Q230" s="257"/>
      <c r="S230" s="192"/>
      <c r="T230" s="192"/>
      <c r="U230" s="192"/>
      <c r="V230" s="192"/>
      <c r="W230" s="192"/>
    </row>
    <row r="231" spans="2:23" x14ac:dyDescent="0.3">
      <c r="B231"/>
      <c r="G231" s="192"/>
      <c r="K231"/>
      <c r="L231" t="str">
        <f ca="1"/>
        <v>Total Shareholders' Equity @ 12/31/20x4</v>
      </c>
      <c r="M231">
        <f ca="1"/>
        <v>95.8</v>
      </c>
      <c r="O231" s="192"/>
      <c r="P231" s="481"/>
      <c r="Q231" s="257"/>
      <c r="S231" s="192"/>
      <c r="T231" s="192"/>
      <c r="U231" s="192"/>
      <c r="V231" s="192"/>
      <c r="W231" s="192"/>
    </row>
    <row r="232" spans="2:23" x14ac:dyDescent="0.3">
      <c r="B232"/>
      <c r="G232" s="192"/>
      <c r="K232"/>
      <c r="L232" t="str">
        <f ca="1"/>
        <v>Common Stock</v>
      </c>
      <c r="M232" t="str">
        <f ca="1"/>
        <v/>
      </c>
      <c r="O232" s="192"/>
      <c r="P232" s="481"/>
      <c r="Q232" s="257"/>
      <c r="S232" s="192"/>
      <c r="T232" s="192"/>
      <c r="U232" s="192"/>
      <c r="V232" s="192"/>
      <c r="W232" s="192"/>
    </row>
    <row r="233" spans="2:23" x14ac:dyDescent="0.3">
      <c r="B233"/>
      <c r="G233" s="192"/>
      <c r="K233"/>
      <c r="L233" t="str">
        <f ca="1"/>
        <v>Issued Common Stock</v>
      </c>
      <c r="M233">
        <f ca="1"/>
        <v>100</v>
      </c>
      <c r="O233" s="192"/>
      <c r="P233" s="481"/>
      <c r="Q233" s="257"/>
      <c r="S233" s="192"/>
      <c r="T233" s="192"/>
      <c r="U233" s="192"/>
      <c r="V233" s="192"/>
      <c r="W233" s="192"/>
    </row>
    <row r="234" spans="2:23" x14ac:dyDescent="0.3">
      <c r="B234"/>
      <c r="G234" s="192"/>
      <c r="H234" s="192"/>
      <c r="I234" s="192"/>
      <c r="K234"/>
      <c r="L234" t="str">
        <f ca="1"/>
        <v>Balance @ 12/31/20x4</v>
      </c>
      <c r="M234">
        <f ca="1"/>
        <v>100</v>
      </c>
      <c r="O234" s="192"/>
      <c r="P234" s="481"/>
      <c r="Q234" s="257"/>
      <c r="S234" s="192"/>
      <c r="T234" s="192"/>
      <c r="U234" s="192"/>
      <c r="V234" s="192"/>
      <c r="W234" s="192"/>
    </row>
    <row r="235" spans="2:23" x14ac:dyDescent="0.3">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x14ac:dyDescent="0.3">
      <c r="B236" cm="1">
        <f t="array" ref="B236:D242">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40</v>
      </c>
      <c r="L236" t="str">
        <f ca="1"/>
        <v>Net Income (Loss)</v>
      </c>
      <c r="M236">
        <f ca="1"/>
        <v>-4.2</v>
      </c>
      <c r="O236" s="192"/>
      <c r="P236" s="481"/>
      <c r="Q236" s="257"/>
      <c r="S236" cm="1">
        <f t="array" ref="S236:U242">IF(W160,_xlfn.VSTACK({4," Current Assets:",""},_xlfn._xlws.FILTER(S160:U169,U160:U169&lt;&gt;""),S212:U212),"")</f>
        <v>4</v>
      </c>
      <c r="T236" s="192" t="str">
        <v xml:space="preserve"> Current Assets:</v>
      </c>
      <c r="U236" s="192" t="str">
        <v/>
      </c>
      <c r="V236" s="192"/>
      <c r="W236" s="192"/>
    </row>
    <row r="237" spans="2:23" x14ac:dyDescent="0.3">
      <c r="B237">
        <v>6</v>
      </c>
      <c r="C237" t="str">
        <v>Cash</v>
      </c>
      <c r="D237">
        <v>0</v>
      </c>
      <c r="G237" s="192"/>
      <c r="H237" s="192"/>
      <c r="I237" s="192"/>
      <c r="K237"/>
      <c r="L237" t="str">
        <f ca="1"/>
        <v>Balance @ 12/31/20x4</v>
      </c>
      <c r="M237">
        <f ca="1"/>
        <v>-4.2</v>
      </c>
      <c r="O237" s="192"/>
      <c r="P237" s="481"/>
      <c r="Q237" s="257"/>
      <c r="S237">
        <v>6</v>
      </c>
      <c r="T237" s="192" t="str">
        <v>Cash</v>
      </c>
      <c r="U237" s="192">
        <v>40.050000000000011</v>
      </c>
      <c r="V237" s="192"/>
      <c r="W237" s="192"/>
    </row>
    <row r="238" spans="2:23" ht="15" thickBot="1" x14ac:dyDescent="0.35">
      <c r="B238">
        <v>7</v>
      </c>
      <c r="C238" t="str">
        <v>Accounts Receivable</v>
      </c>
      <c r="D238">
        <v>0</v>
      </c>
      <c r="G238" s="192"/>
      <c r="H238" s="192"/>
      <c r="I238" s="192"/>
      <c r="K238"/>
      <c r="O238" s="192"/>
      <c r="P238" s="483"/>
      <c r="Q238" s="488"/>
      <c r="S238">
        <v>7</v>
      </c>
      <c r="T238" s="192" t="str">
        <v>Accounts Receivable</v>
      </c>
      <c r="U238" s="192">
        <v>9.8000000000000007</v>
      </c>
      <c r="V238" s="192"/>
      <c r="W238" s="192"/>
    </row>
    <row r="239" spans="2:23" ht="15" thickBot="1" x14ac:dyDescent="0.35">
      <c r="B239">
        <v>7</v>
      </c>
      <c r="C239" t="str">
        <v>Marketable Securities</v>
      </c>
      <c r="D239">
        <v>0</v>
      </c>
      <c r="G239" s="192"/>
      <c r="H239" s="192"/>
      <c r="I239" s="192"/>
      <c r="K239"/>
      <c r="O239" s="192" t="s">
        <v>138</v>
      </c>
      <c r="P239" s="192"/>
      <c r="Q239" s="192"/>
      <c r="S239">
        <v>7</v>
      </c>
      <c r="T239" s="192" t="str">
        <v>Marketable Securities</v>
      </c>
      <c r="U239" s="192">
        <v>25</v>
      </c>
      <c r="V239" s="192"/>
      <c r="W239" s="192"/>
    </row>
    <row r="240" spans="2:23" x14ac:dyDescent="0.3">
      <c r="B240">
        <v>7</v>
      </c>
      <c r="C240" t="str">
        <v>Inventories</v>
      </c>
      <c r="D240">
        <v>0</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7</v>
      </c>
      <c r="T240" s="192" t="str">
        <v>Inventories</v>
      </c>
      <c r="U240" s="192">
        <v>5</v>
      </c>
      <c r="V240" s="192"/>
      <c r="W240" s="192"/>
    </row>
    <row r="241" spans="2:23" x14ac:dyDescent="0.3">
      <c r="B241">
        <v>7</v>
      </c>
      <c r="C241" t="str">
        <v>Prepaid Rent</v>
      </c>
      <c r="D241">
        <v>0</v>
      </c>
      <c r="G241" s="192"/>
      <c r="H241" s="192"/>
      <c r="I241" s="192"/>
      <c r="K241"/>
      <c r="O241" s="192">
        <v>6</v>
      </c>
      <c r="P241" s="481"/>
      <c r="Q241" s="257"/>
      <c r="S241">
        <v>7</v>
      </c>
      <c r="T241" s="192" t="str">
        <v>Prepaid Rent</v>
      </c>
      <c r="U241" s="192">
        <v>1</v>
      </c>
      <c r="V241" s="192"/>
      <c r="W241" s="192"/>
    </row>
    <row r="242" spans="2:23" x14ac:dyDescent="0.3">
      <c r="B242">
        <v>5</v>
      </c>
      <c r="C242" t="str">
        <v xml:space="preserve">  Total Current Assets</v>
      </c>
      <c r="D242">
        <v>0</v>
      </c>
      <c r="G242" s="192"/>
      <c r="H242" s="192"/>
      <c r="I242" s="192"/>
      <c r="K242"/>
      <c r="O242" s="192">
        <v>7</v>
      </c>
      <c r="P242" s="481"/>
      <c r="Q242" s="257"/>
      <c r="S242">
        <v>5</v>
      </c>
      <c r="T242" s="192" t="str">
        <v xml:space="preserve">  Total Current Assets</v>
      </c>
      <c r="U242" s="192">
        <v>80.850000000000009</v>
      </c>
      <c r="V242" s="192"/>
      <c r="W242" s="192"/>
    </row>
    <row r="243" spans="2:23" x14ac:dyDescent="0.3">
      <c r="B243"/>
      <c r="G243" s="192"/>
      <c r="H243" s="192"/>
      <c r="I243" s="192"/>
      <c r="K243"/>
      <c r="O243" s="192">
        <v>7</v>
      </c>
      <c r="P243" s="481"/>
      <c r="Q243" s="257"/>
      <c r="S243"/>
      <c r="T243" s="192"/>
      <c r="U243" s="192"/>
      <c r="V243" s="192"/>
      <c r="W243" s="192"/>
    </row>
    <row r="244" spans="2:23" x14ac:dyDescent="0.3">
      <c r="B244"/>
      <c r="G244" s="192"/>
      <c r="H244" s="192"/>
      <c r="I244" s="192"/>
      <c r="K244"/>
      <c r="L244" s="5" t="s">
        <v>763</v>
      </c>
      <c r="O244" s="192">
        <v>7</v>
      </c>
      <c r="P244" s="481"/>
      <c r="Q244" s="257"/>
      <c r="S244"/>
      <c r="T244" s="192"/>
      <c r="U244" s="192"/>
      <c r="V244" s="192"/>
      <c r="W244" s="192"/>
    </row>
    <row r="245" spans="2:23" x14ac:dyDescent="0.3">
      <c r="B245"/>
      <c r="G245" s="192" cm="1">
        <f t="array" aca="1" ref="G245:I245" ca="1">G223:I223</f>
        <v>5</v>
      </c>
      <c r="H245" s="192" t="str">
        <f ca="1"/>
        <v xml:space="preserve">  Total Revenues</v>
      </c>
      <c r="I245" s="192">
        <f ca="1"/>
        <v>40</v>
      </c>
      <c r="K245"/>
      <c r="L245" t="str" cm="1">
        <f t="array" aca="1" ref="L245:M254" ca="1">_xlfn.VSTACK(_xlfn.ANCHORARRAY(L230),{"Additional Paid-in Capital",""},_xlfn._xlws.FILTER(L184:M188,M184:M188&lt;&gt;0,{"",""}))</f>
        <v>Total Shareholders' Equity @ 3/31/20X4</v>
      </c>
      <c r="M245">
        <f ca="1"/>
        <v>0</v>
      </c>
      <c r="O245" s="192">
        <v>7</v>
      </c>
      <c r="P245" s="481"/>
      <c r="Q245" s="257"/>
      <c r="S245"/>
      <c r="T245" s="192"/>
      <c r="U245" s="192"/>
      <c r="V245" s="192"/>
      <c r="W245" s="192"/>
    </row>
    <row r="246" spans="2:23" x14ac:dyDescent="0.3">
      <c r="B246" cm="1">
        <f t="array" ref="B246:D248">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12/31/20x4</v>
      </c>
      <c r="M246">
        <f ca="1"/>
        <v>95.8</v>
      </c>
      <c r="O246" s="192">
        <v>7</v>
      </c>
      <c r="P246" s="481"/>
      <c r="Q246" s="257"/>
      <c r="S246" cm="1">
        <f t="array" ref="S246:U248">IF(W170,_xlfn.VSTACK({4," Noncurrent Assets:",""},_xlfn._xlws.FILTER(S170:U179,U170:U179&lt;&gt;"")),"")</f>
        <v>4</v>
      </c>
      <c r="T246" s="192" t="str">
        <v xml:space="preserve"> Noncurrent Assets:</v>
      </c>
      <c r="U246" s="192" t="str">
        <v/>
      </c>
      <c r="V246" s="192"/>
      <c r="W246" s="192"/>
    </row>
    <row r="247" spans="2:23" x14ac:dyDescent="0.3">
      <c r="B247">
        <v>6</v>
      </c>
      <c r="C247" t="str">
        <v>Property, Plant &amp; Equipment</v>
      </c>
      <c r="D247">
        <v>0</v>
      </c>
      <c r="G247" s="192" cm="1">
        <f t="array" aca="1" ref="G247:I252" ca="1">_xlfn._xlws.FILTER(G170:I189,I170:I189&lt;&gt;"")</f>
        <v>6</v>
      </c>
      <c r="H247" s="192" t="str">
        <f ca="1"/>
        <v>Cost of Goods Sold</v>
      </c>
      <c r="I247" s="192">
        <f ca="1"/>
        <v>25</v>
      </c>
      <c r="K247"/>
      <c r="L247" t="str">
        <f ca="1"/>
        <v>Common Stock</v>
      </c>
      <c r="M247" t="str">
        <f ca="1"/>
        <v/>
      </c>
      <c r="O247" s="192">
        <v>7</v>
      </c>
      <c r="P247" s="481"/>
      <c r="Q247" s="257"/>
      <c r="S247">
        <v>6</v>
      </c>
      <c r="T247" s="192" t="str">
        <v>Property, Plant &amp; Equipment</v>
      </c>
      <c r="U247" s="192">
        <v>60</v>
      </c>
      <c r="V247" s="192"/>
      <c r="W247" s="192"/>
    </row>
    <row r="248" spans="2:23" x14ac:dyDescent="0.3">
      <c r="B248">
        <v>7</v>
      </c>
      <c r="C248" t="str">
        <v>Accumulated Depreciation</v>
      </c>
      <c r="D248">
        <v>0</v>
      </c>
      <c r="G248" s="192">
        <f ca="1"/>
        <v>7</v>
      </c>
      <c r="H248" s="192" t="str">
        <f ca="1"/>
        <v>Interest Expense</v>
      </c>
      <c r="I248" s="192">
        <f ca="1"/>
        <v>1.55</v>
      </c>
      <c r="K248"/>
      <c r="L248" t="str">
        <f ca="1"/>
        <v>Issued Common Stock</v>
      </c>
      <c r="M248">
        <f ca="1"/>
        <v>100</v>
      </c>
      <c r="O248" s="192">
        <v>7</v>
      </c>
      <c r="P248" s="481"/>
      <c r="Q248" s="257"/>
      <c r="S248">
        <v>7</v>
      </c>
      <c r="T248" s="192" t="str">
        <v>Accumulated Depreciation</v>
      </c>
      <c r="U248" s="192">
        <v>-7.5</v>
      </c>
      <c r="V248" s="192"/>
      <c r="W248" s="192"/>
    </row>
    <row r="249" spans="2:23" x14ac:dyDescent="0.3">
      <c r="B249"/>
      <c r="G249" s="192">
        <f ca="1"/>
        <v>7</v>
      </c>
      <c r="H249" s="192" t="str">
        <f ca="1"/>
        <v>Depreciation Expense</v>
      </c>
      <c r="I249" s="192">
        <f ca="1"/>
        <v>7.5</v>
      </c>
      <c r="K249"/>
      <c r="L249" t="str">
        <f ca="1"/>
        <v>Balance @ 12/31/20x4</v>
      </c>
      <c r="M249">
        <f ca="1"/>
        <v>100</v>
      </c>
      <c r="O249" s="192">
        <v>7</v>
      </c>
      <c r="P249" s="481"/>
      <c r="Q249" s="257"/>
      <c r="S249"/>
      <c r="T249" s="192"/>
      <c r="U249" s="192"/>
      <c r="V249" s="192"/>
      <c r="W249" s="192"/>
    </row>
    <row r="250" spans="2:23" x14ac:dyDescent="0.3">
      <c r="B250"/>
      <c r="G250" s="192">
        <f ca="1"/>
        <v>7</v>
      </c>
      <c r="H250" s="192" t="str">
        <f ca="1"/>
        <v>Rent Expense</v>
      </c>
      <c r="I250" s="192">
        <f ca="1"/>
        <v>3</v>
      </c>
      <c r="K250"/>
      <c r="L250" t="str">
        <f ca="1"/>
        <v>Retained Earnings</v>
      </c>
      <c r="M250" t="str">
        <f ca="1"/>
        <v/>
      </c>
      <c r="O250" s="192">
        <v>7</v>
      </c>
      <c r="P250" s="481"/>
      <c r="Q250" s="257"/>
      <c r="S250"/>
      <c r="T250" s="192"/>
      <c r="U250" s="192"/>
      <c r="V250" s="192"/>
      <c r="W250" s="192"/>
    </row>
    <row r="251" spans="2:23" x14ac:dyDescent="0.3">
      <c r="B251"/>
      <c r="G251" s="192">
        <f ca="1"/>
        <v>7</v>
      </c>
      <c r="H251" s="192" t="str">
        <f ca="1"/>
        <v>Bad Debts Expense</v>
      </c>
      <c r="I251" s="192">
        <f ca="1"/>
        <v>0.15</v>
      </c>
      <c r="K251"/>
      <c r="L251" t="str">
        <f ca="1"/>
        <v>Net Income (Loss)</v>
      </c>
      <c r="M251">
        <f ca="1"/>
        <v>-4.2</v>
      </c>
      <c r="O251" s="192">
        <v>7</v>
      </c>
      <c r="P251" s="481"/>
      <c r="Q251" s="257"/>
      <c r="S251"/>
      <c r="T251" s="192"/>
      <c r="U251" s="192"/>
      <c r="V251" s="192"/>
      <c r="W251" s="192"/>
    </row>
    <row r="252" spans="2:23" x14ac:dyDescent="0.3">
      <c r="B252"/>
      <c r="G252" s="192">
        <f ca="1"/>
        <v>7</v>
      </c>
      <c r="H252" s="192" t="str">
        <f ca="1"/>
        <v>Salaries &amp; Wages Expense</v>
      </c>
      <c r="I252" s="192">
        <f ca="1"/>
        <v>7</v>
      </c>
      <c r="K252"/>
      <c r="L252" t="str">
        <f ca="1"/>
        <v>Balance @ 12/31/20x4</v>
      </c>
      <c r="M252">
        <f ca="1"/>
        <v>-4.2</v>
      </c>
      <c r="O252" s="192">
        <v>7</v>
      </c>
      <c r="P252" s="481"/>
      <c r="Q252" s="257"/>
      <c r="S252"/>
      <c r="T252" s="192"/>
      <c r="U252" s="192"/>
      <c r="V252" s="192"/>
      <c r="W252" s="192"/>
    </row>
    <row r="253" spans="2:23" x14ac:dyDescent="0.3">
      <c r="B253"/>
      <c r="G253" s="192"/>
      <c r="H253" s="192"/>
      <c r="I253" s="192"/>
      <c r="K253"/>
      <c r="L253" t="str">
        <f ca="1"/>
        <v>Additional Paid-in Capital</v>
      </c>
      <c r="M253" t="str">
        <f ca="1"/>
        <v/>
      </c>
      <c r="O253" s="192">
        <v>7</v>
      </c>
      <c r="P253" s="481"/>
      <c r="Q253" s="257"/>
      <c r="S253"/>
      <c r="T253" s="192"/>
      <c r="U253" s="192"/>
      <c r="V253" s="192"/>
      <c r="W253" s="192"/>
    </row>
    <row r="254" spans="2:23" x14ac:dyDescent="0.3">
      <c r="B254"/>
      <c r="G254" s="192"/>
      <c r="H254" s="192"/>
      <c r="I254" s="192"/>
      <c r="K254"/>
      <c r="L254" t="str">
        <f ca="1"/>
        <v/>
      </c>
      <c r="M254" t="str">
        <f ca="1"/>
        <v/>
      </c>
      <c r="O254" s="192">
        <v>7</v>
      </c>
      <c r="P254" s="481"/>
      <c r="Q254" s="257"/>
      <c r="S254"/>
      <c r="T254" s="192"/>
      <c r="U254" s="192"/>
      <c r="V254" s="192"/>
      <c r="W254" s="192"/>
    </row>
    <row r="255" spans="2:23" x14ac:dyDescent="0.3">
      <c r="B255" cm="1">
        <f t="array" ref="B255:D255">B213:D213</f>
        <v>5</v>
      </c>
      <c r="C255" t="str">
        <v xml:space="preserve">  Total Noncurrent Assets</v>
      </c>
      <c r="D255">
        <v>0</v>
      </c>
      <c r="G255" s="192"/>
      <c r="H255" s="192"/>
      <c r="I255" s="192"/>
      <c r="K255"/>
      <c r="O255" s="192">
        <v>7</v>
      </c>
      <c r="P255" s="481"/>
      <c r="Q255" s="257"/>
      <c r="S255" cm="1">
        <f t="array" ref="S255:U255">S213:U213</f>
        <v>5</v>
      </c>
      <c r="T255" s="192" t="str">
        <v xml:space="preserve">  Total Noncurrent Assets</v>
      </c>
      <c r="U255" s="192">
        <v>52.5</v>
      </c>
      <c r="V255" s="192"/>
      <c r="W255" s="192"/>
    </row>
    <row r="256" spans="2:23" x14ac:dyDescent="0.3">
      <c r="B256" cm="1">
        <f t="array" ref="B256:D256">B214:D214</f>
        <v>3</v>
      </c>
      <c r="C256" t="str">
        <v>Total Assets</v>
      </c>
      <c r="D256">
        <v>0</v>
      </c>
      <c r="G256" s="192"/>
      <c r="H256" s="192"/>
      <c r="I256" s="192"/>
      <c r="K256"/>
      <c r="O256" s="192">
        <v>7</v>
      </c>
      <c r="P256" s="481"/>
      <c r="Q256" s="257"/>
      <c r="S256" cm="1">
        <f t="array" ref="S256:U256">S214:U214</f>
        <v>3</v>
      </c>
      <c r="T256" s="192" t="str">
        <v>Total Assets</v>
      </c>
      <c r="U256" s="192">
        <v>133.35000000000002</v>
      </c>
      <c r="V256" s="192"/>
      <c r="W256" s="192"/>
    </row>
    <row r="257" spans="2:23" x14ac:dyDescent="0.3">
      <c r="B257"/>
      <c r="G257" s="192"/>
      <c r="H257" s="192"/>
      <c r="I257" s="192"/>
      <c r="K257"/>
      <c r="O257" s="192">
        <v>7</v>
      </c>
      <c r="P257" s="481"/>
      <c r="Q257" s="257"/>
      <c r="S257"/>
      <c r="T257" s="192"/>
      <c r="U257" s="192"/>
      <c r="V257" s="192"/>
      <c r="W257" s="192"/>
    </row>
    <row r="258" spans="2:23" ht="15" thickBot="1" x14ac:dyDescent="0.35">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 thickBot="1" x14ac:dyDescent="0.35">
      <c r="B259"/>
      <c r="G259" s="192"/>
      <c r="H259" s="192"/>
      <c r="I259" s="192"/>
      <c r="K259"/>
      <c r="P259" s="192" t="s">
        <v>152</v>
      </c>
      <c r="Q259" s="192"/>
      <c r="S259"/>
      <c r="T259" s="192"/>
      <c r="U259" s="192"/>
      <c r="V259" s="192"/>
      <c r="W259" s="192"/>
    </row>
    <row r="260" spans="2:23" x14ac:dyDescent="0.3">
      <c r="B260" cm="1">
        <f t="array" ref="B260:D264">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Depreciation expense</v>
      </c>
      <c r="Q260" s="487">
        <f ca="1"/>
        <v>7.5</v>
      </c>
      <c r="S260" cm="1">
        <f t="array" ref="S260:U264">IF(W180,_xlfn.VSTACK({4," Current Liabilities:",""},_xlfn._xlws.FILTER(S180:U189,U180:U189&lt;&gt;""),S215:U215),{"","",""})</f>
        <v>4</v>
      </c>
      <c r="T260" s="192" t="str">
        <v xml:space="preserve"> Current Liabilities:</v>
      </c>
      <c r="U260" s="192" t="str">
        <v/>
      </c>
      <c r="V260" s="192"/>
      <c r="W260" s="192"/>
    </row>
    <row r="261" spans="2:23" x14ac:dyDescent="0.3">
      <c r="B261">
        <v>6</v>
      </c>
      <c r="C261" t="str">
        <v>Accounts Payable</v>
      </c>
      <c r="D261">
        <v>0</v>
      </c>
      <c r="G261" s="192"/>
      <c r="H261" s="192"/>
      <c r="I261" s="192"/>
      <c r="K261"/>
      <c r="O261" s="192">
        <v>7</v>
      </c>
      <c r="P261" s="481"/>
      <c r="Q261" s="257"/>
      <c r="S261">
        <v>6</v>
      </c>
      <c r="T261" s="192" t="str">
        <v>Accounts Payable</v>
      </c>
      <c r="U261" s="192">
        <v>15</v>
      </c>
      <c r="V261" s="192"/>
      <c r="W261" s="192"/>
    </row>
    <row r="262" spans="2:23" x14ac:dyDescent="0.3">
      <c r="B262">
        <v>7</v>
      </c>
      <c r="C262" t="str">
        <v>Interest Payable</v>
      </c>
      <c r="D262">
        <v>0</v>
      </c>
      <c r="G262" s="192"/>
      <c r="H262" s="192"/>
      <c r="I262" s="192"/>
      <c r="K262"/>
      <c r="O262" s="192">
        <v>7</v>
      </c>
      <c r="P262" s="481"/>
      <c r="Q262" s="257"/>
      <c r="S262">
        <v>7</v>
      </c>
      <c r="T262" s="192" t="str">
        <v>Interest Payable</v>
      </c>
      <c r="U262" s="192">
        <v>1.55</v>
      </c>
      <c r="V262" s="192"/>
      <c r="W262" s="192"/>
    </row>
    <row r="263" spans="2:23" x14ac:dyDescent="0.3">
      <c r="B263">
        <v>7</v>
      </c>
      <c r="C263" t="str">
        <v>Salaries &amp; Wages Payable</v>
      </c>
      <c r="D263">
        <v>0</v>
      </c>
      <c r="G263" s="192"/>
      <c r="H263" s="192"/>
      <c r="I263" s="192"/>
      <c r="K263"/>
      <c r="O263" s="192">
        <v>7</v>
      </c>
      <c r="P263" s="481"/>
      <c r="Q263" s="257"/>
      <c r="S263">
        <v>7</v>
      </c>
      <c r="T263" s="192" t="str">
        <v>Salaries &amp; Wages Payable</v>
      </c>
      <c r="U263" s="192">
        <v>1</v>
      </c>
      <c r="V263" s="192"/>
      <c r="W263" s="192"/>
    </row>
    <row r="264" spans="2:23" x14ac:dyDescent="0.3">
      <c r="B264">
        <v>5</v>
      </c>
      <c r="C264" t="str">
        <v xml:space="preserve">  Total Current Liabilities</v>
      </c>
      <c r="D264">
        <v>0</v>
      </c>
      <c r="G264" s="192"/>
      <c r="H264" s="192"/>
      <c r="I264" s="192"/>
      <c r="K264"/>
      <c r="O264" s="192">
        <v>7</v>
      </c>
      <c r="P264" s="481"/>
      <c r="Q264" s="257"/>
      <c r="S264">
        <v>5</v>
      </c>
      <c r="T264" s="192" t="str">
        <v xml:space="preserve">  Total Current Liabilities</v>
      </c>
      <c r="U264" s="192">
        <v>17.55</v>
      </c>
      <c r="V264" s="192"/>
      <c r="W264" s="192"/>
    </row>
    <row r="265" spans="2:23" x14ac:dyDescent="0.3">
      <c r="B265"/>
      <c r="G265" s="192"/>
      <c r="H265" s="192"/>
      <c r="I265" s="192"/>
      <c r="K265"/>
      <c r="O265" s="192">
        <v>7</v>
      </c>
      <c r="P265" s="481"/>
      <c r="Q265" s="257"/>
      <c r="S265"/>
      <c r="T265" s="192"/>
      <c r="U265" s="192"/>
      <c r="V265" s="192"/>
      <c r="W265" s="192"/>
    </row>
    <row r="266" spans="2:23" x14ac:dyDescent="0.3">
      <c r="B266"/>
      <c r="G266" s="192"/>
      <c r="H266" s="192"/>
      <c r="I266" s="192"/>
      <c r="K266"/>
      <c r="O266" s="192">
        <v>7</v>
      </c>
      <c r="P266" s="481"/>
      <c r="Q266" s="257"/>
      <c r="S266"/>
      <c r="T266" s="192"/>
      <c r="U266" s="192"/>
      <c r="V266" s="192"/>
      <c r="W266" s="192"/>
    </row>
    <row r="267" spans="2:23" x14ac:dyDescent="0.3">
      <c r="B267"/>
      <c r="G267" s="192"/>
      <c r="H267" s="192"/>
      <c r="I267" s="192"/>
      <c r="K267"/>
      <c r="O267" s="192">
        <v>7</v>
      </c>
      <c r="P267" s="481"/>
      <c r="Q267" s="257"/>
      <c r="S267"/>
      <c r="T267" s="192"/>
      <c r="U267" s="192"/>
      <c r="V267" s="192"/>
      <c r="W267" s="192"/>
    </row>
    <row r="268" spans="2:23" x14ac:dyDescent="0.3">
      <c r="B268"/>
      <c r="G268" s="192"/>
      <c r="H268" s="192"/>
      <c r="I268" s="192"/>
      <c r="K268"/>
      <c r="O268" s="192">
        <v>7</v>
      </c>
      <c r="P268" s="481"/>
      <c r="Q268" s="257"/>
      <c r="S268"/>
      <c r="T268" s="192"/>
      <c r="U268" s="192"/>
      <c r="V268" s="192"/>
      <c r="W268" s="192"/>
    </row>
    <row r="269" spans="2:23" ht="15" thickBot="1" x14ac:dyDescent="0.35">
      <c r="B269"/>
      <c r="G269" s="192" cm="1">
        <f t="array" aca="1" ref="G269:I269" ca="1">G224:I224</f>
        <v>5</v>
      </c>
      <c r="H269" s="192" t="str">
        <f ca="1"/>
        <v xml:space="preserve">  Total Expenses</v>
      </c>
      <c r="I269" s="192">
        <f ca="1"/>
        <v>44.199999999999996</v>
      </c>
      <c r="K269"/>
      <c r="L269" s="5" t="s">
        <v>764</v>
      </c>
      <c r="O269" s="192">
        <v>7</v>
      </c>
      <c r="P269" s="483"/>
      <c r="Q269" s="488"/>
      <c r="S269"/>
      <c r="T269" s="192"/>
      <c r="U269" s="192"/>
      <c r="V269" s="192"/>
      <c r="W269" s="192"/>
    </row>
    <row r="270" spans="2:23" x14ac:dyDescent="0.3">
      <c r="B270" cm="1">
        <f t="array" ref="B270:D272">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1" ca="1">_xlfn.VSTACK(_xlfn.ANCHORARRAY(L245),{"Preferred Stock",""},_xlfn._xlws.FILTER(L172:M174,M172:M174&lt;&gt;0,{"",""}))</f>
        <v>Total Shareholders' Equity @ 3/31/20X4</v>
      </c>
      <c r="M270">
        <f ca="1"/>
        <v>0</v>
      </c>
      <c r="O270" s="192">
        <v>6</v>
      </c>
      <c r="P270" s="479" t="str" cm="1">
        <f t="array" ref="P270:Q270">_xlfn._xlws.FILTER(CHOOSE({1,2},NI_CFO_Recon_Losses[Account],NI_CFO_Recon_Losses[AmtAnswer]),NI_CFO_Recon_Losses[UsedAnswer]=1,{"",""})</f>
        <v/>
      </c>
      <c r="Q270" s="487" t="str">
        <v/>
      </c>
      <c r="S270" cm="1">
        <f t="array" ref="S270:U272">IF(W190,_xlfn.VSTACK({4," Noncurrent Liabilities:",""},_xlfn._xlws.FILTER(S190:U199,U190:U199&lt;&gt;""),S216:U216),{"","",""})</f>
        <v>4</v>
      </c>
      <c r="T270" s="192" t="str">
        <v xml:space="preserve"> Noncurrent Liabilities:</v>
      </c>
      <c r="U270" s="192" t="str">
        <v/>
      </c>
      <c r="V270" s="192"/>
      <c r="W270" s="192"/>
    </row>
    <row r="271" spans="2:23" x14ac:dyDescent="0.3">
      <c r="B271">
        <v>6</v>
      </c>
      <c r="C271" t="str">
        <v>Bonds Payable</v>
      </c>
      <c r="D271">
        <v>0</v>
      </c>
      <c r="G271" t="str" cm="1">
        <f t="array" ref="G271:I271">IF($J$225,(_xlfn._xlws.FILTER(G190:I199,I190:I199&lt;&gt;"")),{"","",""})</f>
        <v/>
      </c>
      <c r="H271" s="192" t="str">
        <v/>
      </c>
      <c r="I271" s="192" t="str">
        <v/>
      </c>
      <c r="K271"/>
      <c r="L271" t="str">
        <f ca="1"/>
        <v>Total Shareholders' Equity @ 12/31/20x4</v>
      </c>
      <c r="M271">
        <f ca="1"/>
        <v>95.8</v>
      </c>
      <c r="O271" s="192">
        <v>7</v>
      </c>
      <c r="P271" s="481"/>
      <c r="Q271" s="257"/>
      <c r="S271">
        <v>6</v>
      </c>
      <c r="T271" s="192" t="str">
        <v>Bonds Payable</v>
      </c>
      <c r="U271" s="192">
        <v>20</v>
      </c>
      <c r="V271" s="192"/>
      <c r="W271" s="192"/>
    </row>
    <row r="272" spans="2:23" x14ac:dyDescent="0.3">
      <c r="B272">
        <v>5</v>
      </c>
      <c r="C272" t="str">
        <v xml:space="preserve">  Total Noncurrent Liabilities</v>
      </c>
      <c r="D272">
        <v>0</v>
      </c>
      <c r="G272" s="192"/>
      <c r="H272" s="192"/>
      <c r="I272" s="192"/>
      <c r="K272"/>
      <c r="L272" t="str">
        <f ca="1"/>
        <v>Common Stock</v>
      </c>
      <c r="M272" t="str">
        <f ca="1"/>
        <v/>
      </c>
      <c r="O272" s="192">
        <v>7</v>
      </c>
      <c r="P272" s="481"/>
      <c r="Q272" s="257"/>
      <c r="S272">
        <v>5</v>
      </c>
      <c r="T272" s="192" t="str">
        <v xml:space="preserve">  Total Noncurrent Liabilities</v>
      </c>
      <c r="U272" s="192">
        <v>20</v>
      </c>
      <c r="V272" s="192"/>
      <c r="W272" s="192"/>
    </row>
    <row r="273" spans="2:23" x14ac:dyDescent="0.3">
      <c r="B273"/>
      <c r="G273" s="192"/>
      <c r="H273" s="192"/>
      <c r="I273" s="192"/>
      <c r="K273"/>
      <c r="L273" t="str">
        <f ca="1"/>
        <v>Issued Common Stock</v>
      </c>
      <c r="M273">
        <f ca="1"/>
        <v>100</v>
      </c>
      <c r="O273" s="192">
        <v>7</v>
      </c>
      <c r="P273" s="481"/>
      <c r="Q273" s="257"/>
      <c r="S273"/>
      <c r="T273" s="192"/>
      <c r="U273" s="192"/>
      <c r="V273" s="192"/>
      <c r="W273" s="192"/>
    </row>
    <row r="274" spans="2:23" x14ac:dyDescent="0.3">
      <c r="B274"/>
      <c r="G274" s="192"/>
      <c r="H274" s="192"/>
      <c r="I274" s="192"/>
      <c r="K274"/>
      <c r="L274" t="str">
        <f ca="1"/>
        <v>Balance @ 12/31/20x4</v>
      </c>
      <c r="M274">
        <f ca="1"/>
        <v>100</v>
      </c>
      <c r="O274" s="192">
        <v>7</v>
      </c>
      <c r="P274" s="481"/>
      <c r="Q274" s="257"/>
      <c r="S274"/>
      <c r="T274" s="192"/>
      <c r="U274" s="192"/>
      <c r="V274" s="192"/>
      <c r="W274" s="192"/>
    </row>
    <row r="275" spans="2:23" x14ac:dyDescent="0.3">
      <c r="B275"/>
      <c r="G275" s="192"/>
      <c r="H275" s="192"/>
      <c r="I275" s="192"/>
      <c r="K275"/>
      <c r="L275" t="str">
        <f ca="1"/>
        <v>Retained Earnings</v>
      </c>
      <c r="M275" t="str">
        <f ca="1"/>
        <v/>
      </c>
      <c r="O275" s="192">
        <v>7</v>
      </c>
      <c r="P275" s="481"/>
      <c r="Q275" s="257"/>
      <c r="S275"/>
      <c r="T275" s="192"/>
      <c r="U275" s="192"/>
      <c r="V275" s="192"/>
      <c r="W275" s="192"/>
    </row>
    <row r="276" spans="2:23" x14ac:dyDescent="0.3">
      <c r="B276"/>
      <c r="G276" s="192"/>
      <c r="H276" s="192"/>
      <c r="I276" s="192"/>
      <c r="K276"/>
      <c r="L276" t="str">
        <f ca="1"/>
        <v>Net Income (Loss)</v>
      </c>
      <c r="M276">
        <f ca="1"/>
        <v>-4.2</v>
      </c>
      <c r="O276" s="192">
        <v>7</v>
      </c>
      <c r="P276" s="481"/>
      <c r="Q276" s="257"/>
      <c r="S276"/>
      <c r="T276" s="192"/>
      <c r="U276" s="192"/>
      <c r="V276" s="192"/>
      <c r="W276" s="192"/>
    </row>
    <row r="277" spans="2:23" x14ac:dyDescent="0.3">
      <c r="B277"/>
      <c r="G277" s="192"/>
      <c r="H277" s="192"/>
      <c r="I277" s="192"/>
      <c r="K277"/>
      <c r="L277" t="str">
        <f ca="1"/>
        <v>Balance @ 12/31/20x4</v>
      </c>
      <c r="M277">
        <f ca="1"/>
        <v>-4.2</v>
      </c>
      <c r="O277" s="192">
        <v>7</v>
      </c>
      <c r="P277" s="481"/>
      <c r="Q277" s="257"/>
      <c r="S277"/>
      <c r="T277" s="192"/>
      <c r="U277" s="192"/>
      <c r="V277" s="192"/>
      <c r="W277" s="192"/>
    </row>
    <row r="278" spans="2:23" x14ac:dyDescent="0.3">
      <c r="B278"/>
      <c r="G278" s="192"/>
      <c r="H278" s="192"/>
      <c r="I278" s="192"/>
      <c r="K278"/>
      <c r="L278" t="str">
        <f ca="1"/>
        <v>Additional Paid-in Capital</v>
      </c>
      <c r="M278" t="str">
        <f ca="1"/>
        <v/>
      </c>
      <c r="O278" s="192">
        <v>7</v>
      </c>
      <c r="P278" s="481"/>
      <c r="Q278" s="257"/>
      <c r="S278"/>
      <c r="T278" s="192"/>
      <c r="U278" s="192"/>
      <c r="V278" s="192"/>
      <c r="W278" s="192"/>
    </row>
    <row r="279" spans="2:23" ht="15" thickBot="1" x14ac:dyDescent="0.35">
      <c r="B279"/>
      <c r="G279" s="192" t="str" cm="1">
        <f t="array" ref="G279:I279">IF($J$225,G225:I225,{"","",""})</f>
        <v/>
      </c>
      <c r="H279" s="192" t="str">
        <v/>
      </c>
      <c r="I279" s="192" t="str">
        <v/>
      </c>
      <c r="K279"/>
      <c r="L279" t="str">
        <f ca="1"/>
        <v/>
      </c>
      <c r="M279" t="str">
        <f ca="1"/>
        <v/>
      </c>
      <c r="O279" s="192">
        <v>7</v>
      </c>
      <c r="P279" s="483"/>
      <c r="Q279" s="488"/>
      <c r="S279"/>
      <c r="T279" s="192"/>
      <c r="U279" s="192"/>
      <c r="V279" s="192"/>
      <c r="W279" s="192"/>
    </row>
    <row r="280" spans="2:23" x14ac:dyDescent="0.3">
      <c r="B280" cm="1">
        <f t="array" ref="B280:D280">IF(OR(F180,F190),B217:D217,{"","",""})</f>
        <v>3</v>
      </c>
      <c r="C280" t="str">
        <v>Total Liabilities</v>
      </c>
      <c r="D280">
        <v>0</v>
      </c>
      <c r="G280" s="192" t="str" cm="1">
        <f t="array" ref="G280:I280">IF(J226,{2,"LOSSES",""},{"","",""})</f>
        <v/>
      </c>
      <c r="H280" s="192" t="str">
        <v/>
      </c>
      <c r="I280" s="192" t="str">
        <v/>
      </c>
      <c r="K280"/>
      <c r="L280" t="str">
        <f ca="1"/>
        <v>Preferred Stock</v>
      </c>
      <c r="M280" t="str">
        <f ca="1"/>
        <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37.549999999999997</v>
      </c>
      <c r="V280" s="192"/>
      <c r="W280" s="192"/>
    </row>
    <row r="281" spans="2:23" x14ac:dyDescent="0.3">
      <c r="B281"/>
      <c r="G281" t="str" cm="1">
        <f t="array" ref="G281:I281">IF($J$226,_xlfn._xlws.FILTER(G200:I209,I200:I209&lt;&gt;""),{"","",""})</f>
        <v/>
      </c>
      <c r="H281" s="192" t="str">
        <v/>
      </c>
      <c r="I281" s="192" t="str">
        <v/>
      </c>
      <c r="L281" t="str">
        <f ca="1"/>
        <v/>
      </c>
      <c r="M281" t="str">
        <f ca="1"/>
        <v/>
      </c>
      <c r="N281" s="372"/>
      <c r="O281" s="192">
        <v>7</v>
      </c>
      <c r="P281" s="489"/>
      <c r="Q281" s="490"/>
      <c r="S281"/>
      <c r="T281" s="192"/>
      <c r="U281" s="192"/>
      <c r="V281" s="192"/>
      <c r="W281" s="192"/>
    </row>
    <row r="282" spans="2:23" x14ac:dyDescent="0.3">
      <c r="B282" cm="1">
        <f t="array" ref="B282:D282">{2,"EQUITIES",""}</f>
        <v>2</v>
      </c>
      <c r="C282" t="str">
        <v>EQUITIES</v>
      </c>
      <c r="D282" t="str">
        <v/>
      </c>
      <c r="G282" s="192"/>
      <c r="H282" s="192"/>
      <c r="I282" s="192"/>
      <c r="N282" s="372"/>
      <c r="O282" s="192">
        <v>7</v>
      </c>
      <c r="P282" s="489"/>
      <c r="Q282" s="490"/>
      <c r="S282" cm="1">
        <f t="array" ref="S282:U282">{2,"EQUITIES",""}</f>
        <v>2</v>
      </c>
      <c r="T282" s="192" t="str">
        <v>EQUITIES</v>
      </c>
      <c r="U282" s="192" t="str">
        <v/>
      </c>
      <c r="V282" s="192"/>
      <c r="W282" s="192"/>
    </row>
    <row r="283" spans="2:23" x14ac:dyDescent="0.3">
      <c r="B283"/>
      <c r="G283" s="192"/>
      <c r="H283" s="192"/>
      <c r="I283" s="192"/>
      <c r="N283" s="372"/>
      <c r="O283" s="192">
        <v>7</v>
      </c>
      <c r="P283" s="489"/>
      <c r="Q283" s="490"/>
      <c r="S283"/>
      <c r="T283" s="192"/>
      <c r="U283" s="192"/>
      <c r="V283" s="192"/>
      <c r="W283" s="192"/>
    </row>
    <row r="284" spans="2:23" x14ac:dyDescent="0.3">
      <c r="B284" cm="1">
        <f t="array" ref="B284:D285">_xlfn._xlws.FILTER(B200:D209,D200:D209&lt;&gt;"")</f>
        <v>6</v>
      </c>
      <c r="C284" t="str">
        <v>Common Stock</v>
      </c>
      <c r="D284">
        <v>0</v>
      </c>
      <c r="G284" s="192"/>
      <c r="H284" s="192"/>
      <c r="I284" s="192"/>
      <c r="N284" s="372"/>
      <c r="O284" s="192">
        <v>7</v>
      </c>
      <c r="P284" s="489"/>
      <c r="Q284" s="490"/>
      <c r="S284" cm="1">
        <f t="array" ref="S284:U285">_xlfn._xlws.FILTER(S200:U209,U200:U209&lt;&gt;"")</f>
        <v>6</v>
      </c>
      <c r="T284" s="192" t="str">
        <v>Common Stock</v>
      </c>
      <c r="U284" s="192">
        <v>100</v>
      </c>
      <c r="V284" s="192"/>
      <c r="W284" s="192"/>
    </row>
    <row r="285" spans="2:23" x14ac:dyDescent="0.3">
      <c r="B285">
        <v>7</v>
      </c>
      <c r="C285" t="str">
        <v>Retained Earnings</v>
      </c>
      <c r="D285">
        <v>0</v>
      </c>
      <c r="G285" s="192"/>
      <c r="H285" s="192"/>
      <c r="I285" s="192"/>
      <c r="N285" s="372"/>
      <c r="O285" s="192">
        <v>7</v>
      </c>
      <c r="P285" s="489"/>
      <c r="Q285" s="490"/>
      <c r="S285">
        <v>7</v>
      </c>
      <c r="T285" s="192" t="str">
        <v>Retained Earnings</v>
      </c>
      <c r="U285" s="192">
        <v>-4.2</v>
      </c>
      <c r="V285" s="192"/>
      <c r="W285" s="192"/>
    </row>
    <row r="286" spans="2:23" x14ac:dyDescent="0.3">
      <c r="B286"/>
      <c r="G286" s="192"/>
      <c r="H286" s="192"/>
      <c r="I286" s="192"/>
      <c r="N286" s="372"/>
      <c r="O286" s="192">
        <v>7</v>
      </c>
      <c r="P286" s="489"/>
      <c r="Q286" s="490"/>
      <c r="S286"/>
      <c r="T286" s="192"/>
      <c r="U286" s="192"/>
      <c r="V286" s="192"/>
      <c r="W286" s="192"/>
    </row>
    <row r="287" spans="2:23" x14ac:dyDescent="0.3">
      <c r="B287"/>
      <c r="G287" s="192"/>
      <c r="H287" s="192"/>
      <c r="I287" s="192"/>
      <c r="N287" s="372"/>
      <c r="O287" s="192">
        <v>7</v>
      </c>
      <c r="P287" s="489"/>
      <c r="Q287" s="490"/>
      <c r="S287"/>
      <c r="T287" s="192"/>
      <c r="U287" s="192"/>
      <c r="V287" s="192"/>
      <c r="W287" s="192"/>
    </row>
    <row r="288" spans="2:23" x14ac:dyDescent="0.3">
      <c r="B288"/>
      <c r="G288" s="192"/>
      <c r="H288" s="192"/>
      <c r="I288" s="192"/>
      <c r="N288" s="372"/>
      <c r="O288" s="192">
        <v>7</v>
      </c>
      <c r="P288" s="489"/>
      <c r="Q288" s="490"/>
      <c r="S288"/>
      <c r="T288" s="192"/>
      <c r="U288" s="192"/>
      <c r="V288" s="192"/>
      <c r="W288" s="192"/>
    </row>
    <row r="289" spans="2:23" ht="15" thickBot="1" x14ac:dyDescent="0.35">
      <c r="B289"/>
      <c r="G289" s="192" t="str" cm="1">
        <f t="array" ref="G289:I289">IF($J$226,G226:I226,{"","",""})</f>
        <v/>
      </c>
      <c r="H289" s="192" t="str">
        <v/>
      </c>
      <c r="I289" s="192" t="str">
        <v/>
      </c>
      <c r="N289" s="372"/>
      <c r="O289" s="192">
        <v>7</v>
      </c>
      <c r="P289" s="489"/>
      <c r="Q289" s="490"/>
      <c r="S289"/>
      <c r="T289" s="192"/>
      <c r="U289" s="192"/>
      <c r="V289" s="192"/>
      <c r="W289" s="192"/>
    </row>
    <row r="290" spans="2:23" x14ac:dyDescent="0.3">
      <c r="B290" cm="1">
        <f t="array" ref="B290:D290">B218:D218</f>
        <v>3</v>
      </c>
      <c r="C290" t="str">
        <v>Total Equities</v>
      </c>
      <c r="D290">
        <v>0</v>
      </c>
      <c r="G290" s="192" cm="1">
        <f t="array" aca="1" ref="G290:I290" ca="1">G220:I220</f>
        <v>3</v>
      </c>
      <c r="H290" s="192" t="str">
        <f ca="1"/>
        <v>Net Income</v>
      </c>
      <c r="I290" s="192">
        <f ca="1"/>
        <v>-4.2</v>
      </c>
      <c r="O290" s="192">
        <v>6</v>
      </c>
      <c r="P290" s="479" t="str" cm="1">
        <f t="array" aca="1" ref="P290:Q292" ca="1">_xlfn._xlws.FILTER(CHOOSE({1,2},NI_CFO_Recon_Assets[Account],NI_CFO_Recon_Assets[AmtAnswer]),NI_CFO_Recon_Assets[UsedAnswer]=1,{"",""})</f>
        <v>Accounts Receivable</v>
      </c>
      <c r="Q290" s="487">
        <f ca="1"/>
        <v>-9.8000000000000007</v>
      </c>
      <c r="S290" cm="1">
        <f t="array" ref="S290:U290">S218:U218</f>
        <v>3</v>
      </c>
      <c r="T290" s="192" t="str">
        <v>Total Equities</v>
      </c>
      <c r="U290" s="192">
        <v>95.8</v>
      </c>
      <c r="V290" s="192"/>
      <c r="W290" s="192"/>
    </row>
    <row r="291" spans="2:23" x14ac:dyDescent="0.3">
      <c r="B291"/>
      <c r="G291" s="192"/>
      <c r="H291" s="192"/>
      <c r="I291" s="192"/>
      <c r="O291" s="192">
        <v>7</v>
      </c>
      <c r="P291" s="481" t="str">
        <f ca="1"/>
        <v>Inventories</v>
      </c>
      <c r="Q291" s="257">
        <f ca="1"/>
        <v>-5</v>
      </c>
      <c r="S291"/>
      <c r="T291" s="192"/>
      <c r="U291" s="192"/>
      <c r="V291" s="192"/>
      <c r="W291" s="192"/>
    </row>
    <row r="292" spans="2:23" x14ac:dyDescent="0.3">
      <c r="B292" cm="1">
        <f t="array" ref="B292:D292">IF(AND(F200,OR(F190,F180)),B219:D219,{"","",""})</f>
        <v>3</v>
      </c>
      <c r="C292" t="str">
        <v>Total Liabilities and Equities</v>
      </c>
      <c r="D292">
        <v>0</v>
      </c>
      <c r="G292" s="192"/>
      <c r="H292" s="192"/>
      <c r="I292" s="192"/>
      <c r="O292" s="192">
        <v>7</v>
      </c>
      <c r="P292" s="481" t="str">
        <f ca="1"/>
        <v>Prepaid Rent</v>
      </c>
      <c r="Q292" s="257">
        <f ca="1"/>
        <v>-1</v>
      </c>
      <c r="S292" cm="1">
        <f t="array" ref="S292:U292">IF(AND(W200,OR(W190,W180)),S219:U219,{"","",""})</f>
        <v>3</v>
      </c>
      <c r="T292" s="192" t="str">
        <v>Total Liabilities and Equities</v>
      </c>
      <c r="U292" s="192">
        <v>133.35</v>
      </c>
      <c r="V292" s="192"/>
      <c r="W292" s="192"/>
    </row>
    <row r="293" spans="2:23" x14ac:dyDescent="0.3">
      <c r="G293" s="192"/>
      <c r="H293" s="192"/>
      <c r="I293" s="192"/>
      <c r="O293" s="192">
        <v>7</v>
      </c>
      <c r="P293" s="481"/>
      <c r="Q293" s="257"/>
      <c r="S293" s="192"/>
      <c r="T293" s="192"/>
      <c r="U293" s="192"/>
      <c r="V293" s="192"/>
      <c r="W293" s="192"/>
    </row>
    <row r="294" spans="2:23" x14ac:dyDescent="0.3">
      <c r="G294" s="192"/>
      <c r="H294" s="192"/>
      <c r="I294" s="192"/>
      <c r="O294" s="192">
        <v>7</v>
      </c>
      <c r="P294" s="481"/>
      <c r="Q294" s="257"/>
      <c r="S294" s="192"/>
      <c r="T294" s="192"/>
      <c r="U294" s="192"/>
      <c r="V294" s="192"/>
      <c r="W294" s="192"/>
    </row>
    <row r="295" spans="2:23" x14ac:dyDescent="0.3">
      <c r="G295" s="192"/>
      <c r="H295" s="192"/>
      <c r="I295" s="192"/>
      <c r="O295" s="192">
        <v>7</v>
      </c>
      <c r="P295" s="481"/>
      <c r="Q295" s="257"/>
      <c r="S295" s="192"/>
      <c r="T295" s="192"/>
      <c r="U295" s="192"/>
      <c r="V295" s="192"/>
      <c r="W295" s="192"/>
    </row>
    <row r="296" spans="2:23" x14ac:dyDescent="0.3">
      <c r="G296" s="192"/>
      <c r="H296" s="192"/>
      <c r="I296" s="192"/>
      <c r="O296" s="192">
        <v>7</v>
      </c>
      <c r="P296" s="481"/>
      <c r="Q296" s="257"/>
      <c r="S296" s="192"/>
      <c r="T296" s="192"/>
      <c r="U296" s="192"/>
      <c r="V296" s="192"/>
      <c r="W296" s="192"/>
    </row>
    <row r="297" spans="2:23" x14ac:dyDescent="0.3">
      <c r="G297" s="192"/>
      <c r="H297" s="192"/>
      <c r="I297" s="192"/>
      <c r="O297" s="192">
        <v>7</v>
      </c>
      <c r="P297" s="481"/>
      <c r="Q297" s="257"/>
      <c r="S297" s="192"/>
      <c r="T297" s="192"/>
      <c r="U297" s="192"/>
      <c r="V297" s="192"/>
      <c r="W297" s="192"/>
    </row>
    <row r="298" spans="2:23" x14ac:dyDescent="0.3">
      <c r="G298" s="192"/>
      <c r="H298" s="192"/>
      <c r="I298" s="192"/>
      <c r="O298" s="192">
        <v>7</v>
      </c>
      <c r="P298" s="481"/>
      <c r="Q298" s="257"/>
      <c r="S298" s="192"/>
      <c r="T298" s="192"/>
      <c r="U298" s="192"/>
      <c r="V298" s="192"/>
      <c r="W298" s="192"/>
    </row>
    <row r="299" spans="2:23" ht="15" thickBot="1" x14ac:dyDescent="0.35">
      <c r="G299" s="192"/>
      <c r="H299" s="192"/>
      <c r="I299" s="192"/>
      <c r="L299" s="5" t="s">
        <v>322</v>
      </c>
      <c r="O299" s="192">
        <v>7</v>
      </c>
      <c r="P299" s="483"/>
      <c r="Q299" s="488"/>
      <c r="S299" s="192"/>
      <c r="T299" s="192"/>
      <c r="U299" s="192"/>
      <c r="V299" s="192"/>
      <c r="W299" s="192"/>
    </row>
    <row r="300" spans="2:23" x14ac:dyDescent="0.3">
      <c r="G300" s="192"/>
      <c r="H300" s="192"/>
      <c r="I300" s="192"/>
      <c r="L300" t="str" cm="1">
        <f t="array" aca="1" ref="L300:M315" ca="1">_xlfn.VSTACK(_xlfn.ANCHORARRAY(L245),{"Preferred Stock",""},_xlfn._xlws.FILTER(L172:M174,M172:M174&lt;&gt;0,{"",""}),{"Accumulated Other Comprehensive Income",""},_xlfn._xlws.FILTER(L197:M199,M197:M199&lt;&gt;0,{"",""}),{"Treasury Stock",""},_xlfn._xlws.FILTER(L202:M205,M202:M205&lt;&gt;0,{"",""}))</f>
        <v>Total Shareholders' Equity @ 3/31/20X4</v>
      </c>
      <c r="M300">
        <f ca="1"/>
        <v>0</v>
      </c>
      <c r="O300" s="192">
        <v>6</v>
      </c>
      <c r="P300" s="479" t="str" cm="1">
        <f t="array" aca="1" ref="P300:Q302" ca="1">_xlfn._xlws.FILTER(CHOOSE({1,2},NI_CFO_Recon_Liabilities[Account],NI_CFO_Recon_Liabilities[AmtAnswer]),NI_CFO_Recon_Liabilities[UsedAnswer]=1,{"",""})</f>
        <v>Accounts Payable</v>
      </c>
      <c r="Q300" s="487">
        <f ca="1"/>
        <v>15</v>
      </c>
      <c r="S300" s="192"/>
      <c r="T300" s="192"/>
      <c r="U300" s="192"/>
      <c r="V300" s="192"/>
      <c r="W300" s="192"/>
    </row>
    <row r="301" spans="2:23" x14ac:dyDescent="0.3">
      <c r="G301" s="192"/>
      <c r="H301" s="192"/>
      <c r="I301" s="192"/>
      <c r="L301" t="str">
        <f ca="1"/>
        <v>Total Shareholders' Equity @ 12/31/20x4</v>
      </c>
      <c r="M301">
        <f ca="1"/>
        <v>95.8</v>
      </c>
      <c r="O301" s="192">
        <v>7</v>
      </c>
      <c r="P301" s="481" t="str">
        <f ca="1"/>
        <v>Interest Payable</v>
      </c>
      <c r="Q301" s="257">
        <f ca="1"/>
        <v>1.55</v>
      </c>
      <c r="S301" s="192"/>
      <c r="T301" s="192"/>
      <c r="U301" s="192"/>
      <c r="V301" s="192"/>
      <c r="W301" s="192"/>
    </row>
    <row r="302" spans="2:23" x14ac:dyDescent="0.3">
      <c r="G302" s="192"/>
      <c r="H302" s="192"/>
      <c r="I302" s="192"/>
      <c r="L302" t="str">
        <f ca="1"/>
        <v>Common Stock</v>
      </c>
      <c r="M302" t="str">
        <f ca="1"/>
        <v/>
      </c>
      <c r="O302" s="192">
        <v>7</v>
      </c>
      <c r="P302" s="481" t="str">
        <f ca="1"/>
        <v>Salaries &amp; Wages Payable</v>
      </c>
      <c r="Q302" s="257">
        <f ca="1"/>
        <v>1</v>
      </c>
      <c r="S302" s="192"/>
      <c r="T302" s="192"/>
      <c r="U302" s="192"/>
      <c r="V302" s="192"/>
      <c r="W302" s="192"/>
    </row>
    <row r="303" spans="2:23" x14ac:dyDescent="0.3">
      <c r="G303" s="192"/>
      <c r="H303" s="192"/>
      <c r="I303" s="192"/>
      <c r="L303" t="str">
        <f ca="1"/>
        <v>Issued Common Stock</v>
      </c>
      <c r="M303">
        <f ca="1"/>
        <v>100</v>
      </c>
      <c r="O303" s="192">
        <v>7</v>
      </c>
      <c r="P303" s="481"/>
      <c r="Q303" s="257"/>
      <c r="S303" s="192"/>
      <c r="T303" s="192"/>
      <c r="U303" s="192"/>
      <c r="V303" s="192"/>
      <c r="W303" s="192"/>
    </row>
    <row r="304" spans="2:23" x14ac:dyDescent="0.3">
      <c r="G304" s="192"/>
      <c r="H304" s="192"/>
      <c r="I304" s="192"/>
      <c r="L304" t="str">
        <f ca="1"/>
        <v>Balance @ 12/31/20x4</v>
      </c>
      <c r="M304">
        <f ca="1"/>
        <v>100</v>
      </c>
      <c r="O304" s="192">
        <v>7</v>
      </c>
      <c r="P304" s="481"/>
      <c r="Q304" s="257"/>
      <c r="S304" s="192"/>
      <c r="T304" s="192"/>
      <c r="U304" s="192"/>
      <c r="V304" s="192"/>
      <c r="W304" s="192"/>
    </row>
    <row r="305" spans="7:23" x14ac:dyDescent="0.3">
      <c r="G305" s="192"/>
      <c r="H305" s="192"/>
      <c r="I305" s="192"/>
      <c r="L305" t="str">
        <f ca="1"/>
        <v>Retained Earnings</v>
      </c>
      <c r="M305" t="str">
        <f ca="1"/>
        <v/>
      </c>
      <c r="O305" s="192">
        <v>7</v>
      </c>
      <c r="P305" s="481"/>
      <c r="Q305" s="257"/>
      <c r="S305" s="192"/>
      <c r="T305" s="192"/>
      <c r="U305" s="192"/>
      <c r="V305" s="192"/>
      <c r="W305" s="192"/>
    </row>
    <row r="306" spans="7:23" x14ac:dyDescent="0.3">
      <c r="G306" s="192"/>
      <c r="H306" s="192"/>
      <c r="I306" s="192"/>
      <c r="L306" t="str">
        <f ca="1"/>
        <v>Net Income (Loss)</v>
      </c>
      <c r="M306">
        <f ca="1"/>
        <v>-4.2</v>
      </c>
      <c r="O306" s="192">
        <v>7</v>
      </c>
      <c r="P306" s="481"/>
      <c r="Q306" s="257"/>
      <c r="S306" s="192"/>
      <c r="T306" s="192"/>
      <c r="U306" s="192"/>
      <c r="V306" s="192"/>
      <c r="W306" s="192"/>
    </row>
    <row r="307" spans="7:23" x14ac:dyDescent="0.3">
      <c r="G307" s="192"/>
      <c r="H307" s="192"/>
      <c r="I307" s="192"/>
      <c r="L307" t="str">
        <f ca="1"/>
        <v>Balance @ 12/31/20x4</v>
      </c>
      <c r="M307">
        <f ca="1"/>
        <v>-4.2</v>
      </c>
      <c r="O307" s="192">
        <v>7</v>
      </c>
      <c r="P307" s="481"/>
      <c r="Q307" s="257"/>
      <c r="S307" s="192"/>
      <c r="T307" s="192"/>
      <c r="U307" s="192"/>
      <c r="V307" s="192"/>
      <c r="W307" s="192"/>
    </row>
    <row r="308" spans="7:23" x14ac:dyDescent="0.3">
      <c r="G308" s="192"/>
      <c r="H308" s="192"/>
      <c r="I308" s="192"/>
      <c r="L308" t="str">
        <f ca="1"/>
        <v>Additional Paid-in Capital</v>
      </c>
      <c r="M308" t="str">
        <f ca="1"/>
        <v/>
      </c>
      <c r="O308" s="192">
        <v>7</v>
      </c>
      <c r="P308" s="481"/>
      <c r="Q308" s="257"/>
      <c r="S308" s="192"/>
      <c r="T308" s="192"/>
      <c r="U308" s="192"/>
      <c r="V308" s="192"/>
      <c r="W308" s="192"/>
    </row>
    <row r="309" spans="7:23" ht="15" thickBot="1" x14ac:dyDescent="0.35">
      <c r="G309" s="192"/>
      <c r="H309" s="192"/>
      <c r="I309" s="192"/>
      <c r="L309" t="str">
        <f ca="1"/>
        <v/>
      </c>
      <c r="M309" t="str">
        <f ca="1"/>
        <v/>
      </c>
      <c r="O309" s="192">
        <v>7</v>
      </c>
      <c r="P309" s="483"/>
      <c r="Q309" s="488"/>
      <c r="S309" s="192"/>
      <c r="T309" s="192"/>
      <c r="U309" s="192"/>
      <c r="V309" s="192"/>
      <c r="W309" s="192"/>
    </row>
    <row r="310" spans="7:23" x14ac:dyDescent="0.3">
      <c r="G310" s="192"/>
      <c r="H310" s="192"/>
      <c r="I310" s="192"/>
      <c r="L310" t="str">
        <f ca="1"/>
        <v>Preferred Stock</v>
      </c>
      <c r="M310" t="str">
        <f ca="1"/>
        <v/>
      </c>
      <c r="S310" s="192"/>
      <c r="T310" s="192"/>
      <c r="U310" s="192"/>
      <c r="V310" s="192"/>
      <c r="W310" s="192"/>
    </row>
    <row r="311" spans="7:23" x14ac:dyDescent="0.3">
      <c r="G311" s="192"/>
      <c r="H311" s="192"/>
      <c r="I311" s="192"/>
      <c r="L311" t="str">
        <f ca="1"/>
        <v/>
      </c>
      <c r="M311" t="str">
        <f ca="1"/>
        <v/>
      </c>
      <c r="O311" s="192"/>
      <c r="P311" s="372" t="s">
        <v>266</v>
      </c>
      <c r="Q311" s="491"/>
      <c r="S311" s="192"/>
      <c r="T311" s="192"/>
      <c r="U311" s="192"/>
      <c r="V311" s="192"/>
      <c r="W311" s="192"/>
    </row>
    <row r="312" spans="7:23" x14ac:dyDescent="0.3">
      <c r="G312" s="192"/>
      <c r="H312" s="192"/>
      <c r="I312" s="192"/>
      <c r="L312" t="str">
        <f ca="1"/>
        <v>Accumulated Other Comprehensive Income</v>
      </c>
      <c r="M312" t="str">
        <f ca="1"/>
        <v/>
      </c>
      <c r="O312" s="192">
        <v>3</v>
      </c>
      <c r="P312" s="192" t="s">
        <v>275</v>
      </c>
      <c r="Q312" s="491">
        <f ca="1">ROUND(SUM(Q160:Q178),2)</f>
        <v>5.05</v>
      </c>
      <c r="S312" s="192"/>
      <c r="T312" s="192"/>
      <c r="U312" s="192"/>
      <c r="V312" s="192"/>
      <c r="W312" s="192"/>
    </row>
    <row r="313" spans="7:23" x14ac:dyDescent="0.3">
      <c r="G313" s="192"/>
      <c r="H313" s="192"/>
      <c r="I313" s="192"/>
      <c r="L313" t="str">
        <f ca="1"/>
        <v/>
      </c>
      <c r="M313" t="str">
        <f ca="1"/>
        <v/>
      </c>
      <c r="O313" s="192">
        <v>3</v>
      </c>
      <c r="P313" s="192" t="s">
        <v>276</v>
      </c>
      <c r="Q313" s="491">
        <f ca="1">ROUND(SUM(Q180:Q198),2)</f>
        <v>-85</v>
      </c>
      <c r="S313" s="192"/>
      <c r="T313" s="192"/>
      <c r="U313" s="192"/>
      <c r="V313" s="192"/>
      <c r="W313" s="192"/>
    </row>
    <row r="314" spans="7:23" x14ac:dyDescent="0.3">
      <c r="G314" s="192"/>
      <c r="H314" s="192"/>
      <c r="I314" s="192"/>
      <c r="L314" t="str">
        <f ca="1"/>
        <v>Treasury Stock</v>
      </c>
      <c r="M314" t="str">
        <f ca="1"/>
        <v/>
      </c>
      <c r="O314" s="192">
        <v>3</v>
      </c>
      <c r="P314" s="192" t="s">
        <v>277</v>
      </c>
      <c r="Q314" s="491">
        <f ca="1">ROUND(SUM(Q200:Q218),2)</f>
        <v>120</v>
      </c>
      <c r="S314" s="192"/>
      <c r="T314" s="192"/>
      <c r="U314" s="192"/>
      <c r="V314" s="192"/>
      <c r="W314" s="192"/>
    </row>
    <row r="315" spans="7:23" x14ac:dyDescent="0.3">
      <c r="G315" s="192"/>
      <c r="H315" s="192"/>
      <c r="I315" s="192"/>
      <c r="L315" t="str">
        <f ca="1"/>
        <v/>
      </c>
      <c r="M315" t="str">
        <f ca="1"/>
        <v/>
      </c>
      <c r="O315" s="192"/>
      <c r="P315" s="192"/>
      <c r="Q315" s="192"/>
      <c r="S315" s="192"/>
      <c r="T315" s="192"/>
      <c r="U315" s="192"/>
      <c r="V315" s="192"/>
      <c r="W315" s="192"/>
    </row>
    <row r="316" spans="7:23" x14ac:dyDescent="0.3">
      <c r="G316" s="192"/>
      <c r="H316" s="192"/>
      <c r="I316" s="192"/>
      <c r="O316" s="192" cm="1">
        <f t="array" ref="O316:Q316">{2,"Operating Activities",""}</f>
        <v>2</v>
      </c>
      <c r="P316" s="192" t="str">
        <v>Operating Activities</v>
      </c>
      <c r="Q316" s="192" t="str">
        <v/>
      </c>
      <c r="S316" s="192"/>
      <c r="T316" s="192"/>
      <c r="U316" s="192"/>
      <c r="V316" s="192"/>
      <c r="W316" s="192"/>
    </row>
    <row r="317" spans="7:23" x14ac:dyDescent="0.3">
      <c r="G317" s="192"/>
      <c r="H317" s="192"/>
      <c r="I317" s="192"/>
      <c r="O317" s="192" cm="1">
        <f t="array" aca="1" ref="O317:Q321" ca="1">_xlfn.VSTACK(_xlfn._xlws.FILTER(O160:Q178,Q160:Q178&lt;&gt;""),O312:Q312)</f>
        <v>6</v>
      </c>
      <c r="P317" s="192" t="str">
        <f ca="1"/>
        <v>Collections from customers</v>
      </c>
      <c r="Q317" s="192">
        <f ca="1"/>
        <v>30.05</v>
      </c>
      <c r="S317" s="192"/>
      <c r="T317" s="192"/>
      <c r="U317" s="192"/>
      <c r="V317" s="192"/>
      <c r="W317" s="192"/>
    </row>
    <row r="318" spans="7:23" x14ac:dyDescent="0.3">
      <c r="G318" s="192"/>
      <c r="H318" s="192"/>
      <c r="I318" s="192"/>
      <c r="O318" s="192">
        <f ca="1"/>
        <v>7</v>
      </c>
      <c r="P318" s="192" t="str">
        <f ca="1"/>
        <v>Payments to suppliers</v>
      </c>
      <c r="Q318" s="192">
        <f ca="1"/>
        <v>-15</v>
      </c>
      <c r="S318" s="192"/>
      <c r="T318" s="192"/>
      <c r="U318" s="192"/>
      <c r="V318" s="192"/>
      <c r="W318" s="192"/>
    </row>
    <row r="319" spans="7:23" x14ac:dyDescent="0.3">
      <c r="G319" s="192"/>
      <c r="H319" s="192"/>
      <c r="I319" s="192"/>
      <c r="O319" s="192">
        <f ca="1"/>
        <v>7</v>
      </c>
      <c r="P319" t="str">
        <f ca="1"/>
        <v>Payments to employees</v>
      </c>
      <c r="Q319">
        <f ca="1"/>
        <v>-6</v>
      </c>
      <c r="S319" s="192"/>
      <c r="T319" s="192"/>
      <c r="U319" s="192"/>
      <c r="V319" s="192"/>
      <c r="W319" s="192"/>
    </row>
    <row r="320" spans="7:23" x14ac:dyDescent="0.3">
      <c r="G320" s="192"/>
      <c r="H320" s="192"/>
      <c r="I320" s="192"/>
      <c r="O320" s="192">
        <f ca="1"/>
        <v>7</v>
      </c>
      <c r="P320" t="str">
        <f ca="1"/>
        <v>Payments for prepaid expenses</v>
      </c>
      <c r="Q320">
        <f ca="1"/>
        <v>-4</v>
      </c>
      <c r="S320" s="192"/>
      <c r="T320" s="192"/>
      <c r="U320" s="192"/>
      <c r="V320" s="192"/>
      <c r="W320" s="192"/>
    </row>
    <row r="321" spans="15:23" x14ac:dyDescent="0.3">
      <c r="O321" s="192">
        <f ca="1"/>
        <v>3</v>
      </c>
      <c r="P321" t="str">
        <f ca="1"/>
        <v>Total Cash Flow from Operating Activities</v>
      </c>
      <c r="Q321">
        <f ca="1"/>
        <v>5.05</v>
      </c>
      <c r="S321" s="192"/>
      <c r="T321" s="192"/>
      <c r="U321" s="192"/>
      <c r="V321" s="192"/>
      <c r="W321" s="192"/>
    </row>
    <row r="322" spans="15:23" x14ac:dyDescent="0.3">
      <c r="O322" s="192"/>
      <c r="S322" s="192"/>
      <c r="T322" s="192"/>
      <c r="U322" s="192"/>
      <c r="V322" s="192"/>
      <c r="W322" s="192"/>
    </row>
    <row r="323" spans="15:23" x14ac:dyDescent="0.3">
      <c r="O323" s="192"/>
      <c r="S323" s="192"/>
      <c r="T323" s="192"/>
      <c r="U323" s="192"/>
      <c r="V323" s="192"/>
      <c r="W323" s="192"/>
    </row>
    <row r="324" spans="15:23" x14ac:dyDescent="0.3">
      <c r="O324" s="192"/>
      <c r="S324" s="192"/>
      <c r="T324" s="192"/>
      <c r="U324" s="192"/>
      <c r="V324" s="192"/>
      <c r="W324" s="192"/>
    </row>
    <row r="325" spans="15:23" x14ac:dyDescent="0.3">
      <c r="O325" s="192"/>
    </row>
    <row r="326" spans="15:23" x14ac:dyDescent="0.3">
      <c r="O326" s="192"/>
    </row>
    <row r="327" spans="15:23" x14ac:dyDescent="0.3">
      <c r="O327" s="192"/>
    </row>
    <row r="328" spans="15:23" x14ac:dyDescent="0.3">
      <c r="O328" s="192"/>
    </row>
    <row r="329" spans="15:23" x14ac:dyDescent="0.3">
      <c r="O329" s="192"/>
    </row>
    <row r="330" spans="15:23" x14ac:dyDescent="0.3">
      <c r="O330" s="192"/>
    </row>
    <row r="331" spans="15:23" x14ac:dyDescent="0.3">
      <c r="O331" s="192"/>
    </row>
    <row r="332" spans="15:23" x14ac:dyDescent="0.3">
      <c r="O332" s="192"/>
    </row>
    <row r="333" spans="15:23" x14ac:dyDescent="0.3">
      <c r="O333" s="192"/>
    </row>
    <row r="334" spans="15:23" x14ac:dyDescent="0.3">
      <c r="O334" s="192"/>
    </row>
    <row r="335" spans="15:23" x14ac:dyDescent="0.3">
      <c r="O335" s="192" cm="1">
        <f t="array" aca="1" ref="O335:Q335" ca="1">IF(ABS(Q312&gt;0),O312:Q312,{"","",""})</f>
        <v>3</v>
      </c>
      <c r="P335" s="192" t="str">
        <f ca="1"/>
        <v>Total Cash Flow from Operating Activities</v>
      </c>
      <c r="Q335" s="491">
        <f ca="1"/>
        <v>5.05</v>
      </c>
    </row>
    <row r="336" spans="15:23" x14ac:dyDescent="0.3">
      <c r="O336" s="192" cm="1">
        <f t="array" ref="O336:Q336">{2,"Investing Activities",""}</f>
        <v>2</v>
      </c>
      <c r="P336" s="192" t="str">
        <v>Investing Activities</v>
      </c>
      <c r="Q336" t="str">
        <v/>
      </c>
    </row>
    <row r="337" spans="15:17" x14ac:dyDescent="0.3">
      <c r="O337" s="192" cm="1">
        <f t="array" aca="1" ref="O337:Q338" ca="1">IFERROR(_xlfn._xlws.FILTER(O180:Q198,Q180:Q198&lt;&gt;""),{"","",""})</f>
        <v>6</v>
      </c>
      <c r="P337" t="str">
        <f ca="1"/>
        <v>Acquired marketable securities</v>
      </c>
      <c r="Q337">
        <f ca="1"/>
        <v>-25</v>
      </c>
    </row>
    <row r="338" spans="15:17" x14ac:dyDescent="0.3">
      <c r="O338" s="192">
        <f ca="1"/>
        <v>7</v>
      </c>
      <c r="P338" t="str">
        <f ca="1"/>
        <v>Acquired PP&amp;E</v>
      </c>
      <c r="Q338">
        <f ca="1"/>
        <v>-60</v>
      </c>
    </row>
    <row r="339" spans="15:17" x14ac:dyDescent="0.3">
      <c r="O339" s="192"/>
    </row>
    <row r="340" spans="15:17" x14ac:dyDescent="0.3">
      <c r="O340" s="192"/>
    </row>
    <row r="341" spans="15:17" x14ac:dyDescent="0.3">
      <c r="O341" s="192"/>
    </row>
    <row r="342" spans="15:17" x14ac:dyDescent="0.3">
      <c r="O342" s="192"/>
    </row>
    <row r="343" spans="15:17" x14ac:dyDescent="0.3">
      <c r="O343" s="192"/>
    </row>
    <row r="344" spans="15:17" x14ac:dyDescent="0.3">
      <c r="O344" s="192"/>
    </row>
    <row r="345" spans="15:17" x14ac:dyDescent="0.3">
      <c r="O345" s="192"/>
    </row>
    <row r="346" spans="15:17" x14ac:dyDescent="0.3">
      <c r="O346" s="192"/>
    </row>
    <row r="347" spans="15:17" x14ac:dyDescent="0.3">
      <c r="O347" s="192"/>
    </row>
    <row r="348" spans="15:17" x14ac:dyDescent="0.3">
      <c r="O348" s="192"/>
    </row>
    <row r="349" spans="15:17" x14ac:dyDescent="0.3">
      <c r="O349" s="192" cm="1">
        <f t="array" aca="1" ref="O349:Q349" ca="1">IF(ABS(Q313)&gt;0,O313:Q313,{"","",""})</f>
        <v>3</v>
      </c>
      <c r="P349" t="str">
        <f ca="1"/>
        <v>Total Cash Flow from Investing Activities</v>
      </c>
      <c r="Q349">
        <f ca="1"/>
        <v>-85</v>
      </c>
    </row>
    <row r="350" spans="15:17" x14ac:dyDescent="0.3">
      <c r="O350" s="192" cm="1">
        <f t="array" ref="O350:Q350">{2,"Financing Activities",""}</f>
        <v>2</v>
      </c>
      <c r="P350" s="192" t="str">
        <v>Financing Activities</v>
      </c>
      <c r="Q350" t="str">
        <v/>
      </c>
    </row>
    <row r="351" spans="15:17" x14ac:dyDescent="0.3">
      <c r="O351" s="192" cm="1">
        <f t="array" aca="1" ref="O351:Q352" ca="1">IFERROR(_xlfn._xlws.FILTER(O200:Q218,Q200:Q218&lt;&gt;""),{"","",""})</f>
        <v>6</v>
      </c>
      <c r="P351" s="192" t="str">
        <f ca="1"/>
        <v>Issued common stock</v>
      </c>
      <c r="Q351">
        <f ca="1"/>
        <v>100</v>
      </c>
    </row>
    <row r="352" spans="15:17" x14ac:dyDescent="0.3">
      <c r="O352" s="192">
        <f ca="1"/>
        <v>7</v>
      </c>
      <c r="P352" t="str">
        <f ca="1"/>
        <v>Issued bonds</v>
      </c>
      <c r="Q352">
        <f ca="1"/>
        <v>20</v>
      </c>
    </row>
    <row r="353" spans="15:17" x14ac:dyDescent="0.3">
      <c r="O353" s="192"/>
    </row>
    <row r="354" spans="15:17" x14ac:dyDescent="0.3">
      <c r="O354" s="192"/>
    </row>
    <row r="355" spans="15:17" x14ac:dyDescent="0.3">
      <c r="O355" s="192"/>
    </row>
    <row r="356" spans="15:17" x14ac:dyDescent="0.3">
      <c r="O356" s="192"/>
    </row>
    <row r="357" spans="15:17" x14ac:dyDescent="0.3">
      <c r="O357" s="192"/>
    </row>
    <row r="358" spans="15:17" x14ac:dyDescent="0.3">
      <c r="O358" s="192"/>
    </row>
    <row r="359" spans="15:17" x14ac:dyDescent="0.3">
      <c r="O359" s="192"/>
    </row>
    <row r="360" spans="15:17" x14ac:dyDescent="0.3">
      <c r="O360" s="192"/>
    </row>
    <row r="361" spans="15:17" x14ac:dyDescent="0.3">
      <c r="O361" s="192"/>
    </row>
    <row r="362" spans="15:17" x14ac:dyDescent="0.3">
      <c r="O362" s="192"/>
    </row>
    <row r="363" spans="15:17" x14ac:dyDescent="0.3">
      <c r="O363" s="192"/>
    </row>
    <row r="364" spans="15:17" x14ac:dyDescent="0.3">
      <c r="O364" s="192"/>
    </row>
    <row r="365" spans="15:17" x14ac:dyDescent="0.3">
      <c r="O365" s="192" cm="1">
        <f t="array" aca="1" ref="O365:Q365" ca="1">IF(Q314&gt;0,O314:Q314,{"","",""})</f>
        <v>3</v>
      </c>
      <c r="P365" s="192" t="str">
        <f ca="1"/>
        <v>Total Cash Flow from Financing Activities</v>
      </c>
      <c r="Q365">
        <f ca="1"/>
        <v>120</v>
      </c>
    </row>
    <row r="366" spans="15:17" x14ac:dyDescent="0.3">
      <c r="O366" s="192"/>
    </row>
    <row r="367" spans="15:17" x14ac:dyDescent="0.3">
      <c r="O367" s="192" cm="1">
        <f t="array" aca="1" ref="O367:Q368" ca="1">IFERROR(_xlfn._xlws.FILTER(O216:Q234,Q216:Q234&lt;&gt;""),{"","",""})</f>
        <v>3</v>
      </c>
      <c r="P367" t="str">
        <f ca="1"/>
        <v>Increase (decrease) in cash</v>
      </c>
      <c r="Q367">
        <f ca="1"/>
        <v>40.049999999999997</v>
      </c>
    </row>
    <row r="368" spans="15:17" x14ac:dyDescent="0.3">
      <c r="O368" s="192">
        <f ca="1"/>
        <v>5</v>
      </c>
      <c r="P368" t="str">
        <f ca="1"/>
        <v>Cash @ 12/31/20x4</v>
      </c>
      <c r="Q368">
        <f ca="1"/>
        <v>40.049999999999997</v>
      </c>
    </row>
    <row r="369" spans="15:17" x14ac:dyDescent="0.3">
      <c r="O369" s="192"/>
    </row>
    <row r="370" spans="15:17" x14ac:dyDescent="0.3">
      <c r="O370" s="192" t="str" cm="1">
        <f t="array" ref="O370:Q370">IF(P241&lt;&gt;"",{1,"Noncash Investing/Financing Transactions",""},{"","",""})</f>
        <v/>
      </c>
      <c r="P370" t="str">
        <v/>
      </c>
      <c r="Q370" t="str">
        <v/>
      </c>
    </row>
    <row r="371" spans="15:17" x14ac:dyDescent="0.3">
      <c r="O371" s="192" cm="1">
        <f t="array" ref="O371:Q371">O241:Q241</f>
        <v>6</v>
      </c>
      <c r="P371">
        <v>0</v>
      </c>
      <c r="Q371">
        <v>0</v>
      </c>
    </row>
    <row r="372" spans="15:17" x14ac:dyDescent="0.3">
      <c r="O372" s="192"/>
    </row>
    <row r="373" spans="15:17" x14ac:dyDescent="0.3">
      <c r="O373" s="192"/>
    </row>
    <row r="374" spans="15:17" x14ac:dyDescent="0.3">
      <c r="O374" s="192"/>
    </row>
    <row r="375" spans="15:17" x14ac:dyDescent="0.3">
      <c r="O375" s="192"/>
    </row>
    <row r="376" spans="15:17" x14ac:dyDescent="0.3">
      <c r="O376" s="192"/>
    </row>
    <row r="377" spans="15:17" x14ac:dyDescent="0.3">
      <c r="O377" s="192"/>
    </row>
    <row r="378" spans="15:17" x14ac:dyDescent="0.3">
      <c r="O378" s="192"/>
    </row>
    <row r="379" spans="15:17" x14ac:dyDescent="0.3">
      <c r="O379" s="192"/>
    </row>
    <row r="380" spans="15:17" x14ac:dyDescent="0.3">
      <c r="O380" s="192"/>
    </row>
    <row r="381" spans="15:17" x14ac:dyDescent="0.3">
      <c r="O381" s="192"/>
    </row>
    <row r="382" spans="15:17" x14ac:dyDescent="0.3">
      <c r="O382" s="192"/>
    </row>
    <row r="383" spans="15:17" x14ac:dyDescent="0.3">
      <c r="O383" s="192"/>
    </row>
    <row r="384" spans="15:17" x14ac:dyDescent="0.3">
      <c r="O384" s="192"/>
    </row>
    <row r="385" spans="15:17" x14ac:dyDescent="0.3">
      <c r="O385" s="192"/>
    </row>
    <row r="386" spans="15:17" x14ac:dyDescent="0.3">
      <c r="O386" s="192"/>
    </row>
    <row r="387" spans="15:17" x14ac:dyDescent="0.3">
      <c r="O387" s="192"/>
    </row>
    <row r="388" spans="15:17" x14ac:dyDescent="0.3">
      <c r="O388" s="192"/>
    </row>
    <row r="389" spans="15:17" x14ac:dyDescent="0.3">
      <c r="O389" s="192"/>
    </row>
    <row r="390" spans="15:17" x14ac:dyDescent="0.3">
      <c r="O390" s="192"/>
    </row>
    <row r="400" spans="15:17" x14ac:dyDescent="0.3">
      <c r="O400" s="372" t="s">
        <v>465</v>
      </c>
      <c r="P400" s="192"/>
      <c r="Q400" s="192"/>
    </row>
    <row r="401" spans="15:17" x14ac:dyDescent="0.3">
      <c r="O401" s="192" cm="1">
        <f t="array" aca="1" ref="O401:Q411"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x14ac:dyDescent="0.3">
      <c r="O402" s="192">
        <f ca="1"/>
        <v>7</v>
      </c>
      <c r="P402" s="192" t="str">
        <f ca="1"/>
        <v>Depreciation expense</v>
      </c>
      <c r="Q402" s="486">
        <f ca="1"/>
        <v>7.5</v>
      </c>
    </row>
    <row r="403" spans="15:17" x14ac:dyDescent="0.3">
      <c r="O403" s="192" t="str">
        <f ca="1"/>
        <v/>
      </c>
      <c r="P403" s="192" t="str">
        <f ca="1"/>
        <v/>
      </c>
      <c r="Q403" s="486" t="str">
        <f ca="1"/>
        <v/>
      </c>
    </row>
    <row r="404" spans="15:17" x14ac:dyDescent="0.3">
      <c r="O404" s="192">
        <f ca="1"/>
        <v>4</v>
      </c>
      <c r="P404" s="192" t="str">
        <f ca="1"/>
        <v>Changes in Assets and Liabilities Due to Operations</v>
      </c>
      <c r="Q404" s="486" t="str">
        <f ca="1"/>
        <v/>
      </c>
    </row>
    <row r="405" spans="15:17" x14ac:dyDescent="0.3">
      <c r="O405" s="192">
        <f ca="1"/>
        <v>7</v>
      </c>
      <c r="P405" s="192" t="str">
        <f ca="1"/>
        <v>Accounts Receivable</v>
      </c>
      <c r="Q405" s="486">
        <f ca="1"/>
        <v>-9.8000000000000007</v>
      </c>
    </row>
    <row r="406" spans="15:17" x14ac:dyDescent="0.3">
      <c r="O406" s="39">
        <f ca="1"/>
        <v>8</v>
      </c>
      <c r="P406" t="str">
        <f ca="1"/>
        <v>Inventories</v>
      </c>
      <c r="Q406" s="34">
        <f ca="1"/>
        <v>-5</v>
      </c>
    </row>
    <row r="407" spans="15:17" x14ac:dyDescent="0.3">
      <c r="O407" s="39">
        <f ca="1"/>
        <v>8</v>
      </c>
      <c r="P407" t="str">
        <f ca="1"/>
        <v>Prepaid Rent</v>
      </c>
      <c r="Q407" s="34">
        <f ca="1"/>
        <v>-1</v>
      </c>
    </row>
    <row r="408" spans="15:17" x14ac:dyDescent="0.3">
      <c r="O408" s="39">
        <f ca="1"/>
        <v>8</v>
      </c>
      <c r="P408" t="str">
        <f ca="1"/>
        <v>Accounts Payable</v>
      </c>
      <c r="Q408" s="34">
        <f ca="1"/>
        <v>15</v>
      </c>
    </row>
    <row r="409" spans="15:17" x14ac:dyDescent="0.3">
      <c r="O409" s="39">
        <f ca="1"/>
        <v>8</v>
      </c>
      <c r="P409" t="str">
        <f ca="1"/>
        <v>Interest Payable</v>
      </c>
      <c r="Q409" s="34">
        <f ca="1"/>
        <v>1.55</v>
      </c>
    </row>
    <row r="410" spans="15:17" x14ac:dyDescent="0.3">
      <c r="O410" s="39">
        <f ca="1"/>
        <v>8</v>
      </c>
      <c r="P410" t="str">
        <f ca="1"/>
        <v>Salaries &amp; Wages Payable</v>
      </c>
      <c r="Q410" s="34">
        <f ca="1"/>
        <v>1</v>
      </c>
    </row>
    <row r="411" spans="15:17" x14ac:dyDescent="0.3">
      <c r="O411" t="str">
        <f ca="1"/>
        <v/>
      </c>
      <c r="P411" t="str">
        <f ca="1"/>
        <v/>
      </c>
      <c r="Q411" s="34" t="str">
        <f ca="1"/>
        <v/>
      </c>
    </row>
    <row r="412" spans="15:17" x14ac:dyDescent="0.3">
      <c r="Q412" s="34"/>
    </row>
    <row r="413" spans="15:17" x14ac:dyDescent="0.3">
      <c r="Q413" s="34"/>
    </row>
    <row r="414" spans="15:17" x14ac:dyDescent="0.3">
      <c r="Q414" s="34"/>
    </row>
    <row r="415" spans="15:17" x14ac:dyDescent="0.3">
      <c r="Q415" s="34"/>
    </row>
    <row r="416" spans="15:17" x14ac:dyDescent="0.3">
      <c r="Q416" s="34"/>
    </row>
    <row r="417" spans="16:17" x14ac:dyDescent="0.3">
      <c r="Q417" s="34"/>
    </row>
    <row r="418" spans="16:17" x14ac:dyDescent="0.3">
      <c r="Q418" s="34"/>
    </row>
    <row r="419" spans="16:17" x14ac:dyDescent="0.3">
      <c r="Q419" s="34"/>
    </row>
    <row r="420" spans="16:17" x14ac:dyDescent="0.3">
      <c r="Q420" s="34"/>
    </row>
    <row r="421" spans="16:17" x14ac:dyDescent="0.3">
      <c r="Q421" s="34"/>
    </row>
    <row r="422" spans="16:17" x14ac:dyDescent="0.3">
      <c r="Q422" s="34"/>
    </row>
    <row r="423" spans="16:17" x14ac:dyDescent="0.3">
      <c r="Q423" s="34"/>
    </row>
    <row r="424" spans="16:17" x14ac:dyDescent="0.3">
      <c r="Q424" s="34"/>
    </row>
    <row r="425" spans="16:17" x14ac:dyDescent="0.3">
      <c r="Q425" s="34"/>
    </row>
    <row r="427" spans="16:17" x14ac:dyDescent="0.3">
      <c r="P427" s="5" t="s">
        <v>765</v>
      </c>
    </row>
    <row r="428" spans="16:17" x14ac:dyDescent="0.3">
      <c r="P428" t="str">
        <f>A4</f>
        <v>Direct CFO</v>
      </c>
      <c r="Q428">
        <f>IF(P428="Direct CFO",0,4)</f>
        <v>0</v>
      </c>
    </row>
    <row r="429" spans="16:17" x14ac:dyDescent="0.3">
      <c r="P429" t="str">
        <f>A5</f>
        <v>Show NCIF</v>
      </c>
      <c r="Q429">
        <f>IF(P429="Hide NCIF",0,2)</f>
        <v>2</v>
      </c>
    </row>
    <row r="430" spans="16:17" x14ac:dyDescent="0.3">
      <c r="P430" t="str">
        <f>A6</f>
        <v>Show NI CFO Recon</v>
      </c>
      <c r="Q430">
        <f>IF(P430="Hide NI CFO Recon",0,1)</f>
        <v>1</v>
      </c>
    </row>
    <row r="431" spans="16:17" x14ac:dyDescent="0.3">
      <c r="P431" s="5" t="s">
        <v>432</v>
      </c>
      <c r="Q431" s="5">
        <f>SUM(Q428:Q430)</f>
        <v>3</v>
      </c>
    </row>
    <row r="438" spans="16:17" x14ac:dyDescent="0.3">
      <c r="P438" t="s">
        <v>747</v>
      </c>
      <c r="Q438">
        <v>0</v>
      </c>
    </row>
    <row r="439" spans="16:17" x14ac:dyDescent="0.3">
      <c r="P439" t="s">
        <v>766</v>
      </c>
      <c r="Q439">
        <v>2</v>
      </c>
    </row>
    <row r="440" spans="16:17" x14ac:dyDescent="0.3">
      <c r="P440" t="s">
        <v>767</v>
      </c>
      <c r="Q440">
        <v>3</v>
      </c>
    </row>
    <row r="441" spans="16:17" x14ac:dyDescent="0.3">
      <c r="P441" t="s">
        <v>768</v>
      </c>
      <c r="Q441">
        <v>4</v>
      </c>
    </row>
    <row r="442" spans="16:17" x14ac:dyDescent="0.3">
      <c r="P442" t="s">
        <v>769</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4.4" x14ac:dyDescent="0.3"/>
  <cols>
    <col min="1" max="1" width="25.77734375" bestFit="1" customWidth="1"/>
    <col min="2" max="2" width="97.44140625" bestFit="1" customWidth="1"/>
  </cols>
  <sheetData>
    <row r="1" spans="1:2" x14ac:dyDescent="0.3">
      <c r="A1" t="s">
        <v>770</v>
      </c>
      <c r="B1" t="s">
        <v>771</v>
      </c>
    </row>
    <row r="2" spans="1:2" x14ac:dyDescent="0.3">
      <c r="A2" t="s">
        <v>772</v>
      </c>
      <c r="B2" t="s">
        <v>773</v>
      </c>
    </row>
    <row r="3" spans="1:2" x14ac:dyDescent="0.3">
      <c r="A3" t="s">
        <v>774</v>
      </c>
      <c r="B3" t="s">
        <v>775</v>
      </c>
    </row>
    <row r="4" spans="1:2" x14ac:dyDescent="0.3">
      <c r="A4" t="s">
        <v>776</v>
      </c>
      <c r="B4" t="s">
        <v>777</v>
      </c>
    </row>
    <row r="5" spans="1:2" x14ac:dyDescent="0.3">
      <c r="A5" t="s">
        <v>778</v>
      </c>
      <c r="B5" t="s">
        <v>779</v>
      </c>
    </row>
    <row r="6" spans="1:2" x14ac:dyDescent="0.3">
      <c r="A6" t="s">
        <v>780</v>
      </c>
      <c r="B6" t="s">
        <v>779</v>
      </c>
    </row>
    <row r="7" spans="1:2" x14ac:dyDescent="0.3">
      <c r="A7" t="s">
        <v>781</v>
      </c>
      <c r="B7" t="s">
        <v>779</v>
      </c>
    </row>
    <row r="8" spans="1:2" x14ac:dyDescent="0.3">
      <c r="A8" t="s">
        <v>782</v>
      </c>
      <c r="B8" t="s">
        <v>779</v>
      </c>
    </row>
    <row r="9" spans="1:2" x14ac:dyDescent="0.3">
      <c r="A9" t="s">
        <v>783</v>
      </c>
      <c r="B9" t="s">
        <v>779</v>
      </c>
    </row>
    <row r="10" spans="1:2" x14ac:dyDescent="0.3">
      <c r="A10" t="s">
        <v>784</v>
      </c>
      <c r="B10" t="s">
        <v>779</v>
      </c>
    </row>
    <row r="11" spans="1:2" x14ac:dyDescent="0.3">
      <c r="A11" t="s">
        <v>785</v>
      </c>
      <c r="B11" t="s">
        <v>786</v>
      </c>
    </row>
    <row r="12" spans="1:2" x14ac:dyDescent="0.3">
      <c r="A12" t="s">
        <v>394</v>
      </c>
      <c r="B12" t="s">
        <v>787</v>
      </c>
    </row>
    <row r="13" spans="1:2" x14ac:dyDescent="0.3">
      <c r="A13" t="s">
        <v>395</v>
      </c>
      <c r="B13" t="s">
        <v>787</v>
      </c>
    </row>
    <row r="14" spans="1:2" x14ac:dyDescent="0.3">
      <c r="A14" t="s">
        <v>398</v>
      </c>
      <c r="B14" t="s">
        <v>787</v>
      </c>
    </row>
    <row r="15" spans="1:2" x14ac:dyDescent="0.3">
      <c r="A15" t="s">
        <v>788</v>
      </c>
      <c r="B15" t="s">
        <v>787</v>
      </c>
    </row>
    <row r="16" spans="1:2" x14ac:dyDescent="0.3">
      <c r="A16" t="s">
        <v>789</v>
      </c>
      <c r="B16" t="s">
        <v>787</v>
      </c>
    </row>
    <row r="17" spans="1:2" x14ac:dyDescent="0.3">
      <c r="A17" t="s">
        <v>790</v>
      </c>
      <c r="B17" t="s">
        <v>787</v>
      </c>
    </row>
    <row r="18" spans="1:2" x14ac:dyDescent="0.3">
      <c r="A18" t="s">
        <v>396</v>
      </c>
      <c r="B18" t="s">
        <v>787</v>
      </c>
    </row>
    <row r="19" spans="1:2" x14ac:dyDescent="0.3">
      <c r="A19" t="s">
        <v>517</v>
      </c>
      <c r="B19" t="s">
        <v>787</v>
      </c>
    </row>
    <row r="20" spans="1:2" x14ac:dyDescent="0.3">
      <c r="A20" t="s">
        <v>791</v>
      </c>
      <c r="B20" t="s">
        <v>787</v>
      </c>
    </row>
    <row r="21" spans="1:2" x14ac:dyDescent="0.3">
      <c r="A21" t="s">
        <v>792</v>
      </c>
      <c r="B21" t="s">
        <v>793</v>
      </c>
    </row>
    <row r="22" spans="1:2" x14ac:dyDescent="0.3">
      <c r="A22" t="s">
        <v>794</v>
      </c>
      <c r="B22" t="s">
        <v>795</v>
      </c>
    </row>
    <row r="23" spans="1:2" x14ac:dyDescent="0.3">
      <c r="A23" t="s">
        <v>796</v>
      </c>
      <c r="B23" t="s">
        <v>797</v>
      </c>
    </row>
    <row r="24" spans="1:2" x14ac:dyDescent="0.3">
      <c r="A24" t="s">
        <v>798</v>
      </c>
      <c r="B24" t="s">
        <v>471</v>
      </c>
    </row>
    <row r="25" spans="1:2" x14ac:dyDescent="0.3">
      <c r="A25" t="s">
        <v>799</v>
      </c>
      <c r="B25" t="s">
        <v>91</v>
      </c>
    </row>
    <row r="26" spans="1:2" x14ac:dyDescent="0.3">
      <c r="A26" t="s">
        <v>800</v>
      </c>
      <c r="B26" t="s">
        <v>801</v>
      </c>
    </row>
    <row r="27" spans="1:2" x14ac:dyDescent="0.3">
      <c r="A27" t="s">
        <v>802</v>
      </c>
      <c r="B27" t="s">
        <v>803</v>
      </c>
    </row>
    <row r="28" spans="1:2" x14ac:dyDescent="0.3">
      <c r="A28" t="s">
        <v>804</v>
      </c>
      <c r="B28" t="s">
        <v>479</v>
      </c>
    </row>
    <row r="29" spans="1:2" x14ac:dyDescent="0.3">
      <c r="A29" t="s">
        <v>805</v>
      </c>
      <c r="B29" t="s">
        <v>478</v>
      </c>
    </row>
    <row r="30" spans="1:2" x14ac:dyDescent="0.3">
      <c r="A30" t="s">
        <v>806</v>
      </c>
      <c r="B30" t="s">
        <v>807</v>
      </c>
    </row>
    <row r="31" spans="1:2" x14ac:dyDescent="0.3">
      <c r="A31" t="s">
        <v>808</v>
      </c>
      <c r="B31" t="s">
        <v>807</v>
      </c>
    </row>
    <row r="32" spans="1:2" x14ac:dyDescent="0.3">
      <c r="A32" t="s">
        <v>809</v>
      </c>
      <c r="B32" t="s">
        <v>810</v>
      </c>
    </row>
    <row r="33" spans="1:2" x14ac:dyDescent="0.3">
      <c r="A33" t="s">
        <v>811</v>
      </c>
      <c r="B33" t="s">
        <v>812</v>
      </c>
    </row>
    <row r="34" spans="1:2" x14ac:dyDescent="0.3">
      <c r="A34" t="s">
        <v>458</v>
      </c>
      <c r="B34" t="s">
        <v>813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80" workbookViewId="0">
      <selection activeCell="B109" sqref="B109"/>
    </sheetView>
  </sheetViews>
  <sheetFormatPr defaultRowHeight="14.4" outlineLevelRow="1" x14ac:dyDescent="0.3"/>
  <cols>
    <col min="1" max="1" width="5.77734375" customWidth="1"/>
    <col min="2" max="2" width="6.5546875" customWidth="1"/>
    <col min="3" max="3" width="102" customWidth="1"/>
    <col min="4" max="4" width="18.21875" customWidth="1"/>
    <col min="5" max="5" width="38.5546875" customWidth="1"/>
    <col min="6" max="6" width="14.44140625" customWidth="1"/>
    <col min="7" max="7" width="10.77734375" bestFit="1" customWidth="1"/>
    <col min="8" max="8" width="43.44140625" customWidth="1"/>
    <col min="9" max="9" width="17.21875" customWidth="1"/>
    <col min="10" max="10" width="29.44140625" customWidth="1"/>
    <col min="11" max="11" width="30.109375" bestFit="1" customWidth="1"/>
    <col min="12" max="12" width="19.21875" customWidth="1"/>
    <col min="14" max="14" width="19.5546875" bestFit="1" customWidth="1"/>
    <col min="15" max="26" width="8.88671875" customWidth="1"/>
    <col min="27" max="27" width="18.5546875" bestFit="1" customWidth="1"/>
    <col min="29" max="29" width="20" customWidth="1"/>
    <col min="30" max="30" width="24.21875" bestFit="1" customWidth="1"/>
    <col min="31" max="31" width="18.44140625" customWidth="1"/>
    <col min="32" max="33" width="11.44140625" customWidth="1"/>
  </cols>
  <sheetData>
    <row r="2" spans="2:21" ht="16.350000000000001" customHeight="1" x14ac:dyDescent="0.3">
      <c r="B2" s="17" t="s">
        <v>814</v>
      </c>
      <c r="C2" s="18"/>
      <c r="D2" s="18"/>
      <c r="E2" s="18"/>
      <c r="F2" s="18"/>
      <c r="G2" s="18"/>
      <c r="H2" s="18"/>
      <c r="I2" s="18"/>
      <c r="J2" s="18"/>
      <c r="K2" s="18"/>
      <c r="L2" s="18"/>
      <c r="M2" s="18"/>
      <c r="N2" s="18"/>
    </row>
    <row r="3" spans="2:21" ht="15" hidden="1" outlineLevel="1" thickBot="1" x14ac:dyDescent="0.35"/>
    <row r="4" spans="2:21" ht="15" hidden="1" outlineLevel="1" thickBot="1" x14ac:dyDescent="0.35">
      <c r="C4" s="15" t="s">
        <v>815</v>
      </c>
      <c r="D4" s="15" t="s">
        <v>585</v>
      </c>
      <c r="F4" t="str">
        <f>"MD_Account_Type_Labels[ACCOUNT TYPE LABELS]"</f>
        <v>MD_Account_Type_Labels[ACCOUNT TYPE LABELS]</v>
      </c>
      <c r="L4" s="164" t="s">
        <v>816</v>
      </c>
    </row>
    <row r="5" spans="2:21" hidden="1" outlineLevel="1" x14ac:dyDescent="0.3">
      <c r="C5" s="1" t="s">
        <v>63</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x14ac:dyDescent="0.3">
      <c r="C6" s="1" t="s">
        <v>69</v>
      </c>
      <c r="D6" s="22">
        <f>IF(MD_Account_Type_Labels[[#This Row],[ACCOUNT TYPE LABELS]]="","",IFERROR(IF(SEARCH(MD_Account_Type_Labels[[#This Row],[ACCOUNT TYPE LABELS]],ProblemData!$E$242)&gt;0,1,0),""))</f>
        <v>1</v>
      </c>
      <c r="L6" s="162" t="str">
        <v>Liability</v>
      </c>
    </row>
    <row r="7" spans="2:21" hidden="1" outlineLevel="1" x14ac:dyDescent="0.3">
      <c r="C7" s="1" t="s">
        <v>64</v>
      </c>
      <c r="D7" s="22">
        <f>IF(MD_Account_Type_Labels[[#This Row],[ACCOUNT TYPE LABELS]]="","",IFERROR(IF(SEARCH(MD_Account_Type_Labels[[#This Row],[ACCOUNT TYPE LABELS]],ProblemData!$E$242)&gt;0,1,0),""))</f>
        <v>1</v>
      </c>
      <c r="L7" s="162" t="str">
        <v>Equity</v>
      </c>
    </row>
    <row r="8" spans="2:21" hidden="1" outlineLevel="1" x14ac:dyDescent="0.3">
      <c r="C8" s="1" t="s">
        <v>74</v>
      </c>
      <c r="D8" s="22">
        <f>IF(MD_Account_Type_Labels[[#This Row],[ACCOUNT TYPE LABELS]]="","",IFERROR(IF(SEARCH(MD_Account_Type_Labels[[#This Row],[ACCOUNT TYPE LABELS]],ProblemData!$E$242)&gt;0,1,0),""))</f>
        <v>1</v>
      </c>
      <c r="L8" s="162" t="str">
        <v>Revenue</v>
      </c>
    </row>
    <row r="9" spans="2:21" hidden="1" outlineLevel="1" x14ac:dyDescent="0.3">
      <c r="C9" s="1" t="s">
        <v>76</v>
      </c>
      <c r="D9" s="22">
        <f>IF(MD_Account_Type_Labels[[#This Row],[ACCOUNT TYPE LABELS]]="","",IFERROR(IF(SEARCH(MD_Account_Type_Labels[[#This Row],[ACCOUNT TYPE LABELS]],ProblemData!$E$242)&gt;0,1,0),""))</f>
        <v>1</v>
      </c>
      <c r="L9" s="162" t="str">
        <v>Expense</v>
      </c>
    </row>
    <row r="10" spans="2:21" hidden="1" outlineLevel="1" x14ac:dyDescent="0.3">
      <c r="C10" s="1" t="s">
        <v>728</v>
      </c>
      <c r="D10" s="22" t="str">
        <f>IF(MD_Account_Type_Labels[[#This Row],[ACCOUNT TYPE LABELS]]="","",IFERROR(IF(SEARCH(MD_Account_Type_Labels[[#This Row],[ACCOUNT TYPE LABELS]],ProblemData!$E$242)&gt;0,1,0),""))</f>
        <v/>
      </c>
      <c r="L10" s="162"/>
    </row>
    <row r="11" spans="2:21" ht="15" hidden="1" outlineLevel="1" thickBot="1" x14ac:dyDescent="0.35">
      <c r="C11" s="1" t="s">
        <v>729</v>
      </c>
      <c r="D11" s="22" t="str">
        <f>IF(MD_Account_Type_Labels[[#This Row],[ACCOUNT TYPE LABELS]]="","",IFERROR(IF(SEARCH(MD_Account_Type_Labels[[#This Row],[ACCOUNT TYPE LABELS]],ProblemData!$E$242)&gt;0,1,0),""))</f>
        <v/>
      </c>
      <c r="L11" s="163"/>
    </row>
    <row r="12" spans="2:21" hidden="1" outlineLevel="1" x14ac:dyDescent="0.3"/>
    <row r="13" spans="2:21" ht="15" hidden="1" outlineLevel="1" thickBot="1" x14ac:dyDescent="0.35"/>
    <row r="14" spans="2:21" ht="15" hidden="1" outlineLevel="1" thickBot="1" x14ac:dyDescent="0.35">
      <c r="C14" s="16" t="s">
        <v>817</v>
      </c>
      <c r="D14" s="16" t="s">
        <v>585</v>
      </c>
      <c r="E14" s="16" t="s">
        <v>818</v>
      </c>
      <c r="K14" s="354" t="s">
        <v>819</v>
      </c>
      <c r="L14" s="354" t="s">
        <v>820</v>
      </c>
    </row>
    <row r="15" spans="2:21" hidden="1" outlineLevel="1" x14ac:dyDescent="0.3">
      <c r="C15" s="7" t="s">
        <v>398</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7">IFERROR(_xlfn._xlws.FILTER(MD_CF_Labels[CASH FLOW STATEMENT LABELS],MD_CF_Labels[Used]=1),"")</f>
        <v>Operating</v>
      </c>
    </row>
    <row r="16" spans="2:21" hidden="1" outlineLevel="1" x14ac:dyDescent="0.3">
      <c r="C16" s="8" t="s">
        <v>394</v>
      </c>
      <c r="D16" s="22">
        <f>IF(MD_CF_Labels[[#This Row],[CASH FLOW STATEMENT LABELS]]="","",IFERROR(IF(SEARCH(MD_CF_Labels[[#This Row],[CASH FLOW STATEMENT LABELS]],ProblemData!$E$243)&gt;0,1,0),""))</f>
        <v>1</v>
      </c>
      <c r="E16" s="8">
        <v>1</v>
      </c>
      <c r="K16" s="162" t="str">
        <v>Investing</v>
      </c>
      <c r="L16" s="162" t="str">
        <v>Investing</v>
      </c>
    </row>
    <row r="17" spans="2:14" hidden="1" outlineLevel="1" x14ac:dyDescent="0.3">
      <c r="C17" s="7" t="s">
        <v>395</v>
      </c>
      <c r="D17" s="22">
        <f>IF(MD_CF_Labels[[#This Row],[CASH FLOW STATEMENT LABELS]]="","",IFERROR(IF(SEARCH(MD_CF_Labels[[#This Row],[CASH FLOW STATEMENT LABELS]],ProblemData!$E$243)&gt;0,1,0),""))</f>
        <v>1</v>
      </c>
      <c r="E17" s="8">
        <v>1</v>
      </c>
      <c r="K17" s="162" t="str">
        <v>Financing</v>
      </c>
      <c r="L17" s="162" t="str">
        <v>Financing</v>
      </c>
    </row>
    <row r="18" spans="2:14" ht="15" hidden="1" outlineLevel="1" thickBot="1" x14ac:dyDescent="0.35">
      <c r="C18" s="8" t="s">
        <v>791</v>
      </c>
      <c r="D18" s="22" t="str">
        <f>IF(MD_CF_Labels[[#This Row],[CASH FLOW STATEMENT LABELS]]="","",IFERROR(IF(SEARCH(MD_CF_Labels[[#This Row],[CASH FLOW STATEMENT LABELS]],ProblemData!$E$243)&gt;0,1,0),""))</f>
        <v/>
      </c>
      <c r="E18" s="8">
        <v>0</v>
      </c>
      <c r="K18" s="163"/>
      <c r="L18" s="162"/>
    </row>
    <row r="19" spans="2:14" hidden="1" outlineLevel="1" x14ac:dyDescent="0.3">
      <c r="C19" s="7" t="s">
        <v>788</v>
      </c>
      <c r="D19" s="22" t="str">
        <f>IF(MD_CF_Labels[[#This Row],[CASH FLOW STATEMENT LABELS]]="","",IFERROR(IF(SEARCH(MD_CF_Labels[[#This Row],[CASH FLOW STATEMENT LABELS]],ProblemData!$E$243)&gt;0,1,0),""))</f>
        <v/>
      </c>
      <c r="E19" s="8">
        <v>0</v>
      </c>
      <c r="L19" s="162"/>
    </row>
    <row r="20" spans="2:14" ht="15" hidden="1" outlineLevel="1" thickBot="1" x14ac:dyDescent="0.35">
      <c r="C20" s="14" t="s">
        <v>821</v>
      </c>
      <c r="D20" s="22" t="str">
        <f>IF(MD_CF_Labels[[#This Row],[CASH FLOW STATEMENT LABELS]]="","",IFERROR(IF(SEARCH(MD_CF_Labels[[#This Row],[CASH FLOW STATEMENT LABELS]],ProblemData!$E$243)&gt;0,1,0),""))</f>
        <v/>
      </c>
      <c r="E20" s="14">
        <v>0</v>
      </c>
      <c r="L20" s="163"/>
    </row>
    <row r="21" spans="2:14" hidden="1" outlineLevel="1" x14ac:dyDescent="0.3"/>
    <row r="22" spans="2:14" hidden="1" outlineLevel="1" x14ac:dyDescent="0.3"/>
    <row r="23" spans="2:14" collapsed="1" x14ac:dyDescent="0.3"/>
    <row r="24" spans="2:14" ht="17.399999999999999" x14ac:dyDescent="0.3">
      <c r="B24" s="17" t="s">
        <v>822</v>
      </c>
      <c r="C24" s="18"/>
      <c r="D24" s="18"/>
      <c r="E24" s="18"/>
      <c r="F24" s="18"/>
      <c r="G24" s="18"/>
      <c r="H24" s="18"/>
      <c r="I24" s="18"/>
      <c r="J24" s="18"/>
      <c r="K24" s="18"/>
      <c r="L24" s="18"/>
      <c r="M24" s="18"/>
      <c r="N24" s="18"/>
    </row>
    <row r="25" spans="2:14" hidden="1" outlineLevel="1" x14ac:dyDescent="0.3"/>
    <row r="26" spans="2:14" hidden="1" outlineLevel="1" x14ac:dyDescent="0.3">
      <c r="C26" s="296" t="s">
        <v>823</v>
      </c>
      <c r="D26" s="297" t="s">
        <v>824</v>
      </c>
      <c r="F26" t="str">
        <f>"MD_FS_Automation[LEVELS OF FINANCIAL STATEMENT AUTOMATION]"</f>
        <v>MD_FS_Automation[LEVELS OF FINANCIAL STATEMENT AUTOMATION]</v>
      </c>
    </row>
    <row r="27" spans="2:14" hidden="1" outlineLevel="1" x14ac:dyDescent="0.3">
      <c r="C27" s="298" t="s">
        <v>118</v>
      </c>
      <c r="D27" s="305" t="str">
        <f>IF(ProblemData!$E$3=MD_FS_Automation[[#This Row],[LEVELS OF FINANCIAL STATEMENT AUTOMATION]],1,"")</f>
        <v/>
      </c>
    </row>
    <row r="28" spans="2:14" hidden="1" outlineLevel="1" x14ac:dyDescent="0.3">
      <c r="C28" s="299" t="s">
        <v>825</v>
      </c>
      <c r="D28" s="306" t="str">
        <f>IF(ProblemData!$E$3=MD_FS_Automation[[#This Row],[LEVELS OF FINANCIAL STATEMENT AUTOMATION]],1,"")</f>
        <v/>
      </c>
    </row>
    <row r="29" spans="2:14" hidden="1" outlineLevel="1" x14ac:dyDescent="0.3">
      <c r="C29" s="298" t="s">
        <v>826</v>
      </c>
      <c r="D29" s="305" t="str">
        <f>IF(ProblemData!$E$3=MD_FS_Automation[[#This Row],[LEVELS OF FINANCIAL STATEMENT AUTOMATION]],1,"")</f>
        <v/>
      </c>
    </row>
    <row r="30" spans="2:14" hidden="1" outlineLevel="1" x14ac:dyDescent="0.3">
      <c r="C30" s="299" t="s">
        <v>827</v>
      </c>
      <c r="D30" s="306" t="str">
        <f>IF(ProblemData!$E$3=MD_FS_Automation[[#This Row],[LEVELS OF FINANCIAL STATEMENT AUTOMATION]],1,"")</f>
        <v/>
      </c>
    </row>
    <row r="31" spans="2:14" hidden="1" outlineLevel="1" x14ac:dyDescent="0.3">
      <c r="C31" s="298" t="s">
        <v>828</v>
      </c>
      <c r="D31" s="305" t="str">
        <f>IF(ProblemData!$E$3=MD_FS_Automation[[#This Row],[LEVELS OF FINANCIAL STATEMENT AUTOMATION]],1,"")</f>
        <v/>
      </c>
    </row>
    <row r="32" spans="2:14" hidden="1" outlineLevel="1" x14ac:dyDescent="0.3">
      <c r="C32" s="301" t="s">
        <v>829</v>
      </c>
      <c r="D32" s="307" t="str">
        <f>IF(ProblemData!$E$3=MD_FS_Automation[[#This Row],[LEVELS OF FINANCIAL STATEMENT AUTOMATION]],1,"")</f>
        <v/>
      </c>
    </row>
    <row r="33" spans="2:14" hidden="1" outlineLevel="1" x14ac:dyDescent="0.3"/>
    <row r="34" spans="2:14" ht="17.399999999999999" hidden="1" outlineLevel="1" x14ac:dyDescent="0.3">
      <c r="B34" s="17" t="s">
        <v>830</v>
      </c>
      <c r="C34" s="18"/>
      <c r="D34" s="18"/>
      <c r="E34" s="18"/>
      <c r="F34" s="18"/>
      <c r="G34" s="18"/>
      <c r="H34" s="18"/>
      <c r="I34" s="18"/>
      <c r="J34" s="18"/>
      <c r="K34" s="18"/>
      <c r="L34" s="18"/>
      <c r="M34" s="18"/>
      <c r="N34" s="18"/>
    </row>
    <row r="35" spans="2:14" ht="17.399999999999999" hidden="1" outlineLevel="1" x14ac:dyDescent="0.3">
      <c r="B35" s="295"/>
    </row>
    <row r="36" spans="2:14" hidden="1" outlineLevel="1" x14ac:dyDescent="0.3">
      <c r="C36" s="16" t="s">
        <v>831</v>
      </c>
      <c r="D36" s="16" t="s">
        <v>824</v>
      </c>
      <c r="E36" s="11"/>
      <c r="F36" t="str">
        <f>"MD_Feedback[LEVELS OF FEEDBACK]"</f>
        <v>MD_Feedback[LEVELS OF FEEDBACK]</v>
      </c>
    </row>
    <row r="37" spans="2:14" hidden="1" outlineLevel="1" x14ac:dyDescent="0.3">
      <c r="C37" s="298" t="s">
        <v>118</v>
      </c>
      <c r="D37" s="308" t="str">
        <f>IF(ProblemData!$E$10=MD_Feedback[[#This Row],[LEVELS OF FEEDBACK]],1,"")</f>
        <v/>
      </c>
    </row>
    <row r="38" spans="2:14" hidden="1" outlineLevel="1" x14ac:dyDescent="0.3">
      <c r="C38" s="299" t="s">
        <v>832</v>
      </c>
      <c r="D38" s="8" t="str">
        <f>IF(ProblemData!$E$10=MD_Feedback[[#This Row],[LEVELS OF FEEDBACK]],1,"")</f>
        <v/>
      </c>
    </row>
    <row r="39" spans="2:14" hidden="1" outlineLevel="1" x14ac:dyDescent="0.3">
      <c r="C39" s="298" t="s">
        <v>833</v>
      </c>
      <c r="D39" s="7" t="str">
        <f>IF(ProblemData!$E$10=MD_Feedback[[#This Row],[LEVELS OF FEEDBACK]],1,"")</f>
        <v/>
      </c>
    </row>
    <row r="40" spans="2:14" hidden="1" outlineLevel="1" x14ac:dyDescent="0.3">
      <c r="C40" s="299" t="s">
        <v>834</v>
      </c>
      <c r="D40" s="8" t="str">
        <f>IF(ProblemData!$E$10=MD_Feedback[[#This Row],[LEVELS OF FEEDBACK]],1,"")</f>
        <v/>
      </c>
    </row>
    <row r="41" spans="2:14" hidden="1" outlineLevel="1" x14ac:dyDescent="0.3">
      <c r="C41" s="298"/>
      <c r="D41" s="7" t="str">
        <f>IF(ProblemData!$E$10=MD_Feedback[[#This Row],[LEVELS OF FEEDBACK]],1,"")</f>
        <v/>
      </c>
    </row>
    <row r="42" spans="2:14" hidden="1" outlineLevel="1" x14ac:dyDescent="0.3">
      <c r="C42" s="299"/>
      <c r="D42" s="8" t="str">
        <f>IF(ProblemData!$E$10=MD_Feedback[[#This Row],[LEVELS OF FEEDBACK]],1,"")</f>
        <v/>
      </c>
    </row>
    <row r="43" spans="2:14" hidden="1" outlineLevel="1" x14ac:dyDescent="0.3">
      <c r="C43" s="298"/>
      <c r="D43" s="7" t="str">
        <f>IF(ProblemData!$E$10=MD_Feedback[[#This Row],[LEVELS OF FEEDBACK]],1,"")</f>
        <v/>
      </c>
    </row>
    <row r="44" spans="2:14" hidden="1" outlineLevel="1" x14ac:dyDescent="0.3">
      <c r="C44" s="299"/>
      <c r="D44" s="8" t="str">
        <f>IF(ProblemData!$E$10=MD_Feedback[[#This Row],[LEVELS OF FEEDBACK]],1,"")</f>
        <v/>
      </c>
    </row>
    <row r="45" spans="2:14" hidden="1" outlineLevel="1" x14ac:dyDescent="0.3">
      <c r="C45" s="298"/>
      <c r="D45" s="7" t="str">
        <f>IF(ProblemData!$E$10=MD_Feedback[[#This Row],[LEVELS OF FEEDBACK]],1,"")</f>
        <v/>
      </c>
    </row>
    <row r="46" spans="2:14" hidden="1" outlineLevel="1" x14ac:dyDescent="0.3">
      <c r="C46" s="299"/>
      <c r="D46" s="8" t="str">
        <f>IF(ProblemData!$E$10=MD_Feedback[[#This Row],[LEVELS OF FEEDBACK]],1,"")</f>
        <v/>
      </c>
    </row>
    <row r="47" spans="2:14" hidden="1" outlineLevel="1" x14ac:dyDescent="0.3">
      <c r="C47" s="300"/>
      <c r="D47" s="47" t="str">
        <f>IF(ProblemData!$E$10=MD_Feedback[[#This Row],[LEVELS OF FEEDBACK]],1,"")</f>
        <v/>
      </c>
    </row>
    <row r="48" spans="2:14" hidden="1" outlineLevel="1" x14ac:dyDescent="0.3"/>
    <row r="49" spans="1:29" collapsed="1" x14ac:dyDescent="0.3"/>
    <row r="50" spans="1:29" ht="17.399999999999999" x14ac:dyDescent="0.3">
      <c r="B50" s="17" t="s">
        <v>835</v>
      </c>
      <c r="C50" s="18"/>
      <c r="D50" s="18"/>
      <c r="E50" s="18"/>
      <c r="F50" s="18"/>
      <c r="G50" s="18"/>
      <c r="H50" s="18"/>
      <c r="I50" s="18"/>
      <c r="J50" s="18"/>
      <c r="K50" s="18"/>
      <c r="L50" s="18"/>
      <c r="M50" s="18"/>
      <c r="N50" s="18"/>
    </row>
    <row r="51" spans="1:29" outlineLevel="1" x14ac:dyDescent="0.3"/>
    <row r="52" spans="1:29" ht="15.6" outlineLevel="1" x14ac:dyDescent="0.3">
      <c r="B52" s="26" t="s">
        <v>836</v>
      </c>
      <c r="C52" s="10"/>
      <c r="D52" s="10"/>
      <c r="E52" s="10"/>
      <c r="F52" s="10"/>
      <c r="G52" s="10"/>
      <c r="H52" s="10"/>
      <c r="I52" s="10"/>
      <c r="J52" s="10"/>
      <c r="K52" s="10"/>
      <c r="L52" s="10"/>
      <c r="M52" s="10"/>
      <c r="N52" s="10"/>
    </row>
    <row r="53" spans="1:29" outlineLevel="1" x14ac:dyDescent="0.3"/>
    <row r="54" spans="1:29" ht="15.6" outlineLevel="1" x14ac:dyDescent="0.3">
      <c r="A54" s="5"/>
      <c r="B54" s="5"/>
      <c r="C54" s="798" t="s">
        <v>37</v>
      </c>
      <c r="D54" s="798"/>
      <c r="E54" s="798"/>
      <c r="F54" s="798"/>
      <c r="G54" s="798"/>
      <c r="H54" s="798"/>
      <c r="I54" s="798"/>
      <c r="J54" s="171"/>
      <c r="AB54" s="100" t="s">
        <v>837</v>
      </c>
      <c r="AC54" s="100" t="s">
        <v>838</v>
      </c>
    </row>
    <row r="55" spans="1:29" outlineLevel="1" x14ac:dyDescent="0.3">
      <c r="C55" s="59" t="s">
        <v>352</v>
      </c>
      <c r="D55" s="59" t="s">
        <v>424</v>
      </c>
      <c r="E55" s="59" t="s">
        <v>543</v>
      </c>
      <c r="F55" s="59" t="s">
        <v>839</v>
      </c>
      <c r="G55" s="59" t="s">
        <v>544</v>
      </c>
      <c r="H55" s="59" t="s">
        <v>353</v>
      </c>
      <c r="I55" s="59" t="s">
        <v>585</v>
      </c>
      <c r="J55" s="59" t="s">
        <v>840</v>
      </c>
      <c r="L55" s="100" t="s">
        <v>841</v>
      </c>
      <c r="N55" s="100" t="s">
        <v>842</v>
      </c>
      <c r="O55" s="100" t="s">
        <v>843</v>
      </c>
      <c r="AB55" t="str" cm="1">
        <f t="array" ref="AB55:AB59">_xlfn._xlws.FILTER(MD_Asset[Account Name],((MD_Asset[Used]=1)*(MD_Asset[C/NC]="C")),"")</f>
        <v>Cash</v>
      </c>
      <c r="AC55" t="str" cm="1">
        <f t="array" ref="AC55:AC56">_xlfn._xlws.FILTER(MD_Asset[Account Name],((MD_Asset[Used]=1)*(MD_Asset[C/NC]="NC")),"")</f>
        <v>Property, Plant &amp; Equipment</v>
      </c>
    </row>
    <row r="56" spans="1:29" outlineLevel="1" x14ac:dyDescent="0.3">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844</v>
      </c>
      <c r="L56" s="41" t="str" cm="1">
        <f t="array" ref="L56:L62">IFERROR(_xlfn._xlws.FILTER(MD_Asset[[#All],[Account Name]],MD_Asset[[#All],[Used]]=1),"")</f>
        <v>Cash</v>
      </c>
      <c r="N56" s="41" t="str" cm="1">
        <f t="array" ref="N56:N68">_xlfn.VSTACK(AssetUsed,LiabilityUsed,EquityUsed)</f>
        <v>Cash</v>
      </c>
      <c r="O56" t="str" cm="1">
        <f t="array" ref="O56:O68">_xlfn._xlws.SORT(_xlfn.ANCHORARRAY(N56))</f>
        <v>Accounts Payable</v>
      </c>
      <c r="AB56" t="str">
        <v>Accounts Receivable</v>
      </c>
      <c r="AC56" t="str">
        <v>Accumulated Depreciation</v>
      </c>
    </row>
    <row r="57" spans="1:29" outlineLevel="1" x14ac:dyDescent="0.3">
      <c r="C57" s="21" t="s">
        <v>59</v>
      </c>
      <c r="D57" s="22" t="s">
        <v>845</v>
      </c>
      <c r="E57" s="22" t="s">
        <v>402</v>
      </c>
      <c r="F57" s="22" t="s">
        <v>846</v>
      </c>
      <c r="G57" s="24">
        <v>1</v>
      </c>
      <c r="H57" s="21" t="s">
        <v>847</v>
      </c>
      <c r="I57" s="22">
        <f>IF(MD_Asset[[#This Row],[Account Name]]="","",IFERROR(IF(SEARCH(MD_Asset[[#This Row],[Account Name]],ProblemData!$E$242)&gt;0,1,0),""))</f>
        <v>1</v>
      </c>
      <c r="J57" s="1"/>
      <c r="L57" s="41" t="str">
        <v>Accounts Receivable</v>
      </c>
      <c r="N57" s="41" t="str">
        <v>Accounts Receivable</v>
      </c>
      <c r="O57" t="str">
        <v>Accounts Receivable</v>
      </c>
      <c r="AB57" t="str">
        <v>Marketable Securities</v>
      </c>
    </row>
    <row r="58" spans="1:29" outlineLevel="1" x14ac:dyDescent="0.3">
      <c r="C58" s="19" t="s">
        <v>73</v>
      </c>
      <c r="D58" s="20" t="s">
        <v>848</v>
      </c>
      <c r="E58" s="20" t="s">
        <v>402</v>
      </c>
      <c r="F58" s="20" t="s">
        <v>846</v>
      </c>
      <c r="G58" s="25">
        <f>G57+1</f>
        <v>2</v>
      </c>
      <c r="H58" s="19" t="s">
        <v>849</v>
      </c>
      <c r="I58" s="22">
        <f>IF(MD_Asset[[#This Row],[Account Name]]="","",IFERROR(IF(SEARCH(MD_Asset[[#This Row],[Account Name]],ProblemData!$E$242)&gt;0,1,0),""))</f>
        <v>1</v>
      </c>
      <c r="J58" s="1">
        <v>1</v>
      </c>
      <c r="L58" s="41" t="str">
        <v>Marketable Securities</v>
      </c>
      <c r="N58" s="41" t="str">
        <v>Marketable Securities</v>
      </c>
      <c r="O58" t="str">
        <v>Accumulated Depreciation</v>
      </c>
      <c r="AB58" t="str">
        <v>Inventories</v>
      </c>
    </row>
    <row r="59" spans="1:29" outlineLevel="1" x14ac:dyDescent="0.3">
      <c r="C59" s="21" t="s">
        <v>598</v>
      </c>
      <c r="D59" s="22" t="s">
        <v>850</v>
      </c>
      <c r="E59" s="22" t="s">
        <v>401</v>
      </c>
      <c r="F59" s="22" t="s">
        <v>846</v>
      </c>
      <c r="G59" s="24">
        <f t="shared" ref="G59:G72" si="0">G58+1</f>
        <v>3</v>
      </c>
      <c r="H59" s="21" t="s">
        <v>851</v>
      </c>
      <c r="I59" s="22" t="str">
        <f>IF(MD_Asset[[#This Row],[Account Name]]="","",IFERROR(IF(SEARCH(MD_Asset[[#This Row],[Account Name]],ProblemData!$E$242)&gt;0,1,0),""))</f>
        <v/>
      </c>
      <c r="J59" s="1">
        <v>1</v>
      </c>
      <c r="L59" s="41" t="str">
        <v>Inventories</v>
      </c>
      <c r="N59" s="41" t="str">
        <v>Inventories</v>
      </c>
      <c r="O59" t="str">
        <v>Bonds Payable</v>
      </c>
      <c r="AB59" t="str">
        <v>Prepaid Rent</v>
      </c>
    </row>
    <row r="60" spans="1:29" outlineLevel="1" x14ac:dyDescent="0.3">
      <c r="C60" s="19" t="s">
        <v>71</v>
      </c>
      <c r="D60" s="20" t="s">
        <v>852</v>
      </c>
      <c r="E60" s="20" t="s">
        <v>402</v>
      </c>
      <c r="F60" s="20" t="s">
        <v>846</v>
      </c>
      <c r="G60" s="25">
        <f t="shared" si="0"/>
        <v>4</v>
      </c>
      <c r="H60" s="19" t="s">
        <v>853</v>
      </c>
      <c r="I60" s="22">
        <f>IF(MD_Asset[[#This Row],[Account Name]]="","",IFERROR(IF(SEARCH(MD_Asset[[#This Row],[Account Name]],ProblemData!$E$242)&gt;0,1,0),""))</f>
        <v>1</v>
      </c>
      <c r="J60" s="1"/>
      <c r="L60" s="41" t="str">
        <v>Prepaid Rent</v>
      </c>
      <c r="N60" s="41" t="str">
        <v>Prepaid Rent</v>
      </c>
      <c r="O60" t="str">
        <v>Cash</v>
      </c>
    </row>
    <row r="61" spans="1:29" outlineLevel="1" x14ac:dyDescent="0.3">
      <c r="C61" s="21" t="s">
        <v>68</v>
      </c>
      <c r="D61" s="22" t="s">
        <v>854</v>
      </c>
      <c r="E61" s="22" t="s">
        <v>402</v>
      </c>
      <c r="F61" s="22" t="s">
        <v>846</v>
      </c>
      <c r="G61" s="24">
        <f t="shared" si="0"/>
        <v>5</v>
      </c>
      <c r="H61" s="21" t="s">
        <v>855</v>
      </c>
      <c r="I61" s="22">
        <f>IF(MD_Asset[[#This Row],[Account Name]]="","",IFERROR(IF(SEARCH(MD_Asset[[#This Row],[Account Name]],ProblemData!$E$242)&gt;0,1,0),""))</f>
        <v>1</v>
      </c>
      <c r="J61" s="1">
        <v>1</v>
      </c>
      <c r="L61" s="41" t="str">
        <v>Property, Plant &amp; Equipment</v>
      </c>
      <c r="N61" s="41" t="str">
        <v>Property, Plant &amp; Equipment</v>
      </c>
      <c r="O61" t="str">
        <v>Common Stock</v>
      </c>
    </row>
    <row r="62" spans="1:29" outlineLevel="1" x14ac:dyDescent="0.3">
      <c r="C62" s="21" t="s">
        <v>607</v>
      </c>
      <c r="D62" s="22" t="s">
        <v>856</v>
      </c>
      <c r="E62" s="22" t="s">
        <v>402</v>
      </c>
      <c r="F62" s="22" t="s">
        <v>846</v>
      </c>
      <c r="G62" s="24">
        <f t="shared" si="0"/>
        <v>6</v>
      </c>
      <c r="H62" s="21" t="s">
        <v>857</v>
      </c>
      <c r="I62" s="22" t="str">
        <f>IF(MD_Asset[[#This Row],[Account Name]]="","",IFERROR(IF(SEARCH(MD_Asset[[#This Row],[Account Name]],ProblemData!$E$242)&gt;0,1,0),""))</f>
        <v/>
      </c>
      <c r="J62" s="1">
        <v>1</v>
      </c>
      <c r="L62" s="41" t="str">
        <v>Accumulated Depreciation</v>
      </c>
      <c r="N62" s="41" t="str">
        <v>Accumulated Depreciation</v>
      </c>
      <c r="O62" t="str">
        <v>Interest Payable</v>
      </c>
    </row>
    <row r="63" spans="1:29" outlineLevel="1" x14ac:dyDescent="0.3">
      <c r="C63" s="21" t="s">
        <v>67</v>
      </c>
      <c r="D63" s="22" t="s">
        <v>858</v>
      </c>
      <c r="E63" s="22" t="s">
        <v>402</v>
      </c>
      <c r="F63" s="22" t="s">
        <v>846</v>
      </c>
      <c r="G63" s="24">
        <f t="shared" si="0"/>
        <v>7</v>
      </c>
      <c r="H63" s="21" t="s">
        <v>859</v>
      </c>
      <c r="I63" s="22">
        <f>IF(MD_Asset[[#This Row],[Account Name]]="","",IFERROR(IF(SEARCH(MD_Asset[[#This Row],[Account Name]],ProblemData!$E$242)&gt;0,1,0),""))</f>
        <v>1</v>
      </c>
      <c r="J63" s="1">
        <v>1</v>
      </c>
      <c r="L63" s="41"/>
      <c r="N63" s="41" t="str">
        <v>Accounts Payable</v>
      </c>
      <c r="O63" t="str">
        <v>Inventories</v>
      </c>
    </row>
    <row r="64" spans="1:29" outlineLevel="1" x14ac:dyDescent="0.3">
      <c r="C64" s="21" t="s">
        <v>610</v>
      </c>
      <c r="D64" s="22" t="s">
        <v>860</v>
      </c>
      <c r="E64" s="22" t="s">
        <v>402</v>
      </c>
      <c r="F64" s="22" t="s">
        <v>846</v>
      </c>
      <c r="G64" s="24">
        <f t="shared" si="0"/>
        <v>8</v>
      </c>
      <c r="H64" s="21" t="s">
        <v>861</v>
      </c>
      <c r="I64" s="22" t="str">
        <f>IF(MD_Asset[[#This Row],[Account Name]]="","",IFERROR(IF(SEARCH(MD_Asset[[#This Row],[Account Name]],ProblemData!$E$242)&gt;0,1,0),""))</f>
        <v/>
      </c>
      <c r="J64" s="1">
        <v>1</v>
      </c>
      <c r="L64" s="41"/>
      <c r="N64" s="41" t="str">
        <v>Interest Payable</v>
      </c>
      <c r="O64" t="str">
        <v>Marketable Securities</v>
      </c>
    </row>
    <row r="65" spans="3:15" outlineLevel="1" x14ac:dyDescent="0.3">
      <c r="C65" s="21" t="s">
        <v>66</v>
      </c>
      <c r="D65" s="22" t="s">
        <v>862</v>
      </c>
      <c r="E65" s="22" t="s">
        <v>402</v>
      </c>
      <c r="F65" s="22" t="s">
        <v>863</v>
      </c>
      <c r="G65" s="24">
        <f t="shared" si="0"/>
        <v>9</v>
      </c>
      <c r="H65" s="21" t="s">
        <v>864</v>
      </c>
      <c r="I65" s="22">
        <f>IF(MD_Asset[[#This Row],[Account Name]]="","",IFERROR(IF(SEARCH(MD_Asset[[#This Row],[Account Name]],ProblemData!$E$242)&gt;0,1,0),""))</f>
        <v>1</v>
      </c>
      <c r="J65" s="1"/>
      <c r="L65" s="41"/>
      <c r="N65" s="41" t="str">
        <v>Salaries &amp; Wages Payable</v>
      </c>
      <c r="O65" t="str">
        <v>Prepaid Rent</v>
      </c>
    </row>
    <row r="66" spans="3:15" outlineLevel="1" x14ac:dyDescent="0.3">
      <c r="C66" s="21" t="s">
        <v>82</v>
      </c>
      <c r="D66" s="22" t="s">
        <v>865</v>
      </c>
      <c r="E66" s="22" t="s">
        <v>401</v>
      </c>
      <c r="F66" s="22" t="s">
        <v>863</v>
      </c>
      <c r="G66" s="24">
        <f t="shared" si="0"/>
        <v>10</v>
      </c>
      <c r="H66" s="21" t="s">
        <v>866</v>
      </c>
      <c r="I66" s="22">
        <f>IF(MD_Asset[[#This Row],[Account Name]]="","",IFERROR(IF(SEARCH(MD_Asset[[#This Row],[Account Name]],ProblemData!$E$242)&gt;0,1,0),""))</f>
        <v>1</v>
      </c>
      <c r="J66" s="1"/>
      <c r="L66" s="41"/>
      <c r="N66" s="41" t="str">
        <v>Bonds Payable</v>
      </c>
      <c r="O66" t="str">
        <v>Property, Plant &amp; Equipment</v>
      </c>
    </row>
    <row r="67" spans="3:15" outlineLevel="1" x14ac:dyDescent="0.3">
      <c r="C67" s="21" t="s">
        <v>630</v>
      </c>
      <c r="D67" s="22" t="s">
        <v>867</v>
      </c>
      <c r="E67" s="22" t="s">
        <v>402</v>
      </c>
      <c r="F67" s="22" t="s">
        <v>863</v>
      </c>
      <c r="G67" s="24">
        <f t="shared" si="0"/>
        <v>11</v>
      </c>
      <c r="H67" s="21" t="s">
        <v>868</v>
      </c>
      <c r="I67" s="22" t="str">
        <f>IF(MD_Asset[[#This Row],[Account Name]]="","",IFERROR(IF(SEARCH(MD_Asset[[#This Row],[Account Name]],ProblemData!$E$242)&gt;0,1,0),""))</f>
        <v/>
      </c>
      <c r="J67" s="1"/>
      <c r="L67" s="41"/>
      <c r="N67" s="41" t="str">
        <v>Common Stock</v>
      </c>
      <c r="O67" t="str">
        <v>Retained Earnings</v>
      </c>
    </row>
    <row r="68" spans="3:15" outlineLevel="1" x14ac:dyDescent="0.3">
      <c r="C68" s="21" t="s">
        <v>633</v>
      </c>
      <c r="D68" s="22" t="s">
        <v>869</v>
      </c>
      <c r="E68" s="22" t="s">
        <v>402</v>
      </c>
      <c r="F68" s="22" t="s">
        <v>863</v>
      </c>
      <c r="G68" s="24">
        <f t="shared" si="0"/>
        <v>12</v>
      </c>
      <c r="H68" s="21" t="s">
        <v>870</v>
      </c>
      <c r="I68" s="22" t="str">
        <f>IF(MD_Asset[[#This Row],[Account Name]]="","",IFERROR(IF(SEARCH(MD_Asset[[#This Row],[Account Name]],ProblemData!$E$242)&gt;0,1,0),""))</f>
        <v/>
      </c>
      <c r="J68" s="1"/>
      <c r="L68" s="41"/>
      <c r="N68" s="41" t="str">
        <v>Retained Earnings</v>
      </c>
      <c r="O68" t="str">
        <v>Salaries &amp; Wages Payable</v>
      </c>
    </row>
    <row r="69" spans="3:15" outlineLevel="1" x14ac:dyDescent="0.3">
      <c r="C69" s="21" t="s">
        <v>637</v>
      </c>
      <c r="D69" s="22" t="s">
        <v>871</v>
      </c>
      <c r="E69" s="22" t="s">
        <v>402</v>
      </c>
      <c r="F69" s="22" t="s">
        <v>863</v>
      </c>
      <c r="G69" s="24">
        <f t="shared" si="0"/>
        <v>13</v>
      </c>
      <c r="H69" s="21" t="s">
        <v>872</v>
      </c>
      <c r="I69" s="22" t="str">
        <f>IF(MD_Asset[[#This Row],[Account Name]]="","",IFERROR(IF(SEARCH(MD_Asset[[#This Row],[Account Name]],ProblemData!$E$242)&gt;0,1,0),""))</f>
        <v/>
      </c>
      <c r="J69" s="1">
        <v>1</v>
      </c>
      <c r="L69" s="41"/>
      <c r="N69" s="41"/>
    </row>
    <row r="70" spans="3:15" outlineLevel="1" x14ac:dyDescent="0.3">
      <c r="C70" s="21" t="s">
        <v>640</v>
      </c>
      <c r="D70" s="22" t="s">
        <v>873</v>
      </c>
      <c r="E70" s="22" t="s">
        <v>402</v>
      </c>
      <c r="F70" s="22" t="s">
        <v>863</v>
      </c>
      <c r="G70" s="24">
        <f t="shared" si="0"/>
        <v>14</v>
      </c>
      <c r="H70" s="21" t="s">
        <v>874</v>
      </c>
      <c r="I70" s="22" t="str">
        <f>IF(MD_Asset[[#This Row],[Account Name]]="","",IFERROR(IF(SEARCH(MD_Asset[[#This Row],[Account Name]],ProblemData!$E$242)&gt;0,1,0),""))</f>
        <v/>
      </c>
      <c r="J70" s="1"/>
      <c r="L70" s="41"/>
      <c r="N70" s="41"/>
    </row>
    <row r="71" spans="3:15" outlineLevel="1" x14ac:dyDescent="0.3">
      <c r="C71" s="21" t="s">
        <v>643</v>
      </c>
      <c r="D71" s="22" t="s">
        <v>875</v>
      </c>
      <c r="E71" s="22" t="s">
        <v>401</v>
      </c>
      <c r="F71" s="22" t="s">
        <v>863</v>
      </c>
      <c r="G71" s="24">
        <f t="shared" si="0"/>
        <v>15</v>
      </c>
      <c r="H71" s="21" t="s">
        <v>876</v>
      </c>
      <c r="I71" s="22" t="str">
        <f>IF(MD_Asset[[#This Row],[Account Name]]="","",IFERROR(IF(SEARCH(MD_Asset[[#This Row],[Account Name]],ProblemData!$E$242)&gt;0,1,0),""))</f>
        <v/>
      </c>
      <c r="J71" s="1"/>
      <c r="L71" s="41"/>
      <c r="N71" s="41"/>
    </row>
    <row r="72" spans="3:15" outlineLevel="1" x14ac:dyDescent="0.3">
      <c r="C72" s="21" t="s">
        <v>645</v>
      </c>
      <c r="D72" s="22" t="s">
        <v>877</v>
      </c>
      <c r="E72" s="22" t="s">
        <v>402</v>
      </c>
      <c r="F72" s="22" t="s">
        <v>863</v>
      </c>
      <c r="G72" s="24">
        <f t="shared" si="0"/>
        <v>16</v>
      </c>
      <c r="H72" s="21" t="s">
        <v>878</v>
      </c>
      <c r="I72" s="22" t="str">
        <f>IF(MD_Asset[[#This Row],[Account Name]]="","",IFERROR(IF(SEARCH(MD_Asset[[#This Row],[Account Name]],ProblemData!$E$242)&gt;0,1,0),""))</f>
        <v/>
      </c>
      <c r="J72" s="1"/>
      <c r="L72" s="41"/>
      <c r="N72" s="41"/>
    </row>
    <row r="73" spans="3:15" outlineLevel="1" x14ac:dyDescent="0.3">
      <c r="C73" s="21" t="s">
        <v>879</v>
      </c>
      <c r="D73" s="22" t="s">
        <v>880</v>
      </c>
      <c r="E73" s="22" t="s">
        <v>402</v>
      </c>
      <c r="F73" s="22" t="s">
        <v>863</v>
      </c>
      <c r="G73" s="24">
        <f t="shared" ref="G73:G78" si="1">G72+1</f>
        <v>17</v>
      </c>
      <c r="H73" s="21"/>
      <c r="I73" s="22" t="str">
        <f>IF(MD_Asset[[#This Row],[Account Name]]="","",IFERROR(IF(SEARCH(MD_Asset[[#This Row],[Account Name]],ProblemData!$E$242)&gt;0,1,0),""))</f>
        <v/>
      </c>
      <c r="J73" s="1"/>
      <c r="L73" s="41"/>
      <c r="N73" s="41"/>
    </row>
    <row r="74" spans="3:15" outlineLevel="1" x14ac:dyDescent="0.3">
      <c r="C74" s="21"/>
      <c r="D74" s="22"/>
      <c r="E74" s="22"/>
      <c r="F74" s="22"/>
      <c r="G74" s="24">
        <f t="shared" si="1"/>
        <v>18</v>
      </c>
      <c r="H74" s="21"/>
      <c r="I74" s="22" t="str">
        <f>IF(MD_Asset[[#This Row],[Account Name]]="","",IFERROR(IF(SEARCH(MD_Asset[[#This Row],[Account Name]],ProblemData!$E$242)&gt;0,1,0),""))</f>
        <v/>
      </c>
      <c r="J74" s="1"/>
      <c r="L74" s="41"/>
      <c r="N74" s="41"/>
    </row>
    <row r="75" spans="3:15" outlineLevel="1" x14ac:dyDescent="0.3">
      <c r="C75" s="21"/>
      <c r="D75" s="22"/>
      <c r="E75" s="22"/>
      <c r="F75" s="22"/>
      <c r="G75" s="24">
        <f t="shared" si="1"/>
        <v>19</v>
      </c>
      <c r="H75" s="21"/>
      <c r="I75" s="22" t="str">
        <f>IF(MD_Asset[[#This Row],[Account Name]]="","",IFERROR(IF(SEARCH(MD_Asset[[#This Row],[Account Name]],ProblemData!$E$242)&gt;0,1,0),""))</f>
        <v/>
      </c>
      <c r="J75" s="1"/>
      <c r="L75" s="41"/>
      <c r="N75" s="41"/>
    </row>
    <row r="76" spans="3:15" outlineLevel="1" x14ac:dyDescent="0.3">
      <c r="C76" s="21"/>
      <c r="D76" s="22"/>
      <c r="E76" s="22"/>
      <c r="F76" s="22"/>
      <c r="G76" s="24">
        <f t="shared" si="1"/>
        <v>20</v>
      </c>
      <c r="H76" s="21"/>
      <c r="I76" s="22" t="str">
        <f>IF(MD_Asset[[#This Row],[Account Name]]="","",IFERROR(IF(SEARCH(MD_Asset[[#This Row],[Account Name]],ProblemData!$E$242)&gt;0,1,0),""))</f>
        <v/>
      </c>
      <c r="J76" s="1"/>
      <c r="L76" s="41"/>
      <c r="N76" s="41"/>
    </row>
    <row r="77" spans="3:15" outlineLevel="1" x14ac:dyDescent="0.3">
      <c r="C77" s="21"/>
      <c r="D77" s="22"/>
      <c r="E77" s="22"/>
      <c r="F77" s="22"/>
      <c r="G77" s="24">
        <f t="shared" si="1"/>
        <v>21</v>
      </c>
      <c r="H77" s="21"/>
      <c r="I77" s="22" t="str">
        <f>IF(MD_Asset[[#This Row],[Account Name]]="","",IFERROR(IF(SEARCH(MD_Asset[[#This Row],[Account Name]],ProblemData!$E$242)&gt;0,1,0),""))</f>
        <v/>
      </c>
      <c r="J77" s="1"/>
      <c r="L77" s="41"/>
      <c r="N77" s="41"/>
    </row>
    <row r="78" spans="3:15" outlineLevel="1" x14ac:dyDescent="0.3">
      <c r="C78" s="60"/>
      <c r="D78" s="61"/>
      <c r="E78" s="61"/>
      <c r="F78" s="61"/>
      <c r="G78" s="62">
        <f t="shared" si="1"/>
        <v>22</v>
      </c>
      <c r="H78" s="60"/>
      <c r="I78" s="61" t="str">
        <f>IF(MD_Asset[[#This Row],[Account Name]]="","",IFERROR(IF(SEARCH(MD_Asset[[#This Row],[Account Name]],ProblemData!$E$242)&gt;0,1,0),""))</f>
        <v/>
      </c>
      <c r="J78" s="1"/>
      <c r="L78" s="101"/>
      <c r="N78" s="101"/>
    </row>
    <row r="79" spans="3:15" outlineLevel="1" x14ac:dyDescent="0.3"/>
    <row r="80" spans="3:15" outlineLevel="1" x14ac:dyDescent="0.3"/>
    <row r="81" spans="3:12" ht="15.6" outlineLevel="1" x14ac:dyDescent="0.3">
      <c r="C81" s="798" t="s">
        <v>38</v>
      </c>
      <c r="D81" s="798"/>
      <c r="E81" s="798"/>
      <c r="F81" s="798"/>
      <c r="G81" s="798"/>
      <c r="H81" s="798"/>
      <c r="I81" s="798"/>
      <c r="J81" s="171"/>
    </row>
    <row r="82" spans="3:12" outlineLevel="1" x14ac:dyDescent="0.3">
      <c r="C82" s="59" t="s">
        <v>352</v>
      </c>
      <c r="D82" s="59" t="s">
        <v>424</v>
      </c>
      <c r="E82" s="59" t="s">
        <v>543</v>
      </c>
      <c r="F82" s="59" t="s">
        <v>839</v>
      </c>
      <c r="G82" s="59" t="s">
        <v>544</v>
      </c>
      <c r="H82" s="59" t="s">
        <v>353</v>
      </c>
      <c r="I82" s="59" t="s">
        <v>585</v>
      </c>
      <c r="J82" s="59" t="s">
        <v>840</v>
      </c>
      <c r="L82" s="106" t="s">
        <v>881</v>
      </c>
    </row>
    <row r="83" spans="3:12" outlineLevel="1" x14ac:dyDescent="0.3">
      <c r="C83" s="21" t="s">
        <v>70</v>
      </c>
      <c r="D83" s="22" t="s">
        <v>882</v>
      </c>
      <c r="E83" s="22" t="s">
        <v>401</v>
      </c>
      <c r="F83" s="22" t="s">
        <v>846</v>
      </c>
      <c r="G83" s="24">
        <v>1</v>
      </c>
      <c r="H83" s="21" t="s">
        <v>883</v>
      </c>
      <c r="I83" s="22">
        <f>IF(MD_Liability[[#This Row],[Account Name]]="","",IFERROR(IF(SEARCH(MD_Liability[[#This Row],[Account Name]],ProblemData!$E$242)&gt;0,1,0),""))</f>
        <v>1</v>
      </c>
      <c r="J83" s="1">
        <v>1</v>
      </c>
      <c r="K83" s="11" t="s">
        <v>844</v>
      </c>
      <c r="L83" s="42" t="str" cm="1">
        <f t="array" ref="L83:L86">IFERROR(_xlfn._xlws.FILTER(MD_Liability[[#All],[Account Name]],MD_Liability[[#All],[Used]]=1),"")</f>
        <v>Accounts Payable</v>
      </c>
    </row>
    <row r="84" spans="3:12" outlineLevel="1" x14ac:dyDescent="0.3">
      <c r="C84" s="21" t="s">
        <v>654</v>
      </c>
      <c r="D84" s="22" t="s">
        <v>884</v>
      </c>
      <c r="E84" s="22" t="s">
        <v>401</v>
      </c>
      <c r="F84" s="22" t="s">
        <v>846</v>
      </c>
      <c r="G84" s="24">
        <f t="shared" ref="G84:G111" si="2">G83+1</f>
        <v>2</v>
      </c>
      <c r="H84" s="21" t="s">
        <v>885</v>
      </c>
      <c r="I84" s="22" t="str">
        <f>IF(MD_Liability[[#This Row],[Account Name]]="","",IFERROR(IF(SEARCH(MD_Liability[[#This Row],[Account Name]],ProblemData!$E$242)&gt;0,1,0),""))</f>
        <v/>
      </c>
      <c r="J84" s="1">
        <v>1</v>
      </c>
      <c r="L84" s="41" t="str">
        <v>Interest Payable</v>
      </c>
    </row>
    <row r="85" spans="3:12" outlineLevel="1" x14ac:dyDescent="0.3">
      <c r="C85" s="21" t="s">
        <v>85</v>
      </c>
      <c r="D85" s="22" t="s">
        <v>886</v>
      </c>
      <c r="E85" s="22" t="s">
        <v>401</v>
      </c>
      <c r="F85" s="22" t="s">
        <v>846</v>
      </c>
      <c r="G85" s="24">
        <f t="shared" si="2"/>
        <v>3</v>
      </c>
      <c r="H85" s="21" t="s">
        <v>887</v>
      </c>
      <c r="I85" s="22">
        <f>IF(MD_Liability[[#This Row],[Account Name]]="","",IFERROR(IF(SEARCH(MD_Liability[[#This Row],[Account Name]],ProblemData!$E$242)&gt;0,1,0),""))</f>
        <v>1</v>
      </c>
      <c r="J85" s="1">
        <v>1</v>
      </c>
      <c r="L85" s="41" t="str">
        <v>Salaries &amp; Wages Payable</v>
      </c>
    </row>
    <row r="86" spans="3:12" outlineLevel="1" x14ac:dyDescent="0.3">
      <c r="C86" s="21" t="s">
        <v>657</v>
      </c>
      <c r="D86" s="22" t="s">
        <v>888</v>
      </c>
      <c r="E86" s="22" t="s">
        <v>401</v>
      </c>
      <c r="F86" s="22" t="s">
        <v>846</v>
      </c>
      <c r="G86" s="24">
        <f t="shared" si="2"/>
        <v>4</v>
      </c>
      <c r="H86" s="21" t="s">
        <v>889</v>
      </c>
      <c r="I86" s="22" t="str">
        <f>IF(MD_Liability[[#This Row],[Account Name]]="","",IFERROR(IF(SEARCH(MD_Liability[[#This Row],[Account Name]],ProblemData!$E$242)&gt;0,1,0),""))</f>
        <v/>
      </c>
      <c r="J86" s="1"/>
      <c r="L86" s="41" t="str">
        <v>Bonds Payable</v>
      </c>
    </row>
    <row r="87" spans="3:12" outlineLevel="1" x14ac:dyDescent="0.3">
      <c r="C87" s="21" t="s">
        <v>659</v>
      </c>
      <c r="D87" s="22" t="s">
        <v>890</v>
      </c>
      <c r="E87" s="22" t="s">
        <v>401</v>
      </c>
      <c r="F87" s="22" t="s">
        <v>846</v>
      </c>
      <c r="G87" s="24">
        <f t="shared" si="2"/>
        <v>5</v>
      </c>
      <c r="H87" s="21" t="s">
        <v>891</v>
      </c>
      <c r="I87" s="22" t="str">
        <f>IF(MD_Liability[[#This Row],[Account Name]]="","",IFERROR(IF(SEARCH(MD_Liability[[#This Row],[Account Name]],ProblemData!$E$242)&gt;0,1,0),""))</f>
        <v/>
      </c>
      <c r="J87" s="1">
        <v>1</v>
      </c>
      <c r="L87" s="41"/>
    </row>
    <row r="88" spans="3:12" outlineLevel="1" x14ac:dyDescent="0.3">
      <c r="C88" s="21" t="s">
        <v>661</v>
      </c>
      <c r="D88" s="22" t="s">
        <v>892</v>
      </c>
      <c r="E88" s="22" t="s">
        <v>401</v>
      </c>
      <c r="F88" s="22" t="s">
        <v>846</v>
      </c>
      <c r="G88" s="24">
        <f t="shared" si="2"/>
        <v>6</v>
      </c>
      <c r="H88" s="21" t="s">
        <v>874</v>
      </c>
      <c r="I88" s="22" t="str">
        <f>IF(MD_Liability[[#This Row],[Account Name]]="","",IFERROR(IF(SEARCH(MD_Liability[[#This Row],[Account Name]],ProblemData!$E$242)&gt;0,1,0),""))</f>
        <v/>
      </c>
      <c r="J88" s="1">
        <v>1</v>
      </c>
      <c r="L88" s="41"/>
    </row>
    <row r="89" spans="3:12" outlineLevel="1" x14ac:dyDescent="0.3">
      <c r="C89" s="21" t="s">
        <v>662</v>
      </c>
      <c r="D89" s="22" t="s">
        <v>893</v>
      </c>
      <c r="E89" s="22" t="s">
        <v>401</v>
      </c>
      <c r="F89" s="22" t="s">
        <v>846</v>
      </c>
      <c r="G89" s="24">
        <f t="shared" si="2"/>
        <v>7</v>
      </c>
      <c r="H89" s="21" t="s">
        <v>894</v>
      </c>
      <c r="I89" s="22" t="str">
        <f>IF(MD_Liability[[#This Row],[Account Name]]="","",IFERROR(IF(SEARCH(MD_Liability[[#This Row],[Account Name]],ProblemData!$E$242)&gt;0,1,0),""))</f>
        <v/>
      </c>
      <c r="J89" s="1">
        <v>1</v>
      </c>
      <c r="L89" s="41"/>
    </row>
    <row r="90" spans="3:12" outlineLevel="1" x14ac:dyDescent="0.3">
      <c r="C90" s="21" t="s">
        <v>80</v>
      </c>
      <c r="D90" s="22" t="s">
        <v>895</v>
      </c>
      <c r="E90" s="22" t="s">
        <v>401</v>
      </c>
      <c r="F90" s="22" t="s">
        <v>846</v>
      </c>
      <c r="G90" s="24">
        <f t="shared" si="2"/>
        <v>8</v>
      </c>
      <c r="H90" s="21" t="s">
        <v>896</v>
      </c>
      <c r="I90" s="22">
        <f>IF(MD_Liability[[#This Row],[Account Name]]="","",IFERROR(IF(SEARCH(MD_Liability[[#This Row],[Account Name]],ProblemData!$E$242)&gt;0,1,0),""))</f>
        <v>1</v>
      </c>
      <c r="J90" s="1">
        <v>1</v>
      </c>
      <c r="L90" s="41"/>
    </row>
    <row r="91" spans="3:12" outlineLevel="1" x14ac:dyDescent="0.3">
      <c r="C91" s="21" t="s">
        <v>664</v>
      </c>
      <c r="D91" s="22" t="s">
        <v>897</v>
      </c>
      <c r="E91" s="22" t="s">
        <v>401</v>
      </c>
      <c r="F91" s="22" t="s">
        <v>846</v>
      </c>
      <c r="G91" s="24">
        <f t="shared" si="2"/>
        <v>9</v>
      </c>
      <c r="H91" s="21" t="s">
        <v>898</v>
      </c>
      <c r="I91" s="22" t="str">
        <f>IF(MD_Liability[[#This Row],[Account Name]]="","",IFERROR(IF(SEARCH(MD_Liability[[#This Row],[Account Name]],ProblemData!$E$242)&gt;0,1,0),""))</f>
        <v/>
      </c>
      <c r="J91" s="1">
        <v>1</v>
      </c>
      <c r="L91" s="41"/>
    </row>
    <row r="92" spans="3:12" outlineLevel="1" x14ac:dyDescent="0.3">
      <c r="C92" s="21" t="s">
        <v>666</v>
      </c>
      <c r="D92" s="22" t="s">
        <v>899</v>
      </c>
      <c r="E92" s="22" t="s">
        <v>401</v>
      </c>
      <c r="F92" s="22" t="s">
        <v>846</v>
      </c>
      <c r="G92" s="24">
        <f t="shared" si="2"/>
        <v>10</v>
      </c>
      <c r="H92" s="21" t="s">
        <v>900</v>
      </c>
      <c r="I92" s="22" t="str">
        <f>IF(MD_Liability[[#This Row],[Account Name]]="","",IFERROR(IF(SEARCH(MD_Liability[[#This Row],[Account Name]],ProblemData!$E$242)&gt;0,1,0),""))</f>
        <v/>
      </c>
      <c r="J92" s="1"/>
      <c r="L92" s="41"/>
    </row>
    <row r="93" spans="3:12" outlineLevel="1" x14ac:dyDescent="0.3">
      <c r="C93" s="21" t="s">
        <v>667</v>
      </c>
      <c r="D93" s="22" t="s">
        <v>901</v>
      </c>
      <c r="E93" s="22" t="s">
        <v>401</v>
      </c>
      <c r="F93" s="22" t="s">
        <v>846</v>
      </c>
      <c r="G93" s="24">
        <f t="shared" si="2"/>
        <v>11</v>
      </c>
      <c r="H93" s="21" t="s">
        <v>902</v>
      </c>
      <c r="I93" s="22" t="str">
        <f>IF(MD_Liability[[#This Row],[Account Name]]="","",IFERROR(IF(SEARCH(MD_Liability[[#This Row],[Account Name]],ProblemData!$E$242)&gt;0,1,0),""))</f>
        <v/>
      </c>
      <c r="J93" s="1">
        <v>1</v>
      </c>
      <c r="L93" s="41"/>
    </row>
    <row r="94" spans="3:12" outlineLevel="1" x14ac:dyDescent="0.3">
      <c r="C94" s="21" t="s">
        <v>668</v>
      </c>
      <c r="D94" s="22" t="s">
        <v>903</v>
      </c>
      <c r="E94" s="22" t="s">
        <v>401</v>
      </c>
      <c r="F94" s="22" t="s">
        <v>846</v>
      </c>
      <c r="G94" s="24">
        <f t="shared" si="2"/>
        <v>12</v>
      </c>
      <c r="H94" s="21" t="s">
        <v>904</v>
      </c>
      <c r="I94" s="22" t="str">
        <f>IF(MD_Liability[[#This Row],[Account Name]]="","",IFERROR(IF(SEARCH(MD_Liability[[#This Row],[Account Name]],ProblemData!$E$242)&gt;0,1,0),""))</f>
        <v/>
      </c>
      <c r="J94" s="1">
        <v>1</v>
      </c>
      <c r="L94" s="41"/>
    </row>
    <row r="95" spans="3:12" outlineLevel="1" x14ac:dyDescent="0.3">
      <c r="C95" s="21" t="s">
        <v>669</v>
      </c>
      <c r="D95" s="22" t="s">
        <v>905</v>
      </c>
      <c r="E95" s="22" t="s">
        <v>401</v>
      </c>
      <c r="F95" s="22" t="s">
        <v>846</v>
      </c>
      <c r="G95" s="24">
        <f t="shared" si="2"/>
        <v>13</v>
      </c>
      <c r="H95" s="21" t="s">
        <v>906</v>
      </c>
      <c r="I95" s="22" t="str">
        <f>IF(MD_Liability[[#This Row],[Account Name]]="","",IFERROR(IF(SEARCH(MD_Liability[[#This Row],[Account Name]],ProblemData!$E$242)&gt;0,1,0),""))</f>
        <v/>
      </c>
      <c r="J95" s="1">
        <v>1</v>
      </c>
      <c r="L95" s="41"/>
    </row>
    <row r="96" spans="3:12" outlineLevel="1" x14ac:dyDescent="0.3">
      <c r="C96" s="21" t="s">
        <v>670</v>
      </c>
      <c r="D96" s="22" t="s">
        <v>907</v>
      </c>
      <c r="E96" s="22" t="s">
        <v>401</v>
      </c>
      <c r="F96" s="22" t="s">
        <v>846</v>
      </c>
      <c r="G96" s="24">
        <f t="shared" si="2"/>
        <v>14</v>
      </c>
      <c r="H96" s="21" t="s">
        <v>885</v>
      </c>
      <c r="I96" s="22" t="str">
        <f>IF(MD_Liability[[#This Row],[Account Name]]="","",IFERROR(IF(SEARCH(MD_Liability[[#This Row],[Account Name]],ProblemData!$E$242)&gt;0,1,0),""))</f>
        <v/>
      </c>
      <c r="J96" s="1">
        <v>1</v>
      </c>
      <c r="L96" s="41"/>
    </row>
    <row r="97" spans="3:17" outlineLevel="1" x14ac:dyDescent="0.3">
      <c r="C97" s="21" t="s">
        <v>671</v>
      </c>
      <c r="D97" s="22" t="s">
        <v>908</v>
      </c>
      <c r="E97" s="22" t="s">
        <v>401</v>
      </c>
      <c r="F97" s="22" t="s">
        <v>846</v>
      </c>
      <c r="G97" s="24">
        <f t="shared" si="2"/>
        <v>15</v>
      </c>
      <c r="H97" s="21" t="s">
        <v>909</v>
      </c>
      <c r="I97" s="22" t="str">
        <f>IF(MD_Liability[[#This Row],[Account Name]]="","",IFERROR(IF(SEARCH(MD_Liability[[#This Row],[Account Name]],ProblemData!$E$242)&gt;0,1,0),""))</f>
        <v/>
      </c>
      <c r="J97" s="1"/>
      <c r="L97" s="41"/>
    </row>
    <row r="98" spans="3:17" outlineLevel="1" x14ac:dyDescent="0.3">
      <c r="C98" s="21" t="s">
        <v>72</v>
      </c>
      <c r="D98" s="22" t="s">
        <v>910</v>
      </c>
      <c r="E98" s="22" t="s">
        <v>401</v>
      </c>
      <c r="F98" s="22" t="s">
        <v>863</v>
      </c>
      <c r="G98" s="24">
        <f t="shared" si="2"/>
        <v>16</v>
      </c>
      <c r="H98" s="21" t="s">
        <v>911</v>
      </c>
      <c r="I98" s="22">
        <f>IF(MD_Liability[[#This Row],[Account Name]]="","",IFERROR(IF(SEARCH(MD_Liability[[#This Row],[Account Name]],ProblemData!$E$242)&gt;0,1,0),""))</f>
        <v>1</v>
      </c>
      <c r="J98" s="1"/>
      <c r="L98" s="41"/>
    </row>
    <row r="99" spans="3:17" outlineLevel="1" x14ac:dyDescent="0.3">
      <c r="C99" s="21" t="s">
        <v>676</v>
      </c>
      <c r="D99" s="22" t="s">
        <v>912</v>
      </c>
      <c r="E99" s="22" t="s">
        <v>401</v>
      </c>
      <c r="F99" s="22" t="s">
        <v>863</v>
      </c>
      <c r="G99" s="24">
        <f t="shared" si="2"/>
        <v>17</v>
      </c>
      <c r="H99" s="21" t="s">
        <v>913</v>
      </c>
      <c r="I99" s="22" t="str">
        <f>IF(MD_Liability[[#This Row],[Account Name]]="","",IFERROR(IF(SEARCH(MD_Liability[[#This Row],[Account Name]],ProblemData!$E$242)&gt;0,1,0),""))</f>
        <v/>
      </c>
      <c r="J99" s="1"/>
      <c r="L99" s="41"/>
    </row>
    <row r="100" spans="3:17" outlineLevel="1" x14ac:dyDescent="0.3">
      <c r="C100" s="21" t="s">
        <v>677</v>
      </c>
      <c r="D100" s="22" t="s">
        <v>914</v>
      </c>
      <c r="E100" s="22" t="s">
        <v>401</v>
      </c>
      <c r="F100" s="22" t="s">
        <v>863</v>
      </c>
      <c r="G100" s="24">
        <f t="shared" si="2"/>
        <v>18</v>
      </c>
      <c r="H100" s="21" t="s">
        <v>915</v>
      </c>
      <c r="I100" s="22" t="str">
        <f>IF(MD_Liability[[#This Row],[Account Name]]="","",IFERROR(IF(SEARCH(MD_Liability[[#This Row],[Account Name]],ProblemData!$E$242)&gt;0,1,0),""))</f>
        <v/>
      </c>
      <c r="J100" s="1"/>
      <c r="L100" s="41"/>
    </row>
    <row r="101" spans="3:17" outlineLevel="1" x14ac:dyDescent="0.3">
      <c r="C101" s="21" t="s">
        <v>678</v>
      </c>
      <c r="D101" s="22" t="s">
        <v>916</v>
      </c>
      <c r="E101" s="22" t="s">
        <v>401</v>
      </c>
      <c r="F101" s="22" t="s">
        <v>863</v>
      </c>
      <c r="G101" s="24">
        <f t="shared" si="2"/>
        <v>19</v>
      </c>
      <c r="H101" s="21" t="s">
        <v>917</v>
      </c>
      <c r="I101" s="22" t="str">
        <f>IF(MD_Liability[[#This Row],[Account Name]]="","",IFERROR(IF(SEARCH(MD_Liability[[#This Row],[Account Name]],ProblemData!$E$242)&gt;0,1,0),""))</f>
        <v/>
      </c>
      <c r="J101" s="1"/>
      <c r="L101" s="41"/>
    </row>
    <row r="102" spans="3:17" outlineLevel="1" x14ac:dyDescent="0.3">
      <c r="C102" s="21" t="s">
        <v>679</v>
      </c>
      <c r="D102" s="22" t="s">
        <v>918</v>
      </c>
      <c r="E102" s="22" t="s">
        <v>401</v>
      </c>
      <c r="F102" s="22" t="s">
        <v>863</v>
      </c>
      <c r="G102" s="24">
        <f t="shared" si="2"/>
        <v>20</v>
      </c>
      <c r="H102" s="21" t="s">
        <v>919</v>
      </c>
      <c r="I102" s="22" t="str">
        <f>IF(MD_Liability[[#This Row],[Account Name]]="","",IFERROR(IF(SEARCH(MD_Liability[[#This Row],[Account Name]],ProblemData!$E$242)&gt;0,1,0),""))</f>
        <v/>
      </c>
      <c r="J102" s="1">
        <v>1</v>
      </c>
      <c r="L102" s="41"/>
    </row>
    <row r="103" spans="3:17" outlineLevel="1" x14ac:dyDescent="0.3">
      <c r="C103" s="21" t="s">
        <v>680</v>
      </c>
      <c r="D103" s="22" t="s">
        <v>920</v>
      </c>
      <c r="E103" s="22" t="s">
        <v>401</v>
      </c>
      <c r="F103" s="22" t="s">
        <v>863</v>
      </c>
      <c r="G103" s="24">
        <f t="shared" si="2"/>
        <v>21</v>
      </c>
      <c r="H103" s="21" t="s">
        <v>921</v>
      </c>
      <c r="I103" s="22" t="str">
        <f>IF(MD_Liability[[#This Row],[Account Name]]="","",IFERROR(IF(SEARCH(MD_Liability[[#This Row],[Account Name]],ProblemData!$E$242)&gt;0,1,0),""))</f>
        <v/>
      </c>
      <c r="J103" s="1"/>
      <c r="L103" s="41"/>
    </row>
    <row r="104" spans="3:17" outlineLevel="1" x14ac:dyDescent="0.3">
      <c r="C104" s="21" t="s">
        <v>681</v>
      </c>
      <c r="D104" s="22" t="s">
        <v>922</v>
      </c>
      <c r="E104" s="22" t="s">
        <v>401</v>
      </c>
      <c r="F104" s="22" t="s">
        <v>863</v>
      </c>
      <c r="G104" s="24">
        <f t="shared" si="2"/>
        <v>22</v>
      </c>
      <c r="H104" s="21" t="s">
        <v>911</v>
      </c>
      <c r="I104" s="22" t="str">
        <f>IF(MD_Liability[[#This Row],[Account Name]]="","",IFERROR(IF(SEARCH(MD_Liability[[#This Row],[Account Name]],ProblemData!$E$242)&gt;0,1,0),""))</f>
        <v/>
      </c>
      <c r="J104" s="1"/>
      <c r="L104" s="41"/>
    </row>
    <row r="105" spans="3:17" outlineLevel="1" x14ac:dyDescent="0.3">
      <c r="C105" s="21" t="s">
        <v>682</v>
      </c>
      <c r="D105" s="22" t="s">
        <v>923</v>
      </c>
      <c r="E105" s="22" t="s">
        <v>401</v>
      </c>
      <c r="F105" s="22" t="s">
        <v>863</v>
      </c>
      <c r="G105" s="24">
        <f t="shared" si="2"/>
        <v>23</v>
      </c>
      <c r="H105" s="21" t="s">
        <v>924</v>
      </c>
      <c r="I105" s="22" t="str">
        <f>IF(MD_Liability[[#This Row],[Account Name]]="","",IFERROR(IF(SEARCH(MD_Liability[[#This Row],[Account Name]],ProblemData!$E$242)&gt;0,1,0),""))</f>
        <v/>
      </c>
      <c r="J105" s="1"/>
      <c r="L105" s="41"/>
    </row>
    <row r="106" spans="3:17" outlineLevel="1" x14ac:dyDescent="0.3">
      <c r="C106" s="21" t="s">
        <v>925</v>
      </c>
      <c r="D106" s="22" t="s">
        <v>926</v>
      </c>
      <c r="E106" s="22" t="s">
        <v>401</v>
      </c>
      <c r="F106" s="22" t="s">
        <v>846</v>
      </c>
      <c r="G106" s="24">
        <f t="shared" si="2"/>
        <v>24</v>
      </c>
      <c r="H106" s="21"/>
      <c r="I106" s="22" t="str">
        <f>IF(MD_Liability[[#This Row],[Account Name]]="","",IFERROR(IF(SEARCH(MD_Liability[[#This Row],[Account Name]],ProblemData!$E$242)&gt;0,1,0),""))</f>
        <v/>
      </c>
      <c r="J106" s="1"/>
      <c r="L106" s="41"/>
    </row>
    <row r="107" spans="3:17" outlineLevel="1" x14ac:dyDescent="0.3">
      <c r="C107" s="21" t="s">
        <v>927</v>
      </c>
      <c r="D107" s="22" t="s">
        <v>928</v>
      </c>
      <c r="E107" s="22" t="s">
        <v>401</v>
      </c>
      <c r="F107" s="22" t="s">
        <v>863</v>
      </c>
      <c r="G107" s="24">
        <f t="shared" si="2"/>
        <v>25</v>
      </c>
      <c r="H107" s="21"/>
      <c r="I107" s="22" t="str">
        <f>IF(MD_Liability[[#This Row],[Account Name]]="","",IFERROR(IF(SEARCH(MD_Liability[[#This Row],[Account Name]],ProblemData!$E$242)&gt;0,1,0),""))</f>
        <v/>
      </c>
      <c r="J107" s="1"/>
      <c r="L107" s="41"/>
    </row>
    <row r="108" spans="3:17" outlineLevel="1" x14ac:dyDescent="0.3">
      <c r="C108" s="21"/>
      <c r="D108" s="22"/>
      <c r="E108" s="22"/>
      <c r="F108" s="22"/>
      <c r="G108" s="24">
        <f t="shared" si="2"/>
        <v>26</v>
      </c>
      <c r="H108" s="21"/>
      <c r="I108" s="22" t="str">
        <f>IF(MD_Liability[[#This Row],[Account Name]]="","",IFERROR(IF(SEARCH(MD_Liability[[#This Row],[Account Name]],ProblemData!$E$242)&gt;0,1,0),""))</f>
        <v/>
      </c>
      <c r="J108" s="1"/>
      <c r="L108" s="41"/>
    </row>
    <row r="109" spans="3:17" outlineLevel="1" x14ac:dyDescent="0.3">
      <c r="C109" s="21"/>
      <c r="D109" s="22"/>
      <c r="E109" s="22"/>
      <c r="F109" s="22"/>
      <c r="G109" s="24">
        <f t="shared" si="2"/>
        <v>27</v>
      </c>
      <c r="H109" s="21"/>
      <c r="I109" s="22" t="str">
        <f>IF(MD_Liability[[#This Row],[Account Name]]="","",IFERROR(IF(SEARCH(MD_Liability[[#This Row],[Account Name]],ProblemData!$E$242)&gt;0,1,0),""))</f>
        <v/>
      </c>
      <c r="J109" s="1"/>
      <c r="L109" s="41"/>
    </row>
    <row r="110" spans="3:17" outlineLevel="1" x14ac:dyDescent="0.3">
      <c r="C110" s="60"/>
      <c r="D110" s="61"/>
      <c r="E110" s="61"/>
      <c r="F110" s="61"/>
      <c r="G110" s="24">
        <f t="shared" si="2"/>
        <v>28</v>
      </c>
      <c r="H110" s="60"/>
      <c r="I110" s="22" t="str">
        <f>IF(MD_Liability[[#This Row],[Account Name]]="","",IFERROR(IF(SEARCH(MD_Liability[[#This Row],[Account Name]],ProblemData!$E$242)&gt;0,1,0),""))</f>
        <v/>
      </c>
      <c r="J110" s="1"/>
      <c r="L110" s="41"/>
    </row>
    <row r="111" spans="3:17" ht="15.6" outlineLevel="1" x14ac:dyDescent="0.3">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x14ac:dyDescent="0.3">
      <c r="D112" s="1"/>
      <c r="E112" s="1"/>
      <c r="F112" s="1"/>
      <c r="G112" s="1"/>
      <c r="H112" s="6"/>
    </row>
    <row r="113" spans="3:15" outlineLevel="1" x14ac:dyDescent="0.3">
      <c r="D113" s="1"/>
      <c r="E113" s="1"/>
      <c r="F113" s="1"/>
      <c r="G113" s="1"/>
      <c r="H113" s="6"/>
    </row>
    <row r="114" spans="3:15" ht="15.6" outlineLevel="1" x14ac:dyDescent="0.3">
      <c r="C114" s="798" t="s">
        <v>39</v>
      </c>
      <c r="D114" s="798"/>
      <c r="E114" s="798"/>
      <c r="F114" s="798"/>
      <c r="G114" s="798"/>
      <c r="H114" s="798"/>
      <c r="I114" s="798"/>
      <c r="J114" s="408"/>
    </row>
    <row r="115" spans="3:15" outlineLevel="1" x14ac:dyDescent="0.3">
      <c r="C115" s="59" t="s">
        <v>352</v>
      </c>
      <c r="D115" s="59" t="s">
        <v>424</v>
      </c>
      <c r="E115" s="59" t="s">
        <v>543</v>
      </c>
      <c r="F115" s="59" t="s">
        <v>839</v>
      </c>
      <c r="G115" s="59" t="s">
        <v>544</v>
      </c>
      <c r="H115" s="59" t="s">
        <v>353</v>
      </c>
      <c r="I115" s="59" t="s">
        <v>585</v>
      </c>
      <c r="J115" s="59" t="s">
        <v>840</v>
      </c>
      <c r="L115" s="106" t="s">
        <v>929</v>
      </c>
      <c r="N115" s="100" t="s">
        <v>930</v>
      </c>
      <c r="O115" s="100" t="s">
        <v>843</v>
      </c>
    </row>
    <row r="116" spans="3:15" outlineLevel="1" x14ac:dyDescent="0.3">
      <c r="C116" s="68"/>
      <c r="D116" s="68"/>
      <c r="E116" s="68"/>
      <c r="F116" s="68"/>
      <c r="G116" s="69"/>
      <c r="H116" s="68"/>
      <c r="I116" s="68"/>
      <c r="J116" s="68"/>
      <c r="K116" s="11" t="s">
        <v>844</v>
      </c>
      <c r="L116" s="42" t="str" cm="1">
        <f t="array" ref="L116:L117">IFERROR(_xlfn._xlws.FILTER(MD_Equity[[#All],[Account Name]],MD_Equity[[#All],[Used]]=1),"")</f>
        <v>Common Stock</v>
      </c>
      <c r="N116" s="41" t="str" cm="1">
        <f t="array" ref="N116:N124">_xlfn.VSTACK(RevenueUsed,ExpenseUsed,GainUsed,LossUsed)</f>
        <v>Sales</v>
      </c>
      <c r="O116" t="str" cm="1">
        <f t="array" ref="O116:O124">_xlfn._xlws.SORT(_xlfn.ANCHORARRAY(N116),,-1)</f>
        <v>Sales</v>
      </c>
    </row>
    <row r="117" spans="3:15" outlineLevel="1" x14ac:dyDescent="0.3">
      <c r="C117" s="21" t="s">
        <v>249</v>
      </c>
      <c r="D117" s="22" t="s">
        <v>931</v>
      </c>
      <c r="E117" s="22" t="s">
        <v>401</v>
      </c>
      <c r="F117" s="22"/>
      <c r="G117" s="24">
        <v>1</v>
      </c>
      <c r="H117" s="21" t="s">
        <v>932</v>
      </c>
      <c r="I117" s="22" t="str">
        <f>IF(MD_Equity[[#This Row],[Account Name]]="","",IFERROR(IF(SEARCH(MD_Equity[[#This Row],[Account Name]],ProblemData!$E$242)&gt;0,1,0),""))</f>
        <v/>
      </c>
      <c r="J117" s="1"/>
      <c r="L117" s="41" t="str">
        <v>Retained Earnings</v>
      </c>
      <c r="N117" s="41" t="str">
        <v>Cost of Goods Sold</v>
      </c>
      <c r="O117" t="str">
        <v>Salaries &amp; Wages Expense</v>
      </c>
    </row>
    <row r="118" spans="3:15" outlineLevel="1" x14ac:dyDescent="0.3">
      <c r="C118" s="21" t="s">
        <v>65</v>
      </c>
      <c r="D118" s="22" t="s">
        <v>933</v>
      </c>
      <c r="E118" s="22" t="s">
        <v>401</v>
      </c>
      <c r="F118" s="22"/>
      <c r="G118" s="24">
        <f>G117+1</f>
        <v>2</v>
      </c>
      <c r="H118" s="21" t="s">
        <v>934</v>
      </c>
      <c r="I118" s="22">
        <f>IF(MD_Equity[[#This Row],[Account Name]]="","",IFERROR(IF(SEARCH(MD_Equity[[#This Row],[Account Name]],ProblemData!$E$242)&gt;0,1,0),""))</f>
        <v>1</v>
      </c>
      <c r="J118" s="1"/>
      <c r="L118" s="41"/>
      <c r="N118" s="41" t="str">
        <v>Interest Expense</v>
      </c>
      <c r="O118" t="str">
        <v>Rent Expense</v>
      </c>
    </row>
    <row r="119" spans="3:15" outlineLevel="1" x14ac:dyDescent="0.3">
      <c r="C119" s="21" t="s">
        <v>255</v>
      </c>
      <c r="D119" s="22" t="s">
        <v>935</v>
      </c>
      <c r="E119" s="22" t="s">
        <v>401</v>
      </c>
      <c r="F119" s="22"/>
      <c r="G119" s="24">
        <f t="shared" ref="G119:G128" si="3">G118+1</f>
        <v>3</v>
      </c>
      <c r="H119" s="21" t="s">
        <v>936</v>
      </c>
      <c r="I119" s="22" t="str">
        <f>IF(MD_Equity[[#This Row],[Account Name]]="","",IFERROR(IF(SEARCH(MD_Equity[[#This Row],[Account Name]],ProblemData!$E$242)&gt;0,1,0),""))</f>
        <v/>
      </c>
      <c r="J119" s="1"/>
      <c r="L119" s="41"/>
      <c r="N119" s="41" t="str">
        <v>Depreciation Expense</v>
      </c>
      <c r="O119" t="str">
        <v>Interest Expense</v>
      </c>
    </row>
    <row r="120" spans="3:15" outlineLevel="1" x14ac:dyDescent="0.3">
      <c r="C120" s="21" t="s">
        <v>261</v>
      </c>
      <c r="D120" s="22" t="s">
        <v>937</v>
      </c>
      <c r="E120" s="22" t="s">
        <v>401</v>
      </c>
      <c r="F120" s="22"/>
      <c r="G120" s="24">
        <f t="shared" si="3"/>
        <v>4</v>
      </c>
      <c r="H120" s="21" t="s">
        <v>938</v>
      </c>
      <c r="I120" s="22" t="str">
        <f>IF(MD_Equity[[#This Row],[Account Name]]="","",IFERROR(IF(SEARCH(MD_Equity[[#This Row],[Account Name]],ProblemData!$E$242)&gt;0,1,0),""))</f>
        <v/>
      </c>
      <c r="J120" s="1"/>
      <c r="L120" s="41"/>
      <c r="N120" s="41" t="str">
        <v>Rent Expense</v>
      </c>
      <c r="O120" t="str">
        <v>Depreciation Expense</v>
      </c>
    </row>
    <row r="121" spans="3:15" outlineLevel="1" x14ac:dyDescent="0.3">
      <c r="C121" s="21" t="s">
        <v>86</v>
      </c>
      <c r="D121" s="22" t="s">
        <v>939</v>
      </c>
      <c r="E121" s="22" t="s">
        <v>401</v>
      </c>
      <c r="F121" s="22"/>
      <c r="G121" s="24">
        <f t="shared" si="3"/>
        <v>5</v>
      </c>
      <c r="H121" s="21" t="s">
        <v>940</v>
      </c>
      <c r="I121" s="22">
        <f>IF(MD_Equity[[#This Row],[Account Name]]="","",IFERROR(IF(SEARCH(MD_Equity[[#This Row],[Account Name]],ProblemData!$E$242)&gt;0,1,0),""))</f>
        <v>1</v>
      </c>
      <c r="J121" s="1"/>
      <c r="L121" s="41"/>
      <c r="N121" s="41" t="str">
        <v>Bad Debts Expense</v>
      </c>
      <c r="O121" t="str">
        <v>Cost of Goods Sold</v>
      </c>
    </row>
    <row r="122" spans="3:15" outlineLevel="1" x14ac:dyDescent="0.3">
      <c r="C122" s="21" t="s">
        <v>263</v>
      </c>
      <c r="D122" s="22" t="s">
        <v>941</v>
      </c>
      <c r="E122" s="22" t="s">
        <v>402</v>
      </c>
      <c r="F122" s="22"/>
      <c r="G122" s="24">
        <f t="shared" si="3"/>
        <v>6</v>
      </c>
      <c r="H122" s="21" t="s">
        <v>942</v>
      </c>
      <c r="I122" s="22" t="str">
        <f>IF(MD_Equity[[#This Row],[Account Name]]="","",IFERROR(IF(SEARCH(MD_Equity[[#This Row],[Account Name]],ProblemData!$E$242)&gt;0,1,0),""))</f>
        <v/>
      </c>
      <c r="J122" s="1"/>
      <c r="L122" s="41"/>
      <c r="N122" s="41" t="str">
        <v>Salaries &amp; Wages Expense</v>
      </c>
      <c r="O122" t="str">
        <v>Bad Debts Expense</v>
      </c>
    </row>
    <row r="123" spans="3:15" outlineLevel="1" x14ac:dyDescent="0.3">
      <c r="C123" s="128" t="s">
        <v>688</v>
      </c>
      <c r="D123" s="22" t="s">
        <v>943</v>
      </c>
      <c r="E123" s="22" t="s">
        <v>402</v>
      </c>
      <c r="F123" s="22"/>
      <c r="G123" s="24">
        <f t="shared" si="3"/>
        <v>7</v>
      </c>
      <c r="H123" s="21"/>
      <c r="I123" s="22" t="str">
        <f>IF(MD_Equity[[#This Row],[Account Name]]="","",IFERROR(IF(SEARCH(MD_Equity[[#This Row],[Account Name]],ProblemData!$E$242)&gt;0,1,0),""))</f>
        <v/>
      </c>
      <c r="J123" s="1"/>
      <c r="L123" s="41"/>
      <c r="N123" s="41" t="str">
        <v/>
      </c>
      <c r="O123" t="str">
        <v/>
      </c>
    </row>
    <row r="124" spans="3:15" outlineLevel="1" x14ac:dyDescent="0.3">
      <c r="C124" s="21"/>
      <c r="D124" s="22"/>
      <c r="E124" s="22"/>
      <c r="F124" s="22"/>
      <c r="G124" s="24">
        <f t="shared" si="3"/>
        <v>8</v>
      </c>
      <c r="H124" s="21"/>
      <c r="I124" s="22" t="str">
        <f>IF(MD_Equity[[#This Row],[Account Name]]="","",IFERROR(IF(SEARCH(MD_Equity[[#This Row],[Account Name]],ProblemData!$E$242)&gt;0,1,0),""))</f>
        <v/>
      </c>
      <c r="J124" s="1"/>
      <c r="L124" s="41"/>
      <c r="N124" s="41" t="str">
        <v/>
      </c>
      <c r="O124" t="str">
        <v/>
      </c>
    </row>
    <row r="125" spans="3:15" outlineLevel="1" x14ac:dyDescent="0.3">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x14ac:dyDescent="0.3">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x14ac:dyDescent="0.3">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x14ac:dyDescent="0.3">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x14ac:dyDescent="0.3">
      <c r="N129" s="41"/>
    </row>
    <row r="130" spans="2:14" outlineLevel="1" x14ac:dyDescent="0.3">
      <c r="N130" s="41"/>
    </row>
    <row r="131" spans="2:14" ht="15.6" outlineLevel="1" x14ac:dyDescent="0.3">
      <c r="B131" s="26" t="s">
        <v>944</v>
      </c>
      <c r="C131" s="10"/>
      <c r="D131" s="10"/>
      <c r="E131" s="10"/>
      <c r="F131" s="10"/>
      <c r="G131" s="10"/>
      <c r="H131" s="10"/>
      <c r="I131" s="10"/>
      <c r="J131" s="10"/>
      <c r="K131" s="10"/>
      <c r="L131" s="10"/>
      <c r="M131" s="10"/>
      <c r="N131" s="41"/>
    </row>
    <row r="132" spans="2:14" outlineLevel="1" x14ac:dyDescent="0.3">
      <c r="N132" s="41"/>
    </row>
    <row r="133" spans="2:14" ht="15.6" outlineLevel="1" x14ac:dyDescent="0.3">
      <c r="C133" s="798" t="s">
        <v>43</v>
      </c>
      <c r="D133" s="798"/>
      <c r="E133" s="798"/>
      <c r="F133" s="798"/>
      <c r="G133" s="798"/>
      <c r="H133" s="798"/>
      <c r="I133" s="798"/>
      <c r="N133" s="41"/>
    </row>
    <row r="134" spans="2:14" outlineLevel="1" x14ac:dyDescent="0.3">
      <c r="C134" s="23" t="s">
        <v>352</v>
      </c>
      <c r="D134" s="23" t="s">
        <v>424</v>
      </c>
      <c r="E134" s="23" t="s">
        <v>543</v>
      </c>
      <c r="F134" s="23" t="s">
        <v>839</v>
      </c>
      <c r="G134" s="23" t="s">
        <v>544</v>
      </c>
      <c r="H134" s="23" t="s">
        <v>353</v>
      </c>
      <c r="I134" s="59" t="s">
        <v>585</v>
      </c>
      <c r="L134" s="106" t="s">
        <v>945</v>
      </c>
      <c r="N134" s="41"/>
    </row>
    <row r="135" spans="2:14" outlineLevel="1" x14ac:dyDescent="0.3">
      <c r="C135" s="68"/>
      <c r="D135" s="68"/>
      <c r="E135" s="68"/>
      <c r="F135" s="68"/>
      <c r="G135" s="69"/>
      <c r="H135" s="68"/>
      <c r="I135" s="68" t="str">
        <f>IF(MD_Revenue[[#This Row],[Account Name]]="","",IFERROR(IF(SEARCH(MD_Revenue[[#This Row],[Account Name]],ProblemData!$E$242)&gt;0,1,0),""))</f>
        <v/>
      </c>
      <c r="J135" s="11" t="s">
        <v>844</v>
      </c>
      <c r="L135" s="42" t="str" cm="1">
        <f t="array" ref="L135">IFERROR(_xlfn._xlws.FILTER(MD_Revenue[[#All],[Account Name]],MD_Revenue[[#All],[Used]]=1),"")</f>
        <v>Sales</v>
      </c>
      <c r="N135" s="41"/>
    </row>
    <row r="136" spans="2:14" outlineLevel="1" x14ac:dyDescent="0.3">
      <c r="C136" s="21" t="s">
        <v>75</v>
      </c>
      <c r="D136" s="22" t="s">
        <v>946</v>
      </c>
      <c r="E136" s="22" t="s">
        <v>401</v>
      </c>
      <c r="F136" s="22"/>
      <c r="G136" s="24">
        <v>1</v>
      </c>
      <c r="H136" s="21" t="s">
        <v>947</v>
      </c>
      <c r="I136" s="22">
        <f>IF(MD_Revenue[[#This Row],[Account Name]]="","",IFERROR(IF(SEARCH(MD_Revenue[[#This Row],[Account Name]],ProblemData!$E$242)&gt;0,1,0),""))</f>
        <v>1</v>
      </c>
      <c r="L136" s="41"/>
      <c r="N136" s="41"/>
    </row>
    <row r="137" spans="2:14" outlineLevel="1" x14ac:dyDescent="0.3">
      <c r="C137" s="21" t="s">
        <v>593</v>
      </c>
      <c r="D137" s="22" t="s">
        <v>948</v>
      </c>
      <c r="E137" s="22" t="s">
        <v>401</v>
      </c>
      <c r="F137" s="22"/>
      <c r="G137" s="24">
        <f>G136+1</f>
        <v>2</v>
      </c>
      <c r="H137" s="21" t="s">
        <v>949</v>
      </c>
      <c r="I137" s="22" t="str">
        <f>IF(MD_Revenue[[#This Row],[Account Name]]="","",IFERROR(IF(SEARCH(MD_Revenue[[#This Row],[Account Name]],ProblemData!$E$242)&gt;0,1,0),""))</f>
        <v/>
      </c>
      <c r="J137" s="5"/>
      <c r="K137" s="5"/>
      <c r="L137" s="41"/>
      <c r="N137" s="41"/>
    </row>
    <row r="138" spans="2:14" outlineLevel="1" x14ac:dyDescent="0.3">
      <c r="C138" s="21" t="s">
        <v>595</v>
      </c>
      <c r="D138" s="22" t="s">
        <v>950</v>
      </c>
      <c r="E138" s="22" t="s">
        <v>401</v>
      </c>
      <c r="F138" s="22"/>
      <c r="G138" s="24">
        <f t="shared" ref="G138:G142" si="4">G137+1</f>
        <v>3</v>
      </c>
      <c r="H138" s="21" t="s">
        <v>951</v>
      </c>
      <c r="I138" s="22" t="str">
        <f>IF(MD_Revenue[[#This Row],[Account Name]]="","",IFERROR(IF(SEARCH(MD_Revenue[[#This Row],[Account Name]],ProblemData!$E$242)&gt;0,1,0),""))</f>
        <v/>
      </c>
      <c r="J138" s="5"/>
      <c r="K138" s="5"/>
      <c r="L138" s="41"/>
      <c r="N138" s="101"/>
    </row>
    <row r="139" spans="2:14" outlineLevel="1" x14ac:dyDescent="0.3">
      <c r="C139" s="21" t="s">
        <v>599</v>
      </c>
      <c r="D139" s="22" t="s">
        <v>952</v>
      </c>
      <c r="E139" s="22" t="s">
        <v>401</v>
      </c>
      <c r="F139" s="22"/>
      <c r="G139" s="24">
        <f t="shared" si="4"/>
        <v>4</v>
      </c>
      <c r="H139" s="21" t="s">
        <v>953</v>
      </c>
      <c r="I139" s="22" t="str">
        <f>IF(MD_Revenue[[#This Row],[Account Name]]="","",IFERROR(IF(SEARCH(MD_Revenue[[#This Row],[Account Name]],ProblemData!$E$242)&gt;0,1,0),""))</f>
        <v/>
      </c>
      <c r="J139" s="5"/>
      <c r="K139" s="5"/>
      <c r="L139" s="41"/>
    </row>
    <row r="140" spans="2:14" outlineLevel="1" x14ac:dyDescent="0.3">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x14ac:dyDescent="0.3">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x14ac:dyDescent="0.3">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x14ac:dyDescent="0.3">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x14ac:dyDescent="0.3">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x14ac:dyDescent="0.3">
      <c r="J145" s="5"/>
      <c r="K145" s="5"/>
    </row>
    <row r="146" spans="2:14" ht="15.6" outlineLevel="1" x14ac:dyDescent="0.3">
      <c r="B146" s="27"/>
      <c r="C146" s="5"/>
      <c r="D146" s="5"/>
      <c r="E146" s="5"/>
      <c r="F146" s="5"/>
      <c r="G146" s="5"/>
      <c r="H146" s="5"/>
      <c r="I146" s="5"/>
      <c r="J146" s="5"/>
      <c r="K146" s="5"/>
      <c r="L146" s="5"/>
      <c r="M146" s="5"/>
      <c r="N146" s="5"/>
    </row>
    <row r="147" spans="2:14" ht="15.6" outlineLevel="1" x14ac:dyDescent="0.3">
      <c r="C147" s="798" t="s">
        <v>44</v>
      </c>
      <c r="D147" s="798"/>
      <c r="E147" s="798"/>
      <c r="F147" s="798"/>
      <c r="G147" s="798"/>
      <c r="H147" s="798"/>
      <c r="I147" s="798"/>
      <c r="J147" s="5"/>
      <c r="K147" s="5"/>
    </row>
    <row r="148" spans="2:14" outlineLevel="1" x14ac:dyDescent="0.3">
      <c r="C148" s="23" t="s">
        <v>352</v>
      </c>
      <c r="D148" s="23" t="s">
        <v>424</v>
      </c>
      <c r="E148" s="23" t="s">
        <v>543</v>
      </c>
      <c r="F148" s="23" t="s">
        <v>839</v>
      </c>
      <c r="G148" s="23" t="s">
        <v>544</v>
      </c>
      <c r="H148" s="23" t="s">
        <v>353</v>
      </c>
      <c r="I148" s="59" t="s">
        <v>585</v>
      </c>
      <c r="J148" s="5"/>
      <c r="K148" s="5"/>
      <c r="L148" s="106" t="s">
        <v>954</v>
      </c>
    </row>
    <row r="149" spans="2:14" outlineLevel="1" x14ac:dyDescent="0.3">
      <c r="C149" s="68"/>
      <c r="D149" s="68"/>
      <c r="E149" s="68"/>
      <c r="F149" s="68"/>
      <c r="G149" s="69"/>
      <c r="H149" s="68"/>
      <c r="I149" s="68" t="str">
        <f>IF(MD_Expense[[#This Row],[Account Name]]="","",IFERROR(IF(SEARCH(MD_Expense[[#This Row],[Account Name]],ProblemData!$E$242)&gt;0,1,0),""))</f>
        <v/>
      </c>
      <c r="J149" s="11" t="s">
        <v>844</v>
      </c>
      <c r="K149" s="5"/>
      <c r="L149" s="42" t="str" cm="1">
        <f t="array" ref="L149:L154">IFERROR(_xlfn._xlws.FILTER(MD_Expense[[#All],[Account Name]],MD_Expense[[#All],[Used]]=1),"")</f>
        <v>Cost of Goods Sold</v>
      </c>
    </row>
    <row r="150" spans="2:14" outlineLevel="1" x14ac:dyDescent="0.3">
      <c r="C150" s="21" t="s">
        <v>77</v>
      </c>
      <c r="D150" s="22" t="s">
        <v>955</v>
      </c>
      <c r="E150" s="22" t="s">
        <v>402</v>
      </c>
      <c r="F150" s="22"/>
      <c r="G150" s="24">
        <v>1</v>
      </c>
      <c r="H150" s="21" t="s">
        <v>956</v>
      </c>
      <c r="I150" s="22">
        <f>IF(MD_Expense[[#This Row],[Account Name]]="","",IFERROR(IF(SEARCH(MD_Expense[[#This Row],[Account Name]],ProblemData!$E$242)&gt;0,1,0),""))</f>
        <v>1</v>
      </c>
      <c r="J150" s="5"/>
      <c r="K150" s="5"/>
      <c r="L150" s="41" t="str">
        <v>Interest Expense</v>
      </c>
    </row>
    <row r="151" spans="2:14" outlineLevel="1" x14ac:dyDescent="0.3">
      <c r="C151" s="21" t="s">
        <v>612</v>
      </c>
      <c r="D151" s="22" t="s">
        <v>957</v>
      </c>
      <c r="E151" s="22" t="s">
        <v>402</v>
      </c>
      <c r="F151" s="22"/>
      <c r="G151" s="24">
        <f>G150+1</f>
        <v>2</v>
      </c>
      <c r="H151" s="21" t="s">
        <v>958</v>
      </c>
      <c r="I151" s="22" t="str">
        <f>IF(MD_Expense[[#This Row],[Account Name]]="","",IFERROR(IF(SEARCH(MD_Expense[[#This Row],[Account Name]],ProblemData!$E$242)&gt;0,1,0),""))</f>
        <v/>
      </c>
      <c r="J151" s="5"/>
      <c r="K151" s="5"/>
      <c r="L151" s="41" t="str">
        <v>Depreciation Expense</v>
      </c>
    </row>
    <row r="152" spans="2:14" outlineLevel="1" x14ac:dyDescent="0.3">
      <c r="C152" s="21" t="s">
        <v>615</v>
      </c>
      <c r="D152" s="22" t="s">
        <v>959</v>
      </c>
      <c r="E152" s="22" t="s">
        <v>402</v>
      </c>
      <c r="F152" s="22"/>
      <c r="G152" s="24">
        <f t="shared" ref="G152:G158" si="6">G151+1</f>
        <v>3</v>
      </c>
      <c r="H152" s="21" t="s">
        <v>960</v>
      </c>
      <c r="I152" s="22" t="str">
        <f>IF(MD_Expense[[#This Row],[Account Name]]="","",IFERROR(IF(SEARCH(MD_Expense[[#This Row],[Account Name]],ProblemData!$E$242)&gt;0,1,0),""))</f>
        <v/>
      </c>
      <c r="J152" s="5"/>
      <c r="K152" s="5"/>
      <c r="L152" s="41" t="str">
        <v>Rent Expense</v>
      </c>
    </row>
    <row r="153" spans="2:14" outlineLevel="1" x14ac:dyDescent="0.3">
      <c r="C153" s="21" t="s">
        <v>84</v>
      </c>
      <c r="D153" s="22" t="s">
        <v>961</v>
      </c>
      <c r="E153" s="22" t="s">
        <v>402</v>
      </c>
      <c r="F153" s="22"/>
      <c r="G153" s="24">
        <f t="shared" si="6"/>
        <v>4</v>
      </c>
      <c r="H153" s="21" t="s">
        <v>962</v>
      </c>
      <c r="I153" s="22">
        <f>IF(MD_Expense[[#This Row],[Account Name]]="","",IFERROR(IF(SEARCH(MD_Expense[[#This Row],[Account Name]],ProblemData!$E$242)&gt;0,1,0),""))</f>
        <v>1</v>
      </c>
      <c r="J153" s="5"/>
      <c r="K153" s="5"/>
      <c r="L153" s="41" t="str">
        <v>Bad Debts Expense</v>
      </c>
    </row>
    <row r="154" spans="2:14" outlineLevel="1" x14ac:dyDescent="0.3">
      <c r="C154" s="21" t="s">
        <v>621</v>
      </c>
      <c r="D154" s="22" t="s">
        <v>963</v>
      </c>
      <c r="E154" s="22" t="s">
        <v>402</v>
      </c>
      <c r="F154" s="22"/>
      <c r="G154" s="24">
        <f t="shared" si="6"/>
        <v>5</v>
      </c>
      <c r="H154" s="21" t="s">
        <v>964</v>
      </c>
      <c r="I154" s="22" t="str">
        <f>IF(MD_Expense[[#This Row],[Account Name]]="","",IFERROR(IF(SEARCH(MD_Expense[[#This Row],[Account Name]],ProblemData!$E$242)&gt;0,1,0),""))</f>
        <v/>
      </c>
      <c r="J154" s="5"/>
      <c r="K154" s="5"/>
      <c r="L154" s="41" t="str">
        <v>Salaries &amp; Wages Expense</v>
      </c>
    </row>
    <row r="155" spans="2:14" outlineLevel="1" x14ac:dyDescent="0.3">
      <c r="C155" s="21" t="s">
        <v>81</v>
      </c>
      <c r="D155" s="22" t="s">
        <v>965</v>
      </c>
      <c r="E155" s="22" t="s">
        <v>402</v>
      </c>
      <c r="F155" s="22"/>
      <c r="G155" s="24">
        <f t="shared" si="6"/>
        <v>6</v>
      </c>
      <c r="H155" s="21" t="s">
        <v>966</v>
      </c>
      <c r="I155" s="22">
        <f>IF(MD_Expense[[#This Row],[Account Name]]="","",IFERROR(IF(SEARCH(MD_Expense[[#This Row],[Account Name]],ProblemData!$E$242)&gt;0,1,0),""))</f>
        <v>1</v>
      </c>
      <c r="J155" s="5"/>
      <c r="K155" s="5"/>
      <c r="L155" s="41"/>
    </row>
    <row r="156" spans="2:14" outlineLevel="1" x14ac:dyDescent="0.3">
      <c r="C156" s="21" t="s">
        <v>83</v>
      </c>
      <c r="D156" s="22" t="s">
        <v>967</v>
      </c>
      <c r="E156" s="22" t="s">
        <v>402</v>
      </c>
      <c r="F156" s="22"/>
      <c r="G156" s="24">
        <f t="shared" si="6"/>
        <v>7</v>
      </c>
      <c r="H156" s="21" t="s">
        <v>968</v>
      </c>
      <c r="I156" s="22">
        <f>IF(MD_Expense[[#This Row],[Account Name]]="","",IFERROR(IF(SEARCH(MD_Expense[[#This Row],[Account Name]],ProblemData!$E$242)&gt;0,1,0),""))</f>
        <v>1</v>
      </c>
      <c r="J156" s="5"/>
      <c r="K156" s="5"/>
      <c r="L156" s="41"/>
    </row>
    <row r="157" spans="2:14" outlineLevel="1" x14ac:dyDescent="0.3">
      <c r="C157" s="21" t="s">
        <v>78</v>
      </c>
      <c r="D157" s="22" t="s">
        <v>969</v>
      </c>
      <c r="E157" s="22" t="s">
        <v>402</v>
      </c>
      <c r="F157" s="22"/>
      <c r="G157" s="24">
        <f t="shared" si="6"/>
        <v>8</v>
      </c>
      <c r="H157" s="21" t="s">
        <v>970</v>
      </c>
      <c r="I157" s="22">
        <f>IF(MD_Expense[[#This Row],[Account Name]]="","",IFERROR(IF(SEARCH(MD_Expense[[#This Row],[Account Name]],ProblemData!$E$242)&gt;0,1,0),""))</f>
        <v>1</v>
      </c>
      <c r="J157" s="5"/>
      <c r="K157" s="5"/>
      <c r="L157" s="41"/>
    </row>
    <row r="158" spans="2:14" outlineLevel="1" x14ac:dyDescent="0.3">
      <c r="C158" s="21" t="s">
        <v>79</v>
      </c>
      <c r="D158" s="22" t="s">
        <v>971</v>
      </c>
      <c r="E158" s="22" t="s">
        <v>402</v>
      </c>
      <c r="F158" s="22"/>
      <c r="G158" s="24">
        <f t="shared" si="6"/>
        <v>9</v>
      </c>
      <c r="H158" s="21" t="s">
        <v>972</v>
      </c>
      <c r="I158" s="22">
        <f>IF(MD_Expense[[#This Row],[Account Name]]="","",IFERROR(IF(SEARCH(MD_Expense[[#This Row],[Account Name]],ProblemData!$E$242)&gt;0,1,0),""))</f>
        <v>1</v>
      </c>
      <c r="J158" s="5"/>
      <c r="K158" s="5"/>
      <c r="L158" s="41"/>
    </row>
    <row r="159" spans="2:14" outlineLevel="1" x14ac:dyDescent="0.3">
      <c r="C159" s="21" t="s">
        <v>634</v>
      </c>
      <c r="D159" s="22" t="s">
        <v>973</v>
      </c>
      <c r="E159" s="22" t="s">
        <v>402</v>
      </c>
      <c r="F159" s="22"/>
      <c r="G159" s="24">
        <f t="shared" ref="G159:G162" si="7">G158+1</f>
        <v>10</v>
      </c>
      <c r="H159" s="21" t="s">
        <v>974</v>
      </c>
      <c r="I159" s="22" t="str">
        <f>IF(MD_Expense[[#This Row],[Account Name]]="","",IFERROR(IF(SEARCH(MD_Expense[[#This Row],[Account Name]],ProblemData!$E$242)&gt;0,1,0),""))</f>
        <v/>
      </c>
      <c r="J159" s="5"/>
      <c r="K159" s="5"/>
      <c r="L159" s="41"/>
    </row>
    <row r="160" spans="2:14" outlineLevel="1" x14ac:dyDescent="0.3">
      <c r="C160" s="21" t="s">
        <v>638</v>
      </c>
      <c r="D160" s="22" t="s">
        <v>975</v>
      </c>
      <c r="E160" s="22" t="s">
        <v>402</v>
      </c>
      <c r="F160" s="22"/>
      <c r="G160" s="24">
        <f t="shared" si="7"/>
        <v>11</v>
      </c>
      <c r="H160" s="21" t="s">
        <v>976</v>
      </c>
      <c r="I160" s="22" t="str">
        <f>IF(MD_Expense[[#This Row],[Account Name]]="","",IFERROR(IF(SEARCH(MD_Expense[[#This Row],[Account Name]],ProblemData!$E$242)&gt;0,1,0),""))</f>
        <v/>
      </c>
      <c r="L160" s="41"/>
    </row>
    <row r="161" spans="3:12" outlineLevel="1" x14ac:dyDescent="0.3">
      <c r="C161" s="21"/>
      <c r="D161" s="22"/>
      <c r="E161" s="22"/>
      <c r="F161" s="22"/>
      <c r="G161" s="24">
        <f t="shared" si="7"/>
        <v>12</v>
      </c>
      <c r="H161" s="21"/>
      <c r="I161" s="22" t="str">
        <f>IF(MD_Expense[[#This Row],[Account Name]]="","",IFERROR(IF(SEARCH(MD_Expense[[#This Row],[Account Name]],ProblemData!$E$242)&gt;0,1,0),""))</f>
        <v/>
      </c>
      <c r="L161" s="41"/>
    </row>
    <row r="162" spans="3:12" outlineLevel="1" x14ac:dyDescent="0.3">
      <c r="C162" s="21"/>
      <c r="D162" s="22"/>
      <c r="E162" s="22"/>
      <c r="F162" s="22"/>
      <c r="G162" s="24">
        <f t="shared" si="7"/>
        <v>13</v>
      </c>
      <c r="H162" s="21"/>
      <c r="I162" s="22" t="str">
        <f>IF(MD_Expense[[#This Row],[Account Name]]="","",IFERROR(IF(SEARCH(MD_Expense[[#This Row],[Account Name]],ProblemData!$E$242)&gt;0,1,0),""))</f>
        <v/>
      </c>
      <c r="L162" s="41"/>
    </row>
    <row r="163" spans="3:12" outlineLevel="1" x14ac:dyDescent="0.3">
      <c r="C163" s="21"/>
      <c r="D163" s="22"/>
      <c r="E163" s="22"/>
      <c r="F163" s="22"/>
      <c r="G163" s="24">
        <f t="shared" ref="G163" si="8">G162+1</f>
        <v>14</v>
      </c>
      <c r="H163" s="21"/>
      <c r="I163" s="22" t="str">
        <f>IF(MD_Expense[[#This Row],[Account Name]]="","",IFERROR(IF(SEARCH(MD_Expense[[#This Row],[Account Name]],ProblemData!$E$242)&gt;0,1,0),""))</f>
        <v/>
      </c>
      <c r="L163" s="41"/>
    </row>
    <row r="164" spans="3:12" outlineLevel="1" x14ac:dyDescent="0.3">
      <c r="C164" s="60"/>
      <c r="D164" s="61"/>
      <c r="E164" s="61"/>
      <c r="F164" s="61"/>
      <c r="G164" s="62">
        <f>G163+1</f>
        <v>15</v>
      </c>
      <c r="H164" s="60"/>
      <c r="I164" s="1" t="str">
        <f>IF(MD_Expense[[#This Row],[Account Name]]="","",IFERROR(IF(SEARCH(MD_Expense[[#This Row],[Account Name]],ProblemData!$E$242)&gt;0,1,0),""))</f>
        <v/>
      </c>
      <c r="L164" s="41"/>
    </row>
    <row r="165" spans="3:12" outlineLevel="1" x14ac:dyDescent="0.3">
      <c r="C165" s="60"/>
      <c r="D165" s="61"/>
      <c r="E165" s="61"/>
      <c r="F165" s="61"/>
      <c r="G165" s="62">
        <f>G164+1</f>
        <v>16</v>
      </c>
      <c r="H165" s="60"/>
      <c r="I165" s="1" t="str">
        <f>IF(MD_Expense[[#This Row],[Account Name]]="","",IFERROR(IF(SEARCH(MD_Expense[[#This Row],[Account Name]],ProblemData!$E$242)&gt;0,1,0),""))</f>
        <v/>
      </c>
      <c r="L165" s="41"/>
    </row>
    <row r="166" spans="3:12" outlineLevel="1" x14ac:dyDescent="0.3">
      <c r="C166" s="60"/>
      <c r="D166" s="61"/>
      <c r="E166" s="61"/>
      <c r="F166" s="61"/>
      <c r="G166" s="62">
        <f>G165+1</f>
        <v>17</v>
      </c>
      <c r="H166" s="60"/>
      <c r="I166" t="str">
        <f>IF(MD_Expense[[#This Row],[Account Name]]="","",IFERROR(IF(SEARCH(MD_Expense[[#This Row],[Account Name]],ProblemData!$E$242)&gt;0,1,0),""))</f>
        <v/>
      </c>
      <c r="L166" s="101"/>
    </row>
    <row r="167" spans="3:12" outlineLevel="1" x14ac:dyDescent="0.3">
      <c r="C167" s="5"/>
    </row>
    <row r="168" spans="3:12" outlineLevel="1" x14ac:dyDescent="0.3">
      <c r="C168" s="5"/>
    </row>
    <row r="169" spans="3:12" ht="15.6" outlineLevel="1" x14ac:dyDescent="0.3">
      <c r="C169" s="798" t="s">
        <v>45</v>
      </c>
      <c r="D169" s="798"/>
      <c r="E169" s="798"/>
      <c r="F169" s="798"/>
      <c r="G169" s="798"/>
      <c r="H169" s="798"/>
      <c r="I169" s="798"/>
    </row>
    <row r="170" spans="3:12" outlineLevel="1" x14ac:dyDescent="0.3">
      <c r="C170" s="23" t="s">
        <v>352</v>
      </c>
      <c r="D170" s="23" t="s">
        <v>424</v>
      </c>
      <c r="E170" s="23" t="s">
        <v>543</v>
      </c>
      <c r="F170" s="23" t="s">
        <v>839</v>
      </c>
      <c r="G170" s="23" t="s">
        <v>544</v>
      </c>
      <c r="H170" s="23" t="s">
        <v>353</v>
      </c>
      <c r="I170" s="59" t="s">
        <v>585</v>
      </c>
      <c r="L170" s="106" t="s">
        <v>977</v>
      </c>
    </row>
    <row r="171" spans="3:12" outlineLevel="1" x14ac:dyDescent="0.3">
      <c r="C171" s="68"/>
      <c r="D171" s="68"/>
      <c r="E171" s="68"/>
      <c r="F171" s="68"/>
      <c r="G171" s="69"/>
      <c r="H171" s="68"/>
      <c r="I171" s="68" t="str">
        <f>IF(MD_Gain[[#This Row],[Account Name]]="","",IFERROR(IF(SEARCH(MD_Gain[[#This Row],[Account Name]],ProblemData!$E$242)&gt;0,1,0),""))</f>
        <v/>
      </c>
      <c r="J171" s="11" t="s">
        <v>844</v>
      </c>
      <c r="L171" s="42" t="str" cm="1">
        <f t="array" ref="L171">IFERROR(_xlfn._xlws.FILTER(MD_Gain[[#All],[Account Name]],MD_Gain[[#All],[Used]]=1),"")</f>
        <v/>
      </c>
    </row>
    <row r="172" spans="3:12" outlineLevel="1" x14ac:dyDescent="0.3">
      <c r="C172" s="21" t="s">
        <v>594</v>
      </c>
      <c r="D172" s="22" t="s">
        <v>978</v>
      </c>
      <c r="E172" s="22" t="s">
        <v>401</v>
      </c>
      <c r="F172" s="22"/>
      <c r="G172" s="24">
        <v>1</v>
      </c>
      <c r="H172" s="21" t="s">
        <v>979</v>
      </c>
      <c r="I172" s="22" t="str">
        <f>IF(MD_Gain[[#This Row],[Account Name]]="","",IFERROR(IF(SEARCH(MD_Gain[[#This Row],[Account Name]],ProblemData!$E$242)&gt;0,1,0),""))</f>
        <v/>
      </c>
      <c r="L172" s="41"/>
    </row>
    <row r="173" spans="3:12" outlineLevel="1" x14ac:dyDescent="0.3">
      <c r="C173" s="21" t="s">
        <v>597</v>
      </c>
      <c r="D173" s="22" t="s">
        <v>980</v>
      </c>
      <c r="E173" s="22" t="s">
        <v>401</v>
      </c>
      <c r="F173" s="22"/>
      <c r="G173" s="24">
        <f>G172+1</f>
        <v>2</v>
      </c>
      <c r="H173" s="21" t="s">
        <v>981</v>
      </c>
      <c r="I173" s="22" t="str">
        <f>IF(MD_Gain[[#This Row],[Account Name]]="","",IFERROR(IF(SEARCH(MD_Gain[[#This Row],[Account Name]],ProblemData!$E$242)&gt;0,1,0),""))</f>
        <v/>
      </c>
      <c r="L173" s="41"/>
    </row>
    <row r="174" spans="3:12" outlineLevel="1" x14ac:dyDescent="0.3">
      <c r="C174" s="21" t="s">
        <v>601</v>
      </c>
      <c r="D174" s="22" t="s">
        <v>982</v>
      </c>
      <c r="E174" s="22" t="s">
        <v>401</v>
      </c>
      <c r="F174" s="22"/>
      <c r="G174" s="24">
        <f t="shared" ref="G174:G180" si="9">G173+1</f>
        <v>3</v>
      </c>
      <c r="H174" s="21" t="s">
        <v>983</v>
      </c>
      <c r="I174" s="22" t="str">
        <f>IF(MD_Gain[[#This Row],[Account Name]]="","",IFERROR(IF(SEARCH(MD_Gain[[#This Row],[Account Name]],ProblemData!$E$242)&gt;0,1,0),""))</f>
        <v/>
      </c>
      <c r="L174" s="41"/>
    </row>
    <row r="175" spans="3:12" outlineLevel="1" x14ac:dyDescent="0.3">
      <c r="C175" s="21" t="s">
        <v>603</v>
      </c>
      <c r="D175" s="22" t="s">
        <v>984</v>
      </c>
      <c r="E175" s="22" t="s">
        <v>401</v>
      </c>
      <c r="F175" s="22"/>
      <c r="G175" s="24">
        <f t="shared" si="9"/>
        <v>4</v>
      </c>
      <c r="H175" s="21" t="s">
        <v>985</v>
      </c>
      <c r="I175" s="22" t="str">
        <f>IF(MD_Gain[[#This Row],[Account Name]]="","",IFERROR(IF(SEARCH(MD_Gain[[#This Row],[Account Name]],ProblemData!$E$242)&gt;0,1,0),""))</f>
        <v/>
      </c>
      <c r="L175" s="41"/>
    </row>
    <row r="176" spans="3:12" outlineLevel="1" x14ac:dyDescent="0.3">
      <c r="C176" s="21" t="s">
        <v>606</v>
      </c>
      <c r="D176" s="22" t="s">
        <v>986</v>
      </c>
      <c r="E176" s="22" t="s">
        <v>401</v>
      </c>
      <c r="F176" s="22"/>
      <c r="G176" s="24">
        <f t="shared" si="9"/>
        <v>5</v>
      </c>
      <c r="H176" s="21" t="s">
        <v>987</v>
      </c>
      <c r="I176" s="22" t="str">
        <f>IF(MD_Gain[[#This Row],[Account Name]]="","",IFERROR(IF(SEARCH(MD_Gain[[#This Row],[Account Name]],ProblemData!$E$242)&gt;0,1,0),""))</f>
        <v/>
      </c>
      <c r="L176" s="41"/>
    </row>
    <row r="177" spans="3:12" outlineLevel="1" x14ac:dyDescent="0.3">
      <c r="C177" s="21"/>
      <c r="D177" s="22"/>
      <c r="E177" s="22"/>
      <c r="F177" s="22"/>
      <c r="G177" s="24">
        <f t="shared" si="9"/>
        <v>6</v>
      </c>
      <c r="H177" s="21"/>
      <c r="I177" s="22" t="str">
        <f>IF(MD_Gain[[#This Row],[Account Name]]="","",IFERROR(IF(SEARCH(MD_Gain[[#This Row],[Account Name]],ProblemData!$E$242)&gt;0,1,0),""))</f>
        <v/>
      </c>
      <c r="L177" s="41"/>
    </row>
    <row r="178" spans="3:12" outlineLevel="1" x14ac:dyDescent="0.3">
      <c r="C178" s="21"/>
      <c r="D178" s="22"/>
      <c r="E178" s="22"/>
      <c r="F178" s="22"/>
      <c r="G178" s="24">
        <f t="shared" si="9"/>
        <v>7</v>
      </c>
      <c r="H178" s="21"/>
      <c r="I178" s="22" t="str">
        <f>IF(MD_Gain[[#This Row],[Account Name]]="","",IFERROR(IF(SEARCH(MD_Gain[[#This Row],[Account Name]],ProblemData!$E$242)&gt;0,1,0),""))</f>
        <v/>
      </c>
      <c r="L178" s="41"/>
    </row>
    <row r="179" spans="3:12" outlineLevel="1" x14ac:dyDescent="0.3">
      <c r="C179" s="21"/>
      <c r="D179" s="22"/>
      <c r="E179" s="22"/>
      <c r="F179" s="22"/>
      <c r="G179" s="24">
        <f t="shared" si="9"/>
        <v>8</v>
      </c>
      <c r="H179" s="21"/>
      <c r="I179" s="22" t="str">
        <f>IF(MD_Gain[[#This Row],[Account Name]]="","",IFERROR(IF(SEARCH(MD_Gain[[#This Row],[Account Name]],ProblemData!$E$242)&gt;0,1,0),""))</f>
        <v/>
      </c>
      <c r="L179" s="41"/>
    </row>
    <row r="180" spans="3:12" outlineLevel="1" x14ac:dyDescent="0.3">
      <c r="C180" s="21"/>
      <c r="D180" s="22"/>
      <c r="E180" s="22"/>
      <c r="F180" s="22"/>
      <c r="G180" s="24">
        <f t="shared" si="9"/>
        <v>9</v>
      </c>
      <c r="H180" s="21"/>
      <c r="I180" s="22" t="str">
        <f>IF(MD_Gain[[#This Row],[Account Name]]="","",IFERROR(IF(SEARCH(MD_Gain[[#This Row],[Account Name]],ProblemData!$E$242)&gt;0,1,0),""))</f>
        <v/>
      </c>
      <c r="L180" s="101"/>
    </row>
    <row r="181" spans="3:12" outlineLevel="1" x14ac:dyDescent="0.3"/>
    <row r="182" spans="3:12" outlineLevel="1" x14ac:dyDescent="0.3"/>
    <row r="183" spans="3:12" ht="15.6" outlineLevel="1" x14ac:dyDescent="0.3">
      <c r="C183" s="798" t="s">
        <v>729</v>
      </c>
      <c r="D183" s="798"/>
      <c r="E183" s="798"/>
      <c r="F183" s="798"/>
      <c r="G183" s="798"/>
      <c r="H183" s="798"/>
      <c r="I183" s="798"/>
    </row>
    <row r="184" spans="3:12" outlineLevel="1" x14ac:dyDescent="0.3">
      <c r="C184" s="23" t="s">
        <v>352</v>
      </c>
      <c r="D184" s="23" t="s">
        <v>424</v>
      </c>
      <c r="E184" s="23" t="s">
        <v>543</v>
      </c>
      <c r="F184" s="23" t="s">
        <v>839</v>
      </c>
      <c r="G184" s="23" t="s">
        <v>544</v>
      </c>
      <c r="H184" s="23" t="s">
        <v>353</v>
      </c>
      <c r="I184" s="59" t="s">
        <v>585</v>
      </c>
      <c r="L184" s="106" t="s">
        <v>988</v>
      </c>
    </row>
    <row r="185" spans="3:12" outlineLevel="1" x14ac:dyDescent="0.3">
      <c r="C185" s="68"/>
      <c r="D185" s="68"/>
      <c r="E185" s="68"/>
      <c r="F185" s="68"/>
      <c r="G185" s="69"/>
      <c r="H185" s="68"/>
      <c r="I185" s="68" t="str">
        <f>IF(MD_Loss[[#This Row],[Account Name]]="","",IFERROR(IF(SEARCH(MD_Loss[[#This Row],[Account Name]],ProblemData!$E$242)&gt;0,1,0),""))</f>
        <v/>
      </c>
      <c r="J185" s="11" t="s">
        <v>844</v>
      </c>
      <c r="L185" s="42" t="str" cm="1">
        <f t="array" ref="L185">IFERROR(_xlfn._xlws.FILTER(MD_Loss[[#All],[Account Name]],MD_Loss[[#All],[Used]]=1),"")</f>
        <v/>
      </c>
    </row>
    <row r="186" spans="3:12" outlineLevel="1" x14ac:dyDescent="0.3">
      <c r="C186" s="21" t="s">
        <v>614</v>
      </c>
      <c r="D186" s="22" t="s">
        <v>989</v>
      </c>
      <c r="E186" s="22" t="s">
        <v>402</v>
      </c>
      <c r="F186" s="22"/>
      <c r="G186" s="24">
        <v>1</v>
      </c>
      <c r="H186" s="21" t="s">
        <v>990</v>
      </c>
      <c r="I186" s="22" t="str">
        <f>IF(MD_Loss[[#This Row],[Account Name]]="","",IFERROR(IF(SEARCH(MD_Loss[[#This Row],[Account Name]],ProblemData!$E$242)&gt;0,1,0),""))</f>
        <v/>
      </c>
      <c r="L186" s="41"/>
    </row>
    <row r="187" spans="3:12" outlineLevel="1" x14ac:dyDescent="0.3">
      <c r="C187" s="21" t="s">
        <v>618</v>
      </c>
      <c r="D187" s="22" t="s">
        <v>991</v>
      </c>
      <c r="E187" s="22" t="s">
        <v>402</v>
      </c>
      <c r="F187" s="22"/>
      <c r="G187" s="24">
        <f>G186+1</f>
        <v>2</v>
      </c>
      <c r="H187" s="21" t="s">
        <v>992</v>
      </c>
      <c r="I187" s="22" t="str">
        <f>IF(MD_Loss[[#This Row],[Account Name]]="","",IFERROR(IF(SEARCH(MD_Loss[[#This Row],[Account Name]],ProblemData!$E$242)&gt;0,1,0),""))</f>
        <v/>
      </c>
      <c r="L187" s="41"/>
    </row>
    <row r="188" spans="3:12" outlineLevel="1" x14ac:dyDescent="0.3">
      <c r="C188" s="21" t="s">
        <v>620</v>
      </c>
      <c r="D188" s="22" t="s">
        <v>993</v>
      </c>
      <c r="E188" s="22" t="s">
        <v>402</v>
      </c>
      <c r="F188" s="22"/>
      <c r="G188" s="24">
        <f t="shared" ref="G188:G194" si="10">G187+1</f>
        <v>3</v>
      </c>
      <c r="H188" s="21" t="s">
        <v>994</v>
      </c>
      <c r="I188" s="22" t="str">
        <f>IF(MD_Loss[[#This Row],[Account Name]]="","",IFERROR(IF(SEARCH(MD_Loss[[#This Row],[Account Name]],ProblemData!$E$242)&gt;0,1,0),""))</f>
        <v/>
      </c>
      <c r="L188" s="41"/>
    </row>
    <row r="189" spans="3:12" outlineLevel="1" x14ac:dyDescent="0.3">
      <c r="C189" s="21" t="s">
        <v>624</v>
      </c>
      <c r="D189" s="22" t="s">
        <v>995</v>
      </c>
      <c r="E189" s="22" t="s">
        <v>402</v>
      </c>
      <c r="F189" s="22"/>
      <c r="G189" s="24">
        <f t="shared" si="10"/>
        <v>4</v>
      </c>
      <c r="H189" s="21" t="s">
        <v>985</v>
      </c>
      <c r="I189" s="22" t="str">
        <f>IF(MD_Loss[[#This Row],[Account Name]]="","",IFERROR(IF(SEARCH(MD_Loss[[#This Row],[Account Name]],ProblemData!$E$242)&gt;0,1,0),""))</f>
        <v/>
      </c>
      <c r="L189" s="41"/>
    </row>
    <row r="190" spans="3:12" outlineLevel="1" x14ac:dyDescent="0.3">
      <c r="C190" s="21" t="s">
        <v>627</v>
      </c>
      <c r="D190" s="22" t="s">
        <v>996</v>
      </c>
      <c r="E190" s="22" t="s">
        <v>402</v>
      </c>
      <c r="F190" s="22"/>
      <c r="G190" s="24">
        <f t="shared" si="10"/>
        <v>5</v>
      </c>
      <c r="H190" s="21" t="s">
        <v>997</v>
      </c>
      <c r="I190" s="22" t="str">
        <f>IF(MD_Loss[[#This Row],[Account Name]]="","",IFERROR(IF(SEARCH(MD_Loss[[#This Row],[Account Name]],ProblemData!$E$242)&gt;0,1,0),""))</f>
        <v/>
      </c>
      <c r="L190" s="41"/>
    </row>
    <row r="191" spans="3:12" outlineLevel="1" x14ac:dyDescent="0.3">
      <c r="C191" s="21"/>
      <c r="D191" s="22"/>
      <c r="E191" s="22"/>
      <c r="F191" s="22"/>
      <c r="G191" s="24">
        <f t="shared" si="10"/>
        <v>6</v>
      </c>
      <c r="H191" s="21"/>
      <c r="I191" s="22" t="str">
        <f>IF(MD_Loss[[#This Row],[Account Name]]="","",IFERROR(IF(SEARCH(MD_Loss[[#This Row],[Account Name]],ProblemData!$E$242)&gt;0,1,0),""))</f>
        <v/>
      </c>
      <c r="L191" s="41"/>
    </row>
    <row r="192" spans="3:12" outlineLevel="1" x14ac:dyDescent="0.3">
      <c r="C192" s="21"/>
      <c r="D192" s="22"/>
      <c r="E192" s="22"/>
      <c r="F192" s="22"/>
      <c r="G192" s="24">
        <f t="shared" si="10"/>
        <v>7</v>
      </c>
      <c r="H192" s="21"/>
      <c r="I192" s="22" t="str">
        <f>IF(MD_Loss[[#This Row],[Account Name]]="","",IFERROR(IF(SEARCH(MD_Loss[[#This Row],[Account Name]],ProblemData!$E$242)&gt;0,1,0),""))</f>
        <v/>
      </c>
      <c r="L192" s="41"/>
    </row>
    <row r="193" spans="2:14" outlineLevel="1" x14ac:dyDescent="0.3">
      <c r="C193" s="21"/>
      <c r="D193" s="22"/>
      <c r="E193" s="22"/>
      <c r="F193" s="22"/>
      <c r="G193" s="24">
        <f t="shared" si="10"/>
        <v>8</v>
      </c>
      <c r="H193" s="21"/>
      <c r="I193" s="22" t="str">
        <f>IF(MD_Loss[[#This Row],[Account Name]]="","",IFERROR(IF(SEARCH(MD_Loss[[#This Row],[Account Name]],ProblemData!$E$242)&gt;0,1,0),""))</f>
        <v/>
      </c>
      <c r="L193" s="41"/>
    </row>
    <row r="194" spans="2:14" outlineLevel="1" x14ac:dyDescent="0.3">
      <c r="C194" s="21"/>
      <c r="D194" s="22"/>
      <c r="E194" s="22"/>
      <c r="F194" s="22"/>
      <c r="G194" s="24">
        <f t="shared" si="10"/>
        <v>9</v>
      </c>
      <c r="H194" s="21"/>
      <c r="I194" s="22" t="str">
        <f>IF(MD_Loss[[#This Row],[Account Name]]="","",IFERROR(IF(SEARCH(MD_Loss[[#This Row],[Account Name]],ProblemData!$E$242)&gt;0,1,0),""))</f>
        <v/>
      </c>
      <c r="L194" s="101"/>
    </row>
    <row r="195" spans="2:14" outlineLevel="1" x14ac:dyDescent="0.3"/>
    <row r="197" spans="2:14" ht="17.399999999999999" x14ac:dyDescent="0.3">
      <c r="B197" s="17" t="s">
        <v>998</v>
      </c>
      <c r="C197" s="18"/>
      <c r="D197" s="18"/>
      <c r="E197" s="18"/>
      <c r="F197" s="18"/>
      <c r="G197" s="18"/>
      <c r="H197" s="18"/>
      <c r="I197" s="18"/>
      <c r="J197" s="18"/>
      <c r="K197" s="18"/>
      <c r="L197" s="18"/>
      <c r="M197" s="18"/>
      <c r="N197" s="18"/>
    </row>
    <row r="198" spans="2:14" hidden="1" outlineLevel="1" x14ac:dyDescent="0.3"/>
    <row r="199" spans="2:14" hidden="1" outlineLevel="1" x14ac:dyDescent="0.3">
      <c r="C199" s="107" t="s">
        <v>786</v>
      </c>
      <c r="E199" t="str">
        <f>"CashFlow_Codes[Cash Flow Code]"</f>
        <v>CashFlow_Codes[Cash Flow Code]</v>
      </c>
    </row>
    <row r="200" spans="2:14" hidden="1" outlineLevel="1" x14ac:dyDescent="0.3">
      <c r="C200" s="1" t="s">
        <v>517</v>
      </c>
    </row>
    <row r="201" spans="2:14" hidden="1" outlineLevel="1" x14ac:dyDescent="0.3">
      <c r="C201" s="1" t="s">
        <v>398</v>
      </c>
    </row>
    <row r="202" spans="2:14" hidden="1" outlineLevel="1" x14ac:dyDescent="0.3">
      <c r="C202" s="1" t="s">
        <v>394</v>
      </c>
    </row>
    <row r="203" spans="2:14" hidden="1" outlineLevel="1" x14ac:dyDescent="0.3">
      <c r="C203" s="1" t="s">
        <v>395</v>
      </c>
    </row>
    <row r="204" spans="2:14" hidden="1" outlineLevel="1" x14ac:dyDescent="0.3">
      <c r="C204" s="1" t="s">
        <v>791</v>
      </c>
    </row>
    <row r="205" spans="2:14" hidden="1" outlineLevel="1" x14ac:dyDescent="0.3">
      <c r="C205" s="1" t="s">
        <v>790</v>
      </c>
    </row>
    <row r="206" spans="2:14" hidden="1" outlineLevel="1" x14ac:dyDescent="0.3">
      <c r="C206" s="1" t="s">
        <v>788</v>
      </c>
    </row>
    <row r="207" spans="2:14" hidden="1" outlineLevel="1" x14ac:dyDescent="0.3">
      <c r="C207" s="1" t="s">
        <v>999</v>
      </c>
    </row>
    <row r="208" spans="2:14" hidden="1" outlineLevel="1" x14ac:dyDescent="0.3">
      <c r="C208" s="1" t="s">
        <v>396</v>
      </c>
    </row>
    <row r="209" spans="3:6" hidden="1" outlineLevel="1" x14ac:dyDescent="0.3"/>
    <row r="210" spans="3:6" hidden="1" outlineLevel="1" x14ac:dyDescent="0.3"/>
    <row r="211" spans="3:6" hidden="1" outlineLevel="1" x14ac:dyDescent="0.3">
      <c r="C211" s="672" t="s">
        <v>1000</v>
      </c>
      <c r="D211" s="672"/>
      <c r="E211" s="672"/>
    </row>
    <row r="212" spans="3:6" hidden="1" outlineLevel="1" x14ac:dyDescent="0.3">
      <c r="C212" s="115" t="s">
        <v>50</v>
      </c>
      <c r="D212" s="116" t="s">
        <v>1001</v>
      </c>
      <c r="E212" s="116" t="s">
        <v>424</v>
      </c>
    </row>
    <row r="213" spans="3:6" hidden="1" outlineLevel="1" x14ac:dyDescent="0.3">
      <c r="C213" s="2" t="s">
        <v>517</v>
      </c>
      <c r="D213" s="7" t="s">
        <v>505</v>
      </c>
      <c r="E213" s="7"/>
    </row>
    <row r="214" spans="3:6" hidden="1" outlineLevel="1" x14ac:dyDescent="0.3">
      <c r="C214" s="3" t="s">
        <v>524</v>
      </c>
      <c r="D214" s="8" t="s">
        <v>505</v>
      </c>
      <c r="E214" s="8" t="s">
        <v>535</v>
      </c>
    </row>
    <row r="215" spans="3:6" hidden="1" outlineLevel="1" x14ac:dyDescent="0.3"/>
    <row r="216" spans="3:6" hidden="1" outlineLevel="1" x14ac:dyDescent="0.3"/>
    <row r="217" spans="3:6" hidden="1" outlineLevel="1" x14ac:dyDescent="0.3">
      <c r="C217" s="797" t="s">
        <v>394</v>
      </c>
      <c r="D217" s="797"/>
      <c r="E217" s="797"/>
      <c r="F217" s="171"/>
    </row>
    <row r="218" spans="3:6" hidden="1" outlineLevel="1" x14ac:dyDescent="0.3">
      <c r="C218" s="115" t="s">
        <v>50</v>
      </c>
      <c r="D218" s="116" t="s">
        <v>1001</v>
      </c>
      <c r="E218" s="116" t="s">
        <v>424</v>
      </c>
      <c r="F218" s="352" t="s">
        <v>585</v>
      </c>
    </row>
    <row r="219" spans="3:6" hidden="1" outlineLevel="1" x14ac:dyDescent="0.3">
      <c r="C219" s="2" t="s">
        <v>115</v>
      </c>
      <c r="D219" s="7" t="s">
        <v>504</v>
      </c>
      <c r="E219" s="7" t="s">
        <v>529</v>
      </c>
      <c r="F219" s="184"/>
    </row>
    <row r="220" spans="3:6" hidden="1" outlineLevel="1" x14ac:dyDescent="0.3">
      <c r="C220" s="3" t="s">
        <v>121</v>
      </c>
      <c r="D220" s="8" t="s">
        <v>504</v>
      </c>
      <c r="E220" s="8" t="s">
        <v>527</v>
      </c>
    </row>
    <row r="221" spans="3:6" hidden="1" outlineLevel="1" x14ac:dyDescent="0.3">
      <c r="C221" s="2" t="s">
        <v>1002</v>
      </c>
      <c r="D221" s="7" t="s">
        <v>504</v>
      </c>
      <c r="E221" s="7" t="s">
        <v>1003</v>
      </c>
    </row>
    <row r="222" spans="3:6" hidden="1" outlineLevel="1" x14ac:dyDescent="0.3">
      <c r="C222" s="3" t="s">
        <v>632</v>
      </c>
      <c r="D222" s="8" t="s">
        <v>504</v>
      </c>
      <c r="E222" s="8" t="s">
        <v>1004</v>
      </c>
    </row>
    <row r="223" spans="3:6" hidden="1" outlineLevel="1" x14ac:dyDescent="0.3">
      <c r="C223" s="2" t="s">
        <v>639</v>
      </c>
      <c r="D223" s="7" t="s">
        <v>504</v>
      </c>
      <c r="E223" s="7" t="s">
        <v>1005</v>
      </c>
    </row>
    <row r="224" spans="3:6" hidden="1" outlineLevel="1" x14ac:dyDescent="0.3">
      <c r="C224" s="3" t="s">
        <v>1006</v>
      </c>
      <c r="D224" s="8" t="s">
        <v>504</v>
      </c>
      <c r="E224" s="8" t="s">
        <v>1007</v>
      </c>
    </row>
    <row r="225" spans="3:6" hidden="1" outlineLevel="1" x14ac:dyDescent="0.3">
      <c r="C225" s="2" t="s">
        <v>1008</v>
      </c>
      <c r="D225" s="7" t="s">
        <v>504</v>
      </c>
      <c r="E225" s="7" t="s">
        <v>1009</v>
      </c>
    </row>
    <row r="226" spans="3:6" hidden="1" outlineLevel="1" x14ac:dyDescent="0.3">
      <c r="C226" s="3" t="s">
        <v>1010</v>
      </c>
      <c r="D226" s="8" t="s">
        <v>504</v>
      </c>
      <c r="E226" s="8" t="s">
        <v>1011</v>
      </c>
    </row>
    <row r="227" spans="3:6" hidden="1" outlineLevel="1" x14ac:dyDescent="0.3">
      <c r="C227" s="2" t="s">
        <v>1012</v>
      </c>
      <c r="D227" s="7" t="s">
        <v>504</v>
      </c>
      <c r="E227" s="7" t="s">
        <v>1013</v>
      </c>
    </row>
    <row r="228" spans="3:6" hidden="1" outlineLevel="1" x14ac:dyDescent="0.3">
      <c r="C228" s="3" t="s">
        <v>1014</v>
      </c>
      <c r="D228" s="8" t="s">
        <v>504</v>
      </c>
      <c r="E228" s="8" t="s">
        <v>1015</v>
      </c>
    </row>
    <row r="229" spans="3:6" hidden="1" outlineLevel="1" x14ac:dyDescent="0.3">
      <c r="C229" s="2"/>
      <c r="D229" s="7"/>
      <c r="E229" s="7"/>
    </row>
    <row r="230" spans="3:6" hidden="1" outlineLevel="1" x14ac:dyDescent="0.3">
      <c r="C230" s="3"/>
      <c r="D230" s="8"/>
      <c r="E230" s="8"/>
    </row>
    <row r="231" spans="3:6" hidden="1" outlineLevel="1" x14ac:dyDescent="0.3">
      <c r="C231" s="2"/>
      <c r="D231" s="7"/>
      <c r="E231" s="7"/>
    </row>
    <row r="232" spans="3:6" hidden="1" outlineLevel="1" x14ac:dyDescent="0.3">
      <c r="C232" s="3"/>
      <c r="D232" s="8"/>
      <c r="E232" s="8"/>
    </row>
    <row r="233" spans="3:6" hidden="1" outlineLevel="1" x14ac:dyDescent="0.3"/>
    <row r="234" spans="3:6" hidden="1" outlineLevel="1" x14ac:dyDescent="0.3"/>
    <row r="235" spans="3:6" hidden="1" outlineLevel="1" x14ac:dyDescent="0.3"/>
    <row r="236" spans="3:6" hidden="1" outlineLevel="1" x14ac:dyDescent="0.3">
      <c r="C236" s="797" t="s">
        <v>395</v>
      </c>
      <c r="D236" s="797"/>
      <c r="E236" s="797"/>
      <c r="F236" s="171"/>
    </row>
    <row r="237" spans="3:6" hidden="1" outlineLevel="1" x14ac:dyDescent="0.3">
      <c r="C237" s="115" t="s">
        <v>50</v>
      </c>
      <c r="D237" s="116" t="s">
        <v>1001</v>
      </c>
      <c r="E237" s="116" t="s">
        <v>424</v>
      </c>
      <c r="F237" s="352" t="s">
        <v>585</v>
      </c>
    </row>
    <row r="238" spans="3:6" hidden="1" outlineLevel="1" x14ac:dyDescent="0.3">
      <c r="C238" s="2" t="s">
        <v>126</v>
      </c>
      <c r="D238" s="7" t="s">
        <v>504</v>
      </c>
      <c r="E238" s="7" t="s">
        <v>526</v>
      </c>
    </row>
    <row r="239" spans="3:6" hidden="1" outlineLevel="1" x14ac:dyDescent="0.3">
      <c r="C239" s="3" t="s">
        <v>591</v>
      </c>
      <c r="D239" s="8" t="s">
        <v>504</v>
      </c>
      <c r="E239" s="8" t="s">
        <v>1016</v>
      </c>
    </row>
    <row r="240" spans="3:6" hidden="1" outlineLevel="1" x14ac:dyDescent="0.3">
      <c r="C240" s="2" t="s">
        <v>128</v>
      </c>
      <c r="D240" s="7" t="s">
        <v>504</v>
      </c>
      <c r="E240" s="7" t="s">
        <v>530</v>
      </c>
    </row>
    <row r="241" spans="3:5" hidden="1" outlineLevel="1" x14ac:dyDescent="0.3">
      <c r="C241" s="3" t="s">
        <v>650</v>
      </c>
      <c r="D241" s="8" t="s">
        <v>504</v>
      </c>
      <c r="E241" s="8" t="s">
        <v>1017</v>
      </c>
    </row>
    <row r="242" spans="3:5" hidden="1" outlineLevel="1" x14ac:dyDescent="0.3">
      <c r="C242" s="2" t="s">
        <v>652</v>
      </c>
      <c r="D242" s="7" t="s">
        <v>504</v>
      </c>
      <c r="E242" s="7" t="s">
        <v>1018</v>
      </c>
    </row>
    <row r="243" spans="3:5" hidden="1" outlineLevel="1" x14ac:dyDescent="0.3">
      <c r="C243" s="3" t="s">
        <v>653</v>
      </c>
      <c r="D243" s="8" t="s">
        <v>504</v>
      </c>
      <c r="E243" s="8" t="s">
        <v>1019</v>
      </c>
    </row>
    <row r="244" spans="3:5" hidden="1" outlineLevel="1" x14ac:dyDescent="0.3">
      <c r="C244" s="2" t="s">
        <v>1020</v>
      </c>
      <c r="D244" s="7" t="s">
        <v>504</v>
      </c>
      <c r="E244" s="7" t="s">
        <v>1021</v>
      </c>
    </row>
    <row r="245" spans="3:5" hidden="1" outlineLevel="1" x14ac:dyDescent="0.3">
      <c r="C245" s="3" t="s">
        <v>655</v>
      </c>
      <c r="D245" s="8" t="s">
        <v>504</v>
      </c>
      <c r="E245" s="8" t="s">
        <v>1022</v>
      </c>
    </row>
    <row r="246" spans="3:5" hidden="1" outlineLevel="1" x14ac:dyDescent="0.3">
      <c r="C246" s="2" t="s">
        <v>656</v>
      </c>
      <c r="D246" s="7" t="s">
        <v>504</v>
      </c>
      <c r="E246" s="7" t="s">
        <v>1023</v>
      </c>
    </row>
    <row r="247" spans="3:5" hidden="1" outlineLevel="1" x14ac:dyDescent="0.3">
      <c r="C247" s="3" t="s">
        <v>658</v>
      </c>
      <c r="D247" s="8" t="s">
        <v>504</v>
      </c>
      <c r="E247" s="8" t="s">
        <v>1024</v>
      </c>
    </row>
    <row r="248" spans="3:5" hidden="1" outlineLevel="1" x14ac:dyDescent="0.3">
      <c r="C248" s="2" t="s">
        <v>265</v>
      </c>
      <c r="D248" s="7" t="s">
        <v>504</v>
      </c>
      <c r="E248" s="7" t="s">
        <v>1025</v>
      </c>
    </row>
    <row r="249" spans="3:5" hidden="1" outlineLevel="1" x14ac:dyDescent="0.3">
      <c r="C249" s="3" t="s">
        <v>1026</v>
      </c>
      <c r="D249" s="8" t="s">
        <v>504</v>
      </c>
      <c r="E249" s="8" t="s">
        <v>1027</v>
      </c>
    </row>
    <row r="250" spans="3:5" hidden="1" outlineLevel="1" x14ac:dyDescent="0.3">
      <c r="C250" s="2" t="s">
        <v>1028</v>
      </c>
      <c r="D250" s="7" t="s">
        <v>504</v>
      </c>
      <c r="E250" s="7" t="s">
        <v>1029</v>
      </c>
    </row>
    <row r="251" spans="3:5" hidden="1" outlineLevel="1" x14ac:dyDescent="0.3">
      <c r="C251" s="3"/>
      <c r="D251" s="8"/>
      <c r="E251" s="8"/>
    </row>
    <row r="252" spans="3:5" hidden="1" outlineLevel="1" x14ac:dyDescent="0.3">
      <c r="C252" s="2"/>
      <c r="D252" s="7"/>
      <c r="E252" s="7"/>
    </row>
    <row r="253" spans="3:5" hidden="1" outlineLevel="1" x14ac:dyDescent="0.3">
      <c r="C253" s="3"/>
      <c r="D253" s="8"/>
      <c r="E253" s="8"/>
    </row>
    <row r="254" spans="3:5" hidden="1" outlineLevel="1" x14ac:dyDescent="0.3">
      <c r="C254" s="46"/>
      <c r="D254" s="47"/>
      <c r="E254" s="47"/>
    </row>
    <row r="255" spans="3:5" hidden="1" outlineLevel="1" x14ac:dyDescent="0.3"/>
    <row r="256" spans="3:5" hidden="1" outlineLevel="1" x14ac:dyDescent="0.3"/>
    <row r="257" spans="3:6" hidden="1" outlineLevel="1" x14ac:dyDescent="0.3"/>
    <row r="258" spans="3:6" hidden="1" outlineLevel="1" x14ac:dyDescent="0.3">
      <c r="C258" s="797" t="s">
        <v>398</v>
      </c>
      <c r="D258" s="797"/>
      <c r="E258" s="797"/>
      <c r="F258" s="171"/>
    </row>
    <row r="259" spans="3:6" hidden="1" outlineLevel="1" x14ac:dyDescent="0.3">
      <c r="C259" s="115" t="s">
        <v>50</v>
      </c>
      <c r="D259" s="116" t="s">
        <v>1001</v>
      </c>
      <c r="E259" s="116" t="s">
        <v>424</v>
      </c>
      <c r="F259" s="352" t="s">
        <v>585</v>
      </c>
    </row>
    <row r="260" spans="3:6" hidden="1" outlineLevel="1" x14ac:dyDescent="0.3">
      <c r="C260" s="2" t="s">
        <v>521</v>
      </c>
      <c r="D260" s="7" t="s">
        <v>504</v>
      </c>
      <c r="E260" s="7" t="s">
        <v>532</v>
      </c>
    </row>
    <row r="261" spans="3:6" hidden="1" outlineLevel="1" x14ac:dyDescent="0.3">
      <c r="C261" s="3" t="s">
        <v>520</v>
      </c>
      <c r="D261" s="8" t="s">
        <v>504</v>
      </c>
      <c r="E261" s="8" t="s">
        <v>531</v>
      </c>
    </row>
    <row r="262" spans="3:6" hidden="1" outlineLevel="1" x14ac:dyDescent="0.3">
      <c r="C262" s="2" t="s">
        <v>522</v>
      </c>
      <c r="D262" s="7" t="s">
        <v>504</v>
      </c>
      <c r="E262" s="7" t="s">
        <v>533</v>
      </c>
    </row>
    <row r="263" spans="3:6" hidden="1" outlineLevel="1" x14ac:dyDescent="0.3">
      <c r="C263" s="3" t="s">
        <v>519</v>
      </c>
      <c r="D263" s="8" t="s">
        <v>504</v>
      </c>
      <c r="E263" s="8" t="s">
        <v>528</v>
      </c>
    </row>
    <row r="264" spans="3:6" hidden="1" outlineLevel="1" x14ac:dyDescent="0.3">
      <c r="C264" s="2" t="s">
        <v>1030</v>
      </c>
      <c r="D264" s="7" t="s">
        <v>504</v>
      </c>
      <c r="E264" s="7" t="s">
        <v>1031</v>
      </c>
    </row>
    <row r="265" spans="3:6" hidden="1" outlineLevel="1" x14ac:dyDescent="0.3">
      <c r="C265" s="3" t="s">
        <v>1032</v>
      </c>
      <c r="D265" s="8" t="s">
        <v>504</v>
      </c>
      <c r="E265" s="8" t="s">
        <v>1033</v>
      </c>
    </row>
    <row r="266" spans="3:6" hidden="1" outlineLevel="1" x14ac:dyDescent="0.3">
      <c r="C266" s="2" t="s">
        <v>1034</v>
      </c>
      <c r="D266" s="7" t="s">
        <v>504</v>
      </c>
      <c r="E266" s="7" t="s">
        <v>1035</v>
      </c>
    </row>
    <row r="267" spans="3:6" hidden="1" outlineLevel="1" x14ac:dyDescent="0.3">
      <c r="C267" s="3"/>
      <c r="D267" s="8"/>
      <c r="E267" s="8"/>
    </row>
    <row r="268" spans="3:6" hidden="1" outlineLevel="1" x14ac:dyDescent="0.3">
      <c r="C268" s="2"/>
      <c r="D268" s="7"/>
      <c r="E268" s="7"/>
    </row>
    <row r="269" spans="3:6" hidden="1" outlineLevel="1" x14ac:dyDescent="0.3">
      <c r="C269" s="3"/>
      <c r="D269" s="8"/>
      <c r="E269" s="8"/>
    </row>
    <row r="270" spans="3:6" hidden="1" outlineLevel="1" x14ac:dyDescent="0.3">
      <c r="C270" s="2"/>
      <c r="D270" s="7"/>
      <c r="E270" s="7"/>
    </row>
    <row r="271" spans="3:6" hidden="1" outlineLevel="1" x14ac:dyDescent="0.3"/>
    <row r="272" spans="3:6" hidden="1" outlineLevel="1" x14ac:dyDescent="0.3"/>
    <row r="273" spans="3:6" hidden="1" outlineLevel="1" x14ac:dyDescent="0.3"/>
    <row r="274" spans="3:6" hidden="1" outlineLevel="1" x14ac:dyDescent="0.3">
      <c r="C274" s="797" t="s">
        <v>1036</v>
      </c>
      <c r="D274" s="797"/>
      <c r="E274" s="797"/>
      <c r="F274" s="171"/>
    </row>
    <row r="275" spans="3:6" hidden="1" outlineLevel="1" x14ac:dyDescent="0.3">
      <c r="C275" s="115" t="s">
        <v>50</v>
      </c>
      <c r="D275" s="116" t="s">
        <v>1001</v>
      </c>
      <c r="E275" s="116" t="s">
        <v>424</v>
      </c>
      <c r="F275" s="352" t="s">
        <v>585</v>
      </c>
    </row>
    <row r="276" spans="3:6" hidden="1" outlineLevel="1" x14ac:dyDescent="0.3">
      <c r="C276" s="2" t="s">
        <v>259</v>
      </c>
      <c r="D276" s="7" t="s">
        <v>505</v>
      </c>
      <c r="E276" s="7" t="s">
        <v>1037</v>
      </c>
    </row>
    <row r="277" spans="3:6" hidden="1" outlineLevel="1" x14ac:dyDescent="0.3">
      <c r="C277" s="3"/>
      <c r="D277" s="8"/>
      <c r="E277" s="8"/>
    </row>
    <row r="278" spans="3:6" hidden="1" outlineLevel="1" x14ac:dyDescent="0.3">
      <c r="C278" s="2"/>
      <c r="D278" s="7"/>
      <c r="E278" s="7"/>
    </row>
    <row r="279" spans="3:6" hidden="1" outlineLevel="1" x14ac:dyDescent="0.3">
      <c r="C279" s="3"/>
      <c r="D279" s="8"/>
      <c r="E279" s="8"/>
    </row>
    <row r="280" spans="3:6" hidden="1" outlineLevel="1" x14ac:dyDescent="0.3">
      <c r="C280" s="46"/>
      <c r="D280" s="47"/>
      <c r="E280" s="47"/>
    </row>
    <row r="281" spans="3:6" hidden="1" outlineLevel="1" x14ac:dyDescent="0.3"/>
    <row r="282" spans="3:6" hidden="1" outlineLevel="1" x14ac:dyDescent="0.3"/>
    <row r="283" spans="3:6" hidden="1" outlineLevel="1" x14ac:dyDescent="0.3"/>
    <row r="284" spans="3:6" hidden="1" outlineLevel="1" x14ac:dyDescent="0.3">
      <c r="C284" s="797" t="s">
        <v>1038</v>
      </c>
      <c r="D284" s="797"/>
      <c r="E284" s="797"/>
      <c r="F284" s="171"/>
    </row>
    <row r="285" spans="3:6" hidden="1" outlineLevel="1" x14ac:dyDescent="0.3">
      <c r="C285" s="115" t="s">
        <v>50</v>
      </c>
      <c r="D285" s="116" t="s">
        <v>1001</v>
      </c>
      <c r="E285" s="116" t="s">
        <v>424</v>
      </c>
      <c r="F285" s="352" t="s">
        <v>585</v>
      </c>
    </row>
    <row r="286" spans="3:6" hidden="1" outlineLevel="1" x14ac:dyDescent="0.3">
      <c r="C286" s="2" t="s">
        <v>1039</v>
      </c>
      <c r="D286" s="7" t="s">
        <v>505</v>
      </c>
      <c r="E286" s="7" t="s">
        <v>1040</v>
      </c>
    </row>
    <row r="287" spans="3:6" hidden="1" outlineLevel="1" x14ac:dyDescent="0.3">
      <c r="C287" s="3" t="s">
        <v>1041</v>
      </c>
      <c r="D287" s="8" t="s">
        <v>505</v>
      </c>
      <c r="E287" s="8" t="s">
        <v>1042</v>
      </c>
    </row>
    <row r="288" spans="3:6" hidden="1" outlineLevel="1" x14ac:dyDescent="0.3">
      <c r="C288" s="2"/>
      <c r="D288" s="7"/>
      <c r="E288" s="7"/>
    </row>
    <row r="289" spans="3:6" hidden="1" outlineLevel="1" x14ac:dyDescent="0.3">
      <c r="C289" s="3"/>
      <c r="D289" s="8"/>
      <c r="E289" s="8"/>
    </row>
    <row r="290" spans="3:6" hidden="1" outlineLevel="1" x14ac:dyDescent="0.3">
      <c r="C290" s="2"/>
      <c r="D290" s="7"/>
      <c r="E290" s="7"/>
    </row>
    <row r="291" spans="3:6" hidden="1" outlineLevel="1" x14ac:dyDescent="0.3">
      <c r="C291" s="3"/>
      <c r="D291" s="8"/>
      <c r="E291" s="8"/>
    </row>
    <row r="292" spans="3:6" hidden="1" outlineLevel="1" x14ac:dyDescent="0.3"/>
    <row r="293" spans="3:6" hidden="1" outlineLevel="1" x14ac:dyDescent="0.3"/>
    <row r="294" spans="3:6" hidden="1" outlineLevel="1" x14ac:dyDescent="0.3"/>
    <row r="295" spans="3:6" hidden="1" outlineLevel="1" x14ac:dyDescent="0.3">
      <c r="C295" s="797" t="s">
        <v>1043</v>
      </c>
      <c r="D295" s="797"/>
      <c r="E295" s="797"/>
      <c r="F295" s="171"/>
    </row>
    <row r="296" spans="3:6" hidden="1" outlineLevel="1" x14ac:dyDescent="0.3">
      <c r="C296" s="115" t="s">
        <v>50</v>
      </c>
      <c r="D296" s="116" t="s">
        <v>1001</v>
      </c>
      <c r="E296" s="116" t="s">
        <v>424</v>
      </c>
      <c r="F296" s="352" t="s">
        <v>585</v>
      </c>
    </row>
    <row r="297" spans="3:6" hidden="1" outlineLevel="1" x14ac:dyDescent="0.3">
      <c r="C297" s="3" t="s">
        <v>1044</v>
      </c>
      <c r="D297" s="8" t="s">
        <v>505</v>
      </c>
      <c r="E297" s="8" t="s">
        <v>1045</v>
      </c>
    </row>
    <row r="298" spans="3:6" hidden="1" outlineLevel="1" x14ac:dyDescent="0.3">
      <c r="C298" s="3" t="s">
        <v>1046</v>
      </c>
      <c r="D298" s="8" t="s">
        <v>505</v>
      </c>
      <c r="E298" s="8" t="s">
        <v>1047</v>
      </c>
    </row>
    <row r="299" spans="3:6" hidden="1" outlineLevel="1" x14ac:dyDescent="0.3">
      <c r="C299" s="2"/>
      <c r="D299" s="7"/>
      <c r="E299" s="7"/>
    </row>
    <row r="300" spans="3:6" hidden="1" outlineLevel="1" x14ac:dyDescent="0.3">
      <c r="C300" s="3"/>
      <c r="D300" s="8"/>
      <c r="E300" s="8"/>
    </row>
    <row r="301" spans="3:6" hidden="1" outlineLevel="1" x14ac:dyDescent="0.3">
      <c r="C301" s="46"/>
      <c r="D301" s="47"/>
      <c r="E301" s="47"/>
    </row>
    <row r="302" spans="3:6" hidden="1" outlineLevel="1" x14ac:dyDescent="0.3"/>
    <row r="303" spans="3:6" hidden="1" outlineLevel="1" x14ac:dyDescent="0.3"/>
    <row r="304" spans="3:6" hidden="1" outlineLevel="1" x14ac:dyDescent="0.3"/>
    <row r="305" spans="3:6" hidden="1" outlineLevel="1" x14ac:dyDescent="0.3">
      <c r="C305" s="797" t="s">
        <v>1048</v>
      </c>
      <c r="D305" s="797"/>
      <c r="E305" s="797"/>
      <c r="F305" s="171"/>
    </row>
    <row r="306" spans="3:6" hidden="1" outlineLevel="1" x14ac:dyDescent="0.3">
      <c r="C306" s="115" t="s">
        <v>50</v>
      </c>
      <c r="D306" s="116" t="s">
        <v>1001</v>
      </c>
      <c r="E306" s="116" t="s">
        <v>424</v>
      </c>
      <c r="F306" s="352" t="s">
        <v>585</v>
      </c>
    </row>
    <row r="307" spans="3:6" hidden="1" outlineLevel="1" x14ac:dyDescent="0.3">
      <c r="C307" s="3" t="s">
        <v>1049</v>
      </c>
      <c r="D307" s="8" t="s">
        <v>505</v>
      </c>
      <c r="E307" s="8" t="s">
        <v>1050</v>
      </c>
    </row>
    <row r="308" spans="3:6" hidden="1" outlineLevel="1" x14ac:dyDescent="0.3">
      <c r="C308" s="3"/>
      <c r="D308" s="8"/>
      <c r="E308" s="8"/>
    </row>
    <row r="309" spans="3:6" hidden="1" outlineLevel="1" x14ac:dyDescent="0.3">
      <c r="C309" s="2"/>
      <c r="D309" s="7"/>
      <c r="E309" s="7"/>
    </row>
    <row r="310" spans="3:6" hidden="1" outlineLevel="1" x14ac:dyDescent="0.3">
      <c r="C310" s="3"/>
      <c r="D310" s="8"/>
      <c r="E310" s="8"/>
    </row>
    <row r="311" spans="3:6" hidden="1" outlineLevel="1" x14ac:dyDescent="0.3">
      <c r="C311" s="46"/>
      <c r="D311" s="47"/>
      <c r="E311" s="47"/>
    </row>
    <row r="312" spans="3:6" hidden="1" outlineLevel="1" x14ac:dyDescent="0.3"/>
    <row r="313" spans="3:6" hidden="1" outlineLevel="1" x14ac:dyDescent="0.3"/>
    <row r="314" spans="3:6" hidden="1" outlineLevel="1" x14ac:dyDescent="0.3"/>
    <row r="315" spans="3:6" hidden="1" outlineLevel="1" x14ac:dyDescent="0.3">
      <c r="C315" s="797" t="s">
        <v>1051</v>
      </c>
      <c r="D315" s="797"/>
      <c r="E315" s="797"/>
      <c r="F315" s="171"/>
    </row>
    <row r="316" spans="3:6" hidden="1" outlineLevel="1" x14ac:dyDescent="0.3">
      <c r="C316" s="115" t="s">
        <v>50</v>
      </c>
      <c r="D316" s="116" t="s">
        <v>1001</v>
      </c>
      <c r="E316" s="116" t="s">
        <v>424</v>
      </c>
      <c r="F316" s="352" t="s">
        <v>585</v>
      </c>
    </row>
    <row r="317" spans="3:6" hidden="1" outlineLevel="1" x14ac:dyDescent="0.3">
      <c r="C317" s="2" t="s">
        <v>608</v>
      </c>
      <c r="D317" s="7" t="s">
        <v>505</v>
      </c>
      <c r="E317" s="7" t="s">
        <v>1047</v>
      </c>
    </row>
    <row r="318" spans="3:6" hidden="1" outlineLevel="1" x14ac:dyDescent="0.3">
      <c r="C318" s="3" t="s">
        <v>523</v>
      </c>
      <c r="D318" s="8" t="s">
        <v>505</v>
      </c>
      <c r="E318" s="8" t="s">
        <v>534</v>
      </c>
    </row>
    <row r="319" spans="3:6" hidden="1" outlineLevel="1" x14ac:dyDescent="0.3">
      <c r="C319" s="2" t="s">
        <v>1052</v>
      </c>
      <c r="D319" s="7" t="s">
        <v>505</v>
      </c>
      <c r="E319" s="7" t="s">
        <v>1053</v>
      </c>
    </row>
    <row r="320" spans="3:6" hidden="1" outlineLevel="1" x14ac:dyDescent="0.3">
      <c r="C320" s="3" t="s">
        <v>1054</v>
      </c>
      <c r="D320" s="8" t="s">
        <v>505</v>
      </c>
      <c r="E320" s="8" t="s">
        <v>1055</v>
      </c>
    </row>
    <row r="321" spans="2:14" hidden="1" outlineLevel="1" x14ac:dyDescent="0.3">
      <c r="C321" s="2"/>
      <c r="D321" s="7"/>
      <c r="E321" s="7"/>
    </row>
    <row r="322" spans="2:14" hidden="1" outlineLevel="1" x14ac:dyDescent="0.3">
      <c r="C322" s="3"/>
      <c r="D322" s="8"/>
      <c r="E322" s="8"/>
    </row>
    <row r="323" spans="2:14" collapsed="1" x14ac:dyDescent="0.3"/>
    <row r="324" spans="2:14" ht="17.399999999999999" x14ac:dyDescent="0.3">
      <c r="B324" s="17" t="s">
        <v>468</v>
      </c>
      <c r="C324" s="18"/>
      <c r="D324" s="18"/>
      <c r="E324" s="18"/>
      <c r="F324" s="18"/>
      <c r="G324" s="18"/>
      <c r="H324" s="18"/>
      <c r="I324" s="18"/>
      <c r="J324" s="18"/>
      <c r="K324" s="18"/>
      <c r="L324" s="18"/>
      <c r="M324" s="18"/>
      <c r="N324" s="18"/>
    </row>
    <row r="325" spans="2:14" hidden="1" outlineLevel="1" x14ac:dyDescent="0.3"/>
    <row r="326" spans="2:14" hidden="1" outlineLevel="1" x14ac:dyDescent="0.3">
      <c r="C326" t="s">
        <v>797</v>
      </c>
    </row>
    <row r="327" spans="2:14" hidden="1" outlineLevel="1" x14ac:dyDescent="0.3">
      <c r="C327" t="s">
        <v>1056</v>
      </c>
    </row>
    <row r="328" spans="2:14" hidden="1" outlineLevel="1" x14ac:dyDescent="0.3">
      <c r="C328" t="s">
        <v>1057</v>
      </c>
    </row>
    <row r="329" spans="2:14" hidden="1" outlineLevel="1" x14ac:dyDescent="0.3">
      <c r="C329" t="s">
        <v>1058</v>
      </c>
    </row>
    <row r="330" spans="2:14" hidden="1" outlineLevel="1" x14ac:dyDescent="0.3">
      <c r="C330" t="s">
        <v>1059</v>
      </c>
    </row>
    <row r="331" spans="2:14" hidden="1" outlineLevel="1" x14ac:dyDescent="0.3">
      <c r="C331" t="s">
        <v>1060</v>
      </c>
    </row>
    <row r="332" spans="2:14" hidden="1" outlineLevel="1" x14ac:dyDescent="0.3">
      <c r="C332" t="s">
        <v>1061</v>
      </c>
    </row>
    <row r="333" spans="2:14" hidden="1" outlineLevel="1" x14ac:dyDescent="0.3"/>
    <row r="334" spans="2:14" hidden="1" outlineLevel="1" x14ac:dyDescent="0.3">
      <c r="C334" t="s">
        <v>471</v>
      </c>
    </row>
    <row r="335" spans="2:14" hidden="1" outlineLevel="1" x14ac:dyDescent="0.3">
      <c r="C335" t="s">
        <v>1062</v>
      </c>
    </row>
    <row r="336" spans="2:14" hidden="1" outlineLevel="1" x14ac:dyDescent="0.3">
      <c r="C336" t="s">
        <v>1063</v>
      </c>
    </row>
    <row r="337" spans="3:3" hidden="1" outlineLevel="1" x14ac:dyDescent="0.3">
      <c r="C337" t="s">
        <v>1064</v>
      </c>
    </row>
    <row r="338" spans="3:3" hidden="1" outlineLevel="1" x14ac:dyDescent="0.3">
      <c r="C338" t="s">
        <v>1065</v>
      </c>
    </row>
    <row r="339" spans="3:3" hidden="1" outlineLevel="1" x14ac:dyDescent="0.3">
      <c r="C339" t="s">
        <v>1066</v>
      </c>
    </row>
    <row r="340" spans="3:3" hidden="1" outlineLevel="1" x14ac:dyDescent="0.3"/>
    <row r="341" spans="3:3" hidden="1" outlineLevel="1" x14ac:dyDescent="0.3">
      <c r="C341" t="s">
        <v>91</v>
      </c>
    </row>
    <row r="342" spans="3:3" hidden="1" outlineLevel="1" x14ac:dyDescent="0.3">
      <c r="C342" t="s">
        <v>1067</v>
      </c>
    </row>
    <row r="343" spans="3:3" hidden="1" outlineLevel="1" x14ac:dyDescent="0.3">
      <c r="C343" t="s">
        <v>1068</v>
      </c>
    </row>
    <row r="344" spans="3:3" hidden="1" outlineLevel="1" x14ac:dyDescent="0.3">
      <c r="C344" t="s">
        <v>1069</v>
      </c>
    </row>
    <row r="345" spans="3:3" hidden="1" outlineLevel="1" x14ac:dyDescent="0.3">
      <c r="C345" t="s">
        <v>1070</v>
      </c>
    </row>
    <row r="346" spans="3:3" hidden="1" outlineLevel="1" x14ac:dyDescent="0.3">
      <c r="C346" t="s">
        <v>1071</v>
      </c>
    </row>
    <row r="347" spans="3:3" hidden="1" outlineLevel="1" x14ac:dyDescent="0.3">
      <c r="C347" t="s">
        <v>1072</v>
      </c>
    </row>
    <row r="348" spans="3:3" hidden="1" outlineLevel="1" x14ac:dyDescent="0.3">
      <c r="C348" t="s">
        <v>1073</v>
      </c>
    </row>
    <row r="349" spans="3:3" hidden="1" outlineLevel="1" x14ac:dyDescent="0.3">
      <c r="C349" t="s">
        <v>396</v>
      </c>
    </row>
    <row r="350" spans="3:3" hidden="1" outlineLevel="1" x14ac:dyDescent="0.3"/>
    <row r="351" spans="3:3" hidden="1" outlineLevel="1" x14ac:dyDescent="0.3">
      <c r="C351" s="5" t="s">
        <v>478</v>
      </c>
    </row>
    <row r="352" spans="3:3" hidden="1" outlineLevel="1" x14ac:dyDescent="0.3">
      <c r="C352" t="s">
        <v>1074</v>
      </c>
    </row>
    <row r="353" spans="3:3" hidden="1" outlineLevel="1" x14ac:dyDescent="0.3">
      <c r="C353" t="s">
        <v>1075</v>
      </c>
    </row>
    <row r="354" spans="3:3" hidden="1" outlineLevel="1" x14ac:dyDescent="0.3">
      <c r="C354" t="s">
        <v>1076</v>
      </c>
    </row>
    <row r="355" spans="3:3" hidden="1" outlineLevel="1" x14ac:dyDescent="0.3">
      <c r="C355" t="s">
        <v>1077</v>
      </c>
    </row>
    <row r="356" spans="3:3" hidden="1" outlineLevel="1" x14ac:dyDescent="0.3"/>
    <row r="357" spans="3:3" hidden="1" outlineLevel="1" x14ac:dyDescent="0.3">
      <c r="C357" s="5" t="s">
        <v>479</v>
      </c>
    </row>
    <row r="358" spans="3:3" hidden="1" outlineLevel="1" x14ac:dyDescent="0.3">
      <c r="C358" t="s">
        <v>1078</v>
      </c>
    </row>
    <row r="359" spans="3:3" hidden="1" outlineLevel="1" x14ac:dyDescent="0.3">
      <c r="C359" t="s">
        <v>1079</v>
      </c>
    </row>
    <row r="360" spans="3:3" hidden="1" outlineLevel="1" x14ac:dyDescent="0.3">
      <c r="C360" t="s">
        <v>1080</v>
      </c>
    </row>
    <row r="361" spans="3:3" hidden="1" outlineLevel="1" x14ac:dyDescent="0.3">
      <c r="C361" t="s">
        <v>1081</v>
      </c>
    </row>
    <row r="362" spans="3:3" hidden="1" outlineLevel="1" x14ac:dyDescent="0.3"/>
    <row r="363" spans="3:3" hidden="1" outlineLevel="1" x14ac:dyDescent="0.3">
      <c r="C363" t="s">
        <v>480</v>
      </c>
    </row>
    <row r="364" spans="3:3" hidden="1" outlineLevel="1" x14ac:dyDescent="0.3">
      <c r="C364" t="s">
        <v>1082</v>
      </c>
    </row>
    <row r="365" spans="3:3" hidden="1" outlineLevel="1" x14ac:dyDescent="0.3">
      <c r="C365" t="s">
        <v>1083</v>
      </c>
    </row>
    <row r="366" spans="3:3" hidden="1" outlineLevel="1" x14ac:dyDescent="0.3">
      <c r="C366" t="s">
        <v>1084</v>
      </c>
    </row>
    <row r="367" spans="3:3" hidden="1" outlineLevel="1" x14ac:dyDescent="0.3"/>
    <row r="368" spans="3:3" hidden="1" outlineLevel="1" x14ac:dyDescent="0.3"/>
    <row r="369" spans="2:14" collapsed="1" x14ac:dyDescent="0.3"/>
    <row r="370" spans="2:14" ht="17.399999999999999" x14ac:dyDescent="0.3">
      <c r="B370" s="17" t="s">
        <v>1085</v>
      </c>
      <c r="C370" s="18"/>
      <c r="D370" s="18"/>
      <c r="E370" s="18"/>
      <c r="F370" s="18"/>
      <c r="G370" s="18"/>
      <c r="H370" s="18"/>
      <c r="I370" s="18"/>
      <c r="J370" s="18"/>
      <c r="K370" s="18"/>
      <c r="L370" s="18"/>
      <c r="M370" s="18"/>
      <c r="N370" s="18"/>
    </row>
    <row r="371" spans="2:14" hidden="1" outlineLevel="1" x14ac:dyDescent="0.3"/>
    <row r="372" spans="2:14" hidden="1" outlineLevel="1" x14ac:dyDescent="0.3">
      <c r="C372" s="5" t="s">
        <v>441</v>
      </c>
      <c r="D372" s="5" t="s">
        <v>1086</v>
      </c>
    </row>
    <row r="373" spans="2:14" hidden="1" outlineLevel="1" x14ac:dyDescent="0.3">
      <c r="C373" s="9" t="s">
        <v>1087</v>
      </c>
      <c r="D373" t="s">
        <v>1088</v>
      </c>
    </row>
    <row r="374" spans="2:14" hidden="1" outlineLevel="1" x14ac:dyDescent="0.3">
      <c r="C374" t="s">
        <v>1089</v>
      </c>
      <c r="D374" t="s">
        <v>1090</v>
      </c>
    </row>
    <row r="375" spans="2:14" hidden="1" outlineLevel="1" x14ac:dyDescent="0.3">
      <c r="C375" t="s">
        <v>1091</v>
      </c>
      <c r="D375" t="s">
        <v>1092</v>
      </c>
    </row>
    <row r="376" spans="2:14" hidden="1" outlineLevel="1" x14ac:dyDescent="0.3">
      <c r="C376" s="9" t="s">
        <v>1093</v>
      </c>
      <c r="D376" t="s">
        <v>1094</v>
      </c>
    </row>
    <row r="377" spans="2:14" hidden="1" outlineLevel="1" x14ac:dyDescent="0.3"/>
    <row r="378" spans="2:14" hidden="1" outlineLevel="1" x14ac:dyDescent="0.3">
      <c r="C378" s="5" t="s">
        <v>1095</v>
      </c>
    </row>
    <row r="379" spans="2:14" hidden="1" outlineLevel="1" x14ac:dyDescent="0.3">
      <c r="C379" t="s">
        <v>1096</v>
      </c>
    </row>
    <row r="380" spans="2:14" hidden="1" outlineLevel="1" x14ac:dyDescent="0.3">
      <c r="C380" t="s">
        <v>509</v>
      </c>
    </row>
    <row r="381" spans="2:14" hidden="1" outlineLevel="1" x14ac:dyDescent="0.3">
      <c r="C381" t="s">
        <v>511</v>
      </c>
    </row>
    <row r="382" spans="2:14" hidden="1" outlineLevel="1" x14ac:dyDescent="0.3">
      <c r="C382" t="s">
        <v>515</v>
      </c>
    </row>
    <row r="383" spans="2:14" hidden="1" outlineLevel="1" x14ac:dyDescent="0.3">
      <c r="C383" t="s">
        <v>507</v>
      </c>
    </row>
    <row r="384" spans="2:14" hidden="1" outlineLevel="1" x14ac:dyDescent="0.3">
      <c r="C384" t="s">
        <v>508</v>
      </c>
    </row>
    <row r="385" spans="1:3" hidden="1" outlineLevel="1" x14ac:dyDescent="0.3">
      <c r="C385" t="s">
        <v>514</v>
      </c>
    </row>
    <row r="386" spans="1:3" hidden="1" outlineLevel="1" x14ac:dyDescent="0.3">
      <c r="C386" t="s">
        <v>1097</v>
      </c>
    </row>
    <row r="387" spans="1:3" hidden="1" outlineLevel="1" x14ac:dyDescent="0.3">
      <c r="C387" t="s">
        <v>510</v>
      </c>
    </row>
    <row r="388" spans="1:3" hidden="1" outlineLevel="1" x14ac:dyDescent="0.3">
      <c r="C388" t="s">
        <v>1098</v>
      </c>
    </row>
    <row r="389" spans="1:3" hidden="1" outlineLevel="1" x14ac:dyDescent="0.3">
      <c r="C389" t="s">
        <v>1099</v>
      </c>
    </row>
    <row r="390" spans="1:3" hidden="1" outlineLevel="1" x14ac:dyDescent="0.3">
      <c r="C390" t="s">
        <v>512</v>
      </c>
    </row>
    <row r="391" spans="1:3" hidden="1" outlineLevel="1" x14ac:dyDescent="0.3">
      <c r="C391" t="s">
        <v>1100</v>
      </c>
    </row>
    <row r="392" spans="1:3" hidden="1" outlineLevel="1" x14ac:dyDescent="0.3">
      <c r="C392" t="s">
        <v>513</v>
      </c>
    </row>
    <row r="393" spans="1:3" hidden="1" outlineLevel="1" x14ac:dyDescent="0.3">
      <c r="C393" t="s">
        <v>1101</v>
      </c>
    </row>
    <row r="394" spans="1:3" hidden="1" outlineLevel="1" x14ac:dyDescent="0.3">
      <c r="C394" t="s">
        <v>1102</v>
      </c>
    </row>
    <row r="395" spans="1:3" hidden="1" outlineLevel="1" x14ac:dyDescent="0.3">
      <c r="A395" s="5"/>
      <c r="B395" s="5"/>
      <c r="C395" t="s">
        <v>1103</v>
      </c>
    </row>
    <row r="396" spans="1:3" hidden="1" outlineLevel="1" x14ac:dyDescent="0.3">
      <c r="C396" t="s">
        <v>1104</v>
      </c>
    </row>
    <row r="397" spans="1:3" hidden="1" outlineLevel="1" x14ac:dyDescent="0.3">
      <c r="C397" t="s">
        <v>1105</v>
      </c>
    </row>
    <row r="398" spans="1:3" hidden="1" outlineLevel="1" x14ac:dyDescent="0.3">
      <c r="C398" t="s">
        <v>1106</v>
      </c>
    </row>
    <row r="399" spans="1:3" hidden="1" outlineLevel="1" x14ac:dyDescent="0.3">
      <c r="C399" t="s">
        <v>1107</v>
      </c>
    </row>
    <row r="400" spans="1:3" hidden="1" outlineLevel="1" x14ac:dyDescent="0.3">
      <c r="C400" t="s">
        <v>1108</v>
      </c>
    </row>
    <row r="401" spans="3:4" hidden="1" outlineLevel="1" x14ac:dyDescent="0.3"/>
    <row r="402" spans="3:4" hidden="1" outlineLevel="1" x14ac:dyDescent="0.3"/>
    <row r="403" spans="3:4" hidden="1" outlineLevel="1" x14ac:dyDescent="0.3"/>
    <row r="404" spans="3:4" hidden="1" outlineLevel="1" x14ac:dyDescent="0.3">
      <c r="C404" t="s">
        <v>452</v>
      </c>
    </row>
    <row r="405" spans="3:4" hidden="1" outlineLevel="1" x14ac:dyDescent="0.3">
      <c r="C405" t="s">
        <v>1109</v>
      </c>
    </row>
    <row r="406" spans="3:4" hidden="1" outlineLevel="1" x14ac:dyDescent="0.3">
      <c r="C406" t="s">
        <v>1110</v>
      </c>
    </row>
    <row r="407" spans="3:4" hidden="1" outlineLevel="1" x14ac:dyDescent="0.3"/>
    <row r="408" spans="3:4" hidden="1" outlineLevel="1" x14ac:dyDescent="0.3"/>
    <row r="409" spans="3:4" hidden="1" outlineLevel="1" x14ac:dyDescent="0.3">
      <c r="C409" t="s">
        <v>1111</v>
      </c>
      <c r="D409" t="s">
        <v>1112</v>
      </c>
    </row>
    <row r="410" spans="3:4" hidden="1" outlineLevel="1" x14ac:dyDescent="0.3">
      <c r="C410" t="s">
        <v>1113</v>
      </c>
      <c r="D410" t="s">
        <v>1114</v>
      </c>
    </row>
    <row r="411" spans="3:4" hidden="1" outlineLevel="1" x14ac:dyDescent="0.3">
      <c r="C411" t="s">
        <v>1115</v>
      </c>
      <c r="D411" t="s">
        <v>1116</v>
      </c>
    </row>
    <row r="412" spans="3:4" hidden="1" outlineLevel="1" x14ac:dyDescent="0.3">
      <c r="C412" t="s">
        <v>1117</v>
      </c>
      <c r="D412" t="s">
        <v>1118</v>
      </c>
    </row>
    <row r="413" spans="3:4" hidden="1" outlineLevel="1" x14ac:dyDescent="0.3"/>
    <row r="414" spans="3:4" hidden="1" outlineLevel="1" x14ac:dyDescent="0.3">
      <c r="C414" t="s">
        <v>1111</v>
      </c>
      <c r="D414" t="s">
        <v>1112</v>
      </c>
    </row>
    <row r="415" spans="3:4" hidden="1" outlineLevel="1" x14ac:dyDescent="0.3">
      <c r="C415" t="s">
        <v>1119</v>
      </c>
      <c r="D415" t="s">
        <v>1120</v>
      </c>
    </row>
    <row r="416" spans="3:4" hidden="1" outlineLevel="1" x14ac:dyDescent="0.3">
      <c r="C416" t="s">
        <v>1121</v>
      </c>
      <c r="D416" t="s">
        <v>1122</v>
      </c>
    </row>
    <row r="417" spans="1:8" hidden="1" outlineLevel="1" x14ac:dyDescent="0.3">
      <c r="C417" t="s">
        <v>1123</v>
      </c>
      <c r="D417" t="s">
        <v>1124</v>
      </c>
    </row>
    <row r="418" spans="1:8" ht="15" hidden="1" outlineLevel="1" thickBot="1" x14ac:dyDescent="0.35"/>
    <row r="419" spans="1:8" hidden="1" outlineLevel="1" x14ac:dyDescent="0.3">
      <c r="C419" t="s">
        <v>1125</v>
      </c>
      <c r="D419" t="s">
        <v>110</v>
      </c>
      <c r="H419" s="402" t="s">
        <v>1126</v>
      </c>
    </row>
    <row r="420" spans="1:8" hidden="1" outlineLevel="1" x14ac:dyDescent="0.3">
      <c r="C420" s="192" t="s">
        <v>1127</v>
      </c>
      <c r="D420" s="192" t="s">
        <v>1113</v>
      </c>
      <c r="E420" s="192"/>
      <c r="H420" s="162" t="e" cm="1" vm="1">
        <f t="array" ref="H420">_xlfn._xlws.FILTER(MD_EquityChangeExamples[Example],MD_EquityChangeExamples[Category]=Analysis_Help!D61)</f>
        <v>#VALUE!</v>
      </c>
    </row>
    <row r="421" spans="1:8" hidden="1" outlineLevel="1" x14ac:dyDescent="0.3">
      <c r="C421" s="192" t="s">
        <v>1128</v>
      </c>
      <c r="D421" s="192" t="s">
        <v>1113</v>
      </c>
      <c r="E421" s="192"/>
      <c r="H421" s="162"/>
    </row>
    <row r="422" spans="1:8" hidden="1" outlineLevel="1" x14ac:dyDescent="0.3">
      <c r="C422" s="192" t="s">
        <v>1129</v>
      </c>
      <c r="D422" s="192" t="s">
        <v>1113</v>
      </c>
      <c r="E422" s="192"/>
      <c r="H422" s="162"/>
    </row>
    <row r="423" spans="1:8" hidden="1" outlineLevel="1" x14ac:dyDescent="0.3">
      <c r="C423" s="192" t="s">
        <v>1130</v>
      </c>
      <c r="D423" s="192" t="s">
        <v>1113</v>
      </c>
      <c r="E423" s="192"/>
      <c r="H423" s="162"/>
    </row>
    <row r="424" spans="1:8" hidden="1" outlineLevel="1" x14ac:dyDescent="0.3">
      <c r="A424" s="11"/>
      <c r="B424" s="11"/>
      <c r="C424" s="192" t="s">
        <v>1131</v>
      </c>
      <c r="D424" s="192" t="s">
        <v>1115</v>
      </c>
      <c r="E424" s="192"/>
      <c r="H424" s="162"/>
    </row>
    <row r="425" spans="1:8" hidden="1" outlineLevel="1" x14ac:dyDescent="0.3">
      <c r="A425" s="5"/>
      <c r="B425" s="5"/>
      <c r="C425" s="192" t="s">
        <v>1132</v>
      </c>
      <c r="D425" s="192" t="s">
        <v>1115</v>
      </c>
      <c r="E425" s="192"/>
      <c r="H425" s="162"/>
    </row>
    <row r="426" spans="1:8" hidden="1" outlineLevel="1" x14ac:dyDescent="0.3">
      <c r="C426" s="192" t="s">
        <v>1133</v>
      </c>
      <c r="D426" s="192" t="s">
        <v>1115</v>
      </c>
      <c r="E426" s="192"/>
      <c r="H426" s="162"/>
    </row>
    <row r="427" spans="1:8" hidden="1" outlineLevel="1" x14ac:dyDescent="0.3">
      <c r="C427" s="192" t="s">
        <v>1134</v>
      </c>
      <c r="D427" s="192" t="s">
        <v>1115</v>
      </c>
      <c r="E427" s="192"/>
      <c r="H427" s="162"/>
    </row>
    <row r="428" spans="1:8" hidden="1" outlineLevel="1" x14ac:dyDescent="0.3">
      <c r="C428" s="192" t="s">
        <v>1135</v>
      </c>
      <c r="D428" s="192" t="s">
        <v>1115</v>
      </c>
      <c r="E428" s="192"/>
      <c r="H428" s="162"/>
    </row>
    <row r="429" spans="1:8" hidden="1" outlineLevel="1" x14ac:dyDescent="0.3">
      <c r="C429" s="192" t="s">
        <v>1136</v>
      </c>
      <c r="D429" s="192" t="s">
        <v>1115</v>
      </c>
      <c r="E429" s="192"/>
      <c r="H429" s="162"/>
    </row>
    <row r="430" spans="1:8" hidden="1" outlineLevel="1" x14ac:dyDescent="0.3">
      <c r="C430" s="192" t="s">
        <v>1137</v>
      </c>
      <c r="D430" s="192" t="s">
        <v>1117</v>
      </c>
      <c r="E430" s="192"/>
      <c r="H430" s="162"/>
    </row>
    <row r="431" spans="1:8" hidden="1" outlineLevel="1" x14ac:dyDescent="0.3">
      <c r="C431" s="192" t="s">
        <v>1138</v>
      </c>
      <c r="D431" s="192" t="s">
        <v>1117</v>
      </c>
      <c r="E431" s="192"/>
      <c r="H431" s="162"/>
    </row>
    <row r="432" spans="1:8" hidden="1" outlineLevel="1" x14ac:dyDescent="0.3">
      <c r="C432" s="192" t="s">
        <v>1139</v>
      </c>
      <c r="D432" s="192" t="s">
        <v>1119</v>
      </c>
      <c r="E432" s="192"/>
      <c r="H432" s="162"/>
    </row>
    <row r="433" spans="3:8" hidden="1" outlineLevel="1" x14ac:dyDescent="0.3">
      <c r="C433" s="192" t="s">
        <v>1140</v>
      </c>
      <c r="D433" s="192" t="s">
        <v>1119</v>
      </c>
      <c r="E433" s="192"/>
      <c r="H433" s="162"/>
    </row>
    <row r="434" spans="3:8" hidden="1" outlineLevel="1" x14ac:dyDescent="0.3">
      <c r="C434" s="192" t="s">
        <v>1141</v>
      </c>
      <c r="D434" s="192" t="s">
        <v>1119</v>
      </c>
      <c r="E434" s="192"/>
      <c r="H434" s="162"/>
    </row>
    <row r="435" spans="3:8" hidden="1" outlineLevel="1" x14ac:dyDescent="0.3">
      <c r="C435" s="192" t="s">
        <v>1142</v>
      </c>
      <c r="D435" s="192" t="s">
        <v>1119</v>
      </c>
      <c r="E435" s="192"/>
      <c r="H435" s="162"/>
    </row>
    <row r="436" spans="3:8" hidden="1" outlineLevel="1" x14ac:dyDescent="0.3">
      <c r="C436" s="192" t="s">
        <v>1143</v>
      </c>
      <c r="D436" s="192" t="s">
        <v>1121</v>
      </c>
      <c r="E436" s="192"/>
      <c r="H436" s="162"/>
    </row>
    <row r="437" spans="3:8" hidden="1" outlineLevel="1" x14ac:dyDescent="0.3">
      <c r="C437" s="192" t="s">
        <v>1144</v>
      </c>
      <c r="D437" s="192" t="s">
        <v>1121</v>
      </c>
      <c r="E437" s="192"/>
      <c r="H437" s="162"/>
    </row>
    <row r="438" spans="3:8" hidden="1" outlineLevel="1" x14ac:dyDescent="0.3">
      <c r="C438" s="192" t="s">
        <v>1145</v>
      </c>
      <c r="D438" s="192" t="s">
        <v>1121</v>
      </c>
      <c r="E438" s="192"/>
      <c r="H438" s="162"/>
    </row>
    <row r="439" spans="3:8" hidden="1" outlineLevel="1" x14ac:dyDescent="0.3">
      <c r="C439" s="192" t="s">
        <v>1146</v>
      </c>
      <c r="D439" s="192" t="s">
        <v>1121</v>
      </c>
      <c r="E439" s="192"/>
      <c r="H439" s="162"/>
    </row>
    <row r="440" spans="3:8" hidden="1" outlineLevel="1" x14ac:dyDescent="0.3">
      <c r="C440" s="192" t="s">
        <v>1147</v>
      </c>
      <c r="D440" s="192" t="s">
        <v>1121</v>
      </c>
      <c r="E440" s="192"/>
      <c r="H440" s="162"/>
    </row>
    <row r="441" spans="3:8" ht="15" hidden="1" outlineLevel="1" thickBot="1" x14ac:dyDescent="0.35">
      <c r="C441" s="192" t="s">
        <v>1148</v>
      </c>
      <c r="D441" s="192" t="s">
        <v>1121</v>
      </c>
      <c r="E441" s="192"/>
      <c r="H441" s="163"/>
    </row>
    <row r="442" spans="3:8" hidden="1" outlineLevel="1" x14ac:dyDescent="0.3">
      <c r="C442" s="192" t="s">
        <v>1149</v>
      </c>
      <c r="D442" s="192" t="s">
        <v>1121</v>
      </c>
      <c r="E442" s="192"/>
    </row>
    <row r="443" spans="3:8" hidden="1" outlineLevel="1" x14ac:dyDescent="0.3">
      <c r="C443" s="192" t="s">
        <v>1150</v>
      </c>
      <c r="D443" s="192" t="s">
        <v>1121</v>
      </c>
      <c r="E443" s="192"/>
    </row>
    <row r="444" spans="3:8" hidden="1" outlineLevel="1" x14ac:dyDescent="0.3">
      <c r="C444" t="s">
        <v>1151</v>
      </c>
      <c r="D444" s="192" t="s">
        <v>1123</v>
      </c>
      <c r="E444" s="192"/>
    </row>
    <row r="445" spans="3:8" hidden="1" outlineLevel="1" x14ac:dyDescent="0.3">
      <c r="C445" s="192" t="s">
        <v>1152</v>
      </c>
      <c r="D445" s="192" t="s">
        <v>1123</v>
      </c>
      <c r="E445" s="192"/>
    </row>
    <row r="446" spans="3:8" hidden="1" outlineLevel="1" x14ac:dyDescent="0.3">
      <c r="C446" s="192" t="s">
        <v>1153</v>
      </c>
      <c r="D446" s="192" t="s">
        <v>1123</v>
      </c>
      <c r="E446" s="192"/>
    </row>
    <row r="447" spans="3:8" hidden="1" outlineLevel="1" x14ac:dyDescent="0.3">
      <c r="C447" s="192"/>
      <c r="D447" s="192"/>
      <c r="E447" s="192"/>
    </row>
    <row r="448" spans="3:8" hidden="1" outlineLevel="1" x14ac:dyDescent="0.3">
      <c r="D448" s="192"/>
      <c r="E448" s="192"/>
    </row>
    <row r="449" spans="3:35" hidden="1" outlineLevel="1" x14ac:dyDescent="0.3">
      <c r="D449" s="192"/>
      <c r="E449" s="192"/>
    </row>
    <row r="450" spans="3:35" ht="15" hidden="1" outlineLevel="1" thickBot="1" x14ac:dyDescent="0.35">
      <c r="C450" s="372" t="s">
        <v>1154</v>
      </c>
      <c r="E450" s="192"/>
      <c r="AA450" s="372" t="s">
        <v>1155</v>
      </c>
      <c r="AB450" s="372">
        <f>Analysis_Help!D4</f>
        <v>0</v>
      </c>
      <c r="AC450" s="261" t="s">
        <v>1156</v>
      </c>
      <c r="AD450" s="170"/>
      <c r="AE450" s="170"/>
      <c r="AF450" s="170"/>
      <c r="AG450" s="170"/>
    </row>
    <row r="451" spans="3:35" ht="15" hidden="1" outlineLevel="1" thickBot="1" x14ac:dyDescent="0.35">
      <c r="C451" t="s">
        <v>1157</v>
      </c>
      <c r="D451" s="192"/>
      <c r="E451" s="192"/>
      <c r="AC451" s="218"/>
      <c r="AD451" s="219"/>
      <c r="AE451" s="219"/>
      <c r="AF451" s="219"/>
      <c r="AG451" s="220"/>
    </row>
    <row r="452" spans="3:35" hidden="1" outlineLevel="1" x14ac:dyDescent="0.3">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ref="AH452">_xlfn.IFNA(_xlfn.IFS(AI452="----","",AI452&lt;&gt;"----",ISNUMBER(MATCH(AI452,AI494:AI509,0))),"FALSE")</f>
        <v/>
      </c>
      <c r="AI452" t="str">
        <f>_xlfn.TEXTJOIN("-",FALSE,AC452:AG452)</f>
        <v>----</v>
      </c>
    </row>
    <row r="453" spans="3:35" hidden="1" outlineLevel="1" x14ac:dyDescent="0.3">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x14ac:dyDescent="0.3">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x14ac:dyDescent="0.3">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x14ac:dyDescent="0.3">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x14ac:dyDescent="0.3">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x14ac:dyDescent="0.3">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x14ac:dyDescent="0.3">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x14ac:dyDescent="0.3">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x14ac:dyDescent="0.3">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x14ac:dyDescent="0.3">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x14ac:dyDescent="0.3">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x14ac:dyDescent="0.3">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x14ac:dyDescent="0.3">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x14ac:dyDescent="0.3">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 hidden="1" outlineLevel="1" thickBot="1" x14ac:dyDescent="0.35">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x14ac:dyDescent="0.3">
      <c r="C468" s="192"/>
      <c r="D468" s="192"/>
      <c r="E468" s="192"/>
    </row>
    <row r="469" spans="3:35" hidden="1" outlineLevel="1" x14ac:dyDescent="0.3">
      <c r="C469" s="192"/>
      <c r="D469" s="192"/>
      <c r="E469" s="192"/>
    </row>
    <row r="470" spans="3:35" hidden="1" outlineLevel="1" x14ac:dyDescent="0.3">
      <c r="C470" s="192"/>
      <c r="D470" s="192"/>
      <c r="E470" s="192"/>
    </row>
    <row r="471" spans="3:35" hidden="1" outlineLevel="1" x14ac:dyDescent="0.3">
      <c r="C471" s="192"/>
      <c r="D471" s="192"/>
      <c r="E471" s="192"/>
    </row>
    <row r="472" spans="3:35" hidden="1" outlineLevel="1" x14ac:dyDescent="0.3">
      <c r="C472" s="192"/>
      <c r="D472" s="192"/>
      <c r="E472" s="192"/>
    </row>
    <row r="473" spans="3:35" hidden="1" outlineLevel="1" x14ac:dyDescent="0.3">
      <c r="C473" s="192"/>
      <c r="D473" s="192"/>
      <c r="E473" s="192"/>
    </row>
    <row r="474" spans="3:35" hidden="1" outlineLevel="1" x14ac:dyDescent="0.3">
      <c r="C474" s="192"/>
      <c r="D474" s="192"/>
      <c r="E474" s="192"/>
    </row>
    <row r="475" spans="3:35" hidden="1" outlineLevel="1" x14ac:dyDescent="0.3"/>
    <row r="476" spans="3:35" hidden="1" outlineLevel="1" x14ac:dyDescent="0.3"/>
    <row r="477" spans="3:35" hidden="1" outlineLevel="1" x14ac:dyDescent="0.3"/>
    <row r="478" spans="3:35" hidden="1" outlineLevel="1" x14ac:dyDescent="0.3">
      <c r="C478" s="372" t="s">
        <v>1158</v>
      </c>
      <c r="D478" s="192"/>
      <c r="E478" s="192"/>
    </row>
    <row r="479" spans="3:35" hidden="1" outlineLevel="1" x14ac:dyDescent="0.3">
      <c r="C479" s="192" t="str" cm="1">
        <f t="array" ref="C479">IFERROR(_xlfn._xlws.FILTER(JournalAnswer[Accnt Type]:JournalAnswer[Cr Amt],JournalAnswer[Transaction '#]=AB450,"No Entry Found"),"")</f>
        <v>No Entry Found</v>
      </c>
      <c r="D479" s="192"/>
      <c r="E479" s="192"/>
    </row>
    <row r="480" spans="3:35" hidden="1" outlineLevel="1" x14ac:dyDescent="0.3">
      <c r="C480" s="192"/>
      <c r="D480" s="192"/>
      <c r="E480" s="192"/>
    </row>
    <row r="481" spans="3:35" hidden="1" outlineLevel="1" x14ac:dyDescent="0.3">
      <c r="C481" s="192"/>
      <c r="D481" s="192"/>
      <c r="E481" s="192"/>
    </row>
    <row r="482" spans="3:35" hidden="1" outlineLevel="1" x14ac:dyDescent="0.3">
      <c r="C482" s="192"/>
      <c r="D482" s="192"/>
      <c r="E482" s="192"/>
    </row>
    <row r="483" spans="3:35" hidden="1" outlineLevel="1" x14ac:dyDescent="0.3">
      <c r="C483" s="192"/>
      <c r="D483" s="192"/>
      <c r="E483" s="192"/>
    </row>
    <row r="484" spans="3:35" hidden="1" outlineLevel="1" x14ac:dyDescent="0.3">
      <c r="C484" s="192"/>
      <c r="D484" s="192"/>
      <c r="E484" s="192"/>
    </row>
    <row r="485" spans="3:35" hidden="1" outlineLevel="1" x14ac:dyDescent="0.3">
      <c r="C485" s="192"/>
      <c r="D485" s="192"/>
      <c r="E485" s="192"/>
    </row>
    <row r="486" spans="3:35" hidden="1" outlineLevel="1" x14ac:dyDescent="0.3">
      <c r="C486" s="192"/>
      <c r="D486" s="192"/>
      <c r="E486" s="192"/>
    </row>
    <row r="487" spans="3:35" hidden="1" outlineLevel="1" x14ac:dyDescent="0.3">
      <c r="C487" s="192"/>
      <c r="D487" s="192"/>
      <c r="E487" s="192"/>
    </row>
    <row r="488" spans="3:35" hidden="1" outlineLevel="1" x14ac:dyDescent="0.3">
      <c r="C488" s="192"/>
      <c r="D488" s="192"/>
      <c r="E488" s="192"/>
    </row>
    <row r="489" spans="3:35" hidden="1" outlineLevel="1" x14ac:dyDescent="0.3">
      <c r="C489" s="192"/>
      <c r="D489" s="192"/>
      <c r="E489" s="192"/>
    </row>
    <row r="490" spans="3:35" hidden="1" outlineLevel="1" x14ac:dyDescent="0.3">
      <c r="C490" s="192"/>
      <c r="D490" s="192"/>
      <c r="E490" s="192"/>
    </row>
    <row r="491" spans="3:35" hidden="1" outlineLevel="1" x14ac:dyDescent="0.3">
      <c r="C491" s="192"/>
      <c r="D491" s="192"/>
      <c r="E491" s="192"/>
    </row>
    <row r="492" spans="3:35" ht="15" hidden="1" outlineLevel="1" thickBot="1" x14ac:dyDescent="0.35">
      <c r="C492" s="192"/>
      <c r="D492" s="192"/>
      <c r="E492" s="192"/>
      <c r="AC492" s="261" t="s">
        <v>1159</v>
      </c>
      <c r="AD492" s="170"/>
      <c r="AE492" s="170"/>
      <c r="AF492" s="170"/>
      <c r="AG492" s="170"/>
    </row>
    <row r="493" spans="3:35" ht="15" hidden="1" outlineLevel="1" thickBot="1" x14ac:dyDescent="0.35">
      <c r="C493" s="192"/>
      <c r="D493" s="192"/>
      <c r="E493" s="192"/>
      <c r="AC493" s="218"/>
      <c r="AD493" s="219"/>
      <c r="AE493" s="219"/>
      <c r="AF493" s="219"/>
      <c r="AG493" s="220"/>
    </row>
    <row r="494" spans="3:35" hidden="1" outlineLevel="1" x14ac:dyDescent="0.3">
      <c r="C494" s="192"/>
      <c r="D494" s="192"/>
      <c r="E494" s="192"/>
      <c r="AC494" s="222" t="str" cm="1">
        <f t="array" ref="AC494">IFERROR(_xlfn._xlws.FILTER(JournalAnswer[Accnt Type]:JournalAnswer[Cr Amt],JournalAnswer[Transaction '#]=AB450,"No Entry Found"),"")</f>
        <v>No Entry Found</v>
      </c>
      <c r="AD494" s="223"/>
      <c r="AE494" s="224"/>
      <c r="AF494" s="225"/>
      <c r="AG494" s="226"/>
      <c r="AI494" t="str">
        <f>_xlfn.TEXTJOIN("-",FALSE,AC494:AG494)</f>
        <v>No Entry Found----</v>
      </c>
    </row>
    <row r="495" spans="3:35" hidden="1" outlineLevel="1" x14ac:dyDescent="0.3">
      <c r="C495" s="192"/>
      <c r="D495" s="192"/>
      <c r="E495" s="192"/>
      <c r="AC495" s="228"/>
      <c r="AD495" s="229"/>
      <c r="AE495" s="172"/>
      <c r="AF495" s="230"/>
      <c r="AG495" s="231"/>
      <c r="AI495" t="str">
        <f t="shared" ref="AI495:AI509" si="12">_xlfn.TEXTJOIN("-",FALSE,AC495:AG495)</f>
        <v>----</v>
      </c>
    </row>
    <row r="496" spans="3:35" hidden="1" outlineLevel="1" x14ac:dyDescent="0.3">
      <c r="C496" s="192"/>
      <c r="D496" s="192"/>
      <c r="E496" s="192"/>
      <c r="AC496" s="228"/>
      <c r="AD496" s="229"/>
      <c r="AE496" s="172"/>
      <c r="AF496" s="230"/>
      <c r="AG496" s="231"/>
      <c r="AI496" t="str">
        <f t="shared" si="12"/>
        <v>----</v>
      </c>
    </row>
    <row r="497" spans="2:35" hidden="1" outlineLevel="1" x14ac:dyDescent="0.3">
      <c r="C497" s="192"/>
      <c r="D497" s="192"/>
      <c r="E497" s="192"/>
      <c r="AC497" s="228"/>
      <c r="AD497" s="229"/>
      <c r="AE497" s="172"/>
      <c r="AF497" s="230"/>
      <c r="AG497" s="231"/>
      <c r="AI497" t="str">
        <f t="shared" si="12"/>
        <v>----</v>
      </c>
    </row>
    <row r="498" spans="2:35" hidden="1" outlineLevel="1" x14ac:dyDescent="0.3">
      <c r="C498" s="192"/>
      <c r="D498" s="192"/>
      <c r="E498" s="192"/>
      <c r="AC498" s="228"/>
      <c r="AD498" s="229"/>
      <c r="AE498" s="172"/>
      <c r="AF498" s="230"/>
      <c r="AG498" s="231"/>
      <c r="AI498" t="str">
        <f t="shared" si="12"/>
        <v>----</v>
      </c>
    </row>
    <row r="499" spans="2:35" hidden="1" outlineLevel="1" x14ac:dyDescent="0.3">
      <c r="C499" s="192"/>
      <c r="D499" s="192"/>
      <c r="E499" s="192"/>
      <c r="AC499" s="228"/>
      <c r="AD499" s="229"/>
      <c r="AE499" s="172"/>
      <c r="AF499" s="230"/>
      <c r="AG499" s="231"/>
      <c r="AI499" t="str">
        <f t="shared" si="12"/>
        <v>----</v>
      </c>
    </row>
    <row r="500" spans="2:35" hidden="1" outlineLevel="1" x14ac:dyDescent="0.3">
      <c r="C500" s="192"/>
      <c r="D500" s="192"/>
      <c r="E500" s="192"/>
      <c r="AC500" s="228"/>
      <c r="AD500" s="229"/>
      <c r="AE500" s="172"/>
      <c r="AF500" s="230"/>
      <c r="AG500" s="231"/>
      <c r="AI500" t="str">
        <f t="shared" si="12"/>
        <v>----</v>
      </c>
    </row>
    <row r="501" spans="2:35" hidden="1" outlineLevel="1" x14ac:dyDescent="0.3">
      <c r="C501" s="192"/>
      <c r="D501" s="192"/>
      <c r="E501" s="192"/>
      <c r="AC501" s="228"/>
      <c r="AD501" s="229"/>
      <c r="AE501" s="172"/>
      <c r="AF501" s="230"/>
      <c r="AG501" s="231"/>
      <c r="AI501" t="str">
        <f t="shared" si="12"/>
        <v>----</v>
      </c>
    </row>
    <row r="502" spans="2:35" hidden="1" outlineLevel="1" x14ac:dyDescent="0.3">
      <c r="C502" s="192"/>
      <c r="D502" s="192"/>
      <c r="E502" s="192"/>
      <c r="AC502" s="228"/>
      <c r="AD502" s="229"/>
      <c r="AE502" s="172"/>
      <c r="AF502" s="230"/>
      <c r="AG502" s="231"/>
      <c r="AI502" t="str">
        <f t="shared" si="12"/>
        <v>----</v>
      </c>
    </row>
    <row r="503" spans="2:35" hidden="1" outlineLevel="1" x14ac:dyDescent="0.3">
      <c r="C503" s="192"/>
      <c r="D503" s="192"/>
      <c r="E503" s="192"/>
      <c r="AC503" s="228"/>
      <c r="AD503" s="229"/>
      <c r="AE503" s="172"/>
      <c r="AF503" s="230"/>
      <c r="AG503" s="231"/>
      <c r="AI503" t="str">
        <f t="shared" si="12"/>
        <v>----</v>
      </c>
    </row>
    <row r="504" spans="2:35" hidden="1" outlineLevel="1" x14ac:dyDescent="0.3">
      <c r="C504" s="192"/>
      <c r="D504" s="192"/>
      <c r="E504" s="192"/>
      <c r="AC504" s="228"/>
      <c r="AD504" s="229"/>
      <c r="AE504" s="172"/>
      <c r="AF504" s="230"/>
      <c r="AG504" s="231"/>
      <c r="AI504" t="str">
        <f t="shared" si="12"/>
        <v>----</v>
      </c>
    </row>
    <row r="505" spans="2:35" hidden="1" outlineLevel="1" x14ac:dyDescent="0.3">
      <c r="C505" s="192"/>
      <c r="D505" s="192"/>
      <c r="E505" s="192"/>
      <c r="AC505" s="228"/>
      <c r="AD505" s="229"/>
      <c r="AE505" s="172"/>
      <c r="AF505" s="230"/>
      <c r="AG505" s="231"/>
      <c r="AI505" t="str">
        <f t="shared" si="12"/>
        <v>----</v>
      </c>
    </row>
    <row r="506" spans="2:35" hidden="1" outlineLevel="1" x14ac:dyDescent="0.3">
      <c r="C506" s="192"/>
      <c r="D506" s="192"/>
      <c r="E506" s="192"/>
      <c r="AC506" s="228"/>
      <c r="AD506" s="229"/>
      <c r="AE506" s="172"/>
      <c r="AF506" s="230"/>
      <c r="AG506" s="231"/>
      <c r="AI506" t="str">
        <f t="shared" si="12"/>
        <v>----</v>
      </c>
    </row>
    <row r="507" spans="2:35" hidden="1" outlineLevel="1" x14ac:dyDescent="0.3">
      <c r="C507" s="192"/>
      <c r="D507" s="192"/>
      <c r="E507" s="192"/>
      <c r="AC507" s="228"/>
      <c r="AD507" s="229"/>
      <c r="AE507" s="172"/>
      <c r="AF507" s="230"/>
      <c r="AG507" s="231"/>
      <c r="AI507" t="str">
        <f t="shared" si="12"/>
        <v>----</v>
      </c>
    </row>
    <row r="508" spans="2:35" hidden="1" outlineLevel="1" x14ac:dyDescent="0.3">
      <c r="C508" s="192"/>
      <c r="D508" s="192"/>
      <c r="E508" s="192"/>
      <c r="AC508" s="228"/>
      <c r="AD508" s="229"/>
      <c r="AE508" s="172"/>
      <c r="AF508" s="230"/>
      <c r="AG508" s="231"/>
      <c r="AI508" t="str">
        <f t="shared" si="12"/>
        <v>----</v>
      </c>
    </row>
    <row r="509" spans="2:35" ht="15" hidden="1" outlineLevel="1" thickBot="1" x14ac:dyDescent="0.35">
      <c r="C509" s="192"/>
      <c r="D509" s="192"/>
      <c r="E509" s="192"/>
      <c r="AC509" s="232"/>
      <c r="AD509" s="233"/>
      <c r="AE509" s="234"/>
      <c r="AF509" s="235"/>
      <c r="AG509" s="36"/>
      <c r="AI509" t="str">
        <f t="shared" si="12"/>
        <v>----</v>
      </c>
    </row>
    <row r="510" spans="2:35" hidden="1" outlineLevel="1" x14ac:dyDescent="0.3"/>
    <row r="511" spans="2:35" ht="15" collapsed="1" thickBot="1" x14ac:dyDescent="0.35">
      <c r="AA511" s="5" t="s">
        <v>1160</v>
      </c>
      <c r="AD511">
        <f>16-COUNTIF(AD494:AD509,"")</f>
        <v>0</v>
      </c>
      <c r="AE511">
        <f>16-COUNTIF(AE494:AE509,"")</f>
        <v>0</v>
      </c>
      <c r="AF511" s="216">
        <f>SUM(AF494:AF509)</f>
        <v>0</v>
      </c>
      <c r="AG511" s="216">
        <f>SUM(AG494:AG509)</f>
        <v>0</v>
      </c>
    </row>
    <row r="512" spans="2:35" ht="17.399999999999999" x14ac:dyDescent="0.3">
      <c r="B512" s="17" t="s">
        <v>1161</v>
      </c>
      <c r="C512" s="18"/>
      <c r="D512" s="18"/>
      <c r="E512" s="18"/>
      <c r="F512" s="18"/>
      <c r="G512" s="18"/>
      <c r="H512" s="18"/>
      <c r="I512" s="18"/>
      <c r="J512" s="18"/>
      <c r="K512" s="18"/>
      <c r="L512" s="18"/>
      <c r="M512" s="18"/>
      <c r="N512" s="18"/>
      <c r="AA512">
        <f>Analysis_Help!C163</f>
        <v>0</v>
      </c>
      <c r="AC512" s="404" t="s">
        <v>1162</v>
      </c>
      <c r="AD512" s="405" t="s">
        <v>1163</v>
      </c>
    </row>
    <row r="513" spans="3:30" ht="15" hidden="1" outlineLevel="1" thickBot="1" x14ac:dyDescent="0.35">
      <c r="AA513">
        <f>Analysis_Help!C165</f>
        <v>0</v>
      </c>
      <c r="AC513" s="175" t="e" cm="1" vm="1">
        <f t="array" ref="AC513">_xlfn._xlws.FILTER(AC494:AC509,AD494:AD509&lt;&gt;"")</f>
        <v>#VALUE!</v>
      </c>
      <c r="AD513" s="174" t="e" cm="1" vm="1">
        <f t="array" ref="AD513">_xlfn._xlws.FILTER(AC494:AC509,AE494:AE509&lt;&gt;"")</f>
        <v>#VALUE!</v>
      </c>
    </row>
    <row r="514" spans="3:30" hidden="1" outlineLevel="1" x14ac:dyDescent="0.3">
      <c r="C514" s="310" t="s">
        <v>801</v>
      </c>
      <c r="D514" s="310" t="s">
        <v>585</v>
      </c>
      <c r="F514" s="533" t="s">
        <v>1164</v>
      </c>
      <c r="AA514">
        <f>Analysis_Help!C167</f>
        <v>0</v>
      </c>
      <c r="AC514" s="96"/>
      <c r="AD514" s="97"/>
    </row>
    <row r="515" spans="3:30" hidden="1" outlineLevel="1" x14ac:dyDescent="0.3">
      <c r="C515" s="2" t="s">
        <v>444</v>
      </c>
      <c r="D515" s="532">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hidden="1" outlineLevel="1" x14ac:dyDescent="0.3">
      <c r="C516" s="3" t="s">
        <v>445</v>
      </c>
      <c r="D516" s="532">
        <f>_xlfn.XLOOKUP(MD_ProblemPurposes[[#This Row],[PURPOSE]],ProblemData!$E$27:$E$31,ProblemData!$H$27:$H$31,0)</f>
        <v>1</v>
      </c>
      <c r="F516" s="162" t="str">
        <v>Use the Accounting Identity to analyze transactions.</v>
      </c>
      <c r="AA516" s="5" t="s">
        <v>351</v>
      </c>
      <c r="AC516" s="96"/>
      <c r="AD516" s="97"/>
    </row>
    <row r="517" spans="3:30" hidden="1" outlineLevel="1" x14ac:dyDescent="0.3">
      <c r="C517" s="2" t="s">
        <v>1165</v>
      </c>
      <c r="D517" s="532">
        <f>_xlfn.XLOOKUP(MD_ProblemPurposes[[#This Row],[PURPOSE]],ProblemData!$E$27:$E$31,ProblemData!$H$27:$H$31,0)</f>
        <v>0</v>
      </c>
      <c r="F517" s="162" t="str">
        <v>Practice journal entry notation for analyzing/recording transactions.</v>
      </c>
      <c r="AA517" t="s">
        <v>402</v>
      </c>
      <c r="AB517" t="b">
        <f>ISNUMBER(MATCH(AA513,_xlfn.ANCHORARRAY(AC513),0))</f>
        <v>0</v>
      </c>
      <c r="AC517" s="96"/>
      <c r="AD517" s="97"/>
    </row>
    <row r="518" spans="3:30" hidden="1" outlineLevel="1" x14ac:dyDescent="0.3">
      <c r="C518" s="3" t="s">
        <v>1166</v>
      </c>
      <c r="D518" s="532">
        <f>_xlfn.XLOOKUP(MD_ProblemPurposes[[#This Row],[PURPOSE]],ProblemData!$E$27:$E$31,ProblemData!$H$27:$H$31,0)</f>
        <v>0</v>
      </c>
      <c r="F518" s="162" t="str">
        <v>Use T-account notation for analyzing individual assets, liabilities and equities.</v>
      </c>
      <c r="AA518" t="s">
        <v>401</v>
      </c>
      <c r="AB518" t="b">
        <f>ISNUMBER(MATCH(AA513,_xlfn.ANCHORARRAY(AD513),0))</f>
        <v>0</v>
      </c>
      <c r="AC518" s="96"/>
      <c r="AD518" s="97"/>
    </row>
    <row r="519" spans="3:30" hidden="1" outlineLevel="1" x14ac:dyDescent="0.3">
      <c r="C519" s="2" t="s">
        <v>446</v>
      </c>
      <c r="D519" s="532">
        <f>_xlfn.XLOOKUP(MD_ProblemPurposes[[#This Row],[PURPOSE]],ProblemData!$E$27:$E$31,ProblemData!$H$27:$H$31,0)</f>
        <v>1</v>
      </c>
      <c r="F519" s="162" t="str">
        <v>Understand the role of Temporary accounts.</v>
      </c>
      <c r="AC519" s="96"/>
      <c r="AD519" s="97"/>
    </row>
    <row r="520" spans="3:30" hidden="1" outlineLevel="1" x14ac:dyDescent="0.3">
      <c r="C520" s="3" t="s">
        <v>447</v>
      </c>
      <c r="D520" s="532">
        <f>_xlfn.XLOOKUP(MD_ProblemPurposes[[#This Row],[PURPOSE]],ProblemData!$E$27:$E$31,ProblemData!$H$27:$H$31,0)</f>
        <v>1</v>
      </c>
      <c r="F520" s="162"/>
      <c r="AA520" s="5" t="s">
        <v>352</v>
      </c>
      <c r="AC520" s="96"/>
      <c r="AD520" s="97"/>
    </row>
    <row r="521" spans="3:30" hidden="1" outlineLevel="1" x14ac:dyDescent="0.3">
      <c r="C521" s="2" t="s">
        <v>448</v>
      </c>
      <c r="D521" s="532">
        <f>_xlfn.XLOOKUP(MD_ProblemPurposes[[#This Row],[PURPOSE]],ProblemData!$E$27:$E$31,ProblemData!$H$27:$H$31,0)</f>
        <v>1</v>
      </c>
      <c r="F521" s="162"/>
      <c r="AA521" t="s">
        <v>402</v>
      </c>
      <c r="AB521" t="b">
        <f>ISNUMBER(MATCH(AA514,AD494:AD509,0))</f>
        <v>0</v>
      </c>
      <c r="AC521" s="96"/>
      <c r="AD521" s="97"/>
    </row>
    <row r="522" spans="3:30" hidden="1" outlineLevel="1" x14ac:dyDescent="0.3">
      <c r="C522" s="3" t="s">
        <v>1167</v>
      </c>
      <c r="D522" s="532">
        <f>_xlfn.XLOOKUP(MD_ProblemPurposes[[#This Row],[PURPOSE]],ProblemData!$E$27:$E$31,ProblemData!$H$27:$H$31,0)</f>
        <v>0</v>
      </c>
      <c r="F522" s="162"/>
      <c r="AA522" t="s">
        <v>401</v>
      </c>
      <c r="AB522" t="b">
        <f>ISNUMBER(MATCH(AA514,AE494:AE509,0))</f>
        <v>0</v>
      </c>
      <c r="AC522" s="96"/>
      <c r="AD522" s="97"/>
    </row>
    <row r="523" spans="3:30" hidden="1" outlineLevel="1" x14ac:dyDescent="0.3">
      <c r="C523" s="2" t="s">
        <v>1168</v>
      </c>
      <c r="D523" s="532">
        <f>_xlfn.XLOOKUP(MD_ProblemPurposes[[#This Row],[PURPOSE]],ProblemData!$E$27:$E$31,ProblemData!$H$27:$H$31,0)</f>
        <v>0</v>
      </c>
      <c r="F523" s="162"/>
      <c r="AC523" s="96"/>
      <c r="AD523" s="97"/>
    </row>
    <row r="524" spans="3:30" hidden="1" outlineLevel="1" x14ac:dyDescent="0.3">
      <c r="C524" s="3" t="s">
        <v>1169</v>
      </c>
      <c r="D524" s="532">
        <f>_xlfn.XLOOKUP(MD_ProblemPurposes[[#This Row],[PURPOSE]],ProblemData!$E$27:$E$31,ProblemData!$H$27:$H$31,0)</f>
        <v>0</v>
      </c>
      <c r="F524" s="162"/>
      <c r="AC524" s="96"/>
      <c r="AD524" s="97"/>
    </row>
    <row r="525" spans="3:30" hidden="1" outlineLevel="1" x14ac:dyDescent="0.3">
      <c r="C525" s="2" t="s">
        <v>1170</v>
      </c>
      <c r="D525" s="532">
        <f>_xlfn.XLOOKUP(MD_ProblemPurposes[[#This Row],[PURPOSE]],ProblemData!$E$27:$E$31,ProblemData!$H$27:$H$31,0)</f>
        <v>0</v>
      </c>
      <c r="F525" s="162"/>
      <c r="AC525" s="96"/>
      <c r="AD525" s="97"/>
    </row>
    <row r="526" spans="3:30" hidden="1" outlineLevel="1" x14ac:dyDescent="0.3">
      <c r="C526" s="3" t="s">
        <v>1171</v>
      </c>
      <c r="D526" s="532">
        <f>_xlfn.XLOOKUP(MD_ProblemPurposes[[#This Row],[PURPOSE]],ProblemData!$E$27:$E$31,ProblemData!$H$27:$H$31,0)</f>
        <v>0</v>
      </c>
      <c r="F526" s="162"/>
      <c r="AC526" s="96"/>
      <c r="AD526" s="97"/>
    </row>
    <row r="527" spans="3:30" ht="15" hidden="1" outlineLevel="1" thickBot="1" x14ac:dyDescent="0.35">
      <c r="C527" s="2" t="s">
        <v>1172</v>
      </c>
      <c r="D527" s="532">
        <f>_xlfn.XLOOKUP(MD_ProblemPurposes[[#This Row],[PURPOSE]],ProblemData!$E$27:$E$31,ProblemData!$H$27:$H$31,0)</f>
        <v>0</v>
      </c>
      <c r="F527" s="162"/>
      <c r="AC527" s="98"/>
      <c r="AD527" s="99"/>
    </row>
    <row r="528" spans="3:30" hidden="1" outlineLevel="1" x14ac:dyDescent="0.3">
      <c r="C528" s="3" t="s">
        <v>1173</v>
      </c>
      <c r="D528" s="532">
        <f>_xlfn.XLOOKUP(MD_ProblemPurposes[[#This Row],[PURPOSE]],ProblemData!$E$27:$E$31,ProblemData!$H$27:$H$31,0)</f>
        <v>0</v>
      </c>
      <c r="F528" s="162"/>
    </row>
    <row r="529" spans="3:6" hidden="1" outlineLevel="1" x14ac:dyDescent="0.3">
      <c r="C529" s="2" t="s">
        <v>1174</v>
      </c>
      <c r="D529" s="532">
        <f>_xlfn.XLOOKUP(MD_ProblemPurposes[[#This Row],[PURPOSE]],ProblemData!$E$27:$E$31,ProblemData!$H$27:$H$31,0)</f>
        <v>0</v>
      </c>
      <c r="F529" s="162"/>
    </row>
    <row r="530" spans="3:6" hidden="1" outlineLevel="1" x14ac:dyDescent="0.3">
      <c r="C530" s="3" t="s">
        <v>1175</v>
      </c>
      <c r="D530" s="532">
        <f>_xlfn.XLOOKUP(MD_ProblemPurposes[[#This Row],[PURPOSE]],ProblemData!$E$27:$E$31,ProblemData!$H$27:$H$31,0)</f>
        <v>0</v>
      </c>
      <c r="F530" s="162"/>
    </row>
    <row r="531" spans="3:6" hidden="1" outlineLevel="1" x14ac:dyDescent="0.3">
      <c r="C531" s="3" t="s">
        <v>1176</v>
      </c>
      <c r="D531" s="532">
        <f>_xlfn.XLOOKUP(MD_ProblemPurposes[[#This Row],[PURPOSE]],ProblemData!$E$27:$E$31,ProblemData!$H$27:$H$31,0)</f>
        <v>0</v>
      </c>
      <c r="F531" s="162"/>
    </row>
    <row r="532" spans="3:6" hidden="1" outlineLevel="1" x14ac:dyDescent="0.3">
      <c r="C532" s="3" t="s">
        <v>1177</v>
      </c>
      <c r="D532" s="532">
        <f>_xlfn.XLOOKUP(MD_ProblemPurposes[[#This Row],[PURPOSE]],ProblemData!$E$27:$E$31,ProblemData!$H$27:$H$31,0)</f>
        <v>0</v>
      </c>
      <c r="F532" s="162"/>
    </row>
    <row r="533" spans="3:6" hidden="1" outlineLevel="1" x14ac:dyDescent="0.3">
      <c r="C533" s="3" t="s">
        <v>1178</v>
      </c>
      <c r="D533" s="532">
        <f>_xlfn.XLOOKUP(MD_ProblemPurposes[[#This Row],[PURPOSE]],ProblemData!$E$27:$E$31,ProblemData!$H$27:$H$31,0)</f>
        <v>0</v>
      </c>
      <c r="F533" s="162"/>
    </row>
    <row r="534" spans="3:6" ht="15" hidden="1" outlineLevel="1" thickBot="1" x14ac:dyDescent="0.35">
      <c r="C534" s="48" t="s">
        <v>1179</v>
      </c>
      <c r="D534" s="532">
        <f>_xlfn.XLOOKUP(MD_ProblemPurposes[[#This Row],[PURPOSE]],ProblemData!$E$27:$E$31,ProblemData!$H$27:$H$31,0)</f>
        <v>0</v>
      </c>
      <c r="F534" s="163"/>
    </row>
    <row r="535" spans="3:6" hidden="1" outlineLevel="1" x14ac:dyDescent="0.3"/>
    <row r="536" spans="3:6" hidden="1" outlineLevel="1" x14ac:dyDescent="0.3"/>
    <row r="537" spans="3:6" hidden="1" outlineLevel="1" x14ac:dyDescent="0.3"/>
    <row r="538" spans="3:6" hidden="1" outlineLevel="1" x14ac:dyDescent="0.3"/>
    <row r="539" spans="3:6" hidden="1" outlineLevel="1" x14ac:dyDescent="0.3">
      <c r="C539" t="s">
        <v>325</v>
      </c>
    </row>
    <row r="540" spans="3:6" hidden="1" outlineLevel="1" x14ac:dyDescent="0.3">
      <c r="C540" t="s">
        <v>153</v>
      </c>
    </row>
    <row r="541" spans="3:6" hidden="1" outlineLevel="1" x14ac:dyDescent="0.3">
      <c r="C541" t="s">
        <v>457</v>
      </c>
    </row>
    <row r="542" spans="3:6" hidden="1" outlineLevel="1" x14ac:dyDescent="0.3">
      <c r="C542" t="s">
        <v>459</v>
      </c>
    </row>
    <row r="543" spans="3:6" hidden="1" outlineLevel="1" x14ac:dyDescent="0.3">
      <c r="C543" t="s">
        <v>94</v>
      </c>
    </row>
    <row r="544" spans="3:6" hidden="1" outlineLevel="1" x14ac:dyDescent="0.3">
      <c r="C544" t="s">
        <v>192</v>
      </c>
    </row>
    <row r="545" spans="3:4" hidden="1" outlineLevel="1" x14ac:dyDescent="0.3">
      <c r="C545" t="s">
        <v>461</v>
      </c>
    </row>
    <row r="546" spans="3:4" hidden="1" outlineLevel="1" x14ac:dyDescent="0.3">
      <c r="C546" t="s">
        <v>462</v>
      </c>
    </row>
    <row r="547" spans="3:4" hidden="1" outlineLevel="1" x14ac:dyDescent="0.3">
      <c r="C547" t="s">
        <v>463</v>
      </c>
    </row>
    <row r="548" spans="3:4" hidden="1" outlineLevel="1" x14ac:dyDescent="0.3">
      <c r="C548" t="s">
        <v>465</v>
      </c>
    </row>
    <row r="549" spans="3:4" hidden="1" outlineLevel="1" x14ac:dyDescent="0.3">
      <c r="C549" t="s">
        <v>97</v>
      </c>
    </row>
    <row r="550" spans="3:4" hidden="1" outlineLevel="1" x14ac:dyDescent="0.3"/>
    <row r="551" spans="3:4" hidden="1" outlineLevel="1" x14ac:dyDescent="0.3">
      <c r="C551" s="313" t="s">
        <v>803</v>
      </c>
    </row>
    <row r="552" spans="3:4" hidden="1" outlineLevel="1" x14ac:dyDescent="0.3">
      <c r="C552" s="4" t="s">
        <v>1180</v>
      </c>
    </row>
    <row r="553" spans="3:4" hidden="1" outlineLevel="1" x14ac:dyDescent="0.3">
      <c r="C553" s="3" t="s">
        <v>1181</v>
      </c>
    </row>
    <row r="554" spans="3:4" hidden="1" outlineLevel="1" x14ac:dyDescent="0.3">
      <c r="C554" s="2" t="s">
        <v>1182</v>
      </c>
    </row>
    <row r="555" spans="3:4" hidden="1" outlineLevel="1" x14ac:dyDescent="0.3">
      <c r="C555" s="3" t="s">
        <v>1183</v>
      </c>
      <c r="D555" s="11"/>
    </row>
    <row r="556" spans="3:4" hidden="1" outlineLevel="1" x14ac:dyDescent="0.3">
      <c r="C556" s="2" t="s">
        <v>1184</v>
      </c>
    </row>
    <row r="557" spans="3:4" hidden="1" outlineLevel="1" x14ac:dyDescent="0.3">
      <c r="C557" s="3" t="s">
        <v>1185</v>
      </c>
    </row>
    <row r="558" spans="3:4" hidden="1" outlineLevel="1" x14ac:dyDescent="0.3">
      <c r="C558" s="2" t="s">
        <v>1186</v>
      </c>
    </row>
    <row r="559" spans="3:4" hidden="1" outlineLevel="1" x14ac:dyDescent="0.3">
      <c r="C559" s="3" t="s">
        <v>1187</v>
      </c>
    </row>
    <row r="560" spans="3:4" hidden="1" outlineLevel="1" x14ac:dyDescent="0.3">
      <c r="C560" s="2" t="s">
        <v>1188</v>
      </c>
    </row>
    <row r="561" spans="2:7" hidden="1" outlineLevel="1" x14ac:dyDescent="0.3">
      <c r="C561" s="3" t="s">
        <v>1189</v>
      </c>
    </row>
    <row r="562" spans="2:7" hidden="1" outlineLevel="1" x14ac:dyDescent="0.3">
      <c r="C562" s="46" t="s">
        <v>1190</v>
      </c>
    </row>
    <row r="563" spans="2:7" hidden="1" outlineLevel="1" x14ac:dyDescent="0.3"/>
    <row r="564" spans="2:7" hidden="1" outlineLevel="1" x14ac:dyDescent="0.3"/>
    <row r="565" spans="2:7" hidden="1" outlineLevel="1" x14ac:dyDescent="0.3"/>
    <row r="566" spans="2:7" hidden="1" outlineLevel="1" x14ac:dyDescent="0.3"/>
    <row r="567" spans="2:7" hidden="1" outlineLevel="1" x14ac:dyDescent="0.3"/>
    <row r="568" spans="2:7" hidden="1" outlineLevel="1" x14ac:dyDescent="0.3"/>
    <row r="569" spans="2:7" hidden="1" outlineLevel="1" x14ac:dyDescent="0.3"/>
    <row r="570" spans="2:7" hidden="1" outlineLevel="1" x14ac:dyDescent="0.3"/>
    <row r="571" spans="2:7" hidden="1" outlineLevel="1" x14ac:dyDescent="0.3"/>
    <row r="572" spans="2:7" hidden="1" outlineLevel="1" x14ac:dyDescent="0.3">
      <c r="G572" s="11"/>
    </row>
    <row r="573" spans="2:7" hidden="1" outlineLevel="1" x14ac:dyDescent="0.3">
      <c r="B573" s="43" t="s">
        <v>1191</v>
      </c>
      <c r="C573" s="44" t="s">
        <v>803</v>
      </c>
      <c r="D573" s="44" t="s">
        <v>450</v>
      </c>
      <c r="E573" s="45" t="s">
        <v>432</v>
      </c>
    </row>
    <row r="574" spans="2:7" hidden="1" outlineLevel="1" x14ac:dyDescent="0.3">
      <c r="B574" s="49" t="s">
        <v>504</v>
      </c>
      <c r="C574" s="50" t="s">
        <v>1180</v>
      </c>
      <c r="D574" s="47" t="s">
        <v>1192</v>
      </c>
      <c r="E574" s="51">
        <v>1</v>
      </c>
    </row>
    <row r="575" spans="2:7" hidden="1" outlineLevel="1" x14ac:dyDescent="0.3">
      <c r="B575" s="52" t="s">
        <v>504</v>
      </c>
      <c r="C575" s="48" t="s">
        <v>1181</v>
      </c>
      <c r="D575" s="14" t="s">
        <v>1193</v>
      </c>
      <c r="E575" s="53">
        <v>1</v>
      </c>
    </row>
    <row r="576" spans="2:7" hidden="1" outlineLevel="1" x14ac:dyDescent="0.3">
      <c r="B576" s="49" t="s">
        <v>504</v>
      </c>
      <c r="C576" s="46" t="s">
        <v>1182</v>
      </c>
      <c r="D576" s="47" t="s">
        <v>458</v>
      </c>
      <c r="E576" s="51">
        <v>1</v>
      </c>
    </row>
    <row r="577" spans="2:5" hidden="1" outlineLevel="1" x14ac:dyDescent="0.3">
      <c r="B577" s="52" t="s">
        <v>504</v>
      </c>
      <c r="C577" s="48" t="s">
        <v>1183</v>
      </c>
      <c r="D577" s="14" t="s">
        <v>458</v>
      </c>
      <c r="E577" s="53">
        <v>1</v>
      </c>
    </row>
    <row r="578" spans="2:5" hidden="1" outlineLevel="1" x14ac:dyDescent="0.3">
      <c r="B578" s="49" t="s">
        <v>504</v>
      </c>
      <c r="C578" s="46" t="s">
        <v>1184</v>
      </c>
      <c r="D578" s="47" t="s">
        <v>1193</v>
      </c>
      <c r="E578" s="51">
        <v>1</v>
      </c>
    </row>
    <row r="579" spans="2:5" hidden="1" outlineLevel="1" x14ac:dyDescent="0.3">
      <c r="B579" s="52" t="s">
        <v>504</v>
      </c>
      <c r="C579" s="48" t="s">
        <v>1185</v>
      </c>
      <c r="D579" s="14" t="s">
        <v>1193</v>
      </c>
      <c r="E579" s="53">
        <v>1</v>
      </c>
    </row>
    <row r="580" spans="2:5" hidden="1" outlineLevel="1" x14ac:dyDescent="0.3">
      <c r="B580" s="49" t="s">
        <v>504</v>
      </c>
      <c r="C580" s="46" t="s">
        <v>1186</v>
      </c>
      <c r="D580" s="47" t="s">
        <v>1193</v>
      </c>
      <c r="E580" s="51">
        <v>1</v>
      </c>
    </row>
    <row r="581" spans="2:5" hidden="1" outlineLevel="1" x14ac:dyDescent="0.3">
      <c r="B581" s="52" t="s">
        <v>505</v>
      </c>
      <c r="C581" s="48" t="s">
        <v>1194</v>
      </c>
      <c r="D581" s="14" t="s">
        <v>1193</v>
      </c>
      <c r="E581" s="53">
        <v>1</v>
      </c>
    </row>
    <row r="582" spans="2:5" hidden="1" outlineLevel="1" x14ac:dyDescent="0.3">
      <c r="B582" s="49" t="s">
        <v>505</v>
      </c>
      <c r="C582" s="46" t="s">
        <v>1195</v>
      </c>
      <c r="D582" s="47" t="s">
        <v>1196</v>
      </c>
      <c r="E582" s="51">
        <v>1</v>
      </c>
    </row>
    <row r="583" spans="2:5" hidden="1" outlineLevel="1" x14ac:dyDescent="0.3">
      <c r="B583" s="52" t="s">
        <v>505</v>
      </c>
      <c r="C583" s="48" t="s">
        <v>1197</v>
      </c>
      <c r="D583" s="14" t="s">
        <v>1193</v>
      </c>
      <c r="E583" s="53">
        <v>1</v>
      </c>
    </row>
    <row r="584" spans="2:5" hidden="1" outlineLevel="1" x14ac:dyDescent="0.3">
      <c r="B584" s="49" t="s">
        <v>504</v>
      </c>
      <c r="C584" s="50" t="s">
        <v>1180</v>
      </c>
      <c r="D584" s="47" t="s">
        <v>1192</v>
      </c>
      <c r="E584" s="51">
        <v>2</v>
      </c>
    </row>
    <row r="585" spans="2:5" hidden="1" outlineLevel="1" x14ac:dyDescent="0.3">
      <c r="B585" s="52" t="s">
        <v>504</v>
      </c>
      <c r="C585" s="48" t="s">
        <v>1198</v>
      </c>
      <c r="D585" s="14" t="s">
        <v>1199</v>
      </c>
      <c r="E585" s="53">
        <v>2</v>
      </c>
    </row>
    <row r="586" spans="2:5" hidden="1" outlineLevel="1" x14ac:dyDescent="0.3">
      <c r="B586" s="49" t="s">
        <v>504</v>
      </c>
      <c r="C586" s="46" t="s">
        <v>1182</v>
      </c>
      <c r="D586" s="47" t="s">
        <v>458</v>
      </c>
      <c r="E586" s="51">
        <v>2</v>
      </c>
    </row>
    <row r="587" spans="2:5" hidden="1" outlineLevel="1" x14ac:dyDescent="0.3">
      <c r="B587" s="52" t="s">
        <v>504</v>
      </c>
      <c r="C587" s="48" t="s">
        <v>1183</v>
      </c>
      <c r="D587" s="14" t="s">
        <v>458</v>
      </c>
      <c r="E587" s="53">
        <v>2</v>
      </c>
    </row>
    <row r="588" spans="2:5" hidden="1" outlineLevel="1" x14ac:dyDescent="0.3">
      <c r="B588" s="49" t="s">
        <v>504</v>
      </c>
      <c r="C588" s="46" t="s">
        <v>1184</v>
      </c>
      <c r="D588" s="47" t="s">
        <v>1199</v>
      </c>
      <c r="E588" s="51">
        <v>2</v>
      </c>
    </row>
    <row r="589" spans="2:5" hidden="1" outlineLevel="1" x14ac:dyDescent="0.3">
      <c r="B589" s="52" t="s">
        <v>504</v>
      </c>
      <c r="C589" s="48" t="s">
        <v>1185</v>
      </c>
      <c r="D589" s="14" t="s">
        <v>1199</v>
      </c>
      <c r="E589" s="53">
        <v>2</v>
      </c>
    </row>
    <row r="590" spans="2:5" hidden="1" outlineLevel="1" x14ac:dyDescent="0.3">
      <c r="B590" s="49" t="s">
        <v>504</v>
      </c>
      <c r="C590" s="46" t="s">
        <v>1200</v>
      </c>
      <c r="D590" s="47" t="s">
        <v>1199</v>
      </c>
      <c r="E590" s="51">
        <v>2</v>
      </c>
    </row>
    <row r="591" spans="2:5" hidden="1" outlineLevel="1" x14ac:dyDescent="0.3">
      <c r="B591" s="52" t="s">
        <v>504</v>
      </c>
      <c r="C591" s="48" t="s">
        <v>1194</v>
      </c>
      <c r="D591" s="14" t="s">
        <v>1199</v>
      </c>
      <c r="E591" s="53">
        <v>2</v>
      </c>
    </row>
    <row r="592" spans="2:5" hidden="1" outlineLevel="1" x14ac:dyDescent="0.3">
      <c r="B592" s="49" t="s">
        <v>504</v>
      </c>
      <c r="C592" s="46" t="s">
        <v>1195</v>
      </c>
      <c r="D592" s="47" t="s">
        <v>1196</v>
      </c>
      <c r="E592" s="51">
        <v>2</v>
      </c>
    </row>
    <row r="593" spans="2:5" hidden="1" outlineLevel="1" x14ac:dyDescent="0.3">
      <c r="B593" s="52" t="s">
        <v>504</v>
      </c>
      <c r="C593" s="48" t="s">
        <v>1197</v>
      </c>
      <c r="D593" s="14" t="s">
        <v>1199</v>
      </c>
      <c r="E593" s="53">
        <v>2</v>
      </c>
    </row>
    <row r="594" spans="2:5" hidden="1" outlineLevel="1" x14ac:dyDescent="0.3">
      <c r="B594" s="49" t="s">
        <v>504</v>
      </c>
      <c r="C594" s="50" t="s">
        <v>1180</v>
      </c>
      <c r="D594" s="47" t="s">
        <v>1192</v>
      </c>
      <c r="E594" s="51">
        <v>3</v>
      </c>
    </row>
    <row r="595" spans="2:5" hidden="1" outlineLevel="1" x14ac:dyDescent="0.3">
      <c r="B595" s="52" t="s">
        <v>504</v>
      </c>
      <c r="C595" s="48" t="s">
        <v>1198</v>
      </c>
      <c r="D595" s="14" t="s">
        <v>1201</v>
      </c>
      <c r="E595" s="53">
        <v>3</v>
      </c>
    </row>
    <row r="596" spans="2:5" hidden="1" outlineLevel="1" x14ac:dyDescent="0.3">
      <c r="B596" s="49" t="s">
        <v>504</v>
      </c>
      <c r="C596" s="46" t="s">
        <v>1182</v>
      </c>
      <c r="D596" s="47" t="s">
        <v>458</v>
      </c>
      <c r="E596" s="51">
        <v>3</v>
      </c>
    </row>
    <row r="597" spans="2:5" hidden="1" outlineLevel="1" x14ac:dyDescent="0.3">
      <c r="B597" s="52" t="s">
        <v>504</v>
      </c>
      <c r="C597" s="48" t="s">
        <v>1183</v>
      </c>
      <c r="D597" s="14" t="s">
        <v>458</v>
      </c>
      <c r="E597" s="53">
        <v>3</v>
      </c>
    </row>
    <row r="598" spans="2:5" hidden="1" outlineLevel="1" x14ac:dyDescent="0.3">
      <c r="B598" s="49" t="s">
        <v>504</v>
      </c>
      <c r="C598" s="46" t="s">
        <v>1202</v>
      </c>
      <c r="D598" s="47" t="s">
        <v>1201</v>
      </c>
      <c r="E598" s="51">
        <v>3</v>
      </c>
    </row>
    <row r="599" spans="2:5" hidden="1" outlineLevel="1" x14ac:dyDescent="0.3">
      <c r="B599" s="52" t="s">
        <v>504</v>
      </c>
      <c r="C599" s="48" t="s">
        <v>1185</v>
      </c>
      <c r="D599" s="14" t="s">
        <v>1201</v>
      </c>
      <c r="E599" s="53">
        <v>3</v>
      </c>
    </row>
    <row r="600" spans="2:5" hidden="1" outlineLevel="1" x14ac:dyDescent="0.3">
      <c r="B600" s="49" t="s">
        <v>504</v>
      </c>
      <c r="C600" s="46" t="s">
        <v>1200</v>
      </c>
      <c r="D600" s="47" t="s">
        <v>1201</v>
      </c>
      <c r="E600" s="51">
        <v>3</v>
      </c>
    </row>
    <row r="601" spans="2:5" hidden="1" outlineLevel="1" x14ac:dyDescent="0.3">
      <c r="B601" s="52" t="s">
        <v>504</v>
      </c>
      <c r="C601" s="48" t="s">
        <v>1194</v>
      </c>
      <c r="D601" s="14" t="s">
        <v>1201</v>
      </c>
      <c r="E601" s="53">
        <v>3</v>
      </c>
    </row>
    <row r="602" spans="2:5" hidden="1" outlineLevel="1" x14ac:dyDescent="0.3">
      <c r="B602" s="49" t="s">
        <v>504</v>
      </c>
      <c r="C602" s="46" t="s">
        <v>1195</v>
      </c>
      <c r="D602" s="47" t="s">
        <v>1196</v>
      </c>
      <c r="E602" s="51">
        <v>3</v>
      </c>
    </row>
    <row r="603" spans="2:5" hidden="1" outlineLevel="1" x14ac:dyDescent="0.3">
      <c r="B603" s="52" t="s">
        <v>504</v>
      </c>
      <c r="C603" s="48" t="s">
        <v>1197</v>
      </c>
      <c r="D603" s="14" t="s">
        <v>1201</v>
      </c>
      <c r="E603" s="53">
        <v>3</v>
      </c>
    </row>
    <row r="604" spans="2:5" hidden="1" outlineLevel="1" x14ac:dyDescent="0.3">
      <c r="B604" s="49" t="s">
        <v>504</v>
      </c>
      <c r="C604" s="50" t="s">
        <v>1180</v>
      </c>
      <c r="D604" s="47" t="s">
        <v>1192</v>
      </c>
      <c r="E604" s="51">
        <v>4</v>
      </c>
    </row>
    <row r="605" spans="2:5" hidden="1" outlineLevel="1" x14ac:dyDescent="0.3">
      <c r="B605" s="52" t="s">
        <v>504</v>
      </c>
      <c r="C605" s="48" t="s">
        <v>1198</v>
      </c>
      <c r="D605" s="14" t="s">
        <v>1203</v>
      </c>
      <c r="E605" s="53">
        <v>4</v>
      </c>
    </row>
    <row r="606" spans="2:5" hidden="1" outlineLevel="1" x14ac:dyDescent="0.3">
      <c r="B606" s="49" t="s">
        <v>504</v>
      </c>
      <c r="C606" s="46" t="s">
        <v>1182</v>
      </c>
      <c r="D606" s="47" t="s">
        <v>458</v>
      </c>
      <c r="E606" s="51">
        <v>4</v>
      </c>
    </row>
    <row r="607" spans="2:5" hidden="1" outlineLevel="1" x14ac:dyDescent="0.3">
      <c r="B607" s="52" t="s">
        <v>504</v>
      </c>
      <c r="C607" s="48" t="s">
        <v>1183</v>
      </c>
      <c r="D607" s="14" t="s">
        <v>458</v>
      </c>
      <c r="E607" s="53">
        <v>4</v>
      </c>
    </row>
    <row r="608" spans="2:5" hidden="1" outlineLevel="1" x14ac:dyDescent="0.3">
      <c r="B608" s="49" t="s">
        <v>504</v>
      </c>
      <c r="C608" s="46" t="s">
        <v>1202</v>
      </c>
      <c r="D608" s="47" t="s">
        <v>1203</v>
      </c>
      <c r="E608" s="51">
        <v>4</v>
      </c>
    </row>
    <row r="609" spans="2:5" hidden="1" outlineLevel="1" x14ac:dyDescent="0.3">
      <c r="B609" s="52" t="s">
        <v>504</v>
      </c>
      <c r="C609" s="48" t="s">
        <v>1204</v>
      </c>
      <c r="D609" s="14" t="s">
        <v>1203</v>
      </c>
      <c r="E609" s="53">
        <v>4</v>
      </c>
    </row>
    <row r="610" spans="2:5" hidden="1" outlineLevel="1" x14ac:dyDescent="0.3">
      <c r="B610" s="49" t="s">
        <v>504</v>
      </c>
      <c r="C610" s="46" t="s">
        <v>1200</v>
      </c>
      <c r="D610" s="47" t="s">
        <v>1203</v>
      </c>
      <c r="E610" s="51">
        <v>4</v>
      </c>
    </row>
    <row r="611" spans="2:5" hidden="1" outlineLevel="1" x14ac:dyDescent="0.3">
      <c r="B611" s="52" t="s">
        <v>504</v>
      </c>
      <c r="C611" s="48" t="s">
        <v>1194</v>
      </c>
      <c r="D611" s="14" t="s">
        <v>1203</v>
      </c>
      <c r="E611" s="53">
        <v>4</v>
      </c>
    </row>
    <row r="612" spans="2:5" hidden="1" outlineLevel="1" x14ac:dyDescent="0.3">
      <c r="B612" s="49" t="s">
        <v>504</v>
      </c>
      <c r="C612" s="46" t="s">
        <v>1195</v>
      </c>
      <c r="D612" s="47" t="s">
        <v>1196</v>
      </c>
      <c r="E612" s="51">
        <v>4</v>
      </c>
    </row>
    <row r="613" spans="2:5" hidden="1" outlineLevel="1" x14ac:dyDescent="0.3">
      <c r="B613" s="52" t="s">
        <v>504</v>
      </c>
      <c r="C613" s="48" t="s">
        <v>1197</v>
      </c>
      <c r="D613" s="14" t="s">
        <v>1203</v>
      </c>
      <c r="E613" s="53">
        <v>4</v>
      </c>
    </row>
    <row r="614" spans="2:5" hidden="1" outlineLevel="1" x14ac:dyDescent="0.3">
      <c r="B614" s="49" t="s">
        <v>504</v>
      </c>
      <c r="C614" s="50" t="s">
        <v>1180</v>
      </c>
      <c r="D614" s="47" t="s">
        <v>1192</v>
      </c>
      <c r="E614" s="51">
        <v>5</v>
      </c>
    </row>
    <row r="615" spans="2:5" hidden="1" outlineLevel="1" x14ac:dyDescent="0.3">
      <c r="B615" s="52" t="s">
        <v>504</v>
      </c>
      <c r="C615" s="48" t="s">
        <v>1198</v>
      </c>
      <c r="D615" s="14" t="s">
        <v>1205</v>
      </c>
      <c r="E615" s="53">
        <v>5</v>
      </c>
    </row>
    <row r="616" spans="2:5" hidden="1" outlineLevel="1" x14ac:dyDescent="0.3">
      <c r="B616" s="49" t="s">
        <v>504</v>
      </c>
      <c r="C616" s="46" t="s">
        <v>1182</v>
      </c>
      <c r="D616" s="47" t="s">
        <v>458</v>
      </c>
      <c r="E616" s="51">
        <v>5</v>
      </c>
    </row>
    <row r="617" spans="2:5" hidden="1" outlineLevel="1" x14ac:dyDescent="0.3">
      <c r="B617" s="52" t="s">
        <v>504</v>
      </c>
      <c r="C617" s="48" t="s">
        <v>1183</v>
      </c>
      <c r="D617" s="14" t="s">
        <v>458</v>
      </c>
      <c r="E617" s="53">
        <v>5</v>
      </c>
    </row>
    <row r="618" spans="2:5" hidden="1" outlineLevel="1" x14ac:dyDescent="0.3">
      <c r="B618" s="49" t="s">
        <v>504</v>
      </c>
      <c r="C618" s="46" t="s">
        <v>1202</v>
      </c>
      <c r="D618" s="47" t="s">
        <v>1205</v>
      </c>
      <c r="E618" s="51">
        <v>5</v>
      </c>
    </row>
    <row r="619" spans="2:5" hidden="1" outlineLevel="1" x14ac:dyDescent="0.3">
      <c r="B619" s="52" t="s">
        <v>504</v>
      </c>
      <c r="C619" s="48" t="s">
        <v>1204</v>
      </c>
      <c r="D619" s="14" t="s">
        <v>1205</v>
      </c>
      <c r="E619" s="53">
        <v>5</v>
      </c>
    </row>
    <row r="620" spans="2:5" hidden="1" outlineLevel="1" x14ac:dyDescent="0.3">
      <c r="B620" s="49" t="s">
        <v>504</v>
      </c>
      <c r="C620" s="46" t="s">
        <v>1200</v>
      </c>
      <c r="D620" s="47" t="s">
        <v>1205</v>
      </c>
      <c r="E620" s="51">
        <v>5</v>
      </c>
    </row>
    <row r="621" spans="2:5" hidden="1" outlineLevel="1" x14ac:dyDescent="0.3">
      <c r="B621" s="52" t="s">
        <v>504</v>
      </c>
      <c r="C621" s="48" t="s">
        <v>1206</v>
      </c>
      <c r="D621" s="14" t="s">
        <v>1205</v>
      </c>
      <c r="E621" s="53">
        <v>5</v>
      </c>
    </row>
    <row r="622" spans="2:5" hidden="1" outlineLevel="1" x14ac:dyDescent="0.3">
      <c r="B622" s="49" t="s">
        <v>504</v>
      </c>
      <c r="C622" s="46" t="s">
        <v>1195</v>
      </c>
      <c r="D622" s="47" t="s">
        <v>1196</v>
      </c>
      <c r="E622" s="51">
        <v>5</v>
      </c>
    </row>
    <row r="623" spans="2:5" hidden="1" outlineLevel="1" x14ac:dyDescent="0.3">
      <c r="B623" s="52" t="s">
        <v>504</v>
      </c>
      <c r="C623" s="48" t="s">
        <v>1197</v>
      </c>
      <c r="D623" s="14" t="s">
        <v>1205</v>
      </c>
      <c r="E623" s="53">
        <v>5</v>
      </c>
    </row>
    <row r="624" spans="2:5" hidden="1" outlineLevel="1" x14ac:dyDescent="0.3">
      <c r="B624" s="49" t="s">
        <v>504</v>
      </c>
      <c r="C624" s="50" t="s">
        <v>1180</v>
      </c>
      <c r="D624" s="47" t="s">
        <v>1192</v>
      </c>
      <c r="E624" s="51">
        <v>6</v>
      </c>
    </row>
    <row r="625" spans="2:5" hidden="1" outlineLevel="1" x14ac:dyDescent="0.3">
      <c r="B625" s="52" t="s">
        <v>504</v>
      </c>
      <c r="C625" s="48" t="s">
        <v>1198</v>
      </c>
      <c r="D625" s="14" t="s">
        <v>1205</v>
      </c>
      <c r="E625" s="53">
        <v>6</v>
      </c>
    </row>
    <row r="626" spans="2:5" hidden="1" outlineLevel="1" x14ac:dyDescent="0.3">
      <c r="B626" s="49" t="s">
        <v>504</v>
      </c>
      <c r="C626" s="46" t="s">
        <v>1182</v>
      </c>
      <c r="D626" s="47" t="s">
        <v>458</v>
      </c>
      <c r="E626" s="51">
        <v>6</v>
      </c>
    </row>
    <row r="627" spans="2:5" hidden="1" outlineLevel="1" x14ac:dyDescent="0.3">
      <c r="B627" s="52" t="s">
        <v>504</v>
      </c>
      <c r="C627" s="48" t="s">
        <v>1183</v>
      </c>
      <c r="D627" s="14" t="s">
        <v>458</v>
      </c>
      <c r="E627" s="53">
        <v>6</v>
      </c>
    </row>
    <row r="628" spans="2:5" hidden="1" outlineLevel="1" x14ac:dyDescent="0.3">
      <c r="B628" s="49" t="s">
        <v>504</v>
      </c>
      <c r="C628" s="46" t="s">
        <v>1202</v>
      </c>
      <c r="D628" s="47" t="s">
        <v>1205</v>
      </c>
      <c r="E628" s="51">
        <v>6</v>
      </c>
    </row>
    <row r="629" spans="2:5" hidden="1" outlineLevel="1" x14ac:dyDescent="0.3">
      <c r="B629" s="52" t="s">
        <v>504</v>
      </c>
      <c r="C629" s="48" t="s">
        <v>1204</v>
      </c>
      <c r="D629" s="14" t="s">
        <v>1205</v>
      </c>
      <c r="E629" s="53">
        <v>6</v>
      </c>
    </row>
    <row r="630" spans="2:5" hidden="1" outlineLevel="1" x14ac:dyDescent="0.3">
      <c r="B630" s="49" t="s">
        <v>504</v>
      </c>
      <c r="C630" s="46" t="s">
        <v>1200</v>
      </c>
      <c r="D630" s="47" t="s">
        <v>1205</v>
      </c>
      <c r="E630" s="51">
        <v>6</v>
      </c>
    </row>
    <row r="631" spans="2:5" hidden="1" outlineLevel="1" x14ac:dyDescent="0.3">
      <c r="B631" s="54" t="s">
        <v>504</v>
      </c>
      <c r="C631" s="3" t="s">
        <v>1207</v>
      </c>
      <c r="D631" s="8" t="s">
        <v>1205</v>
      </c>
      <c r="E631" s="55">
        <v>6</v>
      </c>
    </row>
    <row r="632" spans="2:5" hidden="1" outlineLevel="1" x14ac:dyDescent="0.3"/>
    <row r="633" spans="2:5" hidden="1" outlineLevel="1" x14ac:dyDescent="0.3"/>
    <row r="634" spans="2:5" hidden="1" outlineLevel="1" x14ac:dyDescent="0.3">
      <c r="C634" t="s">
        <v>40</v>
      </c>
    </row>
    <row r="635" spans="2:5" hidden="1" outlineLevel="1" x14ac:dyDescent="0.3">
      <c r="C635" t="s">
        <v>751</v>
      </c>
    </row>
    <row r="636" spans="2:5" hidden="1" outlineLevel="1" x14ac:dyDescent="0.3">
      <c r="C636" t="s">
        <v>94</v>
      </c>
    </row>
    <row r="637" spans="2:5" hidden="1" outlineLevel="1" x14ac:dyDescent="0.3">
      <c r="C637" t="s">
        <v>192</v>
      </c>
    </row>
    <row r="638" spans="2:5" hidden="1" outlineLevel="1" x14ac:dyDescent="0.3">
      <c r="C638" t="s">
        <v>96</v>
      </c>
    </row>
    <row r="639" spans="2:5" hidden="1" outlineLevel="1" x14ac:dyDescent="0.3">
      <c r="C639" t="s">
        <v>1208</v>
      </c>
    </row>
    <row r="640" spans="2:5" hidden="1" outlineLevel="1" x14ac:dyDescent="0.3"/>
    <row r="641" spans="2:30" hidden="1" outlineLevel="1" x14ac:dyDescent="0.3">
      <c r="C641" t="s">
        <v>1209</v>
      </c>
    </row>
    <row r="642" spans="2:30" hidden="1" outlineLevel="1" x14ac:dyDescent="0.3">
      <c r="C642" t="s">
        <v>1210</v>
      </c>
    </row>
    <row r="643" spans="2:30" hidden="1" outlineLevel="1" x14ac:dyDescent="0.3">
      <c r="C643" t="str">
        <f>"for the "&amp;Period&amp;" Ended"</f>
        <v>for the Three Quarters Ended</v>
      </c>
    </row>
    <row r="644" spans="2:30" hidden="1" outlineLevel="1" x14ac:dyDescent="0.3"/>
    <row r="645" spans="2:30" hidden="1" outlineLevel="1" x14ac:dyDescent="0.3"/>
    <row r="646" spans="2:30" hidden="1" outlineLevel="1" x14ac:dyDescent="0.3">
      <c r="C646" t="s">
        <v>1211</v>
      </c>
    </row>
    <row r="647" spans="2:30" hidden="1" outlineLevel="1" x14ac:dyDescent="0.3">
      <c r="C647" t="str">
        <f>BegDate</f>
        <v>3/31/20X4</v>
      </c>
    </row>
    <row r="648" spans="2:30" hidden="1" outlineLevel="1" x14ac:dyDescent="0.3">
      <c r="C648" t="str">
        <f>EndDate</f>
        <v>12/31/20x4</v>
      </c>
    </row>
    <row r="649" spans="2:30" hidden="1" outlineLevel="1" x14ac:dyDescent="0.3"/>
    <row r="650" spans="2:30" hidden="1" outlineLevel="1" x14ac:dyDescent="0.3"/>
    <row r="651" spans="2:30" hidden="1" outlineLevel="1" x14ac:dyDescent="0.3"/>
    <row r="652" spans="2:30" ht="15" collapsed="1" thickBot="1" x14ac:dyDescent="0.35"/>
    <row r="653" spans="2:30" ht="17.399999999999999" x14ac:dyDescent="0.3">
      <c r="B653" s="17" t="s">
        <v>1212</v>
      </c>
      <c r="C653" s="18"/>
      <c r="D653" s="18"/>
      <c r="E653" s="18"/>
      <c r="F653" s="18"/>
      <c r="G653" s="18"/>
      <c r="H653" s="18"/>
      <c r="I653" s="18"/>
      <c r="J653" s="18"/>
      <c r="K653" s="18"/>
      <c r="L653" s="18"/>
      <c r="M653" s="18"/>
      <c r="N653" s="18"/>
      <c r="AA653" t="str">
        <f>Analysis_Help!C304</f>
        <v/>
      </c>
      <c r="AC653" s="404" t="s">
        <v>1162</v>
      </c>
      <c r="AD653" s="405" t="s">
        <v>1163</v>
      </c>
    </row>
    <row r="655" spans="2:30" x14ac:dyDescent="0.3">
      <c r="C655" t="s">
        <v>40</v>
      </c>
      <c r="D655" t="s">
        <v>725</v>
      </c>
      <c r="E655" t="s">
        <v>1213</v>
      </c>
      <c r="F655" t="s">
        <v>472</v>
      </c>
      <c r="G655" t="s">
        <v>473</v>
      </c>
      <c r="H655" t="s">
        <v>98</v>
      </c>
      <c r="I655" t="s">
        <v>91</v>
      </c>
      <c r="J655" t="s">
        <v>1214</v>
      </c>
      <c r="K655" t="s">
        <v>1215</v>
      </c>
      <c r="L655" t="s">
        <v>263</v>
      </c>
      <c r="M655" t="s">
        <v>1216</v>
      </c>
      <c r="N655" t="s">
        <v>1217</v>
      </c>
      <c r="O655" t="s">
        <v>1218</v>
      </c>
      <c r="P655" t="s">
        <v>1219</v>
      </c>
    </row>
    <row r="656" spans="2:30" x14ac:dyDescent="0.3">
      <c r="C656" t="s">
        <v>1220</v>
      </c>
      <c r="D656" t="s">
        <v>1221</v>
      </c>
      <c r="E656" t="s">
        <v>1062</v>
      </c>
      <c r="F656" t="s">
        <v>1222</v>
      </c>
      <c r="G656" t="s">
        <v>1223</v>
      </c>
      <c r="H656" t="s">
        <v>1224</v>
      </c>
      <c r="I656" t="s">
        <v>1068</v>
      </c>
      <c r="J656" s="391">
        <v>1000</v>
      </c>
      <c r="K656">
        <v>60</v>
      </c>
      <c r="L656">
        <v>0</v>
      </c>
      <c r="M656" t="s">
        <v>1074</v>
      </c>
      <c r="N656" t="s">
        <v>1083</v>
      </c>
      <c r="O656" t="s">
        <v>1078</v>
      </c>
      <c r="P656" t="str">
        <f>_xlfn.XLOOKUP(Entities[[#This Row],[End Date]],End,$H$684:$H$703)</f>
        <v>3/31/20x6</v>
      </c>
    </row>
    <row r="657" spans="3:16" x14ac:dyDescent="0.3">
      <c r="C657" t="s">
        <v>1225</v>
      </c>
      <c r="D657" t="s">
        <v>1221</v>
      </c>
      <c r="E657" t="s">
        <v>1062</v>
      </c>
      <c r="F657" t="s">
        <v>1226</v>
      </c>
      <c r="G657" t="s">
        <v>1222</v>
      </c>
      <c r="H657" t="s">
        <v>1224</v>
      </c>
      <c r="I657" t="s">
        <v>1068</v>
      </c>
      <c r="J657" s="391">
        <v>0</v>
      </c>
      <c r="K657">
        <v>0</v>
      </c>
      <c r="L657">
        <v>0</v>
      </c>
      <c r="M657" t="s">
        <v>1074</v>
      </c>
      <c r="N657" t="s">
        <v>1083</v>
      </c>
      <c r="O657" t="s">
        <v>1078</v>
      </c>
      <c r="P657" t="str">
        <f>_xlfn.XLOOKUP(Entities[[#This Row],[End Date]],End,$H$684:$H$703)</f>
        <v>3/31/20x5</v>
      </c>
    </row>
    <row r="658" spans="3:16" x14ac:dyDescent="0.3">
      <c r="C658" t="s">
        <v>1227</v>
      </c>
      <c r="D658" t="s">
        <v>1221</v>
      </c>
      <c r="E658" t="s">
        <v>1065</v>
      </c>
      <c r="F658" t="s">
        <v>1226</v>
      </c>
      <c r="G658" t="s">
        <v>1222</v>
      </c>
      <c r="H658" t="s">
        <v>1224</v>
      </c>
      <c r="I658" t="s">
        <v>1067</v>
      </c>
      <c r="J658">
        <v>0</v>
      </c>
      <c r="K658">
        <v>0</v>
      </c>
      <c r="L658">
        <v>0</v>
      </c>
      <c r="M658" t="s">
        <v>1074</v>
      </c>
      <c r="N658" t="s">
        <v>1083</v>
      </c>
      <c r="O658" t="s">
        <v>1078</v>
      </c>
      <c r="P658" t="str">
        <f>_xlfn.XLOOKUP(Entities[[#This Row],[End Date]],End,$H$684:$H$703)</f>
        <v>3/31/20x5</v>
      </c>
    </row>
    <row r="659" spans="3:16" x14ac:dyDescent="0.3">
      <c r="C659" t="s">
        <v>1228</v>
      </c>
      <c r="D659" t="s">
        <v>1221</v>
      </c>
      <c r="E659" t="s">
        <v>1062</v>
      </c>
      <c r="F659" t="s">
        <v>1229</v>
      </c>
      <c r="G659" t="s">
        <v>1230</v>
      </c>
      <c r="H659" t="s">
        <v>1231</v>
      </c>
      <c r="I659" t="s">
        <v>1068</v>
      </c>
      <c r="J659" s="391">
        <v>0</v>
      </c>
      <c r="K659">
        <v>5</v>
      </c>
      <c r="L659">
        <v>0</v>
      </c>
      <c r="M659" t="s">
        <v>1074</v>
      </c>
      <c r="N659" t="s">
        <v>1084</v>
      </c>
      <c r="O659" t="s">
        <v>1078</v>
      </c>
      <c r="P659" t="str">
        <f>_xlfn.XLOOKUP(Entities[[#This Row],[End Date]],End,$H$684:$H$703)</f>
        <v>3/31/20x2</v>
      </c>
    </row>
    <row r="660" spans="3:16" x14ac:dyDescent="0.3">
      <c r="C660" t="s">
        <v>469</v>
      </c>
      <c r="D660" t="s">
        <v>1221</v>
      </c>
      <c r="E660" t="s">
        <v>1062</v>
      </c>
      <c r="F660" t="s">
        <v>1232</v>
      </c>
      <c r="G660" t="s">
        <v>1222</v>
      </c>
      <c r="H660" t="s">
        <v>1233</v>
      </c>
      <c r="I660" t="s">
        <v>1068</v>
      </c>
      <c r="J660" s="391">
        <v>0</v>
      </c>
      <c r="K660">
        <v>5</v>
      </c>
      <c r="L660">
        <v>0</v>
      </c>
      <c r="M660" t="s">
        <v>1074</v>
      </c>
      <c r="N660" t="s">
        <v>1084</v>
      </c>
      <c r="O660" t="s">
        <v>1078</v>
      </c>
      <c r="P660" t="str">
        <f>_xlfn.XLOOKUP(Entities[[#This Row],[End Date]],End,$H$684:$H$703)</f>
        <v>3/31/20x5</v>
      </c>
    </row>
    <row r="661" spans="3:16" x14ac:dyDescent="0.3">
      <c r="C661" t="s">
        <v>1234</v>
      </c>
      <c r="D661" t="s">
        <v>1221</v>
      </c>
      <c r="E661" t="s">
        <v>1066</v>
      </c>
      <c r="F661" t="s">
        <v>1226</v>
      </c>
      <c r="G661" t="s">
        <v>1222</v>
      </c>
      <c r="H661" t="s">
        <v>1224</v>
      </c>
      <c r="I661" t="s">
        <v>1069</v>
      </c>
      <c r="J661" s="391">
        <v>1100000</v>
      </c>
      <c r="K661">
        <v>1</v>
      </c>
      <c r="L661">
        <v>0</v>
      </c>
      <c r="M661" t="s">
        <v>1074</v>
      </c>
      <c r="N661" t="s">
        <v>1082</v>
      </c>
      <c r="O661" t="s">
        <v>1078</v>
      </c>
      <c r="P661" t="str">
        <f>_xlfn.XLOOKUP(Entities[[#This Row],[End Date]],End,$H$684:$H$703)</f>
        <v>3/31/20x5</v>
      </c>
    </row>
    <row r="662" spans="3:16" x14ac:dyDescent="0.3">
      <c r="C662" t="s">
        <v>1235</v>
      </c>
      <c r="D662" t="s">
        <v>1221</v>
      </c>
      <c r="E662" t="s">
        <v>1065</v>
      </c>
      <c r="F662" t="s">
        <v>1226</v>
      </c>
      <c r="G662" t="s">
        <v>1222</v>
      </c>
      <c r="H662" t="s">
        <v>1224</v>
      </c>
      <c r="I662" t="s">
        <v>1069</v>
      </c>
      <c r="J662" s="391">
        <v>50000</v>
      </c>
      <c r="K662">
        <v>0</v>
      </c>
      <c r="L662">
        <v>0</v>
      </c>
      <c r="M662" t="s">
        <v>1074</v>
      </c>
      <c r="N662" t="s">
        <v>1084</v>
      </c>
      <c r="O662" t="s">
        <v>1078</v>
      </c>
      <c r="P662" t="str">
        <f>_xlfn.XLOOKUP(Entities[[#This Row],[End Date]],End,$H$684:$H$703)</f>
        <v>3/31/20x5</v>
      </c>
    </row>
    <row r="663" spans="3:16" x14ac:dyDescent="0.3">
      <c r="C663" t="s">
        <v>1236</v>
      </c>
      <c r="D663" t="s">
        <v>1056</v>
      </c>
      <c r="E663" t="s">
        <v>1062</v>
      </c>
      <c r="F663" t="s">
        <v>1237</v>
      </c>
      <c r="G663" t="s">
        <v>1238</v>
      </c>
      <c r="H663" t="s">
        <v>1224</v>
      </c>
      <c r="I663" t="s">
        <v>1069</v>
      </c>
      <c r="J663">
        <v>100000</v>
      </c>
      <c r="K663">
        <v>0</v>
      </c>
      <c r="L663">
        <v>0</v>
      </c>
      <c r="M663" t="s">
        <v>1239</v>
      </c>
      <c r="N663" s="534" t="s">
        <v>1240</v>
      </c>
      <c r="O663" s="534" t="s">
        <v>1241</v>
      </c>
      <c r="P663" t="str">
        <f>_xlfn.XLOOKUP(Entities[[#This Row],[End Date]],End,$H$684:$H$703)</f>
        <v>3/31/20x3</v>
      </c>
    </row>
    <row r="664" spans="3:16" x14ac:dyDescent="0.3">
      <c r="C664" t="s">
        <v>1242</v>
      </c>
      <c r="D664" t="s">
        <v>1056</v>
      </c>
      <c r="E664" t="s">
        <v>1062</v>
      </c>
      <c r="F664" t="s">
        <v>1230</v>
      </c>
      <c r="G664" t="s">
        <v>1243</v>
      </c>
      <c r="H664" t="s">
        <v>1224</v>
      </c>
      <c r="I664" t="s">
        <v>1069</v>
      </c>
      <c r="J664">
        <v>100000</v>
      </c>
      <c r="K664">
        <v>0</v>
      </c>
      <c r="L664">
        <v>0</v>
      </c>
      <c r="M664" t="s">
        <v>1239</v>
      </c>
      <c r="N664" s="534" t="s">
        <v>1240</v>
      </c>
      <c r="O664" s="534" t="s">
        <v>1241</v>
      </c>
      <c r="P664" t="str">
        <f>_xlfn.XLOOKUP(Entities[[#This Row],[End Date]],End,$H$684:$H$703)</f>
        <v>3/31/20x3</v>
      </c>
    </row>
    <row r="665" spans="3:16" x14ac:dyDescent="0.3">
      <c r="C665" t="s">
        <v>1244</v>
      </c>
      <c r="D665" t="s">
        <v>1221</v>
      </c>
      <c r="E665" t="s">
        <v>1062</v>
      </c>
      <c r="J665" s="391"/>
      <c r="P665">
        <f>_xlfn.XLOOKUP(Entities[[#This Row],[End Date]],End,$H$684:$H$703)</f>
        <v>0</v>
      </c>
    </row>
    <row r="666" spans="3:16" x14ac:dyDescent="0.3">
      <c r="C666" t="s">
        <v>1245</v>
      </c>
      <c r="D666" t="s">
        <v>1221</v>
      </c>
      <c r="E666" t="s">
        <v>1062</v>
      </c>
      <c r="F666" t="s">
        <v>1246</v>
      </c>
      <c r="G666" t="s">
        <v>1247</v>
      </c>
      <c r="H666" t="s">
        <v>1231</v>
      </c>
      <c r="I666" t="s">
        <v>1068</v>
      </c>
      <c r="J666" s="391">
        <v>185000</v>
      </c>
      <c r="K666">
        <v>0</v>
      </c>
      <c r="L666">
        <v>0</v>
      </c>
      <c r="M666" t="s">
        <v>1074</v>
      </c>
      <c r="N666" t="s">
        <v>1084</v>
      </c>
      <c r="O666" t="s">
        <v>1078</v>
      </c>
      <c r="P666" t="s">
        <v>1248</v>
      </c>
    </row>
    <row r="667" spans="3:16" x14ac:dyDescent="0.3">
      <c r="C667" t="s">
        <v>1249</v>
      </c>
      <c r="D667" t="s">
        <v>1221</v>
      </c>
      <c r="E667" t="s">
        <v>1062</v>
      </c>
      <c r="J667" s="391"/>
      <c r="P667">
        <f>_xlfn.XLOOKUP(Entities[[#This Row],[End Date]],End,$H$684:$H$703)</f>
        <v>0</v>
      </c>
    </row>
    <row r="668" spans="3:16" x14ac:dyDescent="0.3">
      <c r="C668" t="s">
        <v>1250</v>
      </c>
      <c r="D668" t="s">
        <v>1221</v>
      </c>
      <c r="J668" s="391"/>
      <c r="P668">
        <f>_xlfn.XLOOKUP(Entities[[#This Row],[End Date]],End,$H$684:$H$703)</f>
        <v>0</v>
      </c>
    </row>
    <row r="669" spans="3:16" x14ac:dyDescent="0.3">
      <c r="C669" t="s">
        <v>1251</v>
      </c>
      <c r="D669" t="s">
        <v>1221</v>
      </c>
      <c r="E669" t="s">
        <v>1062</v>
      </c>
      <c r="F669" t="s">
        <v>1252</v>
      </c>
      <c r="G669" t="s">
        <v>1253</v>
      </c>
      <c r="H669" t="s">
        <v>1224</v>
      </c>
      <c r="I669" t="s">
        <v>1068</v>
      </c>
      <c r="J669" s="391">
        <v>250000</v>
      </c>
      <c r="K669">
        <v>0</v>
      </c>
      <c r="L669">
        <v>0</v>
      </c>
      <c r="M669" t="s">
        <v>1074</v>
      </c>
      <c r="N669" t="s">
        <v>1084</v>
      </c>
      <c r="O669" t="s">
        <v>1078</v>
      </c>
      <c r="P669" t="str">
        <f>_xlfn.XLOOKUP(Entities[[#This Row],[End Date]],End,$H$684:$H$703)</f>
        <v>3/31/20x0</v>
      </c>
    </row>
    <row r="670" spans="3:16" x14ac:dyDescent="0.3">
      <c r="C670" t="s">
        <v>1254</v>
      </c>
      <c r="D670" t="s">
        <v>1221</v>
      </c>
      <c r="E670" t="s">
        <v>1065</v>
      </c>
      <c r="F670" t="s">
        <v>1255</v>
      </c>
      <c r="G670" t="s">
        <v>1230</v>
      </c>
      <c r="H670" t="s">
        <v>1224</v>
      </c>
      <c r="I670" t="s">
        <v>1068</v>
      </c>
      <c r="J670" s="391">
        <v>200000</v>
      </c>
      <c r="K670">
        <v>1</v>
      </c>
      <c r="L670">
        <v>1000</v>
      </c>
      <c r="M670" t="s">
        <v>1074</v>
      </c>
      <c r="N670" t="s">
        <v>1084</v>
      </c>
      <c r="O670" t="s">
        <v>1078</v>
      </c>
      <c r="P670" t="s">
        <v>1256</v>
      </c>
    </row>
    <row r="671" spans="3:16" x14ac:dyDescent="0.3">
      <c r="C671" t="s">
        <v>1257</v>
      </c>
      <c r="D671" t="s">
        <v>1221</v>
      </c>
      <c r="J671" s="391"/>
      <c r="P671">
        <f>_xlfn.XLOOKUP(Entities[[#This Row],[End Date]],End,$H$684:$H$703)</f>
        <v>0</v>
      </c>
    </row>
    <row r="672" spans="3:16" x14ac:dyDescent="0.3">
      <c r="C672" t="s">
        <v>1258</v>
      </c>
      <c r="D672" t="s">
        <v>1221</v>
      </c>
      <c r="J672" s="391"/>
      <c r="P672">
        <f>_xlfn.XLOOKUP(Entities[[#This Row],[End Date]],End,$H$684:$H$703)</f>
        <v>0</v>
      </c>
    </row>
    <row r="673" spans="3:16" x14ac:dyDescent="0.3">
      <c r="C673" t="s">
        <v>1259</v>
      </c>
      <c r="D673" t="s">
        <v>1221</v>
      </c>
      <c r="J673" s="391"/>
      <c r="P673">
        <f>_xlfn.XLOOKUP(Entities[[#This Row],[End Date]],End,$H$684:$H$703)</f>
        <v>0</v>
      </c>
    </row>
    <row r="674" spans="3:16" x14ac:dyDescent="0.3">
      <c r="C674" t="s">
        <v>1260</v>
      </c>
      <c r="D674" t="s">
        <v>1261</v>
      </c>
      <c r="E674" t="s">
        <v>1065</v>
      </c>
      <c r="F674" t="s">
        <v>1229</v>
      </c>
      <c r="G674" t="s">
        <v>1230</v>
      </c>
      <c r="H674" t="s">
        <v>1231</v>
      </c>
      <c r="I674" t="s">
        <v>1068</v>
      </c>
      <c r="J674" s="391">
        <v>191000</v>
      </c>
      <c r="K674">
        <v>1</v>
      </c>
      <c r="L674">
        <v>9000</v>
      </c>
      <c r="M674" t="s">
        <v>1074</v>
      </c>
      <c r="N674" t="s">
        <v>1084</v>
      </c>
      <c r="O674" t="s">
        <v>1078</v>
      </c>
      <c r="P674" t="str">
        <f>_xlfn.XLOOKUP(Entities[[#This Row],[End Date]],End,$H$684:$H$703)</f>
        <v>3/31/20x2</v>
      </c>
    </row>
    <row r="675" spans="3:16" x14ac:dyDescent="0.3">
      <c r="C675" t="s">
        <v>1262</v>
      </c>
      <c r="D675" t="s">
        <v>1263</v>
      </c>
      <c r="J675" s="391"/>
      <c r="P675">
        <f>_xlfn.XLOOKUP(Entities[[#This Row],[End Date]],End,$H$684:$H$703)</f>
        <v>0</v>
      </c>
    </row>
    <row r="676" spans="3:16" x14ac:dyDescent="0.3">
      <c r="C676" t="s">
        <v>1264</v>
      </c>
      <c r="D676" t="s">
        <v>1221</v>
      </c>
      <c r="E676" t="s">
        <v>1265</v>
      </c>
      <c r="F676" t="s">
        <v>1255</v>
      </c>
      <c r="G676" t="s">
        <v>1230</v>
      </c>
      <c r="H676" t="s">
        <v>1224</v>
      </c>
      <c r="I676" t="s">
        <v>1068</v>
      </c>
      <c r="J676" s="391">
        <v>0</v>
      </c>
      <c r="K676">
        <v>0</v>
      </c>
      <c r="L676">
        <v>0</v>
      </c>
      <c r="M676" t="s">
        <v>1074</v>
      </c>
      <c r="N676" t="s">
        <v>1083</v>
      </c>
      <c r="P676" t="s">
        <v>1256</v>
      </c>
    </row>
    <row r="677" spans="3:16" x14ac:dyDescent="0.3">
      <c r="C677" t="s">
        <v>1266</v>
      </c>
      <c r="D677" t="s">
        <v>1221</v>
      </c>
      <c r="E677" t="s">
        <v>1265</v>
      </c>
      <c r="F677" t="s">
        <v>1255</v>
      </c>
      <c r="G677" t="s">
        <v>1230</v>
      </c>
      <c r="H677" t="s">
        <v>1224</v>
      </c>
      <c r="I677" t="s">
        <v>1068</v>
      </c>
      <c r="J677" s="391">
        <v>0</v>
      </c>
      <c r="K677">
        <v>0</v>
      </c>
      <c r="L677">
        <v>0</v>
      </c>
      <c r="M677" t="s">
        <v>1074</v>
      </c>
      <c r="N677" t="s">
        <v>1083</v>
      </c>
      <c r="P677" t="s">
        <v>1256</v>
      </c>
    </row>
    <row r="678" spans="3:16" x14ac:dyDescent="0.3">
      <c r="C678" t="s">
        <v>1267</v>
      </c>
      <c r="D678" t="s">
        <v>1221</v>
      </c>
      <c r="E678" t="s">
        <v>1265</v>
      </c>
      <c r="F678" t="s">
        <v>1255</v>
      </c>
      <c r="G678" t="s">
        <v>1230</v>
      </c>
      <c r="H678" t="s">
        <v>1224</v>
      </c>
      <c r="I678" t="s">
        <v>1068</v>
      </c>
      <c r="J678" s="391">
        <v>0</v>
      </c>
      <c r="K678">
        <v>0</v>
      </c>
      <c r="L678">
        <v>0</v>
      </c>
      <c r="M678" t="s">
        <v>1074</v>
      </c>
      <c r="N678" t="s">
        <v>1083</v>
      </c>
      <c r="P678" t="s">
        <v>1256</v>
      </c>
    </row>
    <row r="679" spans="3:16" x14ac:dyDescent="0.3">
      <c r="C679" t="s">
        <v>1268</v>
      </c>
      <c r="D679" t="s">
        <v>1221</v>
      </c>
      <c r="E679" t="s">
        <v>1265</v>
      </c>
      <c r="F679" t="s">
        <v>1255</v>
      </c>
      <c r="G679" t="s">
        <v>1230</v>
      </c>
      <c r="H679" t="s">
        <v>1224</v>
      </c>
      <c r="I679" t="s">
        <v>1068</v>
      </c>
      <c r="J679" s="391">
        <v>0</v>
      </c>
      <c r="K679">
        <v>0</v>
      </c>
      <c r="L679">
        <v>0</v>
      </c>
      <c r="M679" t="s">
        <v>1074</v>
      </c>
      <c r="N679" t="s">
        <v>1083</v>
      </c>
      <c r="P679" t="s">
        <v>1256</v>
      </c>
    </row>
    <row r="680" spans="3:16" x14ac:dyDescent="0.3">
      <c r="J680" s="391"/>
      <c r="P680">
        <f>_xlfn.XLOOKUP(Entities[[#This Row],[End Date]],End,$H$684:$H$703)</f>
        <v>0</v>
      </c>
    </row>
    <row r="681" spans="3:16" x14ac:dyDescent="0.3">
      <c r="J681" s="391"/>
      <c r="P681">
        <f>_xlfn.XLOOKUP(Entities[[#This Row],[End Date]],End,$H$684:$H$703)</f>
        <v>0</v>
      </c>
    </row>
    <row r="682" spans="3:16" x14ac:dyDescent="0.3">
      <c r="J682" s="391"/>
      <c r="P682">
        <f>_xlfn.XLOOKUP(Entities[[#This Row],[End Date]],End,$H$684:$H$703)</f>
        <v>0</v>
      </c>
    </row>
    <row r="683" spans="3:16" ht="15" thickBot="1" x14ac:dyDescent="0.35">
      <c r="F683" t="s">
        <v>1269</v>
      </c>
      <c r="G683" t="s">
        <v>1270</v>
      </c>
      <c r="H683" t="s">
        <v>1219</v>
      </c>
      <c r="J683" s="391"/>
    </row>
    <row r="684" spans="3:16" x14ac:dyDescent="0.3">
      <c r="F684" s="453" t="s">
        <v>1255</v>
      </c>
      <c r="G684" s="453" t="s">
        <v>1255</v>
      </c>
      <c r="H684" t="s">
        <v>1271</v>
      </c>
    </row>
    <row r="685" spans="3:16" x14ac:dyDescent="0.3">
      <c r="F685" s="454" t="s">
        <v>1230</v>
      </c>
      <c r="G685" s="454" t="s">
        <v>1230</v>
      </c>
      <c r="H685" t="s">
        <v>1256</v>
      </c>
    </row>
    <row r="686" spans="3:16" x14ac:dyDescent="0.3">
      <c r="F686" s="454" t="s">
        <v>1243</v>
      </c>
      <c r="G686" s="454" t="s">
        <v>1243</v>
      </c>
      <c r="H686" t="s">
        <v>1272</v>
      </c>
    </row>
    <row r="687" spans="3:16" x14ac:dyDescent="0.3">
      <c r="F687" s="454" t="s">
        <v>1226</v>
      </c>
      <c r="G687" s="454" t="s">
        <v>1226</v>
      </c>
      <c r="H687" t="s">
        <v>1273</v>
      </c>
    </row>
    <row r="688" spans="3:16" x14ac:dyDescent="0.3">
      <c r="F688" s="454" t="s">
        <v>1222</v>
      </c>
      <c r="G688" s="454" t="s">
        <v>1222</v>
      </c>
      <c r="H688" t="s">
        <v>1274</v>
      </c>
    </row>
    <row r="689" spans="6:8" x14ac:dyDescent="0.3">
      <c r="F689" s="454" t="s">
        <v>1223</v>
      </c>
      <c r="G689" s="454" t="s">
        <v>1223</v>
      </c>
      <c r="H689" t="s">
        <v>1275</v>
      </c>
    </row>
    <row r="690" spans="6:8" x14ac:dyDescent="0.3">
      <c r="F690" s="454" t="s">
        <v>1276</v>
      </c>
      <c r="G690" s="454" t="s">
        <v>1276</v>
      </c>
      <c r="H690" t="s">
        <v>1277</v>
      </c>
    </row>
    <row r="691" spans="6:8" x14ac:dyDescent="0.3">
      <c r="F691" s="454" t="s">
        <v>1278</v>
      </c>
      <c r="G691" s="454" t="s">
        <v>1278</v>
      </c>
      <c r="H691" t="s">
        <v>1279</v>
      </c>
    </row>
    <row r="692" spans="6:8" x14ac:dyDescent="0.3">
      <c r="F692" s="454" t="s">
        <v>1252</v>
      </c>
      <c r="G692" s="454" t="s">
        <v>1252</v>
      </c>
      <c r="H692" t="s">
        <v>1248</v>
      </c>
    </row>
    <row r="693" spans="6:8" x14ac:dyDescent="0.3">
      <c r="F693" s="454" t="s">
        <v>1253</v>
      </c>
      <c r="G693" s="454" t="s">
        <v>1253</v>
      </c>
      <c r="H693" t="s">
        <v>1280</v>
      </c>
    </row>
    <row r="694" spans="6:8" x14ac:dyDescent="0.3">
      <c r="F694" s="454" t="s">
        <v>1229</v>
      </c>
      <c r="G694" s="454" t="s">
        <v>1230</v>
      </c>
      <c r="H694" t="s">
        <v>1256</v>
      </c>
    </row>
    <row r="695" spans="6:8" x14ac:dyDescent="0.3">
      <c r="F695" s="162" t="s">
        <v>1232</v>
      </c>
      <c r="G695" s="454" t="s">
        <v>1222</v>
      </c>
      <c r="H695" t="s">
        <v>1274</v>
      </c>
    </row>
    <row r="696" spans="6:8" x14ac:dyDescent="0.3">
      <c r="F696" s="454" t="s">
        <v>1246</v>
      </c>
      <c r="G696" s="454" t="s">
        <v>1247</v>
      </c>
      <c r="H696" t="s">
        <v>1248</v>
      </c>
    </row>
    <row r="697" spans="6:8" x14ac:dyDescent="0.3">
      <c r="F697" s="454"/>
      <c r="G697" s="454"/>
    </row>
    <row r="698" spans="6:8" x14ac:dyDescent="0.3">
      <c r="F698" s="454"/>
      <c r="G698" s="454"/>
    </row>
    <row r="699" spans="6:8" x14ac:dyDescent="0.3">
      <c r="F699" s="454"/>
      <c r="G699" s="454"/>
    </row>
    <row r="700" spans="6:8" x14ac:dyDescent="0.3">
      <c r="F700" s="454"/>
      <c r="G700" s="454"/>
    </row>
    <row r="701" spans="6:8" x14ac:dyDescent="0.3">
      <c r="F701" s="454"/>
      <c r="G701" s="454"/>
    </row>
    <row r="702" spans="6:8" x14ac:dyDescent="0.3">
      <c r="F702" s="454"/>
      <c r="G702" s="454"/>
    </row>
    <row r="703" spans="6:8" ht="15" thickBot="1" x14ac:dyDescent="0.35">
      <c r="F703" s="455"/>
      <c r="G703" s="455"/>
    </row>
    <row r="706" spans="3:6" ht="15" thickBot="1" x14ac:dyDescent="0.35">
      <c r="C706" s="40" t="s">
        <v>1281</v>
      </c>
      <c r="D706" s="40" t="s">
        <v>369</v>
      </c>
      <c r="E706" s="40" t="s">
        <v>352</v>
      </c>
      <c r="F706" s="40" t="s">
        <v>112</v>
      </c>
    </row>
    <row r="707" spans="3:6" x14ac:dyDescent="0.3">
      <c r="C707" s="175" t="s">
        <v>1282</v>
      </c>
      <c r="D707" s="365" t="s">
        <v>63</v>
      </c>
      <c r="E707" s="365" t="s">
        <v>59</v>
      </c>
      <c r="F707" s="174">
        <v>55</v>
      </c>
    </row>
    <row r="708" spans="3:6" x14ac:dyDescent="0.3">
      <c r="C708" s="96" t="s">
        <v>1282</v>
      </c>
      <c r="D708" t="s">
        <v>63</v>
      </c>
      <c r="E708" t="s">
        <v>68</v>
      </c>
      <c r="F708" s="97">
        <v>0</v>
      </c>
    </row>
    <row r="709" spans="3:6" x14ac:dyDescent="0.3">
      <c r="C709" s="96" t="s">
        <v>1282</v>
      </c>
      <c r="D709" t="s">
        <v>63</v>
      </c>
      <c r="E709" t="s">
        <v>66</v>
      </c>
      <c r="F709" s="97">
        <v>5</v>
      </c>
    </row>
    <row r="710" spans="3:6" x14ac:dyDescent="0.3">
      <c r="C710" s="96" t="s">
        <v>1282</v>
      </c>
      <c r="D710" t="s">
        <v>64</v>
      </c>
      <c r="E710" t="s">
        <v>65</v>
      </c>
      <c r="F710" s="97">
        <v>60</v>
      </c>
    </row>
    <row r="711" spans="3:6" ht="15" thickBot="1" x14ac:dyDescent="0.35">
      <c r="C711" s="98" t="s">
        <v>1282</v>
      </c>
      <c r="D711" s="283" t="s">
        <v>64</v>
      </c>
      <c r="E711" s="283" t="s">
        <v>86</v>
      </c>
      <c r="F711" s="99">
        <v>0</v>
      </c>
    </row>
    <row r="712" spans="3:6" ht="15" thickBot="1" x14ac:dyDescent="0.35"/>
    <row r="713" spans="3:6" x14ac:dyDescent="0.3">
      <c r="C713" s="175" t="s">
        <v>1225</v>
      </c>
      <c r="D713" s="365" t="s">
        <v>63</v>
      </c>
      <c r="E713" s="365" t="s">
        <v>59</v>
      </c>
      <c r="F713" s="174">
        <v>0</v>
      </c>
    </row>
    <row r="714" spans="3:6" x14ac:dyDescent="0.3">
      <c r="C714" s="96" t="s">
        <v>1225</v>
      </c>
      <c r="D714" t="s">
        <v>63</v>
      </c>
      <c r="E714" t="s">
        <v>73</v>
      </c>
      <c r="F714" s="97">
        <v>0</v>
      </c>
    </row>
    <row r="715" spans="3:6" x14ac:dyDescent="0.3">
      <c r="C715" s="96" t="s">
        <v>1225</v>
      </c>
      <c r="D715" t="s">
        <v>63</v>
      </c>
      <c r="E715" t="s">
        <v>68</v>
      </c>
      <c r="F715" s="97">
        <v>0</v>
      </c>
    </row>
    <row r="716" spans="3:6" x14ac:dyDescent="0.3">
      <c r="C716" s="96" t="s">
        <v>1225</v>
      </c>
      <c r="D716" t="s">
        <v>63</v>
      </c>
      <c r="E716" t="s">
        <v>66</v>
      </c>
      <c r="F716" s="97">
        <v>0</v>
      </c>
    </row>
    <row r="717" spans="3:6" x14ac:dyDescent="0.3">
      <c r="C717" s="96" t="s">
        <v>1225</v>
      </c>
      <c r="D717" t="s">
        <v>63</v>
      </c>
      <c r="E717" t="s">
        <v>82</v>
      </c>
      <c r="F717" s="97">
        <v>0</v>
      </c>
    </row>
    <row r="718" spans="3:6" x14ac:dyDescent="0.3">
      <c r="C718" s="96" t="s">
        <v>1225</v>
      </c>
      <c r="D718" t="s">
        <v>69</v>
      </c>
      <c r="E718" t="s">
        <v>657</v>
      </c>
      <c r="F718" s="97">
        <v>0</v>
      </c>
    </row>
    <row r="719" spans="3:6" x14ac:dyDescent="0.3">
      <c r="C719" s="96" t="s">
        <v>1225</v>
      </c>
      <c r="D719" t="s">
        <v>69</v>
      </c>
      <c r="E719" t="s">
        <v>85</v>
      </c>
      <c r="F719" s="97">
        <v>0</v>
      </c>
    </row>
    <row r="720" spans="3:6" x14ac:dyDescent="0.3">
      <c r="C720" s="96" t="s">
        <v>1225</v>
      </c>
      <c r="D720" t="s">
        <v>69</v>
      </c>
      <c r="E720" t="s">
        <v>676</v>
      </c>
      <c r="F720" s="97">
        <v>0</v>
      </c>
    </row>
    <row r="721" spans="3:6" x14ac:dyDescent="0.3">
      <c r="C721" s="96" t="s">
        <v>1225</v>
      </c>
      <c r="D721" t="s">
        <v>64</v>
      </c>
      <c r="E721" t="s">
        <v>65</v>
      </c>
      <c r="F721" s="97">
        <v>0</v>
      </c>
    </row>
    <row r="722" spans="3:6" ht="15" thickBot="1" x14ac:dyDescent="0.35">
      <c r="C722" s="98" t="s">
        <v>1225</v>
      </c>
      <c r="D722" s="283" t="s">
        <v>64</v>
      </c>
      <c r="E722" s="283" t="s">
        <v>86</v>
      </c>
      <c r="F722" s="99">
        <v>0</v>
      </c>
    </row>
    <row r="723" spans="3:6" ht="15" thickBot="1" x14ac:dyDescent="0.35"/>
    <row r="724" spans="3:6" x14ac:dyDescent="0.3">
      <c r="C724" s="175" t="s">
        <v>1227</v>
      </c>
      <c r="D724" s="365" t="s">
        <v>63</v>
      </c>
      <c r="E724" s="365" t="s">
        <v>59</v>
      </c>
      <c r="F724" s="174">
        <v>0</v>
      </c>
    </row>
    <row r="725" spans="3:6" x14ac:dyDescent="0.3">
      <c r="C725" s="96" t="s">
        <v>1227</v>
      </c>
      <c r="D725" t="s">
        <v>63</v>
      </c>
      <c r="E725" t="s">
        <v>73</v>
      </c>
      <c r="F725" s="97">
        <v>0</v>
      </c>
    </row>
    <row r="726" spans="3:6" x14ac:dyDescent="0.3">
      <c r="C726" s="96" t="s">
        <v>1227</v>
      </c>
      <c r="D726" t="s">
        <v>63</v>
      </c>
      <c r="E726" t="s">
        <v>68</v>
      </c>
      <c r="F726" s="97">
        <v>0</v>
      </c>
    </row>
    <row r="727" spans="3:6" x14ac:dyDescent="0.3">
      <c r="C727" s="96" t="s">
        <v>1227</v>
      </c>
      <c r="D727" t="s">
        <v>63</v>
      </c>
      <c r="E727" t="s">
        <v>67</v>
      </c>
      <c r="F727" s="97">
        <v>0</v>
      </c>
    </row>
    <row r="728" spans="3:6" x14ac:dyDescent="0.3">
      <c r="C728" s="96" t="s">
        <v>1227</v>
      </c>
      <c r="D728" t="s">
        <v>63</v>
      </c>
      <c r="E728" t="s">
        <v>66</v>
      </c>
      <c r="F728" s="97">
        <v>0</v>
      </c>
    </row>
    <row r="729" spans="3:6" x14ac:dyDescent="0.3">
      <c r="C729" s="96" t="s">
        <v>1227</v>
      </c>
      <c r="D729" t="s">
        <v>63</v>
      </c>
      <c r="F729" s="97"/>
    </row>
    <row r="730" spans="3:6" x14ac:dyDescent="0.3">
      <c r="C730" s="96" t="s">
        <v>1227</v>
      </c>
      <c r="D730" t="s">
        <v>63</v>
      </c>
      <c r="F730" s="97"/>
    </row>
    <row r="731" spans="3:6" x14ac:dyDescent="0.3">
      <c r="C731" s="96" t="s">
        <v>1227</v>
      </c>
      <c r="D731" t="s">
        <v>63</v>
      </c>
      <c r="F731" s="97"/>
    </row>
    <row r="732" spans="3:6" x14ac:dyDescent="0.3">
      <c r="C732" s="96" t="s">
        <v>1227</v>
      </c>
      <c r="D732" t="s">
        <v>63</v>
      </c>
      <c r="F732" s="97"/>
    </row>
    <row r="733" spans="3:6" x14ac:dyDescent="0.3">
      <c r="C733" s="96" t="s">
        <v>1227</v>
      </c>
      <c r="D733" t="s">
        <v>63</v>
      </c>
      <c r="F733" s="97"/>
    </row>
    <row r="734" spans="3:6" x14ac:dyDescent="0.3">
      <c r="C734" s="96" t="s">
        <v>1227</v>
      </c>
      <c r="D734" t="s">
        <v>69</v>
      </c>
      <c r="E734" t="s">
        <v>657</v>
      </c>
      <c r="F734" s="97">
        <v>0</v>
      </c>
    </row>
    <row r="735" spans="3:6" x14ac:dyDescent="0.3">
      <c r="C735" s="96" t="s">
        <v>1227</v>
      </c>
      <c r="D735" t="s">
        <v>69</v>
      </c>
      <c r="E735" t="s">
        <v>85</v>
      </c>
      <c r="F735" s="97">
        <v>0</v>
      </c>
    </row>
    <row r="736" spans="3:6" x14ac:dyDescent="0.3">
      <c r="C736" s="96" t="s">
        <v>1227</v>
      </c>
      <c r="D736" t="s">
        <v>69</v>
      </c>
      <c r="E736" t="s">
        <v>80</v>
      </c>
      <c r="F736" s="97">
        <v>0</v>
      </c>
    </row>
    <row r="737" spans="3:6" x14ac:dyDescent="0.3">
      <c r="C737" s="96" t="s">
        <v>1227</v>
      </c>
      <c r="D737" t="s">
        <v>69</v>
      </c>
      <c r="E737" t="s">
        <v>664</v>
      </c>
      <c r="F737" s="97">
        <v>0</v>
      </c>
    </row>
    <row r="738" spans="3:6" x14ac:dyDescent="0.3">
      <c r="C738" s="96" t="s">
        <v>1227</v>
      </c>
      <c r="D738" t="s">
        <v>69</v>
      </c>
      <c r="E738" t="s">
        <v>676</v>
      </c>
      <c r="F738" s="97">
        <v>0</v>
      </c>
    </row>
    <row r="739" spans="3:6" x14ac:dyDescent="0.3">
      <c r="C739" s="96" t="s">
        <v>1227</v>
      </c>
      <c r="D739" t="s">
        <v>69</v>
      </c>
      <c r="F739" s="97"/>
    </row>
    <row r="740" spans="3:6" x14ac:dyDescent="0.3">
      <c r="C740" s="96" t="s">
        <v>1227</v>
      </c>
      <c r="D740" t="s">
        <v>69</v>
      </c>
      <c r="F740" s="97"/>
    </row>
    <row r="741" spans="3:6" x14ac:dyDescent="0.3">
      <c r="C741" s="96" t="s">
        <v>1227</v>
      </c>
      <c r="D741" t="s">
        <v>69</v>
      </c>
      <c r="F741" s="97"/>
    </row>
    <row r="742" spans="3:6" x14ac:dyDescent="0.3">
      <c r="C742" s="96" t="s">
        <v>1227</v>
      </c>
      <c r="D742" t="s">
        <v>69</v>
      </c>
      <c r="F742" s="97"/>
    </row>
    <row r="743" spans="3:6" x14ac:dyDescent="0.3">
      <c r="C743" s="96" t="s">
        <v>1227</v>
      </c>
      <c r="D743" t="s">
        <v>69</v>
      </c>
      <c r="F743" s="97"/>
    </row>
    <row r="744" spans="3:6" x14ac:dyDescent="0.3">
      <c r="C744" s="96" t="s">
        <v>1227</v>
      </c>
      <c r="D744" t="s">
        <v>69</v>
      </c>
      <c r="F744" s="97"/>
    </row>
    <row r="745" spans="3:6" x14ac:dyDescent="0.3">
      <c r="C745" s="96" t="s">
        <v>1227</v>
      </c>
      <c r="D745" t="s">
        <v>64</v>
      </c>
      <c r="E745" t="s">
        <v>65</v>
      </c>
      <c r="F745" s="97">
        <v>0</v>
      </c>
    </row>
    <row r="746" spans="3:6" x14ac:dyDescent="0.3">
      <c r="C746" s="96" t="s">
        <v>1227</v>
      </c>
      <c r="D746" t="s">
        <v>64</v>
      </c>
      <c r="E746" t="s">
        <v>255</v>
      </c>
      <c r="F746" s="97">
        <v>0</v>
      </c>
    </row>
    <row r="747" spans="3:6" x14ac:dyDescent="0.3">
      <c r="C747" s="96" t="s">
        <v>1227</v>
      </c>
      <c r="D747" t="s">
        <v>64</v>
      </c>
      <c r="E747" t="s">
        <v>86</v>
      </c>
      <c r="F747" s="97">
        <v>0</v>
      </c>
    </row>
    <row r="748" spans="3:6" x14ac:dyDescent="0.3">
      <c r="C748" s="96" t="s">
        <v>1227</v>
      </c>
      <c r="D748" t="s">
        <v>64</v>
      </c>
      <c r="F748" s="97"/>
    </row>
    <row r="749" spans="3:6" ht="15" thickBot="1" x14ac:dyDescent="0.35">
      <c r="C749" s="98" t="s">
        <v>1227</v>
      </c>
      <c r="D749" s="283" t="s">
        <v>64</v>
      </c>
      <c r="E749" s="283"/>
      <c r="F749" s="99"/>
    </row>
    <row r="750" spans="3:6" ht="15" thickBot="1" x14ac:dyDescent="0.35"/>
    <row r="751" spans="3:6" x14ac:dyDescent="0.3">
      <c r="C751" s="175"/>
      <c r="D751" s="365" t="s">
        <v>63</v>
      </c>
      <c r="E751" s="365"/>
      <c r="F751" s="174"/>
    </row>
    <row r="752" spans="3:6" x14ac:dyDescent="0.3">
      <c r="C752" s="96"/>
      <c r="D752" t="s">
        <v>63</v>
      </c>
      <c r="F752" s="97"/>
    </row>
    <row r="753" spans="3:6" x14ac:dyDescent="0.3">
      <c r="C753" s="96"/>
      <c r="D753" t="s">
        <v>63</v>
      </c>
      <c r="F753" s="97"/>
    </row>
    <row r="754" spans="3:6" x14ac:dyDescent="0.3">
      <c r="C754" s="96"/>
      <c r="D754" t="s">
        <v>63</v>
      </c>
      <c r="F754" s="97"/>
    </row>
    <row r="755" spans="3:6" x14ac:dyDescent="0.3">
      <c r="C755" s="96"/>
      <c r="D755" t="s">
        <v>63</v>
      </c>
      <c r="F755" s="97"/>
    </row>
    <row r="756" spans="3:6" x14ac:dyDescent="0.3">
      <c r="C756" s="96"/>
      <c r="D756" t="s">
        <v>63</v>
      </c>
      <c r="F756" s="97"/>
    </row>
    <row r="757" spans="3:6" x14ac:dyDescent="0.3">
      <c r="C757" s="96"/>
      <c r="D757" t="s">
        <v>63</v>
      </c>
      <c r="F757" s="97"/>
    </row>
    <row r="758" spans="3:6" x14ac:dyDescent="0.3">
      <c r="C758" s="96"/>
      <c r="D758" t="s">
        <v>63</v>
      </c>
      <c r="F758" s="97"/>
    </row>
    <row r="759" spans="3:6" x14ac:dyDescent="0.3">
      <c r="C759" s="96"/>
      <c r="D759" t="s">
        <v>63</v>
      </c>
      <c r="F759" s="97"/>
    </row>
    <row r="760" spans="3:6" x14ac:dyDescent="0.3">
      <c r="C760" s="96"/>
      <c r="D760" t="s">
        <v>63</v>
      </c>
      <c r="F760" s="97"/>
    </row>
    <row r="761" spans="3:6" x14ac:dyDescent="0.3">
      <c r="C761" s="96"/>
      <c r="D761" t="s">
        <v>69</v>
      </c>
      <c r="F761" s="97"/>
    </row>
    <row r="762" spans="3:6" x14ac:dyDescent="0.3">
      <c r="C762" s="96"/>
      <c r="D762" t="s">
        <v>69</v>
      </c>
      <c r="F762" s="97"/>
    </row>
    <row r="763" spans="3:6" x14ac:dyDescent="0.3">
      <c r="C763" s="96"/>
      <c r="D763" t="s">
        <v>69</v>
      </c>
      <c r="F763" s="97"/>
    </row>
    <row r="764" spans="3:6" x14ac:dyDescent="0.3">
      <c r="C764" s="96"/>
      <c r="D764" t="s">
        <v>69</v>
      </c>
      <c r="F764" s="97"/>
    </row>
    <row r="765" spans="3:6" x14ac:dyDescent="0.3">
      <c r="C765" s="96"/>
      <c r="D765" t="s">
        <v>69</v>
      </c>
      <c r="F765" s="97"/>
    </row>
    <row r="766" spans="3:6" x14ac:dyDescent="0.3">
      <c r="C766" s="96"/>
      <c r="D766" t="s">
        <v>69</v>
      </c>
      <c r="F766" s="97"/>
    </row>
    <row r="767" spans="3:6" x14ac:dyDescent="0.3">
      <c r="C767" s="96"/>
      <c r="D767" t="s">
        <v>69</v>
      </c>
      <c r="F767" s="97"/>
    </row>
    <row r="768" spans="3:6" x14ac:dyDescent="0.3">
      <c r="C768" s="96"/>
      <c r="D768" t="s">
        <v>69</v>
      </c>
      <c r="F768" s="97"/>
    </row>
    <row r="769" spans="3:6" x14ac:dyDescent="0.3">
      <c r="C769" s="96"/>
      <c r="D769" t="s">
        <v>69</v>
      </c>
      <c r="F769" s="97"/>
    </row>
    <row r="770" spans="3:6" x14ac:dyDescent="0.3">
      <c r="C770" s="96"/>
      <c r="D770" t="s">
        <v>69</v>
      </c>
      <c r="F770" s="97"/>
    </row>
    <row r="771" spans="3:6" x14ac:dyDescent="0.3">
      <c r="C771" s="96"/>
      <c r="D771" t="s">
        <v>69</v>
      </c>
      <c r="F771" s="97"/>
    </row>
    <row r="772" spans="3:6" x14ac:dyDescent="0.3">
      <c r="C772" s="96"/>
      <c r="D772" t="s">
        <v>64</v>
      </c>
      <c r="F772" s="97"/>
    </row>
    <row r="773" spans="3:6" x14ac:dyDescent="0.3">
      <c r="C773" s="96"/>
      <c r="D773" t="s">
        <v>64</v>
      </c>
      <c r="F773" s="97"/>
    </row>
    <row r="774" spans="3:6" x14ac:dyDescent="0.3">
      <c r="C774" s="96"/>
      <c r="D774" t="s">
        <v>64</v>
      </c>
      <c r="F774" s="97"/>
    </row>
    <row r="775" spans="3:6" x14ac:dyDescent="0.3">
      <c r="C775" s="96"/>
      <c r="D775" t="s">
        <v>64</v>
      </c>
      <c r="F775" s="97"/>
    </row>
    <row r="776" spans="3:6" ht="15" thickBot="1" x14ac:dyDescent="0.35">
      <c r="C776" s="98"/>
      <c r="D776" s="283" t="s">
        <v>64</v>
      </c>
      <c r="E776" s="283"/>
      <c r="F776" s="99"/>
    </row>
    <row r="777" spans="3:6" ht="15" thickBot="1" x14ac:dyDescent="0.35"/>
    <row r="778" spans="3:6" x14ac:dyDescent="0.3">
      <c r="C778" s="175"/>
      <c r="D778" s="365" t="s">
        <v>63</v>
      </c>
      <c r="E778" s="365"/>
      <c r="F778" s="174"/>
    </row>
    <row r="779" spans="3:6" x14ac:dyDescent="0.3">
      <c r="C779" s="96"/>
      <c r="D779" t="s">
        <v>63</v>
      </c>
      <c r="F779" s="97"/>
    </row>
    <row r="780" spans="3:6" x14ac:dyDescent="0.3">
      <c r="C780" s="96"/>
      <c r="D780" t="s">
        <v>63</v>
      </c>
      <c r="F780" s="97"/>
    </row>
    <row r="781" spans="3:6" x14ac:dyDescent="0.3">
      <c r="C781" s="96"/>
      <c r="D781" t="s">
        <v>63</v>
      </c>
      <c r="F781" s="97"/>
    </row>
    <row r="782" spans="3:6" x14ac:dyDescent="0.3">
      <c r="C782" s="96"/>
      <c r="D782" t="s">
        <v>63</v>
      </c>
      <c r="F782" s="97"/>
    </row>
    <row r="783" spans="3:6" x14ac:dyDescent="0.3">
      <c r="C783" s="96"/>
      <c r="D783" t="s">
        <v>63</v>
      </c>
      <c r="F783" s="97"/>
    </row>
    <row r="784" spans="3:6" x14ac:dyDescent="0.3">
      <c r="C784" s="96"/>
      <c r="D784" t="s">
        <v>63</v>
      </c>
      <c r="F784" s="97"/>
    </row>
    <row r="785" spans="3:6" x14ac:dyDescent="0.3">
      <c r="C785" s="96"/>
      <c r="D785" t="s">
        <v>63</v>
      </c>
      <c r="F785" s="97"/>
    </row>
    <row r="786" spans="3:6" x14ac:dyDescent="0.3">
      <c r="C786" s="96"/>
      <c r="D786" t="s">
        <v>63</v>
      </c>
      <c r="F786" s="97"/>
    </row>
    <row r="787" spans="3:6" x14ac:dyDescent="0.3">
      <c r="C787" s="96"/>
      <c r="D787" t="s">
        <v>63</v>
      </c>
      <c r="F787" s="97"/>
    </row>
    <row r="788" spans="3:6" x14ac:dyDescent="0.3">
      <c r="C788" s="96"/>
      <c r="D788" t="s">
        <v>69</v>
      </c>
      <c r="F788" s="97"/>
    </row>
    <row r="789" spans="3:6" x14ac:dyDescent="0.3">
      <c r="C789" s="96"/>
      <c r="D789" t="s">
        <v>69</v>
      </c>
      <c r="F789" s="97"/>
    </row>
    <row r="790" spans="3:6" x14ac:dyDescent="0.3">
      <c r="C790" s="96"/>
      <c r="D790" t="s">
        <v>69</v>
      </c>
      <c r="F790" s="97"/>
    </row>
    <row r="791" spans="3:6" x14ac:dyDescent="0.3">
      <c r="C791" s="96"/>
      <c r="D791" t="s">
        <v>69</v>
      </c>
      <c r="F791" s="97"/>
    </row>
    <row r="792" spans="3:6" x14ac:dyDescent="0.3">
      <c r="C792" s="96"/>
      <c r="D792" t="s">
        <v>69</v>
      </c>
      <c r="F792" s="97"/>
    </row>
    <row r="793" spans="3:6" x14ac:dyDescent="0.3">
      <c r="C793" s="96"/>
      <c r="D793" t="s">
        <v>69</v>
      </c>
      <c r="F793" s="97"/>
    </row>
    <row r="794" spans="3:6" x14ac:dyDescent="0.3">
      <c r="C794" s="96"/>
      <c r="D794" t="s">
        <v>69</v>
      </c>
      <c r="F794" s="97"/>
    </row>
    <row r="795" spans="3:6" x14ac:dyDescent="0.3">
      <c r="C795" s="96"/>
      <c r="D795" t="s">
        <v>69</v>
      </c>
      <c r="F795" s="97"/>
    </row>
    <row r="796" spans="3:6" x14ac:dyDescent="0.3">
      <c r="C796" s="96"/>
      <c r="D796" t="s">
        <v>69</v>
      </c>
      <c r="F796" s="97"/>
    </row>
    <row r="797" spans="3:6" x14ac:dyDescent="0.3">
      <c r="C797" s="96"/>
      <c r="D797" t="s">
        <v>69</v>
      </c>
      <c r="F797" s="97"/>
    </row>
    <row r="798" spans="3:6" x14ac:dyDescent="0.3">
      <c r="C798" s="96"/>
      <c r="D798" t="s">
        <v>69</v>
      </c>
      <c r="F798" s="97"/>
    </row>
    <row r="799" spans="3:6" x14ac:dyDescent="0.3">
      <c r="C799" s="96"/>
      <c r="D799" t="s">
        <v>64</v>
      </c>
      <c r="F799" s="97"/>
    </row>
    <row r="800" spans="3:6" x14ac:dyDescent="0.3">
      <c r="C800" s="96"/>
      <c r="D800" t="s">
        <v>64</v>
      </c>
      <c r="F800" s="97"/>
    </row>
    <row r="801" spans="3:6" x14ac:dyDescent="0.3">
      <c r="C801" s="96"/>
      <c r="D801" t="s">
        <v>64</v>
      </c>
      <c r="F801" s="97"/>
    </row>
    <row r="802" spans="3:6" x14ac:dyDescent="0.3">
      <c r="C802" s="96"/>
      <c r="D802" t="s">
        <v>64</v>
      </c>
      <c r="F802" s="97"/>
    </row>
    <row r="803" spans="3:6" ht="15" thickBot="1" x14ac:dyDescent="0.35">
      <c r="C803" s="98"/>
      <c r="D803" s="283" t="s">
        <v>64</v>
      </c>
      <c r="E803" s="283"/>
      <c r="F803" s="99"/>
    </row>
    <row r="804" spans="3:6" ht="15" thickBot="1" x14ac:dyDescent="0.35"/>
    <row r="805" spans="3:6" x14ac:dyDescent="0.3">
      <c r="C805" s="175"/>
      <c r="D805" s="365" t="s">
        <v>63</v>
      </c>
      <c r="E805" s="365"/>
      <c r="F805" s="174"/>
    </row>
    <row r="806" spans="3:6" x14ac:dyDescent="0.3">
      <c r="C806" s="96"/>
      <c r="D806" t="s">
        <v>63</v>
      </c>
      <c r="F806" s="97"/>
    </row>
    <row r="807" spans="3:6" x14ac:dyDescent="0.3">
      <c r="C807" s="96"/>
      <c r="D807" t="s">
        <v>63</v>
      </c>
      <c r="F807" s="97"/>
    </row>
    <row r="808" spans="3:6" x14ac:dyDescent="0.3">
      <c r="C808" s="96"/>
      <c r="D808" t="s">
        <v>63</v>
      </c>
      <c r="F808" s="97"/>
    </row>
    <row r="809" spans="3:6" x14ac:dyDescent="0.3">
      <c r="C809" s="96"/>
      <c r="D809" t="s">
        <v>63</v>
      </c>
      <c r="F809" s="97"/>
    </row>
    <row r="810" spans="3:6" x14ac:dyDescent="0.3">
      <c r="C810" s="96"/>
      <c r="D810" t="s">
        <v>63</v>
      </c>
      <c r="F810" s="97"/>
    </row>
    <row r="811" spans="3:6" x14ac:dyDescent="0.3">
      <c r="C811" s="96"/>
      <c r="D811" t="s">
        <v>63</v>
      </c>
      <c r="F811" s="97"/>
    </row>
    <row r="812" spans="3:6" x14ac:dyDescent="0.3">
      <c r="C812" s="96"/>
      <c r="D812" t="s">
        <v>63</v>
      </c>
      <c r="F812" s="97"/>
    </row>
    <row r="813" spans="3:6" x14ac:dyDescent="0.3">
      <c r="C813" s="96"/>
      <c r="D813" t="s">
        <v>63</v>
      </c>
      <c r="F813" s="97"/>
    </row>
    <row r="814" spans="3:6" x14ac:dyDescent="0.3">
      <c r="C814" s="96"/>
      <c r="D814" t="s">
        <v>63</v>
      </c>
      <c r="F814" s="97"/>
    </row>
    <row r="815" spans="3:6" x14ac:dyDescent="0.3">
      <c r="C815" s="96"/>
      <c r="D815" t="s">
        <v>69</v>
      </c>
      <c r="F815" s="97"/>
    </row>
    <row r="816" spans="3:6" x14ac:dyDescent="0.3">
      <c r="C816" s="96"/>
      <c r="D816" t="s">
        <v>69</v>
      </c>
      <c r="F816" s="97"/>
    </row>
    <row r="817" spans="3:6" x14ac:dyDescent="0.3">
      <c r="C817" s="96"/>
      <c r="D817" t="s">
        <v>69</v>
      </c>
      <c r="F817" s="97"/>
    </row>
    <row r="818" spans="3:6" x14ac:dyDescent="0.3">
      <c r="C818" s="96"/>
      <c r="D818" t="s">
        <v>69</v>
      </c>
      <c r="F818" s="97"/>
    </row>
    <row r="819" spans="3:6" x14ac:dyDescent="0.3">
      <c r="C819" s="96"/>
      <c r="D819" t="s">
        <v>69</v>
      </c>
      <c r="F819" s="97"/>
    </row>
    <row r="820" spans="3:6" x14ac:dyDescent="0.3">
      <c r="C820" s="96"/>
      <c r="D820" t="s">
        <v>69</v>
      </c>
      <c r="F820" s="97"/>
    </row>
    <row r="821" spans="3:6" x14ac:dyDescent="0.3">
      <c r="C821" s="96"/>
      <c r="D821" t="s">
        <v>69</v>
      </c>
      <c r="F821" s="97"/>
    </row>
    <row r="822" spans="3:6" x14ac:dyDescent="0.3">
      <c r="C822" s="96"/>
      <c r="D822" t="s">
        <v>69</v>
      </c>
      <c r="F822" s="97"/>
    </row>
    <row r="823" spans="3:6" x14ac:dyDescent="0.3">
      <c r="C823" s="96"/>
      <c r="D823" t="s">
        <v>69</v>
      </c>
      <c r="F823" s="97"/>
    </row>
    <row r="824" spans="3:6" x14ac:dyDescent="0.3">
      <c r="C824" s="96"/>
      <c r="D824" t="s">
        <v>69</v>
      </c>
      <c r="F824" s="97"/>
    </row>
    <row r="825" spans="3:6" x14ac:dyDescent="0.3">
      <c r="C825" s="96"/>
      <c r="D825" t="s">
        <v>69</v>
      </c>
      <c r="F825" s="97"/>
    </row>
    <row r="826" spans="3:6" x14ac:dyDescent="0.3">
      <c r="C826" s="96"/>
      <c r="D826" t="s">
        <v>64</v>
      </c>
      <c r="F826" s="97"/>
    </row>
    <row r="827" spans="3:6" x14ac:dyDescent="0.3">
      <c r="C827" s="96"/>
      <c r="D827" t="s">
        <v>64</v>
      </c>
      <c r="F827" s="97"/>
    </row>
    <row r="828" spans="3:6" x14ac:dyDescent="0.3">
      <c r="C828" s="96"/>
      <c r="D828" t="s">
        <v>64</v>
      </c>
      <c r="F828" s="97"/>
    </row>
    <row r="829" spans="3:6" x14ac:dyDescent="0.3">
      <c r="C829" s="96"/>
      <c r="D829" t="s">
        <v>64</v>
      </c>
      <c r="F829" s="97"/>
    </row>
    <row r="830" spans="3:6" ht="15" thickBot="1" x14ac:dyDescent="0.35">
      <c r="C830" s="98"/>
      <c r="D830" s="283" t="s">
        <v>64</v>
      </c>
      <c r="E830" s="283"/>
      <c r="F830" s="99"/>
    </row>
    <row r="831" spans="3:6" ht="15" thickBot="1" x14ac:dyDescent="0.35"/>
    <row r="832" spans="3:6" x14ac:dyDescent="0.3">
      <c r="C832" s="175"/>
      <c r="D832" s="365" t="s">
        <v>63</v>
      </c>
      <c r="E832" s="365"/>
      <c r="F832" s="174"/>
    </row>
    <row r="833" spans="3:6" x14ac:dyDescent="0.3">
      <c r="C833" s="96"/>
      <c r="D833" t="s">
        <v>63</v>
      </c>
      <c r="F833" s="97"/>
    </row>
    <row r="834" spans="3:6" x14ac:dyDescent="0.3">
      <c r="C834" s="96"/>
      <c r="D834" t="s">
        <v>63</v>
      </c>
      <c r="F834" s="97"/>
    </row>
    <row r="835" spans="3:6" x14ac:dyDescent="0.3">
      <c r="C835" s="96"/>
      <c r="D835" t="s">
        <v>63</v>
      </c>
      <c r="F835" s="97"/>
    </row>
    <row r="836" spans="3:6" x14ac:dyDescent="0.3">
      <c r="C836" s="96"/>
      <c r="D836" t="s">
        <v>63</v>
      </c>
      <c r="F836" s="97"/>
    </row>
    <row r="837" spans="3:6" x14ac:dyDescent="0.3">
      <c r="C837" s="96"/>
      <c r="D837" t="s">
        <v>63</v>
      </c>
      <c r="F837" s="97"/>
    </row>
    <row r="838" spans="3:6" x14ac:dyDescent="0.3">
      <c r="C838" s="96"/>
      <c r="D838" t="s">
        <v>63</v>
      </c>
      <c r="F838" s="97"/>
    </row>
    <row r="839" spans="3:6" x14ac:dyDescent="0.3">
      <c r="C839" s="96"/>
      <c r="D839" t="s">
        <v>63</v>
      </c>
      <c r="F839" s="97"/>
    </row>
    <row r="840" spans="3:6" x14ac:dyDescent="0.3">
      <c r="C840" s="96"/>
      <c r="D840" t="s">
        <v>63</v>
      </c>
      <c r="F840" s="97"/>
    </row>
    <row r="841" spans="3:6" x14ac:dyDescent="0.3">
      <c r="C841" s="96"/>
      <c r="D841" t="s">
        <v>63</v>
      </c>
      <c r="F841" s="97"/>
    </row>
    <row r="842" spans="3:6" x14ac:dyDescent="0.3">
      <c r="C842" s="96"/>
      <c r="D842" t="s">
        <v>69</v>
      </c>
      <c r="F842" s="97"/>
    </row>
    <row r="843" spans="3:6" x14ac:dyDescent="0.3">
      <c r="C843" s="96"/>
      <c r="D843" t="s">
        <v>69</v>
      </c>
      <c r="F843" s="97"/>
    </row>
    <row r="844" spans="3:6" x14ac:dyDescent="0.3">
      <c r="C844" s="96"/>
      <c r="D844" t="s">
        <v>69</v>
      </c>
      <c r="F844" s="97"/>
    </row>
    <row r="845" spans="3:6" x14ac:dyDescent="0.3">
      <c r="C845" s="96"/>
      <c r="D845" t="s">
        <v>69</v>
      </c>
      <c r="F845" s="97"/>
    </row>
    <row r="846" spans="3:6" x14ac:dyDescent="0.3">
      <c r="C846" s="96"/>
      <c r="D846" t="s">
        <v>69</v>
      </c>
      <c r="F846" s="97"/>
    </row>
    <row r="847" spans="3:6" x14ac:dyDescent="0.3">
      <c r="C847" s="96"/>
      <c r="D847" t="s">
        <v>69</v>
      </c>
      <c r="F847" s="97"/>
    </row>
    <row r="848" spans="3:6" x14ac:dyDescent="0.3">
      <c r="C848" s="96"/>
      <c r="D848" t="s">
        <v>69</v>
      </c>
      <c r="F848" s="97"/>
    </row>
    <row r="849" spans="3:6" x14ac:dyDescent="0.3">
      <c r="C849" s="96"/>
      <c r="D849" t="s">
        <v>69</v>
      </c>
      <c r="F849" s="97"/>
    </row>
    <row r="850" spans="3:6" x14ac:dyDescent="0.3">
      <c r="C850" s="96"/>
      <c r="D850" t="s">
        <v>69</v>
      </c>
      <c r="F850" s="97"/>
    </row>
    <row r="851" spans="3:6" x14ac:dyDescent="0.3">
      <c r="C851" s="96"/>
      <c r="D851" t="s">
        <v>69</v>
      </c>
      <c r="F851" s="97"/>
    </row>
    <row r="852" spans="3:6" x14ac:dyDescent="0.3">
      <c r="C852" s="96"/>
      <c r="D852" t="s">
        <v>69</v>
      </c>
      <c r="F852" s="97"/>
    </row>
    <row r="853" spans="3:6" x14ac:dyDescent="0.3">
      <c r="C853" s="96"/>
      <c r="D853" t="s">
        <v>64</v>
      </c>
      <c r="F853" s="97"/>
    </row>
    <row r="854" spans="3:6" x14ac:dyDescent="0.3">
      <c r="C854" s="96"/>
      <c r="D854" t="s">
        <v>64</v>
      </c>
      <c r="F854" s="97"/>
    </row>
    <row r="855" spans="3:6" x14ac:dyDescent="0.3">
      <c r="C855" s="96"/>
      <c r="D855" t="s">
        <v>64</v>
      </c>
      <c r="F855" s="97"/>
    </row>
    <row r="856" spans="3:6" x14ac:dyDescent="0.3">
      <c r="C856" s="96"/>
      <c r="D856" t="s">
        <v>64</v>
      </c>
      <c r="F856" s="97"/>
    </row>
    <row r="857" spans="3:6" ht="15" thickBot="1" x14ac:dyDescent="0.35">
      <c r="C857" s="98"/>
      <c r="D857" s="283" t="s">
        <v>64</v>
      </c>
      <c r="E857" s="283"/>
      <c r="F857" s="99"/>
    </row>
    <row r="858" spans="3:6" ht="15" thickBot="1" x14ac:dyDescent="0.35"/>
    <row r="859" spans="3:6" x14ac:dyDescent="0.3">
      <c r="C859" s="175"/>
      <c r="D859" s="365" t="s">
        <v>63</v>
      </c>
      <c r="E859" s="365"/>
      <c r="F859" s="174"/>
    </row>
    <row r="860" spans="3:6" x14ac:dyDescent="0.3">
      <c r="C860" s="96"/>
      <c r="D860" t="s">
        <v>63</v>
      </c>
      <c r="F860" s="97"/>
    </row>
    <row r="861" spans="3:6" x14ac:dyDescent="0.3">
      <c r="C861" s="96"/>
      <c r="D861" t="s">
        <v>63</v>
      </c>
      <c r="F861" s="97"/>
    </row>
    <row r="862" spans="3:6" x14ac:dyDescent="0.3">
      <c r="C862" s="96"/>
      <c r="D862" t="s">
        <v>63</v>
      </c>
      <c r="F862" s="97"/>
    </row>
    <row r="863" spans="3:6" x14ac:dyDescent="0.3">
      <c r="C863" s="96"/>
      <c r="D863" t="s">
        <v>63</v>
      </c>
      <c r="F863" s="97"/>
    </row>
    <row r="864" spans="3:6" x14ac:dyDescent="0.3">
      <c r="C864" s="96"/>
      <c r="D864" t="s">
        <v>63</v>
      </c>
      <c r="F864" s="97"/>
    </row>
    <row r="865" spans="3:6" x14ac:dyDescent="0.3">
      <c r="C865" s="96"/>
      <c r="D865" t="s">
        <v>63</v>
      </c>
      <c r="F865" s="97"/>
    </row>
    <row r="866" spans="3:6" x14ac:dyDescent="0.3">
      <c r="C866" s="96"/>
      <c r="D866" t="s">
        <v>63</v>
      </c>
      <c r="F866" s="97"/>
    </row>
    <row r="867" spans="3:6" x14ac:dyDescent="0.3">
      <c r="C867" s="96"/>
      <c r="D867" t="s">
        <v>63</v>
      </c>
      <c r="F867" s="97"/>
    </row>
    <row r="868" spans="3:6" x14ac:dyDescent="0.3">
      <c r="C868" s="96"/>
      <c r="D868" t="s">
        <v>63</v>
      </c>
      <c r="F868" s="97"/>
    </row>
    <row r="869" spans="3:6" x14ac:dyDescent="0.3">
      <c r="C869" s="96"/>
      <c r="D869" t="s">
        <v>69</v>
      </c>
      <c r="F869" s="97"/>
    </row>
    <row r="870" spans="3:6" x14ac:dyDescent="0.3">
      <c r="C870" s="96"/>
      <c r="D870" t="s">
        <v>69</v>
      </c>
      <c r="F870" s="97"/>
    </row>
    <row r="871" spans="3:6" x14ac:dyDescent="0.3">
      <c r="C871" s="96"/>
      <c r="D871" t="s">
        <v>69</v>
      </c>
      <c r="F871" s="97"/>
    </row>
    <row r="872" spans="3:6" x14ac:dyDescent="0.3">
      <c r="C872" s="96"/>
      <c r="D872" t="s">
        <v>69</v>
      </c>
      <c r="F872" s="97"/>
    </row>
    <row r="873" spans="3:6" x14ac:dyDescent="0.3">
      <c r="C873" s="96"/>
      <c r="D873" t="s">
        <v>69</v>
      </c>
      <c r="F873" s="97"/>
    </row>
    <row r="874" spans="3:6" x14ac:dyDescent="0.3">
      <c r="C874" s="96"/>
      <c r="D874" t="s">
        <v>69</v>
      </c>
      <c r="F874" s="97"/>
    </row>
    <row r="875" spans="3:6" x14ac:dyDescent="0.3">
      <c r="C875" s="96"/>
      <c r="D875" t="s">
        <v>69</v>
      </c>
      <c r="F875" s="97"/>
    </row>
    <row r="876" spans="3:6" x14ac:dyDescent="0.3">
      <c r="C876" s="96"/>
      <c r="D876" t="s">
        <v>69</v>
      </c>
      <c r="F876" s="97"/>
    </row>
    <row r="877" spans="3:6" x14ac:dyDescent="0.3">
      <c r="C877" s="96"/>
      <c r="D877" t="s">
        <v>69</v>
      </c>
      <c r="F877" s="97"/>
    </row>
    <row r="878" spans="3:6" x14ac:dyDescent="0.3">
      <c r="C878" s="96"/>
      <c r="D878" t="s">
        <v>69</v>
      </c>
      <c r="F878" s="97"/>
    </row>
    <row r="879" spans="3:6" x14ac:dyDescent="0.3">
      <c r="C879" s="96"/>
      <c r="D879" t="s">
        <v>69</v>
      </c>
      <c r="F879" s="97"/>
    </row>
    <row r="880" spans="3:6" x14ac:dyDescent="0.3">
      <c r="C880" s="96"/>
      <c r="D880" t="s">
        <v>64</v>
      </c>
      <c r="F880" s="97"/>
    </row>
    <row r="881" spans="3:6" x14ac:dyDescent="0.3">
      <c r="C881" s="96"/>
      <c r="D881" t="s">
        <v>64</v>
      </c>
      <c r="F881" s="97"/>
    </row>
    <row r="882" spans="3:6" x14ac:dyDescent="0.3">
      <c r="C882" s="96"/>
      <c r="D882" t="s">
        <v>64</v>
      </c>
      <c r="F882" s="97"/>
    </row>
    <row r="883" spans="3:6" x14ac:dyDescent="0.3">
      <c r="C883" s="96"/>
      <c r="D883" t="s">
        <v>64</v>
      </c>
      <c r="F883" s="97"/>
    </row>
    <row r="884" spans="3:6" ht="15" thickBot="1" x14ac:dyDescent="0.35">
      <c r="C884" s="98"/>
      <c r="D884" s="283" t="s">
        <v>64</v>
      </c>
      <c r="E884" s="283"/>
      <c r="F884" s="99"/>
    </row>
    <row r="885" spans="3:6" ht="15" thickBot="1" x14ac:dyDescent="0.35"/>
    <row r="886" spans="3:6" x14ac:dyDescent="0.3">
      <c r="C886" s="175"/>
      <c r="D886" s="365" t="s">
        <v>63</v>
      </c>
      <c r="E886" s="365"/>
      <c r="F886" s="174"/>
    </row>
    <row r="887" spans="3:6" x14ac:dyDescent="0.3">
      <c r="C887" s="96"/>
      <c r="D887" t="s">
        <v>63</v>
      </c>
      <c r="F887" s="97"/>
    </row>
    <row r="888" spans="3:6" x14ac:dyDescent="0.3">
      <c r="C888" s="96"/>
      <c r="D888" t="s">
        <v>63</v>
      </c>
      <c r="F888" s="97"/>
    </row>
    <row r="889" spans="3:6" x14ac:dyDescent="0.3">
      <c r="C889" s="96"/>
      <c r="D889" t="s">
        <v>63</v>
      </c>
      <c r="F889" s="97"/>
    </row>
    <row r="890" spans="3:6" x14ac:dyDescent="0.3">
      <c r="C890" s="96"/>
      <c r="D890" t="s">
        <v>63</v>
      </c>
      <c r="F890" s="97"/>
    </row>
    <row r="891" spans="3:6" x14ac:dyDescent="0.3">
      <c r="C891" s="96"/>
      <c r="D891" t="s">
        <v>63</v>
      </c>
      <c r="F891" s="97"/>
    </row>
    <row r="892" spans="3:6" x14ac:dyDescent="0.3">
      <c r="C892" s="96"/>
      <c r="D892" t="s">
        <v>63</v>
      </c>
      <c r="F892" s="97"/>
    </row>
    <row r="893" spans="3:6" x14ac:dyDescent="0.3">
      <c r="C893" s="96"/>
      <c r="D893" t="s">
        <v>63</v>
      </c>
      <c r="F893" s="97"/>
    </row>
    <row r="894" spans="3:6" x14ac:dyDescent="0.3">
      <c r="C894" s="96"/>
      <c r="D894" t="s">
        <v>63</v>
      </c>
      <c r="F894" s="97"/>
    </row>
    <row r="895" spans="3:6" x14ac:dyDescent="0.3">
      <c r="C895" s="96"/>
      <c r="D895" t="s">
        <v>63</v>
      </c>
      <c r="F895" s="97"/>
    </row>
    <row r="896" spans="3:6" x14ac:dyDescent="0.3">
      <c r="C896" s="96"/>
      <c r="D896" t="s">
        <v>69</v>
      </c>
      <c r="F896" s="97"/>
    </row>
    <row r="897" spans="3:6" x14ac:dyDescent="0.3">
      <c r="C897" s="96"/>
      <c r="D897" t="s">
        <v>69</v>
      </c>
      <c r="F897" s="97"/>
    </row>
    <row r="898" spans="3:6" x14ac:dyDescent="0.3">
      <c r="C898" s="96"/>
      <c r="D898" t="s">
        <v>69</v>
      </c>
      <c r="F898" s="97"/>
    </row>
    <row r="899" spans="3:6" x14ac:dyDescent="0.3">
      <c r="C899" s="96"/>
      <c r="D899" t="s">
        <v>69</v>
      </c>
      <c r="F899" s="97"/>
    </row>
    <row r="900" spans="3:6" x14ac:dyDescent="0.3">
      <c r="C900" s="96"/>
      <c r="D900" t="s">
        <v>69</v>
      </c>
      <c r="F900" s="97"/>
    </row>
    <row r="901" spans="3:6" x14ac:dyDescent="0.3">
      <c r="C901" s="96"/>
      <c r="D901" t="s">
        <v>69</v>
      </c>
      <c r="F901" s="97"/>
    </row>
    <row r="902" spans="3:6" x14ac:dyDescent="0.3">
      <c r="C902" s="96"/>
      <c r="D902" t="s">
        <v>69</v>
      </c>
      <c r="F902" s="97"/>
    </row>
    <row r="903" spans="3:6" x14ac:dyDescent="0.3">
      <c r="C903" s="96"/>
      <c r="D903" t="s">
        <v>69</v>
      </c>
      <c r="F903" s="97"/>
    </row>
    <row r="904" spans="3:6" x14ac:dyDescent="0.3">
      <c r="C904" s="96"/>
      <c r="D904" t="s">
        <v>69</v>
      </c>
      <c r="F904" s="97"/>
    </row>
    <row r="905" spans="3:6" x14ac:dyDescent="0.3">
      <c r="C905" s="96"/>
      <c r="D905" t="s">
        <v>69</v>
      </c>
      <c r="F905" s="97"/>
    </row>
    <row r="906" spans="3:6" x14ac:dyDescent="0.3">
      <c r="C906" s="96"/>
      <c r="D906" t="s">
        <v>69</v>
      </c>
      <c r="F906" s="97"/>
    </row>
    <row r="907" spans="3:6" x14ac:dyDescent="0.3">
      <c r="C907" s="96"/>
      <c r="D907" t="s">
        <v>64</v>
      </c>
      <c r="F907" s="97"/>
    </row>
    <row r="908" spans="3:6" x14ac:dyDescent="0.3">
      <c r="C908" s="96"/>
      <c r="D908" t="s">
        <v>64</v>
      </c>
      <c r="F908" s="97"/>
    </row>
    <row r="909" spans="3:6" x14ac:dyDescent="0.3">
      <c r="C909" s="96"/>
      <c r="D909" t="s">
        <v>64</v>
      </c>
      <c r="F909" s="97"/>
    </row>
    <row r="910" spans="3:6" x14ac:dyDescent="0.3">
      <c r="C910" s="96"/>
      <c r="D910" t="s">
        <v>64</v>
      </c>
      <c r="F910" s="97"/>
    </row>
    <row r="911" spans="3:6" ht="15" thickBot="1" x14ac:dyDescent="0.35">
      <c r="C911" s="98"/>
      <c r="D911" s="283" t="s">
        <v>64</v>
      </c>
      <c r="E911" s="283"/>
      <c r="F911" s="99"/>
    </row>
    <row r="912" spans="3:6" ht="15" thickBot="1" x14ac:dyDescent="0.35"/>
    <row r="913" spans="3:6" x14ac:dyDescent="0.3">
      <c r="C913" s="175"/>
      <c r="D913" s="365" t="s">
        <v>63</v>
      </c>
      <c r="E913" s="365"/>
      <c r="F913" s="174"/>
    </row>
    <row r="914" spans="3:6" x14ac:dyDescent="0.3">
      <c r="C914" s="96"/>
      <c r="D914" t="s">
        <v>63</v>
      </c>
      <c r="F914" s="97"/>
    </row>
    <row r="915" spans="3:6" x14ac:dyDescent="0.3">
      <c r="C915" s="96"/>
      <c r="D915" t="s">
        <v>63</v>
      </c>
      <c r="F915" s="97"/>
    </row>
    <row r="916" spans="3:6" x14ac:dyDescent="0.3">
      <c r="C916" s="96"/>
      <c r="D916" t="s">
        <v>63</v>
      </c>
      <c r="F916" s="97"/>
    </row>
    <row r="917" spans="3:6" x14ac:dyDescent="0.3">
      <c r="C917" s="96"/>
      <c r="D917" t="s">
        <v>63</v>
      </c>
      <c r="F917" s="97"/>
    </row>
    <row r="918" spans="3:6" x14ac:dyDescent="0.3">
      <c r="C918" s="96"/>
      <c r="D918" t="s">
        <v>63</v>
      </c>
      <c r="F918" s="97"/>
    </row>
    <row r="919" spans="3:6" x14ac:dyDescent="0.3">
      <c r="C919" s="96"/>
      <c r="D919" t="s">
        <v>63</v>
      </c>
      <c r="F919" s="97"/>
    </row>
    <row r="920" spans="3:6" x14ac:dyDescent="0.3">
      <c r="C920" s="96"/>
      <c r="D920" t="s">
        <v>63</v>
      </c>
      <c r="F920" s="97"/>
    </row>
    <row r="921" spans="3:6" x14ac:dyDescent="0.3">
      <c r="C921" s="96"/>
      <c r="D921" t="s">
        <v>63</v>
      </c>
      <c r="F921" s="97"/>
    </row>
    <row r="922" spans="3:6" x14ac:dyDescent="0.3">
      <c r="C922" s="96"/>
      <c r="D922" t="s">
        <v>63</v>
      </c>
      <c r="F922" s="97"/>
    </row>
    <row r="923" spans="3:6" x14ac:dyDescent="0.3">
      <c r="C923" s="96"/>
      <c r="D923" t="s">
        <v>69</v>
      </c>
      <c r="F923" s="97"/>
    </row>
    <row r="924" spans="3:6" x14ac:dyDescent="0.3">
      <c r="C924" s="96"/>
      <c r="D924" t="s">
        <v>69</v>
      </c>
      <c r="F924" s="97"/>
    </row>
    <row r="925" spans="3:6" x14ac:dyDescent="0.3">
      <c r="C925" s="96"/>
      <c r="D925" t="s">
        <v>69</v>
      </c>
      <c r="F925" s="97"/>
    </row>
    <row r="926" spans="3:6" x14ac:dyDescent="0.3">
      <c r="C926" s="96"/>
      <c r="D926" t="s">
        <v>69</v>
      </c>
      <c r="F926" s="97"/>
    </row>
    <row r="927" spans="3:6" x14ac:dyDescent="0.3">
      <c r="C927" s="96"/>
      <c r="D927" t="s">
        <v>69</v>
      </c>
      <c r="F927" s="97"/>
    </row>
    <row r="928" spans="3:6" x14ac:dyDescent="0.3">
      <c r="C928" s="96"/>
      <c r="D928" t="s">
        <v>69</v>
      </c>
      <c r="F928" s="97"/>
    </row>
    <row r="929" spans="3:6" x14ac:dyDescent="0.3">
      <c r="C929" s="96"/>
      <c r="D929" t="s">
        <v>69</v>
      </c>
      <c r="F929" s="97"/>
    </row>
    <row r="930" spans="3:6" x14ac:dyDescent="0.3">
      <c r="C930" s="96"/>
      <c r="D930" t="s">
        <v>69</v>
      </c>
      <c r="F930" s="97"/>
    </row>
    <row r="931" spans="3:6" x14ac:dyDescent="0.3">
      <c r="C931" s="96"/>
      <c r="D931" t="s">
        <v>69</v>
      </c>
      <c r="F931" s="97"/>
    </row>
    <row r="932" spans="3:6" x14ac:dyDescent="0.3">
      <c r="C932" s="96"/>
      <c r="D932" t="s">
        <v>69</v>
      </c>
      <c r="F932" s="97"/>
    </row>
    <row r="933" spans="3:6" x14ac:dyDescent="0.3">
      <c r="C933" s="96"/>
      <c r="D933" t="s">
        <v>69</v>
      </c>
      <c r="F933" s="97"/>
    </row>
    <row r="934" spans="3:6" x14ac:dyDescent="0.3">
      <c r="C934" s="96"/>
      <c r="D934" t="s">
        <v>64</v>
      </c>
      <c r="F934" s="97"/>
    </row>
    <row r="935" spans="3:6" x14ac:dyDescent="0.3">
      <c r="C935" s="96"/>
      <c r="D935" t="s">
        <v>64</v>
      </c>
      <c r="F935" s="97"/>
    </row>
    <row r="936" spans="3:6" x14ac:dyDescent="0.3">
      <c r="C936" s="96"/>
      <c r="D936" t="s">
        <v>64</v>
      </c>
      <c r="F936" s="97"/>
    </row>
    <row r="937" spans="3:6" x14ac:dyDescent="0.3">
      <c r="C937" s="96"/>
      <c r="D937" t="s">
        <v>64</v>
      </c>
      <c r="F937" s="97"/>
    </row>
    <row r="938" spans="3:6" ht="15" thickBot="1" x14ac:dyDescent="0.35">
      <c r="C938" s="98"/>
      <c r="D938" s="283" t="s">
        <v>64</v>
      </c>
      <c r="E938" s="283"/>
      <c r="F938" s="99"/>
    </row>
    <row r="939" spans="3:6" ht="15" thickBot="1" x14ac:dyDescent="0.35"/>
    <row r="940" spans="3:6" x14ac:dyDescent="0.3">
      <c r="C940" s="175"/>
      <c r="D940" s="365" t="s">
        <v>63</v>
      </c>
      <c r="E940" s="365"/>
      <c r="F940" s="174"/>
    </row>
    <row r="941" spans="3:6" x14ac:dyDescent="0.3">
      <c r="C941" s="96"/>
      <c r="D941" t="s">
        <v>63</v>
      </c>
      <c r="F941" s="97"/>
    </row>
    <row r="942" spans="3:6" x14ac:dyDescent="0.3">
      <c r="C942" s="96"/>
      <c r="D942" t="s">
        <v>63</v>
      </c>
      <c r="F942" s="97"/>
    </row>
    <row r="943" spans="3:6" x14ac:dyDescent="0.3">
      <c r="C943" s="96"/>
      <c r="D943" t="s">
        <v>63</v>
      </c>
      <c r="F943" s="97"/>
    </row>
    <row r="944" spans="3:6" x14ac:dyDescent="0.3">
      <c r="C944" s="96"/>
      <c r="D944" t="s">
        <v>63</v>
      </c>
      <c r="F944" s="97"/>
    </row>
    <row r="945" spans="3:6" x14ac:dyDescent="0.3">
      <c r="C945" s="96"/>
      <c r="D945" t="s">
        <v>63</v>
      </c>
      <c r="F945" s="97"/>
    </row>
    <row r="946" spans="3:6" x14ac:dyDescent="0.3">
      <c r="C946" s="96"/>
      <c r="D946" t="s">
        <v>63</v>
      </c>
      <c r="F946" s="97"/>
    </row>
    <row r="947" spans="3:6" x14ac:dyDescent="0.3">
      <c r="C947" s="96"/>
      <c r="D947" t="s">
        <v>63</v>
      </c>
      <c r="F947" s="97"/>
    </row>
    <row r="948" spans="3:6" x14ac:dyDescent="0.3">
      <c r="C948" s="96"/>
      <c r="D948" t="s">
        <v>63</v>
      </c>
      <c r="F948" s="97"/>
    </row>
    <row r="949" spans="3:6" x14ac:dyDescent="0.3">
      <c r="C949" s="96"/>
      <c r="D949" t="s">
        <v>63</v>
      </c>
      <c r="F949" s="97"/>
    </row>
    <row r="950" spans="3:6" x14ac:dyDescent="0.3">
      <c r="C950" s="96"/>
      <c r="D950" t="s">
        <v>69</v>
      </c>
      <c r="F950" s="97"/>
    </row>
    <row r="951" spans="3:6" x14ac:dyDescent="0.3">
      <c r="C951" s="96"/>
      <c r="D951" t="s">
        <v>69</v>
      </c>
      <c r="F951" s="97"/>
    </row>
    <row r="952" spans="3:6" x14ac:dyDescent="0.3">
      <c r="C952" s="96"/>
      <c r="D952" t="s">
        <v>69</v>
      </c>
      <c r="F952" s="97"/>
    </row>
    <row r="953" spans="3:6" x14ac:dyDescent="0.3">
      <c r="C953" s="96"/>
      <c r="D953" t="s">
        <v>69</v>
      </c>
      <c r="F953" s="97"/>
    </row>
    <row r="954" spans="3:6" x14ac:dyDescent="0.3">
      <c r="C954" s="96"/>
      <c r="D954" t="s">
        <v>69</v>
      </c>
      <c r="F954" s="97"/>
    </row>
    <row r="955" spans="3:6" x14ac:dyDescent="0.3">
      <c r="C955" s="96"/>
      <c r="D955" t="s">
        <v>69</v>
      </c>
      <c r="F955" s="97"/>
    </row>
    <row r="956" spans="3:6" x14ac:dyDescent="0.3">
      <c r="C956" s="96"/>
      <c r="D956" t="s">
        <v>69</v>
      </c>
      <c r="F956" s="97"/>
    </row>
    <row r="957" spans="3:6" x14ac:dyDescent="0.3">
      <c r="C957" s="96"/>
      <c r="D957" t="s">
        <v>69</v>
      </c>
      <c r="F957" s="97"/>
    </row>
    <row r="958" spans="3:6" x14ac:dyDescent="0.3">
      <c r="C958" s="96"/>
      <c r="D958" t="s">
        <v>69</v>
      </c>
      <c r="F958" s="97"/>
    </row>
    <row r="959" spans="3:6" x14ac:dyDescent="0.3">
      <c r="C959" s="96"/>
      <c r="D959" t="s">
        <v>69</v>
      </c>
      <c r="F959" s="97"/>
    </row>
    <row r="960" spans="3:6" x14ac:dyDescent="0.3">
      <c r="C960" s="96"/>
      <c r="D960" t="s">
        <v>69</v>
      </c>
      <c r="F960" s="97"/>
    </row>
    <row r="961" spans="3:6" x14ac:dyDescent="0.3">
      <c r="C961" s="96"/>
      <c r="D961" t="s">
        <v>64</v>
      </c>
      <c r="F961" s="97"/>
    </row>
    <row r="962" spans="3:6" x14ac:dyDescent="0.3">
      <c r="C962" s="96"/>
      <c r="D962" t="s">
        <v>64</v>
      </c>
      <c r="F962" s="97"/>
    </row>
    <row r="963" spans="3:6" x14ac:dyDescent="0.3">
      <c r="C963" s="96"/>
      <c r="D963" t="s">
        <v>64</v>
      </c>
      <c r="F963" s="97"/>
    </row>
    <row r="964" spans="3:6" x14ac:dyDescent="0.3">
      <c r="C964" s="96"/>
      <c r="D964" t="s">
        <v>64</v>
      </c>
      <c r="F964" s="97"/>
    </row>
    <row r="965" spans="3:6" ht="15" thickBot="1" x14ac:dyDescent="0.35">
      <c r="C965" s="98"/>
      <c r="D965" s="283" t="s">
        <v>64</v>
      </c>
      <c r="E965" s="283"/>
      <c r="F965" s="99"/>
    </row>
    <row r="966" spans="3:6" ht="15" thickBot="1" x14ac:dyDescent="0.35"/>
    <row r="967" spans="3:6" x14ac:dyDescent="0.3">
      <c r="C967" s="175"/>
      <c r="D967" s="365" t="s">
        <v>63</v>
      </c>
      <c r="E967" s="365"/>
      <c r="F967" s="174"/>
    </row>
    <row r="968" spans="3:6" x14ac:dyDescent="0.3">
      <c r="C968" s="96"/>
      <c r="D968" t="s">
        <v>63</v>
      </c>
      <c r="F968" s="97"/>
    </row>
    <row r="969" spans="3:6" x14ac:dyDescent="0.3">
      <c r="C969" s="96"/>
      <c r="D969" t="s">
        <v>63</v>
      </c>
      <c r="F969" s="97"/>
    </row>
    <row r="970" spans="3:6" x14ac:dyDescent="0.3">
      <c r="C970" s="96"/>
      <c r="D970" t="s">
        <v>63</v>
      </c>
      <c r="F970" s="97"/>
    </row>
    <row r="971" spans="3:6" x14ac:dyDescent="0.3">
      <c r="C971" s="96"/>
      <c r="D971" t="s">
        <v>63</v>
      </c>
      <c r="F971" s="97"/>
    </row>
    <row r="972" spans="3:6" x14ac:dyDescent="0.3">
      <c r="C972" s="96"/>
      <c r="D972" t="s">
        <v>63</v>
      </c>
      <c r="F972" s="97"/>
    </row>
    <row r="973" spans="3:6" x14ac:dyDescent="0.3">
      <c r="C973" s="96"/>
      <c r="D973" t="s">
        <v>63</v>
      </c>
      <c r="F973" s="97"/>
    </row>
    <row r="974" spans="3:6" x14ac:dyDescent="0.3">
      <c r="C974" s="96"/>
      <c r="D974" t="s">
        <v>63</v>
      </c>
      <c r="F974" s="97"/>
    </row>
    <row r="975" spans="3:6" x14ac:dyDescent="0.3">
      <c r="C975" s="96"/>
      <c r="D975" t="s">
        <v>63</v>
      </c>
      <c r="F975" s="97"/>
    </row>
    <row r="976" spans="3:6" x14ac:dyDescent="0.3">
      <c r="C976" s="96"/>
      <c r="D976" t="s">
        <v>63</v>
      </c>
      <c r="F976" s="97"/>
    </row>
    <row r="977" spans="3:6" x14ac:dyDescent="0.3">
      <c r="C977" s="96"/>
      <c r="D977" t="s">
        <v>69</v>
      </c>
      <c r="F977" s="97"/>
    </row>
    <row r="978" spans="3:6" x14ac:dyDescent="0.3">
      <c r="C978" s="96"/>
      <c r="D978" t="s">
        <v>69</v>
      </c>
      <c r="F978" s="97"/>
    </row>
    <row r="979" spans="3:6" x14ac:dyDescent="0.3">
      <c r="C979" s="96"/>
      <c r="D979" t="s">
        <v>69</v>
      </c>
      <c r="F979" s="97"/>
    </row>
    <row r="980" spans="3:6" x14ac:dyDescent="0.3">
      <c r="C980" s="96"/>
      <c r="D980" t="s">
        <v>69</v>
      </c>
      <c r="F980" s="97"/>
    </row>
    <row r="981" spans="3:6" x14ac:dyDescent="0.3">
      <c r="C981" s="96"/>
      <c r="D981" t="s">
        <v>69</v>
      </c>
      <c r="F981" s="97"/>
    </row>
    <row r="982" spans="3:6" x14ac:dyDescent="0.3">
      <c r="C982" s="96"/>
      <c r="D982" t="s">
        <v>69</v>
      </c>
      <c r="F982" s="97"/>
    </row>
    <row r="983" spans="3:6" x14ac:dyDescent="0.3">
      <c r="C983" s="96"/>
      <c r="D983" t="s">
        <v>69</v>
      </c>
      <c r="F983" s="97"/>
    </row>
    <row r="984" spans="3:6" x14ac:dyDescent="0.3">
      <c r="C984" s="96"/>
      <c r="D984" t="s">
        <v>69</v>
      </c>
      <c r="F984" s="97"/>
    </row>
    <row r="985" spans="3:6" x14ac:dyDescent="0.3">
      <c r="C985" s="96"/>
      <c r="D985" t="s">
        <v>69</v>
      </c>
      <c r="F985" s="97"/>
    </row>
    <row r="986" spans="3:6" x14ac:dyDescent="0.3">
      <c r="C986" s="96"/>
      <c r="D986" t="s">
        <v>69</v>
      </c>
      <c r="F986" s="97"/>
    </row>
    <row r="987" spans="3:6" x14ac:dyDescent="0.3">
      <c r="C987" s="96"/>
      <c r="D987" t="s">
        <v>69</v>
      </c>
      <c r="F987" s="97"/>
    </row>
    <row r="988" spans="3:6" x14ac:dyDescent="0.3">
      <c r="C988" s="96"/>
      <c r="D988" t="s">
        <v>64</v>
      </c>
      <c r="F988" s="97"/>
    </row>
    <row r="989" spans="3:6" x14ac:dyDescent="0.3">
      <c r="C989" s="96"/>
      <c r="D989" t="s">
        <v>64</v>
      </c>
      <c r="F989" s="97"/>
    </row>
    <row r="990" spans="3:6" x14ac:dyDescent="0.3">
      <c r="C990" s="96"/>
      <c r="D990" t="s">
        <v>64</v>
      </c>
      <c r="F990" s="97"/>
    </row>
    <row r="991" spans="3:6" x14ac:dyDescent="0.3">
      <c r="C991" s="96"/>
      <c r="D991" t="s">
        <v>64</v>
      </c>
      <c r="F991" s="97"/>
    </row>
    <row r="992" spans="3:6" ht="15" thickBot="1" x14ac:dyDescent="0.35">
      <c r="C992" s="98"/>
      <c r="D992" s="283" t="s">
        <v>64</v>
      </c>
      <c r="E992" s="283"/>
      <c r="F992" s="99"/>
    </row>
    <row r="993" spans="3:6" ht="15" thickBot="1" x14ac:dyDescent="0.35"/>
    <row r="994" spans="3:6" x14ac:dyDescent="0.3">
      <c r="C994" s="175"/>
      <c r="D994" s="365" t="s">
        <v>63</v>
      </c>
      <c r="E994" s="365"/>
      <c r="F994" s="174"/>
    </row>
    <row r="995" spans="3:6" x14ac:dyDescent="0.3">
      <c r="C995" s="96"/>
      <c r="D995" t="s">
        <v>63</v>
      </c>
      <c r="F995" s="97"/>
    </row>
    <row r="996" spans="3:6" x14ac:dyDescent="0.3">
      <c r="C996" s="96"/>
      <c r="D996" t="s">
        <v>63</v>
      </c>
      <c r="F996" s="97"/>
    </row>
    <row r="997" spans="3:6" x14ac:dyDescent="0.3">
      <c r="C997" s="96"/>
      <c r="D997" t="s">
        <v>63</v>
      </c>
      <c r="F997" s="97"/>
    </row>
    <row r="998" spans="3:6" x14ac:dyDescent="0.3">
      <c r="C998" s="96"/>
      <c r="D998" t="s">
        <v>63</v>
      </c>
      <c r="F998" s="97"/>
    </row>
    <row r="999" spans="3:6" x14ac:dyDescent="0.3">
      <c r="C999" s="96"/>
      <c r="D999" t="s">
        <v>63</v>
      </c>
      <c r="F999" s="97"/>
    </row>
    <row r="1000" spans="3:6" x14ac:dyDescent="0.3">
      <c r="C1000" s="96"/>
      <c r="D1000" t="s">
        <v>63</v>
      </c>
      <c r="F1000" s="97"/>
    </row>
    <row r="1001" spans="3:6" x14ac:dyDescent="0.3">
      <c r="C1001" s="96"/>
      <c r="D1001" t="s">
        <v>63</v>
      </c>
      <c r="F1001" s="97"/>
    </row>
    <row r="1002" spans="3:6" x14ac:dyDescent="0.3">
      <c r="C1002" s="96"/>
      <c r="D1002" t="s">
        <v>63</v>
      </c>
      <c r="F1002" s="97"/>
    </row>
    <row r="1003" spans="3:6" x14ac:dyDescent="0.3">
      <c r="C1003" s="96"/>
      <c r="D1003" t="s">
        <v>63</v>
      </c>
      <c r="F1003" s="97"/>
    </row>
    <row r="1004" spans="3:6" x14ac:dyDescent="0.3">
      <c r="C1004" s="96"/>
      <c r="D1004" t="s">
        <v>69</v>
      </c>
      <c r="F1004" s="97"/>
    </row>
    <row r="1005" spans="3:6" x14ac:dyDescent="0.3">
      <c r="C1005" s="96"/>
      <c r="D1005" t="s">
        <v>69</v>
      </c>
      <c r="F1005" s="97"/>
    </row>
    <row r="1006" spans="3:6" x14ac:dyDescent="0.3">
      <c r="C1006" s="96"/>
      <c r="D1006" t="s">
        <v>69</v>
      </c>
      <c r="F1006" s="97"/>
    </row>
    <row r="1007" spans="3:6" x14ac:dyDescent="0.3">
      <c r="C1007" s="96"/>
      <c r="D1007" t="s">
        <v>69</v>
      </c>
      <c r="F1007" s="97"/>
    </row>
    <row r="1008" spans="3:6" x14ac:dyDescent="0.3">
      <c r="C1008" s="96"/>
      <c r="D1008" t="s">
        <v>69</v>
      </c>
      <c r="F1008" s="97"/>
    </row>
    <row r="1009" spans="3:6" x14ac:dyDescent="0.3">
      <c r="C1009" s="96"/>
      <c r="D1009" t="s">
        <v>69</v>
      </c>
      <c r="F1009" s="97"/>
    </row>
    <row r="1010" spans="3:6" x14ac:dyDescent="0.3">
      <c r="C1010" s="96"/>
      <c r="D1010" t="s">
        <v>69</v>
      </c>
      <c r="F1010" s="97"/>
    </row>
    <row r="1011" spans="3:6" x14ac:dyDescent="0.3">
      <c r="C1011" s="96"/>
      <c r="D1011" t="s">
        <v>69</v>
      </c>
      <c r="F1011" s="97"/>
    </row>
    <row r="1012" spans="3:6" x14ac:dyDescent="0.3">
      <c r="C1012" s="96"/>
      <c r="D1012" t="s">
        <v>69</v>
      </c>
      <c r="F1012" s="97"/>
    </row>
    <row r="1013" spans="3:6" x14ac:dyDescent="0.3">
      <c r="C1013" s="96"/>
      <c r="D1013" t="s">
        <v>69</v>
      </c>
      <c r="F1013" s="97"/>
    </row>
    <row r="1014" spans="3:6" x14ac:dyDescent="0.3">
      <c r="C1014" s="96"/>
      <c r="D1014" t="s">
        <v>69</v>
      </c>
      <c r="F1014" s="97"/>
    </row>
    <row r="1015" spans="3:6" x14ac:dyDescent="0.3">
      <c r="C1015" s="96"/>
      <c r="D1015" t="s">
        <v>64</v>
      </c>
      <c r="F1015" s="97"/>
    </row>
    <row r="1016" spans="3:6" x14ac:dyDescent="0.3">
      <c r="C1016" s="96"/>
      <c r="D1016" t="s">
        <v>64</v>
      </c>
      <c r="F1016" s="97"/>
    </row>
    <row r="1017" spans="3:6" x14ac:dyDescent="0.3">
      <c r="C1017" s="96"/>
      <c r="D1017" t="s">
        <v>64</v>
      </c>
      <c r="F1017" s="97"/>
    </row>
    <row r="1018" spans="3:6" x14ac:dyDescent="0.3">
      <c r="C1018" s="96"/>
      <c r="D1018" t="s">
        <v>64</v>
      </c>
      <c r="F1018" s="97"/>
    </row>
    <row r="1019" spans="3:6" ht="15" thickBot="1" x14ac:dyDescent="0.35">
      <c r="C1019" s="98"/>
      <c r="D1019" s="283" t="s">
        <v>64</v>
      </c>
      <c r="E1019" s="283"/>
      <c r="F1019" s="99"/>
    </row>
    <row r="1020" spans="3:6" ht="15" thickBot="1" x14ac:dyDescent="0.35"/>
    <row r="1021" spans="3:6" x14ac:dyDescent="0.3">
      <c r="C1021" s="175"/>
      <c r="D1021" s="365" t="s">
        <v>63</v>
      </c>
      <c r="E1021" s="365"/>
      <c r="F1021" s="174"/>
    </row>
    <row r="1022" spans="3:6" x14ac:dyDescent="0.3">
      <c r="C1022" s="96"/>
      <c r="D1022" t="s">
        <v>63</v>
      </c>
      <c r="F1022" s="97"/>
    </row>
    <row r="1023" spans="3:6" x14ac:dyDescent="0.3">
      <c r="C1023" s="96"/>
      <c r="D1023" t="s">
        <v>63</v>
      </c>
      <c r="F1023" s="97"/>
    </row>
    <row r="1024" spans="3:6" x14ac:dyDescent="0.3">
      <c r="C1024" s="96"/>
      <c r="D1024" t="s">
        <v>63</v>
      </c>
      <c r="F1024" s="97"/>
    </row>
    <row r="1025" spans="3:6" x14ac:dyDescent="0.3">
      <c r="C1025" s="96"/>
      <c r="D1025" t="s">
        <v>63</v>
      </c>
      <c r="F1025" s="97"/>
    </row>
    <row r="1026" spans="3:6" x14ac:dyDescent="0.3">
      <c r="C1026" s="96"/>
      <c r="D1026" t="s">
        <v>63</v>
      </c>
      <c r="F1026" s="97"/>
    </row>
    <row r="1027" spans="3:6" x14ac:dyDescent="0.3">
      <c r="C1027" s="96"/>
      <c r="D1027" t="s">
        <v>63</v>
      </c>
      <c r="F1027" s="97"/>
    </row>
    <row r="1028" spans="3:6" x14ac:dyDescent="0.3">
      <c r="C1028" s="96"/>
      <c r="D1028" t="s">
        <v>63</v>
      </c>
      <c r="F1028" s="97"/>
    </row>
    <row r="1029" spans="3:6" x14ac:dyDescent="0.3">
      <c r="C1029" s="96"/>
      <c r="D1029" t="s">
        <v>63</v>
      </c>
      <c r="F1029" s="97"/>
    </row>
    <row r="1030" spans="3:6" x14ac:dyDescent="0.3">
      <c r="C1030" s="96"/>
      <c r="D1030" t="s">
        <v>63</v>
      </c>
      <c r="F1030" s="97"/>
    </row>
    <row r="1031" spans="3:6" x14ac:dyDescent="0.3">
      <c r="C1031" s="96"/>
      <c r="D1031" t="s">
        <v>69</v>
      </c>
      <c r="F1031" s="97"/>
    </row>
    <row r="1032" spans="3:6" x14ac:dyDescent="0.3">
      <c r="C1032" s="96"/>
      <c r="D1032" t="s">
        <v>69</v>
      </c>
      <c r="F1032" s="97"/>
    </row>
    <row r="1033" spans="3:6" x14ac:dyDescent="0.3">
      <c r="C1033" s="96"/>
      <c r="D1033" t="s">
        <v>69</v>
      </c>
      <c r="F1033" s="97"/>
    </row>
    <row r="1034" spans="3:6" x14ac:dyDescent="0.3">
      <c r="C1034" s="96"/>
      <c r="D1034" t="s">
        <v>69</v>
      </c>
      <c r="F1034" s="97"/>
    </row>
    <row r="1035" spans="3:6" x14ac:dyDescent="0.3">
      <c r="C1035" s="96"/>
      <c r="D1035" t="s">
        <v>69</v>
      </c>
      <c r="F1035" s="97"/>
    </row>
    <row r="1036" spans="3:6" x14ac:dyDescent="0.3">
      <c r="C1036" s="96"/>
      <c r="D1036" t="s">
        <v>69</v>
      </c>
      <c r="F1036" s="97"/>
    </row>
    <row r="1037" spans="3:6" x14ac:dyDescent="0.3">
      <c r="C1037" s="96"/>
      <c r="D1037" t="s">
        <v>69</v>
      </c>
      <c r="F1037" s="97"/>
    </row>
    <row r="1038" spans="3:6" x14ac:dyDescent="0.3">
      <c r="C1038" s="96"/>
      <c r="D1038" t="s">
        <v>69</v>
      </c>
      <c r="F1038" s="97"/>
    </row>
    <row r="1039" spans="3:6" x14ac:dyDescent="0.3">
      <c r="C1039" s="96"/>
      <c r="D1039" t="s">
        <v>69</v>
      </c>
      <c r="F1039" s="97"/>
    </row>
    <row r="1040" spans="3:6" x14ac:dyDescent="0.3">
      <c r="C1040" s="96"/>
      <c r="D1040" t="s">
        <v>69</v>
      </c>
      <c r="F1040" s="97"/>
    </row>
    <row r="1041" spans="3:6" x14ac:dyDescent="0.3">
      <c r="C1041" s="96"/>
      <c r="D1041" t="s">
        <v>69</v>
      </c>
      <c r="F1041" s="97"/>
    </row>
    <row r="1042" spans="3:6" x14ac:dyDescent="0.3">
      <c r="C1042" s="96"/>
      <c r="D1042" t="s">
        <v>64</v>
      </c>
      <c r="F1042" s="97"/>
    </row>
    <row r="1043" spans="3:6" x14ac:dyDescent="0.3">
      <c r="C1043" s="96"/>
      <c r="D1043" t="s">
        <v>64</v>
      </c>
      <c r="F1043" s="97"/>
    </row>
    <row r="1044" spans="3:6" x14ac:dyDescent="0.3">
      <c r="C1044" s="96"/>
      <c r="D1044" t="s">
        <v>64</v>
      </c>
      <c r="F1044" s="97"/>
    </row>
    <row r="1045" spans="3:6" x14ac:dyDescent="0.3">
      <c r="C1045" s="96"/>
      <c r="D1045" t="s">
        <v>64</v>
      </c>
      <c r="F1045" s="97"/>
    </row>
    <row r="1046" spans="3:6" ht="15" thickBot="1" x14ac:dyDescent="0.35">
      <c r="C1046" s="98"/>
      <c r="D1046" s="283" t="s">
        <v>64</v>
      </c>
      <c r="E1046" s="283"/>
      <c r="F1046" s="99"/>
    </row>
    <row r="1047" spans="3:6" ht="15" thickBot="1" x14ac:dyDescent="0.35"/>
    <row r="1048" spans="3:6" x14ac:dyDescent="0.3">
      <c r="C1048" s="175"/>
      <c r="D1048" s="365" t="s">
        <v>63</v>
      </c>
      <c r="E1048" s="365"/>
      <c r="F1048" s="174"/>
    </row>
    <row r="1049" spans="3:6" x14ac:dyDescent="0.3">
      <c r="C1049" s="96"/>
      <c r="D1049" t="s">
        <v>63</v>
      </c>
      <c r="F1049" s="97"/>
    </row>
    <row r="1050" spans="3:6" x14ac:dyDescent="0.3">
      <c r="C1050" s="96"/>
      <c r="D1050" t="s">
        <v>63</v>
      </c>
      <c r="F1050" s="97"/>
    </row>
    <row r="1051" spans="3:6" x14ac:dyDescent="0.3">
      <c r="C1051" s="96"/>
      <c r="D1051" t="s">
        <v>63</v>
      </c>
      <c r="F1051" s="97"/>
    </row>
    <row r="1052" spans="3:6" x14ac:dyDescent="0.3">
      <c r="C1052" s="96"/>
      <c r="D1052" t="s">
        <v>63</v>
      </c>
      <c r="F1052" s="97"/>
    </row>
    <row r="1053" spans="3:6" x14ac:dyDescent="0.3">
      <c r="C1053" s="96"/>
      <c r="D1053" t="s">
        <v>63</v>
      </c>
      <c r="F1053" s="97"/>
    </row>
    <row r="1054" spans="3:6" x14ac:dyDescent="0.3">
      <c r="C1054" s="96"/>
      <c r="D1054" t="s">
        <v>63</v>
      </c>
      <c r="F1054" s="97"/>
    </row>
    <row r="1055" spans="3:6" x14ac:dyDescent="0.3">
      <c r="C1055" s="96"/>
      <c r="D1055" t="s">
        <v>63</v>
      </c>
      <c r="F1055" s="97"/>
    </row>
    <row r="1056" spans="3:6" x14ac:dyDescent="0.3">
      <c r="C1056" s="96"/>
      <c r="D1056" t="s">
        <v>63</v>
      </c>
      <c r="F1056" s="97"/>
    </row>
    <row r="1057" spans="3:6" x14ac:dyDescent="0.3">
      <c r="C1057" s="96"/>
      <c r="D1057" t="s">
        <v>63</v>
      </c>
      <c r="F1057" s="97"/>
    </row>
    <row r="1058" spans="3:6" x14ac:dyDescent="0.3">
      <c r="C1058" s="96"/>
      <c r="D1058" t="s">
        <v>69</v>
      </c>
      <c r="F1058" s="97"/>
    </row>
    <row r="1059" spans="3:6" x14ac:dyDescent="0.3">
      <c r="C1059" s="96"/>
      <c r="D1059" t="s">
        <v>69</v>
      </c>
      <c r="F1059" s="97"/>
    </row>
    <row r="1060" spans="3:6" x14ac:dyDescent="0.3">
      <c r="C1060" s="96"/>
      <c r="D1060" t="s">
        <v>69</v>
      </c>
      <c r="F1060" s="97"/>
    </row>
    <row r="1061" spans="3:6" x14ac:dyDescent="0.3">
      <c r="C1061" s="96"/>
      <c r="D1061" t="s">
        <v>69</v>
      </c>
      <c r="F1061" s="97"/>
    </row>
    <row r="1062" spans="3:6" x14ac:dyDescent="0.3">
      <c r="C1062" s="96"/>
      <c r="D1062" t="s">
        <v>69</v>
      </c>
      <c r="F1062" s="97"/>
    </row>
    <row r="1063" spans="3:6" x14ac:dyDescent="0.3">
      <c r="C1063" s="96"/>
      <c r="D1063" t="s">
        <v>69</v>
      </c>
      <c r="F1063" s="97"/>
    </row>
    <row r="1064" spans="3:6" x14ac:dyDescent="0.3">
      <c r="C1064" s="96"/>
      <c r="D1064" t="s">
        <v>69</v>
      </c>
      <c r="F1064" s="97"/>
    </row>
    <row r="1065" spans="3:6" x14ac:dyDescent="0.3">
      <c r="C1065" s="96"/>
      <c r="D1065" t="s">
        <v>69</v>
      </c>
      <c r="F1065" s="97"/>
    </row>
    <row r="1066" spans="3:6" x14ac:dyDescent="0.3">
      <c r="C1066" s="96"/>
      <c r="D1066" t="s">
        <v>69</v>
      </c>
      <c r="F1066" s="97"/>
    </row>
    <row r="1067" spans="3:6" x14ac:dyDescent="0.3">
      <c r="C1067" s="96"/>
      <c r="D1067" t="s">
        <v>69</v>
      </c>
      <c r="F1067" s="97"/>
    </row>
    <row r="1068" spans="3:6" x14ac:dyDescent="0.3">
      <c r="C1068" s="96"/>
      <c r="D1068" t="s">
        <v>69</v>
      </c>
      <c r="F1068" s="97"/>
    </row>
    <row r="1069" spans="3:6" x14ac:dyDescent="0.3">
      <c r="C1069" s="96"/>
      <c r="D1069" t="s">
        <v>64</v>
      </c>
      <c r="F1069" s="97"/>
    </row>
    <row r="1070" spans="3:6" x14ac:dyDescent="0.3">
      <c r="C1070" s="96"/>
      <c r="D1070" t="s">
        <v>64</v>
      </c>
      <c r="F1070" s="97"/>
    </row>
    <row r="1071" spans="3:6" x14ac:dyDescent="0.3">
      <c r="C1071" s="96"/>
      <c r="D1071" t="s">
        <v>64</v>
      </c>
      <c r="F1071" s="97"/>
    </row>
    <row r="1072" spans="3:6" x14ac:dyDescent="0.3">
      <c r="C1072" s="96"/>
      <c r="D1072" t="s">
        <v>64</v>
      </c>
      <c r="F1072" s="97"/>
    </row>
    <row r="1073" spans="3:6" ht="15" thickBot="1" x14ac:dyDescent="0.35">
      <c r="C1073" s="98"/>
      <c r="D1073" s="283" t="s">
        <v>64</v>
      </c>
      <c r="E1073" s="283"/>
      <c r="F1073" s="99"/>
    </row>
  </sheetData>
  <mergeCells count="16">
    <mergeCell ref="C54:I54"/>
    <mergeCell ref="C81:I81"/>
    <mergeCell ref="C114:I114"/>
    <mergeCell ref="C133:I133"/>
    <mergeCell ref="C147:I147"/>
    <mergeCell ref="C169:I169"/>
    <mergeCell ref="C183:I183"/>
    <mergeCell ref="C217:E217"/>
    <mergeCell ref="C236:E236"/>
    <mergeCell ref="C211:E211"/>
    <mergeCell ref="C258:E258"/>
    <mergeCell ref="C274:E274"/>
    <mergeCell ref="C284:E284"/>
    <mergeCell ref="C315:E315"/>
    <mergeCell ref="C305:E305"/>
    <mergeCell ref="C295:E295"/>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2.xml>��
</file>

<file path=customXml/itemProps1.xml><?xml version="1.0" encoding="utf-8"?>
<ds:datastoreItem xmlns:ds="http://schemas.openxmlformats.org/officeDocument/2006/customXml" ds:itemID="{96682725-AEAE-4707-BBAD-A59238F0BC3B}">
  <ds:schemaRefs>
    <ds:schemaRef ds:uri="http://schemas.microsoft.com/office/extensibility/maker/v1.0"/>
    <ds:schemaRef ds:uri=""/>
  </ds:schemaRefs>
</ds:datastoreItem>
</file>

<file path=customXml/itemProps2.xml><?xml version="1.0" encoding="utf-8"?>
<ds:datastoreItem xmlns:ds="http://schemas.openxmlformats.org/officeDocument/2006/customXml" ds:itemID="{35610CC2-785B-431E-A0BF-74166EC0331B}">
  <ds:schemaRefs>
    <ds:schemaRef ds:uri="http://schemas.microsoft.com/DataMashup"/>
  </ds:schemaRefs>
</ds:datastoreItem>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24</vt:i4>
      </vt:variant>
    </vt:vector>
  </HeadingPairs>
  <TitlesOfParts>
    <vt:vector size="40" baseType="lpstr">
      <vt:lpstr>Instructions</vt:lpstr>
      <vt:lpstr>Journal</vt:lpstr>
      <vt:lpstr>Financial_Statements_Builder</vt:lpstr>
      <vt:lpstr>Notes_to_FSs</vt:lpstr>
      <vt:lpstr>Analysis_Help</vt:lpstr>
      <vt:lpstr>Tools</vt:lpstr>
      <vt:lpstr>Reconciliation_Tool</vt:lpstr>
      <vt:lpstr>Notice</vt:lpstr>
      <vt:lpstr>ProblemData</vt:lpstr>
      <vt:lpstr>FSConstruction</vt:lpstr>
      <vt:lpstr>FSData</vt:lpstr>
      <vt:lpstr>FSFormattingCodes</vt:lpstr>
      <vt:lpstr>JournalAnswer</vt:lpstr>
      <vt:lpstr>FSAnswers</vt:lpstr>
      <vt:lpstr>Tables and Columns</vt:lpstr>
      <vt:lpstr>MasterData</vt:lpstr>
      <vt:lpstr>BB_Inbalance</vt:lpstr>
      <vt:lpstr>BegDate</vt:lpstr>
      <vt:lpstr>Financial_Statements_Builder!Begin</vt:lpstr>
      <vt:lpstr>MasterData!Begin</vt:lpstr>
      <vt:lpstr>FSConstruction!CFO_NI_Recon_NI</vt:lpstr>
      <vt:lpstr>DeprMethod</vt:lpstr>
      <vt:lpstr>Financial_Statements_Builder!End</vt:lpstr>
      <vt:lpstr>MasterData!End</vt:lpstr>
      <vt:lpstr>EndDate</vt:lpstr>
      <vt:lpstr>Entity</vt:lpstr>
      <vt:lpstr>EntityActivity</vt:lpstr>
      <vt:lpstr>EntityType</vt:lpstr>
      <vt:lpstr>FS_IssueDate</vt:lpstr>
      <vt:lpstr>FSBuilderAccnts</vt:lpstr>
      <vt:lpstr>InventoryMethod</vt:lpstr>
      <vt:lpstr>Issue_Date</vt:lpstr>
      <vt:lpstr>Net_Income</vt:lpstr>
      <vt:lpstr>ParValue</vt:lpstr>
      <vt:lpstr>Period</vt:lpstr>
      <vt:lpstr>RevRec</vt:lpstr>
      <vt:lpstr>ShrsOut</vt:lpstr>
      <vt:lpstr>TreasShrs</vt:lpstr>
      <vt:lpstr>Units</vt:lpstr>
      <vt:lpstr>ZZZ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2026-02-22T12:09:55Z</dcterms:modified>
  <cp:category/>
  <cp:contentStatus/>
</cp:coreProperties>
</file>