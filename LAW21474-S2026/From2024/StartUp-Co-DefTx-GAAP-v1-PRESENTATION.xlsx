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Teaching and Learning Resources/Problems/StartUp Co DefTx/"/>
    </mc:Choice>
  </mc:AlternateContent>
  <xr:revisionPtr revIDLastSave="59" documentId="8_{9BA28213-3769-48F3-9395-396BAA8F9B8B}" xr6:coauthVersionLast="47" xr6:coauthVersionMax="47" xr10:uidLastSave="{3807E0D3-E194-4A9D-A150-FDAD908E8015}"/>
  <bookViews>
    <workbookView xWindow="1515" yWindow="1635" windowWidth="35880" windowHeight="17565" firstSheet="1" activeTab="3" xr2:uid="{D76F243A-A6D0-4D8B-9903-20320D860F0C}"/>
  </bookViews>
  <sheets>
    <sheet name="Setup" sheetId="4" state="hidden" r:id="rId1"/>
    <sheet name="Journal" sheetId="2" r:id="rId2"/>
    <sheet name="Financial Statements" sheetId="7" state="hidden" r:id="rId3"/>
    <sheet name="3 years of FSs" sheetId="9" r:id="rId4"/>
    <sheet name="3 years of BSs" sheetId="10" r:id="rId5"/>
    <sheet name="3 years of ISs" sheetId="12" r:id="rId6"/>
    <sheet name="IDM Worksheet" sheetId="5" state="hidden" r:id="rId7"/>
    <sheet name="PairwiseIncrDecrAccnts" sheetId="8" state="hidden" r:id="rId8"/>
  </sheets>
  <definedNames>
    <definedName name="BegDate1">Setup!$F$13</definedName>
    <definedName name="BegDate2">Setup!$G$13</definedName>
    <definedName name="BegDate3">Setup!$H$13</definedName>
    <definedName name="EndDate1">Setup!$F$14</definedName>
    <definedName name="EndDate2">Setup!$G$14</definedName>
    <definedName name="EndDate3">Setup!$H$14</definedName>
    <definedName name="Entity">Setup!$F$16</definedName>
    <definedName name="Period">Setup!$F$15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0" l="1"/>
  <c r="E15" i="10" s="1"/>
  <c r="F15" i="10" s="1"/>
  <c r="C15" i="10"/>
  <c r="N16" i="9"/>
  <c r="T16" i="9"/>
  <c r="H16" i="9"/>
  <c r="C16" i="9"/>
  <c r="I16" i="9" s="1"/>
  <c r="O16" i="9" s="1"/>
  <c r="U16" i="9" s="1"/>
  <c r="C26" i="4"/>
  <c r="E56" i="12"/>
  <c r="D56" i="12"/>
  <c r="C56" i="12"/>
  <c r="E55" i="12"/>
  <c r="D55" i="12"/>
  <c r="C55" i="12"/>
  <c r="E8" i="12"/>
  <c r="D8" i="12"/>
  <c r="C8" i="12"/>
  <c r="E7" i="12"/>
  <c r="D7" i="12"/>
  <c r="C7" i="12"/>
  <c r="E6" i="12"/>
  <c r="D6" i="12"/>
  <c r="C6" i="12"/>
  <c r="E4" i="12"/>
  <c r="E53" i="12" s="1"/>
  <c r="D4" i="12"/>
  <c r="D53" i="12" s="1"/>
  <c r="C4" i="12"/>
  <c r="R8" i="9"/>
  <c r="Q8" i="9"/>
  <c r="R7" i="9"/>
  <c r="R6" i="9"/>
  <c r="R4" i="9"/>
  <c r="R53" i="9" s="1"/>
  <c r="Q7" i="9"/>
  <c r="Q6" i="9"/>
  <c r="Q4" i="9"/>
  <c r="L8" i="9"/>
  <c r="L7" i="9"/>
  <c r="L6" i="9"/>
  <c r="K7" i="9"/>
  <c r="K8" i="9"/>
  <c r="K6" i="9"/>
  <c r="K4" i="9"/>
  <c r="L4" i="9"/>
  <c r="E66" i="10"/>
  <c r="D66" i="10"/>
  <c r="E65" i="10"/>
  <c r="D65" i="10"/>
  <c r="C20" i="10"/>
  <c r="C19" i="10"/>
  <c r="C71" i="10" s="1"/>
  <c r="C16" i="10"/>
  <c r="D16" i="10" s="1"/>
  <c r="C14" i="10"/>
  <c r="D14" i="10" s="1"/>
  <c r="C13" i="10"/>
  <c r="C12" i="10"/>
  <c r="C9" i="10"/>
  <c r="D9" i="10" s="1"/>
  <c r="C8" i="10"/>
  <c r="D8" i="10" s="1"/>
  <c r="C7" i="10"/>
  <c r="D7" i="10" s="1"/>
  <c r="C6" i="10"/>
  <c r="D6" i="10" s="1"/>
  <c r="C5" i="10"/>
  <c r="C4" i="10"/>
  <c r="F2" i="10"/>
  <c r="E2" i="10"/>
  <c r="D2" i="10"/>
  <c r="C2" i="10"/>
  <c r="B1" i="10"/>
  <c r="U2" i="9"/>
  <c r="T20" i="9"/>
  <c r="T19" i="9"/>
  <c r="T13" i="9"/>
  <c r="T14" i="9"/>
  <c r="T15" i="9"/>
  <c r="T12" i="9"/>
  <c r="T5" i="9"/>
  <c r="T6" i="9"/>
  <c r="T7" i="9"/>
  <c r="T8" i="9"/>
  <c r="T9" i="9"/>
  <c r="T4" i="9"/>
  <c r="T1" i="9"/>
  <c r="Q1" i="9"/>
  <c r="O2" i="9"/>
  <c r="I2" i="9"/>
  <c r="N20" i="9"/>
  <c r="N19" i="9"/>
  <c r="N14" i="9"/>
  <c r="N15" i="9"/>
  <c r="N13" i="9"/>
  <c r="N12" i="9"/>
  <c r="N6" i="9"/>
  <c r="N7" i="9"/>
  <c r="N8" i="9"/>
  <c r="N9" i="9"/>
  <c r="N5" i="9"/>
  <c r="N4" i="9"/>
  <c r="H19" i="9"/>
  <c r="O66" i="9"/>
  <c r="O65" i="9"/>
  <c r="R56" i="9"/>
  <c r="R55" i="9"/>
  <c r="N1" i="9"/>
  <c r="F7" i="9"/>
  <c r="F8" i="9"/>
  <c r="F6" i="9"/>
  <c r="E8" i="10" l="1"/>
  <c r="F8" i="10" s="1"/>
  <c r="E9" i="10"/>
  <c r="F9" i="10" s="1"/>
  <c r="E14" i="10"/>
  <c r="F14" i="10" s="1"/>
  <c r="E16" i="10"/>
  <c r="F16" i="10" s="1"/>
  <c r="E7" i="10"/>
  <c r="F7" i="10" s="1"/>
  <c r="E6" i="10"/>
  <c r="F6" i="10" s="1"/>
  <c r="E54" i="12"/>
  <c r="E57" i="12" s="1"/>
  <c r="D54" i="12"/>
  <c r="D57" i="12" s="1"/>
  <c r="C9" i="12"/>
  <c r="C54" i="12"/>
  <c r="D9" i="12"/>
  <c r="C53" i="12"/>
  <c r="E9" i="12"/>
  <c r="C70" i="10"/>
  <c r="C72" i="10" s="1"/>
  <c r="C17" i="10"/>
  <c r="D19" i="10"/>
  <c r="D12" i="10"/>
  <c r="C69" i="10"/>
  <c r="D4" i="10"/>
  <c r="C10" i="10"/>
  <c r="C21" i="10"/>
  <c r="C56" i="10"/>
  <c r="D13" i="10"/>
  <c r="D20" i="10"/>
  <c r="C54" i="10"/>
  <c r="D5" i="10"/>
  <c r="C55" i="10"/>
  <c r="R54" i="9"/>
  <c r="R57" i="9" s="1"/>
  <c r="R9" i="9"/>
  <c r="H20" i="9"/>
  <c r="H13" i="9"/>
  <c r="H14" i="9"/>
  <c r="H15" i="9"/>
  <c r="H12" i="9"/>
  <c r="H5" i="9"/>
  <c r="H6" i="9"/>
  <c r="H7" i="9"/>
  <c r="H8" i="9"/>
  <c r="H9" i="9"/>
  <c r="H4" i="9"/>
  <c r="L53" i="9"/>
  <c r="K1" i="9"/>
  <c r="L56" i="9"/>
  <c r="L55" i="9"/>
  <c r="C6" i="9"/>
  <c r="I6" i="9" s="1"/>
  <c r="O6" i="9" s="1"/>
  <c r="U6" i="9" s="1"/>
  <c r="F4" i="9"/>
  <c r="C14" i="9"/>
  <c r="I14" i="9" s="1"/>
  <c r="O14" i="9" s="1"/>
  <c r="U14" i="9" s="1"/>
  <c r="C15" i="9"/>
  <c r="I15" i="9" s="1"/>
  <c r="O15" i="9" s="1"/>
  <c r="U15" i="9" s="1"/>
  <c r="C8" i="7"/>
  <c r="C5" i="7"/>
  <c r="C6" i="7"/>
  <c r="C7" i="7"/>
  <c r="C9" i="7"/>
  <c r="C10" i="7"/>
  <c r="C11" i="7"/>
  <c r="C12" i="7"/>
  <c r="C13" i="7"/>
  <c r="C14" i="7"/>
  <c r="C2" i="9"/>
  <c r="E1" i="9"/>
  <c r="I66" i="9"/>
  <c r="I65" i="9"/>
  <c r="C20" i="9"/>
  <c r="I20" i="9" s="1"/>
  <c r="O20" i="9" s="1"/>
  <c r="U20" i="9" s="1"/>
  <c r="C19" i="9"/>
  <c r="C13" i="9"/>
  <c r="I13" i="9" s="1"/>
  <c r="O13" i="9" s="1"/>
  <c r="U13" i="9" s="1"/>
  <c r="C12" i="9"/>
  <c r="C9" i="9"/>
  <c r="I9" i="9" s="1"/>
  <c r="O9" i="9" s="1"/>
  <c r="U9" i="9" s="1"/>
  <c r="C8" i="9"/>
  <c r="I8" i="9" s="1"/>
  <c r="O8" i="9" s="1"/>
  <c r="U8" i="9" s="1"/>
  <c r="C7" i="9"/>
  <c r="I7" i="9" s="1"/>
  <c r="O7" i="9" s="1"/>
  <c r="U7" i="9" s="1"/>
  <c r="C5" i="9"/>
  <c r="I5" i="9" s="1"/>
  <c r="O5" i="9" s="1"/>
  <c r="U5" i="9" s="1"/>
  <c r="C4" i="9"/>
  <c r="I4" i="9" s="1"/>
  <c r="O4" i="9" s="1"/>
  <c r="U4" i="9" s="1"/>
  <c r="H1" i="9"/>
  <c r="B1" i="9"/>
  <c r="E1" i="7"/>
  <c r="G218" i="2"/>
  <c r="G207" i="2"/>
  <c r="T1" i="7"/>
  <c r="C2" i="7" a="1"/>
  <c r="C2" i="7" s="1"/>
  <c r="O5" i="7"/>
  <c r="O6" i="7"/>
  <c r="O7" i="7"/>
  <c r="O8" i="7"/>
  <c r="O9" i="7"/>
  <c r="O10" i="7"/>
  <c r="C32" i="7"/>
  <c r="N4" i="7" s="1"/>
  <c r="C31" i="7"/>
  <c r="L4" i="7" s="1"/>
  <c r="B1" i="7"/>
  <c r="C22" i="10" l="1"/>
  <c r="C57" i="12"/>
  <c r="G6" i="10"/>
  <c r="G7" i="10"/>
  <c r="G15" i="10"/>
  <c r="G14" i="10"/>
  <c r="G9" i="10"/>
  <c r="G8" i="10"/>
  <c r="E12" i="10"/>
  <c r="E19" i="10"/>
  <c r="F19" i="10" s="1"/>
  <c r="E4" i="10"/>
  <c r="E5" i="10"/>
  <c r="F5" i="10" s="1"/>
  <c r="E20" i="10"/>
  <c r="F20" i="10" s="1"/>
  <c r="E13" i="10"/>
  <c r="F13" i="10" s="1"/>
  <c r="D17" i="10"/>
  <c r="D54" i="10"/>
  <c r="D56" i="10"/>
  <c r="D55" i="10"/>
  <c r="D10" i="10"/>
  <c r="D60" i="10"/>
  <c r="C57" i="10"/>
  <c r="D59" i="10"/>
  <c r="D61" i="10"/>
  <c r="D21" i="10"/>
  <c r="U10" i="9"/>
  <c r="C71" i="9"/>
  <c r="I19" i="9"/>
  <c r="O19" i="9" s="1"/>
  <c r="U19" i="9" s="1"/>
  <c r="U21" i="9" s="1"/>
  <c r="O10" i="9"/>
  <c r="O54" i="9"/>
  <c r="O59" i="9"/>
  <c r="C55" i="9"/>
  <c r="I12" i="9"/>
  <c r="L54" i="9"/>
  <c r="L57" i="9" s="1"/>
  <c r="L9" i="9"/>
  <c r="C54" i="9"/>
  <c r="C17" i="9"/>
  <c r="F54" i="9"/>
  <c r="I10" i="9"/>
  <c r="I59" i="9"/>
  <c r="I54" i="9"/>
  <c r="F56" i="9"/>
  <c r="F55" i="9"/>
  <c r="C56" i="9"/>
  <c r="C10" i="9"/>
  <c r="C21" i="9"/>
  <c r="C69" i="9"/>
  <c r="C70" i="9"/>
  <c r="B95" i="5"/>
  <c r="U32" i="7"/>
  <c r="O12" i="9" l="1"/>
  <c r="O60" i="9" s="1"/>
  <c r="I17" i="9"/>
  <c r="F21" i="10"/>
  <c r="G5" i="10"/>
  <c r="G18" i="10"/>
  <c r="G19" i="10"/>
  <c r="G13" i="10"/>
  <c r="E54" i="10"/>
  <c r="F12" i="10"/>
  <c r="F17" i="10" s="1"/>
  <c r="F22" i="10" s="1"/>
  <c r="E60" i="10"/>
  <c r="E21" i="10"/>
  <c r="E56" i="10"/>
  <c r="F4" i="10"/>
  <c r="F10" i="10" s="1"/>
  <c r="E17" i="10"/>
  <c r="E61" i="10"/>
  <c r="E55" i="10"/>
  <c r="E59" i="10"/>
  <c r="E10" i="10"/>
  <c r="D62" i="10"/>
  <c r="E22" i="10"/>
  <c r="D57" i="10"/>
  <c r="C58" i="10" s="1"/>
  <c r="D22" i="10"/>
  <c r="C22" i="9"/>
  <c r="C57" i="9"/>
  <c r="C72" i="9"/>
  <c r="N11" i="7"/>
  <c r="H95" i="5"/>
  <c r="E62" i="10" l="1"/>
  <c r="O55" i="9"/>
  <c r="U12" i="9"/>
  <c r="U17" i="9" s="1"/>
  <c r="U22" i="9" s="1"/>
  <c r="O17" i="9"/>
  <c r="E57" i="10"/>
  <c r="G12" i="10"/>
  <c r="G4" i="10"/>
  <c r="K95" i="5"/>
  <c r="J95" i="5"/>
  <c r="F10" i="7" l="1"/>
  <c r="E67" i="5"/>
  <c r="C28" i="7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C79" i="5"/>
  <c r="F79" i="5"/>
  <c r="F80" i="5"/>
  <c r="F43" i="5"/>
  <c r="E43" i="5"/>
  <c r="F47" i="5"/>
  <c r="E47" i="5"/>
  <c r="F59" i="5"/>
  <c r="F61" i="5"/>
  <c r="E59" i="5"/>
  <c r="F6" i="7"/>
  <c r="F7" i="7"/>
  <c r="F8" i="7"/>
  <c r="F9" i="7"/>
  <c r="F12" i="7"/>
  <c r="F13" i="7"/>
  <c r="R14" i="7" s="1"/>
  <c r="F14" i="7"/>
  <c r="R15" i="7" s="1"/>
  <c r="F15" i="7"/>
  <c r="R16" i="7" s="1"/>
  <c r="F17" i="7"/>
  <c r="R8" i="7" s="1"/>
  <c r="F18" i="7"/>
  <c r="R9" i="7" s="1"/>
  <c r="F19" i="7"/>
  <c r="R10" i="7" s="1"/>
  <c r="F20" i="7"/>
  <c r="R11" i="7" s="1"/>
  <c r="F21" i="7"/>
  <c r="R12" i="7" s="1"/>
  <c r="E27" i="5"/>
  <c r="E28" i="5"/>
  <c r="E31" i="5"/>
  <c r="E32" i="5"/>
  <c r="F31" i="5"/>
  <c r="E7" i="5"/>
  <c r="F7" i="5"/>
  <c r="E15" i="5"/>
  <c r="F15" i="5"/>
  <c r="F16" i="5"/>
  <c r="F19" i="5"/>
  <c r="C17" i="7"/>
  <c r="C43" i="5" s="1"/>
  <c r="C19" i="7"/>
  <c r="C51" i="5"/>
  <c r="C18" i="7"/>
  <c r="C21" i="7"/>
  <c r="C27" i="5"/>
  <c r="U12" i="7"/>
  <c r="H31" i="5" s="1"/>
  <c r="B7" i="5"/>
  <c r="C11" i="5"/>
  <c r="B15" i="5"/>
  <c r="B19" i="5"/>
  <c r="R29" i="7"/>
  <c r="R30" i="7"/>
  <c r="R31" i="7"/>
  <c r="R32" i="7"/>
  <c r="R33" i="7"/>
  <c r="R34" i="7"/>
  <c r="R35" i="7"/>
  <c r="R38" i="7"/>
  <c r="R39" i="7"/>
  <c r="R40" i="7"/>
  <c r="R41" i="7"/>
  <c r="E138" i="5"/>
  <c r="E139" i="5"/>
  <c r="C20" i="7"/>
  <c r="C22" i="7"/>
  <c r="C63" i="5" s="1"/>
  <c r="C23" i="7"/>
  <c r="C24" i="7"/>
  <c r="C27" i="7"/>
  <c r="I4" i="7" s="1"/>
  <c r="C29" i="7"/>
  <c r="C30" i="7"/>
  <c r="U31" i="7"/>
  <c r="C4" i="7"/>
  <c r="E100" i="5" s="1"/>
  <c r="B3" i="5"/>
  <c r="U10" i="7"/>
  <c r="H23" i="5" s="1"/>
  <c r="B35" i="5"/>
  <c r="B39" i="5"/>
  <c r="F223" i="2"/>
  <c r="E223" i="2"/>
  <c r="U77" i="7"/>
  <c r="U78" i="7"/>
  <c r="Q14" i="7"/>
  <c r="Q15" i="7"/>
  <c r="Q16" i="7"/>
  <c r="Q13" i="7"/>
  <c r="C55" i="5"/>
  <c r="F55" i="5"/>
  <c r="F134" i="5"/>
  <c r="E55" i="5" s="1"/>
  <c r="Q9" i="7"/>
  <c r="Q10" i="7"/>
  <c r="Q11" i="7"/>
  <c r="Q12" i="7"/>
  <c r="Q8" i="7"/>
  <c r="G202" i="2"/>
  <c r="G203" i="2"/>
  <c r="G204" i="2"/>
  <c r="G205" i="2"/>
  <c r="G206" i="2"/>
  <c r="G208" i="2"/>
  <c r="G209" i="2"/>
  <c r="G210" i="2"/>
  <c r="G211" i="2"/>
  <c r="G212" i="2"/>
  <c r="G213" i="2"/>
  <c r="G214" i="2"/>
  <c r="G215" i="2"/>
  <c r="G216" i="2"/>
  <c r="G217" i="2"/>
  <c r="F107" i="5"/>
  <c r="E75" i="5"/>
  <c r="E39" i="5"/>
  <c r="C19" i="4"/>
  <c r="C30" i="4"/>
  <c r="R44" i="7"/>
  <c r="R45" i="7"/>
  <c r="E107" i="5"/>
  <c r="E106" i="5"/>
  <c r="F105" i="5"/>
  <c r="F106" i="5"/>
  <c r="E105" i="5"/>
  <c r="E104" i="5"/>
  <c r="F103" i="5"/>
  <c r="E103" i="5"/>
  <c r="E125" i="5"/>
  <c r="N104" i="5" s="1"/>
  <c r="E126" i="5"/>
  <c r="F68" i="5"/>
  <c r="F23" i="5"/>
  <c r="F63" i="5"/>
  <c r="E63" i="5"/>
  <c r="F67" i="5"/>
  <c r="F69" i="5"/>
  <c r="E68" i="5"/>
  <c r="F71" i="5"/>
  <c r="E71" i="5"/>
  <c r="E72" i="5"/>
  <c r="E73" i="5"/>
  <c r="F75" i="5"/>
  <c r="F76" i="5"/>
  <c r="F83" i="5"/>
  <c r="F84" i="5"/>
  <c r="E3" i="5"/>
  <c r="E4" i="5"/>
  <c r="E5" i="5"/>
  <c r="E6" i="5"/>
  <c r="F5" i="5"/>
  <c r="F6" i="5"/>
  <c r="E23" i="5"/>
  <c r="E24" i="5"/>
  <c r="E25" i="5"/>
  <c r="F24" i="5"/>
  <c r="F25" i="5"/>
  <c r="E35" i="5"/>
  <c r="F35" i="5"/>
  <c r="F135" i="5"/>
  <c r="E87" i="5"/>
  <c r="E92" i="5"/>
  <c r="E134" i="5"/>
  <c r="E135" i="5"/>
  <c r="E136" i="5"/>
  <c r="E137" i="5"/>
  <c r="F87" i="5"/>
  <c r="F125" i="5"/>
  <c r="F126" i="5"/>
  <c r="F127" i="5"/>
  <c r="F128" i="5"/>
  <c r="F129" i="5"/>
  <c r="O104" i="5"/>
  <c r="V6" i="2"/>
  <c r="X7" i="2" a="1"/>
  <c r="X7" i="2" s="1"/>
  <c r="W7" i="2" a="1"/>
  <c r="W7" i="2" s="1"/>
  <c r="V7" i="2" a="1"/>
  <c r="V7" i="2" s="1"/>
  <c r="U7" i="2" a="1"/>
  <c r="U7" i="2" s="1"/>
  <c r="W3" i="2"/>
  <c r="Q6" i="2"/>
  <c r="S8" i="2" s="1" a="1"/>
  <c r="S8" i="2" s="1"/>
  <c r="Q8" i="2" a="1"/>
  <c r="Q8" i="2" s="1"/>
  <c r="R8" i="2" a="1"/>
  <c r="R8" i="2" s="1"/>
  <c r="L6" i="2"/>
  <c r="N8" i="2" s="1" a="1"/>
  <c r="N8" i="2" s="1"/>
  <c r="L8" i="2" a="1"/>
  <c r="L8" i="2" s="1"/>
  <c r="R3" i="2"/>
  <c r="M3" i="2"/>
  <c r="E220" i="2"/>
  <c r="U24" i="7" l="1"/>
  <c r="I71" i="5" s="1"/>
  <c r="F67" i="7"/>
  <c r="R43" i="7"/>
  <c r="R42" i="7"/>
  <c r="F9" i="9"/>
  <c r="U21" i="7"/>
  <c r="I59" i="5" s="1"/>
  <c r="C31" i="4"/>
  <c r="J4" i="7"/>
  <c r="C68" i="7"/>
  <c r="L11" i="7"/>
  <c r="H91" i="5"/>
  <c r="I91" i="5"/>
  <c r="U28" i="7"/>
  <c r="I79" i="5" s="1"/>
  <c r="O105" i="5"/>
  <c r="F132" i="5"/>
  <c r="U20" i="7"/>
  <c r="I55" i="5" s="1"/>
  <c r="K55" i="5" s="1"/>
  <c r="K8" i="2" a="1"/>
  <c r="K8" i="2" s="1"/>
  <c r="M8" i="2" a="1"/>
  <c r="M8" i="2" s="1"/>
  <c r="F141" i="5"/>
  <c r="E132" i="5"/>
  <c r="P8" i="2" a="1"/>
  <c r="P8" i="2" s="1"/>
  <c r="F4" i="7"/>
  <c r="F66" i="7" s="1"/>
  <c r="U23" i="7"/>
  <c r="I67" i="5" s="1"/>
  <c r="K67" i="5" s="1"/>
  <c r="U18" i="7"/>
  <c r="I47" i="5" s="1"/>
  <c r="U19" i="7"/>
  <c r="I51" i="5" s="1"/>
  <c r="K51" i="5" s="1"/>
  <c r="E117" i="5" s="1"/>
  <c r="U29" i="7"/>
  <c r="K4" i="7"/>
  <c r="U30" i="7"/>
  <c r="M4" i="7"/>
  <c r="U27" i="7"/>
  <c r="C33" i="7"/>
  <c r="C91" i="5" s="1"/>
  <c r="U5" i="7"/>
  <c r="H3" i="5" s="1"/>
  <c r="K3" i="5" s="1"/>
  <c r="B31" i="5"/>
  <c r="K31" i="5" s="1"/>
  <c r="E109" i="5" s="1"/>
  <c r="C47" i="5"/>
  <c r="U22" i="7"/>
  <c r="I63" i="5" s="1"/>
  <c r="J63" i="5" s="1"/>
  <c r="F120" i="5" s="1"/>
  <c r="U4" i="7"/>
  <c r="E143" i="5" s="1"/>
  <c r="U13" i="7"/>
  <c r="H35" i="5" s="1"/>
  <c r="K35" i="5" s="1"/>
  <c r="R7" i="2"/>
  <c r="Q24" i="2" s="1"/>
  <c r="R66" i="7"/>
  <c r="U14" i="7"/>
  <c r="H39" i="5" s="1"/>
  <c r="J39" i="5" s="1"/>
  <c r="F115" i="5" s="1"/>
  <c r="U9" i="7"/>
  <c r="H19" i="5" s="1"/>
  <c r="K19" i="5" s="1"/>
  <c r="E113" i="5" s="1"/>
  <c r="C87" i="5"/>
  <c r="C67" i="5"/>
  <c r="U8" i="7"/>
  <c r="H15" i="5" s="1"/>
  <c r="K15" i="5" s="1"/>
  <c r="E112" i="5" s="1"/>
  <c r="C25" i="7"/>
  <c r="C71" i="5" s="1"/>
  <c r="C82" i="7"/>
  <c r="C15" i="7"/>
  <c r="C83" i="7"/>
  <c r="C81" i="7"/>
  <c r="R36" i="7"/>
  <c r="C67" i="7"/>
  <c r="C66" i="7"/>
  <c r="L7" i="2"/>
  <c r="C59" i="5"/>
  <c r="B23" i="5"/>
  <c r="J23" i="5" s="1"/>
  <c r="F114" i="5" s="1"/>
  <c r="R46" i="7"/>
  <c r="U17" i="7"/>
  <c r="I43" i="5" s="1"/>
  <c r="U6" i="7"/>
  <c r="H7" i="5" s="1"/>
  <c r="J7" i="5" s="1"/>
  <c r="F110" i="5" s="1"/>
  <c r="U7" i="7"/>
  <c r="I11" i="5" s="1"/>
  <c r="K11" i="5" s="1"/>
  <c r="E111" i="5" s="1"/>
  <c r="C83" i="5"/>
  <c r="C75" i="5"/>
  <c r="U11" i="7"/>
  <c r="I27" i="5" s="1"/>
  <c r="J27" i="5" s="1"/>
  <c r="G222" i="2"/>
  <c r="B9" i="12" s="1"/>
  <c r="N105" i="5"/>
  <c r="F68" i="7"/>
  <c r="F69" i="7"/>
  <c r="W24" i="2"/>
  <c r="V24" i="2"/>
  <c r="R13" i="7"/>
  <c r="E141" i="5"/>
  <c r="R67" i="7"/>
  <c r="Q9" i="9" l="1"/>
  <c r="Q2" i="9"/>
  <c r="O61" i="9"/>
  <c r="O62" i="9" s="1"/>
  <c r="O56" i="9"/>
  <c r="O57" i="9" s="1"/>
  <c r="O21" i="9"/>
  <c r="O22" i="9" s="1"/>
  <c r="J47" i="5"/>
  <c r="F118" i="5" s="1"/>
  <c r="I61" i="9"/>
  <c r="I21" i="9"/>
  <c r="I56" i="9"/>
  <c r="I55" i="9"/>
  <c r="I60" i="9"/>
  <c r="F53" i="9"/>
  <c r="F57" i="9" s="1"/>
  <c r="R7" i="7"/>
  <c r="J59" i="5"/>
  <c r="F119" i="5" s="1"/>
  <c r="O4" i="7"/>
  <c r="J31" i="5"/>
  <c r="U33" i="7"/>
  <c r="I11" i="7"/>
  <c r="U68" i="7"/>
  <c r="J79" i="5"/>
  <c r="F121" i="5" s="1"/>
  <c r="K79" i="5"/>
  <c r="J11" i="7"/>
  <c r="M24" i="2"/>
  <c r="J55" i="5"/>
  <c r="J51" i="5"/>
  <c r="F117" i="5" s="1"/>
  <c r="K47" i="5"/>
  <c r="E118" i="5" s="1"/>
  <c r="Q4" i="7"/>
  <c r="U2" i="7"/>
  <c r="J67" i="5"/>
  <c r="F22" i="7"/>
  <c r="R4" i="7" s="1"/>
  <c r="I87" i="5"/>
  <c r="K87" i="5" s="1"/>
  <c r="M11" i="7"/>
  <c r="I83" i="5"/>
  <c r="J83" i="5" s="1"/>
  <c r="K11" i="7"/>
  <c r="H87" i="5"/>
  <c r="I75" i="5"/>
  <c r="K75" i="5" s="1"/>
  <c r="U73" i="7"/>
  <c r="J3" i="5"/>
  <c r="K63" i="5"/>
  <c r="E120" i="5" s="1"/>
  <c r="J35" i="5"/>
  <c r="K59" i="5"/>
  <c r="E119" i="5" s="1"/>
  <c r="R24" i="2"/>
  <c r="C69" i="7"/>
  <c r="C84" i="7"/>
  <c r="K39" i="5"/>
  <c r="E115" i="5" s="1"/>
  <c r="J19" i="5"/>
  <c r="F113" i="5" s="1"/>
  <c r="R22" i="7" s="1"/>
  <c r="L24" i="2"/>
  <c r="J15" i="5"/>
  <c r="F112" i="5" s="1"/>
  <c r="R21" i="7" s="1"/>
  <c r="K23" i="5"/>
  <c r="E114" i="5" s="1"/>
  <c r="J11" i="5"/>
  <c r="F111" i="5" s="1"/>
  <c r="R20" i="7" s="1"/>
  <c r="U15" i="7"/>
  <c r="U72" i="7"/>
  <c r="K7" i="5"/>
  <c r="E110" i="5" s="1"/>
  <c r="U67" i="7"/>
  <c r="U25" i="7"/>
  <c r="U66" i="7"/>
  <c r="U71" i="7"/>
  <c r="K27" i="5"/>
  <c r="E108" i="5" s="1"/>
  <c r="C34" i="7"/>
  <c r="F70" i="7"/>
  <c r="E2" i="7"/>
  <c r="E22" i="7"/>
  <c r="J43" i="5"/>
  <c r="K43" i="5"/>
  <c r="K71" i="5"/>
  <c r="J71" i="5"/>
  <c r="I62" i="9" l="1"/>
  <c r="F91" i="5"/>
  <c r="O101" i="5" s="1"/>
  <c r="E91" i="5"/>
  <c r="N101" i="5" s="1"/>
  <c r="I22" i="9"/>
  <c r="I57" i="9"/>
  <c r="C58" i="9" s="1"/>
  <c r="R25" i="7"/>
  <c r="E121" i="5"/>
  <c r="R24" i="7"/>
  <c r="R19" i="7"/>
  <c r="R17" i="7"/>
  <c r="R6" i="7"/>
  <c r="R26" i="7"/>
  <c r="E102" i="5"/>
  <c r="J75" i="5"/>
  <c r="O11" i="7"/>
  <c r="F102" i="5"/>
  <c r="K83" i="5"/>
  <c r="J87" i="5"/>
  <c r="U34" i="7"/>
  <c r="U74" i="7"/>
  <c r="U69" i="7"/>
  <c r="C70" i="7" s="1"/>
  <c r="O102" i="5"/>
  <c r="E116" i="5"/>
  <c r="N102" i="5"/>
  <c r="F116" i="5"/>
  <c r="J91" i="5" l="1"/>
  <c r="K91" i="5"/>
  <c r="O103" i="5"/>
  <c r="O106" i="5"/>
  <c r="R23" i="7"/>
  <c r="E123" i="5"/>
  <c r="N103" i="5"/>
  <c r="N106" i="5" s="1"/>
  <c r="F123" i="5"/>
  <c r="P8" i="5" l="1"/>
  <c r="E142" i="5"/>
  <c r="E144" i="5" s="1"/>
  <c r="R27" i="7"/>
  <c r="R47" i="7" s="1"/>
  <c r="R65" i="7"/>
  <c r="R68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<sst xmlns="http://schemas.openxmlformats.org/spreadsheetml/2006/main" count="1082" uniqueCount="274">
  <si>
    <t>Asset</t>
  </si>
  <si>
    <t>Liability</t>
  </si>
  <si>
    <t>Equity</t>
  </si>
  <si>
    <t>TempEq</t>
  </si>
  <si>
    <t>Cash</t>
  </si>
  <si>
    <t>Accounts Payable</t>
  </si>
  <si>
    <t>Common Stock</t>
  </si>
  <si>
    <t>Sales</t>
  </si>
  <si>
    <t>Accounts Receivable</t>
  </si>
  <si>
    <t>Accrued Expenses</t>
  </si>
  <si>
    <t>Retained Earnings</t>
  </si>
  <si>
    <t>Cost of Goods Sold</t>
  </si>
  <si>
    <t>Inventories</t>
  </si>
  <si>
    <t>Taxes Payable</t>
  </si>
  <si>
    <t>Selling, General &amp; Admin Exps</t>
  </si>
  <si>
    <t>Property, Plant &amp; Equipment</t>
  </si>
  <si>
    <t>Deferred Tax Liabilities</t>
  </si>
  <si>
    <t>Tax Expense</t>
  </si>
  <si>
    <t>Accumulated Depreciation</t>
  </si>
  <si>
    <t>Unearned Revenue</t>
  </si>
  <si>
    <t>Deferred Tax Assets</t>
  </si>
  <si>
    <t>Beginning balance sheet</t>
  </si>
  <si>
    <t>Balance Sheet</t>
  </si>
  <si>
    <t>Beg</t>
  </si>
  <si>
    <t>Assets</t>
  </si>
  <si>
    <t>Period 1</t>
  </si>
  <si>
    <t>Period 2</t>
  </si>
  <si>
    <t>Period 3</t>
  </si>
  <si>
    <t>Begin date</t>
  </si>
  <si>
    <t>12/31/x0</t>
  </si>
  <si>
    <t>1/1/x2</t>
  </si>
  <si>
    <t>1/1/x3</t>
  </si>
  <si>
    <t>End date</t>
  </si>
  <si>
    <t>12/31/x1</t>
  </si>
  <si>
    <t>12/31/x2</t>
  </si>
  <si>
    <t>12/31/x3</t>
  </si>
  <si>
    <t>Period</t>
  </si>
  <si>
    <t>Year</t>
  </si>
  <si>
    <t>Entity</t>
  </si>
  <si>
    <t>StartUp Co DefTx</t>
  </si>
  <si>
    <t>Total Assets</t>
  </si>
  <si>
    <t>Liabilities</t>
  </si>
  <si>
    <t>Total Liabilities</t>
  </si>
  <si>
    <t>Equities</t>
  </si>
  <si>
    <t>Total Equities</t>
  </si>
  <si>
    <t>Total Liabilities + Equities</t>
  </si>
  <si>
    <t>ref</t>
  </si>
  <si>
    <t>Type</t>
  </si>
  <si>
    <t>Dr Account</t>
  </si>
  <si>
    <t>Cr Account</t>
  </si>
  <si>
    <t>Dr Amt</t>
  </si>
  <si>
    <t>Cr Amt</t>
  </si>
  <si>
    <t>Issue CS</t>
  </si>
  <si>
    <t>Debit Beginning Balance</t>
  </si>
  <si>
    <t>Credit Beginning Balance</t>
  </si>
  <si>
    <t>Temporary Account</t>
  </si>
  <si>
    <t>AccountType</t>
  </si>
  <si>
    <t>Additional Paid in Capital</t>
  </si>
  <si>
    <t>AccountName</t>
  </si>
  <si>
    <t>Issue PS</t>
  </si>
  <si>
    <t>Preferred Stock</t>
  </si>
  <si>
    <t>BB</t>
  </si>
  <si>
    <t>Issue BP</t>
  </si>
  <si>
    <t>Bonds Payable</t>
  </si>
  <si>
    <t>Issue NP</t>
  </si>
  <si>
    <t>Notes Payable</t>
  </si>
  <si>
    <t>Issue CL</t>
  </si>
  <si>
    <t>Other Current Liabilities</t>
  </si>
  <si>
    <t>Issue ONL</t>
  </si>
  <si>
    <t>Other Noncurrent Liabilities</t>
  </si>
  <si>
    <t>Pay dividends</t>
  </si>
  <si>
    <t>Dividends Payable</t>
  </si>
  <si>
    <t>Retire BP or NP</t>
  </si>
  <si>
    <t>Loss on Retirement of Debt</t>
  </si>
  <si>
    <t>Gain on Retirement of Debt</t>
  </si>
  <si>
    <t>Financing</t>
  </si>
  <si>
    <t>Buy MS</t>
  </si>
  <si>
    <t>Investing</t>
  </si>
  <si>
    <t>Marketable Securities</t>
  </si>
  <si>
    <t>Noncash nonoperating</t>
  </si>
  <si>
    <t>Fair Value/Impairment</t>
  </si>
  <si>
    <t>Buy PP&amp;E</t>
  </si>
  <si>
    <t>Buy Intangibles</t>
  </si>
  <si>
    <t>Intangibles</t>
  </si>
  <si>
    <t>Buy ONA</t>
  </si>
  <si>
    <t>Other Noncurrent Assets</t>
  </si>
  <si>
    <t>Buy BU</t>
  </si>
  <si>
    <t>Goodwill</t>
  </si>
  <si>
    <t>Salaries &amp; Wages Payable</t>
  </si>
  <si>
    <t>Sell PP&amp;E</t>
  </si>
  <si>
    <t>Loss on Sale of PP&amp;E</t>
  </si>
  <si>
    <t>Gain on Sale of PP&amp;E</t>
  </si>
  <si>
    <t>Sell BU</t>
  </si>
  <si>
    <t>Loss on Sale of Business Unit</t>
  </si>
  <si>
    <t>Other Current Assets</t>
  </si>
  <si>
    <t>Gain on Sale of Business Unit</t>
  </si>
  <si>
    <t>Declare Dividends</t>
  </si>
  <si>
    <t>MtM MS AOCI</t>
  </si>
  <si>
    <t>AOCI</t>
  </si>
  <si>
    <t>Reclass: INV to PPE</t>
  </si>
  <si>
    <t>Reclass: ONL to NP</t>
  </si>
  <si>
    <t>Reclass: PS to CS</t>
  </si>
  <si>
    <t>Reclass: NP to PS</t>
  </si>
  <si>
    <t>Reclass: ONL to OCL</t>
  </si>
  <si>
    <t>Impairment</t>
  </si>
  <si>
    <t>Impairment Loss</t>
  </si>
  <si>
    <t>MtM MS NI</t>
  </si>
  <si>
    <t>Holding Loss on MS</t>
  </si>
  <si>
    <t>Holding Gain on MS</t>
  </si>
  <si>
    <t>CL1</t>
  </si>
  <si>
    <t>CL2</t>
  </si>
  <si>
    <t>CL3</t>
  </si>
  <si>
    <t>Closing</t>
  </si>
  <si>
    <t>Cl</t>
  </si>
  <si>
    <t>cl</t>
  </si>
  <si>
    <t>Other Expense (Income)</t>
  </si>
  <si>
    <t>Interest Expense</t>
  </si>
  <si>
    <t>Amount to balance closing entry</t>
  </si>
  <si>
    <t>Closed Indicator</t>
  </si>
  <si>
    <t>Temporary accounts totals</t>
  </si>
  <si>
    <t>Dr</t>
  </si>
  <si>
    <t>Cr</t>
  </si>
  <si>
    <t>OFF</t>
  </si>
  <si>
    <t>Statement of Changes in Shareholders' Equity</t>
  </si>
  <si>
    <t>Cash Flow Statement</t>
  </si>
  <si>
    <t>Revenues</t>
  </si>
  <si>
    <t>Pref Stk</t>
  </si>
  <si>
    <t>CS</t>
  </si>
  <si>
    <t>APIC</t>
  </si>
  <si>
    <t>RE</t>
  </si>
  <si>
    <t>TS</t>
  </si>
  <si>
    <t>Total</t>
  </si>
  <si>
    <t>Cash Flow from Operations</t>
  </si>
  <si>
    <t>Beginning Balance</t>
  </si>
  <si>
    <t>Expenses</t>
  </si>
  <si>
    <t>Adjustments:</t>
  </si>
  <si>
    <t>Depreciation Expense</t>
  </si>
  <si>
    <t>Allowance for Doubtful Accounts</t>
  </si>
  <si>
    <t>Amortization Expense</t>
  </si>
  <si>
    <t>Gains</t>
  </si>
  <si>
    <t>Ending Balance</t>
  </si>
  <si>
    <t>Losses</t>
  </si>
  <si>
    <t>Equity-based Compensation</t>
  </si>
  <si>
    <t>Changes due to Operations:</t>
  </si>
  <si>
    <t>Interest Payable</t>
  </si>
  <si>
    <t>Total CFO</t>
  </si>
  <si>
    <t>Cash Flow from Investing</t>
  </si>
  <si>
    <t>Sold PP&amp;E</t>
  </si>
  <si>
    <t>Sold subsidiary</t>
  </si>
  <si>
    <t>Bought PP&amp;E</t>
  </si>
  <si>
    <t>Treasury Stock</t>
  </si>
  <si>
    <t>Bought intangibles</t>
  </si>
  <si>
    <t>Bought subsidiary</t>
  </si>
  <si>
    <t>Bought marketable securities</t>
  </si>
  <si>
    <t>Bought other noncurrent assets</t>
  </si>
  <si>
    <t>Total CFI</t>
  </si>
  <si>
    <t>Cash Flow from Financing</t>
  </si>
  <si>
    <t>Issued Common Stock</t>
  </si>
  <si>
    <t>Issued Preferred Stock</t>
  </si>
  <si>
    <t>Issued notes</t>
  </si>
  <si>
    <t>Issued bonds</t>
  </si>
  <si>
    <t>Issued Other Current Liabilities</t>
  </si>
  <si>
    <t>Issued Other Noncurrent Liabilities</t>
  </si>
  <si>
    <t>Paid dividend</t>
  </si>
  <si>
    <t>Retired debt</t>
  </si>
  <si>
    <t>Total CFF</t>
  </si>
  <si>
    <t>Total Cash Flow</t>
  </si>
  <si>
    <t>All CFO entries zero</t>
  </si>
  <si>
    <t>All assets zero</t>
  </si>
  <si>
    <t>All Revenues zero</t>
  </si>
  <si>
    <t>All CFI entries zero</t>
  </si>
  <si>
    <t>All liabilities zero</t>
  </si>
  <si>
    <t>All Expenses zero</t>
  </si>
  <si>
    <t>All CFF entries zero</t>
  </si>
  <si>
    <t>All equities zero</t>
  </si>
  <si>
    <t>All Gains zero</t>
  </si>
  <si>
    <t>All sections zero</t>
  </si>
  <si>
    <t>Beginning balance sheet all zero</t>
  </si>
  <si>
    <t>All Losses zero</t>
  </si>
  <si>
    <t>Ending balance sheet all zero</t>
  </si>
  <si>
    <t>Both balance sheets all zero</t>
  </si>
  <si>
    <t>All temp accounts zero</t>
  </si>
  <si>
    <t>Total assets</t>
  </si>
  <si>
    <t>Total liabilities</t>
  </si>
  <si>
    <t>Total equities</t>
  </si>
  <si>
    <t>Amount out of balance</t>
  </si>
  <si>
    <t>Net Income</t>
  </si>
  <si>
    <t>Year 1</t>
  </si>
  <si>
    <t>Year 2</t>
  </si>
  <si>
    <t>Year 3</t>
  </si>
  <si>
    <t>BegBal</t>
  </si>
  <si>
    <r>
      <rPr>
        <b/>
        <sz val="11"/>
        <color theme="1"/>
        <rFont val="Calibri"/>
        <family val="2"/>
      </rPr>
      <t>Δ</t>
    </r>
    <r>
      <rPr>
        <b/>
        <sz val="11"/>
        <color theme="1"/>
        <rFont val="Calibri"/>
        <family val="2"/>
        <scheme val="minor"/>
      </rPr>
      <t>NotDueToOps</t>
    </r>
  </si>
  <si>
    <t>EndBal</t>
  </si>
  <si>
    <t>Δdue To Operations or Gain or Loss</t>
  </si>
  <si>
    <t>g</t>
  </si>
  <si>
    <t>o</t>
  </si>
  <si>
    <t>al</t>
  </si>
  <si>
    <t>an</t>
  </si>
  <si>
    <t>am</t>
  </si>
  <si>
    <t>w</t>
  </si>
  <si>
    <t>p</t>
  </si>
  <si>
    <t>i</t>
  </si>
  <si>
    <t>ak</t>
  </si>
  <si>
    <t>v</t>
  </si>
  <si>
    <t>j</t>
  </si>
  <si>
    <t>k</t>
  </si>
  <si>
    <t>PayDiv</t>
  </si>
  <si>
    <t>DeclDiv</t>
  </si>
  <si>
    <t>e</t>
  </si>
  <si>
    <t>t</t>
  </si>
  <si>
    <t>aq</t>
  </si>
  <si>
    <t>c</t>
  </si>
  <si>
    <t>s</t>
  </si>
  <si>
    <t>d</t>
  </si>
  <si>
    <t>q</t>
  </si>
  <si>
    <t>f</t>
  </si>
  <si>
    <t>r</t>
  </si>
  <si>
    <t>b</t>
  </si>
  <si>
    <t>a</t>
  </si>
  <si>
    <t>NL</t>
  </si>
  <si>
    <t>NI</t>
  </si>
  <si>
    <t>Debits</t>
  </si>
  <si>
    <t>Credits</t>
  </si>
  <si>
    <t>CFO</t>
  </si>
  <si>
    <t>NotDueOps</t>
  </si>
  <si>
    <t>DueToOps</t>
  </si>
  <si>
    <t>LossPPE</t>
  </si>
  <si>
    <t>GainPPE</t>
  </si>
  <si>
    <t>LossBU</t>
  </si>
  <si>
    <t>CFI</t>
  </si>
  <si>
    <t>LossRD</t>
  </si>
  <si>
    <t>GainBU</t>
  </si>
  <si>
    <t>CFF</t>
  </si>
  <si>
    <t>ImpLoss</t>
  </si>
  <si>
    <t>GainRD</t>
  </si>
  <si>
    <t>HLMS</t>
  </si>
  <si>
    <t>HGMS</t>
  </si>
  <si>
    <t>Depr</t>
  </si>
  <si>
    <t>Amort</t>
  </si>
  <si>
    <t>AR</t>
  </si>
  <si>
    <t>ADA</t>
  </si>
  <si>
    <t>INV</t>
  </si>
  <si>
    <t>OCA</t>
  </si>
  <si>
    <t>PPE</t>
  </si>
  <si>
    <t>ONA</t>
  </si>
  <si>
    <t>AP</t>
  </si>
  <si>
    <t>IP</t>
  </si>
  <si>
    <t>SWP</t>
  </si>
  <si>
    <t>OCL</t>
  </si>
  <si>
    <t>BP</t>
  </si>
  <si>
    <t>EquityComp</t>
  </si>
  <si>
    <t>???</t>
  </si>
  <si>
    <t>Sell BusU</t>
  </si>
  <si>
    <t>Buy Intang</t>
  </si>
  <si>
    <t>Buy ONCA</t>
  </si>
  <si>
    <t>Buy BusU</t>
  </si>
  <si>
    <t>ap</t>
  </si>
  <si>
    <t>Retire bonds</t>
  </si>
  <si>
    <t>Pay OCL</t>
  </si>
  <si>
    <t>Pay ONCL</t>
  </si>
  <si>
    <t>EB from above</t>
  </si>
  <si>
    <t>EB from BS</t>
  </si>
  <si>
    <t>Diff</t>
  </si>
  <si>
    <t>Contributed</t>
  </si>
  <si>
    <t>Earned</t>
  </si>
  <si>
    <t>Revenue</t>
  </si>
  <si>
    <t>Expense</t>
  </si>
  <si>
    <t>Incr</t>
  </si>
  <si>
    <t>Decr</t>
  </si>
  <si>
    <t>x</t>
  </si>
  <si>
    <t>Example: Equity-based compensaiton</t>
  </si>
  <si>
    <t>Example: Supply services to a shareholder who gives up shares as compensation.</t>
  </si>
  <si>
    <t>Possible interactions among accounts in transactions that only involve 2 accounts</t>
  </si>
  <si>
    <t>Note: No reason to have an entry (except closing) that includes both a revenue and an expense.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</si>
</sst>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_(* #,##0.0_);_(* \(#,##0.0\);_(* &quot;-&quot;??_);_(@_)"/>
    <numFmt numFmtId="167" formatCode="_(&quot;$&quot;* #,##0.0_);_(&quot;$&quot;* \(#,##0.0\);_(&quot;$&quot;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4">
    <xf numFmtId="0" fontId="0" fillId="0" borderId="0" xfId="0"/>
    <xf numFmtId="0" fontId="2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/>
    <xf numFmtId="0" fontId="0" fillId="3" borderId="5" xfId="0" applyFill="1" applyBorder="1"/>
    <xf numFmtId="164" fontId="0" fillId="3" borderId="8" xfId="2" applyNumberFormat="1" applyFont="1" applyFill="1" applyBorder="1"/>
    <xf numFmtId="165" fontId="0" fillId="3" borderId="8" xfId="1" applyNumberFormat="1" applyFont="1" applyFill="1" applyBorder="1"/>
    <xf numFmtId="0" fontId="2" fillId="2" borderId="13" xfId="0" applyFont="1" applyFill="1" applyBorder="1"/>
    <xf numFmtId="0" fontId="3" fillId="2" borderId="12" xfId="0" applyFont="1" applyFill="1" applyBorder="1" applyAlignment="1">
      <alignment horizontal="center"/>
    </xf>
    <xf numFmtId="0" fontId="7" fillId="0" borderId="0" xfId="0" applyFont="1"/>
    <xf numFmtId="0" fontId="6" fillId="4" borderId="4" xfId="0" applyFont="1" applyFill="1" applyBorder="1" applyAlignment="1">
      <alignment horizontal="center"/>
    </xf>
    <xf numFmtId="0" fontId="8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0" fillId="0" borderId="14" xfId="0" applyBorder="1"/>
    <xf numFmtId="0" fontId="6" fillId="5" borderId="22" xfId="0" applyFont="1" applyFill="1" applyBorder="1" applyAlignment="1">
      <alignment horizontal="centerContinuous"/>
    </xf>
    <xf numFmtId="0" fontId="6" fillId="5" borderId="20" xfId="0" applyFont="1" applyFill="1" applyBorder="1" applyAlignment="1">
      <alignment horizontal="centerContinuous"/>
    </xf>
    <xf numFmtId="0" fontId="2" fillId="0" borderId="1" xfId="0" applyFont="1" applyBorder="1" applyAlignment="1">
      <alignment horizontal="centerContinuous"/>
    </xf>
    <xf numFmtId="0" fontId="2" fillId="0" borderId="26" xfId="0" applyFont="1" applyBorder="1" applyAlignment="1">
      <alignment horizontal="centerContinuous"/>
    </xf>
    <xf numFmtId="43" fontId="0" fillId="0" borderId="0" xfId="0" applyNumberFormat="1"/>
    <xf numFmtId="0" fontId="6" fillId="5" borderId="27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43" fontId="0" fillId="0" borderId="0" xfId="1" applyFont="1" applyFill="1" applyBorder="1"/>
    <xf numFmtId="165" fontId="0" fillId="0" borderId="0" xfId="1" applyNumberFormat="1" applyFont="1" applyFill="1" applyBorder="1"/>
    <xf numFmtId="0" fontId="2" fillId="0" borderId="21" xfId="0" applyFont="1" applyBorder="1" applyAlignment="1">
      <alignment horizontal="center"/>
    </xf>
    <xf numFmtId="0" fontId="0" fillId="3" borderId="30" xfId="0" applyFill="1" applyBorder="1"/>
    <xf numFmtId="0" fontId="0" fillId="0" borderId="31" xfId="0" applyBorder="1"/>
    <xf numFmtId="0" fontId="0" fillId="3" borderId="31" xfId="0" applyFill="1" applyBorder="1"/>
    <xf numFmtId="0" fontId="0" fillId="0" borderId="14" xfId="0" applyBorder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0" fillId="0" borderId="4" xfId="0" applyBorder="1" applyAlignment="1">
      <alignment horizontal="centerContinuous"/>
    </xf>
    <xf numFmtId="165" fontId="0" fillId="0" borderId="32" xfId="1" applyNumberFormat="1" applyFont="1" applyBorder="1"/>
    <xf numFmtId="165" fontId="0" fillId="0" borderId="35" xfId="1" applyNumberFormat="1" applyFont="1" applyBorder="1"/>
    <xf numFmtId="165" fontId="0" fillId="0" borderId="33" xfId="1" applyNumberFormat="1" applyFont="1" applyBorder="1"/>
    <xf numFmtId="165" fontId="0" fillId="0" borderId="5" xfId="1" applyNumberFormat="1" applyFont="1" applyBorder="1"/>
    <xf numFmtId="165" fontId="0" fillId="0" borderId="34" xfId="1" applyNumberFormat="1" applyFont="1" applyBorder="1"/>
    <xf numFmtId="165" fontId="0" fillId="0" borderId="7" xfId="1" applyNumberFormat="1" applyFont="1" applyBorder="1"/>
    <xf numFmtId="165" fontId="0" fillId="0" borderId="36" xfId="1" applyNumberFormat="1" applyFont="1" applyBorder="1"/>
    <xf numFmtId="165" fontId="0" fillId="0" borderId="0" xfId="1" applyNumberFormat="1" applyFont="1"/>
    <xf numFmtId="165" fontId="0" fillId="0" borderId="3" xfId="1" applyNumberFormat="1" applyFont="1" applyBorder="1"/>
    <xf numFmtId="0" fontId="0" fillId="0" borderId="16" xfId="0" applyBorder="1"/>
    <xf numFmtId="0" fontId="0" fillId="0" borderId="17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5" fontId="0" fillId="0" borderId="28" xfId="1" applyNumberFormat="1" applyFont="1" applyBorder="1"/>
    <xf numFmtId="165" fontId="0" fillId="0" borderId="29" xfId="1" applyNumberFormat="1" applyFont="1" applyBorder="1"/>
    <xf numFmtId="165" fontId="0" fillId="0" borderId="18" xfId="1" applyNumberFormat="1" applyFont="1" applyBorder="1"/>
    <xf numFmtId="165" fontId="0" fillId="0" borderId="16" xfId="1" applyNumberFormat="1" applyFont="1" applyBorder="1"/>
    <xf numFmtId="165" fontId="0" fillId="0" borderId="18" xfId="1" applyNumberFormat="1" applyFont="1" applyFill="1" applyBorder="1"/>
    <xf numFmtId="165" fontId="0" fillId="0" borderId="19" xfId="1" applyNumberFormat="1" applyFont="1" applyFill="1" applyBorder="1"/>
    <xf numFmtId="165" fontId="0" fillId="0" borderId="14" xfId="1" applyNumberFormat="1" applyFont="1" applyFill="1" applyBorder="1"/>
    <xf numFmtId="165" fontId="0" fillId="0" borderId="20" xfId="1" applyNumberFormat="1" applyFont="1" applyFill="1" applyBorder="1"/>
    <xf numFmtId="165" fontId="0" fillId="6" borderId="14" xfId="1" applyNumberFormat="1" applyFont="1" applyFill="1" applyBorder="1"/>
    <xf numFmtId="165" fontId="0" fillId="6" borderId="20" xfId="1" applyNumberFormat="1" applyFont="1" applyFill="1" applyBorder="1"/>
    <xf numFmtId="165" fontId="0" fillId="0" borderId="21" xfId="1" applyNumberFormat="1" applyFont="1" applyFill="1" applyBorder="1"/>
    <xf numFmtId="165" fontId="0" fillId="0" borderId="0" xfId="1" applyNumberFormat="1" applyFont="1" applyBorder="1"/>
    <xf numFmtId="165" fontId="0" fillId="0" borderId="21" xfId="1" applyNumberFormat="1" applyFont="1" applyBorder="1"/>
    <xf numFmtId="165" fontId="0" fillId="6" borderId="0" xfId="1" applyNumberFormat="1" applyFont="1" applyFill="1" applyBorder="1"/>
    <xf numFmtId="165" fontId="0" fillId="6" borderId="21" xfId="1" applyNumberFormat="1" applyFont="1" applyFill="1" applyBorder="1"/>
    <xf numFmtId="165" fontId="2" fillId="7" borderId="0" xfId="1" applyNumberFormat="1" applyFont="1" applyFill="1" applyBorder="1" applyAlignment="1">
      <alignment horizontal="centerContinuous"/>
    </xf>
    <xf numFmtId="165" fontId="2" fillId="7" borderId="21" xfId="1" applyNumberFormat="1" applyFont="1" applyFill="1" applyBorder="1" applyAlignment="1">
      <alignment horizontal="centerContinuous"/>
    </xf>
    <xf numFmtId="165" fontId="2" fillId="0" borderId="0" xfId="1" applyNumberFormat="1" applyFont="1" applyFill="1" applyBorder="1" applyAlignment="1">
      <alignment horizontal="centerContinuous"/>
    </xf>
    <xf numFmtId="165" fontId="2" fillId="0" borderId="21" xfId="1" applyNumberFormat="1" applyFont="1" applyFill="1" applyBorder="1" applyAlignment="1">
      <alignment horizontal="centerContinuous"/>
    </xf>
    <xf numFmtId="165" fontId="0" fillId="0" borderId="23" xfId="1" applyNumberFormat="1" applyFont="1" applyFill="1" applyBorder="1"/>
    <xf numFmtId="165" fontId="2" fillId="0" borderId="23" xfId="1" applyNumberFormat="1" applyFont="1" applyFill="1" applyBorder="1" applyAlignment="1">
      <alignment horizontal="centerContinuous"/>
    </xf>
    <xf numFmtId="165" fontId="0" fillId="0" borderId="25" xfId="1" applyNumberFormat="1" applyFont="1" applyBorder="1"/>
    <xf numFmtId="165" fontId="2" fillId="0" borderId="24" xfId="1" applyNumberFormat="1" applyFont="1" applyBorder="1"/>
    <xf numFmtId="165" fontId="2" fillId="0" borderId="1" xfId="1" applyNumberFormat="1" applyFont="1" applyBorder="1"/>
    <xf numFmtId="165" fontId="0" fillId="0" borderId="0" xfId="0" applyNumberFormat="1"/>
    <xf numFmtId="165" fontId="2" fillId="0" borderId="3" xfId="0" applyNumberFormat="1" applyFont="1" applyBorder="1"/>
    <xf numFmtId="0" fontId="5" fillId="8" borderId="0" xfId="0" applyFont="1" applyFill="1" applyAlignment="1">
      <alignment horizontal="center"/>
    </xf>
    <xf numFmtId="0" fontId="0" fillId="8" borderId="0" xfId="0" applyFill="1"/>
    <xf numFmtId="0" fontId="5" fillId="9" borderId="0" xfId="0" applyFont="1" applyFill="1" applyAlignment="1">
      <alignment horizontal="center"/>
    </xf>
    <xf numFmtId="0" fontId="0" fillId="9" borderId="0" xfId="0" applyFill="1"/>
    <xf numFmtId="0" fontId="8" fillId="9" borderId="0" xfId="0" applyFont="1" applyFill="1"/>
    <xf numFmtId="0" fontId="8" fillId="8" borderId="0" xfId="0" applyFont="1" applyFill="1"/>
    <xf numFmtId="0" fontId="2" fillId="7" borderId="37" xfId="0" applyFont="1" applyFill="1" applyBorder="1" applyAlignment="1">
      <alignment horizontal="centerContinuous"/>
    </xf>
    <xf numFmtId="0" fontId="2" fillId="7" borderId="38" xfId="0" applyFont="1" applyFill="1" applyBorder="1" applyAlignment="1">
      <alignment horizontal="centerContinuous"/>
    </xf>
    <xf numFmtId="164" fontId="8" fillId="0" borderId="0" xfId="2" applyNumberFormat="1" applyFont="1" applyFill="1" applyBorder="1"/>
    <xf numFmtId="0" fontId="11" fillId="2" borderId="35" xfId="0" applyFont="1" applyFill="1" applyBorder="1"/>
    <xf numFmtId="164" fontId="11" fillId="2" borderId="32" xfId="0" applyNumberFormat="1" applyFont="1" applyFill="1" applyBorder="1" applyAlignment="1">
      <alignment horizontal="center"/>
    </xf>
    <xf numFmtId="0" fontId="2" fillId="2" borderId="6" xfId="0" applyFont="1" applyFill="1" applyBorder="1"/>
    <xf numFmtId="0" fontId="3" fillId="2" borderId="40" xfId="0" applyFont="1" applyFill="1" applyBorder="1" applyAlignment="1">
      <alignment horizontal="center"/>
    </xf>
    <xf numFmtId="0" fontId="2" fillId="3" borderId="5" xfId="0" applyFont="1" applyFill="1" applyBorder="1"/>
    <xf numFmtId="165" fontId="2" fillId="3" borderId="8" xfId="1" applyNumberFormat="1" applyFont="1" applyFill="1" applyBorder="1"/>
    <xf numFmtId="0" fontId="2" fillId="3" borderId="6" xfId="0" applyFont="1" applyFill="1" applyBorder="1"/>
    <xf numFmtId="165" fontId="2" fillId="3" borderId="40" xfId="1" applyNumberFormat="1" applyFont="1" applyFill="1" applyBorder="1"/>
    <xf numFmtId="0" fontId="2" fillId="3" borderId="7" xfId="0" applyFont="1" applyFill="1" applyBorder="1"/>
    <xf numFmtId="165" fontId="2" fillId="3" borderId="10" xfId="1" applyNumberFormat="1" applyFont="1" applyFill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0" fontId="8" fillId="10" borderId="0" xfId="0" applyFont="1" applyFill="1"/>
    <xf numFmtId="0" fontId="0" fillId="10" borderId="0" xfId="0" applyFill="1"/>
    <xf numFmtId="0" fontId="5" fillId="3" borderId="0" xfId="0" applyFont="1" applyFill="1" applyAlignment="1">
      <alignment horizontal="center"/>
    </xf>
    <xf numFmtId="0" fontId="8" fillId="3" borderId="0" xfId="0" applyFont="1" applyFill="1"/>
    <xf numFmtId="0" fontId="0" fillId="3" borderId="0" xfId="0" applyFill="1"/>
    <xf numFmtId="0" fontId="5" fillId="11" borderId="0" xfId="0" applyFont="1" applyFill="1" applyAlignment="1">
      <alignment horizontal="center"/>
    </xf>
    <xf numFmtId="0" fontId="8" fillId="11" borderId="0" xfId="0" applyFont="1" applyFill="1"/>
    <xf numFmtId="0" fontId="0" fillId="11" borderId="0" xfId="0" applyFill="1"/>
    <xf numFmtId="0" fontId="13" fillId="0" borderId="0" xfId="0" applyFont="1" applyAlignment="1">
      <alignment horizontal="center"/>
    </xf>
    <xf numFmtId="0" fontId="13" fillId="0" borderId="16" xfId="0" applyFont="1" applyBorder="1" applyAlignment="1">
      <alignment horizontal="center"/>
    </xf>
    <xf numFmtId="0" fontId="11" fillId="7" borderId="7" xfId="0" applyFont="1" applyFill="1" applyBorder="1"/>
    <xf numFmtId="164" fontId="11" fillId="7" borderId="34" xfId="2" applyNumberFormat="1" applyFont="1" applyFill="1" applyBorder="1"/>
    <xf numFmtId="164" fontId="0" fillId="0" borderId="0" xfId="2" applyNumberFormat="1" applyFont="1"/>
    <xf numFmtId="0" fontId="11" fillId="2" borderId="13" xfId="0" applyFont="1" applyFill="1" applyBorder="1"/>
    <xf numFmtId="0" fontId="12" fillId="2" borderId="42" xfId="0" applyFont="1" applyFill="1" applyBorder="1" applyAlignment="1">
      <alignment horizontal="center"/>
    </xf>
    <xf numFmtId="165" fontId="0" fillId="8" borderId="0" xfId="1" applyNumberFormat="1" applyFont="1" applyFill="1"/>
    <xf numFmtId="165" fontId="8" fillId="0" borderId="0" xfId="1" applyNumberFormat="1" applyFont="1"/>
    <xf numFmtId="165" fontId="8" fillId="8" borderId="0" xfId="1" applyNumberFormat="1" applyFont="1" applyFill="1"/>
    <xf numFmtId="165" fontId="0" fillId="0" borderId="0" xfId="1" applyNumberFormat="1" applyFont="1" applyFill="1"/>
    <xf numFmtId="165" fontId="0" fillId="9" borderId="0" xfId="1" applyNumberFormat="1" applyFont="1" applyFill="1"/>
    <xf numFmtId="165" fontId="8" fillId="9" borderId="0" xfId="1" applyNumberFormat="1" applyFont="1" applyFill="1"/>
    <xf numFmtId="165" fontId="8" fillId="3" borderId="0" xfId="1" applyNumberFormat="1" applyFont="1" applyFill="1"/>
    <xf numFmtId="165" fontId="0" fillId="3" borderId="0" xfId="1" applyNumberFormat="1" applyFont="1" applyFill="1"/>
    <xf numFmtId="165" fontId="8" fillId="11" borderId="0" xfId="1" applyNumberFormat="1" applyFont="1" applyFill="1"/>
    <xf numFmtId="165" fontId="8" fillId="0" borderId="0" xfId="1" applyNumberFormat="1" applyFont="1" applyBorder="1"/>
    <xf numFmtId="165" fontId="8" fillId="10" borderId="0" xfId="1" applyNumberFormat="1" applyFont="1" applyFill="1" applyBorder="1"/>
    <xf numFmtId="165" fontId="0" fillId="10" borderId="0" xfId="1" applyNumberFormat="1" applyFont="1" applyFill="1" applyBorder="1"/>
    <xf numFmtId="165" fontId="0" fillId="10" borderId="0" xfId="1" applyNumberFormat="1" applyFont="1" applyFill="1"/>
    <xf numFmtId="0" fontId="11" fillId="7" borderId="37" xfId="0" applyFont="1" applyFill="1" applyBorder="1" applyAlignment="1">
      <alignment horizontal="centerContinuous"/>
    </xf>
    <xf numFmtId="0" fontId="11" fillId="7" borderId="41" xfId="0" applyFont="1" applyFill="1" applyBorder="1" applyAlignment="1">
      <alignment horizontal="centerContinuous"/>
    </xf>
    <xf numFmtId="164" fontId="8" fillId="7" borderId="38" xfId="2" applyNumberFormat="1" applyFont="1" applyFill="1" applyBorder="1" applyAlignment="1">
      <alignment horizontal="centerContinuous"/>
    </xf>
    <xf numFmtId="0" fontId="11" fillId="7" borderId="35" xfId="0" applyFont="1" applyFill="1" applyBorder="1" applyAlignment="1">
      <alignment horizontal="centerContinuous"/>
    </xf>
    <xf numFmtId="164" fontId="8" fillId="7" borderId="32" xfId="2" applyNumberFormat="1" applyFont="1" applyFill="1" applyBorder="1" applyAlignment="1">
      <alignment horizontal="centerContinuous"/>
    </xf>
    <xf numFmtId="0" fontId="12" fillId="2" borderId="12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left" indent="1"/>
    </xf>
    <xf numFmtId="164" fontId="8" fillId="3" borderId="8" xfId="2" applyNumberFormat="1" applyFont="1" applyFill="1" applyBorder="1"/>
    <xf numFmtId="164" fontId="8" fillId="3" borderId="33" xfId="2" applyNumberFormat="1" applyFont="1" applyFill="1" applyBorder="1"/>
    <xf numFmtId="0" fontId="11" fillId="3" borderId="5" xfId="0" applyFont="1" applyFill="1" applyBorder="1"/>
    <xf numFmtId="164" fontId="11" fillId="3" borderId="33" xfId="2" applyNumberFormat="1" applyFont="1" applyFill="1" applyBorder="1"/>
    <xf numFmtId="165" fontId="8" fillId="3" borderId="8" xfId="1" applyNumberFormat="1" applyFont="1" applyFill="1" applyBorder="1"/>
    <xf numFmtId="0" fontId="11" fillId="2" borderId="11" xfId="0" applyFont="1" applyFill="1" applyBorder="1"/>
    <xf numFmtId="0" fontId="12" fillId="2" borderId="43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left" indent="1"/>
    </xf>
    <xf numFmtId="0" fontId="8" fillId="3" borderId="33" xfId="0" applyFont="1" applyFill="1" applyBorder="1"/>
    <xf numFmtId="0" fontId="8" fillId="3" borderId="5" xfId="0" applyFont="1" applyFill="1" applyBorder="1" applyAlignment="1">
      <alignment horizontal="left" indent="2"/>
    </xf>
    <xf numFmtId="165" fontId="8" fillId="3" borderId="33" xfId="1" applyNumberFormat="1" applyFont="1" applyFill="1" applyBorder="1"/>
    <xf numFmtId="165" fontId="8" fillId="3" borderId="40" xfId="1" applyNumberFormat="1" applyFont="1" applyFill="1" applyBorder="1"/>
    <xf numFmtId="0" fontId="11" fillId="7" borderId="37" xfId="0" applyFont="1" applyFill="1" applyBorder="1"/>
    <xf numFmtId="164" fontId="11" fillId="7" borderId="41" xfId="2" applyNumberFormat="1" applyFont="1" applyFill="1" applyBorder="1" applyAlignment="1">
      <alignment horizontal="center"/>
    </xf>
    <xf numFmtId="0" fontId="11" fillId="7" borderId="41" xfId="0" applyFont="1" applyFill="1" applyBorder="1" applyAlignment="1">
      <alignment horizontal="left"/>
    </xf>
    <xf numFmtId="164" fontId="11" fillId="7" borderId="38" xfId="2" applyNumberFormat="1" applyFont="1" applyFill="1" applyBorder="1" applyAlignment="1">
      <alignment horizontal="centerContinuous"/>
    </xf>
    <xf numFmtId="0" fontId="11" fillId="2" borderId="6" xfId="0" applyFont="1" applyFill="1" applyBorder="1"/>
    <xf numFmtId="0" fontId="12" fillId="2" borderId="40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166" fontId="8" fillId="3" borderId="8" xfId="1" applyNumberFormat="1" applyFont="1" applyFill="1" applyBorder="1"/>
    <xf numFmtId="0" fontId="8" fillId="3" borderId="7" xfId="0" applyFont="1" applyFill="1" applyBorder="1" applyAlignment="1">
      <alignment horizontal="left" indent="1"/>
    </xf>
    <xf numFmtId="165" fontId="8" fillId="3" borderId="34" xfId="1" applyNumberFormat="1" applyFont="1" applyFill="1" applyBorder="1"/>
    <xf numFmtId="0" fontId="8" fillId="0" borderId="0" xfId="1" applyNumberFormat="1" applyFont="1" applyFill="1" applyBorder="1"/>
    <xf numFmtId="0" fontId="11" fillId="2" borderId="37" xfId="0" applyFont="1" applyFill="1" applyBorder="1"/>
    <xf numFmtId="164" fontId="11" fillId="2" borderId="41" xfId="2" applyNumberFormat="1" applyFont="1" applyFill="1" applyBorder="1" applyAlignment="1">
      <alignment horizontal="center"/>
    </xf>
    <xf numFmtId="0" fontId="11" fillId="2" borderId="41" xfId="0" applyFont="1" applyFill="1" applyBorder="1"/>
    <xf numFmtId="0" fontId="8" fillId="3" borderId="6" xfId="0" applyFont="1" applyFill="1" applyBorder="1" applyAlignment="1">
      <alignment horizontal="left" indent="2"/>
    </xf>
    <xf numFmtId="167" fontId="8" fillId="3" borderId="8" xfId="2" applyNumberFormat="1" applyFont="1" applyFill="1" applyBorder="1"/>
    <xf numFmtId="0" fontId="8" fillId="0" borderId="0" xfId="2" applyNumberFormat="1" applyFont="1" applyFill="1" applyBorder="1"/>
    <xf numFmtId="165" fontId="8" fillId="0" borderId="0" xfId="1" applyNumberFormat="1" applyFont="1" applyFill="1" applyBorder="1"/>
    <xf numFmtId="0" fontId="8" fillId="3" borderId="6" xfId="0" applyFont="1" applyFill="1" applyBorder="1" applyAlignment="1">
      <alignment horizontal="left" indent="1"/>
    </xf>
    <xf numFmtId="0" fontId="11" fillId="2" borderId="7" xfId="0" applyFont="1" applyFill="1" applyBorder="1" applyAlignment="1">
      <alignment horizontal="left"/>
    </xf>
    <xf numFmtId="164" fontId="11" fillId="2" borderId="39" xfId="2" applyNumberFormat="1" applyFont="1" applyFill="1" applyBorder="1"/>
    <xf numFmtId="0" fontId="11" fillId="7" borderId="7" xfId="0" applyFont="1" applyFill="1" applyBorder="1" applyAlignment="1">
      <alignment horizontal="left"/>
    </xf>
    <xf numFmtId="164" fontId="11" fillId="7" borderId="34" xfId="0" applyNumberFormat="1" applyFont="1" applyFill="1" applyBorder="1"/>
    <xf numFmtId="0" fontId="2" fillId="0" borderId="35" xfId="0" applyFont="1" applyBorder="1"/>
    <xf numFmtId="0" fontId="2" fillId="0" borderId="5" xfId="0" applyFont="1" applyBorder="1"/>
    <xf numFmtId="0" fontId="2" fillId="0" borderId="7" xfId="0" applyFont="1" applyBorder="1"/>
    <xf numFmtId="0" fontId="0" fillId="0" borderId="45" xfId="0" applyBorder="1" applyAlignment="1">
      <alignment horizontal="center"/>
    </xf>
    <xf numFmtId="14" fontId="0" fillId="0" borderId="46" xfId="0" applyNumberFormat="1" applyBorder="1" applyAlignment="1">
      <alignment horizontal="center"/>
    </xf>
    <xf numFmtId="14" fontId="0" fillId="0" borderId="47" xfId="0" applyNumberFormat="1" applyBorder="1" applyAlignment="1">
      <alignment horizontal="center"/>
    </xf>
    <xf numFmtId="0" fontId="0" fillId="7" borderId="48" xfId="0" applyFill="1" applyBorder="1" applyAlignment="1">
      <alignment horizontal="centerContinuous"/>
    </xf>
    <xf numFmtId="0" fontId="8" fillId="7" borderId="48" xfId="0" applyFont="1" applyFill="1" applyBorder="1" applyAlignment="1">
      <alignment horizontal="centerContinuous"/>
    </xf>
    <xf numFmtId="0" fontId="8" fillId="7" borderId="38" xfId="0" applyFont="1" applyFill="1" applyBorder="1" applyAlignment="1">
      <alignment horizontal="centerContinuous"/>
    </xf>
    <xf numFmtId="0" fontId="11" fillId="2" borderId="7" xfId="0" applyFont="1" applyFill="1" applyBorder="1"/>
    <xf numFmtId="0" fontId="0" fillId="2" borderId="5" xfId="0" applyFill="1" applyBorder="1"/>
    <xf numFmtId="0" fontId="2" fillId="2" borderId="5" xfId="0" applyFont="1" applyFill="1" applyBorder="1"/>
    <xf numFmtId="0" fontId="8" fillId="3" borderId="5" xfId="0" applyFont="1" applyFill="1" applyBorder="1"/>
    <xf numFmtId="0" fontId="2" fillId="2" borderId="49" xfId="0" applyFont="1" applyFill="1" applyBorder="1" applyAlignment="1">
      <alignment horizontal="center"/>
    </xf>
    <xf numFmtId="164" fontId="0" fillId="2" borderId="50" xfId="0" applyNumberFormat="1" applyFill="1" applyBorder="1"/>
    <xf numFmtId="0" fontId="0" fillId="3" borderId="15" xfId="0" applyFill="1" applyBorder="1"/>
    <xf numFmtId="0" fontId="0" fillId="3" borderId="51" xfId="0" applyFill="1" applyBorder="1"/>
    <xf numFmtId="164" fontId="0" fillId="2" borderId="51" xfId="0" applyNumberFormat="1" applyFill="1" applyBorder="1"/>
    <xf numFmtId="167" fontId="0" fillId="2" borderId="50" xfId="0" applyNumberFormat="1" applyFill="1" applyBorder="1"/>
    <xf numFmtId="167" fontId="0" fillId="2" borderId="51" xfId="0" applyNumberFormat="1" applyFill="1" applyBorder="1"/>
    <xf numFmtId="0" fontId="8" fillId="3" borderId="15" xfId="0" applyFont="1" applyFill="1" applyBorder="1"/>
    <xf numFmtId="0" fontId="8" fillId="3" borderId="51" xfId="0" applyFont="1" applyFill="1" applyBorder="1"/>
    <xf numFmtId="0" fontId="11" fillId="2" borderId="49" xfId="0" applyFont="1" applyFill="1" applyBorder="1" applyAlignment="1">
      <alignment horizontal="center"/>
    </xf>
    <xf numFmtId="0" fontId="11" fillId="2" borderId="44" xfId="0" applyFont="1" applyFill="1" applyBorder="1" applyAlignment="1">
      <alignment horizontal="center"/>
    </xf>
    <xf numFmtId="164" fontId="8" fillId="2" borderId="52" xfId="0" applyNumberFormat="1" applyFont="1" applyFill="1" applyBorder="1"/>
    <xf numFmtId="164" fontId="8" fillId="3" borderId="46" xfId="0" applyNumberFormat="1" applyFont="1" applyFill="1" applyBorder="1"/>
    <xf numFmtId="164" fontId="8" fillId="3" borderId="47" xfId="0" applyNumberFormat="1" applyFont="1" applyFill="1" applyBorder="1"/>
    <xf numFmtId="164" fontId="8" fillId="2" borderId="47" xfId="0" applyNumberFormat="1" applyFont="1" applyFill="1" applyBorder="1"/>
    <xf numFmtId="0" fontId="11" fillId="12" borderId="0" xfId="0" applyFont="1" applyFill="1"/>
    <xf numFmtId="0" fontId="8" fillId="12" borderId="0" xfId="0" applyFont="1" applyFill="1"/>
    <xf numFmtId="0" fontId="2" fillId="12" borderId="0" xfId="0" applyFont="1" applyFill="1"/>
    <xf numFmtId="0" fontId="0" fillId="12" borderId="0" xfId="0" applyFill="1"/>
    <xf numFmtId="0" fontId="11" fillId="13" borderId="0" xfId="0" applyFont="1" applyFill="1" applyAlignment="1">
      <alignment horizontal="centerContinuous"/>
    </xf>
    <xf numFmtId="0" fontId="8" fillId="13" borderId="0" xfId="0" applyFont="1" applyFill="1" applyAlignment="1">
      <alignment horizontal="centerContinuous"/>
    </xf>
    <xf numFmtId="0" fontId="0" fillId="13" borderId="0" xfId="0" applyFill="1" applyAlignment="1">
      <alignment horizontal="centerContinuous"/>
    </xf>
    <xf numFmtId="164" fontId="11" fillId="7" borderId="41" xfId="2" applyNumberFormat="1" applyFont="1" applyFill="1" applyBorder="1" applyAlignment="1">
      <alignment horizontal="centerContinuous"/>
    </xf>
    <xf numFmtId="14" fontId="0" fillId="0" borderId="0" xfId="0" applyNumberFormat="1" applyAlignment="1">
      <alignment horizontal="center"/>
    </xf>
    <xf numFmtId="167" fontId="11" fillId="7" borderId="41" xfId="2" applyNumberFormat="1" applyFont="1" applyFill="1" applyBorder="1" applyAlignment="1">
      <alignment horizontal="centerContinuous"/>
    </xf>
    <xf numFmtId="166" fontId="8" fillId="3" borderId="33" xfId="1" applyNumberFormat="1" applyFont="1" applyFill="1" applyBorder="1"/>
    <xf numFmtId="167" fontId="11" fillId="7" borderId="34" xfId="2" applyNumberFormat="1" applyFont="1" applyFill="1" applyBorder="1"/>
    <xf numFmtId="167" fontId="8" fillId="3" borderId="33" xfId="2" applyNumberFormat="1" applyFont="1" applyFill="1" applyBorder="1"/>
    <xf numFmtId="167" fontId="11" fillId="7" borderId="41" xfId="2" applyNumberFormat="1" applyFont="1" applyFill="1" applyBorder="1" applyAlignment="1">
      <alignment horizontal="center"/>
    </xf>
    <xf numFmtId="167" fontId="11" fillId="2" borderId="41" xfId="2" applyNumberFormat="1" applyFont="1" applyFill="1" applyBorder="1" applyAlignment="1">
      <alignment horizontal="center"/>
    </xf>
    <xf numFmtId="167" fontId="11" fillId="7" borderId="38" xfId="2" applyNumberFormat="1" applyFont="1" applyFill="1" applyBorder="1" applyAlignment="1">
      <alignment horizontal="centerContinuous"/>
    </xf>
    <xf numFmtId="166" fontId="11" fillId="2" borderId="41" xfId="2" applyNumberFormat="1" applyFont="1" applyFill="1" applyBorder="1" applyAlignment="1">
      <alignment horizontal="center"/>
    </xf>
    <xf numFmtId="166" fontId="11" fillId="7" borderId="41" xfId="2" applyNumberFormat="1" applyFont="1" applyFill="1" applyBorder="1" applyAlignment="1">
      <alignment horizontal="centerContinuous"/>
    </xf>
    <xf numFmtId="167" fontId="11" fillId="7" borderId="10" xfId="2" applyNumberFormat="1" applyFont="1" applyFill="1" applyBorder="1"/>
    <xf numFmtId="0" fontId="11" fillId="7" borderId="37" xfId="0" applyFont="1" applyFill="1" applyBorder="1" applyAlignment="1">
      <alignment horizontal="center"/>
    </xf>
    <xf numFmtId="164" fontId="11" fillId="7" borderId="38" xfId="2" applyNumberFormat="1" applyFont="1" applyFill="1" applyBorder="1" applyAlignment="1">
      <alignment horizontal="center"/>
    </xf>
    <xf numFmtId="166" fontId="8" fillId="3" borderId="10" xfId="1" applyNumberFormat="1" applyFont="1" applyFill="1" applyBorder="1"/>
    <xf numFmtId="166" fontId="8" fillId="3" borderId="34" xfId="1" applyNumberFormat="1" applyFont="1" applyFill="1" applyBorder="1"/>
    <xf numFmtId="0" fontId="11" fillId="13" borderId="37" xfId="0" applyFont="1" applyFill="1" applyBorder="1" applyAlignment="1">
      <alignment horizontal="centerContinuous"/>
    </xf>
    <xf numFmtId="0" fontId="8" fillId="13" borderId="48" xfId="0" applyFont="1" applyFill="1" applyBorder="1" applyAlignment="1">
      <alignment horizontal="centerContinuous"/>
    </xf>
    <xf numFmtId="0" fontId="8" fillId="13" borderId="38" xfId="0" applyFont="1" applyFill="1" applyBorder="1" applyAlignment="1">
      <alignment horizontal="centerContinuous"/>
    </xf>
    <xf numFmtId="0" fontId="0" fillId="3" borderId="6" xfId="0" applyFill="1" applyBorder="1"/>
    <xf numFmtId="165" fontId="0" fillId="3" borderId="40" xfId="1" applyNumberFormat="1" applyFont="1" applyFill="1" applyBorder="1"/>
    <xf numFmtId="166" fontId="8" fillId="0" borderId="0" xfId="1" applyNumberFormat="1" applyFont="1"/>
    <xf numFmtId="166" fontId="0" fillId="0" borderId="0" xfId="1" applyNumberFormat="1" applyFont="1" applyFill="1"/>
  </cellXfs>
  <cellStyles count="3">
    <cellStyle name="Comma" xfId="1" builtinId="3"/>
    <cellStyle name="Currency" xfId="2" builtinId="4"/>
    <cellStyle name="Normal" xfId="0" builtinId="0"/>
  </cellStyles>
  <dxfs count="102">
    <dxf>
      <font>
        <color theme="0"/>
      </font>
      <fill>
        <patternFill>
          <bgColor rgb="FFFF0000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numFmt numFmtId="165" formatCode="_(* #,##0_);_(* \(#,##0\);_(* &quot;-&quot;??_);_(@_)"/>
      <fill>
        <patternFill patternType="none">
          <fgColor indexed="64"/>
          <bgColor indexed="65"/>
        </patternFill>
      </fill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bottom" textRotation="0" wrapText="0" indent="0" justifyLastLine="0" shrinkToFit="0" readingOrder="0"/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CCC"/>
      <color rgb="FFFF7C80"/>
      <color rgb="FFFF9999"/>
      <color rgb="FFFF505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2C0964-9B47-4B63-8FFA-9A9637829449}" name="AccountTitles" displayName="AccountTitles" ref="B2:E8" totalsRowShown="0" headerRowDxfId="100">
  <autoFilter ref="B2:E8" xr:uid="{D32C0964-9B47-4B63-8FFA-9A9637829449}"/>
  <tableColumns count="4">
    <tableColumn id="1" xr3:uid="{F2B4D47D-0921-4943-B992-DB7606A32013}" name="Asset" dataDxfId="99"/>
    <tableColumn id="2" xr3:uid="{5783941D-B1A5-438B-8E07-B146B20EE024}" name="Liability"/>
    <tableColumn id="3" xr3:uid="{CF398B37-1BFF-402C-9980-3F963CC190FC}" name="Equity"/>
    <tableColumn id="4" xr3:uid="{FAFE772A-19CA-4581-8284-08AD06ABC1D0}" name="TempEq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2D1C1A-9CE2-4026-8404-E7AF1673F842}" name="JournalTable" displayName="JournalTable" ref="A1:F219" totalsRowShown="0" headerRowDxfId="90" headerRowBorderDxfId="89">
  <autoFilter ref="A1:F219" xr:uid="{8C2D1C1A-9CE2-4026-8404-E7AF1673F8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4F8EDA-E7B9-424C-A90A-EFDDAA13A72E}" name="ref" dataDxfId="88"/>
    <tableColumn id="2" xr3:uid="{428960D5-DC3F-463D-89EF-FF4CFA367EFB}" name="Type" dataDxfId="87"/>
    <tableColumn id="3" xr3:uid="{01BA7768-F27A-4DC7-8DB8-4B9193CCA7CD}" name="Dr Account"/>
    <tableColumn id="4" xr3:uid="{2BC685E1-C85A-460E-AF05-DAFD37AC4D2D}" name="Cr Account"/>
    <tableColumn id="5" xr3:uid="{215DCDDF-EFD1-4C38-82A8-F2981B284A7D}" name="Dr Amt" dataDxfId="86" dataCellStyle="Comma"/>
    <tableColumn id="6" xr3:uid="{6EC6C010-CA54-4349-82C5-F4C6048BA26A}" name="Cr Amt" dataDxfId="85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25D2-B1E9-4F94-B27E-D8249854F8FB}">
  <dimension ref="B2:I31"/>
  <sheetViews>
    <sheetView workbookViewId="0">
      <selection activeCell="C36" sqref="C36"/>
    </sheetView>
  </sheetViews>
  <sheetFormatPr defaultRowHeight="15"/>
  <cols>
    <col min="2" max="2" width="28.28515625" bestFit="1" customWidth="1"/>
    <col min="3" max="3" width="23.7109375" bestFit="1" customWidth="1"/>
    <col min="4" max="4" width="36.85546875" bestFit="1" customWidth="1"/>
    <col min="5" max="5" width="24.140625" bestFit="1" customWidth="1"/>
    <col min="6" max="6" width="8.85546875" customWidth="1"/>
  </cols>
  <sheetData>
    <row r="2" spans="2:9">
      <c r="B2" s="1" t="s">
        <v>0</v>
      </c>
      <c r="C2" s="1" t="s">
        <v>1</v>
      </c>
      <c r="D2" s="1" t="s">
        <v>2</v>
      </c>
      <c r="E2" s="1" t="s">
        <v>3</v>
      </c>
    </row>
    <row r="3" spans="2:9">
      <c r="B3" t="s">
        <v>4</v>
      </c>
      <c r="C3" t="s">
        <v>5</v>
      </c>
      <c r="D3" t="s">
        <v>6</v>
      </c>
      <c r="E3" t="s">
        <v>7</v>
      </c>
    </row>
    <row r="4" spans="2:9">
      <c r="B4" t="s">
        <v>8</v>
      </c>
      <c r="C4" t="s">
        <v>9</v>
      </c>
      <c r="D4" t="s">
        <v>10</v>
      </c>
      <c r="E4" t="s">
        <v>11</v>
      </c>
    </row>
    <row r="5" spans="2:9">
      <c r="B5" t="s">
        <v>12</v>
      </c>
      <c r="C5" t="s">
        <v>13</v>
      </c>
      <c r="E5" t="s">
        <v>14</v>
      </c>
    </row>
    <row r="6" spans="2:9">
      <c r="B6" t="s">
        <v>15</v>
      </c>
      <c r="C6" t="s">
        <v>16</v>
      </c>
      <c r="E6" t="s">
        <v>17</v>
      </c>
    </row>
    <row r="7" spans="2:9">
      <c r="B7" t="s">
        <v>18</v>
      </c>
      <c r="C7" t="s">
        <v>19</v>
      </c>
    </row>
    <row r="8" spans="2:9">
      <c r="B8" s="4" t="s">
        <v>20</v>
      </c>
    </row>
    <row r="9" spans="2:9">
      <c r="I9" s="14"/>
    </row>
    <row r="10" spans="2:9" ht="15.75" thickBot="1">
      <c r="B10" t="s">
        <v>21</v>
      </c>
      <c r="I10" s="202"/>
    </row>
    <row r="11" spans="2:9" ht="15.75" thickBot="1">
      <c r="B11" s="81" t="s">
        <v>22</v>
      </c>
      <c r="C11" s="82" t="s">
        <v>23</v>
      </c>
    </row>
    <row r="12" spans="2:9" ht="15.75" thickBot="1">
      <c r="B12" s="8" t="s">
        <v>24</v>
      </c>
      <c r="C12" s="9"/>
      <c r="F12" t="s">
        <v>25</v>
      </c>
      <c r="G12" t="s">
        <v>26</v>
      </c>
      <c r="H12" t="s">
        <v>27</v>
      </c>
    </row>
    <row r="13" spans="2:9">
      <c r="B13" s="5" t="s">
        <v>4</v>
      </c>
      <c r="C13" s="6">
        <v>100</v>
      </c>
      <c r="E13" s="166" t="s">
        <v>28</v>
      </c>
      <c r="F13" s="169" t="s">
        <v>29</v>
      </c>
      <c r="G13" s="169" t="s">
        <v>30</v>
      </c>
      <c r="H13" s="169" t="s">
        <v>31</v>
      </c>
    </row>
    <row r="14" spans="2:9">
      <c r="B14" s="5" t="s">
        <v>8</v>
      </c>
      <c r="C14" s="7">
        <v>0</v>
      </c>
      <c r="E14" s="167" t="s">
        <v>32</v>
      </c>
      <c r="F14" s="170" t="s">
        <v>33</v>
      </c>
      <c r="G14" s="170" t="s">
        <v>34</v>
      </c>
      <c r="H14" s="170" t="s">
        <v>35</v>
      </c>
    </row>
    <row r="15" spans="2:9">
      <c r="B15" s="5" t="s">
        <v>12</v>
      </c>
      <c r="C15" s="7">
        <v>0</v>
      </c>
      <c r="E15" s="167" t="s">
        <v>36</v>
      </c>
      <c r="F15" s="170" t="s">
        <v>37</v>
      </c>
      <c r="G15" s="170"/>
      <c r="H15" s="170"/>
    </row>
    <row r="16" spans="2:9" ht="15.75" thickBot="1">
      <c r="B16" s="5" t="s">
        <v>15</v>
      </c>
      <c r="C16" s="7">
        <v>0</v>
      </c>
      <c r="E16" s="168" t="s">
        <v>38</v>
      </c>
      <c r="F16" s="171" t="s">
        <v>39</v>
      </c>
      <c r="G16" s="171"/>
      <c r="H16" s="171"/>
    </row>
    <row r="17" spans="2:3">
      <c r="B17" s="5" t="s">
        <v>18</v>
      </c>
      <c r="C17" s="7">
        <v>0</v>
      </c>
    </row>
    <row r="18" spans="2:3">
      <c r="B18" s="220" t="s">
        <v>20</v>
      </c>
      <c r="C18" s="221">
        <v>0</v>
      </c>
    </row>
    <row r="19" spans="2:3" ht="15.75" thickBot="1">
      <c r="B19" s="88" t="s">
        <v>40</v>
      </c>
      <c r="C19" s="89">
        <f>SUM(C13:C18)</f>
        <v>100</v>
      </c>
    </row>
    <row r="20" spans="2:3">
      <c r="B20" s="8" t="s">
        <v>41</v>
      </c>
      <c r="C20" s="9"/>
    </row>
    <row r="21" spans="2:3">
      <c r="B21" s="5" t="s">
        <v>5</v>
      </c>
      <c r="C21" s="6">
        <v>0</v>
      </c>
    </row>
    <row r="22" spans="2:3">
      <c r="B22" s="5" t="s">
        <v>9</v>
      </c>
      <c r="C22" s="7">
        <v>0</v>
      </c>
    </row>
    <row r="23" spans="2:3">
      <c r="B23" s="5" t="s">
        <v>13</v>
      </c>
      <c r="C23" s="7">
        <v>0</v>
      </c>
    </row>
    <row r="24" spans="2:3">
      <c r="B24" s="5" t="s">
        <v>19</v>
      </c>
      <c r="C24" s="7">
        <v>0</v>
      </c>
    </row>
    <row r="25" spans="2:3">
      <c r="B25" s="220" t="s">
        <v>16</v>
      </c>
      <c r="C25" s="221">
        <v>0</v>
      </c>
    </row>
    <row r="26" spans="2:3" ht="15.75" thickBot="1">
      <c r="B26" s="92" t="s">
        <v>42</v>
      </c>
      <c r="C26" s="93">
        <f>SUM(C21:C25)</f>
        <v>0</v>
      </c>
    </row>
    <row r="27" spans="2:3">
      <c r="B27" s="86" t="s">
        <v>43</v>
      </c>
      <c r="C27" s="87"/>
    </row>
    <row r="28" spans="2:3">
      <c r="B28" s="5" t="s">
        <v>6</v>
      </c>
      <c r="C28" s="7">
        <v>100</v>
      </c>
    </row>
    <row r="29" spans="2:3">
      <c r="B29" s="220" t="s">
        <v>10</v>
      </c>
      <c r="C29" s="221">
        <v>0</v>
      </c>
    </row>
    <row r="30" spans="2:3">
      <c r="B30" s="90" t="s">
        <v>44</v>
      </c>
      <c r="C30" s="91">
        <f>SUM(C28:C29)</f>
        <v>100</v>
      </c>
    </row>
    <row r="31" spans="2:3" ht="15.75" thickBot="1">
      <c r="B31" s="92" t="s">
        <v>45</v>
      </c>
      <c r="C31" s="93">
        <f>C26+C30</f>
        <v>100</v>
      </c>
    </row>
  </sheetData>
  <phoneticPr fontId="14" type="noConversion"/>
  <conditionalFormatting sqref="B11:C11">
    <cfRule type="expression" dxfId="101" priority="607">
      <formula>ROUND($C$19,2)&lt;&gt;ROUND($C$31,2)</formula>
    </cfRule>
  </conditionalFormatting>
  <dataValidations count="3">
    <dataValidation type="list" allowBlank="1" showInputMessage="1" showErrorMessage="1" sqref="B28:B29" xr:uid="{EC653CE3-124E-40D9-8EA7-65E24F8D4F76}">
      <formula1>INDIRECT("AccountTitles[Equity]")</formula1>
    </dataValidation>
    <dataValidation type="list" allowBlank="1" showInputMessage="1" showErrorMessage="1" sqref="B21:B25" xr:uid="{EA9A1F94-EE65-481F-98F9-8823B2193D47}">
      <formula1>INDIRECT("AccountTitles[Liability]")</formula1>
    </dataValidation>
    <dataValidation type="list" allowBlank="1" showInputMessage="1" showErrorMessage="1" sqref="B13:B18" xr:uid="{936704C5-9BF9-4C50-BDA0-68A2AA88874E}">
      <formula1>INDIRECT("AccountTitles[Asset]")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C7C5-4A5B-4E45-89A1-4B6DDA277DB7}">
  <dimension ref="A1:X224"/>
  <sheetViews>
    <sheetView topLeftCell="A125" zoomScale="145" zoomScaleNormal="145" workbookViewId="0">
      <selection activeCell="F136" sqref="F136"/>
    </sheetView>
  </sheetViews>
  <sheetFormatPr defaultRowHeight="15"/>
  <cols>
    <col min="1" max="1" width="3.7109375" style="3" customWidth="1"/>
    <col min="2" max="2" width="5.28515625" style="3" bestFit="1" customWidth="1"/>
    <col min="3" max="4" width="24.42578125" bestFit="1" customWidth="1"/>
    <col min="5" max="6" width="11.140625" bestFit="1" customWidth="1"/>
    <col min="7" max="7" width="19" style="10" customWidth="1"/>
    <col min="11" max="11" width="12.7109375" bestFit="1" customWidth="1"/>
    <col min="16" max="16" width="11.5703125" customWidth="1"/>
    <col min="21" max="21" width="12.28515625" customWidth="1"/>
  </cols>
  <sheetData>
    <row r="1" spans="1:24" ht="15.75" thickBot="1">
      <c r="A1" s="2" t="s">
        <v>46</v>
      </c>
      <c r="B1" s="2" t="s">
        <v>47</v>
      </c>
      <c r="C1" s="11" t="s">
        <v>48</v>
      </c>
      <c r="D1" s="11" t="s">
        <v>49</v>
      </c>
      <c r="E1" s="11" t="s">
        <v>50</v>
      </c>
      <c r="F1" s="11" t="s">
        <v>51</v>
      </c>
      <c r="H1" s="17"/>
    </row>
    <row r="2" spans="1:24" hidden="1">
      <c r="A2" s="75"/>
      <c r="B2" s="75" t="s">
        <v>0</v>
      </c>
      <c r="C2" s="76" t="s">
        <v>4</v>
      </c>
      <c r="D2" s="76"/>
      <c r="E2" s="111"/>
      <c r="F2" s="111"/>
      <c r="G2" s="10" t="str">
        <f>"AccountTitles["&amp;B2&amp;"]"</f>
        <v>AccountTitles[Asset]</v>
      </c>
      <c r="H2" s="17" t="s">
        <v>52</v>
      </c>
      <c r="I2" s="17"/>
      <c r="K2" s="16" t="s">
        <v>53</v>
      </c>
      <c r="L2" s="15"/>
      <c r="M2" s="15"/>
      <c r="N2" s="15"/>
      <c r="P2" s="16" t="s">
        <v>54</v>
      </c>
      <c r="Q2" s="15"/>
      <c r="R2" s="15"/>
      <c r="S2" s="15"/>
      <c r="U2" s="16" t="s">
        <v>55</v>
      </c>
      <c r="V2" s="15"/>
      <c r="W2" s="15"/>
      <c r="X2" s="15"/>
    </row>
    <row r="3" spans="1:24" hidden="1">
      <c r="A3" s="75"/>
      <c r="B3" s="75" t="s">
        <v>2</v>
      </c>
      <c r="C3" s="76"/>
      <c r="D3" s="76" t="s">
        <v>6</v>
      </c>
      <c r="E3" s="111"/>
      <c r="F3" s="111"/>
      <c r="G3" s="10" t="str">
        <f t="shared" ref="G3:G66" si="0">"AccountTitles["&amp;B3&amp;"]"</f>
        <v>AccountTitles[Equity]</v>
      </c>
      <c r="H3" s="17"/>
      <c r="K3" t="s">
        <v>56</v>
      </c>
      <c r="L3" s="14" t="s">
        <v>0</v>
      </c>
      <c r="M3" s="10" t="str">
        <f>"AccountTitles["&amp;L3&amp;"]"</f>
        <v>AccountTitles[Asset]</v>
      </c>
      <c r="P3" t="s">
        <v>56</v>
      </c>
      <c r="Q3" s="14" t="s">
        <v>1</v>
      </c>
      <c r="R3" s="10" t="str">
        <f>"AccountTitles["&amp;Q3&amp;"]"</f>
        <v>AccountTitles[Liability]</v>
      </c>
      <c r="U3" t="s">
        <v>56</v>
      </c>
      <c r="V3" s="14" t="s">
        <v>3</v>
      </c>
      <c r="W3" s="10" t="str">
        <f>"AccountTitles["&amp;V3&amp;"]"</f>
        <v>AccountTitles[TempEq]</v>
      </c>
    </row>
    <row r="4" spans="1:24" hidden="1">
      <c r="A4" s="75"/>
      <c r="B4" s="75" t="s">
        <v>2</v>
      </c>
      <c r="C4" s="76"/>
      <c r="D4" s="76" t="s">
        <v>57</v>
      </c>
      <c r="E4" s="111"/>
      <c r="F4" s="111"/>
      <c r="G4" s="10" t="str">
        <f t="shared" si="0"/>
        <v>AccountTitles[Equity]</v>
      </c>
      <c r="H4" s="17"/>
      <c r="K4" t="s">
        <v>58</v>
      </c>
      <c r="L4" s="14" t="s">
        <v>4</v>
      </c>
      <c r="P4" t="s">
        <v>58</v>
      </c>
      <c r="Q4" s="33" t="s">
        <v>5</v>
      </c>
      <c r="U4" t="s">
        <v>58</v>
      </c>
      <c r="V4" s="33" t="s">
        <v>7</v>
      </c>
    </row>
    <row r="5" spans="1:24" hidden="1">
      <c r="A5" s="75"/>
      <c r="B5" s="75"/>
      <c r="C5" s="76"/>
      <c r="D5" s="76"/>
      <c r="E5" s="111"/>
      <c r="F5" s="111"/>
      <c r="G5" s="10" t="str">
        <f t="shared" si="0"/>
        <v>AccountTitles[]</v>
      </c>
      <c r="H5" s="17" t="s">
        <v>59</v>
      </c>
    </row>
    <row r="6" spans="1:24" ht="15.75" hidden="1" thickBot="1">
      <c r="A6" s="75"/>
      <c r="B6" s="75" t="s">
        <v>0</v>
      </c>
      <c r="C6" s="76" t="s">
        <v>4</v>
      </c>
      <c r="D6" s="76"/>
      <c r="E6" s="111"/>
      <c r="F6" s="111"/>
      <c r="G6" s="10" t="str">
        <f t="shared" si="0"/>
        <v>AccountTitles[Asset]</v>
      </c>
      <c r="H6" s="17"/>
      <c r="L6" s="35" t="str">
        <f>L4</f>
        <v>Cash</v>
      </c>
      <c r="M6" s="35"/>
      <c r="Q6" s="35" t="str">
        <f>Q4</f>
        <v>Accounts Payable</v>
      </c>
      <c r="R6" s="35"/>
      <c r="V6" s="35" t="str">
        <f>V4</f>
        <v>Sales</v>
      </c>
      <c r="W6" s="35"/>
    </row>
    <row r="7" spans="1:24" hidden="1">
      <c r="A7" s="75"/>
      <c r="B7" s="75" t="s">
        <v>2</v>
      </c>
      <c r="C7" s="76"/>
      <c r="D7" s="76" t="s">
        <v>60</v>
      </c>
      <c r="E7" s="111"/>
      <c r="F7" s="111"/>
      <c r="G7" s="10" t="str">
        <f t="shared" si="0"/>
        <v>AccountTitles[Equity]</v>
      </c>
      <c r="H7" s="17"/>
      <c r="K7" s="14" t="s">
        <v>61</v>
      </c>
      <c r="L7" s="36">
        <f>_xlfn.XLOOKUP(L6,'Financial Statements'!B2:B33,'Financial Statements'!C2:C33)</f>
        <v>100</v>
      </c>
      <c r="M7" s="37"/>
      <c r="N7" s="14"/>
      <c r="P7" s="14"/>
      <c r="Q7" s="36"/>
      <c r="R7" s="37">
        <f>_xlfn.XLOOKUP(Q6,'Financial Statements'!B2:B33,'Financial Statements'!C2:C33)</f>
        <v>0</v>
      </c>
      <c r="S7" s="14" t="s">
        <v>61</v>
      </c>
      <c r="U7" s="14" t="str" cm="1">
        <f t="array" ref="U7:U10">_xlfn._xlws.FILTER(JournalTable[ref],JournalTable[Dr Account]=V6,"")</f>
        <v>CL1</v>
      </c>
      <c r="V7" s="36" cm="1">
        <f t="array" ref="V7:V10">_xlfn._xlws.FILTER(JournalTable[Dr Amt],JournalTable[Dr Account]=V6,"")</f>
        <v>0</v>
      </c>
      <c r="W7" s="37" cm="1">
        <f t="array" ref="W7:W9">_xlfn._xlws.FILTER(JournalTable[Cr Amt],JournalTable[Cr Account]=V6,"")</f>
        <v>130</v>
      </c>
      <c r="X7" s="14" cm="1">
        <f t="array" ref="X7:X9">_xlfn._xlws.FILTER(JournalTable[ref],JournalTable[Cr Account]=V6,"")</f>
        <v>1</v>
      </c>
    </row>
    <row r="8" spans="1:24" hidden="1">
      <c r="A8" s="75"/>
      <c r="B8" s="75"/>
      <c r="C8" s="76"/>
      <c r="D8" s="76"/>
      <c r="E8" s="111"/>
      <c r="F8" s="111"/>
      <c r="G8" s="10" t="str">
        <f t="shared" si="0"/>
        <v>AccountTitles[]</v>
      </c>
      <c r="H8" s="17" t="s">
        <v>62</v>
      </c>
      <c r="I8" s="17"/>
      <c r="K8" s="14" cm="1">
        <f t="array" ref="K8:K19">_xlfn._xlws.FILTER(JournalTable[ref],JournalTable[Dr Account]=L6,"")</f>
        <v>0</v>
      </c>
      <c r="L8" s="38" cm="1">
        <f t="array" ref="L8:L19">_xlfn._xlws.FILTER(JournalTable[Dr Amt],JournalTable[Dr Account]=L6,"")</f>
        <v>0</v>
      </c>
      <c r="M8" s="39" cm="1">
        <f t="array" ref="M8:M22">_xlfn._xlws.FILTER(JournalTable[Cr Amt],JournalTable[Cr Account]=L6,"")</f>
        <v>0</v>
      </c>
      <c r="N8" s="14" cm="1">
        <f t="array" ref="N8:N22">_xlfn._xlws.FILTER(JournalTable[ref],JournalTable[Cr Account]=L6,"")</f>
        <v>0</v>
      </c>
      <c r="P8" s="14" cm="1">
        <f t="array" ref="P8">_xlfn._xlws.FILTER(JournalTable[ref],JournalTable[Dr Account]=Q6,"")</f>
        <v>0</v>
      </c>
      <c r="Q8" s="38" cm="1">
        <f t="array" ref="Q8">_xlfn._xlws.FILTER(JournalTable[Dr Amt],JournalTable[Dr Account]=Q6,"")</f>
        <v>0</v>
      </c>
      <c r="R8" s="39" cm="1">
        <f t="array" ref="R8">_xlfn._xlws.FILTER(JournalTable[Cr Amt],JournalTable[Cr Account]=Q6,"")</f>
        <v>0</v>
      </c>
      <c r="S8" s="14" cm="1">
        <f t="array" ref="S8">_xlfn._xlws.FILTER(JournalTable[ref],JournalTable[Cr Account]=Q6,"")</f>
        <v>0</v>
      </c>
      <c r="U8" s="14" t="str">
        <v>CL2</v>
      </c>
      <c r="V8" s="38">
        <v>0</v>
      </c>
      <c r="W8" s="39">
        <v>0</v>
      </c>
      <c r="X8" s="14">
        <v>2</v>
      </c>
    </row>
    <row r="9" spans="1:24" hidden="1">
      <c r="A9" s="75"/>
      <c r="B9" s="75" t="s">
        <v>0</v>
      </c>
      <c r="C9" s="76" t="s">
        <v>4</v>
      </c>
      <c r="D9" s="76"/>
      <c r="E9" s="111"/>
      <c r="F9" s="111"/>
      <c r="G9" s="10" t="str">
        <f t="shared" si="0"/>
        <v>AccountTitles[Asset]</v>
      </c>
      <c r="H9" s="17"/>
      <c r="K9" s="14">
        <v>0</v>
      </c>
      <c r="L9" s="38">
        <v>0</v>
      </c>
      <c r="M9" s="39">
        <v>0</v>
      </c>
      <c r="N9" s="14">
        <v>0</v>
      </c>
      <c r="P9" s="14"/>
      <c r="Q9" s="38"/>
      <c r="R9" s="39"/>
      <c r="S9" s="14"/>
      <c r="U9" s="14" t="str">
        <v>CL3</v>
      </c>
      <c r="V9" s="38">
        <v>0</v>
      </c>
      <c r="W9" s="39">
        <v>0</v>
      </c>
      <c r="X9" s="14">
        <v>3</v>
      </c>
    </row>
    <row r="10" spans="1:24" hidden="1">
      <c r="A10" s="75"/>
      <c r="B10" s="75" t="s">
        <v>1</v>
      </c>
      <c r="C10" s="76"/>
      <c r="D10" s="76" t="s">
        <v>63</v>
      </c>
      <c r="E10" s="111"/>
      <c r="F10" s="111"/>
      <c r="G10" s="10" t="str">
        <f t="shared" si="0"/>
        <v>AccountTitles[Liability]</v>
      </c>
      <c r="H10" s="17"/>
      <c r="K10" s="14">
        <v>0</v>
      </c>
      <c r="L10" s="38">
        <v>0</v>
      </c>
      <c r="M10" s="39">
        <v>0</v>
      </c>
      <c r="N10" s="14">
        <v>0</v>
      </c>
      <c r="P10" s="14"/>
      <c r="Q10" s="38"/>
      <c r="R10" s="39"/>
      <c r="S10" s="14"/>
      <c r="U10" s="14" t="str">
        <v>Cl</v>
      </c>
      <c r="V10" s="38">
        <v>0</v>
      </c>
      <c r="W10" s="39"/>
      <c r="X10" s="14"/>
    </row>
    <row r="11" spans="1:24" hidden="1">
      <c r="A11" s="75"/>
      <c r="B11" s="75"/>
      <c r="C11" s="76"/>
      <c r="D11" s="76"/>
      <c r="E11" s="111"/>
      <c r="F11" s="111"/>
      <c r="G11" s="10" t="str">
        <f t="shared" si="0"/>
        <v>AccountTitles[]</v>
      </c>
      <c r="H11" s="17" t="s">
        <v>64</v>
      </c>
      <c r="K11" s="14">
        <v>0</v>
      </c>
      <c r="L11" s="38">
        <v>0</v>
      </c>
      <c r="M11" s="39">
        <v>0</v>
      </c>
      <c r="N11" s="14">
        <v>0</v>
      </c>
      <c r="P11" s="14"/>
      <c r="Q11" s="38"/>
      <c r="R11" s="39"/>
      <c r="S11" s="14"/>
      <c r="U11" s="14"/>
      <c r="V11" s="38"/>
      <c r="W11" s="39"/>
      <c r="X11" s="14"/>
    </row>
    <row r="12" spans="1:24" hidden="1">
      <c r="A12" s="75"/>
      <c r="B12" s="75" t="s">
        <v>0</v>
      </c>
      <c r="C12" s="76" t="s">
        <v>4</v>
      </c>
      <c r="D12" s="76"/>
      <c r="E12" s="111"/>
      <c r="F12" s="111"/>
      <c r="G12" s="10" t="str">
        <f t="shared" si="0"/>
        <v>AccountTitles[Asset]</v>
      </c>
      <c r="H12" s="17"/>
      <c r="K12" s="14">
        <v>0</v>
      </c>
      <c r="L12" s="38">
        <v>0</v>
      </c>
      <c r="M12" s="39">
        <v>0</v>
      </c>
      <c r="N12" s="14">
        <v>0</v>
      </c>
      <c r="P12" s="14"/>
      <c r="Q12" s="38"/>
      <c r="R12" s="39"/>
      <c r="S12" s="14"/>
      <c r="U12" s="14"/>
      <c r="V12" s="38"/>
      <c r="W12" s="39"/>
      <c r="X12" s="14"/>
    </row>
    <row r="13" spans="1:24" hidden="1">
      <c r="A13" s="75"/>
      <c r="B13" s="75" t="s">
        <v>1</v>
      </c>
      <c r="C13" s="76"/>
      <c r="D13" s="76" t="s">
        <v>65</v>
      </c>
      <c r="E13" s="111"/>
      <c r="F13" s="111"/>
      <c r="G13" s="10" t="str">
        <f t="shared" si="0"/>
        <v>AccountTitles[Liability]</v>
      </c>
      <c r="H13" s="17"/>
      <c r="K13" s="14">
        <v>0</v>
      </c>
      <c r="L13" s="38">
        <v>0</v>
      </c>
      <c r="M13" s="39">
        <v>0</v>
      </c>
      <c r="N13" s="14">
        <v>0</v>
      </c>
      <c r="P13" s="14"/>
      <c r="Q13" s="38"/>
      <c r="R13" s="39"/>
      <c r="S13" s="14"/>
      <c r="U13" s="14"/>
      <c r="V13" s="38"/>
      <c r="W13" s="39"/>
      <c r="X13" s="14"/>
    </row>
    <row r="14" spans="1:24" hidden="1">
      <c r="A14" s="75"/>
      <c r="B14" s="75"/>
      <c r="C14" s="76"/>
      <c r="D14" s="76"/>
      <c r="E14" s="111"/>
      <c r="F14" s="111"/>
      <c r="G14" s="10" t="str">
        <f t="shared" si="0"/>
        <v>AccountTitles[]</v>
      </c>
      <c r="H14" s="17" t="s">
        <v>66</v>
      </c>
      <c r="K14" s="14">
        <v>0</v>
      </c>
      <c r="L14" s="38">
        <v>0</v>
      </c>
      <c r="M14" s="39">
        <v>0</v>
      </c>
      <c r="N14" s="14">
        <v>0</v>
      </c>
      <c r="P14" s="14"/>
      <c r="Q14" s="38"/>
      <c r="R14" s="39"/>
      <c r="S14" s="14"/>
      <c r="U14" s="14"/>
      <c r="V14" s="38"/>
      <c r="W14" s="39"/>
      <c r="X14" s="14"/>
    </row>
    <row r="15" spans="1:24" hidden="1">
      <c r="A15" s="75"/>
      <c r="B15" s="75" t="s">
        <v>0</v>
      </c>
      <c r="C15" s="76" t="s">
        <v>4</v>
      </c>
      <c r="D15" s="76"/>
      <c r="E15" s="111"/>
      <c r="F15" s="111"/>
      <c r="G15" s="10" t="str">
        <f t="shared" si="0"/>
        <v>AccountTitles[Asset]</v>
      </c>
      <c r="H15" s="17"/>
      <c r="K15" s="14">
        <v>0</v>
      </c>
      <c r="L15" s="38">
        <v>0</v>
      </c>
      <c r="M15" s="39">
        <v>0</v>
      </c>
      <c r="N15" s="14">
        <v>1</v>
      </c>
      <c r="P15" s="14"/>
      <c r="Q15" s="38"/>
      <c r="R15" s="39"/>
      <c r="S15" s="14"/>
      <c r="U15" s="14"/>
      <c r="V15" s="38"/>
      <c r="W15" s="39"/>
      <c r="X15" s="14"/>
    </row>
    <row r="16" spans="1:24" hidden="1">
      <c r="A16" s="75"/>
      <c r="B16" s="75" t="s">
        <v>1</v>
      </c>
      <c r="C16" s="76"/>
      <c r="D16" s="76" t="s">
        <v>67</v>
      </c>
      <c r="E16" s="111"/>
      <c r="F16" s="111"/>
      <c r="G16" s="10" t="str">
        <f t="shared" si="0"/>
        <v>AccountTitles[Liability]</v>
      </c>
      <c r="H16" s="17"/>
      <c r="K16" s="14">
        <v>1</v>
      </c>
      <c r="L16" s="38">
        <v>100</v>
      </c>
      <c r="M16" s="39">
        <v>0</v>
      </c>
      <c r="N16" s="14">
        <v>1</v>
      </c>
      <c r="P16" s="14"/>
      <c r="Q16" s="38"/>
      <c r="R16" s="39"/>
      <c r="S16" s="14"/>
      <c r="U16" s="14"/>
      <c r="V16" s="38"/>
      <c r="W16" s="39"/>
      <c r="X16" s="14"/>
    </row>
    <row r="17" spans="1:24" hidden="1">
      <c r="A17" s="75"/>
      <c r="B17" s="75"/>
      <c r="C17" s="76"/>
      <c r="D17" s="76"/>
      <c r="E17" s="111"/>
      <c r="F17" s="111"/>
      <c r="G17" s="10" t="str">
        <f t="shared" si="0"/>
        <v>AccountTitles[]</v>
      </c>
      <c r="H17" s="17" t="s">
        <v>68</v>
      </c>
      <c r="K17" s="14">
        <v>1</v>
      </c>
      <c r="L17" s="38">
        <v>0</v>
      </c>
      <c r="M17" s="39">
        <v>50</v>
      </c>
      <c r="N17" s="14">
        <v>1</v>
      </c>
      <c r="P17" s="14"/>
      <c r="Q17" s="38"/>
      <c r="R17" s="39"/>
      <c r="S17" s="14"/>
      <c r="U17" s="14"/>
      <c r="V17" s="38"/>
      <c r="W17" s="39"/>
      <c r="X17" s="14"/>
    </row>
    <row r="18" spans="1:24" hidden="1">
      <c r="A18" s="75"/>
      <c r="B18" s="75" t="s">
        <v>0</v>
      </c>
      <c r="C18" s="76" t="s">
        <v>4</v>
      </c>
      <c r="D18" s="76"/>
      <c r="E18" s="111"/>
      <c r="F18" s="111"/>
      <c r="G18" s="10" t="str">
        <f t="shared" si="0"/>
        <v>AccountTitles[Asset]</v>
      </c>
      <c r="H18" s="17"/>
      <c r="K18" s="14">
        <v>2</v>
      </c>
      <c r="L18" s="38">
        <v>20</v>
      </c>
      <c r="M18" s="39">
        <v>0</v>
      </c>
      <c r="N18" s="14">
        <v>2</v>
      </c>
      <c r="P18" s="14"/>
      <c r="Q18" s="38"/>
      <c r="R18" s="39"/>
      <c r="S18" s="14"/>
      <c r="U18" s="14"/>
      <c r="V18" s="38"/>
      <c r="W18" s="39"/>
      <c r="X18" s="14"/>
    </row>
    <row r="19" spans="1:24" hidden="1">
      <c r="A19" s="75"/>
      <c r="B19" s="75" t="s">
        <v>1</v>
      </c>
      <c r="C19" s="76"/>
      <c r="D19" s="76" t="s">
        <v>69</v>
      </c>
      <c r="E19" s="111"/>
      <c r="F19" s="111"/>
      <c r="G19" s="10" t="str">
        <f t="shared" si="0"/>
        <v>AccountTitles[Liability]</v>
      </c>
      <c r="H19" s="17"/>
      <c r="K19" s="14">
        <v>3</v>
      </c>
      <c r="L19" s="38">
        <v>10</v>
      </c>
      <c r="M19" s="39">
        <v>0</v>
      </c>
      <c r="N19" s="14">
        <v>2</v>
      </c>
      <c r="P19" s="14"/>
      <c r="Q19" s="38"/>
      <c r="R19" s="39"/>
      <c r="S19" s="14"/>
      <c r="U19" s="14"/>
      <c r="V19" s="38"/>
      <c r="W19" s="39"/>
      <c r="X19" s="14"/>
    </row>
    <row r="20" spans="1:24" hidden="1">
      <c r="C20" s="12"/>
      <c r="D20" s="12"/>
      <c r="E20" s="112"/>
      <c r="F20" s="112"/>
      <c r="G20" s="10" t="str">
        <f t="shared" si="0"/>
        <v>AccountTitles[]</v>
      </c>
      <c r="H20" s="17" t="s">
        <v>70</v>
      </c>
      <c r="K20" s="14"/>
      <c r="L20" s="38"/>
      <c r="M20" s="39">
        <v>0</v>
      </c>
      <c r="N20" s="14">
        <v>3</v>
      </c>
      <c r="P20" s="14"/>
      <c r="Q20" s="38"/>
      <c r="R20" s="39"/>
      <c r="S20" s="14"/>
      <c r="U20" s="14"/>
      <c r="V20" s="38"/>
      <c r="W20" s="39"/>
      <c r="X20" s="14"/>
    </row>
    <row r="21" spans="1:24" hidden="1">
      <c r="A21" s="75"/>
      <c r="B21" s="75" t="s">
        <v>1</v>
      </c>
      <c r="C21" s="80" t="s">
        <v>71</v>
      </c>
      <c r="D21" s="80"/>
      <c r="E21" s="113"/>
      <c r="F21" s="113"/>
      <c r="G21" s="10" t="str">
        <f t="shared" si="0"/>
        <v>AccountTitles[Liability]</v>
      </c>
      <c r="K21" s="14"/>
      <c r="L21" s="38"/>
      <c r="M21" s="39">
        <v>0</v>
      </c>
      <c r="N21" s="14">
        <v>3</v>
      </c>
      <c r="P21" s="14"/>
      <c r="Q21" s="38"/>
      <c r="R21" s="39"/>
      <c r="S21" s="14"/>
      <c r="U21" s="14"/>
      <c r="V21" s="38"/>
      <c r="W21" s="39"/>
      <c r="X21" s="14"/>
    </row>
    <row r="22" spans="1:24" hidden="1">
      <c r="A22" s="75"/>
      <c r="B22" s="75" t="s">
        <v>0</v>
      </c>
      <c r="C22" s="80"/>
      <c r="D22" s="80" t="s">
        <v>4</v>
      </c>
      <c r="E22" s="113"/>
      <c r="F22" s="113"/>
      <c r="G22" s="10" t="str">
        <f t="shared" si="0"/>
        <v>AccountTitles[Asset]</v>
      </c>
      <c r="K22" s="14"/>
      <c r="L22" s="38"/>
      <c r="M22" s="39">
        <v>0</v>
      </c>
      <c r="N22" s="14">
        <v>3</v>
      </c>
      <c r="P22" s="14"/>
      <c r="Q22" s="38"/>
      <c r="R22" s="39"/>
      <c r="S22" s="14"/>
      <c r="U22" s="14"/>
      <c r="V22" s="38"/>
      <c r="W22" s="39"/>
      <c r="X22" s="14"/>
    </row>
    <row r="23" spans="1:24" ht="15.75" hidden="1" thickBot="1">
      <c r="A23" s="75"/>
      <c r="B23" s="75"/>
      <c r="C23" s="80"/>
      <c r="D23" s="80"/>
      <c r="E23" s="113"/>
      <c r="F23" s="113"/>
      <c r="G23" s="10" t="str">
        <f t="shared" si="0"/>
        <v>AccountTitles[]</v>
      </c>
      <c r="H23" s="17" t="s">
        <v>72</v>
      </c>
      <c r="K23" s="14"/>
      <c r="L23" s="40"/>
      <c r="M23" s="41"/>
      <c r="N23" s="14"/>
      <c r="P23" s="14"/>
      <c r="Q23" s="40"/>
      <c r="R23" s="41"/>
      <c r="S23" s="14"/>
      <c r="U23" s="14"/>
      <c r="V23" s="40"/>
      <c r="W23" s="41"/>
      <c r="X23" s="14"/>
    </row>
    <row r="24" spans="1:24" ht="15.75" hidden="1" thickBot="1">
      <c r="A24" s="75"/>
      <c r="B24" s="75" t="s">
        <v>1</v>
      </c>
      <c r="C24" s="80" t="s">
        <v>63</v>
      </c>
      <c r="D24" s="80"/>
      <c r="E24" s="113"/>
      <c r="F24" s="113"/>
      <c r="G24" s="10" t="str">
        <f t="shared" si="0"/>
        <v>AccountTitles[Liability]</v>
      </c>
      <c r="K24" s="14"/>
      <c r="L24" s="42">
        <f>MAX(SUM(L7:L23)-SUM(M7:M23),0)</f>
        <v>180</v>
      </c>
      <c r="M24" s="42">
        <f>-MIN(SUM(L7:L23)-SUM(M7:M23),0)</f>
        <v>0</v>
      </c>
      <c r="N24" s="14"/>
      <c r="P24" s="14"/>
      <c r="Q24" s="42">
        <f>MAX(SUM(Q7:Q23)-SUM(R7:R23),0)</f>
        <v>0</v>
      </c>
      <c r="R24" s="42">
        <f>-MIN(SUM(Q7:Q23)-SUM(R7:R23),0)</f>
        <v>0</v>
      </c>
      <c r="S24" s="14"/>
      <c r="U24" s="14"/>
      <c r="V24" s="42">
        <f>MAX(SUM(V7:V23)-SUM(W7:W23),0)</f>
        <v>0</v>
      </c>
      <c r="W24" s="42">
        <f>-MIN(SUM(V7:V23)-SUM(W7:W23),0)</f>
        <v>130</v>
      </c>
      <c r="X24" s="14"/>
    </row>
    <row r="25" spans="1:24" ht="15.75" hidden="1" thickTop="1">
      <c r="A25" s="75"/>
      <c r="B25" s="75" t="s">
        <v>1</v>
      </c>
      <c r="C25" s="80" t="s">
        <v>65</v>
      </c>
      <c r="D25" s="80"/>
      <c r="E25" s="113"/>
      <c r="F25" s="113"/>
      <c r="G25" s="10" t="str">
        <f t="shared" si="0"/>
        <v>AccountTitles[Liability]</v>
      </c>
      <c r="K25" s="14"/>
      <c r="N25" s="14"/>
      <c r="P25" s="14"/>
      <c r="S25" s="14"/>
      <c r="U25" s="14"/>
      <c r="X25" s="14"/>
    </row>
    <row r="26" spans="1:24" hidden="1">
      <c r="A26" s="75"/>
      <c r="B26" s="75" t="s">
        <v>3</v>
      </c>
      <c r="C26" s="80" t="s">
        <v>73</v>
      </c>
      <c r="D26" s="80"/>
      <c r="E26" s="113"/>
      <c r="F26" s="113"/>
      <c r="G26" s="10" t="str">
        <f t="shared" si="0"/>
        <v>AccountTitles[TempEq]</v>
      </c>
      <c r="K26" s="14"/>
      <c r="N26" s="14"/>
      <c r="P26" s="14"/>
      <c r="S26" s="14"/>
    </row>
    <row r="27" spans="1:24" hidden="1">
      <c r="A27" s="75"/>
      <c r="B27" s="75" t="s">
        <v>0</v>
      </c>
      <c r="C27" s="80"/>
      <c r="D27" s="80" t="s">
        <v>4</v>
      </c>
      <c r="E27" s="113"/>
      <c r="F27" s="113"/>
      <c r="G27" s="10" t="str">
        <f t="shared" si="0"/>
        <v>AccountTitles[Asset]</v>
      </c>
      <c r="K27" s="14"/>
      <c r="N27" s="14"/>
      <c r="P27" s="14"/>
      <c r="S27" s="14"/>
    </row>
    <row r="28" spans="1:24" hidden="1">
      <c r="A28" s="75"/>
      <c r="B28" s="75" t="s">
        <v>3</v>
      </c>
      <c r="C28" s="80"/>
      <c r="D28" s="80" t="s">
        <v>74</v>
      </c>
      <c r="E28" s="113"/>
      <c r="F28" s="113"/>
      <c r="G28" s="10" t="str">
        <f t="shared" si="0"/>
        <v>AccountTitles[TempEq]</v>
      </c>
      <c r="K28" s="14"/>
      <c r="L28" s="76"/>
      <c r="M28" t="s">
        <v>75</v>
      </c>
      <c r="N28" s="14"/>
      <c r="P28" s="14"/>
      <c r="S28" s="14"/>
    </row>
    <row r="29" spans="1:24" hidden="1">
      <c r="E29" s="114"/>
      <c r="F29" s="114"/>
      <c r="G29" s="10" t="str">
        <f t="shared" si="0"/>
        <v>AccountTitles[]</v>
      </c>
      <c r="H29" s="17" t="s">
        <v>76</v>
      </c>
      <c r="K29" s="14"/>
      <c r="L29" s="78"/>
      <c r="M29" t="s">
        <v>77</v>
      </c>
      <c r="N29" s="14"/>
      <c r="P29" s="14"/>
      <c r="S29" s="14"/>
    </row>
    <row r="30" spans="1:24" hidden="1">
      <c r="A30" s="77"/>
      <c r="B30" s="77" t="s">
        <v>0</v>
      </c>
      <c r="C30" s="78" t="s">
        <v>78</v>
      </c>
      <c r="D30" s="78"/>
      <c r="E30" s="115"/>
      <c r="F30" s="115"/>
      <c r="G30" s="10" t="str">
        <f t="shared" si="0"/>
        <v>AccountTitles[Asset]</v>
      </c>
      <c r="K30" s="14"/>
      <c r="L30" s="100"/>
      <c r="M30" t="s">
        <v>79</v>
      </c>
      <c r="N30" s="14"/>
      <c r="P30" s="14"/>
      <c r="S30" s="14"/>
    </row>
    <row r="31" spans="1:24" hidden="1">
      <c r="A31" s="77"/>
      <c r="B31" s="77" t="s">
        <v>0</v>
      </c>
      <c r="C31" s="78"/>
      <c r="D31" s="78" t="s">
        <v>4</v>
      </c>
      <c r="E31" s="115"/>
      <c r="F31" s="115"/>
      <c r="G31" s="10" t="str">
        <f t="shared" si="0"/>
        <v>AccountTitles[Asset]</v>
      </c>
      <c r="K31" s="14"/>
      <c r="L31" s="103"/>
      <c r="M31" t="s">
        <v>80</v>
      </c>
      <c r="N31" s="14"/>
      <c r="P31" s="14"/>
      <c r="S31" s="14"/>
    </row>
    <row r="32" spans="1:24" hidden="1">
      <c r="E32" s="114"/>
      <c r="F32" s="114"/>
      <c r="G32" s="10" t="str">
        <f t="shared" si="0"/>
        <v>AccountTitles[]</v>
      </c>
      <c r="H32" s="17" t="s">
        <v>81</v>
      </c>
      <c r="N32" s="14"/>
      <c r="P32" s="14"/>
      <c r="S32" s="14"/>
    </row>
    <row r="33" spans="1:14" hidden="1">
      <c r="A33" s="77"/>
      <c r="B33" s="77" t="s">
        <v>0</v>
      </c>
      <c r="C33" s="78" t="s">
        <v>15</v>
      </c>
      <c r="D33" s="78"/>
      <c r="E33" s="115"/>
      <c r="F33" s="115"/>
      <c r="G33" s="10" t="str">
        <f t="shared" si="0"/>
        <v>AccountTitles[Asset]</v>
      </c>
      <c r="N33" s="14"/>
    </row>
    <row r="34" spans="1:14" hidden="1">
      <c r="A34" s="77"/>
      <c r="B34" s="77" t="s">
        <v>0</v>
      </c>
      <c r="C34" s="78"/>
      <c r="D34" s="78" t="s">
        <v>4</v>
      </c>
      <c r="E34" s="115"/>
      <c r="F34" s="115"/>
      <c r="G34" s="10" t="str">
        <f t="shared" si="0"/>
        <v>AccountTitles[Asset]</v>
      </c>
      <c r="N34" s="14"/>
    </row>
    <row r="35" spans="1:14" hidden="1">
      <c r="A35" s="77"/>
      <c r="B35" s="77"/>
      <c r="C35" s="78"/>
      <c r="D35" s="78"/>
      <c r="E35" s="115"/>
      <c r="F35" s="115"/>
      <c r="G35" s="10" t="str">
        <f t="shared" si="0"/>
        <v>AccountTitles[]</v>
      </c>
      <c r="H35" s="17" t="s">
        <v>82</v>
      </c>
      <c r="N35" s="14"/>
    </row>
    <row r="36" spans="1:14" hidden="1">
      <c r="A36" s="77"/>
      <c r="B36" s="77" t="s">
        <v>0</v>
      </c>
      <c r="C36" s="78" t="s">
        <v>83</v>
      </c>
      <c r="D36" s="78"/>
      <c r="E36" s="115"/>
      <c r="F36" s="115"/>
      <c r="G36" s="10" t="str">
        <f t="shared" si="0"/>
        <v>AccountTitles[Asset]</v>
      </c>
      <c r="N36" s="14"/>
    </row>
    <row r="37" spans="1:14" hidden="1">
      <c r="A37" s="77"/>
      <c r="B37" s="77" t="s">
        <v>0</v>
      </c>
      <c r="C37" s="78"/>
      <c r="D37" s="78" t="s">
        <v>4</v>
      </c>
      <c r="E37" s="115"/>
      <c r="F37" s="115"/>
      <c r="G37" s="10" t="str">
        <f t="shared" si="0"/>
        <v>AccountTitles[Asset]</v>
      </c>
      <c r="N37" s="14"/>
    </row>
    <row r="38" spans="1:14" hidden="1">
      <c r="A38" s="77"/>
      <c r="B38" s="77"/>
      <c r="C38" s="78"/>
      <c r="D38" s="78"/>
      <c r="E38" s="115"/>
      <c r="F38" s="115"/>
      <c r="G38" s="10" t="str">
        <f t="shared" si="0"/>
        <v>AccountTitles[]</v>
      </c>
      <c r="H38" s="17" t="s">
        <v>84</v>
      </c>
    </row>
    <row r="39" spans="1:14" hidden="1">
      <c r="A39" s="77"/>
      <c r="B39" s="77" t="s">
        <v>0</v>
      </c>
      <c r="C39" s="78" t="s">
        <v>85</v>
      </c>
      <c r="D39" s="78"/>
      <c r="E39" s="115"/>
      <c r="F39" s="115"/>
      <c r="G39" s="10" t="str">
        <f t="shared" si="0"/>
        <v>AccountTitles[Asset]</v>
      </c>
    </row>
    <row r="40" spans="1:14" hidden="1">
      <c r="A40" s="77"/>
      <c r="B40" s="77" t="s">
        <v>0</v>
      </c>
      <c r="C40" s="78"/>
      <c r="D40" s="78" t="s">
        <v>4</v>
      </c>
      <c r="E40" s="115"/>
      <c r="F40" s="115"/>
      <c r="G40" s="10" t="str">
        <f t="shared" si="0"/>
        <v>AccountTitles[Asset]</v>
      </c>
    </row>
    <row r="41" spans="1:14" hidden="1">
      <c r="E41" s="114"/>
      <c r="F41" s="114"/>
      <c r="G41" s="10" t="str">
        <f t="shared" si="0"/>
        <v>AccountTitles[]</v>
      </c>
      <c r="H41" s="17" t="s">
        <v>86</v>
      </c>
    </row>
    <row r="42" spans="1:14" hidden="1">
      <c r="A42" s="77"/>
      <c r="B42" s="77" t="s">
        <v>0</v>
      </c>
      <c r="C42" s="78" t="s">
        <v>78</v>
      </c>
      <c r="D42" s="78"/>
      <c r="E42" s="115"/>
      <c r="F42" s="115"/>
      <c r="G42" s="10" t="str">
        <f t="shared" si="0"/>
        <v>AccountTitles[Asset]</v>
      </c>
    </row>
    <row r="43" spans="1:14" hidden="1">
      <c r="A43" s="77"/>
      <c r="B43" s="77" t="s">
        <v>0</v>
      </c>
      <c r="C43" s="78" t="s">
        <v>8</v>
      </c>
      <c r="D43" s="78"/>
      <c r="E43" s="115"/>
      <c r="F43" s="115"/>
      <c r="G43" s="10" t="str">
        <f t="shared" si="0"/>
        <v>AccountTitles[Asset]</v>
      </c>
    </row>
    <row r="44" spans="1:14" hidden="1">
      <c r="A44" s="77"/>
      <c r="B44" s="77" t="s">
        <v>0</v>
      </c>
      <c r="C44" s="78" t="s">
        <v>12</v>
      </c>
      <c r="D44" s="78"/>
      <c r="E44" s="115"/>
      <c r="F44" s="115"/>
      <c r="G44" s="10" t="str">
        <f t="shared" si="0"/>
        <v>AccountTitles[Asset]</v>
      </c>
    </row>
    <row r="45" spans="1:14" hidden="1">
      <c r="A45" s="77"/>
      <c r="B45" s="77" t="s">
        <v>0</v>
      </c>
      <c r="C45" s="78" t="s">
        <v>15</v>
      </c>
      <c r="D45" s="78"/>
      <c r="E45" s="115"/>
      <c r="F45" s="115"/>
      <c r="G45" s="10" t="str">
        <f t="shared" si="0"/>
        <v>AccountTitles[Asset]</v>
      </c>
    </row>
    <row r="46" spans="1:14" hidden="1">
      <c r="A46" s="77"/>
      <c r="B46" s="77" t="s">
        <v>0</v>
      </c>
      <c r="C46" s="78" t="s">
        <v>83</v>
      </c>
      <c r="D46" s="78"/>
      <c r="E46" s="115"/>
      <c r="F46" s="115"/>
      <c r="G46" s="10" t="str">
        <f t="shared" si="0"/>
        <v>AccountTitles[Asset]</v>
      </c>
    </row>
    <row r="47" spans="1:14" hidden="1">
      <c r="A47" s="77"/>
      <c r="B47" s="77" t="s">
        <v>0</v>
      </c>
      <c r="C47" s="78" t="s">
        <v>87</v>
      </c>
      <c r="D47" s="78"/>
      <c r="E47" s="115"/>
      <c r="F47" s="115"/>
      <c r="G47" s="10" t="str">
        <f t="shared" si="0"/>
        <v>AccountTitles[Asset]</v>
      </c>
    </row>
    <row r="48" spans="1:14" hidden="1">
      <c r="A48" s="77"/>
      <c r="B48" s="77" t="s">
        <v>1</v>
      </c>
      <c r="C48" s="78"/>
      <c r="D48" s="78" t="s">
        <v>5</v>
      </c>
      <c r="E48" s="115"/>
      <c r="F48" s="115"/>
      <c r="G48" s="10" t="str">
        <f t="shared" si="0"/>
        <v>AccountTitles[Liability]</v>
      </c>
    </row>
    <row r="49" spans="1:9" hidden="1">
      <c r="A49" s="77"/>
      <c r="B49" s="77" t="s">
        <v>1</v>
      </c>
      <c r="C49" s="78"/>
      <c r="D49" s="78" t="s">
        <v>88</v>
      </c>
      <c r="E49" s="115"/>
      <c r="F49" s="115"/>
      <c r="G49" s="10" t="str">
        <f t="shared" si="0"/>
        <v>AccountTitles[Liability]</v>
      </c>
    </row>
    <row r="50" spans="1:9" hidden="1">
      <c r="A50" s="77"/>
      <c r="B50" s="77" t="s">
        <v>1</v>
      </c>
      <c r="C50" s="78"/>
      <c r="D50" s="78" t="s">
        <v>65</v>
      </c>
      <c r="E50" s="115"/>
      <c r="F50" s="115"/>
      <c r="G50" s="10" t="str">
        <f t="shared" si="0"/>
        <v>AccountTitles[Liability]</v>
      </c>
    </row>
    <row r="51" spans="1:9" hidden="1">
      <c r="A51" s="77"/>
      <c r="B51" s="77" t="s">
        <v>0</v>
      </c>
      <c r="C51" s="78"/>
      <c r="D51" s="78" t="s">
        <v>4</v>
      </c>
      <c r="E51" s="115"/>
      <c r="F51" s="115"/>
      <c r="G51" s="10" t="str">
        <f t="shared" si="0"/>
        <v>AccountTitles[Asset]</v>
      </c>
    </row>
    <row r="52" spans="1:9" hidden="1">
      <c r="E52" s="114"/>
      <c r="F52" s="114"/>
      <c r="G52" s="10" t="str">
        <f t="shared" si="0"/>
        <v>AccountTitles[]</v>
      </c>
      <c r="H52" s="17" t="s">
        <v>89</v>
      </c>
    </row>
    <row r="53" spans="1:9" hidden="1">
      <c r="A53" s="77"/>
      <c r="B53" s="77" t="s">
        <v>0</v>
      </c>
      <c r="C53" s="79" t="s">
        <v>4</v>
      </c>
      <c r="D53" s="79"/>
      <c r="E53" s="116"/>
      <c r="F53" s="116"/>
      <c r="G53" s="10" t="str">
        <f t="shared" si="0"/>
        <v>AccountTitles[Asset]</v>
      </c>
    </row>
    <row r="54" spans="1:9" hidden="1">
      <c r="A54" s="77"/>
      <c r="B54" s="77" t="s">
        <v>0</v>
      </c>
      <c r="C54" s="79" t="s">
        <v>18</v>
      </c>
      <c r="D54" s="79"/>
      <c r="E54" s="116"/>
      <c r="F54" s="116"/>
      <c r="G54" s="10" t="str">
        <f t="shared" si="0"/>
        <v>AccountTitles[Asset]</v>
      </c>
    </row>
    <row r="55" spans="1:9" hidden="1">
      <c r="A55" s="77"/>
      <c r="B55" s="77" t="s">
        <v>3</v>
      </c>
      <c r="C55" s="79" t="s">
        <v>90</v>
      </c>
      <c r="D55" s="79"/>
      <c r="E55" s="116"/>
      <c r="F55" s="116"/>
      <c r="G55" s="10" t="str">
        <f t="shared" si="0"/>
        <v>AccountTitles[TempEq]</v>
      </c>
    </row>
    <row r="56" spans="1:9" hidden="1">
      <c r="A56" s="77"/>
      <c r="B56" s="77" t="s">
        <v>0</v>
      </c>
      <c r="C56" s="79"/>
      <c r="D56" s="79" t="s">
        <v>15</v>
      </c>
      <c r="E56" s="116"/>
      <c r="F56" s="116"/>
      <c r="G56" s="10" t="str">
        <f t="shared" si="0"/>
        <v>AccountTitles[Asset]</v>
      </c>
      <c r="H56" s="17"/>
    </row>
    <row r="57" spans="1:9" hidden="1">
      <c r="A57" s="77"/>
      <c r="B57" s="77" t="s">
        <v>3</v>
      </c>
      <c r="C57" s="79"/>
      <c r="D57" s="79" t="s">
        <v>91</v>
      </c>
      <c r="E57" s="116"/>
      <c r="F57" s="116"/>
      <c r="G57" s="10" t="str">
        <f t="shared" si="0"/>
        <v>AccountTitles[TempEq]</v>
      </c>
      <c r="I57" s="17"/>
    </row>
    <row r="58" spans="1:9" hidden="1">
      <c r="A58" s="77"/>
      <c r="B58" s="77"/>
      <c r="C58" s="79"/>
      <c r="D58" s="79"/>
      <c r="E58" s="116"/>
      <c r="F58" s="116"/>
      <c r="G58" s="10" t="str">
        <f t="shared" si="0"/>
        <v>AccountTitles[]</v>
      </c>
      <c r="H58" s="17" t="s">
        <v>92</v>
      </c>
    </row>
    <row r="59" spans="1:9" hidden="1">
      <c r="A59" s="77"/>
      <c r="B59" s="77" t="s">
        <v>0</v>
      </c>
      <c r="C59" s="79" t="s">
        <v>4</v>
      </c>
      <c r="D59" s="79"/>
      <c r="E59" s="116"/>
      <c r="F59" s="116"/>
      <c r="G59" s="10" t="str">
        <f t="shared" si="0"/>
        <v>AccountTitles[Asset]</v>
      </c>
      <c r="I59" s="17"/>
    </row>
    <row r="60" spans="1:9" hidden="1">
      <c r="A60" s="77"/>
      <c r="B60" s="77" t="s">
        <v>1</v>
      </c>
      <c r="C60" s="79" t="s">
        <v>5</v>
      </c>
      <c r="D60" s="79"/>
      <c r="E60" s="116"/>
      <c r="F60" s="116"/>
      <c r="G60" s="10" t="str">
        <f t="shared" si="0"/>
        <v>AccountTitles[Liability]</v>
      </c>
    </row>
    <row r="61" spans="1:9" hidden="1">
      <c r="A61" s="77"/>
      <c r="B61" s="77" t="s">
        <v>1</v>
      </c>
      <c r="C61" s="79" t="s">
        <v>88</v>
      </c>
      <c r="D61" s="79"/>
      <c r="E61" s="116"/>
      <c r="F61" s="116"/>
      <c r="G61" s="10" t="str">
        <f t="shared" si="0"/>
        <v>AccountTitles[Liability]</v>
      </c>
    </row>
    <row r="62" spans="1:9" hidden="1">
      <c r="A62" s="77"/>
      <c r="B62" s="77" t="s">
        <v>1</v>
      </c>
      <c r="C62" s="79" t="s">
        <v>67</v>
      </c>
      <c r="D62" s="79"/>
      <c r="E62" s="116"/>
      <c r="F62" s="116"/>
      <c r="G62" s="10" t="str">
        <f t="shared" si="0"/>
        <v>AccountTitles[Liability]</v>
      </c>
      <c r="I62" s="17"/>
    </row>
    <row r="63" spans="1:9" hidden="1">
      <c r="A63" s="77"/>
      <c r="B63" s="77" t="s">
        <v>1</v>
      </c>
      <c r="C63" s="79" t="s">
        <v>69</v>
      </c>
      <c r="D63" s="79"/>
      <c r="E63" s="116"/>
      <c r="F63" s="116"/>
      <c r="G63" s="10" t="str">
        <f t="shared" si="0"/>
        <v>AccountTitles[Liability]</v>
      </c>
    </row>
    <row r="64" spans="1:9" hidden="1">
      <c r="A64" s="77"/>
      <c r="B64" s="77" t="s">
        <v>0</v>
      </c>
      <c r="C64" s="79" t="s">
        <v>18</v>
      </c>
      <c r="D64" s="79"/>
      <c r="E64" s="116"/>
      <c r="F64" s="116"/>
      <c r="G64" s="10" t="str">
        <f t="shared" si="0"/>
        <v>AccountTitles[Asset]</v>
      </c>
    </row>
    <row r="65" spans="1:9" hidden="1">
      <c r="A65" s="77"/>
      <c r="B65" s="77" t="s">
        <v>3</v>
      </c>
      <c r="C65" s="79" t="s">
        <v>93</v>
      </c>
      <c r="D65" s="79"/>
      <c r="E65" s="116"/>
      <c r="F65" s="116"/>
      <c r="G65" s="10" t="str">
        <f t="shared" si="0"/>
        <v>AccountTitles[TempEq]</v>
      </c>
    </row>
    <row r="66" spans="1:9" hidden="1">
      <c r="A66" s="77"/>
      <c r="B66" s="77" t="s">
        <v>0</v>
      </c>
      <c r="C66" s="79"/>
      <c r="D66" s="79" t="s">
        <v>8</v>
      </c>
      <c r="E66" s="116"/>
      <c r="F66" s="116"/>
      <c r="G66" s="10" t="str">
        <f t="shared" si="0"/>
        <v>AccountTitles[Asset]</v>
      </c>
      <c r="I66" s="17"/>
    </row>
    <row r="67" spans="1:9" hidden="1">
      <c r="A67" s="77"/>
      <c r="B67" s="77" t="s">
        <v>0</v>
      </c>
      <c r="C67" s="79"/>
      <c r="D67" s="79" t="s">
        <v>12</v>
      </c>
      <c r="E67" s="116"/>
      <c r="F67" s="116"/>
      <c r="G67" s="10" t="str">
        <f t="shared" ref="G67:G130" si="1">"AccountTitles["&amp;B67&amp;"]"</f>
        <v>AccountTitles[Asset]</v>
      </c>
    </row>
    <row r="68" spans="1:9" hidden="1">
      <c r="A68" s="77"/>
      <c r="B68" s="77" t="s">
        <v>0</v>
      </c>
      <c r="C68" s="79"/>
      <c r="D68" s="79" t="s">
        <v>94</v>
      </c>
      <c r="E68" s="116"/>
      <c r="F68" s="116"/>
      <c r="G68" s="10" t="str">
        <f t="shared" si="1"/>
        <v>AccountTitles[Asset]</v>
      </c>
    </row>
    <row r="69" spans="1:9" hidden="1">
      <c r="A69" s="77"/>
      <c r="B69" s="77" t="s">
        <v>0</v>
      </c>
      <c r="C69" s="79"/>
      <c r="D69" s="79" t="s">
        <v>15</v>
      </c>
      <c r="E69" s="116"/>
      <c r="F69" s="116"/>
      <c r="G69" s="10" t="str">
        <f t="shared" si="1"/>
        <v>AccountTitles[Asset]</v>
      </c>
      <c r="I69" s="17"/>
    </row>
    <row r="70" spans="1:9" hidden="1">
      <c r="A70" s="77"/>
      <c r="B70" s="77" t="s">
        <v>0</v>
      </c>
      <c r="C70" s="79"/>
      <c r="D70" s="79" t="s">
        <v>83</v>
      </c>
      <c r="E70" s="116"/>
      <c r="F70" s="116"/>
      <c r="G70" s="10" t="str">
        <f t="shared" si="1"/>
        <v>AccountTitles[Asset]</v>
      </c>
    </row>
    <row r="71" spans="1:9" hidden="1">
      <c r="A71" s="77"/>
      <c r="B71" s="77" t="s">
        <v>0</v>
      </c>
      <c r="C71" s="79"/>
      <c r="D71" s="79" t="s">
        <v>87</v>
      </c>
      <c r="E71" s="116"/>
      <c r="F71" s="116"/>
      <c r="G71" s="10" t="str">
        <f t="shared" si="1"/>
        <v>AccountTitles[Asset]</v>
      </c>
    </row>
    <row r="72" spans="1:9" hidden="1">
      <c r="A72" s="77"/>
      <c r="B72" s="77" t="s">
        <v>3</v>
      </c>
      <c r="C72" s="79"/>
      <c r="D72" s="79" t="s">
        <v>95</v>
      </c>
      <c r="E72" s="116"/>
      <c r="F72" s="116"/>
      <c r="G72" s="10" t="str">
        <f t="shared" si="1"/>
        <v>AccountTitles[TempEq]</v>
      </c>
    </row>
    <row r="73" spans="1:9" hidden="1">
      <c r="E73" s="114"/>
      <c r="F73" s="114"/>
      <c r="G73" s="10" t="str">
        <f t="shared" si="1"/>
        <v>AccountTitles[]</v>
      </c>
      <c r="H73" s="17" t="s">
        <v>96</v>
      </c>
    </row>
    <row r="74" spans="1:9" hidden="1">
      <c r="A74" s="98"/>
      <c r="B74" s="98" t="s">
        <v>2</v>
      </c>
      <c r="C74" s="99" t="s">
        <v>10</v>
      </c>
      <c r="D74" s="99"/>
      <c r="E74" s="117"/>
      <c r="F74" s="117"/>
      <c r="G74" s="10" t="str">
        <f t="shared" si="1"/>
        <v>AccountTitles[Equity]</v>
      </c>
    </row>
    <row r="75" spans="1:9" hidden="1">
      <c r="A75" s="98"/>
      <c r="B75" s="98" t="s">
        <v>1</v>
      </c>
      <c r="C75" s="99"/>
      <c r="D75" s="99" t="s">
        <v>71</v>
      </c>
      <c r="E75" s="117"/>
      <c r="F75" s="117"/>
      <c r="G75" s="10" t="str">
        <f t="shared" si="1"/>
        <v>AccountTitles[Liability]</v>
      </c>
    </row>
    <row r="76" spans="1:9" hidden="1">
      <c r="A76" s="98"/>
      <c r="B76" s="98"/>
      <c r="C76" s="99"/>
      <c r="D76" s="99"/>
      <c r="E76" s="117"/>
      <c r="F76" s="117"/>
      <c r="G76" s="10" t="str">
        <f t="shared" si="1"/>
        <v>AccountTitles[]</v>
      </c>
      <c r="H76" s="17" t="s">
        <v>97</v>
      </c>
    </row>
    <row r="77" spans="1:9" hidden="1">
      <c r="A77" s="98"/>
      <c r="B77" s="98" t="s">
        <v>0</v>
      </c>
      <c r="C77" s="99" t="s">
        <v>78</v>
      </c>
      <c r="D77" s="99"/>
      <c r="E77" s="117"/>
      <c r="F77" s="117"/>
      <c r="G77" s="10" t="str">
        <f t="shared" si="1"/>
        <v>AccountTitles[Asset]</v>
      </c>
    </row>
    <row r="78" spans="1:9" hidden="1">
      <c r="A78" s="98"/>
      <c r="B78" s="98" t="s">
        <v>2</v>
      </c>
      <c r="C78" s="99"/>
      <c r="D78" s="99" t="s">
        <v>98</v>
      </c>
      <c r="E78" s="117"/>
      <c r="F78" s="117"/>
      <c r="G78" s="10" t="str">
        <f t="shared" si="1"/>
        <v>AccountTitles[Equity]</v>
      </c>
    </row>
    <row r="79" spans="1:9" hidden="1">
      <c r="A79" s="98"/>
      <c r="B79" s="98"/>
      <c r="C79" s="99"/>
      <c r="D79" s="99"/>
      <c r="E79" s="117"/>
      <c r="F79" s="117"/>
      <c r="G79" s="10" t="str">
        <f t="shared" si="1"/>
        <v>AccountTitles[]</v>
      </c>
      <c r="H79" s="17" t="s">
        <v>97</v>
      </c>
    </row>
    <row r="80" spans="1:9" hidden="1">
      <c r="A80" s="98"/>
      <c r="B80" s="98" t="s">
        <v>2</v>
      </c>
      <c r="C80" s="99" t="s">
        <v>98</v>
      </c>
      <c r="D80" s="99"/>
      <c r="E80" s="117"/>
      <c r="F80" s="117"/>
      <c r="G80" s="10" t="str">
        <f t="shared" si="1"/>
        <v>AccountTitles[Equity]</v>
      </c>
      <c r="I80" s="17"/>
    </row>
    <row r="81" spans="1:9" hidden="1">
      <c r="A81" s="98"/>
      <c r="B81" s="98" t="s">
        <v>0</v>
      </c>
      <c r="C81" s="99"/>
      <c r="D81" s="99" t="s">
        <v>78</v>
      </c>
      <c r="E81" s="117"/>
      <c r="F81" s="117"/>
      <c r="G81" s="10" t="str">
        <f t="shared" si="1"/>
        <v>AccountTitles[Asset]</v>
      </c>
    </row>
    <row r="82" spans="1:9" hidden="1">
      <c r="A82" s="98"/>
      <c r="B82" s="98"/>
      <c r="C82" s="99"/>
      <c r="D82" s="99"/>
      <c r="E82" s="117"/>
      <c r="F82" s="117"/>
      <c r="G82" s="10" t="str">
        <f t="shared" si="1"/>
        <v>AccountTitles[]</v>
      </c>
      <c r="H82" s="17" t="s">
        <v>99</v>
      </c>
      <c r="I82" s="17"/>
    </row>
    <row r="83" spans="1:9" hidden="1">
      <c r="A83" s="98"/>
      <c r="B83" s="98" t="s">
        <v>0</v>
      </c>
      <c r="C83" s="100" t="s">
        <v>15</v>
      </c>
      <c r="D83" s="100"/>
      <c r="E83" s="118"/>
      <c r="F83" s="118"/>
      <c r="G83" s="10" t="str">
        <f t="shared" si="1"/>
        <v>AccountTitles[Asset]</v>
      </c>
    </row>
    <row r="84" spans="1:9" hidden="1">
      <c r="A84" s="98"/>
      <c r="B84" s="98" t="s">
        <v>0</v>
      </c>
      <c r="C84" s="100"/>
      <c r="D84" s="100" t="s">
        <v>12</v>
      </c>
      <c r="E84" s="118"/>
      <c r="F84" s="118"/>
      <c r="G84" s="10" t="str">
        <f t="shared" si="1"/>
        <v>AccountTitles[Asset]</v>
      </c>
    </row>
    <row r="85" spans="1:9" hidden="1">
      <c r="A85" s="98"/>
      <c r="B85" s="98"/>
      <c r="C85" s="100"/>
      <c r="D85" s="100"/>
      <c r="E85" s="118"/>
      <c r="F85" s="118"/>
      <c r="G85" s="10" t="str">
        <f t="shared" si="1"/>
        <v>AccountTitles[]</v>
      </c>
      <c r="H85" s="17" t="s">
        <v>100</v>
      </c>
    </row>
    <row r="86" spans="1:9" hidden="1">
      <c r="A86" s="98"/>
      <c r="B86" s="98" t="s">
        <v>1</v>
      </c>
      <c r="C86" s="100" t="s">
        <v>69</v>
      </c>
      <c r="D86" s="100"/>
      <c r="E86" s="118"/>
      <c r="F86" s="118"/>
      <c r="G86" s="10" t="str">
        <f t="shared" si="1"/>
        <v>AccountTitles[Liability]</v>
      </c>
      <c r="H86" s="17"/>
    </row>
    <row r="87" spans="1:9" hidden="1">
      <c r="A87" s="98"/>
      <c r="B87" s="98" t="s">
        <v>1</v>
      </c>
      <c r="C87" s="100"/>
      <c r="D87" s="100" t="s">
        <v>65</v>
      </c>
      <c r="E87" s="118"/>
      <c r="F87" s="118"/>
      <c r="G87" s="10" t="str">
        <f t="shared" si="1"/>
        <v>AccountTitles[Liability]</v>
      </c>
    </row>
    <row r="88" spans="1:9" hidden="1">
      <c r="A88" s="98"/>
      <c r="B88" s="98"/>
      <c r="C88" s="100"/>
      <c r="D88" s="100"/>
      <c r="E88" s="118"/>
      <c r="F88" s="118"/>
      <c r="G88" s="10" t="str">
        <f t="shared" si="1"/>
        <v>AccountTitles[]</v>
      </c>
      <c r="H88" s="17" t="s">
        <v>101</v>
      </c>
      <c r="I88" s="17"/>
    </row>
    <row r="89" spans="1:9" hidden="1">
      <c r="A89" s="98"/>
      <c r="B89" s="98" t="s">
        <v>2</v>
      </c>
      <c r="C89" s="100" t="s">
        <v>60</v>
      </c>
      <c r="D89" s="100"/>
      <c r="E89" s="118"/>
      <c r="F89" s="118"/>
      <c r="G89" s="10" t="str">
        <f t="shared" si="1"/>
        <v>AccountTitles[Equity]</v>
      </c>
    </row>
    <row r="90" spans="1:9" hidden="1">
      <c r="A90" s="98"/>
      <c r="B90" s="98" t="s">
        <v>2</v>
      </c>
      <c r="C90" s="100"/>
      <c r="D90" s="100" t="s">
        <v>6</v>
      </c>
      <c r="E90" s="118"/>
      <c r="F90" s="118"/>
      <c r="G90" s="10" t="str">
        <f t="shared" si="1"/>
        <v>AccountTitles[Equity]</v>
      </c>
    </row>
    <row r="91" spans="1:9" hidden="1">
      <c r="A91" s="98"/>
      <c r="B91" s="98" t="s">
        <v>2</v>
      </c>
      <c r="C91" s="100"/>
      <c r="D91" s="100" t="s">
        <v>57</v>
      </c>
      <c r="E91" s="118"/>
      <c r="F91" s="118"/>
      <c r="G91" s="10" t="str">
        <f t="shared" si="1"/>
        <v>AccountTitles[Equity]</v>
      </c>
    </row>
    <row r="92" spans="1:9" hidden="1">
      <c r="A92" s="98"/>
      <c r="B92" s="98"/>
      <c r="C92" s="100"/>
      <c r="D92" s="100"/>
      <c r="E92" s="118"/>
      <c r="F92" s="118"/>
      <c r="G92" s="10" t="str">
        <f t="shared" si="1"/>
        <v>AccountTitles[]</v>
      </c>
      <c r="H92" s="17" t="s">
        <v>102</v>
      </c>
    </row>
    <row r="93" spans="1:9" hidden="1">
      <c r="A93" s="98"/>
      <c r="B93" s="98" t="s">
        <v>1</v>
      </c>
      <c r="C93" s="100" t="s">
        <v>65</v>
      </c>
      <c r="D93" s="100"/>
      <c r="E93" s="118"/>
      <c r="F93" s="118"/>
      <c r="G93" s="10" t="str">
        <f t="shared" si="1"/>
        <v>AccountTitles[Liability]</v>
      </c>
    </row>
    <row r="94" spans="1:9" hidden="1">
      <c r="A94" s="98"/>
      <c r="B94" s="98" t="s">
        <v>2</v>
      </c>
      <c r="C94" s="100"/>
      <c r="D94" s="100" t="s">
        <v>60</v>
      </c>
      <c r="E94" s="118"/>
      <c r="F94" s="118"/>
      <c r="G94" s="10" t="str">
        <f t="shared" si="1"/>
        <v>AccountTitles[Equity]</v>
      </c>
    </row>
    <row r="95" spans="1:9" hidden="1">
      <c r="A95" s="98"/>
      <c r="B95" s="98"/>
      <c r="C95" s="100"/>
      <c r="D95" s="100"/>
      <c r="E95" s="118"/>
      <c r="F95" s="118"/>
      <c r="G95" s="10" t="str">
        <f t="shared" si="1"/>
        <v>AccountTitles[]</v>
      </c>
      <c r="H95" s="17" t="s">
        <v>103</v>
      </c>
    </row>
    <row r="96" spans="1:9" hidden="1">
      <c r="A96" s="98"/>
      <c r="B96" s="98" t="s">
        <v>1</v>
      </c>
      <c r="C96" s="99" t="s">
        <v>69</v>
      </c>
      <c r="D96" s="99"/>
      <c r="E96" s="117"/>
      <c r="F96" s="117"/>
      <c r="G96" s="10" t="str">
        <f t="shared" si="1"/>
        <v>AccountTitles[Liability]</v>
      </c>
    </row>
    <row r="97" spans="1:8" hidden="1">
      <c r="A97" s="98"/>
      <c r="B97" s="98" t="s">
        <v>1</v>
      </c>
      <c r="C97" s="99"/>
      <c r="D97" s="99" t="s">
        <v>69</v>
      </c>
      <c r="E97" s="117"/>
      <c r="F97" s="117"/>
      <c r="G97" s="10" t="str">
        <f t="shared" si="1"/>
        <v>AccountTitles[Liability]</v>
      </c>
    </row>
    <row r="98" spans="1:8" hidden="1">
      <c r="E98" s="114"/>
      <c r="F98" s="114"/>
      <c r="G98" s="10" t="str">
        <f t="shared" si="1"/>
        <v>AccountTitles[]</v>
      </c>
      <c r="H98" s="17" t="s">
        <v>104</v>
      </c>
    </row>
    <row r="99" spans="1:8" hidden="1">
      <c r="A99" s="101"/>
      <c r="B99" s="101" t="s">
        <v>3</v>
      </c>
      <c r="C99" s="102" t="s">
        <v>105</v>
      </c>
      <c r="D99" s="102"/>
      <c r="E99" s="119"/>
      <c r="F99" s="119"/>
      <c r="G99" s="10" t="str">
        <f t="shared" si="1"/>
        <v>AccountTitles[TempEq]</v>
      </c>
      <c r="H99" s="17"/>
    </row>
    <row r="100" spans="1:8" hidden="1">
      <c r="A100" s="101"/>
      <c r="B100" s="101" t="s">
        <v>0</v>
      </c>
      <c r="C100" s="102"/>
      <c r="D100" s="102" t="s">
        <v>15</v>
      </c>
      <c r="E100" s="119"/>
      <c r="F100" s="119"/>
      <c r="G100" s="10" t="str">
        <f t="shared" si="1"/>
        <v>AccountTitles[Asset]</v>
      </c>
    </row>
    <row r="101" spans="1:8" hidden="1">
      <c r="A101" s="101"/>
      <c r="B101" s="101"/>
      <c r="C101" s="102"/>
      <c r="D101" s="102"/>
      <c r="E101" s="119"/>
      <c r="F101" s="119"/>
      <c r="G101" s="10" t="str">
        <f t="shared" si="1"/>
        <v>AccountTitles[]</v>
      </c>
      <c r="H101" s="17" t="s">
        <v>106</v>
      </c>
    </row>
    <row r="102" spans="1:8" hidden="1">
      <c r="A102" s="101"/>
      <c r="B102" s="101" t="s">
        <v>0</v>
      </c>
      <c r="C102" s="102" t="s">
        <v>78</v>
      </c>
      <c r="D102" s="102"/>
      <c r="E102" s="119"/>
      <c r="F102" s="119"/>
      <c r="G102" s="10" t="str">
        <f t="shared" si="1"/>
        <v>AccountTitles[Asset]</v>
      </c>
      <c r="H102" s="17"/>
    </row>
    <row r="103" spans="1:8" hidden="1">
      <c r="A103" s="101"/>
      <c r="B103" s="101" t="s">
        <v>3</v>
      </c>
      <c r="C103" s="102" t="s">
        <v>107</v>
      </c>
      <c r="D103" s="102"/>
      <c r="E103" s="119"/>
      <c r="F103" s="119"/>
      <c r="G103" s="10" t="str">
        <f t="shared" si="1"/>
        <v>AccountTitles[TempEq]</v>
      </c>
      <c r="H103" s="17"/>
    </row>
    <row r="104" spans="1:8" hidden="1">
      <c r="A104" s="101"/>
      <c r="B104" s="101" t="s">
        <v>0</v>
      </c>
      <c r="C104" s="102"/>
      <c r="D104" s="102" t="s">
        <v>78</v>
      </c>
      <c r="E104" s="119"/>
      <c r="F104" s="119"/>
      <c r="G104" s="10" t="str">
        <f t="shared" si="1"/>
        <v>AccountTitles[Asset]</v>
      </c>
    </row>
    <row r="105" spans="1:8" hidden="1">
      <c r="A105" s="101"/>
      <c r="B105" s="101" t="s">
        <v>3</v>
      </c>
      <c r="C105" s="102"/>
      <c r="D105" s="102" t="s">
        <v>108</v>
      </c>
      <c r="E105" s="119"/>
      <c r="F105" s="119"/>
      <c r="G105" s="10" t="str">
        <f t="shared" si="1"/>
        <v>AccountTitles[TempEq]</v>
      </c>
    </row>
    <row r="106" spans="1:8">
      <c r="C106" s="12"/>
      <c r="D106" s="12"/>
      <c r="E106" s="222"/>
      <c r="F106" s="222"/>
      <c r="G106" s="10" t="str">
        <f t="shared" si="1"/>
        <v>AccountTitles[]</v>
      </c>
      <c r="H106" s="17"/>
    </row>
    <row r="107" spans="1:8">
      <c r="A107" s="3">
        <v>1</v>
      </c>
      <c r="B107" s="3" t="s">
        <v>0</v>
      </c>
      <c r="C107" t="s">
        <v>4</v>
      </c>
      <c r="E107" s="223">
        <v>100</v>
      </c>
      <c r="F107" s="223"/>
      <c r="G107" s="10" t="str">
        <f t="shared" si="1"/>
        <v>AccountTitles[Asset]</v>
      </c>
    </row>
    <row r="108" spans="1:8">
      <c r="A108" s="3">
        <v>1</v>
      </c>
      <c r="B108" s="3" t="s">
        <v>0</v>
      </c>
      <c r="C108" t="s">
        <v>8</v>
      </c>
      <c r="E108" s="223">
        <v>30</v>
      </c>
      <c r="F108" s="223"/>
      <c r="G108" s="10" t="str">
        <f t="shared" si="1"/>
        <v>AccountTitles[Asset]</v>
      </c>
    </row>
    <row r="109" spans="1:8">
      <c r="A109" s="3">
        <v>1</v>
      </c>
      <c r="B109" s="3" t="s">
        <v>3</v>
      </c>
      <c r="D109" t="s">
        <v>7</v>
      </c>
      <c r="E109" s="223"/>
      <c r="F109" s="223">
        <v>130</v>
      </c>
      <c r="G109" s="10" t="str">
        <f t="shared" si="1"/>
        <v>AccountTitles[TempEq]</v>
      </c>
      <c r="H109" s="17"/>
    </row>
    <row r="110" spans="1:8">
      <c r="E110" s="223"/>
      <c r="F110" s="223"/>
      <c r="G110" s="10" t="str">
        <f t="shared" si="1"/>
        <v>AccountTitles[]</v>
      </c>
    </row>
    <row r="111" spans="1:8">
      <c r="A111" s="3">
        <v>1</v>
      </c>
      <c r="B111" s="3" t="s">
        <v>0</v>
      </c>
      <c r="C111" t="s">
        <v>4</v>
      </c>
      <c r="E111" s="223"/>
      <c r="F111" s="223"/>
      <c r="G111" s="10" t="str">
        <f t="shared" si="1"/>
        <v>AccountTitles[Asset]</v>
      </c>
    </row>
    <row r="112" spans="1:8">
      <c r="A112" s="3">
        <v>1</v>
      </c>
      <c r="B112" s="3" t="s">
        <v>1</v>
      </c>
      <c r="D112" t="s">
        <v>19</v>
      </c>
      <c r="E112" s="223"/>
      <c r="F112" s="223"/>
      <c r="G112" s="10" t="str">
        <f t="shared" si="1"/>
        <v>AccountTitles[Liability]</v>
      </c>
    </row>
    <row r="113" spans="1:8">
      <c r="E113" s="223"/>
      <c r="F113" s="223"/>
      <c r="G113" s="10" t="str">
        <f t="shared" si="1"/>
        <v>AccountTitles[]</v>
      </c>
    </row>
    <row r="114" spans="1:8">
      <c r="A114" s="3">
        <v>1</v>
      </c>
      <c r="B114" s="3" t="s">
        <v>0</v>
      </c>
      <c r="C114" t="s">
        <v>12</v>
      </c>
      <c r="E114" s="223"/>
      <c r="F114" s="223"/>
      <c r="G114" s="10" t="str">
        <f t="shared" si="1"/>
        <v>AccountTitles[Asset]</v>
      </c>
    </row>
    <row r="115" spans="1:8">
      <c r="A115" s="3">
        <v>1</v>
      </c>
      <c r="B115" s="3" t="s">
        <v>0</v>
      </c>
      <c r="D115" t="s">
        <v>4</v>
      </c>
      <c r="E115" s="223"/>
      <c r="F115" s="223"/>
      <c r="G115" s="10" t="str">
        <f t="shared" si="1"/>
        <v>AccountTitles[Asset]</v>
      </c>
    </row>
    <row r="116" spans="1:8">
      <c r="E116" s="223"/>
      <c r="F116" s="223"/>
      <c r="G116" s="10" t="str">
        <f t="shared" si="1"/>
        <v>AccountTitles[]</v>
      </c>
    </row>
    <row r="117" spans="1:8">
      <c r="A117" s="3">
        <v>1</v>
      </c>
      <c r="B117" s="3" t="s">
        <v>3</v>
      </c>
      <c r="C117" t="s">
        <v>11</v>
      </c>
      <c r="E117" s="223"/>
      <c r="F117" s="223"/>
      <c r="G117" s="10" t="str">
        <f t="shared" si="1"/>
        <v>AccountTitles[TempEq]</v>
      </c>
    </row>
    <row r="118" spans="1:8">
      <c r="A118" s="3">
        <v>1</v>
      </c>
      <c r="B118" s="3" t="s">
        <v>0</v>
      </c>
      <c r="D118" t="s">
        <v>12</v>
      </c>
      <c r="E118" s="223"/>
      <c r="F118" s="223"/>
      <c r="G118" s="10" t="str">
        <f t="shared" si="1"/>
        <v>AccountTitles[Asset]</v>
      </c>
    </row>
    <row r="119" spans="1:8">
      <c r="E119" s="223"/>
      <c r="F119" s="223"/>
      <c r="G119" s="10" t="str">
        <f t="shared" si="1"/>
        <v>AccountTitles[]</v>
      </c>
    </row>
    <row r="120" spans="1:8">
      <c r="A120" s="3">
        <v>1</v>
      </c>
      <c r="B120" s="3" t="s">
        <v>0</v>
      </c>
      <c r="C120" t="s">
        <v>15</v>
      </c>
      <c r="E120" s="223"/>
      <c r="F120" s="223"/>
      <c r="G120" s="10" t="str">
        <f t="shared" si="1"/>
        <v>AccountTitles[Asset]</v>
      </c>
    </row>
    <row r="121" spans="1:8">
      <c r="A121" s="3">
        <v>1</v>
      </c>
      <c r="B121" s="3" t="s">
        <v>0</v>
      </c>
      <c r="D121" t="s">
        <v>4</v>
      </c>
      <c r="E121" s="223"/>
      <c r="F121" s="223"/>
      <c r="G121" s="10" t="str">
        <f t="shared" si="1"/>
        <v>AccountTitles[Asset]</v>
      </c>
      <c r="H121" s="17"/>
    </row>
    <row r="122" spans="1:8">
      <c r="E122" s="223"/>
      <c r="F122" s="223"/>
      <c r="G122" s="10" t="str">
        <f t="shared" si="1"/>
        <v>AccountTitles[]</v>
      </c>
    </row>
    <row r="123" spans="1:8">
      <c r="A123" s="3">
        <v>1</v>
      </c>
      <c r="B123" s="3" t="s">
        <v>3</v>
      </c>
      <c r="C123" s="12" t="s">
        <v>14</v>
      </c>
      <c r="D123" s="12"/>
      <c r="E123" s="222"/>
      <c r="F123" s="222"/>
      <c r="G123" s="10" t="str">
        <f t="shared" si="1"/>
        <v>AccountTitles[TempEq]</v>
      </c>
    </row>
    <row r="124" spans="1:8">
      <c r="A124" s="3">
        <v>1</v>
      </c>
      <c r="B124" s="3" t="s">
        <v>0</v>
      </c>
      <c r="C124" s="12"/>
      <c r="D124" s="12" t="s">
        <v>18</v>
      </c>
      <c r="E124" s="222"/>
      <c r="F124" s="222"/>
      <c r="G124" s="10" t="str">
        <f t="shared" si="1"/>
        <v>AccountTitles[Asset]</v>
      </c>
    </row>
    <row r="125" spans="1:8">
      <c r="C125" s="12"/>
      <c r="D125" s="12"/>
      <c r="E125" s="222"/>
      <c r="F125" s="222"/>
      <c r="G125" s="10" t="str">
        <f t="shared" si="1"/>
        <v>AccountTitles[]</v>
      </c>
    </row>
    <row r="126" spans="1:8">
      <c r="A126" s="3">
        <v>1</v>
      </c>
      <c r="B126" s="3" t="s">
        <v>3</v>
      </c>
      <c r="C126" s="12" t="s">
        <v>14</v>
      </c>
      <c r="D126" s="12"/>
      <c r="E126" s="222">
        <v>50</v>
      </c>
      <c r="F126" s="222"/>
      <c r="G126" s="10" t="str">
        <f t="shared" si="1"/>
        <v>AccountTitles[TempEq]</v>
      </c>
    </row>
    <row r="127" spans="1:8">
      <c r="A127" s="3">
        <v>1</v>
      </c>
      <c r="B127" s="3" t="s">
        <v>0</v>
      </c>
      <c r="C127" s="12"/>
      <c r="D127" s="12" t="s">
        <v>4</v>
      </c>
      <c r="E127" s="222"/>
      <c r="F127" s="222">
        <v>50</v>
      </c>
      <c r="G127" s="10" t="str">
        <f t="shared" si="1"/>
        <v>AccountTitles[Asset]</v>
      </c>
    </row>
    <row r="128" spans="1:8">
      <c r="C128" s="12"/>
      <c r="D128" s="12"/>
      <c r="E128" s="222"/>
      <c r="F128" s="222"/>
      <c r="G128" s="10" t="str">
        <f t="shared" si="1"/>
        <v>AccountTitles[]</v>
      </c>
    </row>
    <row r="129" spans="1:9">
      <c r="A129" s="3">
        <v>1</v>
      </c>
      <c r="B129" s="3" t="s">
        <v>3</v>
      </c>
      <c r="C129" s="12" t="s">
        <v>14</v>
      </c>
      <c r="D129" s="12"/>
      <c r="E129" s="222"/>
      <c r="F129" s="222"/>
      <c r="G129" s="10" t="str">
        <f t="shared" si="1"/>
        <v>AccountTitles[TempEq]</v>
      </c>
    </row>
    <row r="130" spans="1:9">
      <c r="A130" s="3">
        <v>1</v>
      </c>
      <c r="B130" s="3" t="s">
        <v>1</v>
      </c>
      <c r="C130" s="12"/>
      <c r="D130" s="12" t="s">
        <v>9</v>
      </c>
      <c r="E130" s="222"/>
      <c r="F130" s="222"/>
      <c r="G130" s="10" t="str">
        <f t="shared" si="1"/>
        <v>AccountTitles[Liability]</v>
      </c>
    </row>
    <row r="131" spans="1:9">
      <c r="C131" s="12"/>
      <c r="D131" s="12"/>
      <c r="E131" s="222"/>
      <c r="F131" s="222"/>
      <c r="G131" s="10" t="str">
        <f t="shared" ref="G131:G194" si="2">"AccountTitles["&amp;B131&amp;"]"</f>
        <v>AccountTitles[]</v>
      </c>
    </row>
    <row r="132" spans="1:9">
      <c r="A132" s="3">
        <v>1</v>
      </c>
      <c r="B132" s="3" t="s">
        <v>3</v>
      </c>
      <c r="C132" s="12" t="s">
        <v>17</v>
      </c>
      <c r="D132" s="12"/>
      <c r="E132" s="222">
        <v>16</v>
      </c>
      <c r="F132" s="222"/>
      <c r="G132" s="10" t="str">
        <f t="shared" si="2"/>
        <v>AccountTitles[TempEq]</v>
      </c>
    </row>
    <row r="133" spans="1:9">
      <c r="A133" s="3">
        <v>1</v>
      </c>
      <c r="B133" s="3" t="s">
        <v>0</v>
      </c>
      <c r="C133" s="12" t="s">
        <v>20</v>
      </c>
      <c r="D133" s="12"/>
      <c r="E133" s="222"/>
      <c r="F133" s="222"/>
      <c r="G133" s="10" t="str">
        <f t="shared" si="2"/>
        <v>AccountTitles[Asset]</v>
      </c>
      <c r="H133" s="17"/>
    </row>
    <row r="134" spans="1:9">
      <c r="A134" s="3">
        <v>1</v>
      </c>
      <c r="B134" s="3" t="s">
        <v>1</v>
      </c>
      <c r="C134" s="12"/>
      <c r="D134" s="12" t="s">
        <v>13</v>
      </c>
      <c r="E134" s="222"/>
      <c r="F134" s="222">
        <v>10</v>
      </c>
      <c r="G134" s="10" t="str">
        <f t="shared" si="2"/>
        <v>AccountTitles[Liability]</v>
      </c>
    </row>
    <row r="135" spans="1:9">
      <c r="A135" s="3">
        <v>1</v>
      </c>
      <c r="B135" s="3" t="s">
        <v>1</v>
      </c>
      <c r="C135" s="12"/>
      <c r="D135" s="12" t="s">
        <v>16</v>
      </c>
      <c r="E135" s="222"/>
      <c r="F135" s="222">
        <v>6</v>
      </c>
      <c r="G135" s="10" t="str">
        <f t="shared" si="2"/>
        <v>AccountTitles[Liability]</v>
      </c>
    </row>
    <row r="136" spans="1:9">
      <c r="C136" s="12"/>
      <c r="D136" s="12"/>
      <c r="E136" s="222"/>
      <c r="F136" s="222"/>
      <c r="G136" s="10" t="str">
        <f t="shared" si="2"/>
        <v>AccountTitles[]</v>
      </c>
    </row>
    <row r="137" spans="1:9">
      <c r="A137" s="3" t="s">
        <v>109</v>
      </c>
      <c r="B137" s="3" t="s">
        <v>3</v>
      </c>
      <c r="C137" s="12" t="s">
        <v>7</v>
      </c>
      <c r="D137" s="12"/>
      <c r="E137" s="222"/>
      <c r="F137" s="222"/>
      <c r="G137" s="10" t="str">
        <f t="shared" si="2"/>
        <v>AccountTitles[TempEq]</v>
      </c>
    </row>
    <row r="138" spans="1:9">
      <c r="A138" s="3" t="s">
        <v>109</v>
      </c>
      <c r="B138" s="3" t="s">
        <v>3</v>
      </c>
      <c r="C138" s="12"/>
      <c r="D138" s="12" t="s">
        <v>11</v>
      </c>
      <c r="E138" s="222"/>
      <c r="F138" s="222"/>
      <c r="G138" s="10" t="str">
        <f t="shared" si="2"/>
        <v>AccountTitles[TempEq]</v>
      </c>
    </row>
    <row r="139" spans="1:9">
      <c r="A139" s="3" t="s">
        <v>109</v>
      </c>
      <c r="B139" s="3" t="s">
        <v>3</v>
      </c>
      <c r="C139" s="12"/>
      <c r="D139" s="12" t="s">
        <v>14</v>
      </c>
      <c r="E139" s="222"/>
      <c r="F139" s="222"/>
      <c r="G139" s="10" t="str">
        <f t="shared" si="2"/>
        <v>AccountTitles[TempEq]</v>
      </c>
    </row>
    <row r="140" spans="1:9">
      <c r="A140" s="3" t="s">
        <v>109</v>
      </c>
      <c r="B140" s="3" t="s">
        <v>3</v>
      </c>
      <c r="C140" s="12"/>
      <c r="D140" s="12" t="s">
        <v>17</v>
      </c>
      <c r="E140" s="222"/>
      <c r="F140" s="222">
        <v>16</v>
      </c>
      <c r="G140" s="10" t="str">
        <f t="shared" si="2"/>
        <v>AccountTitles[TempEq]</v>
      </c>
    </row>
    <row r="141" spans="1:9">
      <c r="A141" s="3" t="s">
        <v>109</v>
      </c>
      <c r="B141" s="3" t="s">
        <v>2</v>
      </c>
      <c r="C141" s="12"/>
      <c r="D141" s="12" t="s">
        <v>10</v>
      </c>
      <c r="E141" s="222"/>
      <c r="F141" s="222"/>
      <c r="G141" s="10" t="str">
        <f t="shared" si="2"/>
        <v>AccountTitles[Equity]</v>
      </c>
    </row>
    <row r="142" spans="1:9">
      <c r="C142" s="12"/>
      <c r="D142" s="12"/>
      <c r="E142" s="222"/>
      <c r="F142" s="222"/>
      <c r="G142" s="10" t="str">
        <f t="shared" si="2"/>
        <v>AccountTitles[]</v>
      </c>
      <c r="H142" s="17"/>
    </row>
    <row r="143" spans="1:9">
      <c r="A143" s="3">
        <v>2</v>
      </c>
      <c r="B143" s="3" t="s">
        <v>0</v>
      </c>
      <c r="C143" s="12" t="s">
        <v>4</v>
      </c>
      <c r="D143" s="12"/>
      <c r="E143" s="222">
        <v>20</v>
      </c>
      <c r="F143" s="222"/>
      <c r="G143" s="10" t="str">
        <f t="shared" si="2"/>
        <v>AccountTitles[Asset]</v>
      </c>
      <c r="I143" s="17"/>
    </row>
    <row r="144" spans="1:9">
      <c r="A144" s="3">
        <v>2</v>
      </c>
      <c r="B144" s="3" t="s">
        <v>0</v>
      </c>
      <c r="C144" s="12"/>
      <c r="D144" s="12" t="s">
        <v>8</v>
      </c>
      <c r="E144" s="222"/>
      <c r="F144" s="222">
        <v>20</v>
      </c>
      <c r="G144" s="10" t="str">
        <f t="shared" si="2"/>
        <v>AccountTitles[Asset]</v>
      </c>
    </row>
    <row r="145" spans="1:9">
      <c r="C145" s="12"/>
      <c r="D145" s="12"/>
      <c r="E145" s="222"/>
      <c r="F145" s="222"/>
      <c r="G145" s="10" t="str">
        <f t="shared" si="2"/>
        <v>AccountTitles[]</v>
      </c>
    </row>
    <row r="146" spans="1:9">
      <c r="A146" s="3">
        <v>2</v>
      </c>
      <c r="B146" s="3" t="s">
        <v>1</v>
      </c>
      <c r="C146" s="12" t="s">
        <v>19</v>
      </c>
      <c r="D146" s="12"/>
      <c r="E146" s="222"/>
      <c r="F146" s="222"/>
      <c r="G146" s="10" t="str">
        <f t="shared" si="2"/>
        <v>AccountTitles[Liability]</v>
      </c>
      <c r="I146" s="17"/>
    </row>
    <row r="147" spans="1:9">
      <c r="A147" s="3">
        <v>2</v>
      </c>
      <c r="B147" s="3" t="s">
        <v>3</v>
      </c>
      <c r="C147" s="12"/>
      <c r="D147" s="12" t="s">
        <v>7</v>
      </c>
      <c r="E147" s="222"/>
      <c r="F147" s="222"/>
      <c r="G147" s="10" t="str">
        <f t="shared" si="2"/>
        <v>AccountTitles[TempEq]</v>
      </c>
    </row>
    <row r="148" spans="1:9">
      <c r="C148" s="12"/>
      <c r="D148" s="12"/>
      <c r="E148" s="222"/>
      <c r="F148" s="222"/>
      <c r="G148" s="10" t="str">
        <f t="shared" si="2"/>
        <v>AccountTitles[]</v>
      </c>
    </row>
    <row r="149" spans="1:9">
      <c r="A149" s="3">
        <v>2</v>
      </c>
      <c r="B149" s="3" t="s">
        <v>3</v>
      </c>
      <c r="C149" s="12" t="s">
        <v>11</v>
      </c>
      <c r="D149" s="12"/>
      <c r="E149" s="222"/>
      <c r="F149" s="222"/>
      <c r="G149" s="10" t="str">
        <f t="shared" si="2"/>
        <v>AccountTitles[TempEq]</v>
      </c>
    </row>
    <row r="150" spans="1:9">
      <c r="A150" s="3">
        <v>2</v>
      </c>
      <c r="B150" s="3" t="s">
        <v>0</v>
      </c>
      <c r="C150" s="12"/>
      <c r="D150" s="12" t="s">
        <v>12</v>
      </c>
      <c r="E150" s="222"/>
      <c r="F150" s="222"/>
      <c r="G150" s="10" t="str">
        <f t="shared" si="2"/>
        <v>AccountTitles[Asset]</v>
      </c>
    </row>
    <row r="151" spans="1:9">
      <c r="C151" s="12"/>
      <c r="D151" s="12"/>
      <c r="E151" s="222"/>
      <c r="F151" s="222"/>
      <c r="G151" s="10" t="str">
        <f t="shared" si="2"/>
        <v>AccountTitles[]</v>
      </c>
    </row>
    <row r="152" spans="1:9">
      <c r="A152" s="3">
        <v>2</v>
      </c>
      <c r="B152" s="3" t="s">
        <v>3</v>
      </c>
      <c r="C152" s="12" t="s">
        <v>14</v>
      </c>
      <c r="D152" s="12"/>
      <c r="E152" s="222"/>
      <c r="F152" s="222"/>
      <c r="G152" s="10" t="str">
        <f t="shared" si="2"/>
        <v>AccountTitles[TempEq]</v>
      </c>
      <c r="I152" s="17"/>
    </row>
    <row r="153" spans="1:9">
      <c r="A153" s="3">
        <v>2</v>
      </c>
      <c r="B153" s="3" t="s">
        <v>0</v>
      </c>
      <c r="C153" s="12"/>
      <c r="D153" s="12" t="s">
        <v>18</v>
      </c>
      <c r="E153" s="222"/>
      <c r="F153" s="222"/>
      <c r="G153" s="10" t="str">
        <f t="shared" si="2"/>
        <v>AccountTitles[Asset]</v>
      </c>
    </row>
    <row r="154" spans="1:9">
      <c r="C154" s="12"/>
      <c r="D154" s="12"/>
      <c r="E154" s="222"/>
      <c r="F154" s="222"/>
      <c r="G154" s="10" t="str">
        <f t="shared" si="2"/>
        <v>AccountTitles[]</v>
      </c>
    </row>
    <row r="155" spans="1:9">
      <c r="A155" s="3">
        <v>2</v>
      </c>
      <c r="B155" s="3" t="s">
        <v>1</v>
      </c>
      <c r="C155" s="12" t="s">
        <v>9</v>
      </c>
      <c r="D155" s="12"/>
      <c r="E155" s="222"/>
      <c r="F155" s="222"/>
      <c r="G155" s="10" t="str">
        <f t="shared" si="2"/>
        <v>AccountTitles[Liability]</v>
      </c>
    </row>
    <row r="156" spans="1:9">
      <c r="A156" s="3">
        <v>2</v>
      </c>
      <c r="B156" s="3" t="s">
        <v>0</v>
      </c>
      <c r="C156" s="12"/>
      <c r="D156" s="12" t="s">
        <v>4</v>
      </c>
      <c r="E156" s="222"/>
      <c r="F156" s="222"/>
      <c r="G156" s="10" t="str">
        <f t="shared" si="2"/>
        <v>AccountTitles[Asset]</v>
      </c>
    </row>
    <row r="157" spans="1:9">
      <c r="C157" s="12"/>
      <c r="D157" s="12"/>
      <c r="E157" s="222"/>
      <c r="F157" s="222"/>
      <c r="G157" s="10" t="str">
        <f t="shared" si="2"/>
        <v>AccountTitles[]</v>
      </c>
      <c r="H157" s="17"/>
    </row>
    <row r="158" spans="1:9">
      <c r="A158" s="3">
        <v>2</v>
      </c>
      <c r="B158" s="3" t="s">
        <v>1</v>
      </c>
      <c r="C158" s="12" t="s">
        <v>13</v>
      </c>
      <c r="D158" s="12"/>
      <c r="E158" s="222"/>
      <c r="F158" s="222"/>
      <c r="G158" s="10" t="str">
        <f t="shared" si="2"/>
        <v>AccountTitles[Liability]</v>
      </c>
      <c r="I158" s="17"/>
    </row>
    <row r="159" spans="1:9">
      <c r="A159" s="3">
        <v>2</v>
      </c>
      <c r="B159" s="3" t="s">
        <v>0</v>
      </c>
      <c r="C159" s="12"/>
      <c r="D159" s="12" t="s">
        <v>4</v>
      </c>
      <c r="E159" s="222"/>
      <c r="F159" s="222"/>
      <c r="G159" s="10" t="str">
        <f t="shared" si="2"/>
        <v>AccountTitles[Asset]</v>
      </c>
    </row>
    <row r="160" spans="1:9">
      <c r="C160" s="12"/>
      <c r="D160" s="12"/>
      <c r="E160" s="222"/>
      <c r="F160" s="222"/>
      <c r="G160" s="10" t="str">
        <f t="shared" si="2"/>
        <v>AccountTitles[]</v>
      </c>
      <c r="I160" s="17"/>
    </row>
    <row r="161" spans="1:8">
      <c r="A161" s="3">
        <v>2</v>
      </c>
      <c r="B161" s="3" t="s">
        <v>3</v>
      </c>
      <c r="C161" s="12" t="s">
        <v>17</v>
      </c>
      <c r="D161" s="12"/>
      <c r="E161" s="222"/>
      <c r="F161" s="222"/>
      <c r="G161" s="10" t="str">
        <f t="shared" si="2"/>
        <v>AccountTitles[TempEq]</v>
      </c>
    </row>
    <row r="162" spans="1:8">
      <c r="A162" s="3">
        <v>2</v>
      </c>
      <c r="B162" s="3" t="s">
        <v>1</v>
      </c>
      <c r="C162" s="12" t="s">
        <v>16</v>
      </c>
      <c r="D162" s="12"/>
      <c r="E162" s="222"/>
      <c r="F162" s="222"/>
      <c r="G162" s="10" t="str">
        <f t="shared" si="2"/>
        <v>AccountTitles[Liability]</v>
      </c>
    </row>
    <row r="163" spans="1:8">
      <c r="A163" s="3">
        <v>2</v>
      </c>
      <c r="B163" s="3" t="s">
        <v>0</v>
      </c>
      <c r="C163" s="12"/>
      <c r="D163" s="12" t="s">
        <v>20</v>
      </c>
      <c r="E163" s="222"/>
      <c r="F163" s="222"/>
      <c r="G163" s="10" t="str">
        <f t="shared" si="2"/>
        <v>AccountTitles[Asset]</v>
      </c>
      <c r="H163" s="17"/>
    </row>
    <row r="164" spans="1:8">
      <c r="A164" s="3">
        <v>2</v>
      </c>
      <c r="B164" s="3" t="s">
        <v>1</v>
      </c>
      <c r="C164" s="12"/>
      <c r="D164" s="12" t="s">
        <v>13</v>
      </c>
      <c r="E164" s="222"/>
      <c r="F164" s="222"/>
      <c r="G164" s="10" t="str">
        <f t="shared" si="2"/>
        <v>AccountTitles[Liability]</v>
      </c>
    </row>
    <row r="165" spans="1:8">
      <c r="C165" s="12"/>
      <c r="D165" s="12"/>
      <c r="E165" s="222"/>
      <c r="F165" s="222"/>
      <c r="G165" s="10" t="str">
        <f t="shared" si="2"/>
        <v>AccountTitles[]</v>
      </c>
    </row>
    <row r="166" spans="1:8">
      <c r="A166" s="3" t="s">
        <v>110</v>
      </c>
      <c r="B166" s="3" t="s">
        <v>3</v>
      </c>
      <c r="C166" s="12" t="s">
        <v>7</v>
      </c>
      <c r="D166" s="12"/>
      <c r="E166" s="222"/>
      <c r="F166" s="222"/>
      <c r="G166" s="10" t="str">
        <f t="shared" si="2"/>
        <v>AccountTitles[TempEq]</v>
      </c>
    </row>
    <row r="167" spans="1:8">
      <c r="A167" s="3" t="s">
        <v>110</v>
      </c>
      <c r="B167" s="3" t="s">
        <v>3</v>
      </c>
      <c r="C167" s="12"/>
      <c r="D167" s="12" t="s">
        <v>11</v>
      </c>
      <c r="E167" s="222"/>
      <c r="F167" s="222"/>
      <c r="G167" s="10" t="str">
        <f t="shared" si="2"/>
        <v>AccountTitles[TempEq]</v>
      </c>
    </row>
    <row r="168" spans="1:8">
      <c r="A168" s="3" t="s">
        <v>110</v>
      </c>
      <c r="B168" s="3" t="s">
        <v>3</v>
      </c>
      <c r="C168" s="12"/>
      <c r="D168" s="12" t="s">
        <v>14</v>
      </c>
      <c r="E168" s="222"/>
      <c r="F168" s="222"/>
      <c r="G168" s="10" t="str">
        <f t="shared" si="2"/>
        <v>AccountTitles[TempEq]</v>
      </c>
    </row>
    <row r="169" spans="1:8">
      <c r="A169" s="3" t="s">
        <v>110</v>
      </c>
      <c r="B169" s="3" t="s">
        <v>3</v>
      </c>
      <c r="C169" s="12"/>
      <c r="D169" s="12" t="s">
        <v>17</v>
      </c>
      <c r="E169" s="222"/>
      <c r="F169" s="222">
        <v>16</v>
      </c>
      <c r="G169" s="10" t="str">
        <f t="shared" si="2"/>
        <v>AccountTitles[TempEq]</v>
      </c>
      <c r="H169" s="17"/>
    </row>
    <row r="170" spans="1:8">
      <c r="A170" s="3" t="s">
        <v>110</v>
      </c>
      <c r="B170" s="3" t="s">
        <v>2</v>
      </c>
      <c r="C170" s="12"/>
      <c r="D170" s="12" t="s">
        <v>10</v>
      </c>
      <c r="E170" s="222"/>
      <c r="F170" s="222"/>
      <c r="G170" s="10" t="str">
        <f t="shared" si="2"/>
        <v>AccountTitles[Equity]</v>
      </c>
    </row>
    <row r="171" spans="1:8">
      <c r="C171" s="12"/>
      <c r="D171" s="12"/>
      <c r="E171" s="222"/>
      <c r="F171" s="222"/>
      <c r="G171" s="10" t="str">
        <f t="shared" si="2"/>
        <v>AccountTitles[]</v>
      </c>
    </row>
    <row r="172" spans="1:8">
      <c r="A172" s="3">
        <v>3</v>
      </c>
      <c r="B172" s="3" t="s">
        <v>0</v>
      </c>
      <c r="C172" s="12" t="s">
        <v>4</v>
      </c>
      <c r="D172" s="12"/>
      <c r="E172" s="222">
        <v>10</v>
      </c>
      <c r="F172" s="222"/>
      <c r="G172" s="10" t="str">
        <f t="shared" si="2"/>
        <v>AccountTitles[Asset]</v>
      </c>
    </row>
    <row r="173" spans="1:8">
      <c r="A173" s="3">
        <v>3</v>
      </c>
      <c r="B173" s="3" t="s">
        <v>0</v>
      </c>
      <c r="C173" s="12"/>
      <c r="D173" s="12" t="s">
        <v>8</v>
      </c>
      <c r="E173" s="222"/>
      <c r="F173" s="222">
        <v>10</v>
      </c>
      <c r="G173" s="10" t="str">
        <f t="shared" si="2"/>
        <v>AccountTitles[Asset]</v>
      </c>
    </row>
    <row r="174" spans="1:8">
      <c r="C174" s="12"/>
      <c r="D174" s="12"/>
      <c r="E174" s="222"/>
      <c r="F174" s="222"/>
      <c r="G174" s="10" t="str">
        <f t="shared" si="2"/>
        <v>AccountTitles[]</v>
      </c>
    </row>
    <row r="175" spans="1:8">
      <c r="A175" s="3">
        <v>3</v>
      </c>
      <c r="B175" s="3" t="s">
        <v>1</v>
      </c>
      <c r="C175" s="12" t="s">
        <v>19</v>
      </c>
      <c r="D175" s="12"/>
      <c r="E175" s="222"/>
      <c r="F175" s="222"/>
      <c r="G175" s="10" t="str">
        <f t="shared" si="2"/>
        <v>AccountTitles[Liability]</v>
      </c>
    </row>
    <row r="176" spans="1:8">
      <c r="A176" s="3">
        <v>3</v>
      </c>
      <c r="B176" s="3" t="s">
        <v>3</v>
      </c>
      <c r="C176" s="12"/>
      <c r="D176" s="12" t="s">
        <v>7</v>
      </c>
      <c r="E176" s="222"/>
      <c r="F176" s="222"/>
      <c r="G176" s="10" t="str">
        <f t="shared" si="2"/>
        <v>AccountTitles[TempEq]</v>
      </c>
    </row>
    <row r="177" spans="1:7">
      <c r="C177" s="12"/>
      <c r="D177" s="12"/>
      <c r="E177" s="222"/>
      <c r="F177" s="222"/>
      <c r="G177" s="10" t="str">
        <f t="shared" si="2"/>
        <v>AccountTitles[]</v>
      </c>
    </row>
    <row r="178" spans="1:7">
      <c r="A178" s="3">
        <v>3</v>
      </c>
      <c r="B178" s="3" t="s">
        <v>3</v>
      </c>
      <c r="C178" s="12" t="s">
        <v>14</v>
      </c>
      <c r="D178" s="12"/>
      <c r="E178" s="222"/>
      <c r="F178" s="222"/>
      <c r="G178" s="10" t="str">
        <f t="shared" si="2"/>
        <v>AccountTitles[TempEq]</v>
      </c>
    </row>
    <row r="179" spans="1:7">
      <c r="A179" s="3">
        <v>3</v>
      </c>
      <c r="B179" s="3" t="s">
        <v>0</v>
      </c>
      <c r="C179" s="12"/>
      <c r="D179" s="12" t="s">
        <v>18</v>
      </c>
      <c r="E179" s="222"/>
      <c r="F179" s="222"/>
      <c r="G179" s="10" t="str">
        <f t="shared" si="2"/>
        <v>AccountTitles[Asset]</v>
      </c>
    </row>
    <row r="180" spans="1:7">
      <c r="C180" s="12"/>
      <c r="D180" s="12"/>
      <c r="E180" s="222"/>
      <c r="F180" s="222"/>
      <c r="G180" s="10" t="str">
        <f t="shared" si="2"/>
        <v>AccountTitles[]</v>
      </c>
    </row>
    <row r="181" spans="1:7">
      <c r="A181" s="3">
        <v>3</v>
      </c>
      <c r="B181" s="3" t="s">
        <v>1</v>
      </c>
      <c r="C181" s="12" t="s">
        <v>13</v>
      </c>
      <c r="D181" s="12"/>
      <c r="E181" s="222"/>
      <c r="F181" s="222"/>
      <c r="G181" s="10" t="str">
        <f t="shared" si="2"/>
        <v>AccountTitles[Liability]</v>
      </c>
    </row>
    <row r="182" spans="1:7">
      <c r="A182" s="3">
        <v>3</v>
      </c>
      <c r="B182" s="3" t="s">
        <v>0</v>
      </c>
      <c r="C182" s="12"/>
      <c r="D182" s="12" t="s">
        <v>4</v>
      </c>
      <c r="E182" s="222"/>
      <c r="F182" s="222"/>
      <c r="G182" s="10" t="str">
        <f t="shared" si="2"/>
        <v>AccountTitles[Asset]</v>
      </c>
    </row>
    <row r="183" spans="1:7">
      <c r="C183" s="12"/>
      <c r="D183" s="12"/>
      <c r="E183" s="222"/>
      <c r="F183" s="222"/>
      <c r="G183" s="10" t="str">
        <f t="shared" si="2"/>
        <v>AccountTitles[]</v>
      </c>
    </row>
    <row r="184" spans="1:7">
      <c r="A184" s="3">
        <v>3</v>
      </c>
      <c r="B184" s="3" t="s">
        <v>3</v>
      </c>
      <c r="C184" s="12" t="s">
        <v>17</v>
      </c>
      <c r="D184" s="12"/>
      <c r="E184" s="222"/>
      <c r="F184" s="222"/>
      <c r="G184" s="10" t="str">
        <f t="shared" si="2"/>
        <v>AccountTitles[TempEq]</v>
      </c>
    </row>
    <row r="185" spans="1:7">
      <c r="A185" s="3">
        <v>3</v>
      </c>
      <c r="B185" s="3" t="s">
        <v>1</v>
      </c>
      <c r="C185" s="12" t="s">
        <v>16</v>
      </c>
      <c r="D185" s="12"/>
      <c r="E185" s="222">
        <v>4</v>
      </c>
      <c r="F185" s="222"/>
      <c r="G185" s="10" t="str">
        <f t="shared" si="2"/>
        <v>AccountTitles[Liability]</v>
      </c>
    </row>
    <row r="186" spans="1:7">
      <c r="A186" s="3">
        <v>3</v>
      </c>
      <c r="B186" s="3" t="s">
        <v>0</v>
      </c>
      <c r="C186" s="12"/>
      <c r="D186" s="12" t="s">
        <v>20</v>
      </c>
      <c r="E186" s="222"/>
      <c r="F186" s="222"/>
      <c r="G186" s="10" t="str">
        <f t="shared" si="2"/>
        <v>AccountTitles[Asset]</v>
      </c>
    </row>
    <row r="187" spans="1:7">
      <c r="A187" s="3">
        <v>3</v>
      </c>
      <c r="B187" s="3" t="s">
        <v>1</v>
      </c>
      <c r="C187" s="12"/>
      <c r="D187" s="12" t="s">
        <v>13</v>
      </c>
      <c r="E187" s="222"/>
      <c r="F187" s="222">
        <v>4</v>
      </c>
      <c r="G187" s="10" t="str">
        <f t="shared" si="2"/>
        <v>AccountTitles[Liability]</v>
      </c>
    </row>
    <row r="188" spans="1:7">
      <c r="C188" s="12"/>
      <c r="D188" s="12"/>
      <c r="E188" s="222"/>
      <c r="F188" s="222"/>
      <c r="G188" s="10" t="str">
        <f t="shared" si="2"/>
        <v>AccountTitles[]</v>
      </c>
    </row>
    <row r="189" spans="1:7">
      <c r="A189" s="3">
        <v>3</v>
      </c>
      <c r="B189" s="3" t="s">
        <v>1</v>
      </c>
      <c r="C189" s="12" t="s">
        <v>13</v>
      </c>
      <c r="D189" s="12"/>
      <c r="E189" s="222"/>
      <c r="F189" s="222"/>
      <c r="G189" s="10" t="str">
        <f t="shared" si="2"/>
        <v>AccountTitles[Liability]</v>
      </c>
    </row>
    <row r="190" spans="1:7">
      <c r="A190" s="3">
        <v>3</v>
      </c>
      <c r="B190" s="3" t="s">
        <v>0</v>
      </c>
      <c r="C190" s="12"/>
      <c r="D190" s="12" t="s">
        <v>4</v>
      </c>
      <c r="E190" s="222"/>
      <c r="F190" s="222"/>
      <c r="G190" s="10" t="str">
        <f t="shared" si="2"/>
        <v>AccountTitles[Asset]</v>
      </c>
    </row>
    <row r="191" spans="1:7">
      <c r="C191" s="12"/>
      <c r="D191" s="12"/>
      <c r="E191" s="222"/>
      <c r="F191" s="222"/>
      <c r="G191" s="10" t="str">
        <f t="shared" si="2"/>
        <v>AccountTitles[]</v>
      </c>
    </row>
    <row r="192" spans="1:7">
      <c r="A192" s="3">
        <v>3</v>
      </c>
      <c r="B192" s="3" t="s">
        <v>1</v>
      </c>
      <c r="C192" s="12" t="s">
        <v>9</v>
      </c>
      <c r="D192" s="12"/>
      <c r="E192" s="222"/>
      <c r="F192" s="222"/>
      <c r="G192" s="10" t="str">
        <f t="shared" si="2"/>
        <v>AccountTitles[Liability]</v>
      </c>
    </row>
    <row r="193" spans="1:8">
      <c r="A193" s="3">
        <v>3</v>
      </c>
      <c r="B193" s="3" t="s">
        <v>0</v>
      </c>
      <c r="C193" s="12"/>
      <c r="D193" s="12" t="s">
        <v>4</v>
      </c>
      <c r="E193" s="222"/>
      <c r="F193" s="222"/>
      <c r="G193" s="10" t="str">
        <f t="shared" si="2"/>
        <v>AccountTitles[Asset]</v>
      </c>
    </row>
    <row r="194" spans="1:8">
      <c r="C194" s="12"/>
      <c r="D194" s="12"/>
      <c r="E194" s="222"/>
      <c r="F194" s="222"/>
      <c r="G194" s="10" t="str">
        <f t="shared" si="2"/>
        <v>AccountTitles[]</v>
      </c>
    </row>
    <row r="195" spans="1:8">
      <c r="A195" s="3" t="s">
        <v>111</v>
      </c>
      <c r="B195" s="3" t="s">
        <v>3</v>
      </c>
      <c r="C195" s="12" t="s">
        <v>7</v>
      </c>
      <c r="D195" s="12"/>
      <c r="E195" s="222"/>
      <c r="F195" s="222"/>
      <c r="G195" s="10" t="str">
        <f t="shared" ref="G195:G217" si="3">"AccountTitles["&amp;B195&amp;"]"</f>
        <v>AccountTitles[TempEq]</v>
      </c>
    </row>
    <row r="196" spans="1:8">
      <c r="A196" s="3" t="s">
        <v>111</v>
      </c>
      <c r="B196" s="3" t="s">
        <v>3</v>
      </c>
      <c r="C196" s="12"/>
      <c r="D196" s="12" t="s">
        <v>11</v>
      </c>
      <c r="E196" s="222"/>
      <c r="F196" s="222"/>
      <c r="G196" s="10" t="str">
        <f t="shared" si="3"/>
        <v>AccountTitles[TempEq]</v>
      </c>
    </row>
    <row r="197" spans="1:8">
      <c r="A197" s="3" t="s">
        <v>111</v>
      </c>
      <c r="B197" s="3" t="s">
        <v>3</v>
      </c>
      <c r="C197" s="12"/>
      <c r="D197" s="12" t="s">
        <v>14</v>
      </c>
      <c r="E197" s="222"/>
      <c r="F197" s="222"/>
      <c r="G197" s="10" t="str">
        <f t="shared" si="3"/>
        <v>AccountTitles[TempEq]</v>
      </c>
    </row>
    <row r="198" spans="1:8">
      <c r="A198" s="3" t="s">
        <v>111</v>
      </c>
      <c r="B198" s="3" t="s">
        <v>3</v>
      </c>
      <c r="C198" s="12"/>
      <c r="D198" s="12" t="s">
        <v>17</v>
      </c>
      <c r="E198" s="222"/>
      <c r="F198" s="222"/>
      <c r="G198" s="10" t="str">
        <f t="shared" si="3"/>
        <v>AccountTitles[TempEq]</v>
      </c>
    </row>
    <row r="199" spans="1:8">
      <c r="A199" s="3" t="s">
        <v>111</v>
      </c>
      <c r="B199" s="3" t="s">
        <v>2</v>
      </c>
      <c r="C199" s="12"/>
      <c r="D199" s="12" t="s">
        <v>10</v>
      </c>
      <c r="E199" s="222"/>
      <c r="F199" s="222"/>
      <c r="G199" s="10" t="str">
        <f t="shared" si="3"/>
        <v>AccountTitles[Equity]</v>
      </c>
    </row>
    <row r="200" spans="1:8">
      <c r="C200" s="12"/>
      <c r="D200" s="12"/>
      <c r="E200" s="222"/>
      <c r="F200" s="222"/>
      <c r="G200" s="10" t="str">
        <f t="shared" si="3"/>
        <v>AccountTitles[]</v>
      </c>
    </row>
    <row r="201" spans="1:8" hidden="1">
      <c r="C201" s="12"/>
      <c r="D201" s="12"/>
      <c r="E201" s="120"/>
      <c r="F201" s="120"/>
      <c r="G201" s="10" t="str">
        <f t="shared" si="3"/>
        <v>AccountTitles[]</v>
      </c>
      <c r="H201" s="17" t="s">
        <v>112</v>
      </c>
    </row>
    <row r="202" spans="1:8" hidden="1">
      <c r="A202" s="3" t="s">
        <v>113</v>
      </c>
      <c r="B202" s="3" t="s">
        <v>3</v>
      </c>
      <c r="C202" s="96" t="s">
        <v>7</v>
      </c>
      <c r="D202" s="96"/>
      <c r="E202" s="121"/>
      <c r="F202" s="121"/>
      <c r="G202" s="10" t="str">
        <f t="shared" si="3"/>
        <v>AccountTitles[TempEq]</v>
      </c>
    </row>
    <row r="203" spans="1:8" hidden="1">
      <c r="A203" s="3" t="s">
        <v>113</v>
      </c>
      <c r="B203" s="3" t="s">
        <v>3</v>
      </c>
      <c r="C203" s="96" t="s">
        <v>91</v>
      </c>
      <c r="D203" s="96"/>
      <c r="E203" s="122"/>
      <c r="F203" s="122"/>
      <c r="G203" s="10" t="str">
        <f t="shared" si="3"/>
        <v>AccountTitles[TempEq]</v>
      </c>
    </row>
    <row r="204" spans="1:8" hidden="1">
      <c r="A204" s="3" t="s">
        <v>113</v>
      </c>
      <c r="B204" s="3" t="s">
        <v>3</v>
      </c>
      <c r="C204" s="96" t="s">
        <v>95</v>
      </c>
      <c r="D204" s="96"/>
      <c r="E204" s="123"/>
      <c r="F204" s="123"/>
      <c r="G204" s="10" t="str">
        <f t="shared" si="3"/>
        <v>AccountTitles[TempEq]</v>
      </c>
    </row>
    <row r="205" spans="1:8" hidden="1">
      <c r="A205" s="3" t="s">
        <v>113</v>
      </c>
      <c r="B205" s="3" t="s">
        <v>3</v>
      </c>
      <c r="C205" s="96" t="s">
        <v>108</v>
      </c>
      <c r="D205" s="96"/>
      <c r="E205" s="123"/>
      <c r="F205" s="123"/>
      <c r="G205" s="10" t="str">
        <f t="shared" si="3"/>
        <v>AccountTitles[TempEq]</v>
      </c>
    </row>
    <row r="206" spans="1:8" hidden="1">
      <c r="A206" s="3" t="s">
        <v>113</v>
      </c>
      <c r="B206" s="3" t="s">
        <v>3</v>
      </c>
      <c r="C206" s="96" t="s">
        <v>74</v>
      </c>
      <c r="D206" s="96"/>
      <c r="E206" s="123"/>
      <c r="F206" s="123"/>
      <c r="G206" s="10" t="str">
        <f t="shared" si="3"/>
        <v>AccountTitles[TempEq]</v>
      </c>
    </row>
    <row r="207" spans="1:8" hidden="1">
      <c r="A207" s="3" t="s">
        <v>114</v>
      </c>
      <c r="B207" s="3" t="s">
        <v>3</v>
      </c>
      <c r="C207" s="96" t="s">
        <v>115</v>
      </c>
      <c r="D207" s="96"/>
      <c r="E207" s="123"/>
      <c r="F207" s="123"/>
      <c r="G207" s="10" t="str">
        <f t="shared" si="3"/>
        <v>AccountTitles[TempEq]</v>
      </c>
    </row>
    <row r="208" spans="1:8" hidden="1">
      <c r="A208" s="3" t="s">
        <v>113</v>
      </c>
      <c r="B208" s="3" t="s">
        <v>2</v>
      </c>
      <c r="C208" s="96" t="s">
        <v>10</v>
      </c>
      <c r="D208" s="97"/>
      <c r="E208" s="122"/>
      <c r="F208" s="122"/>
      <c r="G208" s="10" t="str">
        <f t="shared" si="3"/>
        <v>AccountTitles[Equity]</v>
      </c>
    </row>
    <row r="209" spans="1:8" hidden="1">
      <c r="A209" s="3" t="s">
        <v>113</v>
      </c>
      <c r="B209" s="3" t="s">
        <v>3</v>
      </c>
      <c r="C209" s="97"/>
      <c r="D209" s="97" t="s">
        <v>11</v>
      </c>
      <c r="E209" s="122"/>
      <c r="F209" s="122"/>
      <c r="G209" s="10" t="str">
        <f t="shared" si="3"/>
        <v>AccountTitles[TempEq]</v>
      </c>
    </row>
    <row r="210" spans="1:8" hidden="1">
      <c r="A210" s="3" t="s">
        <v>113</v>
      </c>
      <c r="B210" s="3" t="s">
        <v>3</v>
      </c>
      <c r="C210" s="97"/>
      <c r="D210" s="97" t="s">
        <v>14</v>
      </c>
      <c r="E210" s="122"/>
      <c r="F210" s="122"/>
      <c r="G210" s="10" t="str">
        <f t="shared" si="3"/>
        <v>AccountTitles[TempEq]</v>
      </c>
    </row>
    <row r="211" spans="1:8" hidden="1">
      <c r="A211" s="3" t="s">
        <v>113</v>
      </c>
      <c r="B211" s="3" t="s">
        <v>3</v>
      </c>
      <c r="C211" s="97"/>
      <c r="D211" s="97" t="s">
        <v>116</v>
      </c>
      <c r="E211" s="122"/>
      <c r="F211" s="122"/>
      <c r="G211" s="10" t="str">
        <f t="shared" si="3"/>
        <v>AccountTitles[TempEq]</v>
      </c>
    </row>
    <row r="212" spans="1:8" hidden="1">
      <c r="A212" s="3" t="s">
        <v>113</v>
      </c>
      <c r="B212" s="3" t="s">
        <v>3</v>
      </c>
      <c r="C212" s="97"/>
      <c r="D212" s="97" t="s">
        <v>17</v>
      </c>
      <c r="E212" s="122"/>
      <c r="F212" s="122"/>
      <c r="G212" s="10" t="str">
        <f t="shared" si="3"/>
        <v>AccountTitles[TempEq]</v>
      </c>
    </row>
    <row r="213" spans="1:8" hidden="1">
      <c r="A213" s="3" t="s">
        <v>113</v>
      </c>
      <c r="B213" s="3" t="s">
        <v>3</v>
      </c>
      <c r="C213" s="97"/>
      <c r="D213" s="97" t="s">
        <v>90</v>
      </c>
      <c r="E213" s="122"/>
      <c r="F213" s="122"/>
      <c r="G213" s="10" t="str">
        <f t="shared" si="3"/>
        <v>AccountTitles[TempEq]</v>
      </c>
    </row>
    <row r="214" spans="1:8" hidden="1">
      <c r="A214" s="3" t="s">
        <v>113</v>
      </c>
      <c r="B214" s="3" t="s">
        <v>3</v>
      </c>
      <c r="C214" s="97"/>
      <c r="D214" s="97" t="s">
        <v>93</v>
      </c>
      <c r="E214" s="122"/>
      <c r="F214" s="122"/>
      <c r="G214" s="10" t="str">
        <f t="shared" si="3"/>
        <v>AccountTitles[TempEq]</v>
      </c>
    </row>
    <row r="215" spans="1:8" hidden="1">
      <c r="A215" s="3" t="s">
        <v>113</v>
      </c>
      <c r="B215" s="3" t="s">
        <v>3</v>
      </c>
      <c r="C215" s="97"/>
      <c r="D215" s="97" t="s">
        <v>105</v>
      </c>
      <c r="E215" s="122"/>
      <c r="F215" s="122"/>
      <c r="G215" s="10" t="str">
        <f t="shared" si="3"/>
        <v>AccountTitles[TempEq]</v>
      </c>
    </row>
    <row r="216" spans="1:8" hidden="1">
      <c r="A216" s="3" t="s">
        <v>113</v>
      </c>
      <c r="B216" s="3" t="s">
        <v>3</v>
      </c>
      <c r="C216" s="97"/>
      <c r="D216" s="97" t="s">
        <v>107</v>
      </c>
      <c r="E216" s="122"/>
      <c r="F216" s="122"/>
      <c r="G216" s="10" t="str">
        <f t="shared" si="3"/>
        <v>AccountTitles[TempEq]</v>
      </c>
    </row>
    <row r="217" spans="1:8" hidden="1">
      <c r="A217" s="3" t="s">
        <v>113</v>
      </c>
      <c r="B217" s="3" t="s">
        <v>3</v>
      </c>
      <c r="C217" s="97"/>
      <c r="D217" s="97" t="s">
        <v>73</v>
      </c>
      <c r="E217" s="122"/>
      <c r="F217" s="122"/>
      <c r="G217" s="10" t="str">
        <f t="shared" si="3"/>
        <v>AccountTitles[TempEq]</v>
      </c>
    </row>
    <row r="218" spans="1:8" hidden="1">
      <c r="A218" s="3" t="s">
        <v>113</v>
      </c>
      <c r="B218" s="3" t="s">
        <v>3</v>
      </c>
      <c r="C218" s="97"/>
      <c r="D218" s="97" t="s">
        <v>115</v>
      </c>
      <c r="E218" s="122"/>
      <c r="F218" s="122"/>
      <c r="G218" s="10" t="str">
        <f t="shared" ref="G218" si="4">"AccountTitles["&amp;B218&amp;"]"</f>
        <v>AccountTitles[TempEq]</v>
      </c>
    </row>
    <row r="219" spans="1:8" hidden="1">
      <c r="A219" s="3" t="s">
        <v>113</v>
      </c>
      <c r="B219" s="3" t="s">
        <v>2</v>
      </c>
      <c r="C219" s="97"/>
      <c r="D219" s="97" t="s">
        <v>10</v>
      </c>
      <c r="E219" s="122"/>
      <c r="F219" s="122"/>
    </row>
    <row r="220" spans="1:8" hidden="1">
      <c r="D220" s="13" t="s">
        <v>117</v>
      </c>
      <c r="E220">
        <f>SUM(E202:E219)-SUM(F202:F219)</f>
        <v>0</v>
      </c>
    </row>
    <row r="221" spans="1:8" hidden="1">
      <c r="G221" s="12" t="s">
        <v>118</v>
      </c>
      <c r="H221" s="12"/>
    </row>
    <row r="222" spans="1:8" hidden="1">
      <c r="D222" t="s">
        <v>119</v>
      </c>
      <c r="E222" s="14" t="s">
        <v>120</v>
      </c>
      <c r="F222" s="14" t="s">
        <v>121</v>
      </c>
      <c r="G222" s="12" t="b">
        <f>ROUND(E223,2)=ROUND(F223,2)</f>
        <v>0</v>
      </c>
      <c r="H222" s="12"/>
    </row>
    <row r="223" spans="1:8" hidden="1">
      <c r="E223" s="108">
        <f>SUMIF(JournalTable[Type],"TempEq",JournalTable[Dr Amt])</f>
        <v>66</v>
      </c>
      <c r="F223" s="108">
        <f>SUMIF(JournalTable[Type],"TempEq",JournalTable[Cr Amt])</f>
        <v>162</v>
      </c>
      <c r="G223" s="12"/>
      <c r="H223" s="12"/>
    </row>
    <row r="224" spans="1:8" hidden="1"/>
  </sheetData>
  <phoneticPr fontId="14" type="noConversion"/>
  <conditionalFormatting sqref="A204:A207">
    <cfRule type="expression" dxfId="98" priority="90">
      <formula>$B208=""</formula>
    </cfRule>
  </conditionalFormatting>
  <conditionalFormatting sqref="A208:A211">
    <cfRule type="expression" dxfId="97" priority="79">
      <formula>$B210=""</formula>
    </cfRule>
  </conditionalFormatting>
  <conditionalFormatting sqref="A212:A213">
    <cfRule type="expression" dxfId="96" priority="80">
      <formula>#REF!=""</formula>
    </cfRule>
  </conditionalFormatting>
  <conditionalFormatting sqref="A2:D4 A5:F202 A203:B203 E203:F203 C203:D207 B204:B207 B208:F213 A214:F219">
    <cfRule type="expression" dxfId="95" priority="8">
      <formula>$B2=""</formula>
    </cfRule>
  </conditionalFormatting>
  <conditionalFormatting sqref="E2:F4">
    <cfRule type="expression" dxfId="94" priority="1">
      <formula>$B2=""</formula>
    </cfRule>
  </conditionalFormatting>
  <conditionalFormatting sqref="L3:L4">
    <cfRule type="expression" dxfId="93" priority="6">
      <formula>$B3=""</formula>
    </cfRule>
  </conditionalFormatting>
  <conditionalFormatting sqref="Q3:Q4">
    <cfRule type="expression" dxfId="92" priority="4">
      <formula>$B3=""</formula>
    </cfRule>
  </conditionalFormatting>
  <conditionalFormatting sqref="V3:V4">
    <cfRule type="expression" dxfId="91" priority="2">
      <formula>$B3=""</formula>
    </cfRule>
  </conditionalFormatting>
  <dataValidations count="7">
    <dataValidation type="list" allowBlank="1" showInputMessage="1" showErrorMessage="1" sqref="L3 Q3 V3 B2:B82 B99:B219" xr:uid="{70EE624B-3012-41B8-82D3-64B3A8939FE4}">
      <formula1>"Asset,Liability,Equity,TempEq"</formula1>
    </dataValidation>
    <dataValidation type="list" allowBlank="1" showInputMessage="1" showErrorMessage="1" sqref="L4" xr:uid="{8D13A160-A9AB-4942-843E-DADFF55DDC20}">
      <formula1>INDIRECT($M$3)</formula1>
    </dataValidation>
    <dataValidation type="list" allowBlank="1" showInputMessage="1" showErrorMessage="1" sqref="Q4" xr:uid="{951FC2FE-6861-448A-9E68-A4E251C1EA37}">
      <formula1>INDIRECT($R$3)</formula1>
    </dataValidation>
    <dataValidation type="list" allowBlank="1" showInputMessage="1" showErrorMessage="1" sqref="V4" xr:uid="{8D2E2197-340B-45E4-823F-0EEFF026A888}">
      <formula1>INDIRECT($W$3)</formula1>
    </dataValidation>
    <dataValidation type="list" allowBlank="1" showInputMessage="1" showErrorMessage="1" sqref="C2:D218" xr:uid="{E6757451-1431-4BFC-8346-F26CAC3F3271}">
      <formula1>INDIRECT($G2)</formula1>
    </dataValidation>
    <dataValidation type="list" allowBlank="1" showInputMessage="1" showErrorMessage="1" sqref="C219:D219" xr:uid="{C7962540-B486-4C41-8776-BFF9795C6980}">
      <formula1>INDIRECT($G218)</formula1>
    </dataValidation>
    <dataValidation type="list" allowBlank="1" showInputMessage="1" showErrorMessage="1" sqref="A106:A201" xr:uid="{AEF337EA-CE2C-4761-83FA-723C8D70998D}">
      <formula1>"1,CL1,2,CL2,3,CL3"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CB14-EB4F-4848-A74A-5E7F9F1C2260}">
  <dimension ref="A1:U99"/>
  <sheetViews>
    <sheetView workbookViewId="0"/>
  </sheetViews>
  <sheetFormatPr defaultRowHeight="15" outlineLevelCol="2"/>
  <cols>
    <col min="2" max="2" width="29.7109375" bestFit="1" customWidth="1"/>
    <col min="3" max="3" width="9.28515625" bestFit="1" customWidth="1"/>
    <col min="4" max="4" width="3.28515625" customWidth="1" outlineLevel="1"/>
    <col min="5" max="5" width="25.7109375" customWidth="1" outlineLevel="2"/>
    <col min="6" max="6" width="9.28515625" customWidth="1" outlineLevel="2"/>
    <col min="7" max="7" width="3.28515625" customWidth="1" outlineLevel="1"/>
    <col min="8" max="8" width="25.7109375" customWidth="1" outlineLevel="2"/>
    <col min="9" max="9" width="9.5703125" customWidth="1" outlineLevel="2"/>
    <col min="10" max="11" width="8.85546875" customWidth="1" outlineLevel="2"/>
    <col min="12" max="13" width="8.85546875" customWidth="1" outlineLevel="2" collapsed="1"/>
    <col min="14" max="15" width="8.85546875" customWidth="1" outlineLevel="2"/>
    <col min="16" max="16" width="3.28515625" customWidth="1" outlineLevel="1"/>
    <col min="17" max="17" width="31" customWidth="1" outlineLevel="2"/>
    <col min="18" max="18" width="8.85546875" customWidth="1" outlineLevel="2"/>
    <col min="19" max="19" width="3.28515625" customWidth="1" outlineLevel="1"/>
    <col min="20" max="20" width="29.7109375" customWidth="1" outlineLevel="2"/>
  </cols>
  <sheetData>
    <row r="1" spans="1:21" ht="15.75" thickBot="1">
      <c r="A1" t="s">
        <v>122</v>
      </c>
      <c r="B1" s="194" t="str">
        <f>Entity</f>
        <v>StartUp Co DefTx</v>
      </c>
      <c r="C1" s="195"/>
      <c r="D1" s="12"/>
      <c r="E1" s="198" t="e">
        <f>Period&amp;":  "&amp;BegDate&amp;" to "&amp;EndDate1</f>
        <v>#NAME?</v>
      </c>
      <c r="F1" s="199"/>
      <c r="G1" s="200"/>
      <c r="H1" s="199"/>
      <c r="I1" s="199"/>
      <c r="J1" s="199"/>
      <c r="K1" s="199"/>
      <c r="L1" s="199"/>
      <c r="M1" s="199"/>
      <c r="N1" s="199"/>
      <c r="O1" s="199"/>
      <c r="P1" s="199"/>
      <c r="Q1" s="200"/>
      <c r="R1" s="200"/>
      <c r="T1" s="196" t="str">
        <f>Entity</f>
        <v>StartUp Co DefTx</v>
      </c>
      <c r="U1" s="197"/>
    </row>
    <row r="2" spans="1:21" ht="15.75" thickBot="1">
      <c r="B2" s="124" t="s">
        <v>22</v>
      </c>
      <c r="C2" s="125" t="e" cm="1">
        <f t="array" ref="C2">BegDate</f>
        <v>#NAME?</v>
      </c>
      <c r="D2" s="12"/>
      <c r="E2" s="124" t="str">
        <f>IF(Journal!G222,"Net Income","Temporary accounts")</f>
        <v>Temporary accounts</v>
      </c>
      <c r="F2" s="126"/>
      <c r="H2" s="124" t="s">
        <v>123</v>
      </c>
      <c r="I2" s="172"/>
      <c r="J2" s="172"/>
      <c r="K2" s="172"/>
      <c r="L2" s="172"/>
      <c r="M2" s="172"/>
      <c r="N2" s="173"/>
      <c r="O2" s="174"/>
      <c r="P2" s="12"/>
      <c r="Q2" s="127" t="s">
        <v>124</v>
      </c>
      <c r="R2" s="128"/>
      <c r="S2" s="12"/>
      <c r="T2" s="124" t="s">
        <v>22</v>
      </c>
      <c r="U2" s="125" t="str">
        <f>IF(NOT(Journal!G222),"In Progress",EndDate1)</f>
        <v>In Progress</v>
      </c>
    </row>
    <row r="3" spans="1:21" ht="15.75" thickBot="1">
      <c r="B3" s="109" t="s">
        <v>24</v>
      </c>
      <c r="C3" s="129"/>
      <c r="D3" s="12"/>
      <c r="E3" s="109" t="s">
        <v>125</v>
      </c>
      <c r="F3" s="110"/>
      <c r="H3" s="176"/>
      <c r="I3" s="179" t="s">
        <v>126</v>
      </c>
      <c r="J3" s="179" t="s">
        <v>127</v>
      </c>
      <c r="K3" s="179" t="s">
        <v>128</v>
      </c>
      <c r="L3" s="179" t="s">
        <v>129</v>
      </c>
      <c r="M3" s="179" t="s">
        <v>98</v>
      </c>
      <c r="N3" s="188" t="s">
        <v>130</v>
      </c>
      <c r="O3" s="189" t="s">
        <v>131</v>
      </c>
      <c r="P3" s="12"/>
      <c r="Q3" s="109" t="s">
        <v>132</v>
      </c>
      <c r="R3" s="110"/>
      <c r="S3" s="12"/>
      <c r="T3" s="109" t="s">
        <v>24</v>
      </c>
      <c r="U3" s="129"/>
    </row>
    <row r="4" spans="1:21">
      <c r="B4" s="130" t="s">
        <v>4</v>
      </c>
      <c r="C4" s="131">
        <f>Setup!C13</f>
        <v>100</v>
      </c>
      <c r="D4" s="12"/>
      <c r="E4" s="130" t="s">
        <v>7</v>
      </c>
      <c r="F4" s="132">
        <f ca="1">SUMIF(Journal!$C$2:$C$201,E4,Journal!$E$2:$E$201)+SUMIF(Journal!$D$2:$H$201,E4,Journal!$F$2:$F$201)</f>
        <v>130</v>
      </c>
      <c r="H4" s="177" t="s">
        <v>133</v>
      </c>
      <c r="I4" s="180" t="e">
        <f>C27</f>
        <v>#REF!</v>
      </c>
      <c r="J4" s="184">
        <f>C28</f>
        <v>100</v>
      </c>
      <c r="K4" s="184" t="e">
        <f>C29</f>
        <v>#REF!</v>
      </c>
      <c r="L4" s="184">
        <f>C31</f>
        <v>0</v>
      </c>
      <c r="M4" s="184" t="e">
        <f>C30</f>
        <v>#REF!</v>
      </c>
      <c r="N4" s="184" t="e">
        <f>C32</f>
        <v>#REF!</v>
      </c>
      <c r="O4" s="190" t="e">
        <f>SUM(I4:N4)</f>
        <v>#REF!</v>
      </c>
      <c r="P4" s="12"/>
      <c r="Q4" s="133" t="str">
        <f>IF(Journal!G222,"Net Income","Net in temporary accounts")</f>
        <v>Net in temporary accounts</v>
      </c>
      <c r="R4" s="134">
        <f ca="1">F22</f>
        <v>96</v>
      </c>
      <c r="S4" s="12"/>
      <c r="T4" s="130" t="s">
        <v>4</v>
      </c>
      <c r="U4" s="131">
        <f>C4+SUMIF(Journal!$C$2:$C$201,B4,Journal!$E$2:$E$201)-SUMIF(Journal!$D$2:$D$201,B4,Journal!$F$2:$F$201)</f>
        <v>180</v>
      </c>
    </row>
    <row r="5" spans="1:21">
      <c r="B5" s="130" t="s">
        <v>78</v>
      </c>
      <c r="C5" s="135" t="e">
        <f>Setup!#REF!</f>
        <v>#REF!</v>
      </c>
      <c r="D5" s="12"/>
      <c r="E5" s="136" t="s">
        <v>134</v>
      </c>
      <c r="F5" s="137"/>
      <c r="H5" s="5"/>
      <c r="I5" s="181"/>
      <c r="J5" s="181"/>
      <c r="K5" s="181"/>
      <c r="L5" s="181"/>
      <c r="M5" s="181"/>
      <c r="N5" s="186"/>
      <c r="O5" s="191">
        <f t="shared" ref="O5:O11" si="0">SUM(I5:N5)</f>
        <v>0</v>
      </c>
      <c r="P5" s="12"/>
      <c r="Q5" s="138" t="s">
        <v>135</v>
      </c>
      <c r="R5" s="139"/>
      <c r="S5" s="12"/>
      <c r="T5" s="130" t="s">
        <v>78</v>
      </c>
      <c r="U5" s="135" t="e">
        <f>C5+SUMIF(Journal!$C$2:$C$201,B5,Journal!$E$2:$E$201)-SUMIF(Journal!$D$2:$D$201,B5,Journal!$F$2:$F$201)</f>
        <v>#REF!</v>
      </c>
    </row>
    <row r="6" spans="1:21">
      <c r="B6" s="130" t="s">
        <v>8</v>
      </c>
      <c r="C6" s="135">
        <f>Setup!C14</f>
        <v>0</v>
      </c>
      <c r="D6" s="12"/>
      <c r="E6" s="130" t="s">
        <v>11</v>
      </c>
      <c r="F6" s="132">
        <f>SUMIF(Journal!$C$2:$C$201,E6,Journal!$E$2:$E$201)-SUMIF(Journal!$D$2:$D$201,E6,Journal!$F$2:$F$201)</f>
        <v>0</v>
      </c>
      <c r="H6" s="5"/>
      <c r="I6" s="181"/>
      <c r="J6" s="181"/>
      <c r="K6" s="181"/>
      <c r="L6" s="181"/>
      <c r="M6" s="181"/>
      <c r="N6" s="186"/>
      <c r="O6" s="191">
        <f t="shared" si="0"/>
        <v>0</v>
      </c>
      <c r="P6" s="12"/>
      <c r="Q6" s="140" t="s">
        <v>136</v>
      </c>
      <c r="R6" s="141">
        <f>'IDM Worksheet'!E108</f>
        <v>0</v>
      </c>
      <c r="S6" s="12"/>
      <c r="T6" s="130" t="s">
        <v>8</v>
      </c>
      <c r="U6" s="135">
        <f>C6+SUMIF(Journal!$C$2:$C$201,B6,Journal!$E$2:$E$201)-SUMIF(Journal!$D$2:$D$201,B6,Journal!$F$2:$F$201)</f>
        <v>0</v>
      </c>
    </row>
    <row r="7" spans="1:21">
      <c r="B7" s="130" t="s">
        <v>137</v>
      </c>
      <c r="C7" s="135" t="e">
        <f>Setup!#REF!</f>
        <v>#REF!</v>
      </c>
      <c r="D7" s="12"/>
      <c r="E7" s="130" t="s">
        <v>14</v>
      </c>
      <c r="F7" s="141">
        <f>SUMIF(Journal!$C$2:$C$201,E7,Journal!$E$2:$E$201)-SUMIF(Journal!$D$2:$D$201,E7,Journal!$F$2:$F$201)</f>
        <v>50</v>
      </c>
      <c r="H7" s="5"/>
      <c r="I7" s="181"/>
      <c r="J7" s="181"/>
      <c r="K7" s="181"/>
      <c r="L7" s="181"/>
      <c r="M7" s="181"/>
      <c r="N7" s="186"/>
      <c r="O7" s="191">
        <f t="shared" si="0"/>
        <v>0</v>
      </c>
      <c r="P7" s="12"/>
      <c r="Q7" s="140" t="s">
        <v>138</v>
      </c>
      <c r="R7" s="141">
        <f>'IDM Worksheet'!E109</f>
        <v>0</v>
      </c>
      <c r="S7" s="12"/>
      <c r="T7" s="130" t="s">
        <v>137</v>
      </c>
      <c r="U7" s="135" t="e">
        <f>C7+SUMIF(Journal!$C$2:$C$201,B7,Journal!$E$2:$E$201)-SUMIF(Journal!$D$2:$D$201,B7,Journal!$F$2:$F$201)</f>
        <v>#REF!</v>
      </c>
    </row>
    <row r="8" spans="1:21">
      <c r="B8" s="130" t="s">
        <v>12</v>
      </c>
      <c r="C8" s="135">
        <f>Setup!C15</f>
        <v>0</v>
      </c>
      <c r="D8" s="12"/>
      <c r="E8" s="130" t="s">
        <v>116</v>
      </c>
      <c r="F8" s="141">
        <f>SUMIF(Journal!$C$2:$C$201,E8,Journal!$E$2:$E$201)-SUMIF(Journal!$D$2:$D$201,E8,Journal!$F$2:$F$201)</f>
        <v>0</v>
      </c>
      <c r="H8" s="178"/>
      <c r="I8" s="181"/>
      <c r="J8" s="181"/>
      <c r="K8" s="181"/>
      <c r="L8" s="181"/>
      <c r="M8" s="181"/>
      <c r="N8" s="186"/>
      <c r="O8" s="191">
        <f t="shared" si="0"/>
        <v>0</v>
      </c>
      <c r="P8" s="12"/>
      <c r="Q8" s="140" t="str">
        <f t="shared" ref="Q8:R12" si="1">E17</f>
        <v>Loss on Sale of PP&amp;E</v>
      </c>
      <c r="R8" s="141">
        <f t="shared" si="1"/>
        <v>0</v>
      </c>
      <c r="S8" s="12"/>
      <c r="T8" s="130" t="s">
        <v>12</v>
      </c>
      <c r="U8" s="135">
        <f>C8+SUMIF(Journal!$C$2:$C$201,B8,Journal!$E$2:$E$201)-SUMIF(Journal!$D$2:$D$201,B8,Journal!$F$2:$F$201)</f>
        <v>0</v>
      </c>
    </row>
    <row r="9" spans="1:21">
      <c r="B9" s="130" t="s">
        <v>94</v>
      </c>
      <c r="C9" s="135" t="e">
        <f>Setup!#REF!</f>
        <v>#REF!</v>
      </c>
      <c r="D9" s="12"/>
      <c r="E9" s="130" t="s">
        <v>17</v>
      </c>
      <c r="F9" s="141">
        <f>D44+SUMIF(Journal!$C$2:$C$201,E9,Journal!$E$2:$E$201)-SUMIF(Journal!$D$2:$D$201,E9,Journal!$F$2:$F$201)</f>
        <v>-16</v>
      </c>
      <c r="H9" s="178"/>
      <c r="I9" s="181"/>
      <c r="J9" s="181"/>
      <c r="K9" s="181"/>
      <c r="L9" s="181"/>
      <c r="M9" s="181"/>
      <c r="N9" s="186"/>
      <c r="O9" s="191">
        <f t="shared" si="0"/>
        <v>0</v>
      </c>
      <c r="P9" s="12"/>
      <c r="Q9" s="140" t="str">
        <f t="shared" si="1"/>
        <v>Loss on Sale of Business Unit</v>
      </c>
      <c r="R9" s="141">
        <f t="shared" si="1"/>
        <v>0</v>
      </c>
      <c r="S9" s="12"/>
      <c r="T9" s="130" t="s">
        <v>94</v>
      </c>
      <c r="U9" s="135" t="e">
        <f>C9+SUMIF(Journal!$C$2:$C$201,B9,Journal!$E$2:$E$201)-SUMIF(Journal!$D$2:$D$201,B9,Journal!$F$2:$F$201)</f>
        <v>#REF!</v>
      </c>
    </row>
    <row r="10" spans="1:21" ht="15.75" thickBot="1">
      <c r="B10" s="130" t="s">
        <v>15</v>
      </c>
      <c r="C10" s="135">
        <f>Setup!C16</f>
        <v>0</v>
      </c>
      <c r="D10" s="12"/>
      <c r="E10" s="130" t="s">
        <v>115</v>
      </c>
      <c r="F10" s="141">
        <f>D45+SUMIF(Journal!$C$2:$C$201,E10,Journal!$E$2:$E$201)-SUMIF(Journal!$D$2:$D$201,E10,Journal!$F$2:$F$201)</f>
        <v>0</v>
      </c>
      <c r="H10" s="178"/>
      <c r="I10" s="182"/>
      <c r="J10" s="182"/>
      <c r="K10" s="182"/>
      <c r="L10" s="182"/>
      <c r="M10" s="182"/>
      <c r="N10" s="187"/>
      <c r="O10" s="192">
        <f t="shared" si="0"/>
        <v>0</v>
      </c>
      <c r="P10" s="12"/>
      <c r="Q10" s="140" t="str">
        <f t="shared" si="1"/>
        <v>Holding Loss on MS</v>
      </c>
      <c r="R10" s="141">
        <f t="shared" si="1"/>
        <v>0</v>
      </c>
      <c r="S10" s="12"/>
      <c r="T10" s="130" t="s">
        <v>15</v>
      </c>
      <c r="U10" s="135">
        <f>C10+SUMIF(Journal!$C$2:$C$201,B10,Journal!$E$2:$E$201)-SUMIF(Journal!$D$2:$D$201,B10,Journal!$F$2:$F$201)</f>
        <v>0</v>
      </c>
    </row>
    <row r="11" spans="1:21" ht="15.75" thickBot="1">
      <c r="B11" s="130" t="s">
        <v>18</v>
      </c>
      <c r="C11" s="135">
        <f>Setup!C17</f>
        <v>0</v>
      </c>
      <c r="D11" s="12"/>
      <c r="E11" s="136" t="s">
        <v>139</v>
      </c>
      <c r="F11" s="137"/>
      <c r="H11" s="175" t="s">
        <v>140</v>
      </c>
      <c r="I11" s="183" t="e">
        <f ca="1">U27</f>
        <v>#REF!</v>
      </c>
      <c r="J11" s="185">
        <f ca="1">U28</f>
        <v>100</v>
      </c>
      <c r="K11" s="185" t="e">
        <f ca="1">U29</f>
        <v>#REF!</v>
      </c>
      <c r="L11" s="185">
        <f>U31</f>
        <v>0</v>
      </c>
      <c r="M11" s="185" t="e">
        <f ca="1">U30</f>
        <v>#REF!</v>
      </c>
      <c r="N11" s="185" t="e">
        <f>U32</f>
        <v>#REF!</v>
      </c>
      <c r="O11" s="193" t="e">
        <f t="shared" ca="1" si="0"/>
        <v>#REF!</v>
      </c>
      <c r="P11" s="12"/>
      <c r="Q11" s="140" t="str">
        <f t="shared" si="1"/>
        <v>Loss on Retirement of Debt</v>
      </c>
      <c r="R11" s="141">
        <f t="shared" si="1"/>
        <v>0</v>
      </c>
      <c r="S11" s="12"/>
      <c r="T11" s="130" t="s">
        <v>18</v>
      </c>
      <c r="U11" s="135">
        <f>C11+SUMIF(Journal!$C$2:$C$201,B11,Journal!$E$2:$E$201)-SUMIF(Journal!$D$2:$D$201,B11,Journal!$F$2:$F$201)</f>
        <v>0</v>
      </c>
    </row>
    <row r="12" spans="1:21">
      <c r="B12" s="130" t="s">
        <v>20</v>
      </c>
      <c r="C12" s="135">
        <f>Setup!C18</f>
        <v>0</v>
      </c>
      <c r="D12" s="12"/>
      <c r="E12" s="130" t="s">
        <v>91</v>
      </c>
      <c r="F12" s="132">
        <f>-SUMIF(Journal!$C$2:$C$201,E12,Journal!$E$2:$E$201)+SUMIF(Journal!$D$2:$D$201,E12,Journal!$F$2:$F$201)</f>
        <v>0</v>
      </c>
      <c r="H12" s="83"/>
      <c r="N12" s="12"/>
      <c r="O12" s="12"/>
      <c r="P12" s="12"/>
      <c r="Q12" s="140" t="str">
        <f t="shared" si="1"/>
        <v>Impairment Loss</v>
      </c>
      <c r="R12" s="141">
        <f t="shared" si="1"/>
        <v>0</v>
      </c>
      <c r="S12" s="83"/>
      <c r="T12" s="130" t="s">
        <v>83</v>
      </c>
      <c r="U12" s="135">
        <f>C12+SUMIF(Journal!$C$2:$C$201,B12,Journal!$E$2:$E$201)-SUMIF(Journal!$D$2:$D$201,B12,Journal!$F$2:$F$201)</f>
        <v>0</v>
      </c>
    </row>
    <row r="13" spans="1:21">
      <c r="B13" s="130" t="s">
        <v>87</v>
      </c>
      <c r="C13" s="135" t="e">
        <f>Setup!#REF!</f>
        <v>#REF!</v>
      </c>
      <c r="D13" s="12"/>
      <c r="E13" s="130" t="s">
        <v>108</v>
      </c>
      <c r="F13" s="141">
        <f>-SUMIF(Journal!$C$2:$C$201,E13,Journal!$E$2:$E$201)+SUMIF(Journal!$D$2:$D$201,E13,Journal!$F$2:$F$201)</f>
        <v>0</v>
      </c>
      <c r="H13" s="12"/>
      <c r="N13" s="12"/>
      <c r="O13" s="12"/>
      <c r="P13" s="12"/>
      <c r="Q13" s="140" t="str">
        <f>E12</f>
        <v>Gain on Sale of PP&amp;E</v>
      </c>
      <c r="R13" s="141">
        <f>-F12</f>
        <v>0</v>
      </c>
      <c r="S13" s="12"/>
      <c r="T13" s="130" t="s">
        <v>87</v>
      </c>
      <c r="U13" s="135" t="e">
        <f>C13+SUMIF(Journal!$C$2:$C$201,B13,Journal!$E$2:$E$201)-SUMIF(Journal!$D$2:$D$201,B13,Journal!$F$2:$F$201)</f>
        <v>#REF!</v>
      </c>
    </row>
    <row r="14" spans="1:21" ht="15.75" thickBot="1">
      <c r="B14" s="130" t="s">
        <v>85</v>
      </c>
      <c r="C14" s="142" t="e">
        <f>Setup!#REF!</f>
        <v>#REF!</v>
      </c>
      <c r="D14" s="12"/>
      <c r="E14" s="130" t="s">
        <v>95</v>
      </c>
      <c r="F14" s="141">
        <f>-SUMIF(Journal!$C$2:$C$201,E14,Journal!$E$2:$E$201)+SUMIF(Journal!$D$2:$D$201,E14,Journal!$F$2:$F$201)</f>
        <v>0</v>
      </c>
      <c r="H14" s="12"/>
      <c r="N14" s="12"/>
      <c r="O14" s="12"/>
      <c r="P14" s="12"/>
      <c r="Q14" s="140" t="str">
        <f>E13</f>
        <v>Holding Gain on MS</v>
      </c>
      <c r="R14" s="141">
        <f>-F13</f>
        <v>0</v>
      </c>
      <c r="S14" s="12"/>
      <c r="T14" s="130" t="s">
        <v>85</v>
      </c>
      <c r="U14" s="135" t="e">
        <f>C14+SUMIF(Journal!$C$2:$C$201,B14,Journal!$E$2:$E$201)-SUMIF(Journal!$D$2:$D$201,B14,Journal!$F$2:$F$201)</f>
        <v>#REF!</v>
      </c>
    </row>
    <row r="15" spans="1:21" ht="15.75" thickBot="1">
      <c r="B15" s="143" t="s">
        <v>40</v>
      </c>
      <c r="C15" s="144" t="e">
        <f>SUM(C4:C14)</f>
        <v>#REF!</v>
      </c>
      <c r="D15" s="12"/>
      <c r="E15" s="130" t="s">
        <v>74</v>
      </c>
      <c r="F15" s="141">
        <f>-SUMIF(Journal!$C$2:$C$201,E15,Journal!$E$2:$E$201)+SUMIF(Journal!$D$2:$D$201,E15,Journal!$F$2:$F$201)</f>
        <v>0</v>
      </c>
      <c r="H15" s="12"/>
      <c r="N15" s="12"/>
      <c r="O15" s="12"/>
      <c r="P15" s="12"/>
      <c r="Q15" s="140" t="str">
        <f>E14</f>
        <v>Gain on Sale of Business Unit</v>
      </c>
      <c r="R15" s="141">
        <f>-F14</f>
        <v>0</v>
      </c>
      <c r="S15" s="12"/>
      <c r="T15" s="145" t="s">
        <v>40</v>
      </c>
      <c r="U15" s="201" t="e">
        <f>SUM(U4:U14)</f>
        <v>#REF!</v>
      </c>
    </row>
    <row r="16" spans="1:21">
      <c r="B16" s="147" t="s">
        <v>41</v>
      </c>
      <c r="C16" s="148"/>
      <c r="D16" s="12"/>
      <c r="E16" s="136" t="s">
        <v>141</v>
      </c>
      <c r="F16" s="137"/>
      <c r="H16" s="12"/>
      <c r="N16" s="12"/>
      <c r="O16" s="12"/>
      <c r="P16" s="12"/>
      <c r="Q16" s="140" t="str">
        <f>E15</f>
        <v>Gain on Retirement of Debt</v>
      </c>
      <c r="R16" s="141">
        <f>-F15</f>
        <v>0</v>
      </c>
      <c r="S16" s="12"/>
      <c r="T16" s="136" t="s">
        <v>41</v>
      </c>
      <c r="U16" s="149"/>
    </row>
    <row r="17" spans="2:21">
      <c r="B17" s="130" t="s">
        <v>5</v>
      </c>
      <c r="C17" s="131">
        <f>Setup!C21</f>
        <v>0</v>
      </c>
      <c r="D17" s="12"/>
      <c r="E17" s="130" t="s">
        <v>90</v>
      </c>
      <c r="F17" s="132">
        <f>SUMIF(Journal!$C$2:$C$201,E17,Journal!$E$2:$E$201)-SUMIF(Journal!$D$2:$D$201,E17,Journal!$F$2:$F$201)</f>
        <v>0</v>
      </c>
      <c r="H17" s="12"/>
      <c r="N17" s="12"/>
      <c r="O17" s="12"/>
      <c r="P17" s="12"/>
      <c r="Q17" s="140" t="s">
        <v>142</v>
      </c>
      <c r="R17" s="141">
        <f ca="1">'IDM Worksheet'!K79</f>
        <v>0</v>
      </c>
      <c r="S17" s="12"/>
      <c r="T17" s="130" t="s">
        <v>5</v>
      </c>
      <c r="U17" s="131">
        <f ca="1">C17-SUMIF(Journal!$C$2:$C$201,B17,Journal!$E$2:$E$201)+SUMIF(Journal!$D$2:$H$201,B17,Journal!$F$2:$F$201)</f>
        <v>0</v>
      </c>
    </row>
    <row r="18" spans="2:21">
      <c r="B18" s="130" t="s">
        <v>88</v>
      </c>
      <c r="C18" s="135">
        <f>Setup!C22</f>
        <v>0</v>
      </c>
      <c r="D18" s="12"/>
      <c r="E18" s="130" t="s">
        <v>93</v>
      </c>
      <c r="F18" s="141">
        <f>SUMIF(Journal!$C$2:$C$201,E18,Journal!$E$2:$E$201)-SUMIF(Journal!$D$2:$D$201,E18,Journal!$F$2:$F$201)</f>
        <v>0</v>
      </c>
      <c r="H18" s="12"/>
      <c r="N18" s="12"/>
      <c r="O18" s="12"/>
      <c r="P18" s="12"/>
      <c r="Q18" s="138" t="s">
        <v>143</v>
      </c>
      <c r="R18" s="139"/>
      <c r="S18" s="12"/>
      <c r="T18" s="130" t="s">
        <v>88</v>
      </c>
      <c r="U18" s="150">
        <f ca="1">C18-SUMIF(Journal!$C$2:$C$201,B18,Journal!$E$2:$E$201)+SUMIF(Journal!$D$2:$H$201,B18,Journal!$F$2:$F$201)</f>
        <v>0</v>
      </c>
    </row>
    <row r="19" spans="2:21">
      <c r="B19" s="130" t="s">
        <v>144</v>
      </c>
      <c r="C19" s="135">
        <f>Setup!C24</f>
        <v>0</v>
      </c>
      <c r="D19" s="12"/>
      <c r="E19" s="130" t="s">
        <v>107</v>
      </c>
      <c r="F19" s="141">
        <f>SUMIF(Journal!$C$2:$C$201,E19,Journal!$E$2:$E$201)-SUMIF(Journal!$D$2:$D$201,E19,Journal!$F$2:$F$201)</f>
        <v>0</v>
      </c>
      <c r="H19" s="12"/>
      <c r="N19" s="12"/>
      <c r="O19" s="12"/>
      <c r="P19" s="12"/>
      <c r="Q19" s="140" t="s">
        <v>8</v>
      </c>
      <c r="R19" s="141">
        <f>'IDM Worksheet'!E110-'IDM Worksheet'!F110</f>
        <v>0</v>
      </c>
      <c r="S19" s="12"/>
      <c r="T19" s="130" t="s">
        <v>144</v>
      </c>
      <c r="U19" s="150">
        <f ca="1">C19-SUMIF(Journal!$C$2:$C$201,B19,Journal!$E$2:$E$201)+SUMIF(Journal!$D$2:$H$201,B19,Journal!$F$2:$F$201)</f>
        <v>0</v>
      </c>
    </row>
    <row r="20" spans="2:21">
      <c r="B20" s="130" t="s">
        <v>71</v>
      </c>
      <c r="C20" s="135" t="e">
        <f>Setup!#REF!</f>
        <v>#REF!</v>
      </c>
      <c r="D20" s="12"/>
      <c r="E20" s="130" t="s">
        <v>73</v>
      </c>
      <c r="F20" s="141">
        <f>SUMIF(Journal!$C$2:$C$201,E20,Journal!$E$2:$E$201)-SUMIF(Journal!$D$2:$D$201,E20,Journal!$F$2:$F$201)</f>
        <v>0</v>
      </c>
      <c r="H20" s="12"/>
      <c r="N20" s="12"/>
      <c r="O20" s="12"/>
      <c r="P20" s="12"/>
      <c r="Q20" s="140" t="s">
        <v>137</v>
      </c>
      <c r="R20" s="141" t="e">
        <f>'IDM Worksheet'!E111-'IDM Worksheet'!F111</f>
        <v>#REF!</v>
      </c>
      <c r="S20" s="12"/>
      <c r="T20" s="130" t="s">
        <v>71</v>
      </c>
      <c r="U20" s="150" t="e">
        <f ca="1">C20-SUMIF(Journal!$C$2:$C$201,B20,Journal!$E$2:$E$201)+SUMIF(Journal!$D$2:$H$201,B20,Journal!$F$2:$F$201)</f>
        <v>#REF!</v>
      </c>
    </row>
    <row r="21" spans="2:21" ht="15.75" thickBot="1">
      <c r="B21" s="130" t="s">
        <v>67</v>
      </c>
      <c r="C21" s="135" t="e">
        <f>Setup!#REF!</f>
        <v>#REF!</v>
      </c>
      <c r="D21" s="12"/>
      <c r="E21" s="151" t="s">
        <v>105</v>
      </c>
      <c r="F21" s="152">
        <f>SUMIF(Journal!$C$2:$C$201,E21,Journal!$E$2:$E$201)-SUMIF(Journal!$D$2:$D$201,E21,Journal!$F$2:$F$201)</f>
        <v>0</v>
      </c>
      <c r="H21" s="12"/>
      <c r="N21" s="12"/>
      <c r="O21" s="12"/>
      <c r="P21" s="12"/>
      <c r="Q21" s="140" t="s">
        <v>12</v>
      </c>
      <c r="R21" s="141">
        <f>'IDM Worksheet'!E112-'IDM Worksheet'!F112</f>
        <v>0</v>
      </c>
      <c r="S21" s="12"/>
      <c r="T21" s="130" t="s">
        <v>67</v>
      </c>
      <c r="U21" s="150" t="e">
        <f ca="1">C21-SUMIF(Journal!$C$2:$C$201,B21,Journal!$E$2:$E$201)+SUMIF(Journal!$D$2:$H$201,B21,Journal!$F$2:$F$201)</f>
        <v>#REF!</v>
      </c>
    </row>
    <row r="22" spans="2:21" ht="15.75" thickBot="1">
      <c r="B22" s="130" t="s">
        <v>63</v>
      </c>
      <c r="C22" s="135" t="e">
        <f>Setup!#REF!</f>
        <v>#REF!</v>
      </c>
      <c r="D22" s="12"/>
      <c r="E22" s="106" t="str">
        <f>IF(Journal!G222,"Net Income","Net in temporary accounts")</f>
        <v>Net in temporary accounts</v>
      </c>
      <c r="F22" s="107">
        <f ca="1">F4-SUM(F6:F9)+SUM(F12:F15)-SUM(F17:F21)</f>
        <v>96</v>
      </c>
      <c r="H22" s="12"/>
      <c r="N22" s="12"/>
      <c r="O22" s="12"/>
      <c r="P22" s="12"/>
      <c r="Q22" s="140" t="s">
        <v>94</v>
      </c>
      <c r="R22" s="141" t="e">
        <f>'IDM Worksheet'!E113-'IDM Worksheet'!F113</f>
        <v>#REF!</v>
      </c>
      <c r="S22" s="12"/>
      <c r="T22" s="130" t="s">
        <v>63</v>
      </c>
      <c r="U22" s="150" t="e">
        <f ca="1">C22-SUMIF(Journal!$C$2:$C$201,B22,Journal!$E$2:$E$201)+SUMIF(Journal!$D$2:$H$201,B22,Journal!$F$2:$F$201)</f>
        <v>#REF!</v>
      </c>
    </row>
    <row r="23" spans="2:21">
      <c r="B23" s="130" t="s">
        <v>65</v>
      </c>
      <c r="C23" s="135" t="e">
        <f>Setup!#REF!</f>
        <v>#REF!</v>
      </c>
      <c r="D23" s="12"/>
      <c r="E23" s="12"/>
      <c r="F23" s="12"/>
      <c r="H23" s="12"/>
      <c r="N23" s="12"/>
      <c r="O23" s="12"/>
      <c r="P23" s="12"/>
      <c r="Q23" s="140" t="s">
        <v>5</v>
      </c>
      <c r="R23" s="141">
        <f ca="1">'IDM Worksheet'!E116-'IDM Worksheet'!F116</f>
        <v>0</v>
      </c>
      <c r="S23" s="12"/>
      <c r="T23" s="130" t="s">
        <v>65</v>
      </c>
      <c r="U23" s="150" t="e">
        <f ca="1">C23-SUMIF(Journal!$C$2:$C$201,B23,Journal!$E$2:$E$201)+SUMIF(Journal!$D$2:$H$201,B23,Journal!$F$2:$F$201)</f>
        <v>#REF!</v>
      </c>
    </row>
    <row r="24" spans="2:21" ht="15.75" thickBot="1">
      <c r="B24" s="130" t="s">
        <v>69</v>
      </c>
      <c r="C24" s="135" t="e">
        <f>Setup!#REF!</f>
        <v>#REF!</v>
      </c>
      <c r="D24" s="12"/>
      <c r="F24" s="12"/>
      <c r="H24" s="12"/>
      <c r="N24" s="12"/>
      <c r="O24" s="12"/>
      <c r="P24" s="12"/>
      <c r="Q24" s="140" t="s">
        <v>144</v>
      </c>
      <c r="R24" s="141">
        <f ca="1">'IDM Worksheet'!E117-'IDM Worksheet'!F117</f>
        <v>0</v>
      </c>
      <c r="S24" s="12"/>
      <c r="T24" s="130" t="s">
        <v>69</v>
      </c>
      <c r="U24" s="150" t="e">
        <f ca="1">C24-SUMIF(Journal!$C$2:$C$201,B24,Journal!$E$2:$E$201)+SUMIF(Journal!$D$2:$H$201,B24,Journal!$F$2:$F$201)</f>
        <v>#REF!</v>
      </c>
    </row>
    <row r="25" spans="2:21" ht="15.75" thickBot="1">
      <c r="B25" s="154" t="s">
        <v>42</v>
      </c>
      <c r="C25" s="155" t="e">
        <f>SUM(C17:C24)</f>
        <v>#REF!</v>
      </c>
      <c r="D25" s="12"/>
      <c r="H25" s="12"/>
      <c r="N25" s="12"/>
      <c r="O25" s="12"/>
      <c r="P25" s="12"/>
      <c r="Q25" s="140" t="s">
        <v>88</v>
      </c>
      <c r="R25" s="141">
        <f ca="1">'IDM Worksheet'!E118-'IDM Worksheet'!F118</f>
        <v>0</v>
      </c>
      <c r="S25" s="12"/>
      <c r="T25" s="156" t="s">
        <v>42</v>
      </c>
      <c r="U25" s="155" t="e">
        <f ca="1">SUM(U17:U24)</f>
        <v>#REF!</v>
      </c>
    </row>
    <row r="26" spans="2:21" ht="15.75" thickBot="1">
      <c r="B26" s="147" t="s">
        <v>43</v>
      </c>
      <c r="C26" s="148"/>
      <c r="D26" s="12"/>
      <c r="H26" s="12"/>
      <c r="N26" s="12"/>
      <c r="O26" s="12"/>
      <c r="P26" s="12"/>
      <c r="Q26" s="157" t="s">
        <v>67</v>
      </c>
      <c r="R26" s="141" t="e">
        <f ca="1">'IDM Worksheet'!E119-'IDM Worksheet'!F119</f>
        <v>#REF!</v>
      </c>
      <c r="S26" s="12"/>
      <c r="T26" s="147" t="s">
        <v>43</v>
      </c>
      <c r="U26" s="148"/>
    </row>
    <row r="27" spans="2:21" ht="15.75" thickBot="1">
      <c r="B27" s="130" t="s">
        <v>60</v>
      </c>
      <c r="C27" s="131" t="e">
        <f>Setup!#REF!</f>
        <v>#REF!</v>
      </c>
      <c r="D27" s="12"/>
      <c r="H27" s="12"/>
      <c r="N27" s="12"/>
      <c r="O27" s="12"/>
      <c r="P27" s="12"/>
      <c r="Q27" s="84" t="s">
        <v>145</v>
      </c>
      <c r="R27" s="85" t="e">
        <f ca="1">SUM(R4:R26)</f>
        <v>#REF!</v>
      </c>
      <c r="S27" s="12"/>
      <c r="T27" s="130" t="s">
        <v>60</v>
      </c>
      <c r="U27" s="131" t="e">
        <f ca="1">C27-SUMIF(Journal!$C$2:$C$201,B27,Journal!$E$2:$E$201)+SUMIF(Journal!$D$2:$H$201,B27,Journal!$F$2:$F$201)</f>
        <v>#REF!</v>
      </c>
    </row>
    <row r="28" spans="2:21">
      <c r="B28" s="130" t="s">
        <v>6</v>
      </c>
      <c r="C28" s="158">
        <f>Setup!C28</f>
        <v>100</v>
      </c>
      <c r="D28" s="12"/>
      <c r="H28" s="12"/>
      <c r="N28" s="12"/>
      <c r="O28" s="12"/>
      <c r="P28" s="12"/>
      <c r="Q28" s="109" t="s">
        <v>146</v>
      </c>
      <c r="R28" s="110"/>
      <c r="S28" s="12"/>
      <c r="T28" s="130" t="s">
        <v>6</v>
      </c>
      <c r="U28" s="158">
        <f ca="1">C28-SUMIF(Journal!$C$2:$C$201,B28,Journal!$E$2:$E$201)+SUMIF(Journal!$D$2:$H$201,B28,Journal!$F$2:$F$201)</f>
        <v>100</v>
      </c>
    </row>
    <row r="29" spans="2:21">
      <c r="B29" s="130" t="s">
        <v>57</v>
      </c>
      <c r="C29" s="135" t="e">
        <f>Setup!#REF!</f>
        <v>#REF!</v>
      </c>
      <c r="D29" s="12"/>
      <c r="H29" s="12"/>
      <c r="N29" s="12"/>
      <c r="O29" s="12"/>
      <c r="P29" s="12"/>
      <c r="Q29" s="130" t="s">
        <v>147</v>
      </c>
      <c r="R29" s="132">
        <f>Journal!E53</f>
        <v>0</v>
      </c>
      <c r="S29" s="12"/>
      <c r="T29" s="130" t="s">
        <v>57</v>
      </c>
      <c r="U29" s="135" t="e">
        <f ca="1">C29-SUMIF(Journal!$C$2:$C$201,B29,Journal!$E$2:$E$201)+SUMIF(Journal!$D$2:$H$201,B29,Journal!$F$2:$F$201)</f>
        <v>#REF!</v>
      </c>
    </row>
    <row r="30" spans="2:21">
      <c r="B30" s="130" t="s">
        <v>98</v>
      </c>
      <c r="C30" s="135" t="e">
        <f>Setup!#REF!</f>
        <v>#REF!</v>
      </c>
      <c r="D30" s="12"/>
      <c r="F30" s="83"/>
      <c r="H30" s="12"/>
      <c r="N30" s="12"/>
      <c r="O30" s="12"/>
      <c r="P30" s="12"/>
      <c r="Q30" s="130" t="s">
        <v>148</v>
      </c>
      <c r="R30" s="141">
        <f>Journal!E59</f>
        <v>0</v>
      </c>
      <c r="S30" s="12"/>
      <c r="T30" s="130" t="s">
        <v>98</v>
      </c>
      <c r="U30" s="135" t="e">
        <f ca="1">C30-SUMIF(Journal!$C$2:$C$201,B30,Journal!$E$2:$E$201)+SUMIF(Journal!$D$2:$H$201,B30,Journal!$F$2:$F$201)</f>
        <v>#REF!</v>
      </c>
    </row>
    <row r="31" spans="2:21">
      <c r="B31" s="130" t="s">
        <v>10</v>
      </c>
      <c r="C31" s="135">
        <f>Setup!C29</f>
        <v>0</v>
      </c>
      <c r="D31" s="12"/>
      <c r="F31" s="12"/>
      <c r="H31" s="12"/>
      <c r="N31" s="12"/>
      <c r="O31" s="12"/>
      <c r="P31" s="12"/>
      <c r="Q31" s="130" t="s">
        <v>149</v>
      </c>
      <c r="R31" s="141">
        <f>-Journal!F34</f>
        <v>0</v>
      </c>
      <c r="S31" s="12"/>
      <c r="T31" s="130" t="s">
        <v>10</v>
      </c>
      <c r="U31" s="135">
        <f>C31-SUMIF(Journal!$C$2:$C$219,B31,Journal!$E$2:$E$219)+SUMIF(Journal!$D$2:$D$219,B31,Journal!$F$2:$F$219)</f>
        <v>0</v>
      </c>
    </row>
    <row r="32" spans="2:21" ht="15.75" thickBot="1">
      <c r="B32" s="130" t="s">
        <v>150</v>
      </c>
      <c r="C32" s="135" t="e">
        <f>Setup!#REF!</f>
        <v>#REF!</v>
      </c>
      <c r="D32" s="12"/>
      <c r="F32" s="12"/>
      <c r="H32" s="12"/>
      <c r="N32" s="12"/>
      <c r="O32" s="12"/>
      <c r="P32" s="12"/>
      <c r="Q32" s="130" t="s">
        <v>151</v>
      </c>
      <c r="R32" s="141">
        <f>-Journal!F37</f>
        <v>0</v>
      </c>
      <c r="S32" s="12"/>
      <c r="T32" s="130" t="s">
        <v>150</v>
      </c>
      <c r="U32" s="135" t="e">
        <f>C32-SUMIF(Journal!$C$2:$C$219,B32,Journal!$E$2:$E$219)+SUMIF(Journal!$D$2:$D$219,B32,Journal!$F$2:$F$219)</f>
        <v>#REF!</v>
      </c>
    </row>
    <row r="33" spans="1:21" ht="15.75" thickBot="1">
      <c r="B33" s="154" t="s">
        <v>44</v>
      </c>
      <c r="C33" s="155" t="e">
        <f>SUM(C27:C32)</f>
        <v>#REF!</v>
      </c>
      <c r="D33" s="12"/>
      <c r="F33" s="12"/>
      <c r="H33" s="12"/>
      <c r="N33" s="12"/>
      <c r="O33" s="12"/>
      <c r="P33" s="12"/>
      <c r="Q33" s="130" t="s">
        <v>152</v>
      </c>
      <c r="R33" s="141">
        <f>-Journal!F51</f>
        <v>0</v>
      </c>
      <c r="S33" s="12"/>
      <c r="T33" s="156" t="s">
        <v>44</v>
      </c>
      <c r="U33" s="155" t="e">
        <f ca="1">SUM(U27:U32)</f>
        <v>#REF!</v>
      </c>
    </row>
    <row r="34" spans="1:21" ht="15.75" thickBot="1">
      <c r="A34" s="12"/>
      <c r="B34" s="145" t="s">
        <v>45</v>
      </c>
      <c r="C34" s="146" t="e">
        <f>C25+C33</f>
        <v>#REF!</v>
      </c>
      <c r="D34" s="12"/>
      <c r="E34" s="12"/>
      <c r="F34" s="12"/>
      <c r="H34" s="12"/>
      <c r="N34" s="12"/>
      <c r="O34" s="12"/>
      <c r="P34" s="12"/>
      <c r="Q34" s="130" t="s">
        <v>153</v>
      </c>
      <c r="R34" s="141">
        <f>-Journal!F31</f>
        <v>0</v>
      </c>
      <c r="S34" s="12"/>
      <c r="T34" s="145" t="s">
        <v>45</v>
      </c>
      <c r="U34" s="201" t="e">
        <f ca="1">U25+U33</f>
        <v>#REF!</v>
      </c>
    </row>
    <row r="35" spans="1:21">
      <c r="A35" s="12"/>
      <c r="D35" s="12"/>
      <c r="E35" s="12"/>
      <c r="F35" s="12"/>
      <c r="H35" s="12"/>
      <c r="N35" s="12"/>
      <c r="O35" s="12"/>
      <c r="P35" s="12"/>
      <c r="Q35" s="161" t="s">
        <v>154</v>
      </c>
      <c r="R35" s="141">
        <f>-Journal!F40</f>
        <v>0</v>
      </c>
      <c r="S35" s="12"/>
    </row>
    <row r="36" spans="1:21" ht="15.75" thickBot="1">
      <c r="A36" s="12"/>
      <c r="D36" s="12"/>
      <c r="E36" s="12"/>
      <c r="F36" s="12"/>
      <c r="H36" s="12"/>
      <c r="N36" s="12"/>
      <c r="O36" s="12"/>
      <c r="P36" s="12"/>
      <c r="Q36" s="162" t="s">
        <v>155</v>
      </c>
      <c r="R36" s="163">
        <f>SUM(R29:R35)</f>
        <v>0</v>
      </c>
      <c r="S36" s="12"/>
    </row>
    <row r="37" spans="1:21">
      <c r="A37" s="12"/>
      <c r="D37" s="12"/>
      <c r="E37" s="12"/>
      <c r="F37" s="12"/>
      <c r="H37" s="12"/>
      <c r="N37" s="12"/>
      <c r="O37" s="12"/>
      <c r="P37" s="12"/>
      <c r="Q37" s="109" t="s">
        <v>156</v>
      </c>
      <c r="R37" s="110"/>
      <c r="S37" s="12"/>
    </row>
    <row r="38" spans="1:21">
      <c r="A38" s="12"/>
      <c r="D38" s="12"/>
      <c r="E38" s="12"/>
      <c r="F38" s="12"/>
      <c r="H38" s="12"/>
      <c r="N38" s="12"/>
      <c r="O38" s="12"/>
      <c r="P38" s="12"/>
      <c r="Q38" s="130" t="s">
        <v>157</v>
      </c>
      <c r="R38" s="132">
        <f>Journal!E2</f>
        <v>0</v>
      </c>
      <c r="S38" s="12"/>
    </row>
    <row r="39" spans="1:21">
      <c r="A39" s="12"/>
      <c r="D39" s="12"/>
      <c r="E39" s="12"/>
      <c r="F39" s="12"/>
      <c r="H39" s="12"/>
      <c r="N39" s="12"/>
      <c r="O39" s="12"/>
      <c r="P39" s="12"/>
      <c r="Q39" s="130" t="s">
        <v>158</v>
      </c>
      <c r="R39" s="141">
        <f>Journal!E6</f>
        <v>0</v>
      </c>
      <c r="S39" s="12"/>
      <c r="T39" s="12"/>
      <c r="U39" s="12"/>
    </row>
    <row r="40" spans="1:21">
      <c r="A40" s="12"/>
      <c r="D40" s="12"/>
      <c r="E40" s="12"/>
      <c r="F40" s="12"/>
      <c r="H40" s="12"/>
      <c r="N40" s="12"/>
      <c r="O40" s="12"/>
      <c r="P40" s="12"/>
      <c r="Q40" s="130" t="s">
        <v>159</v>
      </c>
      <c r="R40" s="141">
        <f>Journal!E12</f>
        <v>0</v>
      </c>
      <c r="S40" s="12"/>
      <c r="T40" s="12"/>
      <c r="U40" s="12"/>
    </row>
    <row r="41" spans="1:21">
      <c r="A41" s="12"/>
      <c r="D41" s="12"/>
      <c r="E41" s="12"/>
      <c r="F41" s="12"/>
      <c r="H41" s="12"/>
      <c r="N41" s="12"/>
      <c r="O41" s="12"/>
      <c r="P41" s="12"/>
      <c r="Q41" s="130" t="s">
        <v>160</v>
      </c>
      <c r="R41" s="141">
        <f>Journal!E9</f>
        <v>0</v>
      </c>
      <c r="S41" s="12"/>
      <c r="T41" s="12"/>
      <c r="U41" s="12"/>
    </row>
    <row r="42" spans="1:21">
      <c r="A42" s="12"/>
      <c r="D42" s="12"/>
      <c r="E42" s="12"/>
      <c r="F42" s="12"/>
      <c r="H42" s="12"/>
      <c r="N42" s="12"/>
      <c r="O42" s="12"/>
      <c r="P42" s="12"/>
      <c r="Q42" s="130" t="s">
        <v>161</v>
      </c>
      <c r="R42" s="141">
        <f>'IDM Worksheet'!E138</f>
        <v>0</v>
      </c>
      <c r="S42" s="12"/>
      <c r="T42" s="12"/>
      <c r="U42" s="12"/>
    </row>
    <row r="43" spans="1:21">
      <c r="A43" s="12"/>
      <c r="D43" s="12"/>
      <c r="E43" s="12"/>
      <c r="F43" s="12"/>
      <c r="H43" s="12"/>
      <c r="N43" s="12"/>
      <c r="O43" s="12"/>
      <c r="P43" s="12"/>
      <c r="Q43" s="130" t="s">
        <v>162</v>
      </c>
      <c r="R43" s="141">
        <f>'IDM Worksheet'!E139</f>
        <v>0</v>
      </c>
      <c r="S43" s="12"/>
      <c r="T43" s="12"/>
      <c r="U43" s="12"/>
    </row>
    <row r="44" spans="1:21">
      <c r="A44" s="12"/>
      <c r="D44" s="12"/>
      <c r="E44" s="12"/>
      <c r="F44" s="12"/>
      <c r="H44" s="12"/>
      <c r="N44" s="12"/>
      <c r="O44" s="12"/>
      <c r="P44" s="12"/>
      <c r="Q44" s="130" t="s">
        <v>163</v>
      </c>
      <c r="R44" s="141">
        <f>-Journal!F22</f>
        <v>0</v>
      </c>
      <c r="S44" s="12"/>
      <c r="T44" s="12"/>
      <c r="U44" s="12"/>
    </row>
    <row r="45" spans="1:21">
      <c r="A45" s="12"/>
      <c r="D45" s="12"/>
      <c r="E45" s="12"/>
      <c r="F45" s="12"/>
      <c r="H45" s="12"/>
      <c r="N45" s="12"/>
      <c r="O45" s="12"/>
      <c r="P45" s="12"/>
      <c r="Q45" s="161" t="s">
        <v>164</v>
      </c>
      <c r="R45" s="141">
        <f>-Journal!F27</f>
        <v>0</v>
      </c>
      <c r="S45" s="12"/>
      <c r="T45" s="12"/>
      <c r="U45" s="12"/>
    </row>
    <row r="46" spans="1:21" ht="15.75" thickBot="1">
      <c r="A46" s="12"/>
      <c r="D46" s="12"/>
      <c r="E46" s="12"/>
      <c r="F46" s="12"/>
      <c r="H46" s="12"/>
      <c r="N46" s="12"/>
      <c r="O46" s="12"/>
      <c r="P46" s="12"/>
      <c r="Q46" s="162" t="s">
        <v>165</v>
      </c>
      <c r="R46" s="163">
        <f>SUM(R38:R43)</f>
        <v>0</v>
      </c>
      <c r="S46" s="12"/>
      <c r="T46" s="12"/>
      <c r="U46" s="12"/>
    </row>
    <row r="47" spans="1:21" ht="15.75" thickBot="1">
      <c r="A47" s="12"/>
      <c r="D47" s="12"/>
      <c r="E47" s="12"/>
      <c r="F47" s="12"/>
      <c r="H47" s="12"/>
      <c r="N47" s="12"/>
      <c r="O47" s="12"/>
      <c r="P47" s="12"/>
      <c r="Q47" s="164" t="s">
        <v>166</v>
      </c>
      <c r="R47" s="165" t="e">
        <f ca="1">R27+R36+R46</f>
        <v>#REF!</v>
      </c>
      <c r="S47" s="12"/>
      <c r="T47" s="12"/>
      <c r="U47" s="12"/>
    </row>
    <row r="48" spans="1:21">
      <c r="A48" s="12"/>
      <c r="D48" s="12"/>
      <c r="E48" s="12"/>
      <c r="F48" s="12"/>
      <c r="H48" s="12"/>
      <c r="N48" s="12"/>
      <c r="O48" s="12"/>
      <c r="P48" s="12"/>
      <c r="Q48" s="12"/>
      <c r="R48" s="12"/>
      <c r="S48" s="12"/>
      <c r="T48" s="12"/>
      <c r="U48" s="12"/>
    </row>
    <row r="49" spans="1:21">
      <c r="A49" s="12"/>
      <c r="D49" s="12"/>
      <c r="E49" s="12"/>
      <c r="F49" s="12"/>
      <c r="H49" s="12"/>
      <c r="N49" s="12"/>
      <c r="O49" s="12"/>
      <c r="P49" s="12"/>
      <c r="T49" s="12"/>
      <c r="U49" s="12"/>
    </row>
    <row r="50" spans="1:21">
      <c r="A50" s="12"/>
      <c r="D50" s="12"/>
      <c r="E50" s="12"/>
      <c r="F50" s="12"/>
      <c r="H50" s="12"/>
      <c r="N50" s="12"/>
      <c r="O50" s="12"/>
      <c r="P50" s="12"/>
    </row>
    <row r="51" spans="1:21">
      <c r="A51" s="12"/>
      <c r="D51" s="12"/>
      <c r="E51" s="12"/>
      <c r="F51" s="12"/>
      <c r="H51" s="12"/>
      <c r="N51" s="12"/>
      <c r="O51" s="12"/>
      <c r="P51" s="12"/>
    </row>
    <row r="52" spans="1:21">
      <c r="A52" s="12"/>
      <c r="D52" s="12"/>
      <c r="E52" s="12"/>
      <c r="F52" s="12"/>
      <c r="H52" s="12"/>
      <c r="N52" s="12"/>
      <c r="O52" s="12"/>
      <c r="P52" s="12"/>
    </row>
    <row r="53" spans="1:21">
      <c r="A53" s="12"/>
      <c r="D53" s="12"/>
      <c r="E53" s="12"/>
      <c r="F53" s="12"/>
      <c r="H53" s="12"/>
      <c r="N53" s="12"/>
      <c r="O53" s="12"/>
      <c r="P53" s="12"/>
    </row>
    <row r="54" spans="1:21">
      <c r="A54" s="12"/>
      <c r="B54" s="12"/>
      <c r="C54" s="12"/>
      <c r="D54" s="12"/>
      <c r="E54" s="12"/>
      <c r="F54" s="12"/>
      <c r="H54" s="12"/>
      <c r="N54" s="12"/>
      <c r="O54" s="12"/>
      <c r="P54" s="12"/>
    </row>
    <row r="55" spans="1:21">
      <c r="A55" s="12"/>
      <c r="B55" s="12"/>
      <c r="C55" s="12"/>
      <c r="D55" s="12"/>
      <c r="E55" s="12"/>
      <c r="F55" s="12"/>
      <c r="H55" s="12"/>
      <c r="N55" s="12"/>
      <c r="O55" s="12"/>
      <c r="P55" s="12"/>
    </row>
    <row r="56" spans="1:21">
      <c r="A56" s="12"/>
      <c r="B56" s="12"/>
      <c r="C56" s="12"/>
      <c r="D56" s="12"/>
      <c r="E56" s="12"/>
      <c r="F56" s="12"/>
      <c r="H56" s="12"/>
      <c r="N56" s="12"/>
      <c r="O56" s="12"/>
      <c r="P56" s="12"/>
    </row>
    <row r="57" spans="1:21">
      <c r="A57" s="12"/>
      <c r="B57" s="12"/>
      <c r="C57" s="12"/>
      <c r="D57" s="12"/>
      <c r="E57" s="12"/>
      <c r="F57" s="12"/>
      <c r="H57" s="12"/>
      <c r="N57" s="12"/>
      <c r="O57" s="12"/>
      <c r="P57" s="12"/>
      <c r="Q57" s="12"/>
      <c r="R57" s="12"/>
      <c r="S57" s="12"/>
    </row>
    <row r="58" spans="1:21">
      <c r="A58" s="12"/>
      <c r="B58" s="12"/>
      <c r="C58" s="12"/>
      <c r="D58" s="12"/>
      <c r="E58" s="12"/>
      <c r="F58" s="12"/>
      <c r="H58" s="12"/>
      <c r="N58" s="12"/>
      <c r="O58" s="12"/>
      <c r="P58" s="12"/>
      <c r="Q58" s="12"/>
      <c r="R58" s="12"/>
      <c r="S58" s="12"/>
      <c r="T58" s="12"/>
      <c r="U58" s="12"/>
    </row>
    <row r="59" spans="1:21">
      <c r="A59" s="12"/>
      <c r="B59" s="12"/>
      <c r="C59" s="12"/>
      <c r="D59" s="12"/>
      <c r="E59" s="12"/>
      <c r="F59" s="12"/>
      <c r="H59" s="12"/>
      <c r="N59" s="12"/>
      <c r="O59" s="12"/>
      <c r="P59" s="12"/>
      <c r="Q59" s="12"/>
      <c r="R59" s="12"/>
      <c r="S59" s="12"/>
      <c r="T59" s="12"/>
      <c r="U59" s="12"/>
    </row>
    <row r="60" spans="1:21">
      <c r="A60" s="12"/>
      <c r="B60" s="12"/>
      <c r="C60" s="12"/>
      <c r="D60" s="12"/>
      <c r="E60" s="12"/>
      <c r="F60" s="12"/>
      <c r="H60" s="12"/>
      <c r="N60" s="12"/>
      <c r="O60" s="12"/>
      <c r="P60" s="12"/>
      <c r="Q60" s="12"/>
      <c r="R60" s="12"/>
      <c r="S60" s="12"/>
      <c r="T60" s="12"/>
      <c r="U60" s="12"/>
    </row>
    <row r="61" spans="1:21">
      <c r="A61" s="12"/>
      <c r="B61" s="12"/>
      <c r="C61" s="12"/>
      <c r="D61" s="12"/>
      <c r="E61" s="12"/>
      <c r="F61" s="12"/>
      <c r="H61" s="12"/>
      <c r="N61" s="12"/>
      <c r="O61" s="12"/>
      <c r="P61" s="12"/>
      <c r="Q61" s="12"/>
      <c r="R61" s="12"/>
      <c r="S61" s="12"/>
    </row>
    <row r="62" spans="1:21">
      <c r="A62" s="12"/>
      <c r="B62" s="12"/>
      <c r="C62" s="12"/>
      <c r="D62" s="12"/>
      <c r="E62" s="12"/>
      <c r="F62" s="12"/>
      <c r="H62" s="12"/>
      <c r="N62" s="12"/>
      <c r="O62" s="12"/>
      <c r="P62" s="12"/>
      <c r="Q62" s="12"/>
      <c r="R62" s="12"/>
      <c r="S62" s="12"/>
    </row>
    <row r="63" spans="1:21">
      <c r="A63" s="12"/>
      <c r="B63" s="12"/>
      <c r="C63" s="12"/>
      <c r="D63" s="12"/>
      <c r="E63" s="12"/>
      <c r="F63" s="12"/>
      <c r="H63" s="12"/>
      <c r="N63" s="12"/>
      <c r="O63" s="12"/>
      <c r="P63" s="12"/>
      <c r="Q63" s="12"/>
      <c r="R63" s="12"/>
      <c r="S63" s="12"/>
    </row>
    <row r="64" spans="1:21">
      <c r="A64" s="12"/>
      <c r="B64" s="12"/>
      <c r="C64" s="12"/>
      <c r="D64" s="12"/>
      <c r="E64" s="12"/>
      <c r="F64" s="12"/>
      <c r="H64" s="12"/>
      <c r="N64" s="12"/>
      <c r="O64" s="12"/>
      <c r="P64" s="12"/>
      <c r="Q64" s="12"/>
      <c r="R64" s="12"/>
      <c r="S64" s="12"/>
    </row>
    <row r="65" spans="1:21">
      <c r="A65" s="12"/>
      <c r="B65" s="12"/>
      <c r="C65" s="12"/>
      <c r="D65" s="12"/>
      <c r="E65" s="12"/>
      <c r="F65" s="12"/>
      <c r="H65" s="12"/>
      <c r="N65" s="12"/>
      <c r="O65" s="12"/>
      <c r="P65" s="12"/>
      <c r="Q65" s="12" t="s">
        <v>167</v>
      </c>
      <c r="R65" s="153" t="b">
        <f ca="1">COUNTIF(R6:R17,"&lt;&gt;0")+COUNTIF(R19:R26,"&lt;&gt;0")+COUNTIF(R4,"&lt;&gt;0")=0</f>
        <v>0</v>
      </c>
      <c r="S65" s="12"/>
    </row>
    <row r="66" spans="1:21">
      <c r="A66" s="12"/>
      <c r="B66" s="160" t="s">
        <v>168</v>
      </c>
      <c r="C66" s="153" t="b">
        <f>COUNTIF(C4:C14,"&lt;&gt;0")=0</f>
        <v>0</v>
      </c>
      <c r="D66" s="12"/>
      <c r="E66" s="12" t="s">
        <v>169</v>
      </c>
      <c r="F66" s="153" t="b">
        <f ca="1">COUNTIF(F4,"&lt;&gt;0")=0</f>
        <v>0</v>
      </c>
      <c r="H66" s="12"/>
      <c r="N66" s="12"/>
      <c r="O66" s="12"/>
      <c r="P66" s="12"/>
      <c r="Q66" s="12" t="s">
        <v>170</v>
      </c>
      <c r="R66" s="153" t="b">
        <f>COUNTIF(R29:R35,"&lt;&gt;0")=0</f>
        <v>1</v>
      </c>
      <c r="S66" s="12"/>
      <c r="T66" s="160" t="s">
        <v>168</v>
      </c>
      <c r="U66" s="153" t="b">
        <f>COUNTIF(U4:U14,"&lt;&gt;0")=0</f>
        <v>0</v>
      </c>
    </row>
    <row r="67" spans="1:21">
      <c r="A67" s="12"/>
      <c r="B67" s="160" t="s">
        <v>171</v>
      </c>
      <c r="C67" s="153" t="b">
        <f>COUNTIF(C17:C24,"&lt;&gt;0")=0</f>
        <v>0</v>
      </c>
      <c r="D67" s="12"/>
      <c r="E67" s="12" t="s">
        <v>172</v>
      </c>
      <c r="F67" s="153" t="b">
        <f>COUNTIF(F6:F10,"&lt;&gt;0")=0</f>
        <v>0</v>
      </c>
      <c r="H67" s="12"/>
      <c r="N67" s="12"/>
      <c r="O67" s="12"/>
      <c r="P67" s="12"/>
      <c r="Q67" s="12" t="s">
        <v>173</v>
      </c>
      <c r="R67" s="153" t="b">
        <f>COUNTIF(R38:R43,"&lt;&gt;0")=0</f>
        <v>1</v>
      </c>
      <c r="S67" s="12"/>
      <c r="T67" s="160" t="s">
        <v>171</v>
      </c>
      <c r="U67" s="153" t="b">
        <f ca="1">COUNTIF(U17:U24,"&lt;&gt;0")=0</f>
        <v>0</v>
      </c>
    </row>
    <row r="68" spans="1:21">
      <c r="B68" s="160" t="s">
        <v>174</v>
      </c>
      <c r="C68" s="153" t="b">
        <f>COUNTIF(C27:C32,"&lt;&gt;0")=0</f>
        <v>0</v>
      </c>
      <c r="D68" s="12"/>
      <c r="E68" s="12" t="s">
        <v>175</v>
      </c>
      <c r="F68" s="153" t="b">
        <f>COUNTIF(F12:F15,"&lt;&gt;0")=0</f>
        <v>1</v>
      </c>
      <c r="H68" s="12"/>
      <c r="N68" s="12"/>
      <c r="O68" s="12"/>
      <c r="P68" s="12"/>
      <c r="Q68" s="12" t="s">
        <v>176</v>
      </c>
      <c r="R68" s="12" t="b">
        <f ca="1">AND(R65,R66,R67)</f>
        <v>0</v>
      </c>
      <c r="S68" s="12"/>
      <c r="T68" s="160" t="s">
        <v>174</v>
      </c>
      <c r="U68" s="153" t="b">
        <f ca="1">COUNTIF(U27:U32,"&lt;&gt;0")=0</f>
        <v>0</v>
      </c>
    </row>
    <row r="69" spans="1:21">
      <c r="B69" s="12" t="s">
        <v>177</v>
      </c>
      <c r="C69" s="12" t="b">
        <f>AND(C66,C67,C68)</f>
        <v>0</v>
      </c>
      <c r="D69" s="12"/>
      <c r="E69" s="12" t="s">
        <v>178</v>
      </c>
      <c r="F69" s="153" t="b">
        <f>COUNTIF(F17:F21,"&lt;&gt;0")=0</f>
        <v>1</v>
      </c>
      <c r="H69" s="12"/>
      <c r="N69" s="12"/>
      <c r="O69" s="12"/>
      <c r="P69" s="12"/>
      <c r="Q69" s="12"/>
      <c r="R69" s="12"/>
      <c r="S69" s="12"/>
      <c r="T69" s="12" t="s">
        <v>179</v>
      </c>
      <c r="U69" s="12" t="b">
        <f ca="1">AND(U66,U67,U68)</f>
        <v>0</v>
      </c>
    </row>
    <row r="70" spans="1:21">
      <c r="B70" s="12" t="s">
        <v>180</v>
      </c>
      <c r="C70" s="12" t="b">
        <f ca="1">AND(C69,U69)</f>
        <v>0</v>
      </c>
      <c r="D70" s="12"/>
      <c r="E70" s="12" t="s">
        <v>181</v>
      </c>
      <c r="F70" s="159" t="b">
        <f ca="1">AND(F66,F67,F68,F69)</f>
        <v>0</v>
      </c>
      <c r="H70" s="12"/>
      <c r="N70" s="12"/>
      <c r="O70" s="12"/>
      <c r="P70" s="12"/>
      <c r="Q70" s="12"/>
      <c r="R70" s="12"/>
      <c r="S70" s="12"/>
      <c r="T70" s="12"/>
      <c r="U70" s="12"/>
    </row>
    <row r="71" spans="1:21">
      <c r="B71" s="12"/>
      <c r="C71" s="12"/>
      <c r="D71" s="12"/>
      <c r="E71" s="12"/>
      <c r="F71" s="12"/>
      <c r="H71" s="12"/>
      <c r="N71" s="12"/>
      <c r="O71" s="12"/>
      <c r="P71" s="12"/>
      <c r="Q71" s="12"/>
      <c r="R71" s="12"/>
      <c r="S71" s="12"/>
      <c r="T71" s="12" t="s">
        <v>182</v>
      </c>
      <c r="U71" s="160" t="e">
        <f>SUM(U4:U14)</f>
        <v>#REF!</v>
      </c>
    </row>
    <row r="72" spans="1:21">
      <c r="B72" s="12"/>
      <c r="C72" s="12"/>
      <c r="D72" s="12"/>
      <c r="E72" s="12"/>
      <c r="F72" s="12"/>
      <c r="H72" s="12"/>
      <c r="N72" s="12"/>
      <c r="O72" s="12"/>
      <c r="P72" s="12"/>
      <c r="Q72" s="12"/>
      <c r="R72" s="12"/>
      <c r="S72" s="12"/>
      <c r="T72" s="12" t="s">
        <v>183</v>
      </c>
      <c r="U72" s="160" t="e">
        <f ca="1">SUM(U17:U24)</f>
        <v>#REF!</v>
      </c>
    </row>
    <row r="73" spans="1:21">
      <c r="B73" s="12"/>
      <c r="C73" s="12"/>
      <c r="D73" s="12"/>
      <c r="E73" s="12"/>
      <c r="F73" s="12"/>
      <c r="H73" s="12"/>
      <c r="N73" s="12"/>
      <c r="O73" s="12"/>
      <c r="P73" s="12"/>
      <c r="Q73" s="12"/>
      <c r="R73" s="12"/>
      <c r="S73" s="12"/>
      <c r="T73" s="12" t="s">
        <v>184</v>
      </c>
      <c r="U73" s="160" t="e">
        <f ca="1">SUM(U27:U31)</f>
        <v>#REF!</v>
      </c>
    </row>
    <row r="74" spans="1:21">
      <c r="B74" s="12"/>
      <c r="C74" s="12"/>
      <c r="D74" s="12"/>
      <c r="E74" s="12"/>
      <c r="F74" s="12"/>
      <c r="H74" s="12"/>
      <c r="N74" s="12"/>
      <c r="O74" s="12"/>
      <c r="P74" s="12"/>
      <c r="Q74" s="12"/>
      <c r="R74" s="12"/>
      <c r="S74" s="12"/>
      <c r="T74" s="12" t="s">
        <v>185</v>
      </c>
      <c r="U74" s="160" t="e">
        <f ca="1">U71-U72-U73</f>
        <v>#REF!</v>
      </c>
    </row>
    <row r="75" spans="1:21">
      <c r="B75" s="12"/>
      <c r="C75" s="12"/>
      <c r="D75" s="12"/>
      <c r="E75" s="12"/>
      <c r="F75" s="12"/>
      <c r="H75" s="12"/>
      <c r="N75" s="12"/>
      <c r="O75" s="12"/>
      <c r="P75" s="12"/>
      <c r="Q75" s="12"/>
      <c r="R75" s="12"/>
      <c r="S75" s="12"/>
      <c r="T75" s="12"/>
      <c r="U75" s="12"/>
    </row>
    <row r="76" spans="1:21">
      <c r="B76" s="12"/>
      <c r="C76" s="12"/>
      <c r="D76" s="12"/>
      <c r="E76" s="12"/>
      <c r="F76" s="12"/>
      <c r="H76" s="12"/>
      <c r="N76" s="12"/>
      <c r="O76" s="12"/>
      <c r="P76" s="12"/>
      <c r="Q76" s="12"/>
      <c r="R76" s="12"/>
      <c r="S76" s="12"/>
      <c r="T76" s="12"/>
      <c r="U76" s="12"/>
    </row>
    <row r="77" spans="1:21">
      <c r="B77" s="12"/>
      <c r="C77" s="12"/>
      <c r="D77" s="12"/>
      <c r="E77" s="12"/>
      <c r="F77" s="12"/>
      <c r="H77" s="12"/>
      <c r="I77" s="12"/>
      <c r="J77" s="12"/>
      <c r="K77" s="12"/>
      <c r="L77" s="12"/>
      <c r="M77" s="12"/>
      <c r="N77" s="12"/>
      <c r="O77" s="12"/>
      <c r="P77" s="12"/>
      <c r="T77" s="12"/>
      <c r="U77" s="12" t="b">
        <f>ROUND(-SUMIF(Journal!$B$2:$B$219,"TempEq",Journal!$E$2:$E$219)+SUMIF(Journal!$B$2:$B$219,"TempEq",Journal!$F$2:$F$219),2)=0</f>
        <v>0</v>
      </c>
    </row>
    <row r="78" spans="1:21">
      <c r="B78" s="12"/>
      <c r="C78" s="12"/>
      <c r="D78" s="12"/>
      <c r="E78" s="12"/>
      <c r="F78" s="12"/>
      <c r="H78" s="12"/>
      <c r="I78" s="12"/>
      <c r="J78" s="12"/>
      <c r="K78" s="12"/>
      <c r="L78" s="12"/>
      <c r="M78" s="12"/>
      <c r="N78" s="12"/>
      <c r="O78" s="12"/>
      <c r="P78" s="12"/>
      <c r="T78" s="12"/>
      <c r="U78" s="12" t="b">
        <f>ROUND(SUM(Journal!E202:E219)-SUM(Journal!F202:F219),2)=0</f>
        <v>1</v>
      </c>
    </row>
    <row r="79" spans="1:21">
      <c r="B79" s="12"/>
      <c r="C79" s="12"/>
      <c r="D79" s="12"/>
      <c r="E79" s="12"/>
      <c r="F79" s="12"/>
      <c r="H79" s="12"/>
      <c r="I79" s="12"/>
      <c r="J79" s="12"/>
      <c r="K79" s="12"/>
      <c r="L79" s="12"/>
      <c r="M79" s="12"/>
      <c r="N79" s="12"/>
      <c r="O79" s="12"/>
      <c r="P79" s="12"/>
    </row>
    <row r="80" spans="1:21">
      <c r="B80" s="12"/>
      <c r="C80" s="12"/>
      <c r="D80" s="12"/>
      <c r="E80" s="12"/>
      <c r="F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2:16">
      <c r="B81" s="12" t="s">
        <v>182</v>
      </c>
      <c r="C81" s="160" t="e">
        <f>SUM(C4:C14)</f>
        <v>#REF!</v>
      </c>
      <c r="D81" s="12"/>
      <c r="E81" s="12"/>
      <c r="F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2:16">
      <c r="B82" s="12" t="s">
        <v>183</v>
      </c>
      <c r="C82" s="160" t="e">
        <f>SUM(C17:C24)</f>
        <v>#REF!</v>
      </c>
      <c r="D82" s="12"/>
      <c r="E82" s="12"/>
      <c r="F82" s="12"/>
      <c r="H82" s="12"/>
      <c r="I82" s="12"/>
      <c r="J82" s="12"/>
      <c r="K82" s="12"/>
      <c r="L82" s="12"/>
      <c r="M82" s="12"/>
      <c r="N82" s="12"/>
      <c r="O82" s="12"/>
      <c r="P82" s="12"/>
    </row>
    <row r="83" spans="2:16">
      <c r="B83" s="12" t="s">
        <v>184</v>
      </c>
      <c r="C83" s="160" t="e">
        <f>SUM(C27:C31)</f>
        <v>#REF!</v>
      </c>
      <c r="D83" s="12"/>
      <c r="E83" s="12"/>
      <c r="F83" s="12"/>
      <c r="H83" s="12"/>
      <c r="I83" s="12"/>
      <c r="J83" s="12"/>
      <c r="K83" s="12"/>
      <c r="L83" s="12"/>
      <c r="M83" s="12"/>
      <c r="N83" s="12"/>
      <c r="O83" s="12"/>
      <c r="P83" s="12"/>
    </row>
    <row r="84" spans="2:16">
      <c r="B84" s="12" t="s">
        <v>185</v>
      </c>
      <c r="C84" s="160" t="e">
        <f>C81-C82-C83</f>
        <v>#REF!</v>
      </c>
      <c r="D84" s="12"/>
      <c r="E84" s="12"/>
      <c r="F84" s="12"/>
      <c r="H84" s="12"/>
      <c r="I84" s="12"/>
      <c r="J84" s="12"/>
      <c r="K84" s="12"/>
      <c r="L84" s="12"/>
      <c r="M84" s="12"/>
      <c r="N84" s="12"/>
      <c r="O84" s="12"/>
      <c r="P84" s="12"/>
    </row>
    <row r="85" spans="2:16">
      <c r="B85" s="12"/>
      <c r="C85" s="12"/>
      <c r="D85" s="12"/>
      <c r="E85" s="12"/>
      <c r="F85" s="12"/>
      <c r="H85" s="12"/>
      <c r="I85" s="12"/>
      <c r="J85" s="12"/>
      <c r="K85" s="12"/>
      <c r="L85" s="12"/>
      <c r="M85" s="12"/>
      <c r="N85" s="12"/>
      <c r="O85" s="12"/>
      <c r="P85" s="12"/>
    </row>
    <row r="86" spans="2:16">
      <c r="B86" s="12"/>
      <c r="C86" s="12"/>
      <c r="D86" s="12"/>
      <c r="E86" s="12"/>
      <c r="F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2:16">
      <c r="B87" s="12"/>
      <c r="C87" s="12"/>
      <c r="D87" s="12"/>
      <c r="E87" s="12"/>
      <c r="F87" s="12"/>
      <c r="H87" s="12"/>
      <c r="I87" s="12"/>
      <c r="J87" s="12"/>
      <c r="K87" s="12"/>
      <c r="L87" s="12"/>
      <c r="M87" s="12"/>
      <c r="N87" s="12"/>
      <c r="O87" s="12"/>
      <c r="P87" s="12"/>
    </row>
    <row r="88" spans="2:16">
      <c r="B88" s="12"/>
      <c r="C88" s="12"/>
      <c r="D88" s="12"/>
      <c r="E88" s="12"/>
      <c r="F88" s="12"/>
      <c r="H88" s="12"/>
      <c r="I88" s="12"/>
      <c r="J88" s="12"/>
      <c r="K88" s="12"/>
      <c r="L88" s="12"/>
      <c r="M88" s="12"/>
      <c r="N88" s="12"/>
      <c r="O88" s="12"/>
      <c r="P88" s="12"/>
    </row>
    <row r="89" spans="2:16">
      <c r="B89" s="12"/>
      <c r="C89" s="12"/>
      <c r="D89" s="12"/>
      <c r="E89" s="12"/>
      <c r="F89" s="12"/>
      <c r="H89" s="12"/>
      <c r="I89" s="12"/>
      <c r="J89" s="12"/>
      <c r="K89" s="12"/>
      <c r="L89" s="12"/>
      <c r="M89" s="12"/>
      <c r="N89" s="12"/>
      <c r="O89" s="12"/>
      <c r="P89" s="12"/>
    </row>
    <row r="90" spans="2:16">
      <c r="B90" s="12"/>
      <c r="C90" s="12"/>
      <c r="D90" s="12"/>
      <c r="E90" s="12"/>
      <c r="F90" s="12"/>
      <c r="H90" s="12"/>
      <c r="I90" s="12"/>
      <c r="J90" s="12"/>
      <c r="K90" s="12"/>
      <c r="L90" s="12"/>
      <c r="M90" s="12"/>
      <c r="N90" s="12"/>
      <c r="O90" s="12"/>
      <c r="P90" s="12"/>
    </row>
    <row r="91" spans="2:16">
      <c r="B91" s="12"/>
      <c r="C91" s="12"/>
      <c r="D91" s="12"/>
      <c r="E91" s="12"/>
      <c r="F91" s="12"/>
      <c r="H91" s="12"/>
      <c r="I91" s="12"/>
      <c r="J91" s="12"/>
      <c r="K91" s="12"/>
      <c r="L91" s="12"/>
      <c r="M91" s="12"/>
      <c r="N91" s="12"/>
      <c r="O91" s="12"/>
      <c r="P91" s="12"/>
    </row>
    <row r="92" spans="2:16">
      <c r="B92" s="12"/>
      <c r="C92" s="12"/>
      <c r="D92" s="12"/>
      <c r="E92" s="12"/>
      <c r="F92" s="12"/>
      <c r="H92" s="12"/>
      <c r="I92" s="12"/>
      <c r="J92" s="12"/>
      <c r="K92" s="12"/>
      <c r="L92" s="12"/>
      <c r="M92" s="12"/>
      <c r="N92" s="12"/>
      <c r="O92" s="12"/>
      <c r="P92" s="12"/>
    </row>
    <row r="93" spans="2:16">
      <c r="B93" s="12"/>
      <c r="C93" s="12"/>
      <c r="D93" s="12"/>
      <c r="E93" s="12"/>
      <c r="F93" s="12"/>
      <c r="H93" s="12"/>
      <c r="I93" s="12"/>
      <c r="J93" s="12"/>
      <c r="K93" s="12"/>
      <c r="L93" s="12"/>
      <c r="M93" s="12"/>
      <c r="N93" s="12"/>
      <c r="O93" s="12"/>
      <c r="P93" s="12"/>
    </row>
    <row r="94" spans="2:16">
      <c r="B94" s="12"/>
      <c r="C94" s="12"/>
      <c r="D94" s="12"/>
      <c r="E94" s="12"/>
      <c r="F94" s="12"/>
      <c r="H94" s="12"/>
      <c r="I94" s="12"/>
      <c r="J94" s="12"/>
      <c r="K94" s="12"/>
      <c r="L94" s="12"/>
      <c r="M94" s="12"/>
      <c r="N94" s="12"/>
      <c r="O94" s="12"/>
      <c r="P94" s="12"/>
    </row>
    <row r="95" spans="2:16">
      <c r="B95" s="12"/>
      <c r="C95" s="12"/>
      <c r="D95" s="12"/>
      <c r="E95" s="12"/>
      <c r="F95" s="12"/>
      <c r="H95" s="12"/>
      <c r="I95" s="12"/>
      <c r="J95" s="12"/>
      <c r="K95" s="12"/>
      <c r="L95" s="12"/>
      <c r="M95" s="12"/>
      <c r="N95" s="12"/>
      <c r="O95" s="12"/>
      <c r="P95" s="12"/>
    </row>
    <row r="96" spans="2:16">
      <c r="B96" s="12"/>
      <c r="C96" s="12"/>
      <c r="D96" s="12"/>
      <c r="E96" s="12"/>
      <c r="F96" s="12"/>
      <c r="H96" s="12"/>
      <c r="I96" s="12"/>
      <c r="J96" s="12"/>
      <c r="K96" s="12"/>
      <c r="L96" s="12"/>
      <c r="M96" s="12"/>
      <c r="N96" s="12"/>
      <c r="O96" s="12"/>
      <c r="P96" s="12"/>
    </row>
    <row r="97" spans="2:16">
      <c r="B97" s="12"/>
      <c r="C97" s="12"/>
      <c r="D97" s="12"/>
      <c r="E97" s="12"/>
      <c r="F97" s="12"/>
      <c r="H97" s="12"/>
      <c r="I97" s="12"/>
      <c r="J97" s="12"/>
      <c r="K97" s="12"/>
      <c r="L97" s="12"/>
      <c r="M97" s="12"/>
      <c r="N97" s="12"/>
      <c r="O97" s="12"/>
      <c r="P97" s="12"/>
    </row>
    <row r="98" spans="2:16">
      <c r="B98" s="12"/>
      <c r="C98" s="12"/>
      <c r="D98" s="12"/>
      <c r="E98" s="12"/>
      <c r="F98" s="12"/>
      <c r="H98" s="12"/>
      <c r="I98" s="12"/>
      <c r="J98" s="12"/>
      <c r="K98" s="12"/>
      <c r="L98" s="12"/>
      <c r="M98" s="12"/>
      <c r="N98" s="12"/>
      <c r="O98" s="12"/>
      <c r="P98" s="12"/>
    </row>
    <row r="99" spans="2:16">
      <c r="B99" s="12"/>
      <c r="C99" s="12"/>
      <c r="E99" s="12"/>
      <c r="F99" s="12"/>
    </row>
  </sheetData>
  <conditionalFormatting sqref="B2:C34 T2:U34">
    <cfRule type="expression" dxfId="84" priority="297">
      <formula>$C$70</formula>
    </cfRule>
  </conditionalFormatting>
  <conditionalFormatting sqref="B3:C15 T3:U15">
    <cfRule type="expression" dxfId="83" priority="367">
      <formula>AND($C$66,$U$66)</formula>
    </cfRule>
  </conditionalFormatting>
  <conditionalFormatting sqref="B4:C14">
    <cfRule type="expression" dxfId="82" priority="19">
      <formula>ROUND($C4,2)=0</formula>
    </cfRule>
  </conditionalFormatting>
  <conditionalFormatting sqref="B16:C25 T16:U25">
    <cfRule type="expression" dxfId="81" priority="369">
      <formula>AND($C$67,$U$67)</formula>
    </cfRule>
  </conditionalFormatting>
  <conditionalFormatting sqref="B17:C24">
    <cfRule type="expression" dxfId="80" priority="18">
      <formula>ROUND($C17,2)=0</formula>
    </cfRule>
  </conditionalFormatting>
  <conditionalFormatting sqref="B26:C33 T26:U33">
    <cfRule type="expression" dxfId="79" priority="371">
      <formula>AND($C$68,$U$68)</formula>
    </cfRule>
  </conditionalFormatting>
  <conditionalFormatting sqref="B27:C32 C32">
    <cfRule type="expression" dxfId="78" priority="17">
      <formula>ROUND($C27,2)=0</formula>
    </cfRule>
  </conditionalFormatting>
  <conditionalFormatting sqref="E2:F22">
    <cfRule type="expression" dxfId="77" priority="343">
      <formula>$F$70</formula>
    </cfRule>
  </conditionalFormatting>
  <conditionalFormatting sqref="E3:F4">
    <cfRule type="expression" dxfId="76" priority="305">
      <formula>$F$66</formula>
    </cfRule>
  </conditionalFormatting>
  <conditionalFormatting sqref="E4:F4">
    <cfRule type="expression" dxfId="75" priority="14">
      <formula>ROUND($F$4,2)=0</formula>
    </cfRule>
  </conditionalFormatting>
  <conditionalFormatting sqref="E5:F10">
    <cfRule type="expression" dxfId="74" priority="306">
      <formula>$F$67</formula>
    </cfRule>
  </conditionalFormatting>
  <conditionalFormatting sqref="E6:F10">
    <cfRule type="expression" dxfId="73" priority="13">
      <formula>ROUND($F6,2)=0</formula>
    </cfRule>
  </conditionalFormatting>
  <conditionalFormatting sqref="E11:F15">
    <cfRule type="expression" dxfId="72" priority="307">
      <formula>$F$68</formula>
    </cfRule>
  </conditionalFormatting>
  <conditionalFormatting sqref="E12:F15">
    <cfRule type="expression" dxfId="71" priority="12">
      <formula>ROUND($F12,2)=0</formula>
    </cfRule>
  </conditionalFormatting>
  <conditionalFormatting sqref="E16:F21">
    <cfRule type="expression" dxfId="70" priority="308">
      <formula>$F$69</formula>
    </cfRule>
  </conditionalFormatting>
  <conditionalFormatting sqref="E17:F21">
    <cfRule type="expression" dxfId="69" priority="11">
      <formula>ROUND($F17,2)=0</formula>
    </cfRule>
  </conditionalFormatting>
  <conditionalFormatting sqref="H1:H98 N2:U3 O4:U4 N5:U31 I1:P1 B1:F9 E10:F23 B10:D31 F24 F30:F33 B32:C34 T32:U34 N32:S48 D32:D98 E34:F99 T39:U49 N49:P56 B54:C99 N57:S76 T58:U60 T66:U78 I77:P98">
    <cfRule type="expression" priority="2" stopIfTrue="1">
      <formula>$A$1="OFF"</formula>
    </cfRule>
  </conditionalFormatting>
  <conditionalFormatting sqref="H2:O11">
    <cfRule type="expression" dxfId="68" priority="1">
      <formula>$A$1="ON"</formula>
    </cfRule>
  </conditionalFormatting>
  <conditionalFormatting sqref="Q2:R47">
    <cfRule type="expression" dxfId="67" priority="309">
      <formula>$R$68</formula>
    </cfRule>
  </conditionalFormatting>
  <conditionalFormatting sqref="Q3:R27">
    <cfRule type="expression" dxfId="66" priority="310">
      <formula>$R$65</formula>
    </cfRule>
  </conditionalFormatting>
  <conditionalFormatting sqref="Q4:R4">
    <cfRule type="expression" dxfId="65" priority="10">
      <formula>ROUND($R$4,2)=0</formula>
    </cfRule>
  </conditionalFormatting>
  <conditionalFormatting sqref="Q6:R17 Q19:R26 Q29:R35 Q38:R45">
    <cfRule type="expression" dxfId="64" priority="292">
      <formula>ROUND($R6,2)=0</formula>
    </cfRule>
  </conditionalFormatting>
  <conditionalFormatting sqref="Q28:R36">
    <cfRule type="expression" dxfId="63" priority="311">
      <formula>$R$66</formula>
    </cfRule>
  </conditionalFormatting>
  <conditionalFormatting sqref="Q37:R46">
    <cfRule type="expression" dxfId="62" priority="312">
      <formula>$R$67</formula>
    </cfRule>
  </conditionalFormatting>
  <conditionalFormatting sqref="T4:U14 T17:U24 T27:U32">
    <cfRule type="expression" dxfId="61" priority="296">
      <formula>ROUND($U4,2)=0</formula>
    </cfRule>
  </conditionalFormatting>
  <dataValidations count="5">
    <dataValidation type="list" allowBlank="1" showInputMessage="1" showErrorMessage="1" sqref="B17:B24 T17:T24" xr:uid="{A3CFDA1C-61E6-4482-9EC1-B86FE2D65352}">
      <formula1>INDIRECT("AccountTitles[Liability]")</formula1>
    </dataValidation>
    <dataValidation type="list" allowBlank="1" showInputMessage="1" showErrorMessage="1" sqref="B27:B32 T27:T32" xr:uid="{B363BB4F-6AC3-49A9-B0B7-2BC587C0A8A2}">
      <formula1>INDIRECT("AccountTitles[Equity]")</formula1>
    </dataValidation>
    <dataValidation type="list" allowBlank="1" showInputMessage="1" showErrorMessage="1" sqref="B4:B14 T4:T14" xr:uid="{BEE3F1E9-6A88-463A-9809-D97830D7FE8C}">
      <formula1>INDIRECT("AccountTitles[Asset]")</formula1>
    </dataValidation>
    <dataValidation type="list" allowBlank="1" showInputMessage="1" showErrorMessage="1" sqref="E4 E12:E15 E17:E21 E6:E10" xr:uid="{4D68CD20-E7C5-44D8-A6D7-5E01FFC022D1}">
      <formula1>INDIRECT("AccountTitles[TempEq]")</formula1>
    </dataValidation>
    <dataValidation type="list" allowBlank="1" showInputMessage="1" showErrorMessage="1" sqref="A1" xr:uid="{E4E6B7B3-6C5C-4C28-8DD6-3EAA607A477D}">
      <formula1>"ON,OFF"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53400533-A523-45EF-9889-5381D1F962C1}">
            <xm:f>NOT(Journal!$G$222)</xm:f>
            <x14:dxf>
              <fill>
                <patternFill>
                  <bgColor rgb="FFFFCCCC"/>
                </patternFill>
              </fill>
            </x14:dxf>
          </x14:cfRule>
          <xm:sqref>E3:F21</xm:sqref>
        </x14:conditionalFormatting>
        <x14:conditionalFormatting xmlns:xm="http://schemas.microsoft.com/office/excel/2006/main">
          <x14:cfRule type="expression" priority="35" id="{D27A8F76-DFBD-4081-8095-52F7E5E032BD}">
            <xm:f>NOT(Journal!$G$222)</xm:f>
            <x14:dxf>
              <font>
                <b/>
                <i val="0"/>
                <color theme="0"/>
              </font>
              <fill>
                <patternFill>
                  <bgColor rgb="FFFF7C80"/>
                </patternFill>
              </fill>
            </x14:dxf>
          </x14:cfRule>
          <xm:sqref>Q4:R4 E2:F2 E22:F22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7FD1-ADA7-4978-8885-B249DD353B7D}">
  <dimension ref="A1:U98"/>
  <sheetViews>
    <sheetView tabSelected="1" topLeftCell="C1" zoomScale="85" zoomScaleNormal="85" workbookViewId="0">
      <selection activeCell="L8" sqref="L8"/>
    </sheetView>
  </sheetViews>
  <sheetFormatPr defaultRowHeight="15" outlineLevelCol="2"/>
  <cols>
    <col min="2" max="2" width="29.7109375" bestFit="1" customWidth="1"/>
    <col min="3" max="3" width="9.28515625" bestFit="1" customWidth="1"/>
    <col min="4" max="4" width="3.28515625" customWidth="1" outlineLevel="2"/>
    <col min="5" max="5" width="25.7109375" customWidth="1" outlineLevel="2"/>
    <col min="6" max="6" width="9.28515625" customWidth="1" outlineLevel="2"/>
    <col min="7" max="7" width="3.28515625" customWidth="1" outlineLevel="2"/>
    <col min="8" max="8" width="29.7109375" customWidth="1" outlineLevel="2"/>
    <col min="9" max="9" width="8.85546875" customWidth="1" outlineLevel="1"/>
    <col min="10" max="10" width="3.28515625" hidden="1" customWidth="1" outlineLevel="2"/>
    <col min="11" max="11" width="25.7109375" hidden="1" customWidth="1" outlineLevel="2"/>
    <col min="12" max="12" width="9.28515625" hidden="1" customWidth="1" outlineLevel="2"/>
    <col min="13" max="13" width="3.28515625" hidden="1" customWidth="1" outlineLevel="2"/>
    <col min="14" max="14" width="29.7109375" hidden="1" customWidth="1" outlineLevel="2"/>
    <col min="15" max="15" width="8.85546875" customWidth="1" outlineLevel="1" collapsed="1"/>
    <col min="16" max="16" width="3.28515625" hidden="1" customWidth="1" outlineLevel="2"/>
    <col min="17" max="17" width="25.7109375" hidden="1" customWidth="1" outlineLevel="2"/>
    <col min="18" max="18" width="9.28515625" hidden="1" customWidth="1" outlineLevel="2"/>
    <col min="19" max="19" width="3.28515625" hidden="1" customWidth="1" outlineLevel="2"/>
    <col min="20" max="20" width="29.7109375" hidden="1" customWidth="1" outlineLevel="2"/>
    <col min="21" max="21" width="8.85546875" customWidth="1" outlineLevel="1" collapsed="1"/>
  </cols>
  <sheetData>
    <row r="1" spans="1:21" ht="15.75" thickBot="1">
      <c r="A1" t="s">
        <v>122</v>
      </c>
      <c r="B1" s="194" t="str">
        <f>Entity</f>
        <v>StartUp Co DefTx</v>
      </c>
      <c r="C1" s="195"/>
      <c r="D1" s="12"/>
      <c r="E1" s="198" t="str">
        <f>Period&amp;":  "&amp;BegDate1&amp;" to "&amp;EndDate1</f>
        <v>Year:  12/31/x0 to 12/31/x1</v>
      </c>
      <c r="F1" s="199"/>
      <c r="G1" s="15"/>
      <c r="H1" s="196" t="str">
        <f>Entity</f>
        <v>StartUp Co DefTx</v>
      </c>
      <c r="I1" s="197"/>
      <c r="J1" s="12"/>
      <c r="K1" s="198" t="str">
        <f>Period&amp;":  "&amp;BegDate2&amp;" to "&amp;EndDate2</f>
        <v>Year:  1/1/x2 to 12/31/x2</v>
      </c>
      <c r="L1" s="199"/>
      <c r="M1" s="15"/>
      <c r="N1" s="196" t="str">
        <f>Entity</f>
        <v>StartUp Co DefTx</v>
      </c>
      <c r="O1" s="197"/>
      <c r="P1" s="12"/>
      <c r="Q1" s="198" t="str">
        <f>Period&amp;":  "&amp;BegDate3&amp;" to "&amp;EndDate3</f>
        <v>Year:  1/1/x3 to 12/31/x3</v>
      </c>
      <c r="R1" s="199"/>
      <c r="S1" s="15"/>
      <c r="T1" s="196" t="str">
        <f>Entity</f>
        <v>StartUp Co DefTx</v>
      </c>
      <c r="U1" s="197"/>
    </row>
    <row r="2" spans="1:21" ht="15.75" thickBot="1">
      <c r="B2" s="124" t="s">
        <v>22</v>
      </c>
      <c r="C2" s="125" t="str">
        <f>BegDate1</f>
        <v>12/31/x0</v>
      </c>
      <c r="D2" s="12"/>
      <c r="E2" s="124" t="s">
        <v>186</v>
      </c>
      <c r="F2" s="126"/>
      <c r="H2" s="124" t="s">
        <v>22</v>
      </c>
      <c r="I2" s="125" t="str">
        <f>EndDate1</f>
        <v>12/31/x1</v>
      </c>
      <c r="J2" s="12"/>
      <c r="K2" s="124" t="s">
        <v>186</v>
      </c>
      <c r="L2" s="126"/>
      <c r="N2" s="124" t="s">
        <v>22</v>
      </c>
      <c r="O2" s="125" t="str">
        <f>EndDate2</f>
        <v>12/31/x2</v>
      </c>
      <c r="P2" s="12"/>
      <c r="Q2" s="124" t="str">
        <f>IF(Journal!G222,"Net Income","Temporary accounts")</f>
        <v>Temporary accounts</v>
      </c>
      <c r="R2" s="126"/>
      <c r="T2" s="124" t="s">
        <v>22</v>
      </c>
      <c r="U2" s="125" t="str">
        <f>EndDate3</f>
        <v>12/31/x3</v>
      </c>
    </row>
    <row r="3" spans="1:21">
      <c r="B3" s="109" t="s">
        <v>24</v>
      </c>
      <c r="C3" s="129"/>
      <c r="D3" s="12"/>
      <c r="E3" s="109" t="s">
        <v>125</v>
      </c>
      <c r="F3" s="110"/>
      <c r="H3" s="109" t="s">
        <v>24</v>
      </c>
      <c r="I3" s="129"/>
      <c r="J3" s="12"/>
      <c r="K3" s="109" t="s">
        <v>125</v>
      </c>
      <c r="L3" s="110"/>
      <c r="N3" s="109" t="s">
        <v>24</v>
      </c>
      <c r="O3" s="129"/>
      <c r="P3" s="12"/>
      <c r="Q3" s="109" t="s">
        <v>125</v>
      </c>
      <c r="R3" s="110"/>
      <c r="T3" s="109" t="s">
        <v>24</v>
      </c>
      <c r="U3" s="129"/>
    </row>
    <row r="4" spans="1:21">
      <c r="B4" s="130" t="s">
        <v>4</v>
      </c>
      <c r="C4" s="158">
        <f>Setup!C13</f>
        <v>100</v>
      </c>
      <c r="D4" s="12"/>
      <c r="E4" s="130" t="s">
        <v>7</v>
      </c>
      <c r="F4" s="206">
        <f>SUMIFS(JournalTable[Cr Amt],JournalTable[ref],1,JournalTable[Cr Account],E4)-SUMIFS(JournalTable[Dr Amt],JournalTable[ref],1,JournalTable[Dr Account],E4)</f>
        <v>130</v>
      </c>
      <c r="H4" s="130" t="str">
        <f>B4</f>
        <v>Cash</v>
      </c>
      <c r="I4" s="158">
        <f>C4+SUMIFS(JournalTable[Dr Amt],JournalTable[ref],1,JournalTable[Dr Account],B4)-SUMIFS(JournalTable[Cr Amt],JournalTable[ref],1,JournalTable[Cr Account],B4)</f>
        <v>150</v>
      </c>
      <c r="J4" s="12"/>
      <c r="K4" s="130" t="str">
        <f>E4</f>
        <v>Sales</v>
      </c>
      <c r="L4" s="132">
        <f>SUMIFS(JournalTable[Cr Amt],JournalTable[ref],2,JournalTable[Cr Account],E4)-SUMIFS(JournalTable[Dr Amt],JournalTable[ref],2,JournalTable[Dr Account],E4)</f>
        <v>0</v>
      </c>
      <c r="N4" s="130" t="str">
        <f>B4</f>
        <v>Cash</v>
      </c>
      <c r="O4" s="158">
        <f>I4+SUMIFS(JournalTable[Dr Amt],JournalTable[ref],2,JournalTable[Dr Account],B4)-SUMIFS(JournalTable[Cr Amt],JournalTable[ref],2,JournalTable[Cr Account],B4)</f>
        <v>170</v>
      </c>
      <c r="P4" s="12"/>
      <c r="Q4" s="130" t="str">
        <f>E4</f>
        <v>Sales</v>
      </c>
      <c r="R4" s="132">
        <f>SUMIFS(JournalTable[Cr Amt],JournalTable[ref],3,JournalTable[Cr Account],E4)-SUMIFS(JournalTable[Dr Amt],JournalTable[ref],3,JournalTable[Dr Account],E4)</f>
        <v>0</v>
      </c>
      <c r="T4" s="130" t="str">
        <f>B4</f>
        <v>Cash</v>
      </c>
      <c r="U4" s="158">
        <f>O4+SUMIFS(JournalTable[Dr Amt],JournalTable[ref],3,JournalTable[Dr Account],B4)-SUMIFS(JournalTable[Cr Amt],JournalTable[ref],3,JournalTable[Cr Account],B4)</f>
        <v>180</v>
      </c>
    </row>
    <row r="5" spans="1:21">
      <c r="B5" s="130" t="s">
        <v>8</v>
      </c>
      <c r="C5" s="150">
        <f>Setup!C14</f>
        <v>0</v>
      </c>
      <c r="D5" s="12"/>
      <c r="E5" s="136" t="s">
        <v>134</v>
      </c>
      <c r="F5" s="137"/>
      <c r="H5" s="130" t="str">
        <f t="shared" ref="H5:H9" si="0">B5</f>
        <v>Accounts Receivable</v>
      </c>
      <c r="I5" s="150">
        <f>C5+SUMIFS(JournalTable[Dr Amt],JournalTable[ref],1,JournalTable[Dr Account],B5)-SUMIFS(JournalTable[Cr Amt],JournalTable[ref],1,JournalTable[Cr Account],B5)</f>
        <v>30</v>
      </c>
      <c r="J5" s="12"/>
      <c r="K5" s="136" t="s">
        <v>134</v>
      </c>
      <c r="L5" s="137"/>
      <c r="N5" s="130" t="str">
        <f>B5</f>
        <v>Accounts Receivable</v>
      </c>
      <c r="O5" s="150">
        <f>I5+SUMIFS(JournalTable[Dr Amt],JournalTable[ref],2,JournalTable[Dr Account],B5)-SUMIFS(JournalTable[Cr Amt],JournalTable[ref],2,JournalTable[Cr Account],B5)</f>
        <v>10</v>
      </c>
      <c r="P5" s="12"/>
      <c r="Q5" s="136" t="s">
        <v>134</v>
      </c>
      <c r="R5" s="137"/>
      <c r="T5" s="130" t="str">
        <f t="shared" ref="T5:T9" si="1">B5</f>
        <v>Accounts Receivable</v>
      </c>
      <c r="U5" s="150">
        <f>O5+SUMIFS(JournalTable[Dr Amt],JournalTable[ref],3,JournalTable[Dr Account],B5)-SUMIFS(JournalTable[Cr Amt],JournalTable[ref],3,JournalTable[Cr Account],B5)</f>
        <v>0</v>
      </c>
    </row>
    <row r="6" spans="1:21">
      <c r="B6" s="130" t="s">
        <v>12</v>
      </c>
      <c r="C6" s="150">
        <f>Setup!C15</f>
        <v>0</v>
      </c>
      <c r="D6" s="12"/>
      <c r="E6" s="130" t="s">
        <v>11</v>
      </c>
      <c r="F6" s="206">
        <f>-SUMIFS(JournalTable[Cr Amt],JournalTable[ref],1,JournalTable[Cr Account],E6)+SUMIFS(JournalTable[Dr Amt],JournalTable[ref],1,JournalTable[Dr Account],E6)</f>
        <v>0</v>
      </c>
      <c r="H6" s="130" t="str">
        <f t="shared" si="0"/>
        <v>Inventories</v>
      </c>
      <c r="I6" s="150">
        <f>C6+SUMIFS(JournalTable[Dr Amt],JournalTable[ref],1,JournalTable[Dr Account],B6)-SUMIFS(JournalTable[Cr Amt],JournalTable[ref],1,JournalTable[Cr Account],B6)</f>
        <v>0</v>
      </c>
      <c r="J6" s="12"/>
      <c r="K6" s="130" t="str">
        <f>E6</f>
        <v>Cost of Goods Sold</v>
      </c>
      <c r="L6" s="132">
        <f>-SUMIFS(JournalTable[Cr Amt],JournalTable[ref],2,JournalTable[Cr Account],E6)+SUMIFS(JournalTable[Dr Amt],JournalTable[ref],2,JournalTable[Dr Account],E6)</f>
        <v>0</v>
      </c>
      <c r="N6" s="130" t="str">
        <f t="shared" ref="N6:N9" si="2">B6</f>
        <v>Inventories</v>
      </c>
      <c r="O6" s="150">
        <f>I6+SUMIFS(JournalTable[Dr Amt],JournalTable[ref],2,JournalTable[Dr Account],B6)-SUMIFS(JournalTable[Cr Amt],JournalTable[ref],2,JournalTable[Cr Account],B6)</f>
        <v>0</v>
      </c>
      <c r="P6" s="12"/>
      <c r="Q6" s="130" t="str">
        <f>E6</f>
        <v>Cost of Goods Sold</v>
      </c>
      <c r="R6" s="132">
        <f>-SUMIFS(JournalTable[Cr Amt],JournalTable[ref],3,JournalTable[Cr Account],E6)+SUMIFS(JournalTable[Dr Amt],JournalTable[ref],3,JournalTable[Dr Account],E6)</f>
        <v>0</v>
      </c>
      <c r="T6" s="130" t="str">
        <f t="shared" si="1"/>
        <v>Inventories</v>
      </c>
      <c r="U6" s="150">
        <f>O6+SUMIFS(JournalTable[Dr Amt],JournalTable[ref],3,JournalTable[Dr Account],H6)-SUMIFS(JournalTable[Cr Amt],JournalTable[ref],3,JournalTable[Cr Account],H6)</f>
        <v>0</v>
      </c>
    </row>
    <row r="7" spans="1:21">
      <c r="B7" s="130" t="s">
        <v>15</v>
      </c>
      <c r="C7" s="150">
        <f>Setup!C16</f>
        <v>0</v>
      </c>
      <c r="D7" s="12"/>
      <c r="E7" s="130" t="s">
        <v>14</v>
      </c>
      <c r="F7" s="204">
        <f>-SUMIFS(JournalTable[Cr Amt],JournalTable[ref],1,JournalTable[Cr Account],E7)+SUMIFS(JournalTable[Dr Amt],JournalTable[ref],1,JournalTable[Dr Account],E7)</f>
        <v>50</v>
      </c>
      <c r="H7" s="130" t="str">
        <f t="shared" si="0"/>
        <v>Property, Plant &amp; Equipment</v>
      </c>
      <c r="I7" s="150">
        <f>C7+SUMIFS(JournalTable[Dr Amt],JournalTable[ref],1,JournalTable[Dr Account],B7)-SUMIFS(JournalTable[Cr Amt],JournalTable[ref],1,JournalTable[Cr Account],B7)</f>
        <v>0</v>
      </c>
      <c r="J7" s="12"/>
      <c r="K7" s="130" t="str">
        <f t="shared" ref="K7:K8" si="3">E7</f>
        <v>Selling, General &amp; Admin Exps</v>
      </c>
      <c r="L7" s="204">
        <f>-SUMIFS(JournalTable[Cr Amt],JournalTable[ref],2,JournalTable[Cr Account],E7)+SUMIFS(JournalTable[Dr Amt],JournalTable[ref],2,JournalTable[Dr Account],E7)</f>
        <v>0</v>
      </c>
      <c r="N7" s="130" t="str">
        <f t="shared" si="2"/>
        <v>Property, Plant &amp; Equipment</v>
      </c>
      <c r="O7" s="150">
        <f>I7+SUMIFS(JournalTable[Dr Amt],JournalTable[ref],2,JournalTable[Dr Account],B7)-SUMIFS(JournalTable[Cr Amt],JournalTable[ref],2,JournalTable[Cr Account],B7)</f>
        <v>0</v>
      </c>
      <c r="P7" s="12"/>
      <c r="Q7" s="130" t="str">
        <f t="shared" ref="Q7:Q8" si="4">E7</f>
        <v>Selling, General &amp; Admin Exps</v>
      </c>
      <c r="R7" s="204">
        <f>-SUMIFS(JournalTable[Cr Amt],JournalTable[ref],3,JournalTable[Cr Account],E7)+SUMIFS(JournalTable[Dr Amt],JournalTable[ref],3,JournalTable[Dr Account],E7)</f>
        <v>0</v>
      </c>
      <c r="T7" s="130" t="str">
        <f t="shared" si="1"/>
        <v>Property, Plant &amp; Equipment</v>
      </c>
      <c r="U7" s="150">
        <f>O7+SUMIFS(JournalTable[Dr Amt],JournalTable[ref],3,JournalTable[Dr Account],H7)-SUMIFS(JournalTable[Cr Amt],JournalTable[ref],3,JournalTable[Cr Account],H7)</f>
        <v>0</v>
      </c>
    </row>
    <row r="8" spans="1:21">
      <c r="B8" s="130" t="s">
        <v>18</v>
      </c>
      <c r="C8" s="150">
        <f>Setup!C17</f>
        <v>0</v>
      </c>
      <c r="D8" s="12"/>
      <c r="E8" s="130" t="s">
        <v>17</v>
      </c>
      <c r="F8" s="204">
        <f>-SUMIFS(JournalTable[Cr Amt],JournalTable[ref],1,JournalTable[Cr Account],E8)+SUMIFS(JournalTable[Dr Amt],JournalTable[ref],1,JournalTable[Dr Account],E8)</f>
        <v>16</v>
      </c>
      <c r="H8" s="130" t="str">
        <f t="shared" si="0"/>
        <v>Accumulated Depreciation</v>
      </c>
      <c r="I8" s="150">
        <f>C8+SUMIFS(JournalTable[Dr Amt],JournalTable[ref],1,JournalTable[Dr Account],B8)-SUMIFS(JournalTable[Cr Amt],JournalTable[ref],1,JournalTable[Cr Account],B8)</f>
        <v>0</v>
      </c>
      <c r="J8" s="12"/>
      <c r="K8" s="130" t="str">
        <f t="shared" si="3"/>
        <v>Tax Expense</v>
      </c>
      <c r="L8" s="204">
        <f>-SUMIFS(JournalTable[Cr Amt],JournalTable[ref],2,JournalTable[Cr Account],E8)+SUMIFS(JournalTable[Dr Amt],JournalTable[ref],2,JournalTable[Dr Account],E8)</f>
        <v>0</v>
      </c>
      <c r="N8" s="130" t="str">
        <f t="shared" si="2"/>
        <v>Accumulated Depreciation</v>
      </c>
      <c r="O8" s="150">
        <f>I8+SUMIFS(JournalTable[Dr Amt],JournalTable[ref],2,JournalTable[Dr Account],B8)-SUMIFS(JournalTable[Cr Amt],JournalTable[ref],2,JournalTable[Cr Account],B8)</f>
        <v>0</v>
      </c>
      <c r="P8" s="12"/>
      <c r="Q8" s="130" t="str">
        <f t="shared" si="4"/>
        <v>Tax Expense</v>
      </c>
      <c r="R8" s="204">
        <f>-SUMIFS(JournalTable[Cr Amt],JournalTable[ref],3,JournalTable[Cr Account],E8)+SUMIFS(JournalTable[Dr Amt],JournalTable[ref],3,JournalTable[Dr Account],E8)</f>
        <v>0</v>
      </c>
      <c r="T8" s="130" t="str">
        <f t="shared" si="1"/>
        <v>Accumulated Depreciation</v>
      </c>
      <c r="U8" s="150">
        <f>O8+SUMIFS(JournalTable[Dr Amt],JournalTable[ref],3,JournalTable[Dr Account],H8)-SUMIFS(JournalTable[Cr Amt],JournalTable[ref],3,JournalTable[Cr Account],H8)</f>
        <v>0</v>
      </c>
    </row>
    <row r="9" spans="1:21" ht="15.75" thickBot="1">
      <c r="B9" s="130" t="s">
        <v>20</v>
      </c>
      <c r="C9" s="150">
        <f>Setup!C18</f>
        <v>0</v>
      </c>
      <c r="D9" s="12"/>
      <c r="E9" s="106" t="s">
        <v>186</v>
      </c>
      <c r="F9" s="205">
        <f>F4-SUM(F6:F8)</f>
        <v>64</v>
      </c>
      <c r="H9" s="130" t="str">
        <f t="shared" si="0"/>
        <v>Deferred Tax Assets</v>
      </c>
      <c r="I9" s="150">
        <f>C9+SUMIFS(JournalTable[Dr Amt],JournalTable[ref],1,JournalTable[Dr Account],B9)-SUMIFS(JournalTable[Cr Amt],JournalTable[ref],1,JournalTable[Cr Account],B9)</f>
        <v>0</v>
      </c>
      <c r="J9" s="12"/>
      <c r="K9" s="106" t="s">
        <v>186</v>
      </c>
      <c r="L9" s="205">
        <f>L4-SUM(L6:L8)</f>
        <v>0</v>
      </c>
      <c r="N9" s="130" t="str">
        <f t="shared" si="2"/>
        <v>Deferred Tax Assets</v>
      </c>
      <c r="O9" s="150">
        <f>I9+SUMIFS(JournalTable[Dr Amt],JournalTable[ref],2,JournalTable[Dr Account],B9)-SUMIFS(JournalTable[Cr Amt],JournalTable[ref],2,JournalTable[Cr Account],B9)</f>
        <v>0</v>
      </c>
      <c r="P9" s="12"/>
      <c r="Q9" s="106" t="str">
        <f>IF(Journal!G222,"Net Income","Net in temporary accounts")</f>
        <v>Net in temporary accounts</v>
      </c>
      <c r="R9" s="205">
        <f>R4-SUM(R6:R8)</f>
        <v>0</v>
      </c>
      <c r="T9" s="130" t="str">
        <f t="shared" si="1"/>
        <v>Deferred Tax Assets</v>
      </c>
      <c r="U9" s="150">
        <f>O9+SUMIFS(JournalTable[Dr Amt],JournalTable[ref],3,JournalTable[Dr Account],H9)-SUMIFS(JournalTable[Cr Amt],JournalTable[ref],3,JournalTable[Cr Account],H9)</f>
        <v>0</v>
      </c>
    </row>
    <row r="10" spans="1:21" ht="15.75" thickBot="1">
      <c r="B10" s="143" t="s">
        <v>40</v>
      </c>
      <c r="C10" s="207">
        <f>SUM(C4:C9)</f>
        <v>100</v>
      </c>
      <c r="D10" s="12"/>
      <c r="E10" s="12"/>
      <c r="F10" s="12"/>
      <c r="H10" s="145" t="s">
        <v>40</v>
      </c>
      <c r="I10" s="203">
        <f>SUM(I4:I9)</f>
        <v>180</v>
      </c>
      <c r="J10" s="12"/>
      <c r="K10" s="12"/>
      <c r="L10" s="12"/>
      <c r="N10" s="145" t="s">
        <v>40</v>
      </c>
      <c r="O10" s="203">
        <f>SUM(O4:O9)</f>
        <v>180</v>
      </c>
      <c r="P10" s="12"/>
      <c r="Q10" s="12"/>
      <c r="R10" s="12"/>
      <c r="T10" s="145" t="s">
        <v>40</v>
      </c>
      <c r="U10" s="203">
        <f>SUM(U4:U9)</f>
        <v>180</v>
      </c>
    </row>
    <row r="11" spans="1:21">
      <c r="B11" s="147" t="s">
        <v>41</v>
      </c>
      <c r="C11" s="148"/>
      <c r="D11" s="12"/>
      <c r="F11" s="12"/>
      <c r="H11" s="136" t="s">
        <v>41</v>
      </c>
      <c r="I11" s="149"/>
      <c r="J11" s="12"/>
      <c r="L11" s="12"/>
      <c r="N11" s="136" t="s">
        <v>41</v>
      </c>
      <c r="O11" s="149"/>
      <c r="P11" s="12"/>
      <c r="R11" s="12"/>
      <c r="T11" s="136" t="s">
        <v>41</v>
      </c>
      <c r="U11" s="149"/>
    </row>
    <row r="12" spans="1:21">
      <c r="B12" s="130" t="s">
        <v>5</v>
      </c>
      <c r="C12" s="131">
        <f>Setup!C21</f>
        <v>0</v>
      </c>
      <c r="D12" s="12"/>
      <c r="H12" s="130" t="str">
        <f>B12</f>
        <v>Accounts Payable</v>
      </c>
      <c r="I12" s="158">
        <f>C12-SUMIFS(JournalTable[Dr Amt],JournalTable[ref],1,JournalTable[Dr Account],B12)+SUMIFS(JournalTable[Cr Amt],JournalTable[ref],1,JournalTable[Cr Account],B12)</f>
        <v>0</v>
      </c>
      <c r="J12" s="12"/>
      <c r="N12" s="130" t="str">
        <f>B12</f>
        <v>Accounts Payable</v>
      </c>
      <c r="O12" s="158">
        <f>I12-SUMIFS(JournalTable[Dr Amt],JournalTable[ref],2,JournalTable[Dr Account],B12)+SUMIFS(JournalTable[Cr Amt],JournalTable[ref],2,JournalTable[Cr Account],B12)</f>
        <v>0</v>
      </c>
      <c r="P12" s="12"/>
      <c r="T12" s="130" t="str">
        <f>B12</f>
        <v>Accounts Payable</v>
      </c>
      <c r="U12" s="158">
        <f>O12-SUMIFS(JournalTable[Dr Amt],JournalTable[ref],3,JournalTable[Dr Account],B12)+SUMIFS(JournalTable[Cr Amt],JournalTable[ref],3,JournalTable[Cr Account],B12)</f>
        <v>0</v>
      </c>
    </row>
    <row r="13" spans="1:21">
      <c r="B13" s="130" t="s">
        <v>9</v>
      </c>
      <c r="C13" s="135">
        <f>Setup!C22</f>
        <v>0</v>
      </c>
      <c r="D13" s="12"/>
      <c r="H13" s="130" t="str">
        <f t="shared" ref="H13:H16" si="5">B13</f>
        <v>Accrued Expenses</v>
      </c>
      <c r="I13" s="150">
        <f>C13-SUMIFS(JournalTable[Dr Amt],JournalTable[ref],1,JournalTable[Dr Account],B13)+SUMIFS(JournalTable[Cr Amt],JournalTable[ref],1,JournalTable[Cr Account],B13)</f>
        <v>0</v>
      </c>
      <c r="J13" s="12"/>
      <c r="N13" s="130" t="str">
        <f>B13</f>
        <v>Accrued Expenses</v>
      </c>
      <c r="O13" s="150">
        <f>I13-SUMIFS(JournalTable[Dr Amt],JournalTable[ref],2,JournalTable[Dr Account],B13)+SUMIFS(JournalTable[Cr Amt],JournalTable[ref],2,JournalTable[Cr Account],B13)</f>
        <v>0</v>
      </c>
      <c r="P13" s="12"/>
      <c r="T13" s="130" t="str">
        <f t="shared" ref="T13:T14" si="6">B13</f>
        <v>Accrued Expenses</v>
      </c>
      <c r="U13" s="150">
        <f>O13-SUMIFS(JournalTable[Dr Amt],JournalTable[ref],3,JournalTable[Dr Account],B13)+SUMIFS(JournalTable[Cr Amt],JournalTable[ref],3,JournalTable[Cr Account],B13)</f>
        <v>0</v>
      </c>
    </row>
    <row r="14" spans="1:21">
      <c r="B14" s="130" t="s">
        <v>13</v>
      </c>
      <c r="C14" s="135">
        <f>Setup!C23</f>
        <v>0</v>
      </c>
      <c r="D14" s="12"/>
      <c r="H14" s="130" t="str">
        <f t="shared" si="5"/>
        <v>Taxes Payable</v>
      </c>
      <c r="I14" s="150">
        <f>C14-SUMIFS(JournalTable[Dr Amt],JournalTable[ref],1,JournalTable[Dr Account],B14)+SUMIFS(JournalTable[Cr Amt],JournalTable[ref],1,JournalTable[Cr Account],B14)</f>
        <v>10</v>
      </c>
      <c r="J14" s="12"/>
      <c r="N14" s="130" t="str">
        <f t="shared" ref="N14:N15" si="7">B14</f>
        <v>Taxes Payable</v>
      </c>
      <c r="O14" s="150">
        <f>I14-SUMIFS(JournalTable[Dr Amt],JournalTable[ref],2,JournalTable[Dr Account],B14)+SUMIFS(JournalTable[Cr Amt],JournalTable[ref],2,JournalTable[Cr Account],B14)</f>
        <v>10</v>
      </c>
      <c r="P14" s="12"/>
      <c r="T14" s="130" t="str">
        <f t="shared" si="6"/>
        <v>Taxes Payable</v>
      </c>
      <c r="U14" s="150">
        <f>O14-SUMIFS(JournalTable[Dr Amt],JournalTable[ref],3,JournalTable[Dr Account],B14)+SUMIFS(JournalTable[Cr Amt],JournalTable[ref],3,JournalTable[Cr Account],B14)</f>
        <v>14</v>
      </c>
    </row>
    <row r="15" spans="1:21">
      <c r="B15" s="130" t="s">
        <v>19</v>
      </c>
      <c r="C15" s="135">
        <f>Setup!C24</f>
        <v>0</v>
      </c>
      <c r="D15" s="12"/>
      <c r="H15" s="130" t="str">
        <f t="shared" si="5"/>
        <v>Unearned Revenue</v>
      </c>
      <c r="I15" s="150">
        <f>C15-SUMIFS(JournalTable[Dr Amt],JournalTable[ref],1,JournalTable[Dr Account],B15)+SUMIFS(JournalTable[Cr Amt],JournalTable[ref],1,JournalTable[Cr Account],B15)</f>
        <v>0</v>
      </c>
      <c r="J15" s="12"/>
      <c r="N15" s="130" t="str">
        <f t="shared" si="7"/>
        <v>Unearned Revenue</v>
      </c>
      <c r="O15" s="150">
        <f>I15-SUMIFS(JournalTable[Dr Amt],JournalTable[ref],2,JournalTable[Dr Account],B15)+SUMIFS(JournalTable[Cr Amt],JournalTable[ref],2,JournalTable[Cr Account],B15)</f>
        <v>0</v>
      </c>
      <c r="P15" s="12"/>
      <c r="T15" s="130" t="str">
        <f>B15</f>
        <v>Unearned Revenue</v>
      </c>
      <c r="U15" s="150">
        <f>O15-SUMIFS(JournalTable[Dr Amt],JournalTable[ref],3,JournalTable[Dr Account],B15)+SUMIFS(JournalTable[Cr Amt],JournalTable[ref],3,JournalTable[Cr Account],B15)</f>
        <v>0</v>
      </c>
    </row>
    <row r="16" spans="1:21" ht="15.75" thickBot="1">
      <c r="B16" s="130" t="s">
        <v>16</v>
      </c>
      <c r="C16" s="135">
        <f>Setup!C25</f>
        <v>0</v>
      </c>
      <c r="D16" s="12"/>
      <c r="H16" s="130" t="str">
        <f t="shared" si="5"/>
        <v>Deferred Tax Liabilities</v>
      </c>
      <c r="I16" s="150">
        <f>C16-SUMIFS(JournalTable[Dr Amt],JournalTable[ref],1,JournalTable[Dr Account],B16)+SUMIFS(JournalTable[Cr Amt],JournalTable[ref],1,JournalTable[Cr Account],B16)</f>
        <v>6</v>
      </c>
      <c r="J16" s="12"/>
      <c r="N16" s="130" t="str">
        <f t="shared" ref="N16" si="8">B16</f>
        <v>Deferred Tax Liabilities</v>
      </c>
      <c r="O16" s="150">
        <f>I16-SUMIFS(JournalTable[Dr Amt],JournalTable[ref],2,JournalTable[Dr Account],B16)+SUMIFS(JournalTable[Cr Amt],JournalTable[ref],2,JournalTable[Cr Account],B16)</f>
        <v>6</v>
      </c>
      <c r="P16" s="12"/>
      <c r="T16" s="130" t="str">
        <f>B16</f>
        <v>Deferred Tax Liabilities</v>
      </c>
      <c r="U16" s="150">
        <f>O16-SUMIFS(JournalTable[Dr Amt],JournalTable[ref],3,JournalTable[Dr Account],B16)+SUMIFS(JournalTable[Cr Amt],JournalTable[ref],3,JournalTable[Cr Account],B16)</f>
        <v>2</v>
      </c>
    </row>
    <row r="17" spans="2:21" ht="15.75" thickBot="1">
      <c r="B17" s="154" t="s">
        <v>42</v>
      </c>
      <c r="C17" s="155">
        <f>SUM(C12:C15)</f>
        <v>0</v>
      </c>
      <c r="D17" s="12"/>
      <c r="F17" s="83"/>
      <c r="H17" s="156" t="s">
        <v>42</v>
      </c>
      <c r="I17" s="208">
        <f>SUM(I12:I16)</f>
        <v>16</v>
      </c>
      <c r="J17" s="12"/>
      <c r="L17" s="83"/>
      <c r="N17" s="156" t="s">
        <v>42</v>
      </c>
      <c r="O17" s="208">
        <f>SUM(O12:O16)</f>
        <v>16</v>
      </c>
      <c r="P17" s="12"/>
      <c r="R17" s="83"/>
      <c r="T17" s="156" t="s">
        <v>42</v>
      </c>
      <c r="U17" s="208">
        <f>SUM(U12:U16)</f>
        <v>16</v>
      </c>
    </row>
    <row r="18" spans="2:21">
      <c r="B18" s="147" t="s">
        <v>43</v>
      </c>
      <c r="C18" s="148"/>
      <c r="D18" s="12"/>
      <c r="F18" s="12"/>
      <c r="H18" s="147" t="s">
        <v>43</v>
      </c>
      <c r="I18" s="148"/>
      <c r="J18" s="12"/>
      <c r="L18" s="12"/>
      <c r="N18" s="147" t="s">
        <v>43</v>
      </c>
      <c r="O18" s="148"/>
      <c r="P18" s="12"/>
      <c r="R18" s="12"/>
      <c r="T18" s="147" t="s">
        <v>43</v>
      </c>
      <c r="U18" s="148"/>
    </row>
    <row r="19" spans="2:21">
      <c r="B19" s="130" t="s">
        <v>6</v>
      </c>
      <c r="C19" s="158">
        <f>Setup!C28</f>
        <v>100</v>
      </c>
      <c r="D19" s="12"/>
      <c r="F19" s="12"/>
      <c r="H19" s="130" t="str">
        <f>B19</f>
        <v>Common Stock</v>
      </c>
      <c r="I19" s="158">
        <f>C19-SUMIFS(JournalTable[Dr Amt],JournalTable[ref],1,JournalTable[Dr Account],B19)+SUMIFS(JournalTable[Cr Amt],JournalTable[ref],1,JournalTable[Cr Account],B19)</f>
        <v>100</v>
      </c>
      <c r="J19" s="12"/>
      <c r="L19" s="12"/>
      <c r="N19" s="130" t="str">
        <f>B19</f>
        <v>Common Stock</v>
      </c>
      <c r="O19" s="158">
        <f>I19-SUMIFS(JournalTable[Dr Amt],JournalTable[ref],2,JournalTable[Dr Account],B19)+SUMIFS(JournalTable[Cr Amt],JournalTable[ref],2,JournalTable[Cr Account],B19)</f>
        <v>100</v>
      </c>
      <c r="P19" s="12"/>
      <c r="R19" s="12"/>
      <c r="T19" s="130" t="str">
        <f>B19</f>
        <v>Common Stock</v>
      </c>
      <c r="U19" s="158">
        <f>O19-SUMIFS(JournalTable[Dr Amt],JournalTable[ref],3,JournalTable[Dr Account],B19)+SUMIFS(JournalTable[Cr Amt],JournalTable[ref],3,JournalTable[Cr Account],B19)</f>
        <v>100</v>
      </c>
    </row>
    <row r="20" spans="2:21" ht="15.75" thickBot="1">
      <c r="B20" s="130" t="s">
        <v>10</v>
      </c>
      <c r="C20" s="135">
        <f>Setup!C29</f>
        <v>0</v>
      </c>
      <c r="D20" s="12"/>
      <c r="F20" s="12"/>
      <c r="H20" s="130" t="str">
        <f>B20</f>
        <v>Retained Earnings</v>
      </c>
      <c r="I20" s="150">
        <f>C20-SUMIFS(JournalTable[Dr Amt],JournalTable[ref],"=CL1",JournalTable[Dr Account],B20)+SUMIFS(JournalTable[Cr Amt],JournalTable[ref],"=CL1",JournalTable[Cr Account],B20)</f>
        <v>0</v>
      </c>
      <c r="J20" s="12"/>
      <c r="L20" s="12"/>
      <c r="N20" s="130" t="str">
        <f>B20</f>
        <v>Retained Earnings</v>
      </c>
      <c r="O20" s="150">
        <f>I20-SUMIFS(JournalTable[Dr Amt],JournalTable[ref],"=CL2",JournalTable[Dr Account],B20)+SUMIFS(JournalTable[Cr Amt],JournalTable[ref],"=CL2",JournalTable[Cr Account],B20)</f>
        <v>0</v>
      </c>
      <c r="P20" s="12"/>
      <c r="R20" s="12"/>
      <c r="T20" s="130" t="str">
        <f>B20</f>
        <v>Retained Earnings</v>
      </c>
      <c r="U20" s="150">
        <f>O20-SUMIFS(JournalTable[Dr Amt],JournalTable[ref],"=CL3",JournalTable[Dr Account],B20)+SUMIFS(JournalTable[Cr Amt],JournalTable[ref],"=CL3",JournalTable[Cr Account],B20)</f>
        <v>0</v>
      </c>
    </row>
    <row r="21" spans="2:21" ht="15.75" thickBot="1">
      <c r="B21" s="154" t="s">
        <v>44</v>
      </c>
      <c r="C21" s="208">
        <f>SUM(C19:C20)</f>
        <v>100</v>
      </c>
      <c r="D21" s="12"/>
      <c r="E21" s="12"/>
      <c r="F21" s="12"/>
      <c r="H21" s="156" t="s">
        <v>44</v>
      </c>
      <c r="I21" s="210">
        <f>SUM(I19:I20)</f>
        <v>100</v>
      </c>
      <c r="J21" s="12"/>
      <c r="K21" s="12"/>
      <c r="L21" s="12"/>
      <c r="N21" s="156" t="s">
        <v>44</v>
      </c>
      <c r="O21" s="210">
        <f>SUM(O19:O20)</f>
        <v>100</v>
      </c>
      <c r="P21" s="12"/>
      <c r="Q21" s="12"/>
      <c r="R21" s="12"/>
      <c r="T21" s="156" t="s">
        <v>44</v>
      </c>
      <c r="U21" s="210">
        <f>SUM(U19:U20)</f>
        <v>100</v>
      </c>
    </row>
    <row r="22" spans="2:21" ht="15.75" thickBot="1">
      <c r="B22" s="145" t="s">
        <v>45</v>
      </c>
      <c r="C22" s="209">
        <f>C17+C21</f>
        <v>100</v>
      </c>
      <c r="D22" s="12"/>
      <c r="E22" s="12"/>
      <c r="F22" s="12"/>
      <c r="H22" s="145" t="s">
        <v>45</v>
      </c>
      <c r="I22" s="211">
        <f>I17+I21</f>
        <v>116</v>
      </c>
      <c r="J22" s="12"/>
      <c r="K22" s="12"/>
      <c r="L22" s="12"/>
      <c r="N22" s="145" t="s">
        <v>45</v>
      </c>
      <c r="O22" s="211">
        <f>O17+O21</f>
        <v>116</v>
      </c>
      <c r="P22" s="12"/>
      <c r="Q22" s="12"/>
      <c r="R22" s="12"/>
      <c r="T22" s="145" t="s">
        <v>45</v>
      </c>
      <c r="U22" s="211">
        <f>U17+U21</f>
        <v>116</v>
      </c>
    </row>
    <row r="23" spans="2:21">
      <c r="D23" s="12"/>
      <c r="E23" s="12"/>
      <c r="F23" s="12"/>
      <c r="J23" s="12"/>
      <c r="K23" s="12"/>
      <c r="L23" s="12"/>
      <c r="P23" s="12"/>
      <c r="Q23" s="12"/>
      <c r="R23" s="12"/>
    </row>
    <row r="24" spans="2:21">
      <c r="D24" s="12"/>
      <c r="E24" s="12"/>
      <c r="F24" s="12"/>
      <c r="J24" s="12"/>
      <c r="K24" s="12"/>
      <c r="L24" s="12"/>
      <c r="P24" s="12"/>
      <c r="Q24" s="12"/>
      <c r="R24" s="12"/>
    </row>
    <row r="25" spans="2:21">
      <c r="D25" s="12"/>
      <c r="E25" s="12"/>
      <c r="F25" s="12"/>
      <c r="J25" s="12"/>
      <c r="K25" s="12"/>
      <c r="L25" s="12"/>
      <c r="P25" s="12"/>
      <c r="Q25" s="12"/>
      <c r="R25" s="12"/>
    </row>
    <row r="26" spans="2:21">
      <c r="D26" s="12"/>
      <c r="E26" s="12"/>
      <c r="F26" s="12"/>
      <c r="J26" s="12"/>
      <c r="K26" s="12"/>
      <c r="L26" s="12"/>
      <c r="P26" s="12"/>
      <c r="Q26" s="12"/>
      <c r="R26" s="12"/>
    </row>
    <row r="27" spans="2:21">
      <c r="D27" s="12"/>
      <c r="E27" s="12"/>
      <c r="F27" s="12"/>
      <c r="H27" s="12"/>
      <c r="I27" s="12"/>
      <c r="J27" s="12"/>
      <c r="K27" s="12"/>
      <c r="L27" s="12"/>
      <c r="N27" s="12"/>
      <c r="O27" s="12"/>
      <c r="P27" s="12"/>
      <c r="Q27" s="12"/>
      <c r="R27" s="12"/>
    </row>
    <row r="28" spans="2:21">
      <c r="D28" s="12"/>
      <c r="E28" s="12"/>
      <c r="F28" s="12"/>
      <c r="H28" s="12"/>
      <c r="I28" s="12"/>
      <c r="J28" s="12"/>
      <c r="K28" s="12"/>
      <c r="L28" s="12"/>
      <c r="N28" s="12"/>
      <c r="O28" s="12"/>
      <c r="P28" s="12"/>
      <c r="Q28" s="12"/>
      <c r="R28" s="12"/>
    </row>
    <row r="29" spans="2:21">
      <c r="D29" s="12"/>
      <c r="E29" s="12"/>
      <c r="F29" s="12"/>
      <c r="H29" s="12"/>
      <c r="I29" s="12"/>
      <c r="J29" s="12"/>
      <c r="K29" s="12"/>
      <c r="L29" s="12"/>
      <c r="N29" s="12"/>
      <c r="O29" s="12"/>
      <c r="P29" s="12"/>
      <c r="Q29" s="12"/>
      <c r="R29" s="12"/>
    </row>
    <row r="30" spans="2:21">
      <c r="D30" s="12"/>
      <c r="E30" s="12"/>
      <c r="F30" s="12"/>
      <c r="H30" s="12"/>
      <c r="I30" s="12"/>
      <c r="J30" s="12"/>
      <c r="K30" s="12"/>
      <c r="L30" s="12"/>
      <c r="N30" s="12"/>
      <c r="O30" s="12"/>
      <c r="P30" s="12"/>
      <c r="Q30" s="12"/>
      <c r="R30" s="12"/>
    </row>
    <row r="31" spans="2:21">
      <c r="D31" s="12"/>
      <c r="E31" s="12"/>
      <c r="F31" s="12"/>
      <c r="H31" s="12"/>
      <c r="I31" s="12"/>
      <c r="J31" s="12"/>
      <c r="K31" s="12"/>
      <c r="L31" s="12"/>
      <c r="N31" s="12"/>
      <c r="O31" s="12"/>
      <c r="P31" s="12"/>
      <c r="Q31" s="12"/>
      <c r="R31" s="12"/>
    </row>
    <row r="32" spans="2:21">
      <c r="D32" s="12"/>
      <c r="E32" s="12"/>
      <c r="F32" s="12"/>
      <c r="H32" s="12"/>
      <c r="I32" s="12"/>
      <c r="J32" s="12"/>
      <c r="K32" s="12"/>
      <c r="L32" s="12"/>
      <c r="N32" s="12"/>
      <c r="O32" s="12"/>
      <c r="P32" s="12"/>
      <c r="Q32" s="12"/>
      <c r="R32" s="12"/>
    </row>
    <row r="33" spans="1:18">
      <c r="D33" s="12"/>
      <c r="E33" s="12"/>
      <c r="F33" s="12"/>
      <c r="H33" s="12"/>
      <c r="I33" s="12"/>
      <c r="J33" s="12"/>
      <c r="K33" s="12"/>
      <c r="L33" s="12"/>
      <c r="N33" s="12"/>
      <c r="O33" s="12"/>
      <c r="P33" s="12"/>
      <c r="Q33" s="12"/>
      <c r="R33" s="12"/>
    </row>
    <row r="34" spans="1:18">
      <c r="A34" s="12"/>
      <c r="D34" s="12"/>
      <c r="E34" s="12"/>
      <c r="F34" s="12"/>
      <c r="H34" s="12"/>
      <c r="I34" s="12"/>
      <c r="J34" s="12"/>
      <c r="K34" s="12"/>
      <c r="L34" s="12"/>
      <c r="N34" s="12"/>
      <c r="O34" s="12"/>
      <c r="P34" s="12"/>
      <c r="Q34" s="12"/>
      <c r="R34" s="12"/>
    </row>
    <row r="35" spans="1:18">
      <c r="A35" s="12"/>
      <c r="D35" s="12"/>
      <c r="E35" s="12"/>
      <c r="F35" s="12"/>
      <c r="H35" s="12"/>
      <c r="I35" s="12"/>
      <c r="J35" s="12"/>
      <c r="K35" s="12"/>
      <c r="L35" s="12"/>
      <c r="N35" s="12"/>
      <c r="O35" s="12"/>
      <c r="P35" s="12"/>
      <c r="Q35" s="12"/>
      <c r="R35" s="12"/>
    </row>
    <row r="36" spans="1:18">
      <c r="A36" s="12"/>
      <c r="D36" s="12"/>
      <c r="E36" s="12"/>
      <c r="F36" s="12"/>
      <c r="H36" s="12"/>
      <c r="I36" s="12"/>
      <c r="J36" s="12"/>
      <c r="K36" s="12"/>
      <c r="L36" s="12"/>
      <c r="N36" s="12"/>
      <c r="O36" s="12"/>
      <c r="P36" s="12"/>
      <c r="Q36" s="12"/>
      <c r="R36" s="12"/>
    </row>
    <row r="37" spans="1:18">
      <c r="A37" s="12"/>
      <c r="D37" s="12"/>
      <c r="E37" s="12"/>
      <c r="F37" s="12"/>
      <c r="H37" s="12"/>
      <c r="I37" s="12"/>
      <c r="J37" s="12"/>
      <c r="K37" s="12"/>
      <c r="L37" s="12"/>
      <c r="N37" s="12"/>
      <c r="O37" s="12"/>
      <c r="P37" s="12"/>
      <c r="Q37" s="12"/>
      <c r="R37" s="12"/>
    </row>
    <row r="38" spans="1:18">
      <c r="A38" s="12"/>
      <c r="D38" s="12"/>
      <c r="E38" s="12"/>
      <c r="F38" s="12"/>
      <c r="J38" s="12"/>
      <c r="K38" s="12"/>
      <c r="L38" s="12"/>
      <c r="P38" s="12"/>
      <c r="Q38" s="12"/>
      <c r="R38" s="12"/>
    </row>
    <row r="39" spans="1:18">
      <c r="A39" s="12"/>
      <c r="D39" s="12"/>
      <c r="E39" s="12"/>
      <c r="F39" s="12"/>
      <c r="J39" s="12"/>
      <c r="K39" s="12"/>
      <c r="L39" s="12"/>
      <c r="P39" s="12"/>
      <c r="Q39" s="12"/>
      <c r="R39" s="12"/>
    </row>
    <row r="40" spans="1:18">
      <c r="A40" s="12"/>
      <c r="D40" s="12"/>
      <c r="E40" s="12"/>
      <c r="F40" s="12"/>
      <c r="J40" s="12"/>
      <c r="K40" s="12"/>
      <c r="L40" s="12"/>
      <c r="P40" s="12"/>
      <c r="Q40" s="12"/>
      <c r="R40" s="12"/>
    </row>
    <row r="41" spans="1:18">
      <c r="A41" s="12"/>
      <c r="D41" s="12"/>
      <c r="E41" s="12"/>
      <c r="F41" s="12"/>
      <c r="J41" s="12"/>
      <c r="K41" s="12"/>
      <c r="L41" s="12"/>
      <c r="P41" s="12"/>
      <c r="Q41" s="12"/>
      <c r="R41" s="12"/>
    </row>
    <row r="42" spans="1:18">
      <c r="A42" s="12"/>
      <c r="B42" s="12"/>
      <c r="C42" s="12"/>
      <c r="D42" s="12"/>
      <c r="E42" s="12"/>
      <c r="F42" s="12"/>
      <c r="J42" s="12"/>
      <c r="K42" s="12"/>
      <c r="L42" s="12"/>
      <c r="P42" s="12"/>
      <c r="Q42" s="12"/>
      <c r="R42" s="12"/>
    </row>
    <row r="43" spans="1:18">
      <c r="A43" s="12"/>
      <c r="B43" s="12"/>
      <c r="C43" s="12"/>
      <c r="D43" s="12"/>
      <c r="E43" s="12"/>
      <c r="F43" s="12"/>
      <c r="J43" s="12"/>
      <c r="K43" s="12"/>
      <c r="L43" s="12"/>
      <c r="P43" s="12"/>
      <c r="Q43" s="12"/>
      <c r="R43" s="12"/>
    </row>
    <row r="44" spans="1:18">
      <c r="A44" s="12"/>
      <c r="B44" s="12"/>
      <c r="C44" s="12"/>
      <c r="D44" s="12"/>
      <c r="E44" s="12"/>
      <c r="F44" s="12"/>
      <c r="J44" s="12"/>
      <c r="K44" s="12"/>
      <c r="L44" s="12"/>
      <c r="P44" s="12"/>
      <c r="Q44" s="12"/>
      <c r="R44" s="12"/>
    </row>
    <row r="45" spans="1:18">
      <c r="A45" s="12"/>
      <c r="B45" s="12"/>
      <c r="C45" s="12"/>
      <c r="D45" s="12"/>
      <c r="E45" s="12"/>
      <c r="F45" s="12"/>
      <c r="J45" s="12"/>
      <c r="K45" s="12"/>
      <c r="L45" s="12"/>
      <c r="P45" s="12"/>
      <c r="Q45" s="12"/>
      <c r="R45" s="12"/>
    </row>
    <row r="46" spans="1:18">
      <c r="A46" s="12"/>
      <c r="B46" s="12"/>
      <c r="C46" s="12"/>
      <c r="D46" s="12"/>
      <c r="E46" s="12"/>
      <c r="F46" s="12"/>
      <c r="H46" s="12"/>
      <c r="I46" s="12"/>
      <c r="J46" s="12"/>
      <c r="K46" s="12"/>
      <c r="L46" s="12"/>
      <c r="N46" s="12"/>
      <c r="O46" s="12"/>
      <c r="P46" s="12"/>
      <c r="Q46" s="12"/>
      <c r="R46" s="12"/>
    </row>
    <row r="47" spans="1:18">
      <c r="A47" s="12"/>
      <c r="B47" s="12"/>
      <c r="C47" s="12"/>
      <c r="D47" s="12"/>
      <c r="E47" s="12"/>
      <c r="F47" s="12"/>
      <c r="H47" s="12"/>
      <c r="I47" s="12"/>
      <c r="J47" s="12"/>
      <c r="K47" s="12"/>
      <c r="L47" s="12"/>
      <c r="N47" s="12"/>
      <c r="O47" s="12"/>
      <c r="P47" s="12"/>
      <c r="Q47" s="12"/>
      <c r="R47" s="12"/>
    </row>
    <row r="48" spans="1:18">
      <c r="A48" s="12"/>
      <c r="B48" s="12"/>
      <c r="C48" s="12"/>
      <c r="D48" s="12"/>
      <c r="E48" s="12"/>
      <c r="F48" s="12"/>
      <c r="H48" s="12"/>
      <c r="I48" s="12"/>
      <c r="J48" s="12"/>
      <c r="K48" s="12"/>
      <c r="L48" s="12"/>
      <c r="N48" s="12"/>
      <c r="O48" s="12"/>
      <c r="P48" s="12"/>
      <c r="Q48" s="12"/>
      <c r="R48" s="12"/>
    </row>
    <row r="49" spans="1:18">
      <c r="A49" s="12"/>
      <c r="B49" s="12"/>
      <c r="C49" s="12"/>
      <c r="D49" s="12"/>
      <c r="E49" s="12"/>
      <c r="F49" s="12"/>
      <c r="J49" s="12"/>
      <c r="K49" s="12"/>
      <c r="L49" s="12"/>
      <c r="P49" s="12"/>
      <c r="Q49" s="12"/>
      <c r="R49" s="12"/>
    </row>
    <row r="50" spans="1:18">
      <c r="A50" s="12"/>
      <c r="B50" s="12"/>
      <c r="C50" s="12"/>
      <c r="D50" s="12"/>
      <c r="E50" s="12"/>
      <c r="F50" s="12"/>
      <c r="J50" s="12"/>
      <c r="K50" s="12"/>
      <c r="L50" s="12"/>
      <c r="P50" s="12"/>
      <c r="Q50" s="12"/>
      <c r="R50" s="12"/>
    </row>
    <row r="51" spans="1:18">
      <c r="A51" s="12"/>
      <c r="B51" s="12"/>
      <c r="C51" s="12"/>
      <c r="D51" s="12"/>
      <c r="E51" s="12"/>
      <c r="F51" s="12"/>
      <c r="J51" s="12"/>
      <c r="K51" s="12"/>
      <c r="L51" s="12"/>
      <c r="P51" s="12"/>
      <c r="Q51" s="12"/>
      <c r="R51" s="12"/>
    </row>
    <row r="52" spans="1:18">
      <c r="A52" s="12"/>
      <c r="B52" s="12"/>
      <c r="C52" s="12"/>
      <c r="D52" s="12"/>
      <c r="E52" s="12"/>
      <c r="F52" s="12"/>
      <c r="J52" s="12"/>
      <c r="K52" s="12"/>
      <c r="L52" s="12"/>
      <c r="P52" s="12"/>
      <c r="Q52" s="12"/>
      <c r="R52" s="12"/>
    </row>
    <row r="53" spans="1:18">
      <c r="A53" s="12"/>
      <c r="B53" s="12"/>
      <c r="C53" s="12"/>
      <c r="D53" s="12"/>
      <c r="E53" s="12" t="s">
        <v>169</v>
      </c>
      <c r="F53" s="153" t="b">
        <f>COUNTIF(F4,"&lt;&gt;0")=0</f>
        <v>0</v>
      </c>
      <c r="J53" s="12"/>
      <c r="K53" s="12" t="s">
        <v>169</v>
      </c>
      <c r="L53" s="153" t="b">
        <f>COUNTIF(L4,"&lt;&gt;0")=0</f>
        <v>1</v>
      </c>
      <c r="P53" s="12"/>
      <c r="Q53" s="12" t="s">
        <v>169</v>
      </c>
      <c r="R53" s="153" t="b">
        <f>COUNTIF(R4,"&lt;&gt;0")=0</f>
        <v>1</v>
      </c>
    </row>
    <row r="54" spans="1:18">
      <c r="A54" s="12"/>
      <c r="B54" s="160" t="s">
        <v>168</v>
      </c>
      <c r="C54" s="153" t="b">
        <f>COUNTIF(C4:C9,"&lt;&gt;0")=0</f>
        <v>0</v>
      </c>
      <c r="D54" s="12"/>
      <c r="E54" s="12" t="s">
        <v>172</v>
      </c>
      <c r="F54" s="153" t="b">
        <f>COUNTIF(F6:F8,"&lt;&gt;0")=0</f>
        <v>0</v>
      </c>
      <c r="H54" s="160" t="s">
        <v>168</v>
      </c>
      <c r="I54" s="153" t="b">
        <f>COUNTIF(I4:I9,"&lt;&gt;0")=0</f>
        <v>0</v>
      </c>
      <c r="J54" s="12"/>
      <c r="K54" s="12" t="s">
        <v>172</v>
      </c>
      <c r="L54" s="153" t="b">
        <f>COUNTIF(L6:L8,"&lt;&gt;0")=0</f>
        <v>1</v>
      </c>
      <c r="N54" s="160" t="s">
        <v>168</v>
      </c>
      <c r="O54" s="153" t="b">
        <f>COUNTIF(O4:O9,"&lt;&gt;0")=0</f>
        <v>0</v>
      </c>
      <c r="P54" s="12"/>
      <c r="Q54" s="12" t="s">
        <v>172</v>
      </c>
      <c r="R54" s="153" t="b">
        <f>COUNTIF(R6:R8,"&lt;&gt;0")=0</f>
        <v>1</v>
      </c>
    </row>
    <row r="55" spans="1:18">
      <c r="A55" s="12"/>
      <c r="B55" s="160" t="s">
        <v>171</v>
      </c>
      <c r="C55" s="153" t="b">
        <f>COUNTIF(C12:C15,"&lt;&gt;0")=0</f>
        <v>1</v>
      </c>
      <c r="D55" s="12"/>
      <c r="E55" s="12" t="s">
        <v>175</v>
      </c>
      <c r="F55" s="153" t="e">
        <f>COUNTIF(#REF!,"&lt;&gt;0")=0</f>
        <v>#REF!</v>
      </c>
      <c r="H55" s="160" t="s">
        <v>171</v>
      </c>
      <c r="I55" s="153" t="b">
        <f>COUNTIF(I12:I15,"&lt;&gt;0")=0</f>
        <v>0</v>
      </c>
      <c r="J55" s="12"/>
      <c r="K55" s="12" t="s">
        <v>175</v>
      </c>
      <c r="L55" s="153" t="e">
        <f>COUNTIF(#REF!,"&lt;&gt;0")=0</f>
        <v>#REF!</v>
      </c>
      <c r="N55" s="160" t="s">
        <v>171</v>
      </c>
      <c r="O55" s="153" t="b">
        <f>COUNTIF(O12:O15,"&lt;&gt;0")=0</f>
        <v>0</v>
      </c>
      <c r="P55" s="12"/>
      <c r="Q55" s="12" t="s">
        <v>175</v>
      </c>
      <c r="R55" s="153" t="e">
        <f>COUNTIF(#REF!,"&lt;&gt;0")=0</f>
        <v>#REF!</v>
      </c>
    </row>
    <row r="56" spans="1:18">
      <c r="A56" s="12"/>
      <c r="B56" s="160" t="s">
        <v>174</v>
      </c>
      <c r="C56" s="153" t="b">
        <f>COUNTIF(C19:C20,"&lt;&gt;0")=0</f>
        <v>0</v>
      </c>
      <c r="D56" s="12"/>
      <c r="E56" s="12" t="s">
        <v>178</v>
      </c>
      <c r="F56" s="153" t="e">
        <f>COUNTIF(#REF!,"&lt;&gt;0")=0</f>
        <v>#REF!</v>
      </c>
      <c r="H56" s="160" t="s">
        <v>174</v>
      </c>
      <c r="I56" s="153" t="b">
        <f>COUNTIF(I19:I20,"&lt;&gt;0")=0</f>
        <v>0</v>
      </c>
      <c r="J56" s="12"/>
      <c r="K56" s="12" t="s">
        <v>178</v>
      </c>
      <c r="L56" s="153" t="e">
        <f>COUNTIF(#REF!,"&lt;&gt;0")=0</f>
        <v>#REF!</v>
      </c>
      <c r="N56" s="160" t="s">
        <v>174</v>
      </c>
      <c r="O56" s="153" t="b">
        <f>COUNTIF(O19:O20,"&lt;&gt;0")=0</f>
        <v>0</v>
      </c>
      <c r="P56" s="12"/>
      <c r="Q56" s="12" t="s">
        <v>178</v>
      </c>
      <c r="R56" s="153" t="e">
        <f>COUNTIF(#REF!,"&lt;&gt;0")=0</f>
        <v>#REF!</v>
      </c>
    </row>
    <row r="57" spans="1:18">
      <c r="A57" s="12"/>
      <c r="B57" s="12" t="s">
        <v>177</v>
      </c>
      <c r="C57" s="12" t="b">
        <f>AND(C54,C55,C56)</f>
        <v>0</v>
      </c>
      <c r="D57" s="12"/>
      <c r="E57" s="12" t="s">
        <v>181</v>
      </c>
      <c r="F57" s="159" t="e">
        <f>AND(F53,F54,F55,F56)</f>
        <v>#REF!</v>
      </c>
      <c r="H57" s="12" t="s">
        <v>179</v>
      </c>
      <c r="I57" s="12" t="b">
        <f>AND(I54,I55,I56)</f>
        <v>0</v>
      </c>
      <c r="J57" s="12"/>
      <c r="K57" s="12" t="s">
        <v>181</v>
      </c>
      <c r="L57" s="159" t="e">
        <f>AND(L53,L54,L55,L56)</f>
        <v>#REF!</v>
      </c>
      <c r="N57" s="12" t="s">
        <v>179</v>
      </c>
      <c r="O57" s="12" t="b">
        <f>AND(O54,O55,O56)</f>
        <v>0</v>
      </c>
      <c r="P57" s="12"/>
      <c r="Q57" s="12" t="s">
        <v>181</v>
      </c>
      <c r="R57" s="159" t="e">
        <f>AND(R53,R54,R55,R56)</f>
        <v>#REF!</v>
      </c>
    </row>
    <row r="58" spans="1:18">
      <c r="A58" s="12"/>
      <c r="B58" s="12" t="s">
        <v>180</v>
      </c>
      <c r="C58" s="12" t="b">
        <f>AND(C57,I57)</f>
        <v>0</v>
      </c>
      <c r="D58" s="12"/>
      <c r="E58" s="12"/>
      <c r="F58" s="12"/>
      <c r="H58" s="12"/>
      <c r="I58" s="12"/>
      <c r="J58" s="12"/>
      <c r="K58" s="12"/>
      <c r="L58" s="12"/>
      <c r="N58" s="12"/>
      <c r="O58" s="12"/>
      <c r="P58" s="12"/>
      <c r="Q58" s="12"/>
      <c r="R58" s="12"/>
    </row>
    <row r="59" spans="1:18">
      <c r="A59" s="12"/>
      <c r="B59" s="12"/>
      <c r="C59" s="12"/>
      <c r="D59" s="12"/>
      <c r="E59" s="12"/>
      <c r="F59" s="12"/>
      <c r="H59" s="12" t="s">
        <v>182</v>
      </c>
      <c r="I59" s="160">
        <f>SUM(I4:I9)</f>
        <v>180</v>
      </c>
      <c r="J59" s="12"/>
      <c r="K59" s="12"/>
      <c r="L59" s="12"/>
      <c r="N59" s="12" t="s">
        <v>182</v>
      </c>
      <c r="O59" s="160">
        <f>SUM(O4:O9)</f>
        <v>180</v>
      </c>
      <c r="P59" s="12"/>
      <c r="Q59" s="12"/>
      <c r="R59" s="12"/>
    </row>
    <row r="60" spans="1:18">
      <c r="A60" s="12"/>
      <c r="B60" s="12"/>
      <c r="C60" s="12"/>
      <c r="D60" s="12"/>
      <c r="E60" s="12"/>
      <c r="F60" s="12"/>
      <c r="H60" s="12" t="s">
        <v>183</v>
      </c>
      <c r="I60" s="160">
        <f>SUM(I12:I15)</f>
        <v>10</v>
      </c>
      <c r="J60" s="12"/>
      <c r="K60" s="12"/>
      <c r="L60" s="12"/>
      <c r="N60" s="12" t="s">
        <v>183</v>
      </c>
      <c r="O60" s="160">
        <f>SUM(O12:O15)</f>
        <v>10</v>
      </c>
      <c r="P60" s="12"/>
      <c r="Q60" s="12"/>
      <c r="R60" s="12"/>
    </row>
    <row r="61" spans="1:18">
      <c r="A61" s="12"/>
      <c r="B61" s="12"/>
      <c r="C61" s="12"/>
      <c r="D61" s="12"/>
      <c r="E61" s="12"/>
      <c r="F61" s="12"/>
      <c r="H61" s="12" t="s">
        <v>184</v>
      </c>
      <c r="I61" s="160">
        <f>SUM(I19:I20)</f>
        <v>100</v>
      </c>
      <c r="J61" s="12"/>
      <c r="K61" s="12"/>
      <c r="L61" s="12"/>
      <c r="N61" s="12" t="s">
        <v>184</v>
      </c>
      <c r="O61" s="160">
        <f>SUM(O19:O20)</f>
        <v>100</v>
      </c>
      <c r="P61" s="12"/>
      <c r="Q61" s="12"/>
      <c r="R61" s="12"/>
    </row>
    <row r="62" spans="1:18">
      <c r="A62" s="12"/>
      <c r="B62" s="12"/>
      <c r="C62" s="12"/>
      <c r="D62" s="12"/>
      <c r="E62" s="12"/>
      <c r="F62" s="12"/>
      <c r="H62" s="12" t="s">
        <v>185</v>
      </c>
      <c r="I62" s="160">
        <f>I59-I60-I61</f>
        <v>70</v>
      </c>
      <c r="J62" s="12"/>
      <c r="K62" s="12"/>
      <c r="L62" s="12"/>
      <c r="N62" s="12" t="s">
        <v>185</v>
      </c>
      <c r="O62" s="160">
        <f>O59-O60-O61</f>
        <v>70</v>
      </c>
      <c r="P62" s="12"/>
      <c r="Q62" s="12"/>
      <c r="R62" s="12"/>
    </row>
    <row r="63" spans="1:18">
      <c r="A63" s="12"/>
      <c r="B63" s="12"/>
      <c r="C63" s="12"/>
      <c r="D63" s="12"/>
      <c r="E63" s="12"/>
      <c r="F63" s="12"/>
      <c r="H63" s="12"/>
      <c r="I63" s="12"/>
      <c r="J63" s="12"/>
      <c r="K63" s="12"/>
      <c r="L63" s="12"/>
      <c r="N63" s="12"/>
      <c r="O63" s="12"/>
      <c r="P63" s="12"/>
      <c r="Q63" s="12"/>
      <c r="R63" s="12"/>
    </row>
    <row r="64" spans="1:18">
      <c r="A64" s="12"/>
      <c r="B64" s="12"/>
      <c r="C64" s="12"/>
      <c r="D64" s="12"/>
      <c r="E64" s="12"/>
      <c r="F64" s="12"/>
      <c r="H64" s="12"/>
      <c r="I64" s="12"/>
      <c r="J64" s="12"/>
      <c r="K64" s="12"/>
      <c r="L64" s="12"/>
      <c r="N64" s="12"/>
      <c r="O64" s="12"/>
      <c r="P64" s="12"/>
      <c r="Q64" s="12"/>
      <c r="R64" s="12"/>
    </row>
    <row r="65" spans="1:18">
      <c r="A65" s="12"/>
      <c r="B65" s="12"/>
      <c r="C65" s="12"/>
      <c r="D65" s="12"/>
      <c r="E65" s="12"/>
      <c r="F65" s="12"/>
      <c r="H65" s="12"/>
      <c r="I65" s="12" t="b">
        <f>ROUND(-SUMIF(Journal!$B$2:$B$219,"TempEq",Journal!$E$2:$E$219)+SUMIF(Journal!$B$2:$B$219,"TempEq",Journal!$F$2:$F$219),2)=0</f>
        <v>0</v>
      </c>
      <c r="J65" s="12"/>
      <c r="K65" s="12"/>
      <c r="L65" s="12"/>
      <c r="N65" s="12"/>
      <c r="O65" s="12" t="b">
        <f>ROUND(-SUMIF(Journal!$B$2:$B$219,"TempEq",Journal!$E$2:$E$219)+SUMIF(Journal!$B$2:$B$219,"TempEq",Journal!$F$2:$F$219),2)=0</f>
        <v>0</v>
      </c>
      <c r="P65" s="12"/>
      <c r="Q65" s="12"/>
      <c r="R65" s="12"/>
    </row>
    <row r="66" spans="1:18">
      <c r="A66" s="12"/>
      <c r="B66" s="12"/>
      <c r="C66" s="12"/>
      <c r="D66" s="12"/>
      <c r="E66" s="12"/>
      <c r="F66" s="12"/>
      <c r="H66" s="12"/>
      <c r="I66" s="12" t="b">
        <f>ROUND(SUM(Journal!E202:E219)-SUM(Journal!F202:F219),2)=0</f>
        <v>1</v>
      </c>
      <c r="J66" s="12"/>
      <c r="K66" s="12"/>
      <c r="L66" s="12"/>
      <c r="N66" s="12"/>
      <c r="O66" s="12" t="b">
        <f>ROUND(SUM(Journal!K202:K219)-SUM(Journal!L202:L219),2)=0</f>
        <v>1</v>
      </c>
      <c r="P66" s="12"/>
      <c r="Q66" s="12"/>
      <c r="R66" s="12"/>
    </row>
    <row r="67" spans="1:18">
      <c r="A67" s="12"/>
      <c r="B67" s="12"/>
      <c r="C67" s="12"/>
      <c r="D67" s="12"/>
      <c r="E67" s="12"/>
      <c r="F67" s="12"/>
      <c r="J67" s="12"/>
      <c r="K67" s="12"/>
      <c r="L67" s="12"/>
      <c r="P67" s="12"/>
      <c r="Q67" s="12"/>
      <c r="R67" s="12"/>
    </row>
    <row r="68" spans="1:18">
      <c r="B68" s="12"/>
      <c r="C68" s="12"/>
      <c r="D68" s="12"/>
      <c r="E68" s="12"/>
      <c r="F68" s="12"/>
      <c r="J68" s="12"/>
      <c r="K68" s="12"/>
      <c r="L68" s="12"/>
      <c r="P68" s="12"/>
      <c r="Q68" s="12"/>
      <c r="R68" s="12"/>
    </row>
    <row r="69" spans="1:18">
      <c r="B69" s="12" t="s">
        <v>182</v>
      </c>
      <c r="C69" s="160">
        <f>SUM(C4:C9)</f>
        <v>100</v>
      </c>
      <c r="D69" s="12"/>
      <c r="E69" s="12"/>
      <c r="F69" s="12"/>
      <c r="J69" s="12"/>
      <c r="K69" s="12"/>
      <c r="L69" s="12"/>
      <c r="P69" s="12"/>
      <c r="Q69" s="12"/>
      <c r="R69" s="12"/>
    </row>
    <row r="70" spans="1:18">
      <c r="B70" s="12" t="s">
        <v>183</v>
      </c>
      <c r="C70" s="160">
        <f>SUM(C12:C15)</f>
        <v>0</v>
      </c>
      <c r="D70" s="12"/>
      <c r="E70" s="12"/>
      <c r="F70" s="12"/>
      <c r="J70" s="12"/>
      <c r="K70" s="12"/>
      <c r="L70" s="12"/>
      <c r="P70" s="12"/>
      <c r="Q70" s="12"/>
      <c r="R70" s="12"/>
    </row>
    <row r="71" spans="1:18">
      <c r="B71" s="12" t="s">
        <v>184</v>
      </c>
      <c r="C71" s="160">
        <f>SUM(C19:C20)</f>
        <v>100</v>
      </c>
      <c r="D71" s="12"/>
      <c r="E71" s="12"/>
      <c r="F71" s="12"/>
      <c r="J71" s="12"/>
      <c r="K71" s="12"/>
      <c r="L71" s="12"/>
      <c r="P71" s="12"/>
      <c r="Q71" s="12"/>
      <c r="R71" s="12"/>
    </row>
    <row r="72" spans="1:18">
      <c r="B72" s="12" t="s">
        <v>185</v>
      </c>
      <c r="C72" s="160">
        <f>C69-C70-C71</f>
        <v>0</v>
      </c>
      <c r="D72" s="12"/>
      <c r="E72" s="12"/>
      <c r="F72" s="12"/>
      <c r="J72" s="12"/>
      <c r="K72" s="12"/>
      <c r="L72" s="12"/>
      <c r="P72" s="12"/>
      <c r="Q72" s="12"/>
      <c r="R72" s="12"/>
    </row>
    <row r="73" spans="1:18">
      <c r="B73" s="12"/>
      <c r="C73" s="12"/>
      <c r="D73" s="12"/>
      <c r="E73" s="12"/>
      <c r="F73" s="12"/>
      <c r="J73" s="12"/>
      <c r="K73" s="12"/>
      <c r="L73" s="12"/>
      <c r="P73" s="12"/>
      <c r="Q73" s="12"/>
      <c r="R73" s="12"/>
    </row>
    <row r="74" spans="1:18">
      <c r="B74" s="12"/>
      <c r="C74" s="12"/>
      <c r="D74" s="12"/>
      <c r="E74" s="12"/>
      <c r="F74" s="12"/>
      <c r="J74" s="12"/>
      <c r="K74" s="12"/>
      <c r="L74" s="12"/>
      <c r="P74" s="12"/>
      <c r="Q74" s="12"/>
      <c r="R74" s="12"/>
    </row>
    <row r="75" spans="1:18">
      <c r="B75" s="12"/>
      <c r="C75" s="12"/>
      <c r="D75" s="12"/>
      <c r="E75" s="12"/>
      <c r="F75" s="12"/>
      <c r="J75" s="12"/>
      <c r="K75" s="12"/>
      <c r="L75" s="12"/>
      <c r="P75" s="12"/>
      <c r="Q75" s="12"/>
      <c r="R75" s="12"/>
    </row>
    <row r="76" spans="1:18">
      <c r="B76" s="12"/>
      <c r="C76" s="12"/>
      <c r="D76" s="12"/>
      <c r="E76" s="12"/>
      <c r="F76" s="12"/>
      <c r="J76" s="12"/>
      <c r="K76" s="12"/>
      <c r="L76" s="12"/>
      <c r="P76" s="12"/>
      <c r="Q76" s="12"/>
      <c r="R76" s="12"/>
    </row>
    <row r="77" spans="1:18">
      <c r="B77" s="12"/>
      <c r="C77" s="12"/>
      <c r="D77" s="12"/>
      <c r="E77" s="12"/>
      <c r="F77" s="12"/>
      <c r="J77" s="12"/>
      <c r="K77" s="12"/>
      <c r="L77" s="12"/>
      <c r="P77" s="12"/>
      <c r="Q77" s="12"/>
      <c r="R77" s="12"/>
    </row>
    <row r="78" spans="1:18">
      <c r="B78" s="12"/>
      <c r="C78" s="12"/>
      <c r="D78" s="12"/>
      <c r="E78" s="12"/>
      <c r="F78" s="12"/>
      <c r="J78" s="12"/>
      <c r="K78" s="12"/>
      <c r="L78" s="12"/>
      <c r="P78" s="12"/>
      <c r="Q78" s="12"/>
      <c r="R78" s="12"/>
    </row>
    <row r="79" spans="1:18">
      <c r="B79" s="12"/>
      <c r="C79" s="12"/>
      <c r="D79" s="12"/>
      <c r="E79" s="12"/>
      <c r="F79" s="12"/>
      <c r="J79" s="12"/>
      <c r="K79" s="12"/>
      <c r="L79" s="12"/>
      <c r="P79" s="12"/>
      <c r="Q79" s="12"/>
      <c r="R79" s="12"/>
    </row>
    <row r="80" spans="1:18">
      <c r="B80" s="12"/>
      <c r="C80" s="12"/>
      <c r="D80" s="12"/>
      <c r="E80" s="12"/>
      <c r="F80" s="12"/>
      <c r="J80" s="12"/>
      <c r="K80" s="12"/>
      <c r="L80" s="12"/>
      <c r="P80" s="12"/>
      <c r="Q80" s="12"/>
      <c r="R80" s="12"/>
    </row>
    <row r="81" spans="2:18">
      <c r="B81" s="12"/>
      <c r="C81" s="12"/>
      <c r="D81" s="12"/>
      <c r="E81" s="12"/>
      <c r="F81" s="12"/>
      <c r="J81" s="12"/>
      <c r="K81" s="12"/>
      <c r="L81" s="12"/>
      <c r="P81" s="12"/>
      <c r="Q81" s="12"/>
      <c r="R81" s="12"/>
    </row>
    <row r="82" spans="2:18">
      <c r="B82" s="12"/>
      <c r="C82" s="12"/>
      <c r="D82" s="12"/>
      <c r="E82" s="12"/>
      <c r="F82" s="12"/>
      <c r="J82" s="12"/>
      <c r="K82" s="12"/>
      <c r="L82" s="12"/>
      <c r="P82" s="12"/>
      <c r="Q82" s="12"/>
      <c r="R82" s="12"/>
    </row>
    <row r="83" spans="2:18">
      <c r="B83" s="12"/>
      <c r="C83" s="12"/>
      <c r="D83" s="12"/>
      <c r="E83" s="12"/>
      <c r="F83" s="12"/>
      <c r="J83" s="12"/>
      <c r="K83" s="12"/>
      <c r="L83" s="12"/>
      <c r="P83" s="12"/>
      <c r="Q83" s="12"/>
      <c r="R83" s="12"/>
    </row>
    <row r="84" spans="2:18">
      <c r="B84" s="12"/>
      <c r="C84" s="12"/>
      <c r="D84" s="12"/>
      <c r="E84" s="12"/>
      <c r="F84" s="12"/>
      <c r="J84" s="12"/>
      <c r="K84" s="12"/>
      <c r="L84" s="12"/>
      <c r="P84" s="12"/>
      <c r="Q84" s="12"/>
      <c r="R84" s="12"/>
    </row>
    <row r="85" spans="2:18">
      <c r="B85" s="12"/>
      <c r="C85" s="12"/>
      <c r="D85" s="12"/>
      <c r="E85" s="12"/>
      <c r="F85" s="12"/>
      <c r="J85" s="12"/>
      <c r="K85" s="12"/>
      <c r="L85" s="12"/>
      <c r="P85" s="12"/>
      <c r="Q85" s="12"/>
      <c r="R85" s="12"/>
    </row>
    <row r="86" spans="2:18">
      <c r="B86" s="12"/>
      <c r="C86" s="12"/>
      <c r="D86" s="12"/>
      <c r="E86" s="12"/>
      <c r="F86" s="12"/>
      <c r="J86" s="12"/>
      <c r="K86" s="12"/>
      <c r="L86" s="12"/>
      <c r="P86" s="12"/>
      <c r="Q86" s="12"/>
      <c r="R86" s="12"/>
    </row>
    <row r="87" spans="2:18">
      <c r="B87" s="12"/>
      <c r="C87" s="12"/>
      <c r="D87" s="12"/>
      <c r="J87" s="12"/>
      <c r="P87" s="12"/>
    </row>
    <row r="88" spans="2:18">
      <c r="D88" s="12"/>
      <c r="J88" s="12"/>
      <c r="P88" s="12"/>
    </row>
    <row r="89" spans="2:18">
      <c r="D89" s="12"/>
      <c r="J89" s="12"/>
      <c r="P89" s="12"/>
    </row>
    <row r="90" spans="2:18">
      <c r="D90" s="12"/>
      <c r="J90" s="12"/>
      <c r="P90" s="12"/>
    </row>
    <row r="91" spans="2:18">
      <c r="D91" s="12"/>
      <c r="J91" s="12"/>
      <c r="P91" s="12"/>
    </row>
    <row r="92" spans="2:18">
      <c r="D92" s="12"/>
      <c r="J92" s="12"/>
      <c r="P92" s="12"/>
    </row>
    <row r="93" spans="2:18">
      <c r="D93" s="12"/>
      <c r="J93" s="12"/>
      <c r="P93" s="12"/>
    </row>
    <row r="94" spans="2:18">
      <c r="D94" s="12"/>
      <c r="J94" s="12"/>
      <c r="P94" s="12"/>
    </row>
    <row r="95" spans="2:18">
      <c r="D95" s="12"/>
      <c r="J95" s="12"/>
      <c r="P95" s="12"/>
    </row>
    <row r="96" spans="2:18">
      <c r="D96" s="12"/>
      <c r="J96" s="12"/>
      <c r="P96" s="12"/>
    </row>
    <row r="97" spans="4:16">
      <c r="D97" s="12"/>
      <c r="J97" s="12"/>
      <c r="P97" s="12"/>
    </row>
    <row r="98" spans="4:16">
      <c r="D98" s="12"/>
      <c r="J98" s="12"/>
      <c r="P98" s="12"/>
    </row>
  </sheetData>
  <conditionalFormatting sqref="B3:C10 H3:I10 N3:O10 T3:U10 T12:T16">
    <cfRule type="expression" dxfId="58" priority="633">
      <formula>AND($C$54,$I$54)</formula>
    </cfRule>
  </conditionalFormatting>
  <conditionalFormatting sqref="B4:C9 B12:C16 B19:C20">
    <cfRule type="expression" dxfId="57" priority="61">
      <formula>ROUND($C4,2)=0</formula>
    </cfRule>
  </conditionalFormatting>
  <conditionalFormatting sqref="B11:C17 H11:I17 N11:O17 T11:U17">
    <cfRule type="expression" dxfId="56" priority="628">
      <formula>AND($C$55,$I$55)</formula>
    </cfRule>
  </conditionalFormatting>
  <conditionalFormatting sqref="B18:C21 H18:I21 N18:O21 T18:U21">
    <cfRule type="expression" dxfId="55" priority="577">
      <formula>AND($C$56,$I$56)</formula>
    </cfRule>
  </conditionalFormatting>
  <conditionalFormatting sqref="E2:F9">
    <cfRule type="expression" dxfId="54" priority="606">
      <formula>$F$57</formula>
    </cfRule>
  </conditionalFormatting>
  <conditionalFormatting sqref="E3:F4">
    <cfRule type="expression" dxfId="53" priority="67">
      <formula>$F$53</formula>
    </cfRule>
  </conditionalFormatting>
  <conditionalFormatting sqref="E4:F4">
    <cfRule type="expression" dxfId="52" priority="58">
      <formula>ROUND($F$4,2)=0</formula>
    </cfRule>
  </conditionalFormatting>
  <conditionalFormatting sqref="E5:F8">
    <cfRule type="expression" dxfId="51" priority="465">
      <formula>$F$54</formula>
    </cfRule>
  </conditionalFormatting>
  <conditionalFormatting sqref="E6:F8">
    <cfRule type="expression" dxfId="50" priority="57">
      <formula>ROUND($F6,2)=0</formula>
    </cfRule>
  </conditionalFormatting>
  <conditionalFormatting sqref="H7:H9">
    <cfRule type="expression" dxfId="49" priority="601">
      <formula>ROUND($I7,2)=0</formula>
    </cfRule>
  </conditionalFormatting>
  <conditionalFormatting sqref="H4:I9 H12:I16 N16:O16 T16:U16 H19:I20 N19:N20">
    <cfRule type="expression" dxfId="48" priority="65">
      <formula>ROUND($I4,2)=0</formula>
    </cfRule>
  </conditionalFormatting>
  <conditionalFormatting sqref="H6:I6">
    <cfRule type="expression" dxfId="47" priority="603">
      <formula>ROUND($I7,2)=0</formula>
    </cfRule>
  </conditionalFormatting>
  <conditionalFormatting sqref="J1:L8">
    <cfRule type="expression" priority="6" stopIfTrue="1">
      <formula>$A$1="OFF"</formula>
    </cfRule>
  </conditionalFormatting>
  <conditionalFormatting sqref="K2:L5 K9:L9">
    <cfRule type="expression" dxfId="46" priority="51">
      <formula>$F$57</formula>
    </cfRule>
  </conditionalFormatting>
  <conditionalFormatting sqref="K3:L4">
    <cfRule type="expression" dxfId="45" priority="49">
      <formula>$F$53</formula>
    </cfRule>
  </conditionalFormatting>
  <conditionalFormatting sqref="K4:L4">
    <cfRule type="expression" dxfId="44" priority="46">
      <formula>ROUND($F$4,2)=0</formula>
    </cfRule>
  </conditionalFormatting>
  <conditionalFormatting sqref="K5:L5">
    <cfRule type="expression" dxfId="43" priority="50">
      <formula>$F$54</formula>
    </cfRule>
  </conditionalFormatting>
  <conditionalFormatting sqref="K6:L8">
    <cfRule type="expression" dxfId="42" priority="7">
      <formula>ROUND($F6,2)=0</formula>
    </cfRule>
    <cfRule type="expression" dxfId="41" priority="9">
      <formula>$F$54</formula>
    </cfRule>
    <cfRule type="expression" dxfId="40" priority="10">
      <formula>$F$57</formula>
    </cfRule>
  </conditionalFormatting>
  <conditionalFormatting sqref="K9:L10 J9:J98 L11 L17:L20 K21:L86">
    <cfRule type="expression" priority="44" stopIfTrue="1">
      <formula>$A$1="OFF"</formula>
    </cfRule>
  </conditionalFormatting>
  <conditionalFormatting sqref="N7:N9">
    <cfRule type="expression" dxfId="39" priority="42">
      <formula>ROUND($I7,2)=0</formula>
    </cfRule>
  </conditionalFormatting>
  <conditionalFormatting sqref="N19:N20 N27:O37 N46:O48 N54:O66">
    <cfRule type="expression" priority="36" stopIfTrue="1">
      <formula>$A$1="OFF"</formula>
    </cfRule>
  </conditionalFormatting>
  <conditionalFormatting sqref="N2:O18 T2:U18 B2:C22 H2:I22 N19:N20">
    <cfRule type="expression" dxfId="38" priority="66">
      <formula>$C$58</formula>
    </cfRule>
  </conditionalFormatting>
  <conditionalFormatting sqref="N2:O18 T2:U18 B1:F4 H2:I22 D5:F8 B5:C22 E9:F10 D9:D98 F11 F17:F20 E21:F86 H27:I37 B42:C87 H46:I48 H54:I66">
    <cfRule type="expression" priority="53" stopIfTrue="1">
      <formula>$A$1="OFF"</formula>
    </cfRule>
  </conditionalFormatting>
  <conditionalFormatting sqref="N4:O9 N12:O16">
    <cfRule type="expression" dxfId="37" priority="37">
      <formula>ROUND($I4,2)=0</formula>
    </cfRule>
  </conditionalFormatting>
  <conditionalFormatting sqref="N4:O22">
    <cfRule type="expression" priority="24" stopIfTrue="1">
      <formula>$A$1="OFF"</formula>
    </cfRule>
  </conditionalFormatting>
  <conditionalFormatting sqref="N6:O6">
    <cfRule type="expression" dxfId="36" priority="43">
      <formula>ROUND($I7,2)=0</formula>
    </cfRule>
  </conditionalFormatting>
  <conditionalFormatting sqref="N21:O22">
    <cfRule type="expression" dxfId="35" priority="38">
      <formula>$C$58</formula>
    </cfRule>
  </conditionalFormatting>
  <conditionalFormatting sqref="O19:O20">
    <cfRule type="expression" dxfId="34" priority="26">
      <formula>$C$58</formula>
    </cfRule>
    <cfRule type="expression" dxfId="33" priority="25">
      <formula>ROUND($I19,2)=0</formula>
    </cfRule>
  </conditionalFormatting>
  <conditionalFormatting sqref="P1:R8">
    <cfRule type="expression" priority="1" stopIfTrue="1">
      <formula>$A$1="OFF"</formula>
    </cfRule>
  </conditionalFormatting>
  <conditionalFormatting sqref="Q2:R5 Q9:R9">
    <cfRule type="expression" dxfId="32" priority="35">
      <formula>$F$57</formula>
    </cfRule>
  </conditionalFormatting>
  <conditionalFormatting sqref="Q3:R4">
    <cfRule type="expression" dxfId="31" priority="33">
      <formula>$F$53</formula>
    </cfRule>
  </conditionalFormatting>
  <conditionalFormatting sqref="Q4:R4">
    <cfRule type="expression" dxfId="30" priority="30">
      <formula>ROUND($F$4,2)=0</formula>
    </cfRule>
  </conditionalFormatting>
  <conditionalFormatting sqref="Q5:R5">
    <cfRule type="expression" dxfId="29" priority="34">
      <formula>$F$54</formula>
    </cfRule>
  </conditionalFormatting>
  <conditionalFormatting sqref="Q6:R8">
    <cfRule type="expression" dxfId="28" priority="5">
      <formula>$F$57</formula>
    </cfRule>
    <cfRule type="expression" dxfId="27" priority="4">
      <formula>$F$54</formula>
    </cfRule>
    <cfRule type="expression" dxfId="26" priority="2">
      <formula>ROUND($F6,2)=0</formula>
    </cfRule>
  </conditionalFormatting>
  <conditionalFormatting sqref="Q9:R10 P9:P98 R11 R17:R20 Q21:R86">
    <cfRule type="expression" priority="28" stopIfTrue="1">
      <formula>$A$1="OFF"</formula>
    </cfRule>
  </conditionalFormatting>
  <conditionalFormatting sqref="T7:T9">
    <cfRule type="expression" dxfId="25" priority="22">
      <formula>ROUND($I7,2)=0</formula>
    </cfRule>
  </conditionalFormatting>
  <conditionalFormatting sqref="T19:T20 T21:U22">
    <cfRule type="expression" priority="16">
      <formula>$A$1="OFF"</formula>
    </cfRule>
  </conditionalFormatting>
  <conditionalFormatting sqref="T4:U9 T12:U16">
    <cfRule type="expression" dxfId="24" priority="17">
      <formula>ROUND($I4,2)=0</formula>
    </cfRule>
  </conditionalFormatting>
  <conditionalFormatting sqref="T4:U22">
    <cfRule type="expression" priority="12" stopIfTrue="1">
      <formula>$A$1="OFF"</formula>
    </cfRule>
  </conditionalFormatting>
  <conditionalFormatting sqref="T6:U6">
    <cfRule type="expression" dxfId="23" priority="23">
      <formula>ROUND($I7,2)=0</formula>
    </cfRule>
  </conditionalFormatting>
  <conditionalFormatting sqref="T19:U20">
    <cfRule type="expression" dxfId="22" priority="13">
      <formula>ROUND($I19,2)=0</formula>
    </cfRule>
  </conditionalFormatting>
  <conditionalFormatting sqref="T19:U22">
    <cfRule type="expression" dxfId="21" priority="14">
      <formula>$C$58</formula>
    </cfRule>
  </conditionalFormatting>
  <dataValidations count="5">
    <dataValidation type="list" allowBlank="1" showInputMessage="1" showErrorMessage="1" sqref="A1" xr:uid="{EC281D68-CB25-4A08-966E-8DBFDCE9C63E}">
      <formula1>"ON,OFF"</formula1>
    </dataValidation>
    <dataValidation type="list" allowBlank="1" showInputMessage="1" showErrorMessage="1" sqref="E4 E6:E8 K4 K6:K8 Q4 Q6:Q8" xr:uid="{9EFC6198-50F5-4F4C-9A94-849F9D308389}">
      <formula1>INDIRECT("AccountTitles[TempEq]")</formula1>
    </dataValidation>
    <dataValidation type="list" allowBlank="1" showInputMessage="1" showErrorMessage="1" sqref="B4:B9 H4:H9 N4:N9 T4:T9 T12:T16" xr:uid="{FE9E05B9-0E94-46DB-BF61-CBFC580EB12A}">
      <formula1>INDIRECT("AccountTitles[Asset]")</formula1>
    </dataValidation>
    <dataValidation type="list" allowBlank="1" showInputMessage="1" showErrorMessage="1" sqref="B19:B20 H19:H20 N19:N20 T19:T20" xr:uid="{8DCD69FE-B31F-4BE2-A549-0124E1F13267}">
      <formula1>INDIRECT("AccountTitles[Equity]")</formula1>
    </dataValidation>
    <dataValidation type="list" allowBlank="1" showInputMessage="1" showErrorMessage="1" sqref="B12:B16 H12:H16 N12:N16" xr:uid="{29FB95A9-7191-432F-BE10-DB661579604A}">
      <formula1>INDIRECT("AccountTitles[Liability]")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id="{53C89795-0658-4708-A383-6A75D551FFFA}">
            <xm:f>NOT(Journal!$G$222)</xm:f>
            <x14:dxf>
              <font>
                <b/>
                <i val="0"/>
                <color theme="0"/>
              </font>
              <fill>
                <patternFill>
                  <bgColor rgb="FFFF7C80"/>
                </patternFill>
              </fill>
            </x14:dxf>
          </x14:cfRule>
          <xm:sqref>E2:F2 E9:F9</xm:sqref>
        </x14:conditionalFormatting>
        <x14:conditionalFormatting xmlns:xm="http://schemas.microsoft.com/office/excel/2006/main">
          <x14:cfRule type="expression" priority="62" id="{8BCCEC49-2025-4001-BAE7-C566099521C9}">
            <xm:f>NOT(Journal!$G$222)</xm:f>
            <x14:dxf>
              <fill>
                <patternFill>
                  <bgColor rgb="FFFFCCCC"/>
                </patternFill>
              </fill>
            </x14:dxf>
          </x14:cfRule>
          <xm:sqref>E3:F8</xm:sqref>
        </x14:conditionalFormatting>
        <x14:conditionalFormatting xmlns:xm="http://schemas.microsoft.com/office/excel/2006/main">
          <x14:cfRule type="expression" priority="47" id="{E7B51A4D-CDAE-4246-B4A9-7EF18EFE6AE1}">
            <xm:f>NOT(Journal!$G$222)</xm:f>
            <x14:dxf>
              <fill>
                <patternFill>
                  <bgColor rgb="FFFFCCCC"/>
                </patternFill>
              </fill>
            </x14:dxf>
          </x14:cfRule>
          <xm:sqref>K3:L5</xm:sqref>
        </x14:conditionalFormatting>
        <x14:conditionalFormatting xmlns:xm="http://schemas.microsoft.com/office/excel/2006/main">
          <x14:cfRule type="expression" priority="8" id="{5E9FB06B-96A6-4C57-9387-89AB9A91E7E1}">
            <xm:f>NOT(Journal!$G$222)</xm:f>
            <x14:dxf>
              <fill>
                <patternFill>
                  <bgColor rgb="FFFFCCCC"/>
                </patternFill>
              </fill>
            </x14:dxf>
          </x14:cfRule>
          <xm:sqref>K6:L8</xm:sqref>
        </x14:conditionalFormatting>
        <x14:conditionalFormatting xmlns:xm="http://schemas.microsoft.com/office/excel/2006/main">
          <x14:cfRule type="expression" priority="48" id="{BA1F4605-4428-43FA-AE81-743322BC8686}">
            <xm:f>NOT(Journal!$G$222)</xm:f>
            <x14:dxf>
              <font>
                <b/>
                <i val="0"/>
                <color theme="0"/>
              </font>
              <fill>
                <patternFill>
                  <bgColor rgb="FFFF7C80"/>
                </patternFill>
              </fill>
            </x14:dxf>
          </x14:cfRule>
          <xm:sqref>K9:L9 K2:L2</xm:sqref>
        </x14:conditionalFormatting>
        <x14:conditionalFormatting xmlns:xm="http://schemas.microsoft.com/office/excel/2006/main">
          <x14:cfRule type="expression" priority="31" id="{3723BB75-873D-4504-9370-9A82E7467141}">
            <xm:f>NOT(Journal!$G$222)</xm:f>
            <x14:dxf>
              <fill>
                <patternFill>
                  <bgColor rgb="FFFFCCCC"/>
                </patternFill>
              </fill>
            </x14:dxf>
          </x14:cfRule>
          <xm:sqref>Q3:R5</xm:sqref>
        </x14:conditionalFormatting>
        <x14:conditionalFormatting xmlns:xm="http://schemas.microsoft.com/office/excel/2006/main">
          <x14:cfRule type="expression" priority="3" id="{1661A764-E988-45E5-8BE2-E2B7F5399577}">
            <xm:f>NOT(Journal!$G$222)</xm:f>
            <x14:dxf>
              <fill>
                <patternFill>
                  <bgColor rgb="FFFFCCCC"/>
                </patternFill>
              </fill>
            </x14:dxf>
          </x14:cfRule>
          <xm:sqref>Q6:R8</xm:sqref>
        </x14:conditionalFormatting>
        <x14:conditionalFormatting xmlns:xm="http://schemas.microsoft.com/office/excel/2006/main">
          <x14:cfRule type="expression" priority="32" id="{04F7E567-8E6E-4BAF-858D-3CEB930EA30F}">
            <xm:f>NOT(Journal!$G$222)</xm:f>
            <x14:dxf>
              <font>
                <b/>
                <i val="0"/>
                <color theme="0"/>
              </font>
              <fill>
                <patternFill>
                  <bgColor rgb="FFFF7C80"/>
                </patternFill>
              </fill>
            </x14:dxf>
          </x14:cfRule>
          <xm:sqref>Q9:R9 Q2:R2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5008-C009-481C-A75F-36DDB7414584}">
  <dimension ref="A1:G87"/>
  <sheetViews>
    <sheetView zoomScale="145" zoomScaleNormal="145" workbookViewId="0">
      <selection activeCell="G15" sqref="G15"/>
    </sheetView>
  </sheetViews>
  <sheetFormatPr defaultRowHeight="15" outlineLevelCol="3"/>
  <cols>
    <col min="2" max="2" width="29.7109375" bestFit="1" customWidth="1"/>
    <col min="3" max="3" width="9.28515625" bestFit="1" customWidth="1"/>
    <col min="4" max="4" width="8.85546875" customWidth="1" outlineLevel="1"/>
    <col min="5" max="5" width="8.85546875" customWidth="1" outlineLevel="2"/>
    <col min="6" max="7" width="8.85546875" customWidth="1" outlineLevel="3"/>
  </cols>
  <sheetData>
    <row r="1" spans="1:7" ht="15.75" thickBot="1">
      <c r="A1" t="s">
        <v>122</v>
      </c>
      <c r="B1" s="194" t="str">
        <f>Entity</f>
        <v>StartUp Co DefTx</v>
      </c>
      <c r="C1" s="195"/>
      <c r="D1" s="197"/>
      <c r="E1" s="197"/>
      <c r="F1" s="197"/>
    </row>
    <row r="2" spans="1:7" ht="15.75" thickBot="1">
      <c r="B2" s="124" t="s">
        <v>22</v>
      </c>
      <c r="C2" s="125" t="str">
        <f>BegDate1</f>
        <v>12/31/x0</v>
      </c>
      <c r="D2" s="125" t="str">
        <f>EndDate1</f>
        <v>12/31/x1</v>
      </c>
      <c r="E2" s="125" t="str">
        <f>EndDate2</f>
        <v>12/31/x2</v>
      </c>
      <c r="F2" s="125" t="str">
        <f>EndDate3</f>
        <v>12/31/x3</v>
      </c>
    </row>
    <row r="3" spans="1:7">
      <c r="B3" s="109" t="s">
        <v>24</v>
      </c>
      <c r="C3" s="129"/>
      <c r="D3" s="129"/>
      <c r="E3" s="129"/>
      <c r="F3" s="129"/>
    </row>
    <row r="4" spans="1:7">
      <c r="B4" s="130" t="s">
        <v>4</v>
      </c>
      <c r="C4" s="158">
        <f>Setup!C13</f>
        <v>100</v>
      </c>
      <c r="D4" s="158">
        <f>C4+SUMIFS(JournalTable[Dr Amt],JournalTable[ref],1,JournalTable[Dr Account],B4)-SUMIFS(JournalTable[Cr Amt],JournalTable[ref],1,JournalTable[Cr Account],B4)</f>
        <v>150</v>
      </c>
      <c r="E4" s="158">
        <f>D4+SUMIFS(JournalTable[Dr Amt],JournalTable[ref],2,JournalTable[Dr Account],B4)-SUMIFS(JournalTable[Cr Amt],JournalTable[ref],2,JournalTable[Cr Account],B4)</f>
        <v>170</v>
      </c>
      <c r="F4" s="158">
        <f>E4+SUMIFS(JournalTable[Dr Amt],JournalTable[ref],3,JournalTable[Dr Account],B4)-SUMIFS(JournalTable[Cr Amt],JournalTable[ref],3,JournalTable[Cr Account],B4)</f>
        <v>180</v>
      </c>
      <c r="G4" s="10">
        <f>COUNTIF(C4:F4,"&lt;&gt;0")</f>
        <v>4</v>
      </c>
    </row>
    <row r="5" spans="1:7">
      <c r="B5" s="130" t="s">
        <v>8</v>
      </c>
      <c r="C5" s="150">
        <f>Setup!C14</f>
        <v>0</v>
      </c>
      <c r="D5" s="150">
        <f>C5+SUMIFS(JournalTable[Dr Amt],JournalTable[ref],1,JournalTable[Dr Account],B5)-SUMIFS(JournalTable[Cr Amt],JournalTable[ref],1,JournalTable[Cr Account],B5)</f>
        <v>30</v>
      </c>
      <c r="E5" s="150">
        <f>D5+SUMIFS(JournalTable[Dr Amt],JournalTable[ref],2,JournalTable[Dr Account],B5)-SUMIFS(JournalTable[Cr Amt],JournalTable[ref],2,JournalTable[Cr Account],B5)</f>
        <v>10</v>
      </c>
      <c r="F5" s="150">
        <f>E5+SUMIFS(JournalTable[Dr Amt],JournalTable[ref],3,JournalTable[Dr Account],B5)-SUMIFS(JournalTable[Cr Amt],JournalTable[ref],3,JournalTable[Cr Account],B5)</f>
        <v>0</v>
      </c>
      <c r="G5" s="10">
        <f t="shared" ref="G5:G9" si="0">COUNTIF(C5:F5,"&lt;&gt;0")</f>
        <v>2</v>
      </c>
    </row>
    <row r="6" spans="1:7">
      <c r="B6" s="130" t="s">
        <v>12</v>
      </c>
      <c r="C6" s="150">
        <f>Setup!C15</f>
        <v>0</v>
      </c>
      <c r="D6" s="150">
        <f>C6+SUMIFS(JournalTable[Dr Amt],JournalTable[ref],1,JournalTable[Dr Account],B6)-SUMIFS(JournalTable[Cr Amt],JournalTable[ref],1,JournalTable[Cr Account],B6)</f>
        <v>0</v>
      </c>
      <c r="E6" s="150">
        <f>D6+SUMIFS(JournalTable[Dr Amt],JournalTable[ref],2,JournalTable[Dr Account],B6)-SUMIFS(JournalTable[Cr Amt],JournalTable[ref],2,JournalTable[Cr Account],B6)</f>
        <v>0</v>
      </c>
      <c r="F6" s="150">
        <f>E6+SUMIFS(JournalTable[Dr Amt],JournalTable[ref],3,JournalTable[Dr Account],#REF!)-SUMIFS(JournalTable[Cr Amt],JournalTable[ref],3,JournalTable[Cr Account],#REF!)</f>
        <v>0</v>
      </c>
      <c r="G6" s="10">
        <f t="shared" si="0"/>
        <v>0</v>
      </c>
    </row>
    <row r="7" spans="1:7">
      <c r="B7" s="130" t="s">
        <v>15</v>
      </c>
      <c r="C7" s="150">
        <f>Setup!C16</f>
        <v>0</v>
      </c>
      <c r="D7" s="150">
        <f>C7+SUMIFS(JournalTable[Dr Amt],JournalTable[ref],1,JournalTable[Dr Account],B7)-SUMIFS(JournalTable[Cr Amt],JournalTable[ref],1,JournalTable[Cr Account],B7)</f>
        <v>0</v>
      </c>
      <c r="E7" s="150">
        <f>D7+SUMIFS(JournalTable[Dr Amt],JournalTable[ref],2,JournalTable[Dr Account],B7)-SUMIFS(JournalTable[Cr Amt],JournalTable[ref],2,JournalTable[Cr Account],B7)</f>
        <v>0</v>
      </c>
      <c r="F7" s="150">
        <f>E7+SUMIFS(JournalTable[Dr Amt],JournalTable[ref],3,JournalTable[Dr Account],#REF!)-SUMIFS(JournalTable[Cr Amt],JournalTable[ref],3,JournalTable[Cr Account],#REF!)</f>
        <v>0</v>
      </c>
      <c r="G7" s="10">
        <f t="shared" si="0"/>
        <v>0</v>
      </c>
    </row>
    <row r="8" spans="1:7">
      <c r="B8" s="130" t="s">
        <v>18</v>
      </c>
      <c r="C8" s="150">
        <f>Setup!C17</f>
        <v>0</v>
      </c>
      <c r="D8" s="150">
        <f>C8+SUMIFS(JournalTable[Dr Amt],JournalTable[ref],1,JournalTable[Dr Account],B8)-SUMIFS(JournalTable[Cr Amt],JournalTable[ref],1,JournalTable[Cr Account],B8)</f>
        <v>0</v>
      </c>
      <c r="E8" s="150">
        <f>D8+SUMIFS(JournalTable[Dr Amt],JournalTable[ref],2,JournalTable[Dr Account],B8)-SUMIFS(JournalTable[Cr Amt],JournalTable[ref],2,JournalTable[Cr Account],B8)</f>
        <v>0</v>
      </c>
      <c r="F8" s="150">
        <f>E8+SUMIFS(JournalTable[Dr Amt],JournalTable[ref],3,JournalTable[Dr Account],#REF!)-SUMIFS(JournalTable[Cr Amt],JournalTable[ref],3,JournalTable[Cr Account],B8)</f>
        <v>0</v>
      </c>
      <c r="G8" s="10">
        <f t="shared" si="0"/>
        <v>0</v>
      </c>
    </row>
    <row r="9" spans="1:7" ht="15.75" thickBot="1">
      <c r="B9" s="130" t="s">
        <v>20</v>
      </c>
      <c r="C9" s="150">
        <f>Setup!C18</f>
        <v>0</v>
      </c>
      <c r="D9" s="150">
        <f>C9+SUMIFS(JournalTable[Dr Amt],JournalTable[ref],1,JournalTable[Dr Account],B9)-SUMIFS(JournalTable[Cr Amt],JournalTable[ref],1,JournalTable[Cr Account],B9)</f>
        <v>0</v>
      </c>
      <c r="E9" s="150">
        <f>D9+SUMIFS(JournalTable[Dr Amt],JournalTable[ref],2,JournalTable[Dr Account],B9)-SUMIFS(JournalTable[Cr Amt],JournalTable[ref],2,JournalTable[Cr Account],B9)</f>
        <v>0</v>
      </c>
      <c r="F9" s="150">
        <f>E9+SUMIFS(JournalTable[Dr Amt],JournalTable[ref],3,JournalTable[Dr Account],#REF!)-SUMIFS(JournalTable[Cr Amt],JournalTable[ref],3,JournalTable[Cr Account],B9)</f>
        <v>0</v>
      </c>
      <c r="G9" s="10">
        <f t="shared" si="0"/>
        <v>0</v>
      </c>
    </row>
    <row r="10" spans="1:7" ht="15.75" thickBot="1">
      <c r="B10" s="143" t="s">
        <v>40</v>
      </c>
      <c r="C10" s="207">
        <f>SUM(C4:C9)</f>
        <v>100</v>
      </c>
      <c r="D10" s="203">
        <f>SUM(D4:D9)</f>
        <v>180</v>
      </c>
      <c r="E10" s="203">
        <f>SUM(E4:E9)</f>
        <v>180</v>
      </c>
      <c r="F10" s="203">
        <f>SUM(F4:F9)</f>
        <v>180</v>
      </c>
      <c r="G10" s="10"/>
    </row>
    <row r="11" spans="1:7">
      <c r="B11" s="147" t="s">
        <v>41</v>
      </c>
      <c r="C11" s="148"/>
      <c r="D11" s="149"/>
      <c r="E11" s="149"/>
      <c r="F11" s="149"/>
      <c r="G11" s="10"/>
    </row>
    <row r="12" spans="1:7">
      <c r="B12" s="130" t="s">
        <v>5</v>
      </c>
      <c r="C12" s="131">
        <f>Setup!C21</f>
        <v>0</v>
      </c>
      <c r="D12" s="158">
        <f>C12-SUMIFS(JournalTable[Dr Amt],JournalTable[ref],1,JournalTable[Dr Account],B12)+SUMIFS(JournalTable[Cr Amt],JournalTable[ref],1,JournalTable[Cr Account],B12)</f>
        <v>0</v>
      </c>
      <c r="E12" s="158">
        <f>D12-SUMIFS(JournalTable[Dr Amt],JournalTable[ref],2,JournalTable[Dr Account],B12)+SUMIFS(JournalTable[Cr Amt],JournalTable[ref],2,JournalTable[Cr Account],B12)</f>
        <v>0</v>
      </c>
      <c r="F12" s="158">
        <f>E12-SUMIFS(JournalTable[Dr Amt],JournalTable[ref],3,JournalTable[Dr Account],B12)+SUMIFS(JournalTable[Cr Amt],JournalTable[ref],3,JournalTable[Cr Account],B12)</f>
        <v>0</v>
      </c>
      <c r="G12" s="10">
        <f>COUNTIF(C12:F12,"&lt;&gt;0")</f>
        <v>0</v>
      </c>
    </row>
    <row r="13" spans="1:7">
      <c r="B13" s="130" t="s">
        <v>9</v>
      </c>
      <c r="C13" s="135">
        <f>Setup!C22</f>
        <v>0</v>
      </c>
      <c r="D13" s="150">
        <f>C13-SUMIFS(JournalTable[Dr Amt],JournalTable[ref],1,JournalTable[Dr Account],B13)+SUMIFS(JournalTable[Cr Amt],JournalTable[ref],1,JournalTable[Cr Account],B13)</f>
        <v>0</v>
      </c>
      <c r="E13" s="150">
        <f>D13-SUMIFS(JournalTable[Dr Amt],JournalTable[ref],2,JournalTable[Dr Account],B13)+SUMIFS(JournalTable[Cr Amt],JournalTable[ref],2,JournalTable[Cr Account],B13)</f>
        <v>0</v>
      </c>
      <c r="F13" s="150">
        <f>E13-SUMIFS(JournalTable[Dr Amt],JournalTable[ref],3,JournalTable[Dr Account],B13)+SUMIFS(JournalTable[Cr Amt],JournalTable[ref],3,JournalTable[Cr Account],B13)</f>
        <v>0</v>
      </c>
      <c r="G13" s="10">
        <f t="shared" ref="G13:G14" si="1">COUNTIF(C13:F13,"&lt;&gt;0")</f>
        <v>0</v>
      </c>
    </row>
    <row r="14" spans="1:7">
      <c r="B14" s="130" t="s">
        <v>13</v>
      </c>
      <c r="C14" s="135">
        <f>Setup!C23</f>
        <v>0</v>
      </c>
      <c r="D14" s="150">
        <f>C14-SUMIFS(JournalTable[Dr Amt],JournalTable[ref],1,JournalTable[Dr Account],B14)+SUMIFS(JournalTable[Cr Amt],JournalTable[ref],1,JournalTable[Cr Account],B14)</f>
        <v>10</v>
      </c>
      <c r="E14" s="150">
        <f>D14-SUMIFS(JournalTable[Dr Amt],JournalTable[ref],2,JournalTable[Dr Account],B14)+SUMIFS(JournalTable[Cr Amt],JournalTable[ref],2,JournalTable[Cr Account],B14)</f>
        <v>10</v>
      </c>
      <c r="F14" s="150">
        <f>E14-SUMIFS(JournalTable[Dr Amt],JournalTable[ref],3,JournalTable[Dr Account],B14)+SUMIFS(JournalTable[Cr Amt],JournalTable[ref],3,JournalTable[Cr Account],B14)</f>
        <v>14</v>
      </c>
      <c r="G14" s="10">
        <f t="shared" si="1"/>
        <v>3</v>
      </c>
    </row>
    <row r="15" spans="1:7">
      <c r="B15" s="130" t="s">
        <v>19</v>
      </c>
      <c r="C15" s="135">
        <f>Setup!C24</f>
        <v>0</v>
      </c>
      <c r="D15" s="150">
        <f>C15-SUMIFS(JournalTable[Dr Amt],JournalTable[ref],1,JournalTable[Dr Account],B15)+SUMIFS(JournalTable[Cr Amt],JournalTable[ref],1,JournalTable[Cr Account],B15)</f>
        <v>0</v>
      </c>
      <c r="E15" s="150">
        <f>D15-SUMIFS(JournalTable[Dr Amt],JournalTable[ref],2,JournalTable[Dr Account],B15)+SUMIFS(JournalTable[Cr Amt],JournalTable[ref],2,JournalTable[Cr Account],B15)</f>
        <v>0</v>
      </c>
      <c r="F15" s="150">
        <f>E15-SUMIFS(JournalTable[Dr Amt],JournalTable[ref],3,JournalTable[Dr Account],B15)+SUMIFS(JournalTable[Cr Amt],JournalTable[ref],3,JournalTable[Cr Account],B15)</f>
        <v>0</v>
      </c>
      <c r="G15" s="10">
        <f>COUNTIF(C16:F16,"&lt;&gt;0")</f>
        <v>3</v>
      </c>
    </row>
    <row r="16" spans="1:7" ht="15.75" thickBot="1">
      <c r="B16" s="130" t="s">
        <v>16</v>
      </c>
      <c r="C16" s="135">
        <f>Setup!C24</f>
        <v>0</v>
      </c>
      <c r="D16" s="150">
        <f>C16-SUMIFS(JournalTable[Dr Amt],JournalTable[ref],1,JournalTable[Dr Account],B16)+SUMIFS(JournalTable[Cr Amt],JournalTable[ref],1,JournalTable[Cr Account],B16)</f>
        <v>6</v>
      </c>
      <c r="E16" s="150">
        <f>D16-SUMIFS(JournalTable[Dr Amt],JournalTable[ref],2,JournalTable[Dr Account],B16)+SUMIFS(JournalTable[Cr Amt],JournalTable[ref],2,JournalTable[Cr Account],B16)</f>
        <v>6</v>
      </c>
      <c r="F16" s="150">
        <f>E16-SUMIFS(JournalTable[Dr Amt],JournalTable[ref],3,JournalTable[Dr Account],B16)+SUMIFS(JournalTable[Cr Amt],JournalTable[ref],3,JournalTable[Cr Account],B16)</f>
        <v>2</v>
      </c>
      <c r="G16" s="10"/>
    </row>
    <row r="17" spans="2:7" ht="15.75" thickBot="1">
      <c r="B17" s="154" t="s">
        <v>42</v>
      </c>
      <c r="C17" s="155">
        <f>SUM(C12:C16)</f>
        <v>0</v>
      </c>
      <c r="D17" s="208">
        <f>SUM(D12:D16)</f>
        <v>16</v>
      </c>
      <c r="E17" s="208">
        <f>SUM(E12:E16)</f>
        <v>16</v>
      </c>
      <c r="F17" s="208">
        <f>SUM(F12:F16)</f>
        <v>16</v>
      </c>
      <c r="G17" s="10"/>
    </row>
    <row r="18" spans="2:7">
      <c r="B18" s="147" t="s">
        <v>43</v>
      </c>
      <c r="C18" s="148"/>
      <c r="D18" s="148"/>
      <c r="E18" s="148"/>
      <c r="F18" s="148"/>
      <c r="G18" s="10">
        <f>COUNTIF(C19:F19,"&lt;&gt;0")</f>
        <v>4</v>
      </c>
    </row>
    <row r="19" spans="2:7">
      <c r="B19" s="130" t="s">
        <v>6</v>
      </c>
      <c r="C19" s="158">
        <f>Setup!C28</f>
        <v>100</v>
      </c>
      <c r="D19" s="158">
        <f>C19-SUMIFS(JournalTable[Dr Amt],JournalTable[ref],1,JournalTable[Dr Account],B19)+SUMIFS(JournalTable[Cr Amt],JournalTable[ref],1,JournalTable[Cr Account],B19)</f>
        <v>100</v>
      </c>
      <c r="E19" s="158">
        <f>D19-SUMIFS(JournalTable[Dr Amt],JournalTable[ref],2,JournalTable[Dr Account],B19)+SUMIFS(JournalTable[Cr Amt],JournalTable[ref],2,JournalTable[Cr Account],B19)</f>
        <v>100</v>
      </c>
      <c r="F19" s="158">
        <f>E19-SUMIFS(JournalTable[Dr Amt],JournalTable[ref],3,JournalTable[Dr Account],B19)+SUMIFS(JournalTable[Cr Amt],JournalTable[ref],3,JournalTable[Cr Account],B19)</f>
        <v>100</v>
      </c>
      <c r="G19" s="10">
        <f>COUNTIF(C20:F20,"&lt;&gt;0")</f>
        <v>0</v>
      </c>
    </row>
    <row r="20" spans="2:7" ht="15.75" thickBot="1">
      <c r="B20" s="130" t="s">
        <v>10</v>
      </c>
      <c r="C20" s="135">
        <f>Setup!C29</f>
        <v>0</v>
      </c>
      <c r="D20" s="150">
        <f>C20-SUMIFS(JournalTable[Dr Amt],JournalTable[ref],"=CL1",JournalTable[Dr Account],B20)+SUMIFS(JournalTable[Cr Amt],JournalTable[ref],"=CL1",JournalTable[Cr Account],B20)</f>
        <v>0</v>
      </c>
      <c r="E20" s="150">
        <f>D20-SUMIFS(JournalTable[Dr Amt],JournalTable[ref],"=CL2",JournalTable[Dr Account],B20)+SUMIFS(JournalTable[Cr Amt],JournalTable[ref],"=CL2",JournalTable[Cr Account],B20)</f>
        <v>0</v>
      </c>
      <c r="F20" s="150">
        <f>E20-SUMIFS(JournalTable[Dr Amt],JournalTable[ref],"=CL3",JournalTable[Dr Account],B20)+SUMIFS(JournalTable[Cr Amt],JournalTable[ref],"=CL3",JournalTable[Cr Account],B20)</f>
        <v>0</v>
      </c>
    </row>
    <row r="21" spans="2:7" ht="15.75" thickBot="1">
      <c r="B21" s="154" t="s">
        <v>44</v>
      </c>
      <c r="C21" s="208">
        <f>SUM(C19:C20)</f>
        <v>100</v>
      </c>
      <c r="D21" s="210">
        <f>SUM(D19:D20)</f>
        <v>100</v>
      </c>
      <c r="E21" s="210">
        <f>SUM(E19:E20)</f>
        <v>100</v>
      </c>
      <c r="F21" s="210">
        <f>SUM(F19:F20)</f>
        <v>100</v>
      </c>
    </row>
    <row r="22" spans="2:7" ht="15.75" thickBot="1">
      <c r="B22" s="145" t="s">
        <v>45</v>
      </c>
      <c r="C22" s="209">
        <f>C17+C21</f>
        <v>100</v>
      </c>
      <c r="D22" s="211">
        <f>D17+D21</f>
        <v>116</v>
      </c>
      <c r="E22" s="211">
        <f>E17+E21</f>
        <v>116</v>
      </c>
      <c r="F22" s="211">
        <f>F17+F21</f>
        <v>116</v>
      </c>
    </row>
    <row r="27" spans="2:7">
      <c r="D27" s="12"/>
      <c r="E27" s="12"/>
    </row>
    <row r="28" spans="2:7">
      <c r="D28" s="12"/>
      <c r="E28" s="12"/>
    </row>
    <row r="29" spans="2:7">
      <c r="D29" s="12"/>
      <c r="E29" s="12"/>
    </row>
    <row r="30" spans="2:7">
      <c r="D30" s="12"/>
      <c r="E30" s="12"/>
    </row>
    <row r="31" spans="2:7">
      <c r="D31" s="12"/>
      <c r="E31" s="12"/>
    </row>
    <row r="32" spans="2:7">
      <c r="D32" s="12"/>
      <c r="E32" s="12"/>
    </row>
    <row r="33" spans="1:5">
      <c r="D33" s="12"/>
      <c r="E33" s="12"/>
    </row>
    <row r="34" spans="1:5">
      <c r="A34" s="12"/>
      <c r="D34" s="12"/>
      <c r="E34" s="12"/>
    </row>
    <row r="35" spans="1:5">
      <c r="A35" s="12"/>
      <c r="D35" s="12"/>
      <c r="E35" s="12"/>
    </row>
    <row r="36" spans="1:5">
      <c r="A36" s="12"/>
      <c r="D36" s="12"/>
      <c r="E36" s="12"/>
    </row>
    <row r="37" spans="1:5">
      <c r="A37" s="12"/>
      <c r="D37" s="12"/>
      <c r="E37" s="12"/>
    </row>
    <row r="38" spans="1:5">
      <c r="A38" s="12"/>
    </row>
    <row r="39" spans="1:5">
      <c r="A39" s="12"/>
    </row>
    <row r="40" spans="1:5">
      <c r="A40" s="12"/>
    </row>
    <row r="41" spans="1:5">
      <c r="A41" s="12"/>
    </row>
    <row r="42" spans="1:5">
      <c r="A42" s="12"/>
      <c r="B42" s="12"/>
      <c r="C42" s="12"/>
    </row>
    <row r="43" spans="1:5">
      <c r="A43" s="12"/>
      <c r="B43" s="12"/>
      <c r="C43" s="12"/>
    </row>
    <row r="44" spans="1:5">
      <c r="A44" s="12"/>
      <c r="B44" s="12"/>
      <c r="C44" s="12"/>
    </row>
    <row r="45" spans="1:5">
      <c r="A45" s="12"/>
      <c r="B45" s="12"/>
      <c r="C45" s="12"/>
    </row>
    <row r="46" spans="1:5">
      <c r="A46" s="12"/>
      <c r="B46" s="12"/>
      <c r="C46" s="12"/>
      <c r="D46" s="12"/>
      <c r="E46" s="12"/>
    </row>
    <row r="47" spans="1:5">
      <c r="A47" s="12"/>
      <c r="B47" s="12"/>
      <c r="C47" s="12"/>
      <c r="D47" s="12"/>
      <c r="E47" s="12"/>
    </row>
    <row r="48" spans="1:5">
      <c r="A48" s="12"/>
      <c r="B48" s="12"/>
      <c r="C48" s="12"/>
      <c r="D48" s="12"/>
      <c r="E48" s="12"/>
    </row>
    <row r="49" spans="1:5">
      <c r="A49" s="12"/>
      <c r="B49" s="12"/>
      <c r="C49" s="12"/>
    </row>
    <row r="50" spans="1:5">
      <c r="A50" s="12"/>
      <c r="B50" s="12"/>
      <c r="C50" s="12"/>
    </row>
    <row r="51" spans="1:5">
      <c r="A51" s="12"/>
      <c r="B51" s="12"/>
      <c r="C51" s="12"/>
    </row>
    <row r="52" spans="1:5">
      <c r="A52" s="12"/>
      <c r="B52" s="12"/>
      <c r="C52" s="12"/>
    </row>
    <row r="53" spans="1:5">
      <c r="A53" s="12"/>
      <c r="B53" s="12"/>
      <c r="C53" s="12"/>
    </row>
    <row r="54" spans="1:5">
      <c r="A54" s="12"/>
      <c r="B54" s="160" t="s">
        <v>168</v>
      </c>
      <c r="C54" s="153" t="b">
        <f>COUNTIF(C4:C9,"&lt;&gt;0")=0</f>
        <v>0</v>
      </c>
      <c r="D54" s="153" t="b">
        <f>COUNTIF(D4:D9,"&lt;&gt;0")=0</f>
        <v>0</v>
      </c>
      <c r="E54" s="153" t="b">
        <f>COUNTIF(E4:E9,"&lt;&gt;0")=0</f>
        <v>0</v>
      </c>
    </row>
    <row r="55" spans="1:5">
      <c r="A55" s="12"/>
      <c r="B55" s="160" t="s">
        <v>171</v>
      </c>
      <c r="C55" s="153" t="b">
        <f>COUNTIF(C12:C16,"&lt;&gt;0")=0</f>
        <v>1</v>
      </c>
      <c r="D55" s="153" t="b">
        <f>COUNTIF(D12:D16,"&lt;&gt;0")=0</f>
        <v>0</v>
      </c>
      <c r="E55" s="153" t="b">
        <f>COUNTIF(E12:E16,"&lt;&gt;0")=0</f>
        <v>0</v>
      </c>
    </row>
    <row r="56" spans="1:5">
      <c r="A56" s="12"/>
      <c r="B56" s="160" t="s">
        <v>174</v>
      </c>
      <c r="C56" s="153" t="b">
        <f>COUNTIF(C19:C20,"&lt;&gt;0")=0</f>
        <v>0</v>
      </c>
      <c r="D56" s="153" t="b">
        <f>COUNTIF(D19:D20,"&lt;&gt;0")=0</f>
        <v>0</v>
      </c>
      <c r="E56" s="153" t="b">
        <f>COUNTIF(E19:E20,"&lt;&gt;0")=0</f>
        <v>0</v>
      </c>
    </row>
    <row r="57" spans="1:5">
      <c r="A57" s="12"/>
      <c r="B57" s="12" t="s">
        <v>177</v>
      </c>
      <c r="C57" s="12" t="b">
        <f>AND(C54,C55,C56)</f>
        <v>0</v>
      </c>
      <c r="D57" s="12" t="b">
        <f>AND(D54,D55,D56)</f>
        <v>0</v>
      </c>
      <c r="E57" s="12" t="b">
        <f>AND(E54,E55,E56)</f>
        <v>0</v>
      </c>
    </row>
    <row r="58" spans="1:5">
      <c r="A58" s="12"/>
      <c r="B58" s="12" t="s">
        <v>180</v>
      </c>
      <c r="C58" s="12" t="b">
        <f>AND(C57,D57)</f>
        <v>0</v>
      </c>
      <c r="D58" s="12"/>
      <c r="E58" s="12"/>
    </row>
    <row r="59" spans="1:5">
      <c r="A59" s="12"/>
      <c r="B59" s="12"/>
      <c r="C59" s="12"/>
      <c r="D59" s="160">
        <f>SUM(D4:D9)</f>
        <v>180</v>
      </c>
      <c r="E59" s="160">
        <f>SUM(E4:E9)</f>
        <v>180</v>
      </c>
    </row>
    <row r="60" spans="1:5">
      <c r="A60" s="12"/>
      <c r="B60" s="12"/>
      <c r="C60" s="12"/>
      <c r="D60" s="160">
        <f>SUM(D12:D16)</f>
        <v>16</v>
      </c>
      <c r="E60" s="160">
        <f>SUM(E12:E16)</f>
        <v>16</v>
      </c>
    </row>
    <row r="61" spans="1:5">
      <c r="A61" s="12"/>
      <c r="B61" s="12"/>
      <c r="C61" s="12"/>
      <c r="D61" s="160">
        <f>SUM(D19:D20)</f>
        <v>100</v>
      </c>
      <c r="E61" s="160">
        <f>SUM(E19:E20)</f>
        <v>100</v>
      </c>
    </row>
    <row r="62" spans="1:5">
      <c r="A62" s="12"/>
      <c r="B62" s="12"/>
      <c r="C62" s="12"/>
      <c r="D62" s="160">
        <f>D59-D60-D61</f>
        <v>64</v>
      </c>
      <c r="E62" s="160">
        <f>E59-E60-E61</f>
        <v>64</v>
      </c>
    </row>
    <row r="63" spans="1:5">
      <c r="A63" s="12"/>
      <c r="B63" s="12"/>
      <c r="C63" s="12"/>
      <c r="D63" s="12"/>
      <c r="E63" s="12"/>
    </row>
    <row r="64" spans="1:5">
      <c r="A64" s="12"/>
      <c r="B64" s="12"/>
      <c r="C64" s="12"/>
      <c r="D64" s="12"/>
      <c r="E64" s="12"/>
    </row>
    <row r="65" spans="1:5">
      <c r="A65" s="12"/>
      <c r="B65" s="12"/>
      <c r="C65" s="12"/>
      <c r="D65" s="12" t="b">
        <f>ROUND(-SUMIF(Journal!$B$2:$B$219,"TempEq",Journal!$E$2:$E$219)+SUMIF(Journal!$B$2:$B$219,"TempEq",Journal!$F$2:$F$219),2)=0</f>
        <v>0</v>
      </c>
      <c r="E65" s="12" t="b">
        <f>ROUND(-SUMIF(Journal!$B$2:$B$219,"TempEq",Journal!$E$2:$E$219)+SUMIF(Journal!$B$2:$B$219,"TempEq",Journal!$F$2:$F$219),2)=0</f>
        <v>0</v>
      </c>
    </row>
    <row r="66" spans="1:5">
      <c r="A66" s="12"/>
      <c r="B66" s="12"/>
      <c r="C66" s="12"/>
      <c r="D66" s="12" t="b">
        <f>ROUND(SUM(Journal!E202:E219)-SUM(Journal!F202:F219),2)=0</f>
        <v>1</v>
      </c>
      <c r="E66" s="12" t="b">
        <f>ROUND(SUM(Journal!K202:K219)-SUM(Journal!L202:L219),2)=0</f>
        <v>1</v>
      </c>
    </row>
    <row r="67" spans="1:5">
      <c r="A67" s="12"/>
      <c r="B67" s="12"/>
      <c r="C67" s="12"/>
    </row>
    <row r="68" spans="1:5">
      <c r="B68" s="12"/>
      <c r="C68" s="12"/>
    </row>
    <row r="69" spans="1:5">
      <c r="B69" s="12" t="s">
        <v>182</v>
      </c>
      <c r="C69" s="160">
        <f>SUM(C4:C9)</f>
        <v>100</v>
      </c>
    </row>
    <row r="70" spans="1:5">
      <c r="B70" s="12" t="s">
        <v>183</v>
      </c>
      <c r="C70" s="160">
        <f>SUM(C12:C16)</f>
        <v>0</v>
      </c>
    </row>
    <row r="71" spans="1:5">
      <c r="B71" s="12" t="s">
        <v>184</v>
      </c>
      <c r="C71" s="160">
        <f>SUM(C19:C20)</f>
        <v>100</v>
      </c>
    </row>
    <row r="72" spans="1:5">
      <c r="B72" s="12" t="s">
        <v>185</v>
      </c>
      <c r="C72" s="160">
        <f>C69-C70-C71</f>
        <v>0</v>
      </c>
    </row>
    <row r="73" spans="1:5">
      <c r="B73" s="12"/>
      <c r="C73" s="12"/>
    </row>
    <row r="74" spans="1:5">
      <c r="B74" s="12"/>
      <c r="C74" s="12"/>
    </row>
    <row r="75" spans="1:5">
      <c r="B75" s="12"/>
      <c r="C75" s="12"/>
    </row>
    <row r="76" spans="1:5">
      <c r="B76" s="12"/>
      <c r="C76" s="12"/>
    </row>
    <row r="77" spans="1:5">
      <c r="B77" s="12"/>
      <c r="C77" s="12"/>
    </row>
    <row r="78" spans="1:5">
      <c r="B78" s="12"/>
      <c r="C78" s="12"/>
    </row>
    <row r="79" spans="1:5">
      <c r="B79" s="12"/>
      <c r="C79" s="12"/>
    </row>
    <row r="80" spans="1:5">
      <c r="B80" s="12"/>
      <c r="C80" s="12"/>
    </row>
    <row r="81" spans="2:3">
      <c r="B81" s="12"/>
      <c r="C81" s="12"/>
    </row>
    <row r="82" spans="2:3">
      <c r="B82" s="12"/>
      <c r="C82" s="12"/>
    </row>
    <row r="83" spans="2:3">
      <c r="B83" s="12"/>
      <c r="C83" s="12"/>
    </row>
    <row r="84" spans="2:3">
      <c r="B84" s="12"/>
      <c r="C84" s="12"/>
    </row>
    <row r="85" spans="2:3">
      <c r="B85" s="12"/>
      <c r="C85" s="12"/>
    </row>
    <row r="86" spans="2:3">
      <c r="B86" s="12"/>
      <c r="C86" s="12"/>
    </row>
    <row r="87" spans="2:3">
      <c r="B87" s="12"/>
      <c r="C87" s="12"/>
    </row>
  </sheetData>
  <conditionalFormatting sqref="B1:C1 D27:E37 B42:C87 D46:E48 D54:E66">
    <cfRule type="expression" priority="54" stopIfTrue="1">
      <formula>$A$1="OFF"</formula>
    </cfRule>
  </conditionalFormatting>
  <conditionalFormatting sqref="B4:F9 B12:F15">
    <cfRule type="expression" dxfId="12" priority="1">
      <formula>AND($A$1="ON",$G4=0)</formula>
    </cfRule>
  </conditionalFormatting>
  <conditionalFormatting sqref="B16:F16 B19:F20">
    <cfRule type="expression" dxfId="11" priority="635">
      <formula>AND($A$1="ON",$G15=0)</formula>
    </cfRule>
  </conditionalFormatting>
  <dataValidations count="4">
    <dataValidation type="list" allowBlank="1" showInputMessage="1" showErrorMessage="1" sqref="B19:B20" xr:uid="{2D8F4AB6-18E1-447F-AF47-3021D1FD62F0}">
      <formula1>INDIRECT("AccountTitles[Equity]")</formula1>
    </dataValidation>
    <dataValidation type="list" allowBlank="1" showInputMessage="1" showErrorMessage="1" sqref="B4:B9" xr:uid="{9ADB07BB-166F-495C-BE13-E40651CF8A24}">
      <formula1>INDIRECT("AccountTitles[Asset]")</formula1>
    </dataValidation>
    <dataValidation type="list" allowBlank="1" showInputMessage="1" showErrorMessage="1" sqref="A1" xr:uid="{E469C675-1D43-425A-9920-B9A107CE1E0C}">
      <formula1>"ON,OFF"</formula1>
    </dataValidation>
    <dataValidation type="list" allowBlank="1" showInputMessage="1" showErrorMessage="1" sqref="B12:B16" xr:uid="{9585974A-D2A8-4F92-A526-C2109BA2AD46}">
      <formula1>INDIRECT("AccountTitles[Liability]")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730F-EE28-48B9-99E1-956BDDF6E404}">
  <dimension ref="A1:F86"/>
  <sheetViews>
    <sheetView zoomScale="190" zoomScaleNormal="190" workbookViewId="0">
      <selection activeCell="G13" sqref="G13"/>
    </sheetView>
  </sheetViews>
  <sheetFormatPr defaultRowHeight="15" outlineLevelCol="2"/>
  <cols>
    <col min="2" max="2" width="25.7109375" customWidth="1"/>
    <col min="3" max="3" width="9.28515625" customWidth="1"/>
    <col min="4" max="4" width="9.28515625" customWidth="1" outlineLevel="1"/>
    <col min="5" max="5" width="9.28515625" customWidth="1" outlineLevel="2"/>
    <col min="6" max="6" width="3.28515625" customWidth="1" outlineLevel="2"/>
  </cols>
  <sheetData>
    <row r="1" spans="1:6" ht="15.75" thickBot="1">
      <c r="A1" t="s">
        <v>122</v>
      </c>
      <c r="B1" s="217" t="s">
        <v>186</v>
      </c>
      <c r="C1" s="218"/>
      <c r="D1" s="218"/>
      <c r="E1" s="219"/>
      <c r="F1" s="15"/>
    </row>
    <row r="2" spans="1:6" ht="15.75" thickBot="1">
      <c r="B2" s="213"/>
      <c r="C2" s="144" t="s">
        <v>187</v>
      </c>
      <c r="D2" s="214" t="s">
        <v>188</v>
      </c>
      <c r="E2" s="214" t="s">
        <v>189</v>
      </c>
    </row>
    <row r="3" spans="1:6">
      <c r="B3" s="109" t="s">
        <v>125</v>
      </c>
      <c r="C3" s="129"/>
      <c r="D3" s="110"/>
      <c r="E3" s="110"/>
    </row>
    <row r="4" spans="1:6">
      <c r="B4" s="130" t="s">
        <v>7</v>
      </c>
      <c r="C4" s="131">
        <f>SUMIFS(JournalTable[Cr Amt],JournalTable[ref],1,JournalTable[Cr Account],B4)-SUMIFS(JournalTable[Dr Amt],JournalTable[ref],1,JournalTable[Dr Account],B4)</f>
        <v>130</v>
      </c>
      <c r="D4" s="132">
        <f>SUMIFS(JournalTable[Cr Amt],JournalTable[ref],2,JournalTable[Cr Account],B4)-SUMIFS(JournalTable[Dr Amt],JournalTable[ref],2,JournalTable[Dr Account],B4)</f>
        <v>0</v>
      </c>
      <c r="E4" s="132">
        <f>SUMIFS(JournalTable[Cr Amt],JournalTable[ref],3,JournalTable[Cr Account],B4)-SUMIFS(JournalTable[Dr Amt],JournalTable[ref],3,JournalTable[Dr Account],B4)</f>
        <v>0</v>
      </c>
    </row>
    <row r="5" spans="1:6">
      <c r="B5" s="136" t="s">
        <v>134</v>
      </c>
      <c r="C5" s="149"/>
      <c r="D5" s="137"/>
      <c r="E5" s="137"/>
    </row>
    <row r="6" spans="1:6">
      <c r="B6" s="130" t="s">
        <v>11</v>
      </c>
      <c r="C6" s="131">
        <f>-SUMIFS(JournalTable[Cr Amt],JournalTable[ref],1,JournalTable[Cr Account],B6)+SUMIFS(JournalTable[Dr Amt],JournalTable[ref],1,JournalTable[Dr Account],B6)</f>
        <v>0</v>
      </c>
      <c r="D6" s="132">
        <f>-SUMIFS(JournalTable[Cr Amt],JournalTable[ref],2,JournalTable[Cr Account],B6)+SUMIFS(JournalTable[Dr Amt],JournalTable[ref],2,JournalTable[Dr Account],B6)</f>
        <v>0</v>
      </c>
      <c r="E6" s="132">
        <f>-SUMIFS(JournalTable[Cr Amt],JournalTable[ref],3,JournalTable[Cr Account],B6)+SUMIFS(JournalTable[Dr Amt],JournalTable[ref],3,JournalTable[Dr Account],B6)</f>
        <v>0</v>
      </c>
    </row>
    <row r="7" spans="1:6">
      <c r="B7" s="130" t="s">
        <v>14</v>
      </c>
      <c r="C7" s="150">
        <f>-SUMIFS(JournalTable[Cr Amt],JournalTable[ref],1,JournalTable[Cr Account],B7)+SUMIFS(JournalTable[Dr Amt],JournalTable[ref],1,JournalTable[Dr Account],B7)</f>
        <v>50</v>
      </c>
      <c r="D7" s="204">
        <f>-SUMIFS(JournalTable[Cr Amt],JournalTable[ref],2,JournalTable[Cr Account],B7)+SUMIFS(JournalTable[Dr Amt],JournalTable[ref],2,JournalTable[Dr Account],B7)</f>
        <v>0</v>
      </c>
      <c r="E7" s="204">
        <f>-SUMIFS(JournalTable[Cr Amt],JournalTable[ref],3,JournalTable[Cr Account],B7)+SUMIFS(JournalTable[Dr Amt],JournalTable[ref],3,JournalTable[Dr Account],B7)</f>
        <v>0</v>
      </c>
    </row>
    <row r="8" spans="1:6" ht="15.75" thickBot="1">
      <c r="B8" s="130" t="s">
        <v>17</v>
      </c>
      <c r="C8" s="215">
        <f>-SUMIFS(JournalTable[Cr Amt],JournalTable[ref],1,JournalTable[Cr Account],B8)+SUMIFS(JournalTable[Dr Amt],JournalTable[ref],1,JournalTable[Dr Account],B8)</f>
        <v>16</v>
      </c>
      <c r="D8" s="216">
        <f>-SUMIFS(JournalTable[Cr Amt],JournalTable[ref],2,JournalTable[Cr Account],B8)+SUMIFS(JournalTable[Dr Amt],JournalTable[ref],2,JournalTable[Dr Account],B8)</f>
        <v>0</v>
      </c>
      <c r="E8" s="216">
        <f>-SUMIFS(JournalTable[Cr Amt],JournalTable[ref],3,JournalTable[Cr Account],B8)+SUMIFS(JournalTable[Dr Amt],JournalTable[ref],3,JournalTable[Dr Account],B8)</f>
        <v>0</v>
      </c>
    </row>
    <row r="9" spans="1:6" ht="15.75" thickBot="1">
      <c r="B9" s="106" t="str">
        <f>IF(Journal!G222,"Net Income","Net in temporary accounts")</f>
        <v>Net in temporary accounts</v>
      </c>
      <c r="C9" s="212">
        <f>C4-SUM(C6:C8)</f>
        <v>64</v>
      </c>
      <c r="D9" s="205">
        <f>D4-SUM(D6:D8)</f>
        <v>0</v>
      </c>
      <c r="E9" s="205">
        <f>E4-SUM(E6:E8)</f>
        <v>0</v>
      </c>
    </row>
    <row r="10" spans="1:6">
      <c r="B10" s="12"/>
      <c r="C10" s="12"/>
      <c r="D10" s="12"/>
      <c r="E10" s="12"/>
    </row>
    <row r="11" spans="1:6">
      <c r="C11" s="12"/>
      <c r="D11" s="12"/>
      <c r="E11" s="12"/>
    </row>
    <row r="17" spans="2:5">
      <c r="C17" s="83"/>
      <c r="D17" s="83"/>
      <c r="E17" s="83"/>
    </row>
    <row r="18" spans="2:5">
      <c r="C18" s="12"/>
      <c r="D18" s="12"/>
      <c r="E18" s="12"/>
    </row>
    <row r="19" spans="2:5">
      <c r="C19" s="12"/>
      <c r="D19" s="12"/>
      <c r="E19" s="12"/>
    </row>
    <row r="20" spans="2:5">
      <c r="C20" s="12"/>
      <c r="D20" s="12"/>
      <c r="E20" s="12"/>
    </row>
    <row r="21" spans="2:5">
      <c r="B21" s="12"/>
      <c r="C21" s="12"/>
      <c r="D21" s="12"/>
      <c r="E21" s="12"/>
    </row>
    <row r="22" spans="2:5">
      <c r="B22" s="12"/>
      <c r="C22" s="12"/>
      <c r="D22" s="12"/>
      <c r="E22" s="12"/>
    </row>
    <row r="23" spans="2:5">
      <c r="B23" s="12"/>
      <c r="C23" s="12"/>
      <c r="D23" s="12"/>
      <c r="E23" s="12"/>
    </row>
    <row r="24" spans="2:5">
      <c r="B24" s="12"/>
      <c r="C24" s="12"/>
      <c r="D24" s="12"/>
      <c r="E24" s="12"/>
    </row>
    <row r="25" spans="2:5">
      <c r="B25" s="12"/>
      <c r="C25" s="12"/>
      <c r="D25" s="12"/>
      <c r="E25" s="12"/>
    </row>
    <row r="26" spans="2:5">
      <c r="B26" s="12"/>
      <c r="C26" s="12"/>
      <c r="D26" s="12"/>
      <c r="E26" s="12"/>
    </row>
    <row r="27" spans="2:5">
      <c r="B27" s="12"/>
      <c r="C27" s="12"/>
      <c r="D27" s="12"/>
      <c r="E27" s="12"/>
    </row>
    <row r="28" spans="2:5">
      <c r="B28" s="12"/>
      <c r="C28" s="12"/>
      <c r="D28" s="12"/>
      <c r="E28" s="12"/>
    </row>
    <row r="29" spans="2:5">
      <c r="B29" s="12"/>
      <c r="C29" s="12"/>
      <c r="D29" s="12"/>
      <c r="E29" s="12"/>
    </row>
    <row r="30" spans="2:5">
      <c r="B30" s="12"/>
      <c r="C30" s="12"/>
      <c r="D30" s="12"/>
      <c r="E30" s="12"/>
    </row>
    <row r="31" spans="2:5">
      <c r="B31" s="12"/>
      <c r="C31" s="12"/>
      <c r="D31" s="12"/>
      <c r="E31" s="12"/>
    </row>
    <row r="32" spans="2:5">
      <c r="B32" s="12"/>
      <c r="C32" s="12"/>
      <c r="D32" s="12"/>
      <c r="E32" s="12"/>
    </row>
    <row r="33" spans="1:5">
      <c r="B33" s="12"/>
      <c r="C33" s="12"/>
      <c r="D33" s="12"/>
      <c r="E33" s="12"/>
    </row>
    <row r="34" spans="1:5">
      <c r="A34" s="12"/>
      <c r="B34" s="12"/>
      <c r="C34" s="12"/>
      <c r="D34" s="12"/>
      <c r="E34" s="12"/>
    </row>
    <row r="35" spans="1:5">
      <c r="A35" s="12"/>
      <c r="B35" s="12"/>
      <c r="C35" s="12"/>
      <c r="D35" s="12"/>
      <c r="E35" s="12"/>
    </row>
    <row r="36" spans="1:5">
      <c r="A36" s="12"/>
      <c r="B36" s="12"/>
      <c r="C36" s="12"/>
      <c r="D36" s="12"/>
      <c r="E36" s="12"/>
    </row>
    <row r="37" spans="1:5">
      <c r="A37" s="12"/>
      <c r="B37" s="12"/>
      <c r="C37" s="12"/>
      <c r="D37" s="12"/>
      <c r="E37" s="12"/>
    </row>
    <row r="38" spans="1:5">
      <c r="A38" s="12"/>
      <c r="B38" s="12"/>
      <c r="C38" s="12"/>
      <c r="D38" s="12"/>
      <c r="E38" s="12"/>
    </row>
    <row r="39" spans="1:5">
      <c r="A39" s="12"/>
      <c r="B39" s="12"/>
      <c r="C39" s="12"/>
      <c r="D39" s="12"/>
      <c r="E39" s="12"/>
    </row>
    <row r="40" spans="1:5">
      <c r="A40" s="12"/>
      <c r="B40" s="12"/>
      <c r="C40" s="12"/>
      <c r="D40" s="12"/>
      <c r="E40" s="12"/>
    </row>
    <row r="41" spans="1:5">
      <c r="A41" s="12"/>
      <c r="B41" s="12"/>
      <c r="C41" s="12"/>
      <c r="D41" s="12"/>
      <c r="E41" s="12"/>
    </row>
    <row r="42" spans="1:5">
      <c r="A42" s="12"/>
      <c r="B42" s="12"/>
      <c r="C42" s="12"/>
      <c r="D42" s="12"/>
      <c r="E42" s="12"/>
    </row>
    <row r="43" spans="1:5">
      <c r="A43" s="12"/>
      <c r="B43" s="12"/>
      <c r="C43" s="12"/>
      <c r="D43" s="12"/>
      <c r="E43" s="12"/>
    </row>
    <row r="44" spans="1:5">
      <c r="A44" s="12"/>
      <c r="B44" s="12"/>
      <c r="C44" s="12"/>
      <c r="D44" s="12"/>
      <c r="E44" s="12"/>
    </row>
    <row r="45" spans="1:5">
      <c r="A45" s="12"/>
      <c r="B45" s="12"/>
      <c r="C45" s="12"/>
      <c r="D45" s="12"/>
      <c r="E45" s="12"/>
    </row>
    <row r="46" spans="1:5">
      <c r="A46" s="12"/>
      <c r="B46" s="12"/>
      <c r="C46" s="12"/>
      <c r="D46" s="12"/>
      <c r="E46" s="12"/>
    </row>
    <row r="47" spans="1:5">
      <c r="A47" s="12"/>
      <c r="B47" s="12"/>
      <c r="C47" s="12"/>
      <c r="D47" s="12"/>
      <c r="E47" s="12"/>
    </row>
    <row r="48" spans="1:5">
      <c r="A48" s="12"/>
      <c r="B48" s="12"/>
      <c r="C48" s="12"/>
      <c r="D48" s="12"/>
      <c r="E48" s="12"/>
    </row>
    <row r="49" spans="1:5">
      <c r="A49" s="12"/>
      <c r="B49" s="12"/>
      <c r="C49" s="12"/>
      <c r="D49" s="12"/>
      <c r="E49" s="12"/>
    </row>
    <row r="50" spans="1:5">
      <c r="A50" s="12"/>
      <c r="B50" s="12"/>
      <c r="C50" s="12"/>
      <c r="D50" s="12"/>
      <c r="E50" s="12"/>
    </row>
    <row r="51" spans="1:5">
      <c r="A51" s="12"/>
      <c r="B51" s="12"/>
      <c r="C51" s="12"/>
      <c r="D51" s="12"/>
      <c r="E51" s="12"/>
    </row>
    <row r="52" spans="1:5">
      <c r="A52" s="12"/>
      <c r="B52" s="12"/>
      <c r="C52" s="12"/>
      <c r="D52" s="12"/>
      <c r="E52" s="12"/>
    </row>
    <row r="53" spans="1:5">
      <c r="A53" s="12"/>
      <c r="B53" s="12" t="s">
        <v>169</v>
      </c>
      <c r="C53" s="153" t="b">
        <f>COUNTIF(C4,"&lt;&gt;0")=0</f>
        <v>0</v>
      </c>
      <c r="D53" s="153" t="b">
        <f>COUNTIF(D4,"&lt;&gt;0")=0</f>
        <v>1</v>
      </c>
      <c r="E53" s="153" t="b">
        <f>COUNTIF(E4,"&lt;&gt;0")=0</f>
        <v>1</v>
      </c>
    </row>
    <row r="54" spans="1:5">
      <c r="A54" s="12"/>
      <c r="B54" s="12" t="s">
        <v>172</v>
      </c>
      <c r="C54" s="153" t="b">
        <f>COUNTIF(C6:C8,"&lt;&gt;0")=0</f>
        <v>0</v>
      </c>
      <c r="D54" s="153" t="b">
        <f>COUNTIF(D6:D8,"&lt;&gt;0")=0</f>
        <v>1</v>
      </c>
      <c r="E54" s="153" t="b">
        <f>COUNTIF(E6:E8,"&lt;&gt;0")=0</f>
        <v>1</v>
      </c>
    </row>
    <row r="55" spans="1:5">
      <c r="A55" s="12"/>
      <c r="B55" s="12" t="s">
        <v>175</v>
      </c>
      <c r="C55" s="153" t="e">
        <f>COUNTIF(#REF!,"&lt;&gt;0")=0</f>
        <v>#REF!</v>
      </c>
      <c r="D55" s="153" t="e">
        <f>COUNTIF(#REF!,"&lt;&gt;0")=0</f>
        <v>#REF!</v>
      </c>
      <c r="E55" s="153" t="e">
        <f>COUNTIF(#REF!,"&lt;&gt;0")=0</f>
        <v>#REF!</v>
      </c>
    </row>
    <row r="56" spans="1:5">
      <c r="A56" s="12"/>
      <c r="B56" s="12" t="s">
        <v>178</v>
      </c>
      <c r="C56" s="153" t="e">
        <f>COUNTIF(#REF!,"&lt;&gt;0")=0</f>
        <v>#REF!</v>
      </c>
      <c r="D56" s="153" t="e">
        <f>COUNTIF(#REF!,"&lt;&gt;0")=0</f>
        <v>#REF!</v>
      </c>
      <c r="E56" s="153" t="e">
        <f>COUNTIF(#REF!,"&lt;&gt;0")=0</f>
        <v>#REF!</v>
      </c>
    </row>
    <row r="57" spans="1:5">
      <c r="A57" s="12"/>
      <c r="B57" s="12" t="s">
        <v>181</v>
      </c>
      <c r="C57" s="159" t="e">
        <f>AND(C53,C54,C55,C56)</f>
        <v>#REF!</v>
      </c>
      <c r="D57" s="159" t="e">
        <f>AND(D53,D54,D55,D56)</f>
        <v>#REF!</v>
      </c>
      <c r="E57" s="159" t="e">
        <f>AND(E53,E54,E55,E56)</f>
        <v>#REF!</v>
      </c>
    </row>
    <row r="58" spans="1:5">
      <c r="A58" s="12"/>
      <c r="B58" s="12"/>
      <c r="C58" s="12"/>
      <c r="D58" s="12"/>
      <c r="E58" s="12"/>
    </row>
    <row r="59" spans="1:5">
      <c r="A59" s="12"/>
      <c r="B59" s="12"/>
      <c r="C59" s="12"/>
      <c r="D59" s="12"/>
      <c r="E59" s="12"/>
    </row>
    <row r="60" spans="1:5">
      <c r="A60" s="12"/>
      <c r="B60" s="12"/>
      <c r="C60" s="12"/>
      <c r="D60" s="12"/>
      <c r="E60" s="12"/>
    </row>
    <row r="61" spans="1:5">
      <c r="A61" s="12"/>
      <c r="B61" s="12"/>
      <c r="C61" s="12"/>
      <c r="D61" s="12"/>
      <c r="E61" s="12"/>
    </row>
    <row r="62" spans="1:5">
      <c r="A62" s="12"/>
      <c r="B62" s="12"/>
      <c r="C62" s="12"/>
      <c r="D62" s="12"/>
      <c r="E62" s="12"/>
    </row>
    <row r="63" spans="1:5">
      <c r="A63" s="12"/>
      <c r="B63" s="12"/>
      <c r="C63" s="12"/>
      <c r="D63" s="12"/>
      <c r="E63" s="12"/>
    </row>
    <row r="64" spans="1:5">
      <c r="A64" s="12"/>
      <c r="B64" s="12"/>
      <c r="C64" s="12"/>
      <c r="D64" s="12"/>
      <c r="E64" s="12"/>
    </row>
    <row r="65" spans="1:5">
      <c r="A65" s="12"/>
      <c r="B65" s="12"/>
      <c r="C65" s="12"/>
      <c r="D65" s="12"/>
      <c r="E65" s="12"/>
    </row>
    <row r="66" spans="1:5">
      <c r="A66" s="12"/>
      <c r="B66" s="12"/>
      <c r="C66" s="12"/>
      <c r="D66" s="12"/>
      <c r="E66" s="12"/>
    </row>
    <row r="67" spans="1:5">
      <c r="A67" s="12"/>
      <c r="B67" s="12"/>
      <c r="C67" s="12"/>
      <c r="D67" s="12"/>
      <c r="E67" s="12"/>
    </row>
    <row r="68" spans="1:5">
      <c r="B68" s="12"/>
      <c r="C68" s="12"/>
      <c r="D68" s="12"/>
      <c r="E68" s="12"/>
    </row>
    <row r="69" spans="1:5">
      <c r="B69" s="12"/>
      <c r="C69" s="12"/>
      <c r="D69" s="12"/>
      <c r="E69" s="12"/>
    </row>
    <row r="70" spans="1:5">
      <c r="B70" s="12"/>
      <c r="C70" s="12"/>
      <c r="D70" s="12"/>
      <c r="E70" s="12"/>
    </row>
    <row r="71" spans="1:5">
      <c r="B71" s="12"/>
      <c r="C71" s="12"/>
      <c r="D71" s="12"/>
      <c r="E71" s="12"/>
    </row>
    <row r="72" spans="1:5">
      <c r="B72" s="12"/>
      <c r="C72" s="12"/>
      <c r="D72" s="12"/>
      <c r="E72" s="12"/>
    </row>
    <row r="73" spans="1:5">
      <c r="B73" s="12"/>
      <c r="C73" s="12"/>
      <c r="D73" s="12"/>
      <c r="E73" s="12"/>
    </row>
    <row r="74" spans="1:5">
      <c r="B74" s="12"/>
      <c r="C74" s="12"/>
      <c r="D74" s="12"/>
      <c r="E74" s="12"/>
    </row>
    <row r="75" spans="1:5">
      <c r="B75" s="12"/>
      <c r="C75" s="12"/>
      <c r="D75" s="12"/>
      <c r="E75" s="12"/>
    </row>
    <row r="76" spans="1:5">
      <c r="B76" s="12"/>
      <c r="C76" s="12"/>
      <c r="D76" s="12"/>
      <c r="E76" s="12"/>
    </row>
    <row r="77" spans="1:5">
      <c r="B77" s="12"/>
      <c r="C77" s="12"/>
      <c r="D77" s="12"/>
      <c r="E77" s="12"/>
    </row>
    <row r="78" spans="1:5">
      <c r="B78" s="12"/>
      <c r="C78" s="12"/>
      <c r="D78" s="12"/>
      <c r="E78" s="12"/>
    </row>
    <row r="79" spans="1:5">
      <c r="B79" s="12"/>
      <c r="C79" s="12"/>
      <c r="D79" s="12"/>
      <c r="E79" s="12"/>
    </row>
    <row r="80" spans="1:5">
      <c r="B80" s="12"/>
      <c r="C80" s="12"/>
      <c r="D80" s="12"/>
      <c r="E80" s="12"/>
    </row>
    <row r="81" spans="2:5">
      <c r="B81" s="12"/>
      <c r="C81" s="12"/>
      <c r="D81" s="12"/>
      <c r="E81" s="12"/>
    </row>
    <row r="82" spans="2:5">
      <c r="B82" s="12"/>
      <c r="C82" s="12"/>
      <c r="D82" s="12"/>
      <c r="E82" s="12"/>
    </row>
    <row r="83" spans="2:5">
      <c r="B83" s="12"/>
      <c r="C83" s="12"/>
      <c r="D83" s="12"/>
      <c r="E83" s="12"/>
    </row>
    <row r="84" spans="2:5">
      <c r="B84" s="12"/>
      <c r="C84" s="12"/>
      <c r="D84" s="12"/>
      <c r="E84" s="12"/>
    </row>
    <row r="85" spans="2:5">
      <c r="B85" s="12"/>
      <c r="C85" s="12"/>
      <c r="D85" s="12"/>
      <c r="E85" s="12"/>
    </row>
    <row r="86" spans="2:5">
      <c r="B86" s="12"/>
      <c r="C86" s="12"/>
      <c r="D86" s="12"/>
      <c r="E86" s="12"/>
    </row>
  </sheetData>
  <conditionalFormatting sqref="B2:C2 D2:E5 B3:B9 C9:E9 C3:C5">
    <cfRule type="expression" dxfId="10" priority="77">
      <formula>$C$57</formula>
    </cfRule>
  </conditionalFormatting>
  <conditionalFormatting sqref="B1:E10">
    <cfRule type="expression" priority="1" stopIfTrue="1">
      <formula>$A$1="OFF"</formula>
    </cfRule>
  </conditionalFormatting>
  <conditionalFormatting sqref="B3:E4">
    <cfRule type="expression" dxfId="9" priority="70">
      <formula>$C$53</formula>
    </cfRule>
  </conditionalFormatting>
  <conditionalFormatting sqref="B4:E4">
    <cfRule type="expression" dxfId="8" priority="64">
      <formula>ROUND($C$4,2)=0</formula>
    </cfRule>
  </conditionalFormatting>
  <conditionalFormatting sqref="B6:E8">
    <cfRule type="expression" dxfId="7" priority="2">
      <formula>ROUND($C6,2)=0</formula>
    </cfRule>
  </conditionalFormatting>
  <conditionalFormatting sqref="B21:E86">
    <cfRule type="expression" priority="62" stopIfTrue="1">
      <formula>$A$1="OFF"</formula>
    </cfRule>
  </conditionalFormatting>
  <conditionalFormatting sqref="C5:E5 B5:B8">
    <cfRule type="expression" dxfId="6" priority="71">
      <formula>$C$54</formula>
    </cfRule>
  </conditionalFormatting>
  <conditionalFormatting sqref="C6:E8">
    <cfRule type="expression" dxfId="5" priority="4">
      <formula>$C$54</formula>
    </cfRule>
    <cfRule type="expression" dxfId="4" priority="5">
      <formula>$C$57</formula>
    </cfRule>
  </conditionalFormatting>
  <conditionalFormatting sqref="C11:E11 C17:E20">
    <cfRule type="expression" priority="38" stopIfTrue="1">
      <formula>$A$1="OFF"</formula>
    </cfRule>
  </conditionalFormatting>
  <dataValidations count="2">
    <dataValidation type="list" allowBlank="1" showInputMessage="1" showErrorMessage="1" sqref="B4 B6:B8" xr:uid="{32CF3790-3D91-4FEE-8685-8A79F7DD0BC1}">
      <formula1>INDIRECT("AccountTitles[TempEq]")</formula1>
    </dataValidation>
    <dataValidation type="list" allowBlank="1" showInputMessage="1" showErrorMessage="1" sqref="A1" xr:uid="{FF7D6F47-4FB0-4F40-9E3E-AE9D34349FDD}">
      <formula1>"ON,OFF"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7" id="{5A182DF2-815F-4443-9BDB-1C0E6D7AC212}">
            <xm:f>NOT(Journal!$G$222)</xm:f>
            <x14:dxf>
              <font>
                <b/>
                <i val="0"/>
                <color theme="0"/>
              </font>
              <fill>
                <patternFill>
                  <bgColor rgb="FFFF7C80"/>
                </patternFill>
              </fill>
            </x14:dxf>
          </x14:cfRule>
          <xm:sqref>B2:E2 B9:E9</xm:sqref>
        </x14:conditionalFormatting>
        <x14:conditionalFormatting xmlns:xm="http://schemas.microsoft.com/office/excel/2006/main">
          <x14:cfRule type="expression" priority="66" id="{5C7C816E-08E9-4BB2-AB53-7635A8051581}">
            <xm:f>NOT(Journal!$G$222)</xm:f>
            <x14:dxf>
              <fill>
                <patternFill>
                  <bgColor rgb="FFFFCCCC"/>
                </patternFill>
              </fill>
            </x14:dxf>
          </x14:cfRule>
          <xm:sqref>C3:E5 B3:B8</xm:sqref>
        </x14:conditionalFormatting>
        <x14:conditionalFormatting xmlns:xm="http://schemas.microsoft.com/office/excel/2006/main">
          <x14:cfRule type="expression" priority="3" id="{6221C277-9486-4433-B83F-BC440095D7E4}">
            <xm:f>NOT(Journal!$G$222)</xm:f>
            <x14:dxf>
              <fill>
                <patternFill>
                  <bgColor rgb="FFFFCCCC"/>
                </patternFill>
              </fill>
            </x14:dxf>
          </x14:cfRule>
          <xm:sqref>C6:E8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FF9B-162C-44FD-9D79-AA9A143545D3}">
  <dimension ref="A1:P145"/>
  <sheetViews>
    <sheetView workbookViewId="0">
      <selection activeCell="P36" sqref="P36"/>
    </sheetView>
  </sheetViews>
  <sheetFormatPr defaultRowHeight="15" outlineLevelRow="1"/>
  <cols>
    <col min="1" max="1" width="28.5703125" bestFit="1" customWidth="1"/>
    <col min="4" max="4" width="6" style="14" customWidth="1"/>
    <col min="5" max="5" width="9.140625" customWidth="1"/>
    <col min="6" max="6" width="9.28515625" bestFit="1" customWidth="1"/>
    <col min="7" max="7" width="5.7109375" style="14" customWidth="1"/>
    <col min="8" max="8" width="9.28515625" bestFit="1" customWidth="1"/>
    <col min="9" max="9" width="9.140625" bestFit="1" customWidth="1"/>
    <col min="10" max="10" width="9.28515625" bestFit="1" customWidth="1"/>
    <col min="13" max="13" width="10.42578125" bestFit="1" customWidth="1"/>
    <col min="14" max="15" width="9.28515625" bestFit="1" customWidth="1"/>
  </cols>
  <sheetData>
    <row r="1" spans="1:16" ht="15.75" thickTop="1">
      <c r="B1" s="16" t="s">
        <v>190</v>
      </c>
      <c r="C1" s="16"/>
      <c r="D1" s="1"/>
      <c r="E1" s="16" t="s">
        <v>191</v>
      </c>
      <c r="F1" s="16"/>
      <c r="G1" s="1"/>
      <c r="H1" s="16" t="s">
        <v>192</v>
      </c>
      <c r="I1" s="16"/>
      <c r="J1" s="19" t="s">
        <v>193</v>
      </c>
      <c r="K1" s="20"/>
    </row>
    <row r="2" spans="1:16" ht="15.75" thickBot="1">
      <c r="B2" s="1" t="s">
        <v>120</v>
      </c>
      <c r="C2" s="1" t="s">
        <v>121</v>
      </c>
      <c r="D2" s="1"/>
      <c r="E2" s="1" t="s">
        <v>120</v>
      </c>
      <c r="F2" s="1" t="s">
        <v>121</v>
      </c>
      <c r="G2" s="1"/>
      <c r="H2" s="1" t="s">
        <v>120</v>
      </c>
      <c r="I2" s="28" t="s">
        <v>121</v>
      </c>
      <c r="J2" s="24" t="s">
        <v>120</v>
      </c>
      <c r="K2" s="25" t="s">
        <v>121</v>
      </c>
    </row>
    <row r="3" spans="1:16" ht="15.75" thickTop="1">
      <c r="A3" s="29" t="s">
        <v>78</v>
      </c>
      <c r="B3" s="94" t="e">
        <f>'Financial Statements'!C5</f>
        <v>#REF!</v>
      </c>
      <c r="C3" s="94"/>
      <c r="D3" s="32" t="s">
        <v>194</v>
      </c>
      <c r="E3" s="49">
        <f>Journal!E30</f>
        <v>0</v>
      </c>
      <c r="F3" s="50"/>
      <c r="G3" s="32"/>
      <c r="H3" s="55" t="e">
        <f>'Financial Statements'!U5</f>
        <v>#REF!</v>
      </c>
      <c r="I3" s="56"/>
      <c r="J3" s="57" t="e">
        <f>MAX(H3-B3-SUM(E3:E6)+SUM(F3:F6),0)</f>
        <v>#REF!</v>
      </c>
      <c r="K3" s="58" t="e">
        <f>-MIN(H3-B3-SUM(E3:E6)+SUM(F3:F6),0)</f>
        <v>#REF!</v>
      </c>
    </row>
    <row r="4" spans="1:16" outlineLevel="1">
      <c r="A4" s="30"/>
      <c r="B4" s="60"/>
      <c r="C4" s="60"/>
      <c r="D4" s="14" t="s">
        <v>195</v>
      </c>
      <c r="E4" s="51">
        <f>Journal!E42</f>
        <v>0</v>
      </c>
      <c r="F4" s="52"/>
      <c r="H4" s="27"/>
      <c r="I4" s="59"/>
      <c r="J4" s="60"/>
      <c r="K4" s="61"/>
    </row>
    <row r="5" spans="1:16" outlineLevel="1">
      <c r="A5" s="30"/>
      <c r="B5" s="60"/>
      <c r="C5" s="60"/>
      <c r="D5" s="14" t="s">
        <v>196</v>
      </c>
      <c r="E5" s="51">
        <f>Journal!E102</f>
        <v>0</v>
      </c>
      <c r="F5" s="52">
        <f>Journal!F104</f>
        <v>0</v>
      </c>
      <c r="G5" s="14" t="s">
        <v>196</v>
      </c>
      <c r="H5" s="27"/>
      <c r="I5" s="59"/>
      <c r="J5" s="60"/>
      <c r="K5" s="61"/>
    </row>
    <row r="6" spans="1:16" outlineLevel="1">
      <c r="A6" s="30"/>
      <c r="B6" s="95"/>
      <c r="C6" s="60"/>
      <c r="D6" s="14" t="s">
        <v>197</v>
      </c>
      <c r="E6" s="51">
        <f>Journal!E77</f>
        <v>0</v>
      </c>
      <c r="F6" s="52">
        <f>Journal!F81</f>
        <v>0</v>
      </c>
      <c r="G6" s="14" t="s">
        <v>198</v>
      </c>
      <c r="H6" s="27"/>
      <c r="I6" s="59"/>
      <c r="J6" s="60"/>
      <c r="K6" s="61"/>
    </row>
    <row r="7" spans="1:16">
      <c r="A7" s="31" t="s">
        <v>8</v>
      </c>
      <c r="B7" s="60">
        <f>'Financial Statements'!C6</f>
        <v>0</v>
      </c>
      <c r="C7" s="60"/>
      <c r="D7" s="14" t="s">
        <v>195</v>
      </c>
      <c r="E7" s="51">
        <f>Journal!E43</f>
        <v>0</v>
      </c>
      <c r="F7" s="52">
        <f>Journal!F66</f>
        <v>0</v>
      </c>
      <c r="G7" s="14" t="s">
        <v>199</v>
      </c>
      <c r="H7" s="27">
        <f>'Financial Statements'!U6</f>
        <v>0</v>
      </c>
      <c r="I7" s="59"/>
      <c r="J7" s="62">
        <f>MAX(H7-B7-SUM(E7:E10)+SUM(F7:F10),0)</f>
        <v>0</v>
      </c>
      <c r="K7" s="63">
        <f>-MIN(H7-B7-SUM(E7:E10)+SUM(F7:F10),0)</f>
        <v>0</v>
      </c>
    </row>
    <row r="8" spans="1:16" outlineLevel="1">
      <c r="A8" s="30"/>
      <c r="B8" s="60"/>
      <c r="C8" s="60"/>
      <c r="E8" s="51"/>
      <c r="F8" s="52"/>
      <c r="H8" s="27"/>
      <c r="I8" s="59"/>
      <c r="J8" s="60"/>
      <c r="K8" s="61"/>
      <c r="P8" s="73" t="e">
        <f ca="1">N106-O106</f>
        <v>#REF!</v>
      </c>
    </row>
    <row r="9" spans="1:16" outlineLevel="1">
      <c r="A9" s="30"/>
      <c r="B9" s="60"/>
      <c r="C9" s="60"/>
      <c r="E9" s="51"/>
      <c r="F9" s="52"/>
      <c r="H9" s="27"/>
      <c r="I9" s="59"/>
      <c r="J9" s="60"/>
      <c r="K9" s="61"/>
    </row>
    <row r="10" spans="1:16" outlineLevel="1">
      <c r="A10" s="30"/>
      <c r="B10" s="60"/>
      <c r="C10" s="60"/>
      <c r="E10" s="51"/>
      <c r="F10" s="52"/>
      <c r="H10" s="27"/>
      <c r="I10" s="59"/>
      <c r="J10" s="60"/>
      <c r="K10" s="61"/>
    </row>
    <row r="11" spans="1:16">
      <c r="A11" s="31" t="s">
        <v>137</v>
      </c>
      <c r="B11" s="60"/>
      <c r="C11" s="60" t="e">
        <f>-'Financial Statements'!C7</f>
        <v>#REF!</v>
      </c>
      <c r="E11" s="51"/>
      <c r="F11" s="52"/>
      <c r="H11" s="27"/>
      <c r="I11" s="59" t="e">
        <f>-'Financial Statements'!U7</f>
        <v>#REF!</v>
      </c>
      <c r="J11" s="62" t="e">
        <f>-MIN(I11-C11-SUM(F11:F14)+SUM(E11:E14),0)</f>
        <v>#REF!</v>
      </c>
      <c r="K11" s="63" t="e">
        <f>MAX(I11-C11-SUM(F11:F14)+SUM(E11:E14),0)</f>
        <v>#REF!</v>
      </c>
    </row>
    <row r="12" spans="1:16" outlineLevel="1">
      <c r="A12" s="30"/>
      <c r="B12" s="60"/>
      <c r="C12" s="60"/>
      <c r="E12" s="51"/>
      <c r="F12" s="52"/>
      <c r="H12" s="27"/>
      <c r="I12" s="59"/>
      <c r="J12" s="60"/>
      <c r="K12" s="61"/>
    </row>
    <row r="13" spans="1:16" outlineLevel="1">
      <c r="A13" s="30"/>
      <c r="B13" s="60"/>
      <c r="C13" s="60"/>
      <c r="E13" s="51"/>
      <c r="F13" s="52"/>
      <c r="H13" s="27"/>
      <c r="I13" s="59"/>
      <c r="J13" s="60"/>
      <c r="K13" s="61"/>
    </row>
    <row r="14" spans="1:16" outlineLevel="1">
      <c r="A14" s="30"/>
      <c r="B14" s="60"/>
      <c r="C14" s="60"/>
      <c r="E14" s="51"/>
      <c r="F14" s="52"/>
      <c r="H14" s="27"/>
      <c r="I14" s="59"/>
      <c r="J14" s="60"/>
      <c r="K14" s="61"/>
    </row>
    <row r="15" spans="1:16">
      <c r="A15" s="31" t="s">
        <v>12</v>
      </c>
      <c r="B15" s="60">
        <f>'Financial Statements'!C8</f>
        <v>0</v>
      </c>
      <c r="C15" s="60"/>
      <c r="D15" s="14" t="s">
        <v>195</v>
      </c>
      <c r="E15" s="51">
        <f>Journal!E44</f>
        <v>0</v>
      </c>
      <c r="F15" s="52">
        <f>Journal!F84</f>
        <v>0</v>
      </c>
      <c r="G15" s="14" t="s">
        <v>200</v>
      </c>
      <c r="H15" s="27">
        <f>'Financial Statements'!U8</f>
        <v>0</v>
      </c>
      <c r="I15" s="59"/>
      <c r="J15" s="62">
        <f>MAX(H15-B15-SUM(E15:E18)+SUM(F15:F18),0)</f>
        <v>0</v>
      </c>
      <c r="K15" s="63">
        <f>-MIN(H15-B15-SUM(E15:E18)+SUM(F15:F18),0)</f>
        <v>0</v>
      </c>
    </row>
    <row r="16" spans="1:16" outlineLevel="1">
      <c r="A16" s="30"/>
      <c r="B16" s="60"/>
      <c r="C16" s="60"/>
      <c r="E16" s="51"/>
      <c r="F16" s="52">
        <f>Journal!F67</f>
        <v>0</v>
      </c>
      <c r="G16" s="14" t="s">
        <v>199</v>
      </c>
      <c r="H16" s="27"/>
      <c r="I16" s="59"/>
      <c r="J16" s="60"/>
      <c r="K16" s="61"/>
    </row>
    <row r="17" spans="1:11" outlineLevel="1">
      <c r="A17" s="30"/>
      <c r="B17" s="60"/>
      <c r="C17" s="60"/>
      <c r="E17" s="51"/>
      <c r="F17" s="52"/>
      <c r="H17" s="27"/>
      <c r="I17" s="59"/>
      <c r="J17" s="60"/>
      <c r="K17" s="61"/>
    </row>
    <row r="18" spans="1:11" outlineLevel="1">
      <c r="A18" s="30"/>
      <c r="B18" s="60"/>
      <c r="C18" s="60"/>
      <c r="E18" s="51"/>
      <c r="F18" s="52"/>
      <c r="H18" s="27"/>
      <c r="I18" s="59"/>
      <c r="J18" s="60"/>
      <c r="K18" s="61"/>
    </row>
    <row r="19" spans="1:11">
      <c r="A19" s="31" t="s">
        <v>94</v>
      </c>
      <c r="B19" s="60" t="e">
        <f>'Financial Statements'!C9</f>
        <v>#REF!</v>
      </c>
      <c r="C19" s="60"/>
      <c r="E19" s="51"/>
      <c r="F19" s="52">
        <f>Journal!F68</f>
        <v>0</v>
      </c>
      <c r="G19" s="14" t="s">
        <v>199</v>
      </c>
      <c r="H19" s="27" t="e">
        <f>'Financial Statements'!U9</f>
        <v>#REF!</v>
      </c>
      <c r="I19" s="59"/>
      <c r="J19" s="62" t="e">
        <f>MAX(H19-B19-SUM(E19:E22)+SUM(F19:F22),0)</f>
        <v>#REF!</v>
      </c>
      <c r="K19" s="63" t="e">
        <f>-MIN(H19-B19-SUM(E19:E22)+SUM(F19:F22),0)</f>
        <v>#REF!</v>
      </c>
    </row>
    <row r="20" spans="1:11" outlineLevel="1">
      <c r="A20" s="30"/>
      <c r="B20" s="60"/>
      <c r="C20" s="60"/>
      <c r="E20" s="51"/>
      <c r="F20" s="52"/>
      <c r="H20" s="27"/>
      <c r="I20" s="59"/>
      <c r="J20" s="60"/>
      <c r="K20" s="61"/>
    </row>
    <row r="21" spans="1:11" outlineLevel="1">
      <c r="A21" s="30"/>
      <c r="B21" s="60"/>
      <c r="C21" s="60"/>
      <c r="E21" s="51"/>
      <c r="F21" s="52"/>
      <c r="H21" s="27"/>
      <c r="I21" s="59"/>
      <c r="J21" s="60"/>
      <c r="K21" s="61"/>
    </row>
    <row r="22" spans="1:11" outlineLevel="1">
      <c r="A22" s="30"/>
      <c r="B22" s="60"/>
      <c r="C22" s="60"/>
      <c r="E22" s="51"/>
      <c r="F22" s="52"/>
      <c r="H22" s="27"/>
      <c r="I22" s="59"/>
      <c r="J22" s="60"/>
      <c r="K22" s="61"/>
    </row>
    <row r="23" spans="1:11">
      <c r="A23" s="31" t="s">
        <v>15</v>
      </c>
      <c r="B23" s="60">
        <f>'Financial Statements'!C10</f>
        <v>0</v>
      </c>
      <c r="C23" s="60"/>
      <c r="D23" s="14" t="s">
        <v>201</v>
      </c>
      <c r="E23" s="51">
        <f>Journal!E33</f>
        <v>0</v>
      </c>
      <c r="F23" s="52">
        <f>Journal!F100</f>
        <v>0</v>
      </c>
      <c r="G23" s="14" t="s">
        <v>202</v>
      </c>
      <c r="H23" s="27">
        <f>'Financial Statements'!U10</f>
        <v>0</v>
      </c>
      <c r="I23" s="59"/>
      <c r="J23" s="62">
        <f>MAX(H23-B23-SUM(E23:E26)+SUM(F23:F26),0)</f>
        <v>0</v>
      </c>
      <c r="K23" s="63">
        <f>-MIN(H23-B23-SUM(E23:E26)+SUM(F23:F26),0)</f>
        <v>0</v>
      </c>
    </row>
    <row r="24" spans="1:11" outlineLevel="1">
      <c r="A24" s="30"/>
      <c r="B24" s="60"/>
      <c r="C24" s="60"/>
      <c r="D24" s="14" t="s">
        <v>195</v>
      </c>
      <c r="E24" s="51">
        <f>Journal!E45</f>
        <v>0</v>
      </c>
      <c r="F24" s="52">
        <f>Journal!F56</f>
        <v>0</v>
      </c>
      <c r="G24" s="14" t="s">
        <v>203</v>
      </c>
      <c r="H24" s="27"/>
      <c r="I24" s="59"/>
      <c r="J24" s="60"/>
      <c r="K24" s="61"/>
    </row>
    <row r="25" spans="1:11" outlineLevel="1">
      <c r="A25" s="30"/>
      <c r="B25" s="60"/>
      <c r="C25" s="60"/>
      <c r="D25" s="14" t="s">
        <v>200</v>
      </c>
      <c r="E25" s="51">
        <f>Journal!E83</f>
        <v>0</v>
      </c>
      <c r="F25" s="52">
        <f>Journal!F69</f>
        <v>0</v>
      </c>
      <c r="G25" s="14" t="s">
        <v>199</v>
      </c>
      <c r="H25" s="27"/>
      <c r="I25" s="59"/>
      <c r="J25" s="60"/>
      <c r="K25" s="61"/>
    </row>
    <row r="26" spans="1:11" outlineLevel="1">
      <c r="A26" s="30"/>
      <c r="B26" s="60"/>
      <c r="C26" s="60"/>
      <c r="E26" s="51"/>
      <c r="F26" s="52"/>
      <c r="H26" s="27"/>
      <c r="I26" s="59"/>
      <c r="J26" s="60"/>
      <c r="K26" s="61"/>
    </row>
    <row r="27" spans="1:11">
      <c r="A27" s="31" t="s">
        <v>18</v>
      </c>
      <c r="B27" s="60"/>
      <c r="C27" s="60">
        <f>-'Financial Statements'!C11</f>
        <v>0</v>
      </c>
      <c r="D27" s="14" t="s">
        <v>203</v>
      </c>
      <c r="E27" s="51">
        <f>Journal!E54</f>
        <v>0</v>
      </c>
      <c r="F27" s="52"/>
      <c r="H27" s="27"/>
      <c r="I27" s="59">
        <f>-'Financial Statements'!U11</f>
        <v>0</v>
      </c>
      <c r="J27" s="62">
        <f>-MIN(I27-C27-SUM(F27:F30)+SUM(E27:E30),0)</f>
        <v>0</v>
      </c>
      <c r="K27" s="63">
        <f>MAX(I27-C27-SUM(F27:F30)+SUM(E27:E30),0)</f>
        <v>0</v>
      </c>
    </row>
    <row r="28" spans="1:11" outlineLevel="1">
      <c r="A28" s="30"/>
      <c r="B28" s="60"/>
      <c r="C28" s="60"/>
      <c r="D28" s="14" t="s">
        <v>199</v>
      </c>
      <c r="E28" s="51">
        <f>Journal!E64</f>
        <v>0</v>
      </c>
      <c r="F28" s="52"/>
      <c r="H28" s="27"/>
      <c r="I28" s="59"/>
      <c r="J28" s="60"/>
      <c r="K28" s="61"/>
    </row>
    <row r="29" spans="1:11" outlineLevel="1">
      <c r="A29" s="30"/>
      <c r="B29" s="60"/>
      <c r="C29" s="60"/>
      <c r="E29" s="51"/>
      <c r="F29" s="52"/>
      <c r="H29" s="27"/>
      <c r="I29" s="59"/>
      <c r="J29" s="60"/>
      <c r="K29" s="61"/>
    </row>
    <row r="30" spans="1:11" outlineLevel="1">
      <c r="A30" s="30"/>
      <c r="B30" s="60"/>
      <c r="C30" s="60"/>
      <c r="E30" s="51"/>
      <c r="F30" s="52"/>
      <c r="H30" s="27"/>
      <c r="I30" s="59"/>
      <c r="J30" s="60"/>
      <c r="K30" s="61"/>
    </row>
    <row r="31" spans="1:11">
      <c r="A31" s="31" t="s">
        <v>83</v>
      </c>
      <c r="B31" s="60">
        <f>'Financial Statements'!C12</f>
        <v>0</v>
      </c>
      <c r="C31" s="60"/>
      <c r="D31" s="14" t="s">
        <v>204</v>
      </c>
      <c r="E31" s="51">
        <f>Journal!E36</f>
        <v>0</v>
      </c>
      <c r="F31" s="52">
        <f>Journal!F70</f>
        <v>0</v>
      </c>
      <c r="G31" s="14" t="s">
        <v>199</v>
      </c>
      <c r="H31" s="27">
        <f>'Financial Statements'!U12</f>
        <v>0</v>
      </c>
      <c r="I31" s="59"/>
      <c r="J31" s="62">
        <f>MAX(H31-B31-SUM(E31:E34)+SUM(F31:F34),0)</f>
        <v>0</v>
      </c>
      <c r="K31" s="63">
        <f>-MIN(H31-B31-SUM(E31:E34)+SUM(F31:F34),0)</f>
        <v>0</v>
      </c>
    </row>
    <row r="32" spans="1:11" outlineLevel="1">
      <c r="A32" s="30"/>
      <c r="B32" s="60"/>
      <c r="C32" s="60"/>
      <c r="D32" s="14" t="s">
        <v>195</v>
      </c>
      <c r="E32" s="51">
        <f>Journal!E46</f>
        <v>0</v>
      </c>
      <c r="F32" s="52"/>
      <c r="H32" s="27"/>
      <c r="I32" s="59"/>
      <c r="J32" s="60"/>
      <c r="K32" s="61"/>
    </row>
    <row r="33" spans="1:11" outlineLevel="1">
      <c r="A33" s="30"/>
      <c r="B33" s="60"/>
      <c r="C33" s="60"/>
      <c r="E33" s="51"/>
      <c r="F33" s="52"/>
      <c r="H33" s="27"/>
      <c r="I33" s="59"/>
      <c r="J33" s="60"/>
      <c r="K33" s="61"/>
    </row>
    <row r="34" spans="1:11" outlineLevel="1">
      <c r="A34" s="30"/>
      <c r="B34" s="60"/>
      <c r="C34" s="60"/>
      <c r="E34" s="51"/>
      <c r="F34" s="52"/>
      <c r="H34" s="27"/>
      <c r="I34" s="59"/>
      <c r="J34" s="60"/>
      <c r="K34" s="61"/>
    </row>
    <row r="35" spans="1:11">
      <c r="A35" s="31" t="s">
        <v>87</v>
      </c>
      <c r="B35" s="60" t="e">
        <f>'Financial Statements'!C13</f>
        <v>#REF!</v>
      </c>
      <c r="C35" s="60"/>
      <c r="D35" s="14" t="s">
        <v>195</v>
      </c>
      <c r="E35" s="51">
        <f>Journal!E47</f>
        <v>0</v>
      </c>
      <c r="F35" s="52">
        <f>Journal!F71</f>
        <v>0</v>
      </c>
      <c r="G35" s="14" t="s">
        <v>199</v>
      </c>
      <c r="H35" s="27" t="e">
        <f>'Financial Statements'!U13</f>
        <v>#REF!</v>
      </c>
      <c r="I35" s="59"/>
      <c r="J35" s="62" t="e">
        <f>MAX(H35-B35-SUM(E35:E38)+SUM(F35:F38),0)</f>
        <v>#REF!</v>
      </c>
      <c r="K35" s="63" t="e">
        <f>-MIN(H35-B35-SUM(E35:E38)+SUM(F35:F38),0)</f>
        <v>#REF!</v>
      </c>
    </row>
    <row r="36" spans="1:11" outlineLevel="1">
      <c r="A36" s="30"/>
      <c r="B36" s="60"/>
      <c r="C36" s="60"/>
      <c r="E36" s="51"/>
      <c r="F36" s="52"/>
      <c r="H36" s="27"/>
      <c r="I36" s="59"/>
      <c r="J36" s="60"/>
      <c r="K36" s="61"/>
    </row>
    <row r="37" spans="1:11" outlineLevel="1">
      <c r="A37" s="30"/>
      <c r="B37" s="60"/>
      <c r="C37" s="60"/>
      <c r="E37" s="51"/>
      <c r="F37" s="52"/>
      <c r="H37" s="27"/>
      <c r="I37" s="59"/>
      <c r="J37" s="60"/>
      <c r="K37" s="61"/>
    </row>
    <row r="38" spans="1:11" outlineLevel="1">
      <c r="A38" s="30"/>
      <c r="B38" s="60"/>
      <c r="C38" s="60"/>
      <c r="E38" s="51"/>
      <c r="F38" s="52"/>
      <c r="H38" s="27"/>
      <c r="I38" s="59"/>
      <c r="J38" s="60"/>
      <c r="K38" s="61"/>
    </row>
    <row r="39" spans="1:11">
      <c r="A39" s="31" t="s">
        <v>85</v>
      </c>
      <c r="B39" s="60" t="e">
        <f>'Financial Statements'!C14</f>
        <v>#REF!</v>
      </c>
      <c r="C39" s="60"/>
      <c r="D39" s="14" t="s">
        <v>205</v>
      </c>
      <c r="E39" s="51">
        <f>Journal!E39</f>
        <v>0</v>
      </c>
      <c r="F39" s="52"/>
      <c r="H39" s="27" t="e">
        <f>'Financial Statements'!U14</f>
        <v>#REF!</v>
      </c>
      <c r="I39" s="59"/>
      <c r="J39" s="62" t="e">
        <f>MAX(H39-B39-SUM(E39:E42)+SUM(F39:F42),0)</f>
        <v>#REF!</v>
      </c>
      <c r="K39" s="63" t="e">
        <f>-MIN(H39-B39-SUM(E39:E42)+SUM(F39:F42),0)</f>
        <v>#REF!</v>
      </c>
    </row>
    <row r="40" spans="1:11" outlineLevel="1">
      <c r="A40" s="30"/>
      <c r="B40" s="60"/>
      <c r="C40" s="60"/>
      <c r="E40" s="51"/>
      <c r="F40" s="52"/>
      <c r="H40" s="27"/>
      <c r="I40" s="59"/>
      <c r="J40" s="60"/>
      <c r="K40" s="61"/>
    </row>
    <row r="41" spans="1:11" outlineLevel="1">
      <c r="A41" s="30"/>
      <c r="B41" s="60"/>
      <c r="C41" s="60"/>
      <c r="E41" s="51"/>
      <c r="F41" s="52"/>
      <c r="H41" s="27"/>
      <c r="I41" s="59"/>
      <c r="J41" s="60"/>
      <c r="K41" s="61"/>
    </row>
    <row r="42" spans="1:11" outlineLevel="1">
      <c r="A42" s="30"/>
      <c r="B42" s="60"/>
      <c r="C42" s="60"/>
      <c r="E42" s="51"/>
      <c r="F42" s="52"/>
      <c r="H42" s="27"/>
      <c r="I42" s="59"/>
      <c r="J42" s="60"/>
      <c r="K42" s="61"/>
    </row>
    <row r="43" spans="1:11">
      <c r="A43" s="31" t="s">
        <v>5</v>
      </c>
      <c r="B43" s="60"/>
      <c r="C43" s="60">
        <f>'Financial Statements'!C17</f>
        <v>0</v>
      </c>
      <c r="D43" s="14" t="s">
        <v>199</v>
      </c>
      <c r="E43" s="51">
        <f>Journal!E60</f>
        <v>0</v>
      </c>
      <c r="F43" s="52">
        <f>Journal!F48</f>
        <v>0</v>
      </c>
      <c r="G43" s="14" t="s">
        <v>195</v>
      </c>
      <c r="H43" s="27"/>
      <c r="I43" s="59">
        <f ca="1">'Financial Statements'!U17</f>
        <v>0</v>
      </c>
      <c r="J43" s="62">
        <f ca="1">-MIN(I43-C43-SUM(F43:F46)+SUM(E43:E46),0)</f>
        <v>0</v>
      </c>
      <c r="K43" s="63">
        <f ca="1">MAX(I43-C43-SUM(F43:F46)+SUM(E43:E46),0)</f>
        <v>0</v>
      </c>
    </row>
    <row r="44" spans="1:11" outlineLevel="1">
      <c r="A44" s="30"/>
      <c r="B44" s="60"/>
      <c r="C44" s="60"/>
      <c r="E44" s="51"/>
      <c r="F44" s="52"/>
      <c r="H44" s="27"/>
      <c r="I44" s="59"/>
      <c r="J44" s="60"/>
      <c r="K44" s="61"/>
    </row>
    <row r="45" spans="1:11" outlineLevel="1">
      <c r="A45" s="30"/>
      <c r="B45" s="60"/>
      <c r="C45" s="60"/>
      <c r="E45" s="51"/>
      <c r="F45" s="52"/>
      <c r="H45" s="27"/>
      <c r="I45" s="59"/>
      <c r="J45" s="60"/>
      <c r="K45" s="61"/>
    </row>
    <row r="46" spans="1:11" outlineLevel="1">
      <c r="A46" s="30"/>
      <c r="B46" s="60"/>
      <c r="C46" s="60"/>
      <c r="E46" s="51"/>
      <c r="F46" s="52"/>
      <c r="H46" s="27"/>
      <c r="I46" s="59"/>
      <c r="J46" s="60"/>
      <c r="K46" s="61"/>
    </row>
    <row r="47" spans="1:11">
      <c r="A47" s="31" t="s">
        <v>88</v>
      </c>
      <c r="B47" s="60"/>
      <c r="C47" s="60">
        <f>'Financial Statements'!C18</f>
        <v>0</v>
      </c>
      <c r="D47" s="14" t="s">
        <v>199</v>
      </c>
      <c r="E47" s="51">
        <f>Journal!E61</f>
        <v>0</v>
      </c>
      <c r="F47" s="52">
        <f>Journal!F49</f>
        <v>0</v>
      </c>
      <c r="G47" s="14" t="s">
        <v>195</v>
      </c>
      <c r="H47" s="27"/>
      <c r="I47" s="59">
        <f ca="1">'Financial Statements'!U18</f>
        <v>0</v>
      </c>
      <c r="J47" s="62">
        <f ca="1">-MIN(I47-C47-SUM(F47:F50)+SUM(E47:E50),0)</f>
        <v>0</v>
      </c>
      <c r="K47" s="63">
        <f ca="1">MAX(I47-C47-SUM(F47:F50)+SUM(E47:E50),0)</f>
        <v>0</v>
      </c>
    </row>
    <row r="48" spans="1:11">
      <c r="A48" s="30"/>
      <c r="B48" s="60"/>
      <c r="C48" s="60"/>
      <c r="E48" s="51"/>
      <c r="F48" s="52"/>
      <c r="H48" s="27"/>
      <c r="I48" s="59"/>
      <c r="J48" s="60"/>
      <c r="K48" s="61"/>
    </row>
    <row r="49" spans="1:11">
      <c r="A49" s="30"/>
      <c r="B49" s="60"/>
      <c r="C49" s="60"/>
      <c r="E49" s="51"/>
      <c r="F49" s="52"/>
      <c r="H49" s="27"/>
      <c r="I49" s="59"/>
      <c r="J49" s="60"/>
      <c r="K49" s="61"/>
    </row>
    <row r="50" spans="1:11">
      <c r="A50" s="30"/>
      <c r="B50" s="60"/>
      <c r="C50" s="60"/>
      <c r="E50" s="51"/>
      <c r="F50" s="52"/>
      <c r="H50" s="27"/>
      <c r="I50" s="59"/>
      <c r="J50" s="60"/>
      <c r="K50" s="61"/>
    </row>
    <row r="51" spans="1:11">
      <c r="A51" s="31" t="s">
        <v>144</v>
      </c>
      <c r="B51" s="60"/>
      <c r="C51" s="60">
        <f>Setup!C24</f>
        <v>0</v>
      </c>
      <c r="E51" s="51"/>
      <c r="F51" s="52"/>
      <c r="H51" s="27"/>
      <c r="I51" s="59">
        <f ca="1">'Financial Statements'!U19</f>
        <v>0</v>
      </c>
      <c r="J51" s="62">
        <f ca="1">-MIN(I51-C51-SUM(F51:F54)+SUM(E51:E54),0)</f>
        <v>0</v>
      </c>
      <c r="K51" s="63">
        <f ca="1">MAX(I51-C51-SUM(F51:F54)+SUM(E51:E54),0)</f>
        <v>0</v>
      </c>
    </row>
    <row r="52" spans="1:11">
      <c r="A52" s="30"/>
      <c r="B52" s="60"/>
      <c r="C52" s="60"/>
      <c r="E52" s="51"/>
      <c r="F52" s="52"/>
      <c r="H52" s="27"/>
      <c r="I52" s="59"/>
      <c r="J52" s="60"/>
      <c r="K52" s="61"/>
    </row>
    <row r="53" spans="1:11">
      <c r="A53" s="30"/>
      <c r="B53" s="60"/>
      <c r="C53" s="60"/>
      <c r="E53" s="51"/>
      <c r="F53" s="52"/>
      <c r="H53" s="27"/>
      <c r="I53" s="59"/>
      <c r="J53" s="60"/>
      <c r="K53" s="61"/>
    </row>
    <row r="54" spans="1:11">
      <c r="A54" s="30"/>
      <c r="B54" s="60"/>
      <c r="C54" s="60"/>
      <c r="E54" s="51"/>
      <c r="F54" s="52"/>
      <c r="H54" s="27"/>
      <c r="I54" s="59"/>
      <c r="J54" s="60"/>
      <c r="K54" s="61"/>
    </row>
    <row r="55" spans="1:11">
      <c r="A55" s="31" t="s">
        <v>71</v>
      </c>
      <c r="B55" s="60"/>
      <c r="C55" s="60" t="e">
        <f>Setup!#REF!</f>
        <v>#REF!</v>
      </c>
      <c r="D55" s="104" t="s">
        <v>206</v>
      </c>
      <c r="E55" s="51">
        <f>F134</f>
        <v>0</v>
      </c>
      <c r="F55" s="52">
        <f>Journal!F75</f>
        <v>0</v>
      </c>
      <c r="G55" s="104" t="s">
        <v>207</v>
      </c>
      <c r="H55" s="27"/>
      <c r="I55" s="59" t="e">
        <f ca="1">'Financial Statements'!U20</f>
        <v>#REF!</v>
      </c>
      <c r="J55" s="62" t="e">
        <f ca="1">-MIN(I55-C55-SUM(F55:F58)+SUM(E55:E58),0)</f>
        <v>#REF!</v>
      </c>
      <c r="K55" s="63" t="e">
        <f ca="1">MAX(I55-C55-SUM(F55:F58)+SUM(E55:E58),0)</f>
        <v>#REF!</v>
      </c>
    </row>
    <row r="56" spans="1:11">
      <c r="A56" s="30"/>
      <c r="B56" s="60"/>
      <c r="C56" s="60"/>
      <c r="E56" s="51"/>
      <c r="F56" s="52"/>
      <c r="H56" s="27"/>
      <c r="I56" s="59"/>
      <c r="J56" s="60"/>
      <c r="K56" s="61"/>
    </row>
    <row r="57" spans="1:11">
      <c r="A57" s="30"/>
      <c r="B57" s="60"/>
      <c r="C57" s="60"/>
      <c r="E57" s="51"/>
      <c r="F57" s="52"/>
      <c r="H57" s="27"/>
      <c r="I57" s="59"/>
      <c r="J57" s="60"/>
      <c r="K57" s="61"/>
    </row>
    <row r="58" spans="1:11">
      <c r="A58" s="30"/>
      <c r="B58" s="60"/>
      <c r="C58" s="60"/>
      <c r="E58" s="51"/>
      <c r="F58" s="52"/>
      <c r="H58" s="27"/>
      <c r="I58" s="59"/>
      <c r="J58" s="60"/>
      <c r="K58" s="61"/>
    </row>
    <row r="59" spans="1:11">
      <c r="A59" s="31" t="s">
        <v>67</v>
      </c>
      <c r="B59" s="60"/>
      <c r="C59" s="60" t="e">
        <f>'Financial Statements'!C21</f>
        <v>#REF!</v>
      </c>
      <c r="D59" s="14" t="s">
        <v>199</v>
      </c>
      <c r="E59" s="51">
        <f>Journal!E62</f>
        <v>0</v>
      </c>
      <c r="F59" s="52">
        <f>Journal!F16</f>
        <v>0</v>
      </c>
      <c r="G59" s="14" t="s">
        <v>208</v>
      </c>
      <c r="H59" s="27"/>
      <c r="I59" s="59" t="e">
        <f ca="1">'Financial Statements'!U21</f>
        <v>#REF!</v>
      </c>
      <c r="J59" s="62" t="e">
        <f ca="1">-MIN(I59-C59-SUM(F59:F62)+SUM(E59:E62),0)</f>
        <v>#REF!</v>
      </c>
      <c r="K59" s="63" t="e">
        <f ca="1">MAX(I59-C59-SUM(F59:F62)+SUM(E59:E62),0)</f>
        <v>#REF!</v>
      </c>
    </row>
    <row r="60" spans="1:11" outlineLevel="1">
      <c r="A60" s="30"/>
      <c r="B60" s="60"/>
      <c r="C60" s="60"/>
      <c r="E60" s="51"/>
      <c r="F60" s="52"/>
      <c r="H60" s="27"/>
      <c r="I60" s="59"/>
      <c r="J60" s="60"/>
      <c r="K60" s="61"/>
    </row>
    <row r="61" spans="1:11" outlineLevel="1">
      <c r="A61" s="30"/>
      <c r="B61" s="60"/>
      <c r="C61" s="60"/>
      <c r="E61" s="51"/>
      <c r="F61" s="52">
        <f>Journal!F97</f>
        <v>0</v>
      </c>
      <c r="G61" s="14" t="s">
        <v>209</v>
      </c>
      <c r="H61" s="27"/>
      <c r="I61" s="59"/>
      <c r="J61" s="60"/>
      <c r="K61" s="61"/>
    </row>
    <row r="62" spans="1:11" outlineLevel="1">
      <c r="A62" s="30"/>
      <c r="B62" s="60"/>
      <c r="C62" s="60"/>
      <c r="E62" s="51"/>
      <c r="F62" s="52"/>
      <c r="H62" s="27"/>
      <c r="I62" s="59"/>
      <c r="J62" s="60"/>
      <c r="K62" s="61"/>
    </row>
    <row r="63" spans="1:11">
      <c r="A63" s="31" t="s">
        <v>63</v>
      </c>
      <c r="B63" s="60"/>
      <c r="C63" s="60" t="e">
        <f>'Financial Statements'!C22</f>
        <v>#REF!</v>
      </c>
      <c r="D63" s="14" t="s">
        <v>210</v>
      </c>
      <c r="E63" s="51">
        <f>Journal!E24</f>
        <v>0</v>
      </c>
      <c r="F63" s="52">
        <f>Journal!F10</f>
        <v>0</v>
      </c>
      <c r="G63" s="14" t="s">
        <v>211</v>
      </c>
      <c r="H63" s="27"/>
      <c r="I63" s="59" t="e">
        <f ca="1">'Financial Statements'!U22</f>
        <v>#REF!</v>
      </c>
      <c r="J63" s="62" t="e">
        <f ca="1">-MIN(I63-C63-SUM(F63:F66)+SUM(E63:E66),0)</f>
        <v>#REF!</v>
      </c>
      <c r="K63" s="63" t="e">
        <f ca="1">MAX(I63-C63-SUM(F63:F66)+SUM(E63:E66),0)</f>
        <v>#REF!</v>
      </c>
    </row>
    <row r="64" spans="1:11" outlineLevel="1">
      <c r="A64" s="30"/>
      <c r="B64" s="60"/>
      <c r="C64" s="60"/>
      <c r="E64" s="51"/>
      <c r="F64" s="52"/>
      <c r="H64" s="27"/>
      <c r="I64" s="59"/>
      <c r="J64" s="60"/>
      <c r="K64" s="61"/>
    </row>
    <row r="65" spans="1:11" outlineLevel="1">
      <c r="A65" s="30"/>
      <c r="B65" s="60"/>
      <c r="C65" s="60"/>
      <c r="E65" s="51"/>
      <c r="F65" s="52"/>
      <c r="H65" s="27"/>
      <c r="I65" s="59"/>
      <c r="J65" s="60"/>
      <c r="K65" s="61"/>
    </row>
    <row r="66" spans="1:11" ht="13.9" customHeight="1" outlineLevel="1">
      <c r="A66" s="30"/>
      <c r="B66" s="60"/>
      <c r="C66" s="60"/>
      <c r="E66" s="51"/>
      <c r="F66" s="52"/>
      <c r="H66" s="27"/>
      <c r="I66" s="59"/>
      <c r="J66" s="60"/>
      <c r="K66" s="61"/>
    </row>
    <row r="67" spans="1:11">
      <c r="A67" s="31" t="s">
        <v>65</v>
      </c>
      <c r="B67" s="60"/>
      <c r="C67" s="60" t="e">
        <f>'Financial Statements'!C23</f>
        <v>#REF!</v>
      </c>
      <c r="D67" s="14" t="s">
        <v>212</v>
      </c>
      <c r="E67" s="51">
        <f>Journal!E93</f>
        <v>0</v>
      </c>
      <c r="F67" s="52">
        <f>Journal!F13</f>
        <v>0</v>
      </c>
      <c r="G67" s="14" t="s">
        <v>213</v>
      </c>
      <c r="H67" s="27"/>
      <c r="I67" s="59" t="e">
        <f ca="1">'Financial Statements'!U23</f>
        <v>#REF!</v>
      </c>
      <c r="J67" s="62" t="e">
        <f ca="1">-MIN(I67-C67-SUM(F67:F70)+SUM(E67:E70),0)</f>
        <v>#REF!</v>
      </c>
      <c r="K67" s="63" t="e">
        <f ca="1">MAX(I67-C67-SUM(F67:F70)+SUM(E67:E70),0)</f>
        <v>#REF!</v>
      </c>
    </row>
    <row r="68" spans="1:11" outlineLevel="1">
      <c r="A68" s="30"/>
      <c r="B68" s="60"/>
      <c r="C68" s="60"/>
      <c r="D68" s="14" t="s">
        <v>210</v>
      </c>
      <c r="E68" s="51">
        <f>Journal!E25</f>
        <v>0</v>
      </c>
      <c r="F68" s="52">
        <f>Journal!F50</f>
        <v>0</v>
      </c>
      <c r="G68" s="14" t="s">
        <v>195</v>
      </c>
      <c r="H68" s="27"/>
      <c r="I68" s="59"/>
      <c r="J68" s="60"/>
      <c r="K68" s="61"/>
    </row>
    <row r="69" spans="1:11" outlineLevel="1">
      <c r="A69" s="30"/>
      <c r="B69" s="60"/>
      <c r="C69" s="60"/>
      <c r="E69" s="51"/>
      <c r="F69" s="52">
        <f>Journal!F87</f>
        <v>0</v>
      </c>
      <c r="G69" s="14" t="s">
        <v>214</v>
      </c>
      <c r="H69" s="27"/>
      <c r="I69" s="59"/>
      <c r="J69" s="60"/>
      <c r="K69" s="61"/>
    </row>
    <row r="70" spans="1:11" outlineLevel="1">
      <c r="A70" s="30"/>
      <c r="B70" s="60"/>
      <c r="C70" s="60"/>
      <c r="E70" s="51"/>
      <c r="F70" s="52"/>
      <c r="H70" s="27"/>
      <c r="I70" s="59"/>
      <c r="J70" s="60"/>
      <c r="K70" s="61"/>
    </row>
    <row r="71" spans="1:11">
      <c r="A71" s="31" t="s">
        <v>69</v>
      </c>
      <c r="B71" s="60"/>
      <c r="C71" s="60" t="e">
        <f>'Financial Statements'!C25</f>
        <v>#REF!</v>
      </c>
      <c r="D71" s="14" t="s">
        <v>199</v>
      </c>
      <c r="E71" s="51">
        <f>Journal!E63</f>
        <v>0</v>
      </c>
      <c r="F71" s="52">
        <f>Journal!F19</f>
        <v>0</v>
      </c>
      <c r="G71" s="14" t="s">
        <v>215</v>
      </c>
      <c r="H71" s="27"/>
      <c r="I71" s="59" t="e">
        <f ca="1">'Financial Statements'!U24</f>
        <v>#REF!</v>
      </c>
      <c r="J71" s="62" t="e">
        <f ca="1">-MIN(I71-C71-SUM(F71:F74)+SUM(E71:E74),0)</f>
        <v>#REF!</v>
      </c>
      <c r="K71" s="63" t="e">
        <f ca="1">MAX(I71-C71-SUM(F71:F74)+SUM(E71:E74),0)</f>
        <v>#REF!</v>
      </c>
    </row>
    <row r="72" spans="1:11" outlineLevel="1">
      <c r="A72" s="30"/>
      <c r="B72" s="60"/>
      <c r="C72" s="60"/>
      <c r="D72" s="14" t="s">
        <v>214</v>
      </c>
      <c r="E72" s="51">
        <f>Journal!F87</f>
        <v>0</v>
      </c>
      <c r="F72" s="52"/>
      <c r="H72" s="27"/>
      <c r="I72" s="59"/>
      <c r="J72" s="60"/>
      <c r="K72" s="61"/>
    </row>
    <row r="73" spans="1:11" outlineLevel="1">
      <c r="A73" s="30"/>
      <c r="B73" s="60"/>
      <c r="C73" s="60"/>
      <c r="D73" s="14" t="s">
        <v>209</v>
      </c>
      <c r="E73" s="51">
        <f>Journal!E96</f>
        <v>0</v>
      </c>
      <c r="F73" s="52"/>
      <c r="H73" s="27"/>
      <c r="I73" s="59"/>
      <c r="J73" s="60"/>
      <c r="K73" s="61"/>
    </row>
    <row r="74" spans="1:11" outlineLevel="1">
      <c r="A74" s="30"/>
      <c r="B74" s="60"/>
      <c r="C74" s="60"/>
      <c r="E74" s="51"/>
      <c r="F74" s="52"/>
      <c r="H74" s="27"/>
      <c r="I74" s="59"/>
      <c r="J74" s="60"/>
      <c r="K74" s="61"/>
    </row>
    <row r="75" spans="1:11">
      <c r="A75" s="31" t="s">
        <v>60</v>
      </c>
      <c r="B75" s="60"/>
      <c r="C75" s="60" t="e">
        <f>'Financial Statements'!C27</f>
        <v>#REF!</v>
      </c>
      <c r="D75" s="14" t="s">
        <v>216</v>
      </c>
      <c r="E75" s="51">
        <f>Journal!E89</f>
        <v>0</v>
      </c>
      <c r="F75" s="52">
        <f>Journal!F7</f>
        <v>0</v>
      </c>
      <c r="G75" s="14" t="s">
        <v>217</v>
      </c>
      <c r="H75" s="27"/>
      <c r="I75" s="59" t="e">
        <f ca="1">'Financial Statements'!U27</f>
        <v>#REF!</v>
      </c>
      <c r="J75" s="62" t="e">
        <f ca="1">-MIN(I75-C75-SUM(F75:F78)+SUM(E75:E78),0)</f>
        <v>#REF!</v>
      </c>
      <c r="K75" s="63" t="e">
        <f ca="1">MAX(I75-C75-SUM(F75:F78)+SUM(E75:E78),0)</f>
        <v>#REF!</v>
      </c>
    </row>
    <row r="76" spans="1:11" outlineLevel="1">
      <c r="A76" s="30"/>
      <c r="B76" s="60"/>
      <c r="C76" s="60"/>
      <c r="E76" s="51"/>
      <c r="F76" s="52">
        <f>Journal!F94</f>
        <v>0</v>
      </c>
      <c r="G76" s="14" t="s">
        <v>212</v>
      </c>
      <c r="H76" s="27"/>
      <c r="I76" s="59"/>
      <c r="J76" s="60"/>
      <c r="K76" s="61"/>
    </row>
    <row r="77" spans="1:11" outlineLevel="1">
      <c r="A77" s="30"/>
      <c r="B77" s="60"/>
      <c r="C77" s="60"/>
      <c r="E77" s="51"/>
      <c r="F77" s="52"/>
      <c r="H77" s="27"/>
      <c r="I77" s="59"/>
      <c r="J77" s="60"/>
      <c r="K77" s="61"/>
    </row>
    <row r="78" spans="1:11" outlineLevel="1">
      <c r="A78" s="30"/>
      <c r="B78" s="60"/>
      <c r="C78" s="60"/>
      <c r="E78" s="51"/>
      <c r="F78" s="52"/>
      <c r="H78" s="27"/>
      <c r="I78" s="59"/>
      <c r="J78" s="60"/>
      <c r="K78" s="61"/>
    </row>
    <row r="79" spans="1:11">
      <c r="A79" s="31" t="s">
        <v>6</v>
      </c>
      <c r="B79" s="60"/>
      <c r="C79" s="60">
        <f>'Financial Statements'!C28</f>
        <v>100</v>
      </c>
      <c r="E79" s="51"/>
      <c r="F79" s="52">
        <f>Journal!F3</f>
        <v>0</v>
      </c>
      <c r="G79" s="14" t="s">
        <v>218</v>
      </c>
      <c r="H79" s="27"/>
      <c r="I79" s="59">
        <f ca="1">'Financial Statements'!U28</f>
        <v>100</v>
      </c>
      <c r="J79" s="62">
        <f ca="1">-MIN(I79-C79-SUM(F79:F82)+SUM(E79:E82),0)</f>
        <v>0</v>
      </c>
      <c r="K79" s="63">
        <f ca="1">MAX(I79-C79-SUM(F79:F82)+SUM(E79:E82),0)</f>
        <v>0</v>
      </c>
    </row>
    <row r="80" spans="1:11" outlineLevel="1">
      <c r="A80" s="30"/>
      <c r="B80" s="60"/>
      <c r="C80" s="60"/>
      <c r="E80" s="51"/>
      <c r="F80" s="52">
        <f>Journal!F90</f>
        <v>0</v>
      </c>
      <c r="G80" s="14" t="s">
        <v>216</v>
      </c>
      <c r="H80" s="27"/>
      <c r="I80" s="59"/>
      <c r="J80" s="60"/>
      <c r="K80" s="61"/>
    </row>
    <row r="81" spans="1:11" outlineLevel="1">
      <c r="A81" s="30"/>
      <c r="B81" s="60"/>
      <c r="C81" s="60"/>
      <c r="E81" s="51"/>
      <c r="F81" s="52"/>
      <c r="H81" s="27"/>
      <c r="I81" s="59"/>
      <c r="J81" s="60"/>
      <c r="K81" s="61"/>
    </row>
    <row r="82" spans="1:11" outlineLevel="1">
      <c r="A82" s="30"/>
      <c r="B82" s="60"/>
      <c r="C82" s="60"/>
      <c r="E82" s="51"/>
      <c r="F82" s="52"/>
      <c r="H82" s="27"/>
      <c r="I82" s="59"/>
      <c r="J82" s="60"/>
      <c r="K82" s="61"/>
    </row>
    <row r="83" spans="1:11">
      <c r="A83" s="31" t="s">
        <v>57</v>
      </c>
      <c r="B83" s="60"/>
      <c r="C83" s="60" t="e">
        <f>'Financial Statements'!C29</f>
        <v>#REF!</v>
      </c>
      <c r="E83" s="51"/>
      <c r="F83" s="52">
        <f>Journal!F4</f>
        <v>0</v>
      </c>
      <c r="G83" s="14" t="s">
        <v>218</v>
      </c>
      <c r="H83" s="27"/>
      <c r="I83" s="59" t="e">
        <f ca="1">'Financial Statements'!U29</f>
        <v>#REF!</v>
      </c>
      <c r="J83" s="62" t="e">
        <f ca="1">-MIN(I83-C83-SUM(F83:F86)+SUM(E83:E86),0)</f>
        <v>#REF!</v>
      </c>
      <c r="K83" s="63" t="e">
        <f ca="1">MAX(I83-C83-SUM(F83:F86)+SUM(E83:E86),0)</f>
        <v>#REF!</v>
      </c>
    </row>
    <row r="84" spans="1:11" outlineLevel="1">
      <c r="A84" s="30"/>
      <c r="B84" s="60"/>
      <c r="C84" s="60"/>
      <c r="E84" s="51"/>
      <c r="F84" s="52">
        <f>Journal!F91</f>
        <v>0</v>
      </c>
      <c r="G84" s="14" t="s">
        <v>216</v>
      </c>
      <c r="H84" s="27"/>
      <c r="I84" s="59"/>
      <c r="J84" s="60"/>
      <c r="K84" s="61"/>
    </row>
    <row r="85" spans="1:11" outlineLevel="1">
      <c r="A85" s="30"/>
      <c r="B85" s="60"/>
      <c r="C85" s="60"/>
      <c r="E85" s="51"/>
      <c r="F85" s="52"/>
      <c r="H85" s="27"/>
      <c r="I85" s="59"/>
      <c r="J85" s="60"/>
      <c r="K85" s="61"/>
    </row>
    <row r="86" spans="1:11" outlineLevel="1">
      <c r="A86" s="30"/>
      <c r="B86" s="60"/>
      <c r="C86" s="60"/>
      <c r="E86" s="51"/>
      <c r="F86" s="52"/>
      <c r="H86" s="27"/>
      <c r="I86" s="59"/>
      <c r="J86" s="60"/>
      <c r="K86" s="61"/>
    </row>
    <row r="87" spans="1:11">
      <c r="A87" s="31" t="s">
        <v>98</v>
      </c>
      <c r="B87" s="60"/>
      <c r="C87" s="60" t="e">
        <f>'Financial Statements'!C30</f>
        <v>#REF!</v>
      </c>
      <c r="D87" s="14" t="s">
        <v>198</v>
      </c>
      <c r="E87" s="51">
        <f>Journal!E80</f>
        <v>0</v>
      </c>
      <c r="F87" s="52">
        <f>Journal!F78</f>
        <v>0</v>
      </c>
      <c r="G87" s="14" t="s">
        <v>198</v>
      </c>
      <c r="H87" s="27" t="e">
        <f ca="1">IF('Financial Statements'!U30&lt;0,-'Financial Statements'!U30,0)</f>
        <v>#REF!</v>
      </c>
      <c r="I87" s="59" t="e">
        <f ca="1">IF('Financial Statements'!U30&gt;0,'Financial Statements'!U30,0)</f>
        <v>#REF!</v>
      </c>
      <c r="J87" s="64" t="e">
        <f ca="1">-MIN(I87-C87-SUM(F87:F90)+SUM(E87:E90),0)</f>
        <v>#REF!</v>
      </c>
      <c r="K87" s="65" t="e">
        <f ca="1">MAX(I87-C87-SUM(F87:F90)+SUM(E87:E90),0)</f>
        <v>#REF!</v>
      </c>
    </row>
    <row r="88" spans="1:11" outlineLevel="1">
      <c r="A88" s="30"/>
      <c r="B88" s="60"/>
      <c r="C88" s="60"/>
      <c r="E88" s="51"/>
      <c r="F88" s="52"/>
      <c r="H88" s="27"/>
      <c r="I88" s="59"/>
      <c r="J88" s="60"/>
      <c r="K88" s="61"/>
    </row>
    <row r="89" spans="1:11" outlineLevel="1">
      <c r="A89" s="30"/>
      <c r="B89" s="60"/>
      <c r="C89" s="60"/>
      <c r="E89" s="51"/>
      <c r="F89" s="52"/>
      <c r="H89" s="27"/>
      <c r="I89" s="59"/>
      <c r="J89" s="60"/>
      <c r="K89" s="61"/>
    </row>
    <row r="90" spans="1:11" outlineLevel="1">
      <c r="A90" s="30"/>
      <c r="B90" s="60"/>
      <c r="C90" s="60"/>
      <c r="E90" s="51"/>
      <c r="F90" s="52"/>
      <c r="H90" s="27"/>
      <c r="I90" s="59"/>
      <c r="J90" s="60"/>
      <c r="K90" s="61"/>
    </row>
    <row r="91" spans="1:11">
      <c r="A91" s="31" t="s">
        <v>10</v>
      </c>
      <c r="B91" s="60"/>
      <c r="C91" s="60" t="e">
        <f>'Financial Statements'!C33</f>
        <v>#REF!</v>
      </c>
      <c r="D91" s="14" t="s">
        <v>219</v>
      </c>
      <c r="E91" s="51">
        <f ca="1">IF(ROUND('Financial Statements'!$F$22,2)&lt;0,-'Financial Statements'!$F$22,0)</f>
        <v>0</v>
      </c>
      <c r="F91" s="52">
        <f ca="1">IF(ROUND('Financial Statements'!$F$22,2)&gt;0,'Financial Statements'!$F$22,0)</f>
        <v>96</v>
      </c>
      <c r="G91" s="14" t="s">
        <v>220</v>
      </c>
      <c r="H91" s="27">
        <f>IF('Financial Statements'!U31&lt;0,-'Financial Statements'!U31,0)</f>
        <v>0</v>
      </c>
      <c r="I91" s="59">
        <f>IF('Financial Statements'!U31&gt;0,'Financial Statements'!U31,0)</f>
        <v>0</v>
      </c>
      <c r="J91" s="64" t="e">
        <f ca="1">-MIN(I91-C91-SUM(F91:F94)+SUM(E91:E94),0)</f>
        <v>#REF!</v>
      </c>
      <c r="K91" s="65" t="e">
        <f ca="1">MAX(I91-C91-SUM(F91:F94)+SUM(E91:E94),0)</f>
        <v>#REF!</v>
      </c>
    </row>
    <row r="92" spans="1:11" outlineLevel="1">
      <c r="A92" s="45"/>
      <c r="B92" s="26"/>
      <c r="C92" s="26"/>
      <c r="D92" s="105" t="s">
        <v>207</v>
      </c>
      <c r="E92" s="53">
        <f>Journal!E74</f>
        <v>0</v>
      </c>
      <c r="F92" s="53"/>
      <c r="H92" s="27"/>
      <c r="I92" s="59"/>
      <c r="J92" s="66"/>
      <c r="K92" s="67"/>
    </row>
    <row r="93" spans="1:11" outlineLevel="1">
      <c r="A93" s="45"/>
      <c r="B93" s="26"/>
      <c r="C93" s="26"/>
      <c r="D93" s="47"/>
      <c r="E93" s="53"/>
      <c r="F93" s="53"/>
      <c r="H93" s="27"/>
      <c r="I93" s="59"/>
      <c r="J93" s="66"/>
      <c r="K93" s="67"/>
    </row>
    <row r="94" spans="1:11" outlineLevel="1">
      <c r="A94" s="45"/>
      <c r="B94" s="60"/>
      <c r="C94" s="60"/>
      <c r="E94" s="51"/>
      <c r="F94" s="52"/>
      <c r="H94" s="27"/>
      <c r="I94" s="59"/>
      <c r="J94" s="60"/>
      <c r="K94" s="61"/>
    </row>
    <row r="95" spans="1:11">
      <c r="A95" s="31" t="s">
        <v>150</v>
      </c>
      <c r="B95" s="60" t="e">
        <f>-'Financial Statements'!C32</f>
        <v>#REF!</v>
      </c>
      <c r="C95" s="60"/>
      <c r="E95" s="51"/>
      <c r="F95" s="52"/>
      <c r="H95" s="27" t="e">
        <f>-'Financial Statements'!U32</f>
        <v>#REF!</v>
      </c>
      <c r="I95" s="59"/>
      <c r="J95" s="64" t="e">
        <f>MAX(H95-B95-SUM(E95:E98)+SUM(F95:F98),0)</f>
        <v>#REF!</v>
      </c>
      <c r="K95" s="65" t="e">
        <f>-MIN(H95-B95-SUM(E95:E98)+SUM(F95:F98),0)</f>
        <v>#REF!</v>
      </c>
    </row>
    <row r="96" spans="1:11" outlineLevel="1">
      <c r="A96" s="45"/>
      <c r="B96" s="60"/>
      <c r="C96" s="60"/>
      <c r="E96" s="51"/>
      <c r="F96" s="52"/>
      <c r="H96" s="27"/>
      <c r="I96" s="59"/>
      <c r="J96" s="60"/>
      <c r="K96" s="61"/>
    </row>
    <row r="97" spans="1:15" outlineLevel="1">
      <c r="A97" s="45"/>
      <c r="B97" s="60"/>
      <c r="C97" s="60"/>
      <c r="E97" s="51"/>
      <c r="F97" s="52"/>
      <c r="H97" s="27"/>
      <c r="I97" s="59"/>
      <c r="J97" s="60"/>
      <c r="K97" s="61"/>
    </row>
    <row r="98" spans="1:15" ht="15.75" outlineLevel="1" thickBot="1">
      <c r="A98" s="46"/>
      <c r="B98" s="26"/>
      <c r="C98" s="26"/>
      <c r="D98" s="48"/>
      <c r="E98" s="54"/>
      <c r="F98" s="54"/>
      <c r="H98" s="27"/>
      <c r="I98" s="68"/>
      <c r="J98" s="66"/>
      <c r="K98" s="69"/>
    </row>
    <row r="99" spans="1:15" ht="16.5" thickTop="1" thickBot="1">
      <c r="A99" s="18"/>
      <c r="B99" s="18"/>
      <c r="C99" s="18"/>
      <c r="D99" s="32"/>
      <c r="E99" s="22" t="s">
        <v>4</v>
      </c>
      <c r="F99" s="22"/>
      <c r="G99" s="32"/>
      <c r="H99" s="18"/>
      <c r="I99" s="18"/>
      <c r="J99" s="18"/>
      <c r="K99" s="18"/>
    </row>
    <row r="100" spans="1:15">
      <c r="D100" s="1" t="s">
        <v>61</v>
      </c>
      <c r="E100" s="43">
        <f>'Financial Statements'!C4</f>
        <v>100</v>
      </c>
      <c r="F100" s="43"/>
      <c r="N100" s="1" t="s">
        <v>221</v>
      </c>
      <c r="O100" s="1" t="s">
        <v>222</v>
      </c>
    </row>
    <row r="101" spans="1:15">
      <c r="E101" s="21" t="s">
        <v>223</v>
      </c>
      <c r="F101" s="21"/>
      <c r="M101" t="s">
        <v>224</v>
      </c>
      <c r="N101" s="43">
        <f ca="1">SUM(E3:E94)</f>
        <v>0</v>
      </c>
      <c r="O101" s="43">
        <f ca="1">SUM(F3:F94)</f>
        <v>96</v>
      </c>
    </row>
    <row r="102" spans="1:15">
      <c r="D102" s="14" t="s">
        <v>220</v>
      </c>
      <c r="E102" s="70">
        <f ca="1">IF(ROUND('Financial Statements'!$F$22,2)&gt;0,'Financial Statements'!$F$22,0)</f>
        <v>96</v>
      </c>
      <c r="F102" s="43">
        <f ca="1">IF(ROUND('Financial Statements'!$F$22,2)&lt;0,-'Financial Statements'!$F$22,0)</f>
        <v>0</v>
      </c>
      <c r="G102" s="14" t="s">
        <v>219</v>
      </c>
      <c r="M102" t="s">
        <v>225</v>
      </c>
      <c r="N102" s="43" t="e">
        <f>SUM(J3:J86)</f>
        <v>#REF!</v>
      </c>
      <c r="O102" s="43" t="e">
        <f>SUM(K3:K83)</f>
        <v>#REF!</v>
      </c>
    </row>
    <row r="103" spans="1:15">
      <c r="D103" s="14" t="s">
        <v>226</v>
      </c>
      <c r="E103" s="61">
        <f>Journal!E55</f>
        <v>0</v>
      </c>
      <c r="F103" s="43">
        <f>Journal!F57</f>
        <v>0</v>
      </c>
      <c r="G103" s="14" t="s">
        <v>227</v>
      </c>
      <c r="M103" t="s">
        <v>223</v>
      </c>
      <c r="N103" s="43" t="e">
        <f ca="1">SUM(E102:E121)</f>
        <v>#REF!</v>
      </c>
      <c r="O103" s="43" t="e">
        <f ca="1">SUM(F102:F121)</f>
        <v>#REF!</v>
      </c>
    </row>
    <row r="104" spans="1:15">
      <c r="D104" s="14" t="s">
        <v>228</v>
      </c>
      <c r="E104" s="61">
        <f>Journal!E65</f>
        <v>0</v>
      </c>
      <c r="F104" s="43"/>
      <c r="M104" t="s">
        <v>229</v>
      </c>
      <c r="N104" s="43">
        <f>SUM(E125:E131)</f>
        <v>0</v>
      </c>
      <c r="O104" s="43">
        <f>SUM(F125:F131)</f>
        <v>0</v>
      </c>
    </row>
    <row r="105" spans="1:15">
      <c r="D105" s="14" t="s">
        <v>230</v>
      </c>
      <c r="E105" s="61">
        <f>Journal!E26</f>
        <v>0</v>
      </c>
      <c r="F105" s="43">
        <f>Journal!F72</f>
        <v>0</v>
      </c>
      <c r="G105" s="14" t="s">
        <v>231</v>
      </c>
      <c r="M105" t="s">
        <v>232</v>
      </c>
      <c r="N105" s="43">
        <f>SUM(E134:E140)</f>
        <v>0</v>
      </c>
      <c r="O105" s="43">
        <f>SUM(F134:F140)</f>
        <v>0</v>
      </c>
    </row>
    <row r="106" spans="1:15" ht="15.75" thickBot="1">
      <c r="D106" s="14" t="s">
        <v>233</v>
      </c>
      <c r="E106" s="61">
        <f>Journal!E99</f>
        <v>0</v>
      </c>
      <c r="F106" s="43">
        <f>Journal!F28</f>
        <v>0</v>
      </c>
      <c r="G106" s="14" t="s">
        <v>234</v>
      </c>
      <c r="M106" t="s">
        <v>131</v>
      </c>
      <c r="N106" s="44" t="e">
        <f ca="1">SUM(N101:N105)</f>
        <v>#REF!</v>
      </c>
      <c r="O106" s="44" t="e">
        <f ca="1">SUM(O101:O105)</f>
        <v>#REF!</v>
      </c>
    </row>
    <row r="107" spans="1:15" ht="15.75" thickTop="1">
      <c r="D107" s="14" t="s">
        <v>235</v>
      </c>
      <c r="E107" s="61">
        <f>Journal!E103</f>
        <v>0</v>
      </c>
      <c r="F107" s="43">
        <f>Journal!F105</f>
        <v>0</v>
      </c>
      <c r="G107" s="14" t="s">
        <v>236</v>
      </c>
    </row>
    <row r="108" spans="1:15">
      <c r="D108" s="14" t="s">
        <v>237</v>
      </c>
      <c r="E108" s="61">
        <f>K27</f>
        <v>0</v>
      </c>
    </row>
    <row r="109" spans="1:15">
      <c r="D109" s="14" t="s">
        <v>238</v>
      </c>
      <c r="E109" s="61">
        <f>K31</f>
        <v>0</v>
      </c>
    </row>
    <row r="110" spans="1:15">
      <c r="D110" s="14" t="s">
        <v>239</v>
      </c>
      <c r="E110" s="61">
        <f>K7</f>
        <v>0</v>
      </c>
      <c r="F110" s="43">
        <f>J7</f>
        <v>0</v>
      </c>
      <c r="G110" s="14" t="s">
        <v>239</v>
      </c>
    </row>
    <row r="111" spans="1:15">
      <c r="D111" s="14" t="s">
        <v>240</v>
      </c>
      <c r="E111" s="61" t="e">
        <f>K11</f>
        <v>#REF!</v>
      </c>
      <c r="F111" s="43" t="e">
        <f>J11</f>
        <v>#REF!</v>
      </c>
      <c r="G111" s="14" t="s">
        <v>240</v>
      </c>
      <c r="J111" s="23"/>
    </row>
    <row r="112" spans="1:15">
      <c r="D112" s="14" t="s">
        <v>241</v>
      </c>
      <c r="E112" s="61">
        <f>K15</f>
        <v>0</v>
      </c>
      <c r="F112" s="43">
        <f>J15</f>
        <v>0</v>
      </c>
      <c r="G112" s="14" t="s">
        <v>241</v>
      </c>
    </row>
    <row r="113" spans="3:8">
      <c r="D113" s="14" t="s">
        <v>242</v>
      </c>
      <c r="E113" s="61" t="e">
        <f>K19</f>
        <v>#REF!</v>
      </c>
      <c r="F113" s="43" t="e">
        <f>J19</f>
        <v>#REF!</v>
      </c>
      <c r="G113" s="14" t="s">
        <v>242</v>
      </c>
    </row>
    <row r="114" spans="3:8">
      <c r="D114" s="14" t="s">
        <v>243</v>
      </c>
      <c r="E114" s="61">
        <f>K23</f>
        <v>0</v>
      </c>
      <c r="F114" s="43">
        <f>J23</f>
        <v>0</v>
      </c>
      <c r="G114" s="14" t="s">
        <v>243</v>
      </c>
    </row>
    <row r="115" spans="3:8">
      <c r="D115" s="14" t="s">
        <v>244</v>
      </c>
      <c r="E115" s="61" t="e">
        <f>K39</f>
        <v>#REF!</v>
      </c>
      <c r="F115" s="43" t="e">
        <f>J39</f>
        <v>#REF!</v>
      </c>
      <c r="G115" s="14" t="s">
        <v>244</v>
      </c>
    </row>
    <row r="116" spans="3:8">
      <c r="D116" s="14" t="s">
        <v>245</v>
      </c>
      <c r="E116" s="61">
        <f ca="1">K43</f>
        <v>0</v>
      </c>
      <c r="F116" s="43">
        <f ca="1">J43</f>
        <v>0</v>
      </c>
      <c r="G116" s="14" t="s">
        <v>245</v>
      </c>
    </row>
    <row r="117" spans="3:8">
      <c r="D117" s="14" t="s">
        <v>246</v>
      </c>
      <c r="E117" s="61">
        <f ca="1">K51</f>
        <v>0</v>
      </c>
      <c r="F117" s="43">
        <f ca="1">J51</f>
        <v>0</v>
      </c>
      <c r="G117" s="14" t="s">
        <v>246</v>
      </c>
    </row>
    <row r="118" spans="3:8">
      <c r="D118" s="14" t="s">
        <v>247</v>
      </c>
      <c r="E118" s="61">
        <f ca="1">K47</f>
        <v>0</v>
      </c>
      <c r="F118" s="43">
        <f ca="1">J47</f>
        <v>0</v>
      </c>
      <c r="G118" s="14" t="s">
        <v>247</v>
      </c>
    </row>
    <row r="119" spans="3:8">
      <c r="D119" s="14" t="s">
        <v>248</v>
      </c>
      <c r="E119" s="61" t="e">
        <f ca="1">K59</f>
        <v>#REF!</v>
      </c>
      <c r="F119" s="43" t="e">
        <f ca="1">J59</f>
        <v>#REF!</v>
      </c>
      <c r="G119" s="14" t="s">
        <v>248</v>
      </c>
    </row>
    <row r="120" spans="3:8">
      <c r="D120" s="14" t="s">
        <v>249</v>
      </c>
      <c r="E120" s="61" t="e">
        <f ca="1">K63</f>
        <v>#REF!</v>
      </c>
      <c r="F120" s="43" t="e">
        <f ca="1">J63</f>
        <v>#REF!</v>
      </c>
      <c r="G120" s="14" t="s">
        <v>249</v>
      </c>
    </row>
    <row r="121" spans="3:8">
      <c r="C121" t="s">
        <v>250</v>
      </c>
      <c r="D121" s="14" t="s">
        <v>127</v>
      </c>
      <c r="E121" s="61">
        <f ca="1">K79</f>
        <v>0</v>
      </c>
      <c r="F121" s="43">
        <f ca="1">J79</f>
        <v>0</v>
      </c>
      <c r="G121" s="14" t="s">
        <v>127</v>
      </c>
      <c r="H121" t="s">
        <v>251</v>
      </c>
    </row>
    <row r="122" spans="3:8">
      <c r="E122" s="61"/>
    </row>
    <row r="123" spans="3:8">
      <c r="E123" s="71" t="e">
        <f ca="1">MAX(SUM(E102:E121)-SUM(F102:F121),0)</f>
        <v>#REF!</v>
      </c>
      <c r="F123" s="72" t="e">
        <f ca="1">-MIN(SUM(E102:E121)-SUM(F102:F121),0)</f>
        <v>#REF!</v>
      </c>
    </row>
    <row r="124" spans="3:8">
      <c r="E124" s="21" t="s">
        <v>229</v>
      </c>
      <c r="F124" s="21"/>
    </row>
    <row r="125" spans="3:8">
      <c r="C125" t="s">
        <v>89</v>
      </c>
      <c r="D125" s="14" t="s">
        <v>203</v>
      </c>
      <c r="E125" s="70">
        <f>Journal!E53</f>
        <v>0</v>
      </c>
      <c r="F125" s="43">
        <f>Journal!F31</f>
        <v>0</v>
      </c>
      <c r="G125" s="14" t="s">
        <v>194</v>
      </c>
      <c r="H125" t="s">
        <v>76</v>
      </c>
    </row>
    <row r="126" spans="3:8">
      <c r="C126" t="s">
        <v>252</v>
      </c>
      <c r="D126" s="14" t="s">
        <v>199</v>
      </c>
      <c r="E126" s="61">
        <f>Journal!E59</f>
        <v>0</v>
      </c>
      <c r="F126" s="43">
        <f>Journal!F34</f>
        <v>0</v>
      </c>
      <c r="G126" s="14" t="s">
        <v>201</v>
      </c>
      <c r="H126" t="s">
        <v>81</v>
      </c>
    </row>
    <row r="127" spans="3:8">
      <c r="E127" s="61"/>
      <c r="F127" s="43">
        <f>Journal!F37</f>
        <v>0</v>
      </c>
      <c r="G127" s="14" t="s">
        <v>204</v>
      </c>
      <c r="H127" t="s">
        <v>253</v>
      </c>
    </row>
    <row r="128" spans="3:8">
      <c r="E128" s="61"/>
      <c r="F128" s="43">
        <f>Journal!F40</f>
        <v>0</v>
      </c>
      <c r="G128" s="14" t="s">
        <v>205</v>
      </c>
      <c r="H128" t="s">
        <v>254</v>
      </c>
    </row>
    <row r="129" spans="3:8">
      <c r="E129" s="61"/>
      <c r="F129" s="43">
        <f>Journal!F51</f>
        <v>0</v>
      </c>
      <c r="G129" s="14" t="s">
        <v>195</v>
      </c>
      <c r="H129" t="s">
        <v>255</v>
      </c>
    </row>
    <row r="130" spans="3:8">
      <c r="E130" s="61"/>
      <c r="F130" s="43"/>
    </row>
    <row r="131" spans="3:8">
      <c r="E131" s="61"/>
      <c r="F131" s="43"/>
    </row>
    <row r="132" spans="3:8">
      <c r="E132" s="71">
        <f>MAX(SUM(E125:E131)-SUM(F125:F131),0)</f>
        <v>0</v>
      </c>
      <c r="F132" s="72">
        <f>-MIN(SUM(E125:E131)-SUM(F125:F131),0)</f>
        <v>0</v>
      </c>
    </row>
    <row r="133" spans="3:8">
      <c r="E133" s="21" t="s">
        <v>232</v>
      </c>
      <c r="F133" s="21"/>
    </row>
    <row r="134" spans="3:8">
      <c r="C134" t="s">
        <v>52</v>
      </c>
      <c r="D134" s="14" t="s">
        <v>218</v>
      </c>
      <c r="E134" s="70">
        <f>Journal!E2</f>
        <v>0</v>
      </c>
      <c r="F134" s="43">
        <f>Journal!F22</f>
        <v>0</v>
      </c>
      <c r="G134" s="14" t="s">
        <v>256</v>
      </c>
      <c r="H134" t="s">
        <v>70</v>
      </c>
    </row>
    <row r="135" spans="3:8">
      <c r="C135" t="s">
        <v>59</v>
      </c>
      <c r="D135" s="14" t="s">
        <v>217</v>
      </c>
      <c r="E135" s="61">
        <f>Journal!E6</f>
        <v>0</v>
      </c>
      <c r="F135" s="43">
        <f>Journal!F27</f>
        <v>0</v>
      </c>
      <c r="G135" s="14" t="s">
        <v>210</v>
      </c>
      <c r="H135" t="s">
        <v>257</v>
      </c>
    </row>
    <row r="136" spans="3:8">
      <c r="C136" t="s">
        <v>62</v>
      </c>
      <c r="D136" s="14" t="s">
        <v>211</v>
      </c>
      <c r="E136" s="61">
        <f>Journal!E9</f>
        <v>0</v>
      </c>
      <c r="F136" s="43"/>
    </row>
    <row r="137" spans="3:8">
      <c r="C137" t="s">
        <v>64</v>
      </c>
      <c r="D137" s="14" t="s">
        <v>213</v>
      </c>
      <c r="E137" s="61">
        <f>Journal!E12</f>
        <v>0</v>
      </c>
      <c r="F137" s="43"/>
    </row>
    <row r="138" spans="3:8">
      <c r="C138" t="s">
        <v>258</v>
      </c>
      <c r="D138" s="14" t="s">
        <v>208</v>
      </c>
      <c r="E138" s="61">
        <f>Journal!E15</f>
        <v>0</v>
      </c>
      <c r="F138" s="43"/>
    </row>
    <row r="139" spans="3:8">
      <c r="C139" t="s">
        <v>259</v>
      </c>
      <c r="D139" s="14" t="s">
        <v>215</v>
      </c>
      <c r="E139" s="61">
        <f>Journal!E18</f>
        <v>0</v>
      </c>
      <c r="F139" s="43"/>
    </row>
    <row r="140" spans="3:8">
      <c r="E140" s="61"/>
      <c r="F140" s="43"/>
    </row>
    <row r="141" spans="3:8">
      <c r="E141" s="71">
        <f>MAX(SUM(E134:E140)-SUM(F134:F140),0)</f>
        <v>0</v>
      </c>
      <c r="F141" s="72">
        <f>-MIN(SUM(E134:E140)-SUM(F134:F140),0)</f>
        <v>0</v>
      </c>
    </row>
    <row r="142" spans="3:8">
      <c r="D142" s="14" t="s">
        <v>260</v>
      </c>
      <c r="E142" s="43" t="e">
        <f ca="1">E100+E123+E132+E141-F123-F132-F141</f>
        <v>#REF!</v>
      </c>
      <c r="F142" s="43"/>
    </row>
    <row r="143" spans="3:8">
      <c r="D143" s="14" t="s">
        <v>261</v>
      </c>
      <c r="E143" s="43">
        <f>'Financial Statements'!$U$4</f>
        <v>180</v>
      </c>
      <c r="F143" s="43"/>
    </row>
    <row r="144" spans="3:8" ht="15.75" thickBot="1">
      <c r="D144" s="14" t="s">
        <v>262</v>
      </c>
      <c r="E144" s="74" t="e">
        <f ca="1">E142-E143</f>
        <v>#REF!</v>
      </c>
    </row>
    <row r="145" ht="15.75" thickTop="1"/>
  </sheetData>
  <conditionalFormatting sqref="E144">
    <cfRule type="cellIs" dxfId="0" priority="1" operator="notEqual">
      <formula>0</formula>
    </cfRule>
  </conditionalFormatting>
  <dataValidations disablePrompts="1" count="3">
    <dataValidation type="list" allowBlank="1" showInputMessage="1" showErrorMessage="1" sqref="A7 A15 A19 A23 A27 A31 A3 A35 A39" xr:uid="{2DE7CF94-7087-4AB8-8AFB-130339368454}">
      <formula1>INDIRECT("AccountTitles[Asset]")</formula1>
    </dataValidation>
    <dataValidation type="list" allowBlank="1" showInputMessage="1" showErrorMessage="1" sqref="A43 A47 A59 A63 A67 A71 A55 A51" xr:uid="{1CD28E47-C62E-4CFF-8B45-99351E38E88F}">
      <formula1>INDIRECT("AccountTitles[Liability]")</formula1>
    </dataValidation>
    <dataValidation type="list" allowBlank="1" showInputMessage="1" showErrorMessage="1" sqref="A79 A75 A87 A83 A91:A98" xr:uid="{66344704-3B17-48CD-BDE5-16653A053C5B}">
      <formula1>INDIRECT("AccountTitles[Equity]")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1CD4-EB83-44AC-A7BC-2D9B31804834}">
  <dimension ref="A1:J35"/>
  <sheetViews>
    <sheetView workbookViewId="0"/>
  </sheetViews>
  <sheetFormatPr defaultRowHeight="15"/>
  <sheetData>
    <row r="1" spans="1:9">
      <c r="F1" s="15" t="s">
        <v>263</v>
      </c>
      <c r="G1" s="15"/>
      <c r="H1" s="15" t="s">
        <v>264</v>
      </c>
      <c r="I1" s="15"/>
    </row>
    <row r="2" spans="1:9">
      <c r="B2" s="15" t="s">
        <v>0</v>
      </c>
      <c r="C2" s="15"/>
      <c r="D2" s="15" t="s">
        <v>1</v>
      </c>
      <c r="E2" s="15"/>
      <c r="F2" s="15" t="s">
        <v>2</v>
      </c>
      <c r="G2" s="15"/>
      <c r="H2" s="14" t="s">
        <v>265</v>
      </c>
      <c r="I2" s="14" t="s">
        <v>266</v>
      </c>
    </row>
    <row r="3" spans="1:9">
      <c r="B3" s="14" t="s">
        <v>267</v>
      </c>
      <c r="C3" s="14" t="s">
        <v>268</v>
      </c>
      <c r="D3" s="14" t="s">
        <v>267</v>
      </c>
      <c r="E3" s="14" t="s">
        <v>268</v>
      </c>
      <c r="F3" s="14" t="s">
        <v>267</v>
      </c>
      <c r="G3" s="14" t="s">
        <v>268</v>
      </c>
      <c r="H3" s="14" t="s">
        <v>267</v>
      </c>
      <c r="I3" s="14" t="s">
        <v>267</v>
      </c>
    </row>
    <row r="4" spans="1:9">
      <c r="A4" t="s">
        <v>0</v>
      </c>
      <c r="B4" s="14" t="s">
        <v>269</v>
      </c>
      <c r="C4" s="14" t="s">
        <v>269</v>
      </c>
      <c r="D4" s="14"/>
      <c r="E4" s="14"/>
      <c r="F4" s="14"/>
      <c r="G4" s="14"/>
      <c r="H4" s="14"/>
      <c r="I4" s="14"/>
    </row>
    <row r="5" spans="1:9">
      <c r="A5" t="s">
        <v>0</v>
      </c>
      <c r="B5" s="14" t="s">
        <v>269</v>
      </c>
      <c r="C5" s="14"/>
      <c r="D5" s="14" t="s">
        <v>269</v>
      </c>
      <c r="E5" s="14"/>
      <c r="F5" s="14"/>
      <c r="G5" s="14"/>
      <c r="H5" s="14"/>
      <c r="I5" s="14"/>
    </row>
    <row r="6" spans="1:9">
      <c r="A6" t="s">
        <v>0</v>
      </c>
      <c r="B6" s="14" t="s">
        <v>269</v>
      </c>
      <c r="C6" s="14"/>
      <c r="D6" s="14"/>
      <c r="E6" s="14"/>
      <c r="F6" s="14" t="s">
        <v>269</v>
      </c>
      <c r="G6" s="14"/>
      <c r="H6" s="14"/>
      <c r="I6" s="14"/>
    </row>
    <row r="7" spans="1:9">
      <c r="A7" t="s">
        <v>0</v>
      </c>
      <c r="B7" s="14" t="s">
        <v>269</v>
      </c>
      <c r="C7" s="14"/>
      <c r="D7" s="14"/>
      <c r="E7" s="14"/>
      <c r="F7" s="14"/>
      <c r="G7" s="14"/>
      <c r="H7" s="14" t="s">
        <v>269</v>
      </c>
      <c r="I7" s="14"/>
    </row>
    <row r="8" spans="1:9">
      <c r="A8" t="s">
        <v>0</v>
      </c>
      <c r="B8" s="14"/>
      <c r="C8" s="14" t="s">
        <v>269</v>
      </c>
      <c r="D8" s="14"/>
      <c r="E8" s="14" t="s">
        <v>269</v>
      </c>
      <c r="F8" s="14"/>
      <c r="G8" s="14"/>
      <c r="H8" s="14"/>
      <c r="I8" s="14"/>
    </row>
    <row r="9" spans="1:9">
      <c r="A9" t="s">
        <v>0</v>
      </c>
      <c r="B9" s="14"/>
      <c r="C9" s="14" t="s">
        <v>269</v>
      </c>
      <c r="D9" s="14"/>
      <c r="E9" s="14"/>
      <c r="F9" s="14"/>
      <c r="G9" s="14" t="s">
        <v>269</v>
      </c>
      <c r="H9" s="14"/>
      <c r="I9" s="14"/>
    </row>
    <row r="10" spans="1:9">
      <c r="A10" t="s">
        <v>0</v>
      </c>
      <c r="B10" s="14"/>
      <c r="C10" s="14" t="s">
        <v>269</v>
      </c>
      <c r="D10" s="14"/>
      <c r="E10" s="14"/>
      <c r="F10" s="14"/>
      <c r="G10" s="14"/>
      <c r="H10" s="14"/>
      <c r="I10" s="14" t="s">
        <v>269</v>
      </c>
    </row>
    <row r="11" spans="1:9">
      <c r="A11" t="s">
        <v>1</v>
      </c>
      <c r="B11" s="14"/>
      <c r="C11" s="14"/>
      <c r="D11" s="14" t="s">
        <v>269</v>
      </c>
      <c r="E11" s="14" t="s">
        <v>269</v>
      </c>
      <c r="F11" s="14"/>
      <c r="G11" s="14"/>
      <c r="H11" s="14"/>
      <c r="I11" s="14"/>
    </row>
    <row r="12" spans="1:9">
      <c r="A12" t="s">
        <v>1</v>
      </c>
      <c r="B12" s="14"/>
      <c r="C12" s="14"/>
      <c r="D12" s="14" t="s">
        <v>269</v>
      </c>
      <c r="E12" s="14"/>
      <c r="F12" s="14"/>
      <c r="G12" s="14" t="s">
        <v>269</v>
      </c>
      <c r="H12" s="14"/>
      <c r="I12" s="14"/>
    </row>
    <row r="13" spans="1:9">
      <c r="A13" t="s">
        <v>1</v>
      </c>
      <c r="B13" s="14"/>
      <c r="C13" s="14"/>
      <c r="D13" s="14" t="s">
        <v>269</v>
      </c>
      <c r="E13" s="14"/>
      <c r="F13" s="14"/>
      <c r="G13" s="14"/>
      <c r="H13" s="14"/>
      <c r="I13" s="14" t="s">
        <v>269</v>
      </c>
    </row>
    <row r="14" spans="1:9">
      <c r="A14" t="s">
        <v>1</v>
      </c>
      <c r="B14" s="14"/>
      <c r="C14" s="14"/>
      <c r="D14" s="14"/>
      <c r="E14" s="14" t="s">
        <v>269</v>
      </c>
      <c r="F14" s="14" t="s">
        <v>269</v>
      </c>
      <c r="G14" s="14"/>
      <c r="H14" s="14"/>
      <c r="I14" s="14"/>
    </row>
    <row r="15" spans="1:9">
      <c r="A15" t="s">
        <v>1</v>
      </c>
      <c r="B15" s="14"/>
      <c r="C15" s="14"/>
      <c r="D15" s="14"/>
      <c r="E15" s="14" t="s">
        <v>269</v>
      </c>
      <c r="F15" s="14"/>
      <c r="G15" s="14"/>
      <c r="H15" s="14" t="s">
        <v>269</v>
      </c>
      <c r="I15" s="14"/>
    </row>
    <row r="16" spans="1:9">
      <c r="A16" t="s">
        <v>1</v>
      </c>
      <c r="B16" s="14"/>
      <c r="C16" s="14"/>
      <c r="D16" s="14"/>
      <c r="E16" s="14"/>
      <c r="F16" s="14"/>
      <c r="G16" s="14"/>
      <c r="H16" s="14"/>
      <c r="I16" s="14"/>
    </row>
    <row r="17" spans="1:10">
      <c r="A17" t="s">
        <v>2</v>
      </c>
      <c r="B17" s="14"/>
      <c r="C17" s="14"/>
      <c r="D17" s="14"/>
      <c r="E17" s="14"/>
      <c r="F17" s="14" t="s">
        <v>269</v>
      </c>
      <c r="G17" s="14" t="s">
        <v>269</v>
      </c>
      <c r="H17" s="14"/>
      <c r="I17" s="14"/>
    </row>
    <row r="18" spans="1:10">
      <c r="A18" t="s">
        <v>2</v>
      </c>
      <c r="B18" s="14"/>
      <c r="C18" s="14"/>
      <c r="D18" s="14"/>
      <c r="E18" s="14"/>
      <c r="F18" s="14" t="s">
        <v>269</v>
      </c>
      <c r="G18" s="14"/>
      <c r="H18" s="14"/>
      <c r="I18" s="14" t="s">
        <v>269</v>
      </c>
      <c r="J18" t="s">
        <v>270</v>
      </c>
    </row>
    <row r="19" spans="1:10">
      <c r="A19" t="s">
        <v>2</v>
      </c>
      <c r="B19" s="14"/>
      <c r="C19" s="14"/>
      <c r="D19" s="14"/>
      <c r="E19" s="14"/>
      <c r="F19" s="14"/>
      <c r="G19" s="14" t="s">
        <v>269</v>
      </c>
      <c r="H19" s="14" t="s">
        <v>269</v>
      </c>
      <c r="I19" s="14"/>
      <c r="J19" t="s">
        <v>271</v>
      </c>
    </row>
    <row r="20" spans="1:10">
      <c r="B20" s="14"/>
      <c r="C20" s="14"/>
      <c r="D20" s="14"/>
      <c r="E20" s="14"/>
      <c r="F20" s="14"/>
      <c r="G20" s="14"/>
      <c r="H20" s="14"/>
      <c r="I20" s="14"/>
    </row>
    <row r="21" spans="1:10">
      <c r="B21" s="14"/>
      <c r="C21" s="14"/>
      <c r="D21" s="14"/>
      <c r="E21" s="14"/>
      <c r="F21" s="14"/>
      <c r="G21" s="14"/>
      <c r="H21" s="14"/>
      <c r="I21" s="14"/>
    </row>
    <row r="22" spans="1:10">
      <c r="B22" s="33" t="s">
        <v>272</v>
      </c>
      <c r="C22" s="33"/>
      <c r="D22" s="33"/>
      <c r="E22" s="33"/>
      <c r="F22" s="33"/>
      <c r="G22" s="33"/>
      <c r="H22" s="33"/>
      <c r="I22" s="33"/>
    </row>
    <row r="23" spans="1:10">
      <c r="B23" s="33" t="s">
        <v>273</v>
      </c>
      <c r="C23" s="33"/>
      <c r="D23" s="33"/>
      <c r="E23" s="33"/>
      <c r="F23" s="33"/>
      <c r="G23" s="33"/>
      <c r="H23" s="33"/>
      <c r="I23" s="33"/>
    </row>
    <row r="24" spans="1:10">
      <c r="B24" s="33"/>
      <c r="C24" s="33"/>
      <c r="D24" s="33"/>
      <c r="E24" s="33"/>
      <c r="F24" s="33"/>
      <c r="G24" s="33"/>
      <c r="H24" s="33"/>
      <c r="I24" s="33"/>
    </row>
    <row r="25" spans="1:10">
      <c r="F25" s="15" t="s">
        <v>263</v>
      </c>
      <c r="G25" s="15"/>
      <c r="H25" s="15" t="s">
        <v>264</v>
      </c>
      <c r="I25" s="15"/>
    </row>
    <row r="26" spans="1:10">
      <c r="B26" s="15" t="s">
        <v>0</v>
      </c>
      <c r="C26" s="15"/>
      <c r="D26" s="15" t="s">
        <v>1</v>
      </c>
      <c r="E26" s="15"/>
      <c r="F26" s="15" t="s">
        <v>2</v>
      </c>
      <c r="G26" s="15"/>
      <c r="H26" s="14" t="s">
        <v>265</v>
      </c>
      <c r="I26" s="14" t="s">
        <v>266</v>
      </c>
    </row>
    <row r="27" spans="1:10">
      <c r="B27" s="14" t="s">
        <v>267</v>
      </c>
      <c r="C27" s="14" t="s">
        <v>268</v>
      </c>
      <c r="D27" s="14" t="s">
        <v>267</v>
      </c>
      <c r="E27" s="14" t="s">
        <v>268</v>
      </c>
      <c r="F27" s="14" t="s">
        <v>267</v>
      </c>
      <c r="G27" s="14" t="s">
        <v>268</v>
      </c>
      <c r="H27" s="14" t="s">
        <v>267</v>
      </c>
      <c r="I27" s="14" t="s">
        <v>267</v>
      </c>
    </row>
    <row r="28" spans="1:10" ht="21">
      <c r="A28" t="s">
        <v>0</v>
      </c>
      <c r="B28" s="34" t="s">
        <v>269</v>
      </c>
      <c r="C28" s="14" t="s">
        <v>269</v>
      </c>
      <c r="D28" s="14" t="s">
        <v>269</v>
      </c>
      <c r="E28" s="14"/>
      <c r="F28" s="14" t="s">
        <v>269</v>
      </c>
      <c r="G28" s="14"/>
      <c r="H28" s="14" t="s">
        <v>269</v>
      </c>
      <c r="I28" s="14"/>
    </row>
    <row r="29" spans="1:10" ht="21">
      <c r="A29" t="s">
        <v>0</v>
      </c>
      <c r="B29" s="14" t="s">
        <v>269</v>
      </c>
      <c r="C29" s="34" t="s">
        <v>269</v>
      </c>
      <c r="D29" s="14"/>
      <c r="E29" s="14" t="s">
        <v>269</v>
      </c>
      <c r="F29" s="14"/>
      <c r="G29" s="14" t="s">
        <v>269</v>
      </c>
      <c r="H29" s="14"/>
      <c r="I29" s="14" t="s">
        <v>269</v>
      </c>
    </row>
    <row r="30" spans="1:10" ht="21">
      <c r="A30" t="s">
        <v>1</v>
      </c>
      <c r="B30" s="14"/>
      <c r="C30" s="14" t="s">
        <v>269</v>
      </c>
      <c r="D30" s="34" t="s">
        <v>269</v>
      </c>
      <c r="E30" s="14" t="s">
        <v>269</v>
      </c>
      <c r="F30" s="14"/>
      <c r="G30" s="14" t="s">
        <v>269</v>
      </c>
      <c r="H30" s="14"/>
      <c r="I30" s="14" t="s">
        <v>269</v>
      </c>
    </row>
    <row r="31" spans="1:10" ht="21">
      <c r="A31" t="s">
        <v>1</v>
      </c>
      <c r="B31" s="14"/>
      <c r="C31" s="14" t="s">
        <v>269</v>
      </c>
      <c r="D31" s="14" t="s">
        <v>269</v>
      </c>
      <c r="E31" s="34" t="s">
        <v>269</v>
      </c>
      <c r="F31" s="14" t="s">
        <v>269</v>
      </c>
      <c r="G31" s="14"/>
      <c r="H31" s="14" t="s">
        <v>269</v>
      </c>
      <c r="I31" s="14"/>
    </row>
    <row r="32" spans="1:10" ht="21">
      <c r="A32" t="s">
        <v>2</v>
      </c>
      <c r="B32" s="14" t="s">
        <v>269</v>
      </c>
      <c r="C32" s="14"/>
      <c r="D32" s="14"/>
      <c r="E32" s="14" t="s">
        <v>269</v>
      </c>
      <c r="F32" s="34" t="s">
        <v>269</v>
      </c>
      <c r="G32" s="14" t="s">
        <v>269</v>
      </c>
      <c r="H32" s="14"/>
      <c r="I32" s="14" t="s">
        <v>269</v>
      </c>
    </row>
    <row r="33" spans="1:9" ht="21">
      <c r="A33" t="s">
        <v>2</v>
      </c>
      <c r="B33" s="14"/>
      <c r="C33" s="14" t="s">
        <v>269</v>
      </c>
      <c r="D33" s="14" t="s">
        <v>269</v>
      </c>
      <c r="E33" s="14"/>
      <c r="F33" s="14" t="s">
        <v>269</v>
      </c>
      <c r="G33" s="34" t="s">
        <v>269</v>
      </c>
      <c r="H33" s="14" t="s">
        <v>269</v>
      </c>
      <c r="I33" s="14"/>
    </row>
    <row r="34" spans="1:9">
      <c r="B34" s="14"/>
      <c r="C34" s="14"/>
      <c r="D34" s="14"/>
      <c r="E34" s="14"/>
      <c r="F34" s="14"/>
      <c r="G34" s="14"/>
      <c r="H34" s="14"/>
      <c r="I34" s="14"/>
    </row>
    <row r="35" spans="1:9">
      <c r="B35" s="14"/>
      <c r="C35" s="14"/>
      <c r="D35" s="14"/>
      <c r="E35" s="14"/>
      <c r="F35" s="14"/>
      <c r="G35" s="14"/>
      <c r="H35" s="14"/>
      <c r="I35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4C700C3C22764281B606E6BB0BE512" ma:contentTypeVersion="14" ma:contentTypeDescription="Create a new document." ma:contentTypeScope="" ma:versionID="130446638de52d3414194381383ec8fc">
  <xsd:schema xmlns:xsd="http://www.w3.org/2001/XMLSchema" xmlns:xs="http://www.w3.org/2001/XMLSchema" xmlns:p="http://schemas.microsoft.com/office/2006/metadata/properties" xmlns:ns3="7d9b4326-e95a-4a9d-acda-83174bf33825" xmlns:ns4="ec22c7d8-208f-4baf-a907-919315f360ac" targetNamespace="http://schemas.microsoft.com/office/2006/metadata/properties" ma:root="true" ma:fieldsID="d139d6a55309c68f0729d6e62386ba8f" ns3:_="" ns4:_="">
    <xsd:import namespace="7d9b4326-e95a-4a9d-acda-83174bf33825"/>
    <xsd:import namespace="ec22c7d8-208f-4baf-a907-919315f360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9b4326-e95a-4a9d-acda-83174bf338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2c7d8-208f-4baf-a907-919315f360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9CE733-0E47-4880-B57A-B6FECD26B436}"/>
</file>

<file path=customXml/itemProps2.xml><?xml version="1.0" encoding="utf-8"?>
<ds:datastoreItem xmlns:ds="http://schemas.openxmlformats.org/officeDocument/2006/customXml" ds:itemID="{853F7D4E-E252-4317-B5B4-8BF062408423}"/>
</file>

<file path=customXml/itemProps3.xml><?xml version="1.0" encoding="utf-8"?>
<ds:datastoreItem xmlns:ds="http://schemas.openxmlformats.org/officeDocument/2006/customXml" ds:itemID="{E68CA6B9-7FAF-4F52-8B43-E8BB5792B87F}"/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Antle, Rick</dc:creator>
  <cp:keywords/>
  <dc:description/>
  <cp:lastModifiedBy>Antle, Rick</cp:lastModifiedBy>
  <cp:revision/>
  <dcterms:created xsi:type="dcterms:W3CDTF">2022-09-24T19:08:38Z</dcterms:created>
  <dcterms:modified xsi:type="dcterms:W3CDTF">2025-04-09T21:41:11Z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0x010100A84C700C3C22764281B606E6BB0BE512</vt:lpwstr>
  </property>
</Properties>
</file>